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pivotTables/pivotTable1.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hidePivotFieldList="1" defaultThemeVersion="124226"/>
  <mc:AlternateContent xmlns:mc="http://schemas.openxmlformats.org/markup-compatibility/2006">
    <mc:Choice Requires="x15">
      <x15ac:absPath xmlns:x15ac="http://schemas.microsoft.com/office/spreadsheetml/2010/11/ac" url="G:\Finance\Common\2023 me\Biocorrect\09 September\"/>
    </mc:Choice>
  </mc:AlternateContent>
  <xr:revisionPtr revIDLastSave="0" documentId="13_ncr:1_{6149E53C-466F-4D62-A29E-C366BE707884}" xr6:coauthVersionLast="47" xr6:coauthVersionMax="47" xr10:uidLastSave="{00000000-0000-0000-0000-000000000000}"/>
  <bookViews>
    <workbookView xWindow="25080" yWindow="-120" windowWidth="25440" windowHeight="15990" tabRatio="910" xr2:uid="{00000000-000D-0000-FFFF-FFFF00000000}"/>
  </bookViews>
  <sheets>
    <sheet name="Company Summary" sheetId="1" r:id="rId1"/>
    <sheet name="Checklist" sheetId="26" state="hidden" r:id="rId2"/>
    <sheet name="Biocorrect-Agile" sheetId="2" r:id="rId3"/>
    <sheet name="SSOR Summary Unposted Money" sheetId="6" state="hidden" r:id="rId4"/>
    <sheet name="Biocorrect-GP" sheetId="28" r:id="rId5"/>
    <sheet name="Clinic 3" sheetId="29" state="hidden" r:id="rId6"/>
    <sheet name="Clinic 4" sheetId="30" state="hidden" r:id="rId7"/>
    <sheet name="Clinic 5" sheetId="31" state="hidden" r:id="rId8"/>
    <sheet name="Clinic 6" sheetId="32" state="hidden" r:id="rId9"/>
    <sheet name="Clinic 7" sheetId="33" state="hidden" r:id="rId10"/>
    <sheet name="Clinic 8" sheetId="34" state="hidden" r:id="rId11"/>
    <sheet name="Clinic 9" sheetId="36" state="hidden" r:id="rId12"/>
    <sheet name="Clinic 10" sheetId="38" state="hidden" r:id="rId13"/>
    <sheet name="Clinic 11" sheetId="39" state="hidden" r:id="rId14"/>
    <sheet name="Clinic 12" sheetId="41" state="hidden" r:id="rId15"/>
    <sheet name="Clinic 13" sheetId="37" state="hidden" r:id="rId16"/>
    <sheet name="Clinic 14" sheetId="35" state="hidden" r:id="rId17"/>
    <sheet name="Clinic 15" sheetId="40" state="hidden" r:id="rId18"/>
    <sheet name="Reimbursement Rates &lt;-INPUT" sheetId="8" r:id="rId19"/>
    <sheet name="Agile AR Aging &lt;-INPUT" sheetId="16" r:id="rId20"/>
    <sheet name="RF by Location &lt;-INPUT" sheetId="13" r:id="rId21"/>
    <sheet name="RF by Payor &lt;-INPUT" sheetId="18" r:id="rId22"/>
    <sheet name="Bad Debt Detail &lt;-INPUT" sheetId="19" r:id="rId23"/>
    <sheet name="Clinic 1 1-16 Rev Entry" sheetId="9" r:id="rId24"/>
    <sheet name="Clinic 1 1-16 Rev-Mcare off" sheetId="76" state="hidden" r:id="rId25"/>
    <sheet name="Clinic 1 1-16 Cash Entry" sheetId="17" r:id="rId26"/>
    <sheet name="Clinic 2 1-16 Rev Entry" sheetId="42" state="hidden" r:id="rId27"/>
    <sheet name="Clinic 2 1-16 Cash Entry" sheetId="43" state="hidden" r:id="rId28"/>
    <sheet name="Clinic 3 1-16 Rev Entry" sheetId="45" state="hidden" r:id="rId29"/>
    <sheet name="Clinic 3 1-16 Cash Entry" sheetId="44" state="hidden" r:id="rId30"/>
    <sheet name="Clinic 4 1-16 Rev Entry" sheetId="46" state="hidden" r:id="rId31"/>
    <sheet name="Clinic 4 1-16 Cash Entry" sheetId="48" state="hidden" r:id="rId32"/>
    <sheet name="Clinic 5 1-16 Rev Entry" sheetId="49" state="hidden" r:id="rId33"/>
    <sheet name="Clinic 5 1-16 Cash Entry" sheetId="50" state="hidden" r:id="rId34"/>
    <sheet name="Clinic 6 1-16 Rev Entry" sheetId="51" state="hidden" r:id="rId35"/>
    <sheet name="Clinic 6 1-16 Cash Entry" sheetId="52" state="hidden" r:id="rId36"/>
    <sheet name="Clinic 7 1-16 Rev Entry" sheetId="53" state="hidden" r:id="rId37"/>
    <sheet name="Clinic 7 1-16 Cash Entry" sheetId="54" state="hidden" r:id="rId38"/>
    <sheet name="Clinic 8 1-16 Rev Entry" sheetId="55" state="hidden" r:id="rId39"/>
    <sheet name="Clinic 8 1-16 Cash Entry" sheetId="56" state="hidden" r:id="rId40"/>
    <sheet name="Clinic 9 1-16 Rev Entry" sheetId="57" state="hidden" r:id="rId41"/>
    <sheet name="Clinic 9 1-16 Cash Entry" sheetId="58" state="hidden" r:id="rId42"/>
    <sheet name="Clinic 10 1-16 Rev Entry" sheetId="59" state="hidden" r:id="rId43"/>
    <sheet name="Clinic 10 1-16 Cash Entry" sheetId="60" state="hidden" r:id="rId44"/>
    <sheet name="Clinic 11 1-16 Rev Entry" sheetId="61" state="hidden" r:id="rId45"/>
    <sheet name="Clinic 11 1-16 Cash Entry" sheetId="62" state="hidden" r:id="rId46"/>
    <sheet name="Clinic 12 1-16 Rev Entry" sheetId="63" state="hidden" r:id="rId47"/>
    <sheet name="Clinic 12 1-16 Cash Entry" sheetId="64" state="hidden" r:id="rId48"/>
    <sheet name="Clinic 13 1-16 Rev Entry" sheetId="65" state="hidden" r:id="rId49"/>
    <sheet name="Clinic 13 1-16 Cash Entry" sheetId="66" state="hidden" r:id="rId50"/>
    <sheet name="Clinic 14 1-16 Rev Entry" sheetId="67" state="hidden" r:id="rId51"/>
    <sheet name="Clinic 14 1-16 Cash Entry" sheetId="68" state="hidden" r:id="rId52"/>
    <sheet name="Clinic 15 1-16 Rev Entry" sheetId="69" state="hidden" r:id="rId53"/>
    <sheet name="Clinic 15 1-16 Cash Entry" sheetId="70" state="hidden" r:id="rId54"/>
    <sheet name="Credit Bal Cur Qtr &lt;-INPUT" sheetId="20" state="hidden" r:id="rId55"/>
    <sheet name="Credit Bal Prior Qtr &lt;-INPUT" sheetId="21" state="hidden" r:id="rId56"/>
    <sheet name="Credit Bal Entry" sheetId="23" r:id="rId57"/>
    <sheet name="Credit Balance Detail" sheetId="77" r:id="rId58"/>
    <sheet name="CurrentMonthTransactionData" sheetId="75" r:id="rId59"/>
    <sheet name="CurrentMonthAgingData" sheetId="73" r:id="rId60"/>
    <sheet name="Credit Bal Adj Calculation" sheetId="22" state="hidden" r:id="rId61"/>
    <sheet name="General Ledger" sheetId="27" state="hidden" r:id="rId62"/>
  </sheets>
  <calcPr calcId="191029"/>
  <pivotCaches>
    <pivotCache cacheId="29" r:id="rId6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1" i="2" l="1"/>
  <c r="B31" i="1" l="1"/>
  <c r="C31" i="1"/>
  <c r="D31" i="1"/>
  <c r="E31" i="1"/>
  <c r="F31" i="1"/>
  <c r="G31" i="1"/>
  <c r="H31" i="1"/>
  <c r="I31" i="1"/>
  <c r="C69" i="16" l="1"/>
  <c r="D69" i="16"/>
  <c r="E69" i="16"/>
  <c r="F69" i="16"/>
  <c r="A4" i="2" l="1"/>
  <c r="C14" i="9"/>
  <c r="C19" i="9"/>
  <c r="C54" i="19"/>
  <c r="R54" i="19" s="1"/>
  <c r="L23" i="9" l="1"/>
  <c r="B12" i="8"/>
  <c r="D12" i="23"/>
  <c r="M23" i="9" l="1"/>
  <c r="C21" i="76" l="1"/>
  <c r="C20" i="76"/>
  <c r="C19" i="76"/>
  <c r="C18" i="76"/>
  <c r="C17" i="76"/>
  <c r="C16" i="76"/>
  <c r="C15" i="76"/>
  <c r="C14" i="76"/>
  <c r="C13" i="76"/>
  <c r="F23" i="76" l="1"/>
  <c r="E23" i="76"/>
  <c r="C20" i="13" l="1"/>
  <c r="U7" i="8" l="1"/>
  <c r="V7" i="8"/>
  <c r="W7" i="8"/>
  <c r="X7" i="8"/>
  <c r="Y7" i="8"/>
  <c r="Z7" i="8"/>
  <c r="AA7" i="8"/>
  <c r="AB7" i="8"/>
  <c r="AC7" i="8"/>
  <c r="AD7" i="8"/>
  <c r="AE7" i="8"/>
  <c r="AF7" i="8"/>
  <c r="AG7" i="8"/>
  <c r="B71" i="1" l="1"/>
  <c r="C71" i="1" s="1"/>
  <c r="D71" i="1" s="1"/>
  <c r="E71" i="1" s="1"/>
  <c r="F71" i="1" s="1"/>
  <c r="G71" i="1" s="1"/>
  <c r="H71" i="1" s="1"/>
  <c r="J71" i="1" s="1"/>
  <c r="B72" i="1"/>
  <c r="C72" i="1" s="1"/>
  <c r="D72" i="1" s="1"/>
  <c r="E72" i="1" s="1"/>
  <c r="F72" i="1" s="1"/>
  <c r="G72" i="1" s="1"/>
  <c r="H72" i="1" s="1"/>
  <c r="J72" i="1" s="1"/>
  <c r="B73" i="1"/>
  <c r="C73" i="1"/>
  <c r="E73" i="1"/>
  <c r="F73" i="1"/>
  <c r="G73" i="1"/>
  <c r="H73" i="1"/>
  <c r="J73" i="1" s="1"/>
  <c r="B74" i="1"/>
  <c r="C74" i="1"/>
  <c r="D74" i="1"/>
  <c r="E74" i="1"/>
  <c r="F74" i="1"/>
  <c r="G74" i="1"/>
  <c r="H74" i="1"/>
  <c r="J74" i="1" s="1"/>
  <c r="B75" i="1"/>
  <c r="C75" i="1"/>
  <c r="D75" i="1"/>
  <c r="E75" i="1"/>
  <c r="F75" i="1"/>
  <c r="G75" i="1"/>
  <c r="H75" i="1"/>
  <c r="J75" i="1" s="1"/>
  <c r="B76" i="1"/>
  <c r="C76" i="1"/>
  <c r="D76" i="1"/>
  <c r="E76" i="1"/>
  <c r="F76" i="1"/>
  <c r="G76" i="1"/>
  <c r="H76" i="1"/>
  <c r="J76" i="1" s="1"/>
  <c r="B77" i="1"/>
  <c r="C77" i="1"/>
  <c r="D77" i="1"/>
  <c r="E77" i="1"/>
  <c r="F77" i="1"/>
  <c r="G77" i="1"/>
  <c r="H77" i="1"/>
  <c r="J77" i="1" s="1"/>
  <c r="B78" i="1"/>
  <c r="C78" i="1"/>
  <c r="D78" i="1"/>
  <c r="E78" i="1"/>
  <c r="F78" i="1"/>
  <c r="G78" i="1"/>
  <c r="H78" i="1"/>
  <c r="J78" i="1" s="1"/>
  <c r="B79" i="1"/>
  <c r="C79" i="1"/>
  <c r="D79" i="1"/>
  <c r="E79" i="1"/>
  <c r="F79" i="1"/>
  <c r="G79" i="1"/>
  <c r="H79" i="1"/>
  <c r="J79" i="1" s="1"/>
  <c r="B80" i="1"/>
  <c r="C80" i="1"/>
  <c r="E80" i="1"/>
  <c r="F80" i="1"/>
  <c r="G80" i="1"/>
  <c r="H80" i="1"/>
  <c r="J80" i="1" s="1"/>
  <c r="B81" i="1"/>
  <c r="C81" i="1"/>
  <c r="D81" i="1"/>
  <c r="E81" i="1"/>
  <c r="F81" i="1"/>
  <c r="G81" i="1"/>
  <c r="H81" i="1"/>
  <c r="J81" i="1" s="1"/>
  <c r="B82" i="1"/>
  <c r="C82" i="1"/>
  <c r="D82" i="1"/>
  <c r="E82" i="1"/>
  <c r="F82" i="1"/>
  <c r="G82" i="1"/>
  <c r="H82" i="1"/>
  <c r="J82" i="1" s="1"/>
  <c r="B83" i="1"/>
  <c r="C83" i="1"/>
  <c r="D83" i="1"/>
  <c r="E83" i="1"/>
  <c r="F83" i="1"/>
  <c r="G83" i="1"/>
  <c r="H83" i="1"/>
  <c r="J83" i="1" s="1"/>
  <c r="B84" i="1"/>
  <c r="C84" i="1"/>
  <c r="D84" i="1"/>
  <c r="E84" i="1"/>
  <c r="F84" i="1"/>
  <c r="G84" i="1"/>
  <c r="H84" i="1"/>
  <c r="J84" i="1" s="1"/>
  <c r="B85" i="1"/>
  <c r="C85" i="1"/>
  <c r="D85" i="1"/>
  <c r="E85" i="1"/>
  <c r="F85" i="1"/>
  <c r="G85" i="1"/>
  <c r="H85" i="1"/>
  <c r="J85" i="1" s="1"/>
  <c r="B86" i="1"/>
  <c r="C86" i="1"/>
  <c r="D86" i="1"/>
  <c r="E86" i="1"/>
  <c r="F86" i="1"/>
  <c r="G86" i="1"/>
  <c r="H86" i="1"/>
  <c r="J86" i="1" s="1"/>
  <c r="B87" i="1"/>
  <c r="C87" i="1"/>
  <c r="D87" i="1"/>
  <c r="E87" i="1"/>
  <c r="F87" i="1"/>
  <c r="G87" i="1"/>
  <c r="H87" i="1"/>
  <c r="J87" i="1" s="1"/>
  <c r="D73" i="1" l="1"/>
  <c r="C34" i="18" l="1"/>
  <c r="C36" i="19" s="1"/>
  <c r="C63" i="19" l="1"/>
  <c r="C62" i="19"/>
  <c r="C61" i="19"/>
  <c r="C60" i="19"/>
  <c r="C59" i="19"/>
  <c r="C58" i="19"/>
  <c r="C57" i="19"/>
  <c r="C56" i="19"/>
  <c r="C55" i="19"/>
  <c r="C53" i="19"/>
  <c r="C52" i="19"/>
  <c r="C51" i="19"/>
  <c r="C50" i="19"/>
  <c r="C49" i="19"/>
  <c r="C48" i="19"/>
  <c r="C47" i="19"/>
  <c r="C46" i="19"/>
  <c r="C45" i="19"/>
  <c r="C44" i="19"/>
  <c r="C43" i="19"/>
  <c r="C42" i="19"/>
  <c r="C41" i="19"/>
  <c r="C40" i="19"/>
  <c r="C39" i="19"/>
  <c r="C38" i="19"/>
  <c r="L50" i="18"/>
  <c r="K50" i="18"/>
  <c r="J50" i="18"/>
  <c r="I50" i="18"/>
  <c r="H50" i="18"/>
  <c r="G50" i="18"/>
  <c r="F50" i="18"/>
  <c r="E50" i="18"/>
  <c r="D50" i="18"/>
  <c r="C50" i="18"/>
  <c r="L55" i="18" l="1"/>
  <c r="K55" i="18"/>
  <c r="J55" i="18"/>
  <c r="I55" i="18"/>
  <c r="H55" i="18"/>
  <c r="G55" i="18"/>
  <c r="F55" i="18"/>
  <c r="E55" i="18"/>
  <c r="D55" i="18"/>
  <c r="C55" i="18"/>
  <c r="L54" i="18"/>
  <c r="K54" i="18"/>
  <c r="J54" i="18"/>
  <c r="I54" i="18"/>
  <c r="H54" i="18"/>
  <c r="G54" i="18"/>
  <c r="F54" i="18"/>
  <c r="E54" i="18"/>
  <c r="D54" i="18"/>
  <c r="C54" i="18"/>
  <c r="L53" i="18"/>
  <c r="K53" i="18"/>
  <c r="J53" i="18"/>
  <c r="I53" i="18"/>
  <c r="H53" i="18"/>
  <c r="G53" i="18"/>
  <c r="F53" i="18"/>
  <c r="E53" i="18"/>
  <c r="D53" i="18"/>
  <c r="C53" i="18"/>
  <c r="L52" i="18"/>
  <c r="K52" i="18"/>
  <c r="J52" i="18"/>
  <c r="I52" i="18"/>
  <c r="H52" i="18"/>
  <c r="G52" i="18"/>
  <c r="F52" i="18"/>
  <c r="E52" i="18"/>
  <c r="D52" i="18"/>
  <c r="C52" i="18"/>
  <c r="L51" i="18"/>
  <c r="K51" i="18"/>
  <c r="J51" i="18"/>
  <c r="I51" i="18"/>
  <c r="H51" i="18"/>
  <c r="G51" i="18"/>
  <c r="F51" i="18"/>
  <c r="E51" i="18"/>
  <c r="D51" i="18"/>
  <c r="C51" i="18"/>
  <c r="L49" i="18"/>
  <c r="K49" i="18"/>
  <c r="J49" i="18"/>
  <c r="I49" i="18"/>
  <c r="H49" i="18"/>
  <c r="G49" i="18"/>
  <c r="F49" i="18"/>
  <c r="E49" i="18"/>
  <c r="D49" i="18"/>
  <c r="C49" i="18"/>
  <c r="L48" i="18"/>
  <c r="K48" i="18"/>
  <c r="J48" i="18"/>
  <c r="I48" i="18"/>
  <c r="H48" i="18"/>
  <c r="G48" i="18"/>
  <c r="F48" i="18"/>
  <c r="E48" i="18"/>
  <c r="D48" i="18"/>
  <c r="C48" i="18"/>
  <c r="L47" i="18"/>
  <c r="K47" i="18"/>
  <c r="J47" i="18"/>
  <c r="I47" i="18"/>
  <c r="H47" i="18"/>
  <c r="G47" i="18"/>
  <c r="F47" i="18"/>
  <c r="E47" i="18"/>
  <c r="D47" i="18"/>
  <c r="C47" i="18"/>
  <c r="L46" i="18"/>
  <c r="K46" i="18"/>
  <c r="J46" i="18"/>
  <c r="I46" i="18"/>
  <c r="H46" i="18"/>
  <c r="G46" i="18"/>
  <c r="F46" i="18"/>
  <c r="E46" i="18"/>
  <c r="D46" i="18"/>
  <c r="C46" i="18"/>
  <c r="L45" i="18"/>
  <c r="K45" i="18"/>
  <c r="J45" i="18"/>
  <c r="I45" i="18"/>
  <c r="H45" i="18"/>
  <c r="G45" i="18"/>
  <c r="F45" i="18"/>
  <c r="E45" i="18"/>
  <c r="D45" i="18"/>
  <c r="C45" i="18"/>
  <c r="L44" i="18"/>
  <c r="K44" i="18"/>
  <c r="J44" i="18"/>
  <c r="I44" i="18"/>
  <c r="H44" i="18"/>
  <c r="G44" i="18"/>
  <c r="F44" i="18"/>
  <c r="E44" i="18"/>
  <c r="D44" i="18"/>
  <c r="C44" i="18"/>
  <c r="L43" i="18"/>
  <c r="K43" i="18"/>
  <c r="J43" i="18"/>
  <c r="I43" i="18"/>
  <c r="H43" i="18"/>
  <c r="G43" i="18"/>
  <c r="F43" i="18"/>
  <c r="E43" i="18"/>
  <c r="D43" i="18"/>
  <c r="C43" i="18"/>
  <c r="L42" i="18"/>
  <c r="K42" i="18"/>
  <c r="J42" i="18"/>
  <c r="I42" i="18"/>
  <c r="H42" i="18"/>
  <c r="G42" i="18"/>
  <c r="F42" i="18"/>
  <c r="E42" i="18"/>
  <c r="D42" i="18"/>
  <c r="C42" i="18"/>
  <c r="L41" i="18"/>
  <c r="K41" i="18"/>
  <c r="J41" i="18"/>
  <c r="I41" i="18"/>
  <c r="H41" i="18"/>
  <c r="G41" i="18"/>
  <c r="F41" i="18"/>
  <c r="E41" i="18"/>
  <c r="D41" i="18"/>
  <c r="C41" i="18"/>
  <c r="L40" i="18"/>
  <c r="K40" i="18"/>
  <c r="J40" i="18"/>
  <c r="I40" i="18"/>
  <c r="H40" i="18"/>
  <c r="G40" i="18"/>
  <c r="F40" i="18"/>
  <c r="E40" i="18"/>
  <c r="D40" i="18"/>
  <c r="C40" i="18"/>
  <c r="L39" i="18"/>
  <c r="K39" i="18"/>
  <c r="J39" i="18"/>
  <c r="I39" i="18"/>
  <c r="H39" i="18"/>
  <c r="G39" i="18"/>
  <c r="F39" i="18"/>
  <c r="E39" i="18"/>
  <c r="D39" i="18"/>
  <c r="C39" i="18"/>
  <c r="L38" i="18"/>
  <c r="K38" i="18"/>
  <c r="J38" i="18"/>
  <c r="I38" i="18"/>
  <c r="H38" i="18"/>
  <c r="G38" i="18"/>
  <c r="F38" i="18"/>
  <c r="E38" i="18"/>
  <c r="D38" i="18"/>
  <c r="C38" i="18"/>
  <c r="L37" i="18"/>
  <c r="K37" i="18"/>
  <c r="J37" i="18"/>
  <c r="I37" i="18"/>
  <c r="H37" i="18"/>
  <c r="G37" i="18"/>
  <c r="F37" i="18"/>
  <c r="E37" i="18"/>
  <c r="D37" i="18"/>
  <c r="C37" i="18"/>
  <c r="L36" i="18"/>
  <c r="K36" i="18"/>
  <c r="J36" i="18"/>
  <c r="I36" i="18"/>
  <c r="H36" i="18"/>
  <c r="G36" i="18"/>
  <c r="F36" i="18"/>
  <c r="E36" i="18"/>
  <c r="D36" i="18"/>
  <c r="C36" i="18"/>
  <c r="L22" i="13"/>
  <c r="K22" i="13"/>
  <c r="J22" i="13"/>
  <c r="I22" i="13"/>
  <c r="H22" i="13"/>
  <c r="G22" i="13"/>
  <c r="F22" i="13"/>
  <c r="E22" i="13"/>
  <c r="D22" i="13"/>
  <c r="C22" i="13"/>
  <c r="F13" i="9" s="1"/>
  <c r="I37" i="16" l="1"/>
  <c r="H37" i="16"/>
  <c r="G37" i="16"/>
  <c r="F37" i="16"/>
  <c r="E37" i="16"/>
  <c r="D37" i="16"/>
  <c r="C37" i="16"/>
  <c r="J37" i="16"/>
  <c r="J42" i="16" l="1"/>
  <c r="I42" i="16"/>
  <c r="H42" i="16"/>
  <c r="G42" i="16"/>
  <c r="F42" i="16"/>
  <c r="E42" i="16"/>
  <c r="D42" i="16"/>
  <c r="C42" i="16"/>
  <c r="J41" i="16"/>
  <c r="I41" i="16"/>
  <c r="H41" i="16"/>
  <c r="G41" i="16"/>
  <c r="F41" i="16"/>
  <c r="E41" i="16"/>
  <c r="D41" i="16"/>
  <c r="C41" i="16"/>
  <c r="J40" i="16"/>
  <c r="I40" i="16"/>
  <c r="H40" i="16"/>
  <c r="G40" i="16"/>
  <c r="F40" i="16"/>
  <c r="E40" i="16"/>
  <c r="D40" i="16"/>
  <c r="C40" i="16"/>
  <c r="J39" i="16"/>
  <c r="I39" i="16"/>
  <c r="H39" i="16"/>
  <c r="G39" i="16"/>
  <c r="F39" i="16"/>
  <c r="E39" i="16"/>
  <c r="D39" i="16"/>
  <c r="C39" i="16"/>
  <c r="J38" i="16"/>
  <c r="I38" i="16"/>
  <c r="H38" i="16"/>
  <c r="G38" i="16"/>
  <c r="F38" i="16"/>
  <c r="E38" i="16"/>
  <c r="D38" i="16"/>
  <c r="C38" i="16"/>
  <c r="J36" i="16"/>
  <c r="I36" i="16"/>
  <c r="H36" i="16"/>
  <c r="G36" i="16"/>
  <c r="F36" i="16"/>
  <c r="E36" i="16"/>
  <c r="D36" i="16"/>
  <c r="C36" i="16"/>
  <c r="J35" i="16"/>
  <c r="I35" i="16"/>
  <c r="H35" i="16"/>
  <c r="G35" i="16"/>
  <c r="F35" i="16"/>
  <c r="E35" i="16"/>
  <c r="D35" i="16"/>
  <c r="C35" i="16"/>
  <c r="J34" i="16"/>
  <c r="I34" i="16"/>
  <c r="H34" i="16"/>
  <c r="G34" i="16"/>
  <c r="F34" i="16"/>
  <c r="E34" i="16"/>
  <c r="D34" i="16"/>
  <c r="C34" i="16"/>
  <c r="J33" i="16"/>
  <c r="I33" i="16"/>
  <c r="H33" i="16"/>
  <c r="G33" i="16"/>
  <c r="F33" i="16"/>
  <c r="E33" i="16"/>
  <c r="D33" i="16"/>
  <c r="C33" i="16"/>
  <c r="J32" i="16"/>
  <c r="I32" i="16"/>
  <c r="H32" i="16"/>
  <c r="G32" i="16"/>
  <c r="F32" i="16"/>
  <c r="E32" i="16"/>
  <c r="D32" i="16"/>
  <c r="C32" i="16"/>
  <c r="J31" i="16"/>
  <c r="I31" i="16"/>
  <c r="H31" i="16"/>
  <c r="G31" i="16"/>
  <c r="F31" i="16"/>
  <c r="E31" i="16"/>
  <c r="D31" i="16"/>
  <c r="C31" i="16"/>
  <c r="J30" i="16"/>
  <c r="I30" i="16"/>
  <c r="H30" i="16"/>
  <c r="G30" i="16"/>
  <c r="F30" i="16"/>
  <c r="E30" i="16"/>
  <c r="D30" i="16"/>
  <c r="C30" i="16"/>
  <c r="J29" i="16"/>
  <c r="I29" i="16"/>
  <c r="H29" i="16"/>
  <c r="G29" i="16"/>
  <c r="F29" i="16"/>
  <c r="E29" i="16"/>
  <c r="D29" i="16"/>
  <c r="C29" i="16"/>
  <c r="J28" i="16"/>
  <c r="I28" i="16"/>
  <c r="H28" i="16"/>
  <c r="G28" i="16"/>
  <c r="F28" i="16"/>
  <c r="E28" i="16"/>
  <c r="D28" i="16"/>
  <c r="C28" i="16"/>
  <c r="J27" i="16"/>
  <c r="I27" i="16"/>
  <c r="H27" i="16"/>
  <c r="G27" i="16"/>
  <c r="F27" i="16"/>
  <c r="E27" i="16"/>
  <c r="D27" i="16"/>
  <c r="C27" i="16"/>
  <c r="J26" i="16"/>
  <c r="I26" i="16"/>
  <c r="H26" i="16"/>
  <c r="G26" i="16"/>
  <c r="F26" i="16"/>
  <c r="E26" i="16"/>
  <c r="D26" i="16"/>
  <c r="C26" i="16"/>
  <c r="J25" i="16"/>
  <c r="I25" i="16"/>
  <c r="H25" i="16"/>
  <c r="G25" i="16"/>
  <c r="F25" i="16"/>
  <c r="E25" i="16"/>
  <c r="D25" i="16"/>
  <c r="C25" i="16"/>
  <c r="J24" i="16"/>
  <c r="I24" i="16"/>
  <c r="H24" i="16"/>
  <c r="G24" i="16"/>
  <c r="F24" i="16"/>
  <c r="E24" i="16"/>
  <c r="D24" i="16"/>
  <c r="C24" i="16"/>
  <c r="J23" i="16"/>
  <c r="I23" i="16"/>
  <c r="H23" i="16"/>
  <c r="G23" i="16"/>
  <c r="F23" i="16"/>
  <c r="E23" i="16"/>
  <c r="D23" i="16"/>
  <c r="C23" i="16"/>
  <c r="B2" i="16" l="1"/>
  <c r="V68" i="16" l="1"/>
  <c r="V67" i="16"/>
  <c r="V66" i="16"/>
  <c r="V65" i="16"/>
  <c r="V64" i="16"/>
  <c r="V63" i="16"/>
  <c r="V62" i="16"/>
  <c r="V61" i="16"/>
  <c r="V60" i="16"/>
  <c r="V59" i="16"/>
  <c r="V58" i="16"/>
  <c r="V57" i="16"/>
  <c r="V56" i="16"/>
  <c r="V55" i="16"/>
  <c r="V54" i="16"/>
  <c r="V53" i="16"/>
  <c r="V52" i="16"/>
  <c r="V51" i="16"/>
  <c r="V50" i="16"/>
  <c r="V49" i="16"/>
  <c r="H46" i="2" l="1"/>
  <c r="J30" i="2"/>
  <c r="J31" i="2"/>
  <c r="J32" i="2"/>
  <c r="J33" i="2"/>
  <c r="J34" i="2"/>
  <c r="J35" i="2"/>
  <c r="J36" i="2"/>
  <c r="J37" i="2"/>
  <c r="J38" i="2"/>
  <c r="J39" i="2"/>
  <c r="J40" i="2"/>
  <c r="J41" i="2"/>
  <c r="J42" i="2"/>
  <c r="J43" i="2"/>
  <c r="J44" i="2"/>
  <c r="J45" i="2"/>
  <c r="J29" i="2"/>
  <c r="C46" i="2"/>
  <c r="D46" i="2"/>
  <c r="E46" i="2"/>
  <c r="F46" i="2"/>
  <c r="G46" i="2"/>
  <c r="I46" i="2"/>
  <c r="B46" i="2"/>
  <c r="J46" i="2" l="1"/>
  <c r="L46" i="1" s="1"/>
  <c r="E13" i="23" l="1"/>
  <c r="D56" i="18"/>
  <c r="E56" i="18"/>
  <c r="F56" i="18"/>
  <c r="G56" i="18"/>
  <c r="H56" i="18"/>
  <c r="I56" i="18"/>
  <c r="J56" i="18"/>
  <c r="K56" i="18"/>
  <c r="L56" i="18"/>
  <c r="C56" i="18"/>
  <c r="M56" i="18" l="1"/>
  <c r="C21" i="9"/>
  <c r="C20" i="9"/>
  <c r="C18" i="9"/>
  <c r="C17" i="9"/>
  <c r="C16" i="9"/>
  <c r="C15" i="9"/>
  <c r="B20" i="28" l="1"/>
  <c r="B62" i="28" s="1"/>
  <c r="C20" i="28"/>
  <c r="C62" i="28" s="1"/>
  <c r="D20" i="28"/>
  <c r="D62" i="28" s="1"/>
  <c r="E20" i="28"/>
  <c r="E62" i="28" s="1"/>
  <c r="F20" i="28"/>
  <c r="F62" i="28" s="1"/>
  <c r="G20" i="28"/>
  <c r="G62" i="28" s="1"/>
  <c r="H20" i="28"/>
  <c r="H62" i="28" s="1"/>
  <c r="I20" i="28"/>
  <c r="I62" i="28" s="1"/>
  <c r="J62" i="28" l="1"/>
  <c r="J20" i="28"/>
  <c r="K39" i="16" l="1"/>
  <c r="AD65" i="16" l="1"/>
  <c r="Y49" i="16"/>
  <c r="Z23" i="16"/>
  <c r="AA23" i="16"/>
  <c r="AB23" i="16"/>
  <c r="AC23" i="16"/>
  <c r="AD23" i="16"/>
  <c r="AE23" i="16"/>
  <c r="AF23" i="16"/>
  <c r="Z24" i="16"/>
  <c r="AA24" i="16"/>
  <c r="AB24" i="16"/>
  <c r="AC24" i="16"/>
  <c r="AD24" i="16"/>
  <c r="AE24" i="16"/>
  <c r="AF24" i="16"/>
  <c r="Z25" i="16"/>
  <c r="AA25" i="16"/>
  <c r="AB25" i="16"/>
  <c r="AC25" i="16"/>
  <c r="AD25" i="16"/>
  <c r="AE25" i="16"/>
  <c r="AF25" i="16"/>
  <c r="Z26" i="16"/>
  <c r="AA26" i="16"/>
  <c r="AB26" i="16"/>
  <c r="AC26" i="16"/>
  <c r="AD26" i="16"/>
  <c r="AE26" i="16"/>
  <c r="AF26" i="16"/>
  <c r="Z27" i="16"/>
  <c r="AA27" i="16"/>
  <c r="AB27" i="16"/>
  <c r="AC27" i="16"/>
  <c r="AD27" i="16"/>
  <c r="AE27" i="16"/>
  <c r="AF27" i="16"/>
  <c r="Z28" i="16"/>
  <c r="AA28" i="16"/>
  <c r="AB28" i="16"/>
  <c r="AC28" i="16"/>
  <c r="AD28" i="16"/>
  <c r="AE28" i="16"/>
  <c r="AF28" i="16"/>
  <c r="Z29" i="16"/>
  <c r="AA29" i="16"/>
  <c r="AB29" i="16"/>
  <c r="AC29" i="16"/>
  <c r="AD29" i="16"/>
  <c r="AE29" i="16"/>
  <c r="AF29" i="16"/>
  <c r="Z30" i="16"/>
  <c r="AA30" i="16"/>
  <c r="AB30" i="16"/>
  <c r="AC30" i="16"/>
  <c r="AD30" i="16"/>
  <c r="AE30" i="16"/>
  <c r="AF30" i="16"/>
  <c r="Z31" i="16"/>
  <c r="AA31" i="16"/>
  <c r="AB31" i="16"/>
  <c r="AC31" i="16"/>
  <c r="AD31" i="16"/>
  <c r="AE31" i="16"/>
  <c r="AF31" i="16"/>
  <c r="Z32" i="16"/>
  <c r="AA32" i="16"/>
  <c r="AB32" i="16"/>
  <c r="AC32" i="16"/>
  <c r="AD32" i="16"/>
  <c r="AE32" i="16"/>
  <c r="AF32" i="16"/>
  <c r="Z33" i="16"/>
  <c r="AA33" i="16"/>
  <c r="AB33" i="16"/>
  <c r="AC33" i="16"/>
  <c r="AD33" i="16"/>
  <c r="AE33" i="16"/>
  <c r="AF33" i="16"/>
  <c r="Z34" i="16"/>
  <c r="AA34" i="16"/>
  <c r="AB34" i="16"/>
  <c r="AC34" i="16"/>
  <c r="AD34" i="16"/>
  <c r="AE34" i="16"/>
  <c r="AF34" i="16"/>
  <c r="Z35" i="16"/>
  <c r="AA35" i="16"/>
  <c r="AB35" i="16"/>
  <c r="AC35" i="16"/>
  <c r="AD35" i="16"/>
  <c r="AE35" i="16"/>
  <c r="AF35" i="16"/>
  <c r="Z36" i="16"/>
  <c r="AA36" i="16"/>
  <c r="AB36" i="16"/>
  <c r="AC36" i="16"/>
  <c r="AD36" i="16"/>
  <c r="AE36" i="16"/>
  <c r="AF36" i="16"/>
  <c r="AF37" i="16"/>
  <c r="Z38" i="16"/>
  <c r="AA38" i="16"/>
  <c r="AB38" i="16"/>
  <c r="AC38" i="16"/>
  <c r="AD38" i="16"/>
  <c r="AE38" i="16"/>
  <c r="AF38" i="16"/>
  <c r="Z39" i="16"/>
  <c r="AA39" i="16"/>
  <c r="AB39" i="16"/>
  <c r="AC39" i="16"/>
  <c r="AD39" i="16"/>
  <c r="AE39" i="16"/>
  <c r="AF39" i="16"/>
  <c r="Z41" i="16"/>
  <c r="AA41" i="16"/>
  <c r="AB41" i="16"/>
  <c r="AC41" i="16"/>
  <c r="AD41" i="16"/>
  <c r="AE41" i="16"/>
  <c r="AF41" i="16"/>
  <c r="Z40" i="16"/>
  <c r="AA40" i="16"/>
  <c r="AB40" i="16"/>
  <c r="AC40" i="16"/>
  <c r="AD40" i="16"/>
  <c r="AE40" i="16"/>
  <c r="AF40" i="16"/>
  <c r="Z42" i="16"/>
  <c r="AA42" i="16"/>
  <c r="AB42" i="16"/>
  <c r="AC42" i="16"/>
  <c r="AD42" i="16"/>
  <c r="AE42" i="16"/>
  <c r="AF42" i="16"/>
  <c r="Y24" i="16"/>
  <c r="Y25" i="16"/>
  <c r="Y26" i="16"/>
  <c r="Y27" i="16"/>
  <c r="Y28" i="16"/>
  <c r="Y29" i="16"/>
  <c r="Y30" i="16"/>
  <c r="Y31" i="16"/>
  <c r="Y32" i="16"/>
  <c r="Y33" i="16"/>
  <c r="Y34" i="16"/>
  <c r="Y35" i="16"/>
  <c r="Y36" i="16"/>
  <c r="Y38" i="16"/>
  <c r="Y39" i="16"/>
  <c r="Y41" i="16"/>
  <c r="Y40" i="16"/>
  <c r="Y42" i="16"/>
  <c r="Y23" i="16"/>
  <c r="AE37" i="16" l="1"/>
  <c r="B739" i="20" l="1"/>
  <c r="F739" i="20"/>
  <c r="E739" i="20"/>
  <c r="D739" i="20"/>
  <c r="C739" i="20"/>
  <c r="G37" i="20"/>
  <c r="J37" i="20" s="1"/>
  <c r="I37" i="20"/>
  <c r="G38" i="20"/>
  <c r="J38" i="20" s="1"/>
  <c r="I38" i="20"/>
  <c r="G39" i="20"/>
  <c r="J39" i="20" s="1"/>
  <c r="I39" i="20"/>
  <c r="G40" i="20"/>
  <c r="J40" i="20" s="1"/>
  <c r="I40" i="20"/>
  <c r="G41" i="20"/>
  <c r="J41" i="20" s="1"/>
  <c r="I41" i="20"/>
  <c r="G42" i="20"/>
  <c r="J42" i="20" s="1"/>
  <c r="I42" i="20"/>
  <c r="G43" i="20"/>
  <c r="J43" i="20" s="1"/>
  <c r="I43" i="20"/>
  <c r="G44" i="20"/>
  <c r="J44" i="20" s="1"/>
  <c r="I44" i="20"/>
  <c r="G45" i="20"/>
  <c r="J45" i="20" s="1"/>
  <c r="I45" i="20"/>
  <c r="G46" i="20"/>
  <c r="J46" i="20" s="1"/>
  <c r="I46" i="20"/>
  <c r="G47" i="20"/>
  <c r="J47" i="20" s="1"/>
  <c r="I47" i="20"/>
  <c r="G48" i="20"/>
  <c r="J48" i="20" s="1"/>
  <c r="I48" i="20"/>
  <c r="G49" i="20"/>
  <c r="J49" i="20" s="1"/>
  <c r="I49" i="20"/>
  <c r="G50" i="20"/>
  <c r="J50" i="20" s="1"/>
  <c r="I50" i="20"/>
  <c r="G51" i="20"/>
  <c r="J51" i="20" s="1"/>
  <c r="I51" i="20"/>
  <c r="G52" i="20"/>
  <c r="J52" i="20" s="1"/>
  <c r="I52" i="20"/>
  <c r="G53" i="20"/>
  <c r="J53" i="20" s="1"/>
  <c r="I53" i="20"/>
  <c r="G54" i="20"/>
  <c r="J54" i="20" s="1"/>
  <c r="I54" i="20"/>
  <c r="G55" i="20"/>
  <c r="J55" i="20" s="1"/>
  <c r="I55" i="20"/>
  <c r="G56" i="20"/>
  <c r="J56" i="20" s="1"/>
  <c r="I56" i="20"/>
  <c r="G57" i="20"/>
  <c r="J57" i="20" s="1"/>
  <c r="I57" i="20"/>
  <c r="G58" i="20"/>
  <c r="J58" i="20" s="1"/>
  <c r="I58" i="20"/>
  <c r="G59" i="20"/>
  <c r="J59" i="20" s="1"/>
  <c r="I59" i="20"/>
  <c r="G60" i="20"/>
  <c r="J60" i="20" s="1"/>
  <c r="I60" i="20"/>
  <c r="G61" i="20"/>
  <c r="J61" i="20" s="1"/>
  <c r="I61" i="20"/>
  <c r="G62" i="20"/>
  <c r="J62" i="20" s="1"/>
  <c r="I62" i="20"/>
  <c r="G63" i="20"/>
  <c r="J63" i="20" s="1"/>
  <c r="I63" i="20"/>
  <c r="G64" i="20"/>
  <c r="J64" i="20" s="1"/>
  <c r="I64" i="20"/>
  <c r="G65" i="20"/>
  <c r="J65" i="20" s="1"/>
  <c r="I65" i="20"/>
  <c r="G66" i="20"/>
  <c r="J66" i="20" s="1"/>
  <c r="I66" i="20"/>
  <c r="G67" i="20"/>
  <c r="J67" i="20" s="1"/>
  <c r="I67" i="20"/>
  <c r="G68" i="20"/>
  <c r="J68" i="20" s="1"/>
  <c r="I68" i="20"/>
  <c r="G69" i="20"/>
  <c r="J69" i="20" s="1"/>
  <c r="I69" i="20"/>
  <c r="G70" i="20"/>
  <c r="J70" i="20" s="1"/>
  <c r="I70" i="20"/>
  <c r="G71" i="20"/>
  <c r="J71" i="20" s="1"/>
  <c r="I71" i="20"/>
  <c r="G72" i="20"/>
  <c r="J72" i="20" s="1"/>
  <c r="I72" i="20"/>
  <c r="G73" i="20"/>
  <c r="J73" i="20" s="1"/>
  <c r="I73" i="20"/>
  <c r="G74" i="20"/>
  <c r="J74" i="20" s="1"/>
  <c r="I74" i="20"/>
  <c r="G75" i="20"/>
  <c r="J75" i="20" s="1"/>
  <c r="I75" i="20"/>
  <c r="G76" i="20"/>
  <c r="J76" i="20" s="1"/>
  <c r="I76" i="20"/>
  <c r="G77" i="20"/>
  <c r="J77" i="20" s="1"/>
  <c r="I77" i="20"/>
  <c r="G78" i="20"/>
  <c r="J78" i="20" s="1"/>
  <c r="I78" i="20"/>
  <c r="G79" i="20"/>
  <c r="J79" i="20" s="1"/>
  <c r="I79" i="20"/>
  <c r="G80" i="20"/>
  <c r="J80" i="20" s="1"/>
  <c r="I80" i="20"/>
  <c r="G81" i="20"/>
  <c r="J81" i="20" s="1"/>
  <c r="I81" i="20"/>
  <c r="G82" i="20"/>
  <c r="J82" i="20" s="1"/>
  <c r="I82" i="20"/>
  <c r="G83" i="20"/>
  <c r="J83" i="20" s="1"/>
  <c r="I83" i="20"/>
  <c r="G84" i="20"/>
  <c r="J84" i="20" s="1"/>
  <c r="I84" i="20"/>
  <c r="G85" i="20"/>
  <c r="J85" i="20" s="1"/>
  <c r="I85" i="20"/>
  <c r="G86" i="20"/>
  <c r="J86" i="20" s="1"/>
  <c r="I86" i="20"/>
  <c r="G87" i="20"/>
  <c r="J87" i="20" s="1"/>
  <c r="I87" i="20"/>
  <c r="G88" i="20"/>
  <c r="J88" i="20" s="1"/>
  <c r="I88" i="20"/>
  <c r="G89" i="20"/>
  <c r="J89" i="20" s="1"/>
  <c r="I89" i="20"/>
  <c r="G90" i="20"/>
  <c r="J90" i="20" s="1"/>
  <c r="I90" i="20"/>
  <c r="G91" i="20"/>
  <c r="J91" i="20" s="1"/>
  <c r="I91" i="20"/>
  <c r="G92" i="20"/>
  <c r="J92" i="20" s="1"/>
  <c r="I92" i="20"/>
  <c r="G93" i="20"/>
  <c r="J93" i="20" s="1"/>
  <c r="I93" i="20"/>
  <c r="G94" i="20"/>
  <c r="J94" i="20" s="1"/>
  <c r="I94" i="20"/>
  <c r="G95" i="20"/>
  <c r="J95" i="20" s="1"/>
  <c r="I95" i="20"/>
  <c r="G96" i="20"/>
  <c r="J96" i="20" s="1"/>
  <c r="I96" i="20"/>
  <c r="G97" i="20"/>
  <c r="J97" i="20" s="1"/>
  <c r="I97" i="20"/>
  <c r="G98" i="20"/>
  <c r="J98" i="20" s="1"/>
  <c r="I98" i="20"/>
  <c r="G99" i="20"/>
  <c r="J99" i="20" s="1"/>
  <c r="I99" i="20"/>
  <c r="G100" i="20"/>
  <c r="J100" i="20" s="1"/>
  <c r="I100" i="20"/>
  <c r="G101" i="20"/>
  <c r="J101" i="20" s="1"/>
  <c r="I101" i="20"/>
  <c r="G102" i="20"/>
  <c r="J102" i="20" s="1"/>
  <c r="I102" i="20"/>
  <c r="G103" i="20"/>
  <c r="J103" i="20" s="1"/>
  <c r="I103" i="20"/>
  <c r="G104" i="20"/>
  <c r="J104" i="20" s="1"/>
  <c r="I104" i="20"/>
  <c r="G105" i="20"/>
  <c r="J105" i="20" s="1"/>
  <c r="I105" i="20"/>
  <c r="G106" i="20"/>
  <c r="J106" i="20" s="1"/>
  <c r="I106" i="20"/>
  <c r="G107" i="20"/>
  <c r="J107" i="20" s="1"/>
  <c r="I107" i="20"/>
  <c r="G108" i="20"/>
  <c r="J108" i="20" s="1"/>
  <c r="I108" i="20"/>
  <c r="G109" i="20"/>
  <c r="J109" i="20" s="1"/>
  <c r="I109" i="20"/>
  <c r="G110" i="20"/>
  <c r="J110" i="20" s="1"/>
  <c r="I110" i="20"/>
  <c r="G111" i="20"/>
  <c r="J111" i="20" s="1"/>
  <c r="I111" i="20"/>
  <c r="G112" i="20"/>
  <c r="J112" i="20" s="1"/>
  <c r="I112" i="20"/>
  <c r="G113" i="20"/>
  <c r="J113" i="20" s="1"/>
  <c r="I113" i="20"/>
  <c r="G114" i="20"/>
  <c r="J114" i="20" s="1"/>
  <c r="I114" i="20"/>
  <c r="G115" i="20"/>
  <c r="J115" i="20" s="1"/>
  <c r="I115" i="20"/>
  <c r="G116" i="20"/>
  <c r="J116" i="20" s="1"/>
  <c r="I116" i="20"/>
  <c r="G117" i="20"/>
  <c r="J117" i="20" s="1"/>
  <c r="I117" i="20"/>
  <c r="G118" i="20"/>
  <c r="J118" i="20" s="1"/>
  <c r="I118" i="20"/>
  <c r="G119" i="20"/>
  <c r="J119" i="20" s="1"/>
  <c r="I119" i="20"/>
  <c r="G120" i="20"/>
  <c r="J120" i="20" s="1"/>
  <c r="I120" i="20"/>
  <c r="G121" i="20"/>
  <c r="J121" i="20" s="1"/>
  <c r="I121" i="20"/>
  <c r="G122" i="20"/>
  <c r="J122" i="20" s="1"/>
  <c r="I122" i="20"/>
  <c r="G123" i="20"/>
  <c r="J123" i="20" s="1"/>
  <c r="I123" i="20"/>
  <c r="G124" i="20"/>
  <c r="J124" i="20" s="1"/>
  <c r="I124" i="20"/>
  <c r="G125" i="20"/>
  <c r="J125" i="20" s="1"/>
  <c r="I125" i="20"/>
  <c r="G126" i="20"/>
  <c r="J126" i="20" s="1"/>
  <c r="I126" i="20"/>
  <c r="G127" i="20"/>
  <c r="J127" i="20" s="1"/>
  <c r="I127" i="20"/>
  <c r="G128" i="20"/>
  <c r="J128" i="20" s="1"/>
  <c r="I128" i="20"/>
  <c r="G129" i="20"/>
  <c r="J129" i="20" s="1"/>
  <c r="I129" i="20"/>
  <c r="G130" i="20"/>
  <c r="J130" i="20" s="1"/>
  <c r="I130" i="20"/>
  <c r="G131" i="20"/>
  <c r="J131" i="20" s="1"/>
  <c r="I131" i="20"/>
  <c r="G132" i="20"/>
  <c r="J132" i="20" s="1"/>
  <c r="I132" i="20"/>
  <c r="G133" i="20"/>
  <c r="J133" i="20" s="1"/>
  <c r="I133" i="20"/>
  <c r="G134" i="20"/>
  <c r="J134" i="20" s="1"/>
  <c r="I134" i="20"/>
  <c r="G135" i="20"/>
  <c r="J135" i="20" s="1"/>
  <c r="I135" i="20"/>
  <c r="G136" i="20"/>
  <c r="J136" i="20" s="1"/>
  <c r="I136" i="20"/>
  <c r="G137" i="20"/>
  <c r="J137" i="20" s="1"/>
  <c r="I137" i="20"/>
  <c r="G138" i="20"/>
  <c r="J138" i="20" s="1"/>
  <c r="I138" i="20"/>
  <c r="G139" i="20"/>
  <c r="J139" i="20" s="1"/>
  <c r="I139" i="20"/>
  <c r="G140" i="20"/>
  <c r="J140" i="20" s="1"/>
  <c r="I140" i="20"/>
  <c r="G141" i="20"/>
  <c r="J141" i="20" s="1"/>
  <c r="I141" i="20"/>
  <c r="G142" i="20"/>
  <c r="J142" i="20" s="1"/>
  <c r="I142" i="20"/>
  <c r="G143" i="20"/>
  <c r="J143" i="20" s="1"/>
  <c r="I143" i="20"/>
  <c r="G144" i="20"/>
  <c r="J144" i="20" s="1"/>
  <c r="I144" i="20"/>
  <c r="G145" i="20"/>
  <c r="J145" i="20" s="1"/>
  <c r="I145" i="20"/>
  <c r="G146" i="20"/>
  <c r="J146" i="20" s="1"/>
  <c r="I146" i="20"/>
  <c r="G147" i="20"/>
  <c r="J147" i="20" s="1"/>
  <c r="I147" i="20"/>
  <c r="G148" i="20"/>
  <c r="J148" i="20" s="1"/>
  <c r="I148" i="20"/>
  <c r="G149" i="20"/>
  <c r="J149" i="20" s="1"/>
  <c r="I149" i="20"/>
  <c r="G150" i="20"/>
  <c r="J150" i="20" s="1"/>
  <c r="I150" i="20"/>
  <c r="G151" i="20"/>
  <c r="J151" i="20" s="1"/>
  <c r="I151" i="20"/>
  <c r="G152" i="20"/>
  <c r="J152" i="20" s="1"/>
  <c r="I152" i="20"/>
  <c r="G153" i="20"/>
  <c r="J153" i="20" s="1"/>
  <c r="I153" i="20"/>
  <c r="G154" i="20"/>
  <c r="J154" i="20" s="1"/>
  <c r="I154" i="20"/>
  <c r="G155" i="20"/>
  <c r="J155" i="20" s="1"/>
  <c r="I155" i="20"/>
  <c r="G156" i="20"/>
  <c r="J156" i="20" s="1"/>
  <c r="I156" i="20"/>
  <c r="G157" i="20"/>
  <c r="J157" i="20" s="1"/>
  <c r="I157" i="20"/>
  <c r="G158" i="20"/>
  <c r="J158" i="20" s="1"/>
  <c r="I158" i="20"/>
  <c r="G159" i="20"/>
  <c r="J159" i="20" s="1"/>
  <c r="I159" i="20"/>
  <c r="G160" i="20"/>
  <c r="J160" i="20" s="1"/>
  <c r="I160" i="20"/>
  <c r="G161" i="20"/>
  <c r="J161" i="20" s="1"/>
  <c r="I161" i="20"/>
  <c r="G162" i="20"/>
  <c r="J162" i="20" s="1"/>
  <c r="I162" i="20"/>
  <c r="G163" i="20"/>
  <c r="J163" i="20" s="1"/>
  <c r="I163" i="20"/>
  <c r="G164" i="20"/>
  <c r="J164" i="20" s="1"/>
  <c r="I164" i="20"/>
  <c r="G165" i="20"/>
  <c r="J165" i="20" s="1"/>
  <c r="I165" i="20"/>
  <c r="G166" i="20"/>
  <c r="J166" i="20" s="1"/>
  <c r="I166" i="20"/>
  <c r="G167" i="20"/>
  <c r="J167" i="20" s="1"/>
  <c r="I167" i="20"/>
  <c r="G168" i="20"/>
  <c r="J168" i="20" s="1"/>
  <c r="I168" i="20"/>
  <c r="G169" i="20"/>
  <c r="J169" i="20" s="1"/>
  <c r="I169" i="20"/>
  <c r="G170" i="20"/>
  <c r="J170" i="20" s="1"/>
  <c r="I170" i="20"/>
  <c r="G171" i="20"/>
  <c r="J171" i="20" s="1"/>
  <c r="I171" i="20"/>
  <c r="G172" i="20"/>
  <c r="J172" i="20" s="1"/>
  <c r="I172" i="20"/>
  <c r="G173" i="20"/>
  <c r="J173" i="20" s="1"/>
  <c r="I173" i="20"/>
  <c r="G174" i="20"/>
  <c r="J174" i="20" s="1"/>
  <c r="I174" i="20"/>
  <c r="G175" i="20"/>
  <c r="J175" i="20" s="1"/>
  <c r="I175" i="20"/>
  <c r="G176" i="20"/>
  <c r="J176" i="20" s="1"/>
  <c r="I176" i="20"/>
  <c r="G177" i="20"/>
  <c r="J177" i="20" s="1"/>
  <c r="I177" i="20"/>
  <c r="G178" i="20"/>
  <c r="J178" i="20" s="1"/>
  <c r="I178" i="20"/>
  <c r="G179" i="20"/>
  <c r="J179" i="20" s="1"/>
  <c r="I179" i="20"/>
  <c r="G180" i="20"/>
  <c r="J180" i="20" s="1"/>
  <c r="I180" i="20"/>
  <c r="G181" i="20"/>
  <c r="J181" i="20" s="1"/>
  <c r="I181" i="20"/>
  <c r="G182" i="20"/>
  <c r="J182" i="20" s="1"/>
  <c r="I182" i="20"/>
  <c r="G183" i="20"/>
  <c r="J183" i="20" s="1"/>
  <c r="I183" i="20"/>
  <c r="G184" i="20"/>
  <c r="J184" i="20" s="1"/>
  <c r="I184" i="20"/>
  <c r="G185" i="20"/>
  <c r="J185" i="20" s="1"/>
  <c r="I185" i="20"/>
  <c r="G186" i="20"/>
  <c r="J186" i="20" s="1"/>
  <c r="I186" i="20"/>
  <c r="G187" i="20"/>
  <c r="J187" i="20" s="1"/>
  <c r="I187" i="20"/>
  <c r="G188" i="20"/>
  <c r="J188" i="20" s="1"/>
  <c r="I188" i="20"/>
  <c r="G189" i="20"/>
  <c r="J189" i="20" s="1"/>
  <c r="I189" i="20"/>
  <c r="G190" i="20"/>
  <c r="J190" i="20" s="1"/>
  <c r="I190" i="20"/>
  <c r="G191" i="20"/>
  <c r="J191" i="20" s="1"/>
  <c r="I191" i="20"/>
  <c r="G192" i="20"/>
  <c r="J192" i="20" s="1"/>
  <c r="I192" i="20"/>
  <c r="G193" i="20"/>
  <c r="J193" i="20" s="1"/>
  <c r="I193" i="20"/>
  <c r="G194" i="20"/>
  <c r="J194" i="20" s="1"/>
  <c r="I194" i="20"/>
  <c r="G195" i="20"/>
  <c r="J195" i="20" s="1"/>
  <c r="I195" i="20"/>
  <c r="G196" i="20"/>
  <c r="J196" i="20" s="1"/>
  <c r="I196" i="20"/>
  <c r="G197" i="20"/>
  <c r="J197" i="20" s="1"/>
  <c r="I197" i="20"/>
  <c r="G198" i="20"/>
  <c r="J198" i="20" s="1"/>
  <c r="I198" i="20"/>
  <c r="G199" i="20"/>
  <c r="J199" i="20" s="1"/>
  <c r="I199" i="20"/>
  <c r="G200" i="20"/>
  <c r="J200" i="20" s="1"/>
  <c r="I200" i="20"/>
  <c r="G201" i="20"/>
  <c r="J201" i="20" s="1"/>
  <c r="I201" i="20"/>
  <c r="G202" i="20"/>
  <c r="J202" i="20" s="1"/>
  <c r="I202" i="20"/>
  <c r="G203" i="20"/>
  <c r="J203" i="20" s="1"/>
  <c r="I203" i="20"/>
  <c r="G204" i="20"/>
  <c r="J204" i="20" s="1"/>
  <c r="I204" i="20"/>
  <c r="G205" i="20"/>
  <c r="J205" i="20" s="1"/>
  <c r="I205" i="20"/>
  <c r="G206" i="20"/>
  <c r="J206" i="20" s="1"/>
  <c r="I206" i="20"/>
  <c r="G207" i="20"/>
  <c r="J207" i="20" s="1"/>
  <c r="I207" i="20"/>
  <c r="G208" i="20"/>
  <c r="J208" i="20" s="1"/>
  <c r="I208" i="20"/>
  <c r="G209" i="20"/>
  <c r="J209" i="20" s="1"/>
  <c r="I209" i="20"/>
  <c r="G210" i="20"/>
  <c r="J210" i="20" s="1"/>
  <c r="I210" i="20"/>
  <c r="G211" i="20"/>
  <c r="J211" i="20" s="1"/>
  <c r="I211" i="20"/>
  <c r="G212" i="20"/>
  <c r="J212" i="20" s="1"/>
  <c r="I212" i="20"/>
  <c r="G213" i="20"/>
  <c r="J213" i="20" s="1"/>
  <c r="I213" i="20"/>
  <c r="G214" i="20"/>
  <c r="J214" i="20" s="1"/>
  <c r="I214" i="20"/>
  <c r="G215" i="20"/>
  <c r="J215" i="20" s="1"/>
  <c r="I215" i="20"/>
  <c r="G216" i="20"/>
  <c r="J216" i="20" s="1"/>
  <c r="I216" i="20"/>
  <c r="G217" i="20"/>
  <c r="J217" i="20" s="1"/>
  <c r="I217" i="20"/>
  <c r="G218" i="20"/>
  <c r="J218" i="20" s="1"/>
  <c r="I218" i="20"/>
  <c r="G219" i="20"/>
  <c r="J219" i="20" s="1"/>
  <c r="I219" i="20"/>
  <c r="G220" i="20"/>
  <c r="J220" i="20" s="1"/>
  <c r="I220" i="20"/>
  <c r="G221" i="20"/>
  <c r="J221" i="20" s="1"/>
  <c r="I221" i="20"/>
  <c r="G222" i="20"/>
  <c r="J222" i="20" s="1"/>
  <c r="I222" i="20"/>
  <c r="G223" i="20"/>
  <c r="J223" i="20" s="1"/>
  <c r="I223" i="20"/>
  <c r="G224" i="20"/>
  <c r="J224" i="20" s="1"/>
  <c r="I224" i="20"/>
  <c r="G225" i="20"/>
  <c r="J225" i="20" s="1"/>
  <c r="I225" i="20"/>
  <c r="G226" i="20"/>
  <c r="J226" i="20" s="1"/>
  <c r="I226" i="20"/>
  <c r="G227" i="20"/>
  <c r="J227" i="20" s="1"/>
  <c r="I227" i="20"/>
  <c r="G228" i="20"/>
  <c r="J228" i="20" s="1"/>
  <c r="I228" i="20"/>
  <c r="G229" i="20"/>
  <c r="J229" i="20" s="1"/>
  <c r="I229" i="20"/>
  <c r="G230" i="20"/>
  <c r="J230" i="20" s="1"/>
  <c r="I230" i="20"/>
  <c r="G231" i="20"/>
  <c r="J231" i="20" s="1"/>
  <c r="I231" i="20"/>
  <c r="G232" i="20"/>
  <c r="J232" i="20" s="1"/>
  <c r="I232" i="20"/>
  <c r="G233" i="20"/>
  <c r="J233" i="20" s="1"/>
  <c r="I233" i="20"/>
  <c r="G234" i="20"/>
  <c r="J234" i="20" s="1"/>
  <c r="I234" i="20"/>
  <c r="G235" i="20"/>
  <c r="J235" i="20" s="1"/>
  <c r="I235" i="20"/>
  <c r="G236" i="20"/>
  <c r="J236" i="20" s="1"/>
  <c r="I236" i="20"/>
  <c r="G237" i="20"/>
  <c r="J237" i="20" s="1"/>
  <c r="I237" i="20"/>
  <c r="G238" i="20"/>
  <c r="J238" i="20" s="1"/>
  <c r="I238" i="20"/>
  <c r="G239" i="20"/>
  <c r="J239" i="20" s="1"/>
  <c r="I239" i="20"/>
  <c r="G240" i="20"/>
  <c r="J240" i="20" s="1"/>
  <c r="I240" i="20"/>
  <c r="G241" i="20"/>
  <c r="J241" i="20" s="1"/>
  <c r="I241" i="20"/>
  <c r="G242" i="20"/>
  <c r="J242" i="20" s="1"/>
  <c r="I242" i="20"/>
  <c r="G243" i="20"/>
  <c r="J243" i="20" s="1"/>
  <c r="I243" i="20"/>
  <c r="G244" i="20"/>
  <c r="J244" i="20" s="1"/>
  <c r="I244" i="20"/>
  <c r="G245" i="20"/>
  <c r="J245" i="20" s="1"/>
  <c r="I245" i="20"/>
  <c r="G246" i="20"/>
  <c r="J246" i="20" s="1"/>
  <c r="I246" i="20"/>
  <c r="G247" i="20"/>
  <c r="J247" i="20" s="1"/>
  <c r="I247" i="20"/>
  <c r="G248" i="20"/>
  <c r="J248" i="20" s="1"/>
  <c r="I248" i="20"/>
  <c r="G249" i="20"/>
  <c r="J249" i="20" s="1"/>
  <c r="I249" i="20"/>
  <c r="G250" i="20"/>
  <c r="J250" i="20" s="1"/>
  <c r="I250" i="20"/>
  <c r="G251" i="20"/>
  <c r="J251" i="20" s="1"/>
  <c r="I251" i="20"/>
  <c r="G252" i="20"/>
  <c r="J252" i="20" s="1"/>
  <c r="I252" i="20"/>
  <c r="G253" i="20"/>
  <c r="J253" i="20" s="1"/>
  <c r="I253" i="20"/>
  <c r="G254" i="20"/>
  <c r="J254" i="20" s="1"/>
  <c r="I254" i="20"/>
  <c r="G255" i="20"/>
  <c r="J255" i="20" s="1"/>
  <c r="I255" i="20"/>
  <c r="G256" i="20"/>
  <c r="J256" i="20" s="1"/>
  <c r="I256" i="20"/>
  <c r="G257" i="20"/>
  <c r="J257" i="20" s="1"/>
  <c r="I257" i="20"/>
  <c r="G258" i="20"/>
  <c r="J258" i="20" s="1"/>
  <c r="I258" i="20"/>
  <c r="G259" i="20"/>
  <c r="J259" i="20" s="1"/>
  <c r="I259" i="20"/>
  <c r="G260" i="20"/>
  <c r="J260" i="20" s="1"/>
  <c r="I260" i="20"/>
  <c r="G261" i="20"/>
  <c r="J261" i="20" s="1"/>
  <c r="I261" i="20"/>
  <c r="G262" i="20"/>
  <c r="J262" i="20" s="1"/>
  <c r="I262" i="20"/>
  <c r="G263" i="20"/>
  <c r="J263" i="20" s="1"/>
  <c r="I263" i="20"/>
  <c r="G264" i="20"/>
  <c r="J264" i="20" s="1"/>
  <c r="I264" i="20"/>
  <c r="G265" i="20"/>
  <c r="J265" i="20" s="1"/>
  <c r="I265" i="20"/>
  <c r="G266" i="20"/>
  <c r="J266" i="20" s="1"/>
  <c r="I266" i="20"/>
  <c r="G267" i="20"/>
  <c r="J267" i="20" s="1"/>
  <c r="I267" i="20"/>
  <c r="G268" i="20"/>
  <c r="J268" i="20" s="1"/>
  <c r="I268" i="20"/>
  <c r="G269" i="20"/>
  <c r="J269" i="20" s="1"/>
  <c r="I269" i="20"/>
  <c r="G270" i="20"/>
  <c r="J270" i="20" s="1"/>
  <c r="I270" i="20"/>
  <c r="G271" i="20"/>
  <c r="J271" i="20" s="1"/>
  <c r="I271" i="20"/>
  <c r="G272" i="20"/>
  <c r="J272" i="20" s="1"/>
  <c r="I272" i="20"/>
  <c r="G273" i="20"/>
  <c r="J273" i="20" s="1"/>
  <c r="I273" i="20"/>
  <c r="G274" i="20"/>
  <c r="J274" i="20" s="1"/>
  <c r="I274" i="20"/>
  <c r="G275" i="20"/>
  <c r="J275" i="20" s="1"/>
  <c r="I275" i="20"/>
  <c r="G276" i="20"/>
  <c r="J276" i="20" s="1"/>
  <c r="I276" i="20"/>
  <c r="G277" i="20"/>
  <c r="J277" i="20" s="1"/>
  <c r="I277" i="20"/>
  <c r="G278" i="20"/>
  <c r="J278" i="20" s="1"/>
  <c r="I278" i="20"/>
  <c r="G279" i="20"/>
  <c r="J279" i="20" s="1"/>
  <c r="I279" i="20"/>
  <c r="G280" i="20"/>
  <c r="J280" i="20" s="1"/>
  <c r="I280" i="20"/>
  <c r="G281" i="20"/>
  <c r="J281" i="20" s="1"/>
  <c r="I281" i="20"/>
  <c r="G282" i="20"/>
  <c r="J282" i="20" s="1"/>
  <c r="I282" i="20"/>
  <c r="G283" i="20"/>
  <c r="J283" i="20" s="1"/>
  <c r="I283" i="20"/>
  <c r="G284" i="20"/>
  <c r="J284" i="20" s="1"/>
  <c r="I284" i="20"/>
  <c r="G285" i="20"/>
  <c r="J285" i="20" s="1"/>
  <c r="I285" i="20"/>
  <c r="G286" i="20"/>
  <c r="J286" i="20" s="1"/>
  <c r="I286" i="20"/>
  <c r="G287" i="20"/>
  <c r="J287" i="20" s="1"/>
  <c r="I287" i="20"/>
  <c r="G288" i="20"/>
  <c r="J288" i="20" s="1"/>
  <c r="I288" i="20"/>
  <c r="G289" i="20"/>
  <c r="J289" i="20" s="1"/>
  <c r="I289" i="20"/>
  <c r="G290" i="20"/>
  <c r="J290" i="20" s="1"/>
  <c r="I290" i="20"/>
  <c r="G291" i="20"/>
  <c r="J291" i="20" s="1"/>
  <c r="I291" i="20"/>
  <c r="G292" i="20"/>
  <c r="J292" i="20" s="1"/>
  <c r="I292" i="20"/>
  <c r="G293" i="20"/>
  <c r="J293" i="20" s="1"/>
  <c r="I293" i="20"/>
  <c r="G294" i="20"/>
  <c r="J294" i="20" s="1"/>
  <c r="I294" i="20"/>
  <c r="G295" i="20"/>
  <c r="J295" i="20" s="1"/>
  <c r="I295" i="20"/>
  <c r="G296" i="20"/>
  <c r="J296" i="20" s="1"/>
  <c r="I296" i="20"/>
  <c r="G297" i="20"/>
  <c r="J297" i="20" s="1"/>
  <c r="I297" i="20"/>
  <c r="G298" i="20"/>
  <c r="J298" i="20" s="1"/>
  <c r="I298" i="20"/>
  <c r="G299" i="20"/>
  <c r="J299" i="20" s="1"/>
  <c r="I299" i="20"/>
  <c r="G300" i="20"/>
  <c r="J300" i="20" s="1"/>
  <c r="I300" i="20"/>
  <c r="G301" i="20"/>
  <c r="J301" i="20" s="1"/>
  <c r="I301" i="20"/>
  <c r="G302" i="20"/>
  <c r="J302" i="20" s="1"/>
  <c r="I302" i="20"/>
  <c r="G303" i="20"/>
  <c r="J303" i="20" s="1"/>
  <c r="I303" i="20"/>
  <c r="G304" i="20"/>
  <c r="J304" i="20" s="1"/>
  <c r="I304" i="20"/>
  <c r="G305" i="20"/>
  <c r="J305" i="20" s="1"/>
  <c r="I305" i="20"/>
  <c r="G306" i="20"/>
  <c r="J306" i="20" s="1"/>
  <c r="I306" i="20"/>
  <c r="G307" i="20"/>
  <c r="J307" i="20" s="1"/>
  <c r="I307" i="20"/>
  <c r="G308" i="20"/>
  <c r="J308" i="20" s="1"/>
  <c r="I308" i="20"/>
  <c r="G309" i="20"/>
  <c r="J309" i="20" s="1"/>
  <c r="I309" i="20"/>
  <c r="G310" i="20"/>
  <c r="J310" i="20" s="1"/>
  <c r="I310" i="20"/>
  <c r="G311" i="20"/>
  <c r="J311" i="20" s="1"/>
  <c r="I311" i="20"/>
  <c r="G312" i="20"/>
  <c r="J312" i="20" s="1"/>
  <c r="I312" i="20"/>
  <c r="G313" i="20"/>
  <c r="J313" i="20" s="1"/>
  <c r="I313" i="20"/>
  <c r="G314" i="20"/>
  <c r="J314" i="20" s="1"/>
  <c r="I314" i="20"/>
  <c r="G315" i="20"/>
  <c r="J315" i="20" s="1"/>
  <c r="I315" i="20"/>
  <c r="G316" i="20"/>
  <c r="J316" i="20" s="1"/>
  <c r="I316" i="20"/>
  <c r="G317" i="20"/>
  <c r="J317" i="20" s="1"/>
  <c r="I317" i="20"/>
  <c r="G318" i="20"/>
  <c r="J318" i="20" s="1"/>
  <c r="I318" i="20"/>
  <c r="G319" i="20"/>
  <c r="J319" i="20" s="1"/>
  <c r="I319" i="20"/>
  <c r="G320" i="20"/>
  <c r="J320" i="20" s="1"/>
  <c r="I320" i="20"/>
  <c r="G321" i="20"/>
  <c r="J321" i="20" s="1"/>
  <c r="I321" i="20"/>
  <c r="G322" i="20"/>
  <c r="J322" i="20" s="1"/>
  <c r="I322" i="20"/>
  <c r="G323" i="20"/>
  <c r="J323" i="20" s="1"/>
  <c r="I323" i="20"/>
  <c r="G324" i="20"/>
  <c r="J324" i="20" s="1"/>
  <c r="I324" i="20"/>
  <c r="G325" i="20"/>
  <c r="J325" i="20" s="1"/>
  <c r="I325" i="20"/>
  <c r="G326" i="20"/>
  <c r="J326" i="20" s="1"/>
  <c r="I326" i="20"/>
  <c r="G327" i="20"/>
  <c r="J327" i="20" s="1"/>
  <c r="I327" i="20"/>
  <c r="G328" i="20"/>
  <c r="J328" i="20" s="1"/>
  <c r="I328" i="20"/>
  <c r="G329" i="20"/>
  <c r="J329" i="20" s="1"/>
  <c r="I329" i="20"/>
  <c r="G330" i="20"/>
  <c r="J330" i="20" s="1"/>
  <c r="I330" i="20"/>
  <c r="G331" i="20"/>
  <c r="J331" i="20" s="1"/>
  <c r="I331" i="20"/>
  <c r="G332" i="20"/>
  <c r="J332" i="20" s="1"/>
  <c r="I332" i="20"/>
  <c r="G333" i="20"/>
  <c r="J333" i="20" s="1"/>
  <c r="I333" i="20"/>
  <c r="G334" i="20"/>
  <c r="J334" i="20" s="1"/>
  <c r="I334" i="20"/>
  <c r="G335" i="20"/>
  <c r="J335" i="20" s="1"/>
  <c r="I335" i="20"/>
  <c r="G336" i="20"/>
  <c r="J336" i="20" s="1"/>
  <c r="I336" i="20"/>
  <c r="G337" i="20"/>
  <c r="J337" i="20" s="1"/>
  <c r="I337" i="20"/>
  <c r="G338" i="20"/>
  <c r="J338" i="20" s="1"/>
  <c r="I338" i="20"/>
  <c r="G339" i="20"/>
  <c r="J339" i="20" s="1"/>
  <c r="I339" i="20"/>
  <c r="G340" i="20"/>
  <c r="J340" i="20" s="1"/>
  <c r="I340" i="20"/>
  <c r="G341" i="20"/>
  <c r="J341" i="20" s="1"/>
  <c r="I341" i="20"/>
  <c r="G342" i="20"/>
  <c r="J342" i="20" s="1"/>
  <c r="I342" i="20"/>
  <c r="G343" i="20"/>
  <c r="J343" i="20" s="1"/>
  <c r="I343" i="20"/>
  <c r="G344" i="20"/>
  <c r="J344" i="20" s="1"/>
  <c r="I344" i="20"/>
  <c r="G345" i="20"/>
  <c r="J345" i="20" s="1"/>
  <c r="I345" i="20"/>
  <c r="G346" i="20"/>
  <c r="J346" i="20" s="1"/>
  <c r="I346" i="20"/>
  <c r="G347" i="20"/>
  <c r="J347" i="20" s="1"/>
  <c r="I347" i="20"/>
  <c r="G348" i="20"/>
  <c r="J348" i="20" s="1"/>
  <c r="I348" i="20"/>
  <c r="G349" i="20"/>
  <c r="J349" i="20" s="1"/>
  <c r="I349" i="20"/>
  <c r="G350" i="20"/>
  <c r="J350" i="20" s="1"/>
  <c r="I350" i="20"/>
  <c r="G351" i="20"/>
  <c r="J351" i="20" s="1"/>
  <c r="I351" i="20"/>
  <c r="G352" i="20"/>
  <c r="J352" i="20" s="1"/>
  <c r="I352" i="20"/>
  <c r="G353" i="20"/>
  <c r="J353" i="20" s="1"/>
  <c r="I353" i="20"/>
  <c r="G354" i="20"/>
  <c r="J354" i="20" s="1"/>
  <c r="I354" i="20"/>
  <c r="G355" i="20"/>
  <c r="J355" i="20" s="1"/>
  <c r="I355" i="20"/>
  <c r="G356" i="20"/>
  <c r="J356" i="20" s="1"/>
  <c r="I356" i="20"/>
  <c r="G357" i="20"/>
  <c r="J357" i="20" s="1"/>
  <c r="I357" i="20"/>
  <c r="G358" i="20"/>
  <c r="J358" i="20" s="1"/>
  <c r="I358" i="20"/>
  <c r="G359" i="20"/>
  <c r="J359" i="20" s="1"/>
  <c r="I359" i="20"/>
  <c r="G360" i="20"/>
  <c r="J360" i="20" s="1"/>
  <c r="I360" i="20"/>
  <c r="G361" i="20"/>
  <c r="J361" i="20" s="1"/>
  <c r="I361" i="20"/>
  <c r="G362" i="20"/>
  <c r="J362" i="20" s="1"/>
  <c r="I362" i="20"/>
  <c r="G363" i="20"/>
  <c r="J363" i="20" s="1"/>
  <c r="I363" i="20"/>
  <c r="G364" i="20"/>
  <c r="J364" i="20" s="1"/>
  <c r="I364" i="20"/>
  <c r="G365" i="20"/>
  <c r="J365" i="20" s="1"/>
  <c r="I365" i="20"/>
  <c r="G366" i="20"/>
  <c r="J366" i="20" s="1"/>
  <c r="I366" i="20"/>
  <c r="G367" i="20"/>
  <c r="J367" i="20" s="1"/>
  <c r="I367" i="20"/>
  <c r="G368" i="20"/>
  <c r="J368" i="20" s="1"/>
  <c r="I368" i="20"/>
  <c r="G369" i="20"/>
  <c r="J369" i="20" s="1"/>
  <c r="I369" i="20"/>
  <c r="G370" i="20"/>
  <c r="J370" i="20" s="1"/>
  <c r="I370" i="20"/>
  <c r="G371" i="20"/>
  <c r="J371" i="20" s="1"/>
  <c r="I371" i="20"/>
  <c r="G372" i="20"/>
  <c r="J372" i="20" s="1"/>
  <c r="I372" i="20"/>
  <c r="G373" i="20"/>
  <c r="J373" i="20" s="1"/>
  <c r="I373" i="20"/>
  <c r="G374" i="20"/>
  <c r="J374" i="20" s="1"/>
  <c r="I374" i="20"/>
  <c r="G375" i="20"/>
  <c r="J375" i="20" s="1"/>
  <c r="I375" i="20"/>
  <c r="G376" i="20"/>
  <c r="J376" i="20" s="1"/>
  <c r="I376" i="20"/>
  <c r="G377" i="20"/>
  <c r="J377" i="20" s="1"/>
  <c r="I377" i="20"/>
  <c r="G378" i="20"/>
  <c r="J378" i="20" s="1"/>
  <c r="I378" i="20"/>
  <c r="G379" i="20"/>
  <c r="J379" i="20" s="1"/>
  <c r="I379" i="20"/>
  <c r="G380" i="20"/>
  <c r="J380" i="20" s="1"/>
  <c r="I380" i="20"/>
  <c r="G381" i="20"/>
  <c r="J381" i="20" s="1"/>
  <c r="I381" i="20"/>
  <c r="G382" i="20"/>
  <c r="J382" i="20" s="1"/>
  <c r="I382" i="20"/>
  <c r="G383" i="20"/>
  <c r="J383" i="20" s="1"/>
  <c r="I383" i="20"/>
  <c r="G384" i="20"/>
  <c r="J384" i="20" s="1"/>
  <c r="I384" i="20"/>
  <c r="G385" i="20"/>
  <c r="J385" i="20" s="1"/>
  <c r="I385" i="20"/>
  <c r="G386" i="20"/>
  <c r="J386" i="20" s="1"/>
  <c r="I386" i="20"/>
  <c r="G387" i="20"/>
  <c r="J387" i="20" s="1"/>
  <c r="I387" i="20"/>
  <c r="G388" i="20"/>
  <c r="J388" i="20" s="1"/>
  <c r="I388" i="20"/>
  <c r="G389" i="20"/>
  <c r="J389" i="20" s="1"/>
  <c r="I389" i="20"/>
  <c r="G390" i="20"/>
  <c r="J390" i="20" s="1"/>
  <c r="I390" i="20"/>
  <c r="G391" i="20"/>
  <c r="J391" i="20" s="1"/>
  <c r="I391" i="20"/>
  <c r="G392" i="20"/>
  <c r="J392" i="20" s="1"/>
  <c r="I392" i="20"/>
  <c r="G393" i="20"/>
  <c r="J393" i="20" s="1"/>
  <c r="I393" i="20"/>
  <c r="G394" i="20"/>
  <c r="J394" i="20" s="1"/>
  <c r="I394" i="20"/>
  <c r="G395" i="20"/>
  <c r="J395" i="20" s="1"/>
  <c r="I395" i="20"/>
  <c r="G396" i="20"/>
  <c r="J396" i="20" s="1"/>
  <c r="I396" i="20"/>
  <c r="G397" i="20"/>
  <c r="J397" i="20" s="1"/>
  <c r="I397" i="20"/>
  <c r="G398" i="20"/>
  <c r="J398" i="20" s="1"/>
  <c r="I398" i="20"/>
  <c r="G399" i="20"/>
  <c r="J399" i="20" s="1"/>
  <c r="I399" i="20"/>
  <c r="G400" i="20"/>
  <c r="J400" i="20" s="1"/>
  <c r="I400" i="20"/>
  <c r="G401" i="20"/>
  <c r="J401" i="20" s="1"/>
  <c r="I401" i="20"/>
  <c r="G402" i="20"/>
  <c r="J402" i="20" s="1"/>
  <c r="I402" i="20"/>
  <c r="G403" i="20"/>
  <c r="J403" i="20" s="1"/>
  <c r="I403" i="20"/>
  <c r="G404" i="20"/>
  <c r="J404" i="20" s="1"/>
  <c r="I404" i="20"/>
  <c r="G405" i="20"/>
  <c r="J405" i="20" s="1"/>
  <c r="I405" i="20"/>
  <c r="G406" i="20"/>
  <c r="J406" i="20" s="1"/>
  <c r="I406" i="20"/>
  <c r="G407" i="20"/>
  <c r="J407" i="20" s="1"/>
  <c r="I407" i="20"/>
  <c r="G408" i="20"/>
  <c r="J408" i="20" s="1"/>
  <c r="I408" i="20"/>
  <c r="G409" i="20"/>
  <c r="J409" i="20" s="1"/>
  <c r="I409" i="20"/>
  <c r="G410" i="20"/>
  <c r="J410" i="20" s="1"/>
  <c r="I410" i="20"/>
  <c r="G411" i="20"/>
  <c r="J411" i="20" s="1"/>
  <c r="I411" i="20"/>
  <c r="G412" i="20"/>
  <c r="J412" i="20" s="1"/>
  <c r="I412" i="20"/>
  <c r="G413" i="20"/>
  <c r="J413" i="20" s="1"/>
  <c r="I413" i="20"/>
  <c r="G414" i="20"/>
  <c r="J414" i="20" s="1"/>
  <c r="I414" i="20"/>
  <c r="G415" i="20"/>
  <c r="J415" i="20" s="1"/>
  <c r="I415" i="20"/>
  <c r="G416" i="20"/>
  <c r="J416" i="20" s="1"/>
  <c r="I416" i="20"/>
  <c r="G417" i="20"/>
  <c r="J417" i="20" s="1"/>
  <c r="I417" i="20"/>
  <c r="G418" i="20"/>
  <c r="J418" i="20" s="1"/>
  <c r="I418" i="20"/>
  <c r="G419" i="20"/>
  <c r="J419" i="20" s="1"/>
  <c r="I419" i="20"/>
  <c r="G420" i="20"/>
  <c r="J420" i="20" s="1"/>
  <c r="I420" i="20"/>
  <c r="G421" i="20"/>
  <c r="J421" i="20" s="1"/>
  <c r="I421" i="20"/>
  <c r="G422" i="20"/>
  <c r="J422" i="20" s="1"/>
  <c r="I422" i="20"/>
  <c r="G423" i="20"/>
  <c r="J423" i="20" s="1"/>
  <c r="I423" i="20"/>
  <c r="G424" i="20"/>
  <c r="J424" i="20" s="1"/>
  <c r="I424" i="20"/>
  <c r="G425" i="20"/>
  <c r="J425" i="20" s="1"/>
  <c r="I425" i="20"/>
  <c r="G426" i="20"/>
  <c r="J426" i="20" s="1"/>
  <c r="I426" i="20"/>
  <c r="G427" i="20"/>
  <c r="J427" i="20" s="1"/>
  <c r="I427" i="20"/>
  <c r="G428" i="20"/>
  <c r="J428" i="20" s="1"/>
  <c r="I428" i="20"/>
  <c r="G429" i="20"/>
  <c r="J429" i="20" s="1"/>
  <c r="I429" i="20"/>
  <c r="G430" i="20"/>
  <c r="J430" i="20" s="1"/>
  <c r="I430" i="20"/>
  <c r="G431" i="20"/>
  <c r="J431" i="20" s="1"/>
  <c r="I431" i="20"/>
  <c r="G432" i="20"/>
  <c r="J432" i="20" s="1"/>
  <c r="I432" i="20"/>
  <c r="G433" i="20"/>
  <c r="J433" i="20" s="1"/>
  <c r="I433" i="20"/>
  <c r="G434" i="20"/>
  <c r="J434" i="20" s="1"/>
  <c r="I434" i="20"/>
  <c r="G435" i="20"/>
  <c r="J435" i="20" s="1"/>
  <c r="I435" i="20"/>
  <c r="G436" i="20"/>
  <c r="J436" i="20" s="1"/>
  <c r="I436" i="20"/>
  <c r="G437" i="20"/>
  <c r="J437" i="20" s="1"/>
  <c r="I437" i="20"/>
  <c r="G438" i="20"/>
  <c r="J438" i="20" s="1"/>
  <c r="I438" i="20"/>
  <c r="G439" i="20"/>
  <c r="J439" i="20" s="1"/>
  <c r="I439" i="20"/>
  <c r="G440" i="20"/>
  <c r="J440" i="20" s="1"/>
  <c r="I440" i="20"/>
  <c r="G441" i="20"/>
  <c r="J441" i="20" s="1"/>
  <c r="I441" i="20"/>
  <c r="G442" i="20"/>
  <c r="J442" i="20" s="1"/>
  <c r="I442" i="20"/>
  <c r="G443" i="20"/>
  <c r="J443" i="20" s="1"/>
  <c r="I443" i="20"/>
  <c r="G444" i="20"/>
  <c r="J444" i="20" s="1"/>
  <c r="I444" i="20"/>
  <c r="G445" i="20"/>
  <c r="J445" i="20" s="1"/>
  <c r="I445" i="20"/>
  <c r="G446" i="20"/>
  <c r="J446" i="20" s="1"/>
  <c r="I446" i="20"/>
  <c r="G447" i="20"/>
  <c r="J447" i="20" s="1"/>
  <c r="I447" i="20"/>
  <c r="G448" i="20"/>
  <c r="J448" i="20" s="1"/>
  <c r="I448" i="20"/>
  <c r="G449" i="20"/>
  <c r="J449" i="20" s="1"/>
  <c r="I449" i="20"/>
  <c r="G450" i="20"/>
  <c r="J450" i="20" s="1"/>
  <c r="I450" i="20"/>
  <c r="G451" i="20"/>
  <c r="J451" i="20" s="1"/>
  <c r="I451" i="20"/>
  <c r="G452" i="20"/>
  <c r="J452" i="20" s="1"/>
  <c r="I452" i="20"/>
  <c r="G453" i="20"/>
  <c r="J453" i="20" s="1"/>
  <c r="I453" i="20"/>
  <c r="G454" i="20"/>
  <c r="J454" i="20" s="1"/>
  <c r="I454" i="20"/>
  <c r="G455" i="20"/>
  <c r="J455" i="20" s="1"/>
  <c r="I455" i="20"/>
  <c r="G456" i="20"/>
  <c r="J456" i="20" s="1"/>
  <c r="I456" i="20"/>
  <c r="G457" i="20"/>
  <c r="J457" i="20" s="1"/>
  <c r="I457" i="20"/>
  <c r="G458" i="20"/>
  <c r="J458" i="20" s="1"/>
  <c r="I458" i="20"/>
  <c r="G459" i="20"/>
  <c r="J459" i="20" s="1"/>
  <c r="I459" i="20"/>
  <c r="G460" i="20"/>
  <c r="J460" i="20" s="1"/>
  <c r="I460" i="20"/>
  <c r="G461" i="20"/>
  <c r="J461" i="20" s="1"/>
  <c r="I461" i="20"/>
  <c r="G462" i="20"/>
  <c r="J462" i="20" s="1"/>
  <c r="I462" i="20"/>
  <c r="G463" i="20"/>
  <c r="J463" i="20" s="1"/>
  <c r="I463" i="20"/>
  <c r="G464" i="20"/>
  <c r="J464" i="20" s="1"/>
  <c r="I464" i="20"/>
  <c r="G465" i="20"/>
  <c r="J465" i="20" s="1"/>
  <c r="I465" i="20"/>
  <c r="G466" i="20"/>
  <c r="J466" i="20" s="1"/>
  <c r="I466" i="20"/>
  <c r="G467" i="20"/>
  <c r="J467" i="20" s="1"/>
  <c r="I467" i="20"/>
  <c r="G468" i="20"/>
  <c r="J468" i="20" s="1"/>
  <c r="I468" i="20"/>
  <c r="G469" i="20"/>
  <c r="J469" i="20" s="1"/>
  <c r="I469" i="20"/>
  <c r="G470" i="20"/>
  <c r="J470" i="20" s="1"/>
  <c r="I470" i="20"/>
  <c r="G471" i="20"/>
  <c r="J471" i="20" s="1"/>
  <c r="I471" i="20"/>
  <c r="G472" i="20"/>
  <c r="J472" i="20" s="1"/>
  <c r="I472" i="20"/>
  <c r="G473" i="20"/>
  <c r="J473" i="20" s="1"/>
  <c r="I473" i="20"/>
  <c r="G474" i="20"/>
  <c r="J474" i="20" s="1"/>
  <c r="I474" i="20"/>
  <c r="G475" i="20"/>
  <c r="J475" i="20" s="1"/>
  <c r="I475" i="20"/>
  <c r="G476" i="20"/>
  <c r="J476" i="20" s="1"/>
  <c r="I476" i="20"/>
  <c r="G477" i="20"/>
  <c r="J477" i="20" s="1"/>
  <c r="I477" i="20"/>
  <c r="G478" i="20"/>
  <c r="J478" i="20" s="1"/>
  <c r="I478" i="20"/>
  <c r="G479" i="20"/>
  <c r="J479" i="20" s="1"/>
  <c r="I479" i="20"/>
  <c r="G480" i="20"/>
  <c r="J480" i="20" s="1"/>
  <c r="I480" i="20"/>
  <c r="G481" i="20"/>
  <c r="J481" i="20" s="1"/>
  <c r="I481" i="20"/>
  <c r="G482" i="20"/>
  <c r="J482" i="20" s="1"/>
  <c r="I482" i="20"/>
  <c r="G483" i="20"/>
  <c r="J483" i="20" s="1"/>
  <c r="I483" i="20"/>
  <c r="G484" i="20"/>
  <c r="J484" i="20" s="1"/>
  <c r="I484" i="20"/>
  <c r="G485" i="20"/>
  <c r="J485" i="20" s="1"/>
  <c r="I485" i="20"/>
  <c r="G486" i="20"/>
  <c r="J486" i="20" s="1"/>
  <c r="I486" i="20"/>
  <c r="G487" i="20"/>
  <c r="J487" i="20" s="1"/>
  <c r="I487" i="20"/>
  <c r="G488" i="20"/>
  <c r="J488" i="20" s="1"/>
  <c r="I488" i="20"/>
  <c r="G489" i="20"/>
  <c r="J489" i="20" s="1"/>
  <c r="I489" i="20"/>
  <c r="G490" i="20"/>
  <c r="J490" i="20" s="1"/>
  <c r="I490" i="20"/>
  <c r="G491" i="20"/>
  <c r="J491" i="20" s="1"/>
  <c r="I491" i="20"/>
  <c r="G492" i="20"/>
  <c r="J492" i="20" s="1"/>
  <c r="I492" i="20"/>
  <c r="G493" i="20"/>
  <c r="J493" i="20" s="1"/>
  <c r="I493" i="20"/>
  <c r="G494" i="20"/>
  <c r="J494" i="20" s="1"/>
  <c r="I494" i="20"/>
  <c r="G495" i="20"/>
  <c r="J495" i="20" s="1"/>
  <c r="I495" i="20"/>
  <c r="G496" i="20"/>
  <c r="J496" i="20" s="1"/>
  <c r="I496" i="20"/>
  <c r="G497" i="20"/>
  <c r="J497" i="20" s="1"/>
  <c r="I497" i="20"/>
  <c r="G498" i="20"/>
  <c r="J498" i="20" s="1"/>
  <c r="I498" i="20"/>
  <c r="G499" i="20"/>
  <c r="J499" i="20" s="1"/>
  <c r="I499" i="20"/>
  <c r="G500" i="20"/>
  <c r="J500" i="20" s="1"/>
  <c r="I500" i="20"/>
  <c r="G501" i="20"/>
  <c r="J501" i="20" s="1"/>
  <c r="I501" i="20"/>
  <c r="G502" i="20"/>
  <c r="J502" i="20" s="1"/>
  <c r="I502" i="20"/>
  <c r="G503" i="20"/>
  <c r="J503" i="20" s="1"/>
  <c r="I503" i="20"/>
  <c r="G504" i="20"/>
  <c r="J504" i="20" s="1"/>
  <c r="I504" i="20"/>
  <c r="G505" i="20"/>
  <c r="J505" i="20" s="1"/>
  <c r="I505" i="20"/>
  <c r="G506" i="20"/>
  <c r="J506" i="20" s="1"/>
  <c r="I506" i="20"/>
  <c r="G507" i="20"/>
  <c r="J507" i="20" s="1"/>
  <c r="I507" i="20"/>
  <c r="G508" i="20"/>
  <c r="J508" i="20" s="1"/>
  <c r="I508" i="20"/>
  <c r="G509" i="20"/>
  <c r="J509" i="20" s="1"/>
  <c r="I509" i="20"/>
  <c r="G510" i="20"/>
  <c r="J510" i="20" s="1"/>
  <c r="I510" i="20"/>
  <c r="G511" i="20"/>
  <c r="J511" i="20" s="1"/>
  <c r="I511" i="20"/>
  <c r="G512" i="20"/>
  <c r="J512" i="20" s="1"/>
  <c r="I512" i="20"/>
  <c r="G513" i="20"/>
  <c r="J513" i="20" s="1"/>
  <c r="I513" i="20"/>
  <c r="G514" i="20"/>
  <c r="J514" i="20" s="1"/>
  <c r="I514" i="20"/>
  <c r="G515" i="20"/>
  <c r="J515" i="20" s="1"/>
  <c r="I515" i="20"/>
  <c r="G516" i="20"/>
  <c r="J516" i="20" s="1"/>
  <c r="I516" i="20"/>
  <c r="G517" i="20"/>
  <c r="J517" i="20" s="1"/>
  <c r="I517" i="20"/>
  <c r="G518" i="20"/>
  <c r="J518" i="20" s="1"/>
  <c r="I518" i="20"/>
  <c r="G519" i="20"/>
  <c r="J519" i="20" s="1"/>
  <c r="I519" i="20"/>
  <c r="G520" i="20"/>
  <c r="J520" i="20" s="1"/>
  <c r="I520" i="20"/>
  <c r="G521" i="20"/>
  <c r="J521" i="20" s="1"/>
  <c r="I521" i="20"/>
  <c r="G522" i="20"/>
  <c r="J522" i="20" s="1"/>
  <c r="I522" i="20"/>
  <c r="G523" i="20"/>
  <c r="J523" i="20" s="1"/>
  <c r="I523" i="20"/>
  <c r="G524" i="20"/>
  <c r="J524" i="20" s="1"/>
  <c r="I524" i="20"/>
  <c r="G525" i="20"/>
  <c r="J525" i="20" s="1"/>
  <c r="I525" i="20"/>
  <c r="G526" i="20"/>
  <c r="J526" i="20" s="1"/>
  <c r="I526" i="20"/>
  <c r="G527" i="20"/>
  <c r="J527" i="20" s="1"/>
  <c r="I527" i="20"/>
  <c r="G528" i="20"/>
  <c r="J528" i="20" s="1"/>
  <c r="I528" i="20"/>
  <c r="G529" i="20"/>
  <c r="J529" i="20" s="1"/>
  <c r="I529" i="20"/>
  <c r="G530" i="20"/>
  <c r="J530" i="20" s="1"/>
  <c r="I530" i="20"/>
  <c r="G531" i="20"/>
  <c r="J531" i="20" s="1"/>
  <c r="I531" i="20"/>
  <c r="G532" i="20"/>
  <c r="J532" i="20" s="1"/>
  <c r="I532" i="20"/>
  <c r="G533" i="20"/>
  <c r="J533" i="20" s="1"/>
  <c r="I533" i="20"/>
  <c r="G534" i="20"/>
  <c r="J534" i="20" s="1"/>
  <c r="I534" i="20"/>
  <c r="G535" i="20"/>
  <c r="J535" i="20" s="1"/>
  <c r="I535" i="20"/>
  <c r="G536" i="20"/>
  <c r="J536" i="20" s="1"/>
  <c r="I536" i="20"/>
  <c r="G537" i="20"/>
  <c r="J537" i="20" s="1"/>
  <c r="I537" i="20"/>
  <c r="G538" i="20"/>
  <c r="J538" i="20" s="1"/>
  <c r="I538" i="20"/>
  <c r="G539" i="20"/>
  <c r="J539" i="20" s="1"/>
  <c r="I539" i="20"/>
  <c r="G540" i="20"/>
  <c r="J540" i="20" s="1"/>
  <c r="I540" i="20"/>
  <c r="G541" i="20"/>
  <c r="J541" i="20" s="1"/>
  <c r="I541" i="20"/>
  <c r="G542" i="20"/>
  <c r="J542" i="20" s="1"/>
  <c r="I542" i="20"/>
  <c r="G543" i="20"/>
  <c r="J543" i="20" s="1"/>
  <c r="I543" i="20"/>
  <c r="G544" i="20"/>
  <c r="J544" i="20" s="1"/>
  <c r="I544" i="20"/>
  <c r="G545" i="20"/>
  <c r="J545" i="20" s="1"/>
  <c r="I545" i="20"/>
  <c r="G546" i="20"/>
  <c r="J546" i="20" s="1"/>
  <c r="I546" i="20"/>
  <c r="G547" i="20"/>
  <c r="J547" i="20" s="1"/>
  <c r="I547" i="20"/>
  <c r="G548" i="20"/>
  <c r="J548" i="20" s="1"/>
  <c r="I548" i="20"/>
  <c r="G549" i="20"/>
  <c r="J549" i="20" s="1"/>
  <c r="I549" i="20"/>
  <c r="G550" i="20"/>
  <c r="J550" i="20" s="1"/>
  <c r="I550" i="20"/>
  <c r="G551" i="20"/>
  <c r="J551" i="20" s="1"/>
  <c r="I551" i="20"/>
  <c r="G552" i="20"/>
  <c r="J552" i="20" s="1"/>
  <c r="I552" i="20"/>
  <c r="G553" i="20"/>
  <c r="J553" i="20" s="1"/>
  <c r="I553" i="20"/>
  <c r="G554" i="20"/>
  <c r="J554" i="20" s="1"/>
  <c r="I554" i="20"/>
  <c r="G555" i="20"/>
  <c r="J555" i="20" s="1"/>
  <c r="I555" i="20"/>
  <c r="G556" i="20"/>
  <c r="J556" i="20" s="1"/>
  <c r="I556" i="20"/>
  <c r="G557" i="20"/>
  <c r="J557" i="20" s="1"/>
  <c r="I557" i="20"/>
  <c r="G558" i="20"/>
  <c r="J558" i="20" s="1"/>
  <c r="I558" i="20"/>
  <c r="G559" i="20"/>
  <c r="J559" i="20" s="1"/>
  <c r="I559" i="20"/>
  <c r="G560" i="20"/>
  <c r="J560" i="20" s="1"/>
  <c r="I560" i="20"/>
  <c r="G561" i="20"/>
  <c r="J561" i="20" s="1"/>
  <c r="I561" i="20"/>
  <c r="G562" i="20"/>
  <c r="J562" i="20" s="1"/>
  <c r="I562" i="20"/>
  <c r="G563" i="20"/>
  <c r="J563" i="20" s="1"/>
  <c r="I563" i="20"/>
  <c r="G564" i="20"/>
  <c r="J564" i="20" s="1"/>
  <c r="I564" i="20"/>
  <c r="G565" i="20"/>
  <c r="J565" i="20" s="1"/>
  <c r="I565" i="20"/>
  <c r="G566" i="20"/>
  <c r="J566" i="20" s="1"/>
  <c r="I566" i="20"/>
  <c r="G567" i="20"/>
  <c r="J567" i="20" s="1"/>
  <c r="I567" i="20"/>
  <c r="G568" i="20"/>
  <c r="J568" i="20" s="1"/>
  <c r="I568" i="20"/>
  <c r="G569" i="20"/>
  <c r="J569" i="20" s="1"/>
  <c r="I569" i="20"/>
  <c r="G570" i="20"/>
  <c r="J570" i="20" s="1"/>
  <c r="I570" i="20"/>
  <c r="G571" i="20"/>
  <c r="J571" i="20" s="1"/>
  <c r="I571" i="20"/>
  <c r="G572" i="20"/>
  <c r="J572" i="20" s="1"/>
  <c r="I572" i="20"/>
  <c r="G573" i="20"/>
  <c r="J573" i="20" s="1"/>
  <c r="I573" i="20"/>
  <c r="G574" i="20"/>
  <c r="J574" i="20" s="1"/>
  <c r="I574" i="20"/>
  <c r="G575" i="20"/>
  <c r="J575" i="20" s="1"/>
  <c r="I575" i="20"/>
  <c r="G576" i="20"/>
  <c r="J576" i="20" s="1"/>
  <c r="I576" i="20"/>
  <c r="G577" i="20"/>
  <c r="J577" i="20" s="1"/>
  <c r="I577" i="20"/>
  <c r="G578" i="20"/>
  <c r="J578" i="20" s="1"/>
  <c r="I578" i="20"/>
  <c r="G579" i="20"/>
  <c r="J579" i="20" s="1"/>
  <c r="I579" i="20"/>
  <c r="G580" i="20"/>
  <c r="J580" i="20" s="1"/>
  <c r="I580" i="20"/>
  <c r="G581" i="20"/>
  <c r="J581" i="20" s="1"/>
  <c r="I581" i="20"/>
  <c r="G582" i="20"/>
  <c r="J582" i="20" s="1"/>
  <c r="I582" i="20"/>
  <c r="G583" i="20"/>
  <c r="J583" i="20" s="1"/>
  <c r="I583" i="20"/>
  <c r="G584" i="20"/>
  <c r="J584" i="20" s="1"/>
  <c r="I584" i="20"/>
  <c r="G585" i="20"/>
  <c r="J585" i="20" s="1"/>
  <c r="I585" i="20"/>
  <c r="G586" i="20"/>
  <c r="J586" i="20" s="1"/>
  <c r="I586" i="20"/>
  <c r="G587" i="20"/>
  <c r="J587" i="20" s="1"/>
  <c r="I587" i="20"/>
  <c r="G588" i="20"/>
  <c r="J588" i="20" s="1"/>
  <c r="I588" i="20"/>
  <c r="G589" i="20"/>
  <c r="J589" i="20" s="1"/>
  <c r="I589" i="20"/>
  <c r="G590" i="20"/>
  <c r="J590" i="20" s="1"/>
  <c r="I590" i="20"/>
  <c r="G591" i="20"/>
  <c r="J591" i="20" s="1"/>
  <c r="I591" i="20"/>
  <c r="G592" i="20"/>
  <c r="J592" i="20" s="1"/>
  <c r="I592" i="20"/>
  <c r="G593" i="20"/>
  <c r="J593" i="20" s="1"/>
  <c r="I593" i="20"/>
  <c r="G594" i="20"/>
  <c r="J594" i="20" s="1"/>
  <c r="I594" i="20"/>
  <c r="G595" i="20"/>
  <c r="J595" i="20" s="1"/>
  <c r="I595" i="20"/>
  <c r="G596" i="20"/>
  <c r="J596" i="20" s="1"/>
  <c r="I596" i="20"/>
  <c r="G597" i="20"/>
  <c r="J597" i="20" s="1"/>
  <c r="I597" i="20"/>
  <c r="G598" i="20"/>
  <c r="J598" i="20" s="1"/>
  <c r="I598" i="20"/>
  <c r="G599" i="20"/>
  <c r="J599" i="20" s="1"/>
  <c r="I599" i="20"/>
  <c r="G600" i="20"/>
  <c r="J600" i="20" s="1"/>
  <c r="I600" i="20"/>
  <c r="G601" i="20"/>
  <c r="J601" i="20" s="1"/>
  <c r="I601" i="20"/>
  <c r="G602" i="20"/>
  <c r="J602" i="20" s="1"/>
  <c r="I602" i="20"/>
  <c r="G603" i="20"/>
  <c r="J603" i="20" s="1"/>
  <c r="I603" i="20"/>
  <c r="G604" i="20"/>
  <c r="J604" i="20" s="1"/>
  <c r="I604" i="20"/>
  <c r="G605" i="20"/>
  <c r="J605" i="20" s="1"/>
  <c r="I605" i="20"/>
  <c r="G606" i="20"/>
  <c r="J606" i="20" s="1"/>
  <c r="I606" i="20"/>
  <c r="G607" i="20"/>
  <c r="J607" i="20" s="1"/>
  <c r="I607" i="20"/>
  <c r="G608" i="20"/>
  <c r="J608" i="20" s="1"/>
  <c r="I608" i="20"/>
  <c r="G609" i="20"/>
  <c r="J609" i="20" s="1"/>
  <c r="I609" i="20"/>
  <c r="G610" i="20"/>
  <c r="J610" i="20" s="1"/>
  <c r="I610" i="20"/>
  <c r="G611" i="20"/>
  <c r="J611" i="20" s="1"/>
  <c r="I611" i="20"/>
  <c r="G612" i="20"/>
  <c r="J612" i="20" s="1"/>
  <c r="I612" i="20"/>
  <c r="G613" i="20"/>
  <c r="J613" i="20" s="1"/>
  <c r="I613" i="20"/>
  <c r="G614" i="20"/>
  <c r="J614" i="20" s="1"/>
  <c r="I614" i="20"/>
  <c r="G615" i="20"/>
  <c r="J615" i="20" s="1"/>
  <c r="I615" i="20"/>
  <c r="G616" i="20"/>
  <c r="J616" i="20" s="1"/>
  <c r="I616" i="20"/>
  <c r="G617" i="20"/>
  <c r="J617" i="20" s="1"/>
  <c r="I617" i="20"/>
  <c r="G618" i="20"/>
  <c r="J618" i="20" s="1"/>
  <c r="I618" i="20"/>
  <c r="G619" i="20"/>
  <c r="J619" i="20" s="1"/>
  <c r="I619" i="20"/>
  <c r="G620" i="20"/>
  <c r="J620" i="20" s="1"/>
  <c r="I620" i="20"/>
  <c r="G621" i="20"/>
  <c r="J621" i="20" s="1"/>
  <c r="I621" i="20"/>
  <c r="G622" i="20"/>
  <c r="J622" i="20" s="1"/>
  <c r="I622" i="20"/>
  <c r="G623" i="20"/>
  <c r="J623" i="20" s="1"/>
  <c r="I623" i="20"/>
  <c r="G624" i="20"/>
  <c r="J624" i="20" s="1"/>
  <c r="I624" i="20"/>
  <c r="G625" i="20"/>
  <c r="J625" i="20" s="1"/>
  <c r="I625" i="20"/>
  <c r="G626" i="20"/>
  <c r="J626" i="20" s="1"/>
  <c r="I626" i="20"/>
  <c r="G627" i="20"/>
  <c r="J627" i="20" s="1"/>
  <c r="I627" i="20"/>
  <c r="G628" i="20"/>
  <c r="J628" i="20" s="1"/>
  <c r="I628" i="20"/>
  <c r="G629" i="20"/>
  <c r="J629" i="20" s="1"/>
  <c r="I629" i="20"/>
  <c r="G630" i="20"/>
  <c r="J630" i="20" s="1"/>
  <c r="I630" i="20"/>
  <c r="G631" i="20"/>
  <c r="J631" i="20" s="1"/>
  <c r="I631" i="20"/>
  <c r="G632" i="20"/>
  <c r="J632" i="20" s="1"/>
  <c r="I632" i="20"/>
  <c r="G633" i="20"/>
  <c r="J633" i="20" s="1"/>
  <c r="I633" i="20"/>
  <c r="G634" i="20"/>
  <c r="J634" i="20" s="1"/>
  <c r="I634" i="20"/>
  <c r="G635" i="20"/>
  <c r="J635" i="20" s="1"/>
  <c r="I635" i="20"/>
  <c r="G636" i="20"/>
  <c r="J636" i="20" s="1"/>
  <c r="I636" i="20"/>
  <c r="G637" i="20"/>
  <c r="J637" i="20" s="1"/>
  <c r="I637" i="20"/>
  <c r="G638" i="20"/>
  <c r="J638" i="20" s="1"/>
  <c r="I638" i="20"/>
  <c r="G639" i="20"/>
  <c r="J639" i="20" s="1"/>
  <c r="I639" i="20"/>
  <c r="G640" i="20"/>
  <c r="J640" i="20" s="1"/>
  <c r="I640" i="20"/>
  <c r="G641" i="20"/>
  <c r="J641" i="20" s="1"/>
  <c r="I641" i="20"/>
  <c r="G642" i="20"/>
  <c r="J642" i="20" s="1"/>
  <c r="I642" i="20"/>
  <c r="G643" i="20"/>
  <c r="J643" i="20" s="1"/>
  <c r="I643" i="20"/>
  <c r="G644" i="20"/>
  <c r="J644" i="20" s="1"/>
  <c r="I644" i="20"/>
  <c r="G645" i="20"/>
  <c r="J645" i="20" s="1"/>
  <c r="I645" i="20"/>
  <c r="G646" i="20"/>
  <c r="J646" i="20" s="1"/>
  <c r="I646" i="20"/>
  <c r="G647" i="20"/>
  <c r="J647" i="20" s="1"/>
  <c r="I647" i="20"/>
  <c r="G648" i="20"/>
  <c r="J648" i="20" s="1"/>
  <c r="I648" i="20"/>
  <c r="G649" i="20"/>
  <c r="J649" i="20" s="1"/>
  <c r="I649" i="20"/>
  <c r="G650" i="20"/>
  <c r="J650" i="20" s="1"/>
  <c r="I650" i="20"/>
  <c r="G651" i="20"/>
  <c r="J651" i="20" s="1"/>
  <c r="I651" i="20"/>
  <c r="G652" i="20"/>
  <c r="J652" i="20" s="1"/>
  <c r="I652" i="20"/>
  <c r="G653" i="20"/>
  <c r="J653" i="20" s="1"/>
  <c r="I653" i="20"/>
  <c r="G654" i="20"/>
  <c r="J654" i="20" s="1"/>
  <c r="I654" i="20"/>
  <c r="G655" i="20"/>
  <c r="J655" i="20" s="1"/>
  <c r="I655" i="20"/>
  <c r="G656" i="20"/>
  <c r="J656" i="20" s="1"/>
  <c r="I656" i="20"/>
  <c r="G657" i="20"/>
  <c r="J657" i="20" s="1"/>
  <c r="I657" i="20"/>
  <c r="G658" i="20"/>
  <c r="J658" i="20" s="1"/>
  <c r="I658" i="20"/>
  <c r="G659" i="20"/>
  <c r="J659" i="20" s="1"/>
  <c r="I659" i="20"/>
  <c r="G660" i="20"/>
  <c r="J660" i="20" s="1"/>
  <c r="I660" i="20"/>
  <c r="G661" i="20"/>
  <c r="J661" i="20" s="1"/>
  <c r="I661" i="20"/>
  <c r="G662" i="20"/>
  <c r="J662" i="20" s="1"/>
  <c r="I662" i="20"/>
  <c r="G663" i="20"/>
  <c r="J663" i="20" s="1"/>
  <c r="I663" i="20"/>
  <c r="G664" i="20"/>
  <c r="J664" i="20" s="1"/>
  <c r="I664" i="20"/>
  <c r="G665" i="20"/>
  <c r="J665" i="20" s="1"/>
  <c r="I665" i="20"/>
  <c r="G666" i="20"/>
  <c r="J666" i="20" s="1"/>
  <c r="I666" i="20"/>
  <c r="G667" i="20"/>
  <c r="J667" i="20" s="1"/>
  <c r="I667" i="20"/>
  <c r="G668" i="20"/>
  <c r="J668" i="20" s="1"/>
  <c r="I668" i="20"/>
  <c r="G669" i="20"/>
  <c r="J669" i="20" s="1"/>
  <c r="I669" i="20"/>
  <c r="G670" i="20"/>
  <c r="J670" i="20" s="1"/>
  <c r="I670" i="20"/>
  <c r="G671" i="20"/>
  <c r="J671" i="20" s="1"/>
  <c r="I671" i="20"/>
  <c r="G672" i="20"/>
  <c r="J672" i="20" s="1"/>
  <c r="I672" i="20"/>
  <c r="G673" i="20"/>
  <c r="J673" i="20" s="1"/>
  <c r="I673" i="20"/>
  <c r="G674" i="20"/>
  <c r="J674" i="20" s="1"/>
  <c r="I674" i="20"/>
  <c r="G675" i="20"/>
  <c r="J675" i="20" s="1"/>
  <c r="I675" i="20"/>
  <c r="G676" i="20"/>
  <c r="J676" i="20" s="1"/>
  <c r="I676" i="20"/>
  <c r="G677" i="20"/>
  <c r="J677" i="20" s="1"/>
  <c r="I677" i="20"/>
  <c r="G678" i="20"/>
  <c r="J678" i="20" s="1"/>
  <c r="I678" i="20"/>
  <c r="G679" i="20"/>
  <c r="J679" i="20" s="1"/>
  <c r="I679" i="20"/>
  <c r="G680" i="20"/>
  <c r="J680" i="20" s="1"/>
  <c r="I680" i="20"/>
  <c r="G681" i="20"/>
  <c r="J681" i="20" s="1"/>
  <c r="I681" i="20"/>
  <c r="G682" i="20"/>
  <c r="J682" i="20" s="1"/>
  <c r="I682" i="20"/>
  <c r="G683" i="20"/>
  <c r="J683" i="20" s="1"/>
  <c r="I683" i="20"/>
  <c r="G684" i="20"/>
  <c r="J684" i="20" s="1"/>
  <c r="I684" i="20"/>
  <c r="G685" i="20"/>
  <c r="J685" i="20" s="1"/>
  <c r="I685" i="20"/>
  <c r="G686" i="20"/>
  <c r="J686" i="20" s="1"/>
  <c r="I686" i="20"/>
  <c r="G687" i="20"/>
  <c r="J687" i="20" s="1"/>
  <c r="I687" i="20"/>
  <c r="G688" i="20"/>
  <c r="J688" i="20" s="1"/>
  <c r="I688" i="20"/>
  <c r="G689" i="20"/>
  <c r="J689" i="20" s="1"/>
  <c r="I689" i="20"/>
  <c r="G690" i="20"/>
  <c r="J690" i="20" s="1"/>
  <c r="I690" i="20"/>
  <c r="G691" i="20"/>
  <c r="J691" i="20" s="1"/>
  <c r="I691" i="20"/>
  <c r="G692" i="20"/>
  <c r="J692" i="20" s="1"/>
  <c r="I692" i="20"/>
  <c r="G693" i="20"/>
  <c r="J693" i="20" s="1"/>
  <c r="I693" i="20"/>
  <c r="G694" i="20"/>
  <c r="J694" i="20" s="1"/>
  <c r="I694" i="20"/>
  <c r="G695" i="20"/>
  <c r="J695" i="20" s="1"/>
  <c r="I695" i="20"/>
  <c r="G696" i="20"/>
  <c r="J696" i="20" s="1"/>
  <c r="I696" i="20"/>
  <c r="G697" i="20"/>
  <c r="J697" i="20" s="1"/>
  <c r="I697" i="20"/>
  <c r="G698" i="20"/>
  <c r="J698" i="20" s="1"/>
  <c r="I698" i="20"/>
  <c r="G699" i="20"/>
  <c r="J699" i="20" s="1"/>
  <c r="I699" i="20"/>
  <c r="G700" i="20"/>
  <c r="J700" i="20" s="1"/>
  <c r="I700" i="20"/>
  <c r="G701" i="20"/>
  <c r="J701" i="20" s="1"/>
  <c r="I701" i="20"/>
  <c r="G702" i="20"/>
  <c r="J702" i="20" s="1"/>
  <c r="I702" i="20"/>
  <c r="G703" i="20"/>
  <c r="J703" i="20" s="1"/>
  <c r="I703" i="20"/>
  <c r="G704" i="20"/>
  <c r="J704" i="20" s="1"/>
  <c r="I704" i="20"/>
  <c r="G705" i="20"/>
  <c r="J705" i="20" s="1"/>
  <c r="I705" i="20"/>
  <c r="G706" i="20"/>
  <c r="J706" i="20" s="1"/>
  <c r="I706" i="20"/>
  <c r="G707" i="20"/>
  <c r="J707" i="20" s="1"/>
  <c r="I707" i="20"/>
  <c r="G708" i="20"/>
  <c r="J708" i="20" s="1"/>
  <c r="I708" i="20"/>
  <c r="G709" i="20"/>
  <c r="J709" i="20" s="1"/>
  <c r="I709" i="20"/>
  <c r="G710" i="20"/>
  <c r="J710" i="20" s="1"/>
  <c r="I710" i="20"/>
  <c r="G711" i="20"/>
  <c r="J711" i="20" s="1"/>
  <c r="I711" i="20"/>
  <c r="G712" i="20"/>
  <c r="J712" i="20" s="1"/>
  <c r="I712" i="20"/>
  <c r="G713" i="20"/>
  <c r="J713" i="20" s="1"/>
  <c r="I713" i="20"/>
  <c r="G714" i="20"/>
  <c r="J714" i="20" s="1"/>
  <c r="I714" i="20"/>
  <c r="G715" i="20"/>
  <c r="J715" i="20" s="1"/>
  <c r="I715" i="20"/>
  <c r="G716" i="20"/>
  <c r="J716" i="20" s="1"/>
  <c r="I716" i="20"/>
  <c r="G717" i="20"/>
  <c r="J717" i="20" s="1"/>
  <c r="I717" i="20"/>
  <c r="G718" i="20"/>
  <c r="J718" i="20" s="1"/>
  <c r="I718" i="20"/>
  <c r="G719" i="20"/>
  <c r="J719" i="20" s="1"/>
  <c r="I719" i="20"/>
  <c r="G720" i="20"/>
  <c r="J720" i="20" s="1"/>
  <c r="I720" i="20"/>
  <c r="G721" i="20"/>
  <c r="J721" i="20" s="1"/>
  <c r="I721" i="20"/>
  <c r="G722" i="20"/>
  <c r="J722" i="20" s="1"/>
  <c r="I722" i="20"/>
  <c r="G723" i="20"/>
  <c r="J723" i="20" s="1"/>
  <c r="I723" i="20"/>
  <c r="G724" i="20"/>
  <c r="J724" i="20" s="1"/>
  <c r="I724" i="20"/>
  <c r="G725" i="20"/>
  <c r="J725" i="20" s="1"/>
  <c r="I725" i="20"/>
  <c r="G726" i="20"/>
  <c r="J726" i="20" s="1"/>
  <c r="I726" i="20"/>
  <c r="G727" i="20"/>
  <c r="J727" i="20" s="1"/>
  <c r="I727" i="20"/>
  <c r="G728" i="20"/>
  <c r="J728" i="20" s="1"/>
  <c r="I728" i="20"/>
  <c r="G729" i="20"/>
  <c r="J729" i="20" s="1"/>
  <c r="I729" i="20"/>
  <c r="G730" i="20"/>
  <c r="J730" i="20" s="1"/>
  <c r="I730" i="20"/>
  <c r="G731" i="20"/>
  <c r="J731" i="20" s="1"/>
  <c r="I731" i="20"/>
  <c r="G732" i="20"/>
  <c r="J732" i="20" s="1"/>
  <c r="I732" i="20"/>
  <c r="G733" i="20"/>
  <c r="J733" i="20" s="1"/>
  <c r="I733" i="20"/>
  <c r="G734" i="20"/>
  <c r="J734" i="20" s="1"/>
  <c r="I734" i="20"/>
  <c r="G735" i="20"/>
  <c r="J735" i="20" s="1"/>
  <c r="I735" i="20"/>
  <c r="G736" i="20"/>
  <c r="J736" i="20" s="1"/>
  <c r="I736" i="20"/>
  <c r="G737" i="20"/>
  <c r="J737" i="20" s="1"/>
  <c r="I737" i="20"/>
  <c r="G36" i="20"/>
  <c r="C499" i="21"/>
  <c r="D499" i="21"/>
  <c r="E499" i="21"/>
  <c r="F499" i="21"/>
  <c r="B499" i="21"/>
  <c r="G20" i="21"/>
  <c r="J20" i="21" s="1"/>
  <c r="I20" i="21"/>
  <c r="G21" i="21"/>
  <c r="J21" i="21" s="1"/>
  <c r="I21" i="21"/>
  <c r="G22" i="21"/>
  <c r="J22" i="21" s="1"/>
  <c r="I22" i="21"/>
  <c r="G23" i="21"/>
  <c r="J23" i="21" s="1"/>
  <c r="I23" i="21"/>
  <c r="G24" i="21"/>
  <c r="J24" i="21" s="1"/>
  <c r="I24" i="21"/>
  <c r="G25" i="21"/>
  <c r="J25" i="21" s="1"/>
  <c r="I25" i="21"/>
  <c r="G26" i="21"/>
  <c r="J26" i="21" s="1"/>
  <c r="I26" i="21"/>
  <c r="G27" i="21"/>
  <c r="J27" i="21" s="1"/>
  <c r="I27" i="21"/>
  <c r="G28" i="21"/>
  <c r="J28" i="21" s="1"/>
  <c r="I28" i="21"/>
  <c r="G29" i="21"/>
  <c r="J29" i="21" s="1"/>
  <c r="I29" i="21"/>
  <c r="G30" i="21"/>
  <c r="J30" i="21" s="1"/>
  <c r="I30" i="21"/>
  <c r="G31" i="21"/>
  <c r="J31" i="21" s="1"/>
  <c r="I31" i="21"/>
  <c r="G32" i="21"/>
  <c r="J32" i="21" s="1"/>
  <c r="I32" i="21"/>
  <c r="G33" i="21"/>
  <c r="J33" i="21" s="1"/>
  <c r="I33" i="21"/>
  <c r="G34" i="21"/>
  <c r="J34" i="21" s="1"/>
  <c r="I34" i="21"/>
  <c r="G35" i="21"/>
  <c r="J35" i="21" s="1"/>
  <c r="I35" i="21"/>
  <c r="G36" i="21"/>
  <c r="J36" i="21" s="1"/>
  <c r="I36" i="21"/>
  <c r="G37" i="21"/>
  <c r="J37" i="21" s="1"/>
  <c r="I37" i="21"/>
  <c r="G38" i="21"/>
  <c r="J38" i="21" s="1"/>
  <c r="I38" i="21"/>
  <c r="G39" i="21"/>
  <c r="J39" i="21" s="1"/>
  <c r="I39" i="21"/>
  <c r="G40" i="21"/>
  <c r="J40" i="21" s="1"/>
  <c r="I40" i="21"/>
  <c r="G41" i="21"/>
  <c r="J41" i="21" s="1"/>
  <c r="I41" i="21"/>
  <c r="G42" i="21"/>
  <c r="J42" i="21" s="1"/>
  <c r="I42" i="21"/>
  <c r="G43" i="21"/>
  <c r="J43" i="21" s="1"/>
  <c r="I43" i="21"/>
  <c r="G44" i="21"/>
  <c r="J44" i="21" s="1"/>
  <c r="I44" i="21"/>
  <c r="G45" i="21"/>
  <c r="J45" i="21" s="1"/>
  <c r="I45" i="21"/>
  <c r="G46" i="21"/>
  <c r="J46" i="21" s="1"/>
  <c r="I46" i="21"/>
  <c r="G47" i="21"/>
  <c r="J47" i="21" s="1"/>
  <c r="I47" i="21"/>
  <c r="G48" i="21"/>
  <c r="J48" i="21" s="1"/>
  <c r="I48" i="21"/>
  <c r="G49" i="21"/>
  <c r="J49" i="21" s="1"/>
  <c r="I49" i="21"/>
  <c r="G50" i="21"/>
  <c r="J50" i="21" s="1"/>
  <c r="I50" i="21"/>
  <c r="G51" i="21"/>
  <c r="J51" i="21" s="1"/>
  <c r="I51" i="21"/>
  <c r="G52" i="21"/>
  <c r="J52" i="21" s="1"/>
  <c r="I52" i="21"/>
  <c r="G53" i="21"/>
  <c r="J53" i="21" s="1"/>
  <c r="I53" i="21"/>
  <c r="G54" i="21"/>
  <c r="J54" i="21" s="1"/>
  <c r="I54" i="21"/>
  <c r="G55" i="21"/>
  <c r="J55" i="21" s="1"/>
  <c r="I55" i="21"/>
  <c r="G56" i="21"/>
  <c r="J56" i="21" s="1"/>
  <c r="I56" i="21"/>
  <c r="G57" i="21"/>
  <c r="J57" i="21" s="1"/>
  <c r="I57" i="21"/>
  <c r="G58" i="21"/>
  <c r="J58" i="21" s="1"/>
  <c r="I58" i="21"/>
  <c r="G59" i="21"/>
  <c r="J59" i="21" s="1"/>
  <c r="I59" i="21"/>
  <c r="G60" i="21"/>
  <c r="J60" i="21" s="1"/>
  <c r="I60" i="21"/>
  <c r="G61" i="21"/>
  <c r="J61" i="21" s="1"/>
  <c r="I61" i="21"/>
  <c r="G62" i="21"/>
  <c r="J62" i="21" s="1"/>
  <c r="I62" i="21"/>
  <c r="G63" i="21"/>
  <c r="J63" i="21" s="1"/>
  <c r="I63" i="21"/>
  <c r="G64" i="21"/>
  <c r="J64" i="21" s="1"/>
  <c r="I64" i="21"/>
  <c r="G65" i="21"/>
  <c r="J65" i="21" s="1"/>
  <c r="I65" i="21"/>
  <c r="G66" i="21"/>
  <c r="J66" i="21" s="1"/>
  <c r="I66" i="21"/>
  <c r="G67" i="21"/>
  <c r="J67" i="21" s="1"/>
  <c r="I67" i="21"/>
  <c r="G68" i="21"/>
  <c r="J68" i="21" s="1"/>
  <c r="I68" i="21"/>
  <c r="G69" i="21"/>
  <c r="J69" i="21" s="1"/>
  <c r="I69" i="21"/>
  <c r="G70" i="21"/>
  <c r="J70" i="21" s="1"/>
  <c r="I70" i="21"/>
  <c r="G71" i="21"/>
  <c r="J71" i="21" s="1"/>
  <c r="I71" i="21"/>
  <c r="G72" i="21"/>
  <c r="J72" i="21" s="1"/>
  <c r="I72" i="21"/>
  <c r="G73" i="21"/>
  <c r="J73" i="21" s="1"/>
  <c r="I73" i="21"/>
  <c r="G74" i="21"/>
  <c r="J74" i="21" s="1"/>
  <c r="I74" i="21"/>
  <c r="G75" i="21"/>
  <c r="J75" i="21" s="1"/>
  <c r="I75" i="21"/>
  <c r="G76" i="21"/>
  <c r="J76" i="21" s="1"/>
  <c r="I76" i="21"/>
  <c r="G77" i="21"/>
  <c r="J77" i="21" s="1"/>
  <c r="I77" i="21"/>
  <c r="G78" i="21"/>
  <c r="J78" i="21" s="1"/>
  <c r="I78" i="21"/>
  <c r="G79" i="21"/>
  <c r="J79" i="21" s="1"/>
  <c r="I79" i="21"/>
  <c r="G80" i="21"/>
  <c r="J80" i="21" s="1"/>
  <c r="I80" i="21"/>
  <c r="G81" i="21"/>
  <c r="J81" i="21" s="1"/>
  <c r="I81" i="21"/>
  <c r="G82" i="21"/>
  <c r="J82" i="21" s="1"/>
  <c r="I82" i="21"/>
  <c r="G83" i="21"/>
  <c r="J83" i="21" s="1"/>
  <c r="I83" i="21"/>
  <c r="G84" i="21"/>
  <c r="J84" i="21" s="1"/>
  <c r="I84" i="21"/>
  <c r="G85" i="21"/>
  <c r="J85" i="21" s="1"/>
  <c r="I85" i="21"/>
  <c r="G86" i="21"/>
  <c r="J86" i="21" s="1"/>
  <c r="I86" i="21"/>
  <c r="G87" i="21"/>
  <c r="J87" i="21" s="1"/>
  <c r="I87" i="21"/>
  <c r="G88" i="21"/>
  <c r="J88" i="21" s="1"/>
  <c r="I88" i="21"/>
  <c r="G89" i="21"/>
  <c r="J89" i="21" s="1"/>
  <c r="I89" i="21"/>
  <c r="G90" i="21"/>
  <c r="J90" i="21" s="1"/>
  <c r="I90" i="21"/>
  <c r="G91" i="21"/>
  <c r="J91" i="21" s="1"/>
  <c r="I91" i="21"/>
  <c r="G92" i="21"/>
  <c r="J92" i="21" s="1"/>
  <c r="I92" i="21"/>
  <c r="G93" i="21"/>
  <c r="J93" i="21" s="1"/>
  <c r="I93" i="21"/>
  <c r="G94" i="21"/>
  <c r="J94" i="21" s="1"/>
  <c r="I94" i="21"/>
  <c r="G95" i="21"/>
  <c r="J95" i="21" s="1"/>
  <c r="I95" i="21"/>
  <c r="G96" i="21"/>
  <c r="J96" i="21" s="1"/>
  <c r="I96" i="21"/>
  <c r="G97" i="21"/>
  <c r="J97" i="21" s="1"/>
  <c r="I97" i="21"/>
  <c r="G98" i="21"/>
  <c r="J98" i="21" s="1"/>
  <c r="I98" i="21"/>
  <c r="G99" i="21"/>
  <c r="J99" i="21" s="1"/>
  <c r="I99" i="21"/>
  <c r="G100" i="21"/>
  <c r="J100" i="21" s="1"/>
  <c r="I100" i="21"/>
  <c r="G101" i="21"/>
  <c r="J101" i="21" s="1"/>
  <c r="I101" i="21"/>
  <c r="G102" i="21"/>
  <c r="J102" i="21" s="1"/>
  <c r="I102" i="21"/>
  <c r="G103" i="21"/>
  <c r="J103" i="21" s="1"/>
  <c r="I103" i="21"/>
  <c r="G104" i="21"/>
  <c r="J104" i="21" s="1"/>
  <c r="I104" i="21"/>
  <c r="G105" i="21"/>
  <c r="J105" i="21" s="1"/>
  <c r="I105" i="21"/>
  <c r="G106" i="21"/>
  <c r="J106" i="21" s="1"/>
  <c r="I106" i="21"/>
  <c r="G107" i="21"/>
  <c r="J107" i="21" s="1"/>
  <c r="I107" i="21"/>
  <c r="G108" i="21"/>
  <c r="J108" i="21" s="1"/>
  <c r="I108" i="21"/>
  <c r="G109" i="21"/>
  <c r="J109" i="21" s="1"/>
  <c r="I109" i="21"/>
  <c r="G110" i="21"/>
  <c r="J110" i="21" s="1"/>
  <c r="I110" i="21"/>
  <c r="G111" i="21"/>
  <c r="J111" i="21" s="1"/>
  <c r="I111" i="21"/>
  <c r="G112" i="21"/>
  <c r="J112" i="21" s="1"/>
  <c r="I112" i="21"/>
  <c r="G113" i="21"/>
  <c r="J113" i="21" s="1"/>
  <c r="I113" i="21"/>
  <c r="G114" i="21"/>
  <c r="J114" i="21" s="1"/>
  <c r="I114" i="21"/>
  <c r="G115" i="21"/>
  <c r="J115" i="21" s="1"/>
  <c r="I115" i="21"/>
  <c r="G116" i="21"/>
  <c r="J116" i="21" s="1"/>
  <c r="I116" i="21"/>
  <c r="G117" i="21"/>
  <c r="J117" i="21" s="1"/>
  <c r="I117" i="21"/>
  <c r="G118" i="21"/>
  <c r="J118" i="21" s="1"/>
  <c r="I118" i="21"/>
  <c r="G119" i="21"/>
  <c r="J119" i="21" s="1"/>
  <c r="I119" i="21"/>
  <c r="G120" i="21"/>
  <c r="J120" i="21" s="1"/>
  <c r="I120" i="21"/>
  <c r="G121" i="21"/>
  <c r="J121" i="21" s="1"/>
  <c r="I121" i="21"/>
  <c r="G122" i="21"/>
  <c r="J122" i="21" s="1"/>
  <c r="I122" i="21"/>
  <c r="G123" i="21"/>
  <c r="J123" i="21" s="1"/>
  <c r="I123" i="21"/>
  <c r="G124" i="21"/>
  <c r="J124" i="21" s="1"/>
  <c r="I124" i="21"/>
  <c r="G125" i="21"/>
  <c r="J125" i="21" s="1"/>
  <c r="I125" i="21"/>
  <c r="G126" i="21"/>
  <c r="J126" i="21" s="1"/>
  <c r="I126" i="21"/>
  <c r="G127" i="21"/>
  <c r="J127" i="21" s="1"/>
  <c r="I127" i="21"/>
  <c r="G128" i="21"/>
  <c r="J128" i="21" s="1"/>
  <c r="I128" i="21"/>
  <c r="G129" i="21"/>
  <c r="J129" i="21" s="1"/>
  <c r="I129" i="21"/>
  <c r="G130" i="21"/>
  <c r="J130" i="21" s="1"/>
  <c r="I130" i="21"/>
  <c r="G131" i="21"/>
  <c r="J131" i="21" s="1"/>
  <c r="I131" i="21"/>
  <c r="G132" i="21"/>
  <c r="J132" i="21" s="1"/>
  <c r="I132" i="21"/>
  <c r="G133" i="21"/>
  <c r="J133" i="21" s="1"/>
  <c r="I133" i="21"/>
  <c r="G134" i="21"/>
  <c r="J134" i="21" s="1"/>
  <c r="I134" i="21"/>
  <c r="G135" i="21"/>
  <c r="J135" i="21" s="1"/>
  <c r="I135" i="21"/>
  <c r="G136" i="21"/>
  <c r="J136" i="21" s="1"/>
  <c r="I136" i="21"/>
  <c r="G137" i="21"/>
  <c r="J137" i="21" s="1"/>
  <c r="I137" i="21"/>
  <c r="G138" i="21"/>
  <c r="J138" i="21" s="1"/>
  <c r="I138" i="21"/>
  <c r="G139" i="21"/>
  <c r="J139" i="21" s="1"/>
  <c r="I139" i="21"/>
  <c r="G140" i="21"/>
  <c r="J140" i="21" s="1"/>
  <c r="I140" i="21"/>
  <c r="G141" i="21"/>
  <c r="J141" i="21" s="1"/>
  <c r="I141" i="21"/>
  <c r="G142" i="21"/>
  <c r="J142" i="21" s="1"/>
  <c r="I142" i="21"/>
  <c r="G143" i="21"/>
  <c r="J143" i="21" s="1"/>
  <c r="I143" i="21"/>
  <c r="G144" i="21"/>
  <c r="J144" i="21" s="1"/>
  <c r="I144" i="21"/>
  <c r="G145" i="21"/>
  <c r="J145" i="21" s="1"/>
  <c r="I145" i="21"/>
  <c r="G146" i="21"/>
  <c r="J146" i="21" s="1"/>
  <c r="I146" i="21"/>
  <c r="G147" i="21"/>
  <c r="J147" i="21" s="1"/>
  <c r="I147" i="21"/>
  <c r="G148" i="21"/>
  <c r="J148" i="21" s="1"/>
  <c r="I148" i="21"/>
  <c r="G149" i="21"/>
  <c r="J149" i="21" s="1"/>
  <c r="I149" i="21"/>
  <c r="G150" i="21"/>
  <c r="J150" i="21" s="1"/>
  <c r="I150" i="21"/>
  <c r="G151" i="21"/>
  <c r="J151" i="21" s="1"/>
  <c r="I151" i="21"/>
  <c r="G152" i="21"/>
  <c r="J152" i="21" s="1"/>
  <c r="I152" i="21"/>
  <c r="G153" i="21"/>
  <c r="J153" i="21" s="1"/>
  <c r="I153" i="21"/>
  <c r="G154" i="21"/>
  <c r="J154" i="21" s="1"/>
  <c r="I154" i="21"/>
  <c r="G155" i="21"/>
  <c r="J155" i="21" s="1"/>
  <c r="I155" i="21"/>
  <c r="G156" i="21"/>
  <c r="J156" i="21" s="1"/>
  <c r="I156" i="21"/>
  <c r="G157" i="21"/>
  <c r="J157" i="21" s="1"/>
  <c r="I157" i="21"/>
  <c r="G158" i="21"/>
  <c r="J158" i="21" s="1"/>
  <c r="I158" i="21"/>
  <c r="G159" i="21"/>
  <c r="J159" i="21" s="1"/>
  <c r="I159" i="21"/>
  <c r="G160" i="21"/>
  <c r="J160" i="21" s="1"/>
  <c r="I160" i="21"/>
  <c r="G161" i="21"/>
  <c r="J161" i="21" s="1"/>
  <c r="I161" i="21"/>
  <c r="G162" i="21"/>
  <c r="J162" i="21" s="1"/>
  <c r="I162" i="21"/>
  <c r="G163" i="21"/>
  <c r="J163" i="21" s="1"/>
  <c r="I163" i="21"/>
  <c r="G164" i="21"/>
  <c r="J164" i="21" s="1"/>
  <c r="I164" i="21"/>
  <c r="G165" i="21"/>
  <c r="J165" i="21" s="1"/>
  <c r="I165" i="21"/>
  <c r="G166" i="21"/>
  <c r="J166" i="21" s="1"/>
  <c r="I166" i="21"/>
  <c r="G167" i="21"/>
  <c r="J167" i="21" s="1"/>
  <c r="I167" i="21"/>
  <c r="G168" i="21"/>
  <c r="J168" i="21" s="1"/>
  <c r="I168" i="21"/>
  <c r="G169" i="21"/>
  <c r="J169" i="21" s="1"/>
  <c r="I169" i="21"/>
  <c r="G170" i="21"/>
  <c r="J170" i="21" s="1"/>
  <c r="I170" i="21"/>
  <c r="G171" i="21"/>
  <c r="J171" i="21" s="1"/>
  <c r="I171" i="21"/>
  <c r="G172" i="21"/>
  <c r="J172" i="21" s="1"/>
  <c r="I172" i="21"/>
  <c r="G173" i="21"/>
  <c r="J173" i="21" s="1"/>
  <c r="I173" i="21"/>
  <c r="G174" i="21"/>
  <c r="J174" i="21" s="1"/>
  <c r="I174" i="21"/>
  <c r="G175" i="21"/>
  <c r="J175" i="21" s="1"/>
  <c r="I175" i="21"/>
  <c r="G176" i="21"/>
  <c r="J176" i="21" s="1"/>
  <c r="I176" i="21"/>
  <c r="G177" i="21"/>
  <c r="J177" i="21" s="1"/>
  <c r="I177" i="21"/>
  <c r="G178" i="21"/>
  <c r="J178" i="21" s="1"/>
  <c r="I178" i="21"/>
  <c r="G179" i="21"/>
  <c r="J179" i="21" s="1"/>
  <c r="I179" i="21"/>
  <c r="G180" i="21"/>
  <c r="J180" i="21" s="1"/>
  <c r="I180" i="21"/>
  <c r="G181" i="21"/>
  <c r="J181" i="21" s="1"/>
  <c r="I181" i="21"/>
  <c r="G182" i="21"/>
  <c r="J182" i="21" s="1"/>
  <c r="I182" i="21"/>
  <c r="G183" i="21"/>
  <c r="J183" i="21" s="1"/>
  <c r="I183" i="21"/>
  <c r="G184" i="21"/>
  <c r="J184" i="21" s="1"/>
  <c r="I184" i="21"/>
  <c r="G185" i="21"/>
  <c r="J185" i="21" s="1"/>
  <c r="I185" i="21"/>
  <c r="G186" i="21"/>
  <c r="J186" i="21" s="1"/>
  <c r="I186" i="21"/>
  <c r="G187" i="21"/>
  <c r="J187" i="21" s="1"/>
  <c r="I187" i="21"/>
  <c r="G188" i="21"/>
  <c r="J188" i="21" s="1"/>
  <c r="I188" i="21"/>
  <c r="G189" i="21"/>
  <c r="J189" i="21" s="1"/>
  <c r="I189" i="21"/>
  <c r="G190" i="21"/>
  <c r="J190" i="21" s="1"/>
  <c r="I190" i="21"/>
  <c r="G191" i="21"/>
  <c r="J191" i="21" s="1"/>
  <c r="I191" i="21"/>
  <c r="G192" i="21"/>
  <c r="J192" i="21" s="1"/>
  <c r="I192" i="21"/>
  <c r="G193" i="21"/>
  <c r="J193" i="21" s="1"/>
  <c r="I193" i="21"/>
  <c r="G194" i="21"/>
  <c r="J194" i="21" s="1"/>
  <c r="I194" i="21"/>
  <c r="G195" i="21"/>
  <c r="J195" i="21" s="1"/>
  <c r="I195" i="21"/>
  <c r="G196" i="21"/>
  <c r="J196" i="21" s="1"/>
  <c r="I196" i="21"/>
  <c r="G197" i="21"/>
  <c r="J197" i="21" s="1"/>
  <c r="I197" i="21"/>
  <c r="G198" i="21"/>
  <c r="J198" i="21" s="1"/>
  <c r="I198" i="21"/>
  <c r="G199" i="21"/>
  <c r="J199" i="21" s="1"/>
  <c r="I199" i="21"/>
  <c r="G200" i="21"/>
  <c r="J200" i="21" s="1"/>
  <c r="I200" i="21"/>
  <c r="G201" i="21"/>
  <c r="J201" i="21" s="1"/>
  <c r="I201" i="21"/>
  <c r="G202" i="21"/>
  <c r="J202" i="21" s="1"/>
  <c r="I202" i="21"/>
  <c r="G203" i="21"/>
  <c r="J203" i="21" s="1"/>
  <c r="I203" i="21"/>
  <c r="G204" i="21"/>
  <c r="J204" i="21" s="1"/>
  <c r="I204" i="21"/>
  <c r="G205" i="21"/>
  <c r="J205" i="21" s="1"/>
  <c r="I205" i="21"/>
  <c r="G206" i="21"/>
  <c r="J206" i="21" s="1"/>
  <c r="I206" i="21"/>
  <c r="G207" i="21"/>
  <c r="J207" i="21" s="1"/>
  <c r="I207" i="21"/>
  <c r="G208" i="21"/>
  <c r="J208" i="21" s="1"/>
  <c r="I208" i="21"/>
  <c r="G209" i="21"/>
  <c r="J209" i="21" s="1"/>
  <c r="I209" i="21"/>
  <c r="G210" i="21"/>
  <c r="J210" i="21" s="1"/>
  <c r="I210" i="21"/>
  <c r="G211" i="21"/>
  <c r="J211" i="21" s="1"/>
  <c r="I211" i="21"/>
  <c r="G212" i="21"/>
  <c r="J212" i="21" s="1"/>
  <c r="I212" i="21"/>
  <c r="G213" i="21"/>
  <c r="J213" i="21" s="1"/>
  <c r="I213" i="21"/>
  <c r="G214" i="21"/>
  <c r="J214" i="21" s="1"/>
  <c r="I214" i="21"/>
  <c r="G215" i="21"/>
  <c r="J215" i="21" s="1"/>
  <c r="I215" i="21"/>
  <c r="G216" i="21"/>
  <c r="J216" i="21" s="1"/>
  <c r="I216" i="21"/>
  <c r="G217" i="21"/>
  <c r="J217" i="21" s="1"/>
  <c r="I217" i="21"/>
  <c r="G218" i="21"/>
  <c r="J218" i="21" s="1"/>
  <c r="I218" i="21"/>
  <c r="G219" i="21"/>
  <c r="J219" i="21" s="1"/>
  <c r="I219" i="21"/>
  <c r="G220" i="21"/>
  <c r="J220" i="21" s="1"/>
  <c r="I220" i="21"/>
  <c r="G221" i="21"/>
  <c r="J221" i="21" s="1"/>
  <c r="I221" i="21"/>
  <c r="G222" i="21"/>
  <c r="J222" i="21" s="1"/>
  <c r="I222" i="21"/>
  <c r="G223" i="21"/>
  <c r="J223" i="21" s="1"/>
  <c r="I223" i="21"/>
  <c r="G224" i="21"/>
  <c r="J224" i="21" s="1"/>
  <c r="I224" i="21"/>
  <c r="G225" i="21"/>
  <c r="J225" i="21" s="1"/>
  <c r="I225" i="21"/>
  <c r="G226" i="21"/>
  <c r="J226" i="21" s="1"/>
  <c r="I226" i="21"/>
  <c r="G227" i="21"/>
  <c r="J227" i="21" s="1"/>
  <c r="I227" i="21"/>
  <c r="G228" i="21"/>
  <c r="J228" i="21" s="1"/>
  <c r="I228" i="21"/>
  <c r="G229" i="21"/>
  <c r="J229" i="21" s="1"/>
  <c r="I229" i="21"/>
  <c r="G230" i="21"/>
  <c r="J230" i="21" s="1"/>
  <c r="I230" i="21"/>
  <c r="G231" i="21"/>
  <c r="J231" i="21" s="1"/>
  <c r="I231" i="21"/>
  <c r="G232" i="21"/>
  <c r="J232" i="21" s="1"/>
  <c r="I232" i="21"/>
  <c r="G233" i="21"/>
  <c r="J233" i="21" s="1"/>
  <c r="I233" i="21"/>
  <c r="G234" i="21"/>
  <c r="J234" i="21" s="1"/>
  <c r="I234" i="21"/>
  <c r="G235" i="21"/>
  <c r="J235" i="21" s="1"/>
  <c r="I235" i="21"/>
  <c r="G236" i="21"/>
  <c r="J236" i="21" s="1"/>
  <c r="I236" i="21"/>
  <c r="G237" i="21"/>
  <c r="J237" i="21" s="1"/>
  <c r="I237" i="21"/>
  <c r="G238" i="21"/>
  <c r="J238" i="21" s="1"/>
  <c r="I238" i="21"/>
  <c r="G239" i="21"/>
  <c r="J239" i="21" s="1"/>
  <c r="I239" i="21"/>
  <c r="G240" i="21"/>
  <c r="J240" i="21" s="1"/>
  <c r="I240" i="21"/>
  <c r="G241" i="21"/>
  <c r="J241" i="21" s="1"/>
  <c r="I241" i="21"/>
  <c r="G242" i="21"/>
  <c r="J242" i="21" s="1"/>
  <c r="I242" i="21"/>
  <c r="G243" i="21"/>
  <c r="J243" i="21" s="1"/>
  <c r="I243" i="21"/>
  <c r="G244" i="21"/>
  <c r="J244" i="21" s="1"/>
  <c r="I244" i="21"/>
  <c r="G245" i="21"/>
  <c r="J245" i="21" s="1"/>
  <c r="I245" i="21"/>
  <c r="G246" i="21"/>
  <c r="J246" i="21" s="1"/>
  <c r="I246" i="21"/>
  <c r="G247" i="21"/>
  <c r="J247" i="21" s="1"/>
  <c r="I247" i="21"/>
  <c r="G248" i="21"/>
  <c r="J248" i="21" s="1"/>
  <c r="I248" i="21"/>
  <c r="G249" i="21"/>
  <c r="J249" i="21" s="1"/>
  <c r="I249" i="21"/>
  <c r="G250" i="21"/>
  <c r="J250" i="21" s="1"/>
  <c r="I250" i="21"/>
  <c r="G251" i="21"/>
  <c r="J251" i="21" s="1"/>
  <c r="I251" i="21"/>
  <c r="G252" i="21"/>
  <c r="J252" i="21" s="1"/>
  <c r="I252" i="21"/>
  <c r="G253" i="21"/>
  <c r="J253" i="21" s="1"/>
  <c r="I253" i="21"/>
  <c r="G254" i="21"/>
  <c r="J254" i="21" s="1"/>
  <c r="I254" i="21"/>
  <c r="G255" i="21"/>
  <c r="J255" i="21" s="1"/>
  <c r="I255" i="21"/>
  <c r="G256" i="21"/>
  <c r="J256" i="21" s="1"/>
  <c r="I256" i="21"/>
  <c r="G257" i="21"/>
  <c r="J257" i="21" s="1"/>
  <c r="I257" i="21"/>
  <c r="G258" i="21"/>
  <c r="J258" i="21" s="1"/>
  <c r="I258" i="21"/>
  <c r="G259" i="21"/>
  <c r="J259" i="21" s="1"/>
  <c r="I259" i="21"/>
  <c r="G260" i="21"/>
  <c r="J260" i="21" s="1"/>
  <c r="I260" i="21"/>
  <c r="G261" i="21"/>
  <c r="J261" i="21" s="1"/>
  <c r="I261" i="21"/>
  <c r="G262" i="21"/>
  <c r="J262" i="21" s="1"/>
  <c r="I262" i="21"/>
  <c r="G263" i="21"/>
  <c r="J263" i="21" s="1"/>
  <c r="I263" i="21"/>
  <c r="G264" i="21"/>
  <c r="J264" i="21" s="1"/>
  <c r="I264" i="21"/>
  <c r="G265" i="21"/>
  <c r="J265" i="21" s="1"/>
  <c r="I265" i="21"/>
  <c r="G266" i="21"/>
  <c r="J266" i="21" s="1"/>
  <c r="I266" i="21"/>
  <c r="G267" i="21"/>
  <c r="J267" i="21" s="1"/>
  <c r="I267" i="21"/>
  <c r="G268" i="21"/>
  <c r="J268" i="21" s="1"/>
  <c r="I268" i="21"/>
  <c r="G269" i="21"/>
  <c r="J269" i="21" s="1"/>
  <c r="I269" i="21"/>
  <c r="G270" i="21"/>
  <c r="J270" i="21" s="1"/>
  <c r="I270" i="21"/>
  <c r="G271" i="21"/>
  <c r="J271" i="21" s="1"/>
  <c r="I271" i="21"/>
  <c r="G272" i="21"/>
  <c r="J272" i="21" s="1"/>
  <c r="I272" i="21"/>
  <c r="G273" i="21"/>
  <c r="J273" i="21" s="1"/>
  <c r="I273" i="21"/>
  <c r="G274" i="21"/>
  <c r="J274" i="21" s="1"/>
  <c r="I274" i="21"/>
  <c r="G275" i="21"/>
  <c r="J275" i="21" s="1"/>
  <c r="I275" i="21"/>
  <c r="G276" i="21"/>
  <c r="J276" i="21" s="1"/>
  <c r="I276" i="21"/>
  <c r="G277" i="21"/>
  <c r="J277" i="21" s="1"/>
  <c r="I277" i="21"/>
  <c r="G278" i="21"/>
  <c r="J278" i="21" s="1"/>
  <c r="I278" i="21"/>
  <c r="G279" i="21"/>
  <c r="J279" i="21" s="1"/>
  <c r="I279" i="21"/>
  <c r="G280" i="21"/>
  <c r="J280" i="21" s="1"/>
  <c r="I280" i="21"/>
  <c r="G281" i="21"/>
  <c r="J281" i="21" s="1"/>
  <c r="I281" i="21"/>
  <c r="G282" i="21"/>
  <c r="J282" i="21" s="1"/>
  <c r="I282" i="21"/>
  <c r="G283" i="21"/>
  <c r="J283" i="21" s="1"/>
  <c r="I283" i="21"/>
  <c r="G284" i="21"/>
  <c r="J284" i="21" s="1"/>
  <c r="I284" i="21"/>
  <c r="G285" i="21"/>
  <c r="J285" i="21" s="1"/>
  <c r="I285" i="21"/>
  <c r="G286" i="21"/>
  <c r="J286" i="21" s="1"/>
  <c r="I286" i="21"/>
  <c r="G287" i="21"/>
  <c r="J287" i="21" s="1"/>
  <c r="I287" i="21"/>
  <c r="G288" i="21"/>
  <c r="J288" i="21" s="1"/>
  <c r="I288" i="21"/>
  <c r="G289" i="21"/>
  <c r="J289" i="21" s="1"/>
  <c r="I289" i="21"/>
  <c r="G290" i="21"/>
  <c r="J290" i="21" s="1"/>
  <c r="I290" i="21"/>
  <c r="G291" i="21"/>
  <c r="J291" i="21" s="1"/>
  <c r="I291" i="21"/>
  <c r="G292" i="21"/>
  <c r="J292" i="21" s="1"/>
  <c r="I292" i="21"/>
  <c r="G293" i="21"/>
  <c r="J293" i="21" s="1"/>
  <c r="I293" i="21"/>
  <c r="G294" i="21"/>
  <c r="J294" i="21" s="1"/>
  <c r="I294" i="21"/>
  <c r="G295" i="21"/>
  <c r="J295" i="21" s="1"/>
  <c r="I295" i="21"/>
  <c r="G296" i="21"/>
  <c r="J296" i="21" s="1"/>
  <c r="I296" i="21"/>
  <c r="G297" i="21"/>
  <c r="J297" i="21" s="1"/>
  <c r="I297" i="21"/>
  <c r="G298" i="21"/>
  <c r="J298" i="21" s="1"/>
  <c r="I298" i="21"/>
  <c r="G299" i="21"/>
  <c r="J299" i="21" s="1"/>
  <c r="I299" i="21"/>
  <c r="G300" i="21"/>
  <c r="J300" i="21" s="1"/>
  <c r="I300" i="21"/>
  <c r="G301" i="21"/>
  <c r="J301" i="21" s="1"/>
  <c r="I301" i="21"/>
  <c r="G302" i="21"/>
  <c r="J302" i="21" s="1"/>
  <c r="I302" i="21"/>
  <c r="G303" i="21"/>
  <c r="J303" i="21" s="1"/>
  <c r="I303" i="21"/>
  <c r="G304" i="21"/>
  <c r="J304" i="21" s="1"/>
  <c r="I304" i="21"/>
  <c r="G305" i="21"/>
  <c r="J305" i="21" s="1"/>
  <c r="I305" i="21"/>
  <c r="G306" i="21"/>
  <c r="J306" i="21" s="1"/>
  <c r="I306" i="21"/>
  <c r="G307" i="21"/>
  <c r="J307" i="21" s="1"/>
  <c r="I307" i="21"/>
  <c r="G308" i="21"/>
  <c r="J308" i="21" s="1"/>
  <c r="I308" i="21"/>
  <c r="G309" i="21"/>
  <c r="J309" i="21" s="1"/>
  <c r="I309" i="21"/>
  <c r="G310" i="21"/>
  <c r="J310" i="21" s="1"/>
  <c r="I310" i="21"/>
  <c r="G311" i="21"/>
  <c r="J311" i="21" s="1"/>
  <c r="I311" i="21"/>
  <c r="G312" i="21"/>
  <c r="J312" i="21" s="1"/>
  <c r="I312" i="21"/>
  <c r="G313" i="21"/>
  <c r="J313" i="21" s="1"/>
  <c r="I313" i="21"/>
  <c r="G314" i="21"/>
  <c r="J314" i="21" s="1"/>
  <c r="I314" i="21"/>
  <c r="G315" i="21"/>
  <c r="J315" i="21" s="1"/>
  <c r="I315" i="21"/>
  <c r="G316" i="21"/>
  <c r="J316" i="21" s="1"/>
  <c r="I316" i="21"/>
  <c r="G317" i="21"/>
  <c r="J317" i="21" s="1"/>
  <c r="I317" i="21"/>
  <c r="G318" i="21"/>
  <c r="J318" i="21" s="1"/>
  <c r="I318" i="21"/>
  <c r="G319" i="21"/>
  <c r="J319" i="21" s="1"/>
  <c r="I319" i="21"/>
  <c r="G320" i="21"/>
  <c r="J320" i="21" s="1"/>
  <c r="I320" i="21"/>
  <c r="G321" i="21"/>
  <c r="J321" i="21" s="1"/>
  <c r="I321" i="21"/>
  <c r="G322" i="21"/>
  <c r="J322" i="21" s="1"/>
  <c r="I322" i="21"/>
  <c r="G323" i="21"/>
  <c r="J323" i="21" s="1"/>
  <c r="I323" i="21"/>
  <c r="G324" i="21"/>
  <c r="J324" i="21" s="1"/>
  <c r="I324" i="21"/>
  <c r="G325" i="21"/>
  <c r="J325" i="21" s="1"/>
  <c r="I325" i="21"/>
  <c r="G326" i="21"/>
  <c r="J326" i="21" s="1"/>
  <c r="I326" i="21"/>
  <c r="G327" i="21"/>
  <c r="J327" i="21" s="1"/>
  <c r="I327" i="21"/>
  <c r="G328" i="21"/>
  <c r="J328" i="21" s="1"/>
  <c r="I328" i="21"/>
  <c r="G329" i="21"/>
  <c r="J329" i="21" s="1"/>
  <c r="I329" i="21"/>
  <c r="G330" i="21"/>
  <c r="J330" i="21" s="1"/>
  <c r="I330" i="21"/>
  <c r="G331" i="21"/>
  <c r="J331" i="21" s="1"/>
  <c r="I331" i="21"/>
  <c r="G332" i="21"/>
  <c r="J332" i="21" s="1"/>
  <c r="I332" i="21"/>
  <c r="G333" i="21"/>
  <c r="J333" i="21" s="1"/>
  <c r="I333" i="21"/>
  <c r="G334" i="21"/>
  <c r="J334" i="21" s="1"/>
  <c r="I334" i="21"/>
  <c r="G335" i="21"/>
  <c r="J335" i="21" s="1"/>
  <c r="I335" i="21"/>
  <c r="G336" i="21"/>
  <c r="J336" i="21" s="1"/>
  <c r="I336" i="21"/>
  <c r="G337" i="21"/>
  <c r="J337" i="21" s="1"/>
  <c r="I337" i="21"/>
  <c r="G338" i="21"/>
  <c r="J338" i="21" s="1"/>
  <c r="I338" i="21"/>
  <c r="G339" i="21"/>
  <c r="J339" i="21" s="1"/>
  <c r="I339" i="21"/>
  <c r="G340" i="21"/>
  <c r="J340" i="21" s="1"/>
  <c r="I340" i="21"/>
  <c r="G341" i="21"/>
  <c r="J341" i="21" s="1"/>
  <c r="I341" i="21"/>
  <c r="G342" i="21"/>
  <c r="J342" i="21" s="1"/>
  <c r="I342" i="21"/>
  <c r="G343" i="21"/>
  <c r="J343" i="21" s="1"/>
  <c r="I343" i="21"/>
  <c r="G344" i="21"/>
  <c r="J344" i="21" s="1"/>
  <c r="I344" i="21"/>
  <c r="G345" i="21"/>
  <c r="J345" i="21" s="1"/>
  <c r="I345" i="21"/>
  <c r="G346" i="21"/>
  <c r="J346" i="21" s="1"/>
  <c r="I346" i="21"/>
  <c r="G347" i="21"/>
  <c r="J347" i="21" s="1"/>
  <c r="I347" i="21"/>
  <c r="G348" i="21"/>
  <c r="J348" i="21" s="1"/>
  <c r="I348" i="21"/>
  <c r="G349" i="21"/>
  <c r="J349" i="21" s="1"/>
  <c r="I349" i="21"/>
  <c r="G350" i="21"/>
  <c r="J350" i="21" s="1"/>
  <c r="I350" i="21"/>
  <c r="G351" i="21"/>
  <c r="J351" i="21" s="1"/>
  <c r="I351" i="21"/>
  <c r="G352" i="21"/>
  <c r="J352" i="21" s="1"/>
  <c r="I352" i="21"/>
  <c r="G353" i="21"/>
  <c r="J353" i="21" s="1"/>
  <c r="I353" i="21"/>
  <c r="G354" i="21"/>
  <c r="J354" i="21" s="1"/>
  <c r="I354" i="21"/>
  <c r="G355" i="21"/>
  <c r="J355" i="21" s="1"/>
  <c r="I355" i="21"/>
  <c r="G356" i="21"/>
  <c r="J356" i="21" s="1"/>
  <c r="I356" i="21"/>
  <c r="G357" i="21"/>
  <c r="J357" i="21" s="1"/>
  <c r="I357" i="21"/>
  <c r="G358" i="21"/>
  <c r="J358" i="21" s="1"/>
  <c r="I358" i="21"/>
  <c r="G359" i="21"/>
  <c r="J359" i="21" s="1"/>
  <c r="I359" i="21"/>
  <c r="G360" i="21"/>
  <c r="J360" i="21" s="1"/>
  <c r="I360" i="21"/>
  <c r="G361" i="21"/>
  <c r="J361" i="21" s="1"/>
  <c r="I361" i="21"/>
  <c r="G362" i="21"/>
  <c r="J362" i="21" s="1"/>
  <c r="I362" i="21"/>
  <c r="G363" i="21"/>
  <c r="J363" i="21" s="1"/>
  <c r="I363" i="21"/>
  <c r="G364" i="21"/>
  <c r="J364" i="21" s="1"/>
  <c r="I364" i="21"/>
  <c r="G365" i="21"/>
  <c r="J365" i="21" s="1"/>
  <c r="I365" i="21"/>
  <c r="G366" i="21"/>
  <c r="J366" i="21" s="1"/>
  <c r="I366" i="21"/>
  <c r="G367" i="21"/>
  <c r="J367" i="21" s="1"/>
  <c r="I367" i="21"/>
  <c r="G368" i="21"/>
  <c r="J368" i="21" s="1"/>
  <c r="I368" i="21"/>
  <c r="G369" i="21"/>
  <c r="J369" i="21" s="1"/>
  <c r="I369" i="21"/>
  <c r="G370" i="21"/>
  <c r="J370" i="21" s="1"/>
  <c r="I370" i="21"/>
  <c r="G371" i="21"/>
  <c r="J371" i="21" s="1"/>
  <c r="I371" i="21"/>
  <c r="G372" i="21"/>
  <c r="J372" i="21" s="1"/>
  <c r="I372" i="21"/>
  <c r="G373" i="21"/>
  <c r="J373" i="21" s="1"/>
  <c r="I373" i="21"/>
  <c r="G374" i="21"/>
  <c r="J374" i="21" s="1"/>
  <c r="I374" i="21"/>
  <c r="G375" i="21"/>
  <c r="J375" i="21" s="1"/>
  <c r="I375" i="21"/>
  <c r="G376" i="21"/>
  <c r="J376" i="21" s="1"/>
  <c r="I376" i="21"/>
  <c r="G377" i="21"/>
  <c r="J377" i="21" s="1"/>
  <c r="I377" i="21"/>
  <c r="G378" i="21"/>
  <c r="J378" i="21" s="1"/>
  <c r="I378" i="21"/>
  <c r="G379" i="21"/>
  <c r="J379" i="21" s="1"/>
  <c r="I379" i="21"/>
  <c r="G380" i="21"/>
  <c r="J380" i="21" s="1"/>
  <c r="I380" i="21"/>
  <c r="G381" i="21"/>
  <c r="J381" i="21" s="1"/>
  <c r="I381" i="21"/>
  <c r="G382" i="21"/>
  <c r="J382" i="21" s="1"/>
  <c r="I382" i="21"/>
  <c r="G383" i="21"/>
  <c r="J383" i="21" s="1"/>
  <c r="I383" i="21"/>
  <c r="G384" i="21"/>
  <c r="J384" i="21" s="1"/>
  <c r="I384" i="21"/>
  <c r="G385" i="21"/>
  <c r="J385" i="21" s="1"/>
  <c r="I385" i="21"/>
  <c r="G386" i="21"/>
  <c r="J386" i="21" s="1"/>
  <c r="I386" i="21"/>
  <c r="G387" i="21"/>
  <c r="J387" i="21" s="1"/>
  <c r="I387" i="21"/>
  <c r="G388" i="21"/>
  <c r="J388" i="21" s="1"/>
  <c r="I388" i="21"/>
  <c r="G389" i="21"/>
  <c r="J389" i="21" s="1"/>
  <c r="I389" i="21"/>
  <c r="G390" i="21"/>
  <c r="J390" i="21" s="1"/>
  <c r="I390" i="21"/>
  <c r="G391" i="21"/>
  <c r="J391" i="21" s="1"/>
  <c r="I391" i="21"/>
  <c r="G392" i="21"/>
  <c r="J392" i="21" s="1"/>
  <c r="I392" i="21"/>
  <c r="G393" i="21"/>
  <c r="J393" i="21" s="1"/>
  <c r="I393" i="21"/>
  <c r="G394" i="21"/>
  <c r="J394" i="21" s="1"/>
  <c r="I394" i="21"/>
  <c r="G395" i="21"/>
  <c r="J395" i="21" s="1"/>
  <c r="I395" i="21"/>
  <c r="G396" i="21"/>
  <c r="J396" i="21" s="1"/>
  <c r="I396" i="21"/>
  <c r="G397" i="21"/>
  <c r="J397" i="21" s="1"/>
  <c r="I397" i="21"/>
  <c r="G398" i="21"/>
  <c r="J398" i="21" s="1"/>
  <c r="I398" i="21"/>
  <c r="G399" i="21"/>
  <c r="J399" i="21" s="1"/>
  <c r="I399" i="21"/>
  <c r="G400" i="21"/>
  <c r="J400" i="21" s="1"/>
  <c r="I400" i="21"/>
  <c r="G401" i="21"/>
  <c r="J401" i="21" s="1"/>
  <c r="I401" i="21"/>
  <c r="G402" i="21"/>
  <c r="J402" i="21" s="1"/>
  <c r="I402" i="21"/>
  <c r="G403" i="21"/>
  <c r="J403" i="21" s="1"/>
  <c r="I403" i="21"/>
  <c r="G404" i="21"/>
  <c r="J404" i="21" s="1"/>
  <c r="I404" i="21"/>
  <c r="G405" i="21"/>
  <c r="J405" i="21" s="1"/>
  <c r="I405" i="21"/>
  <c r="G406" i="21"/>
  <c r="J406" i="21" s="1"/>
  <c r="I406" i="21"/>
  <c r="G407" i="21"/>
  <c r="J407" i="21" s="1"/>
  <c r="I407" i="21"/>
  <c r="G408" i="21"/>
  <c r="J408" i="21" s="1"/>
  <c r="I408" i="21"/>
  <c r="G409" i="21"/>
  <c r="J409" i="21" s="1"/>
  <c r="I409" i="21"/>
  <c r="G410" i="21"/>
  <c r="J410" i="21" s="1"/>
  <c r="I410" i="21"/>
  <c r="G411" i="21"/>
  <c r="J411" i="21" s="1"/>
  <c r="I411" i="21"/>
  <c r="G412" i="21"/>
  <c r="J412" i="21" s="1"/>
  <c r="I412" i="21"/>
  <c r="G413" i="21"/>
  <c r="J413" i="21" s="1"/>
  <c r="I413" i="21"/>
  <c r="G414" i="21"/>
  <c r="J414" i="21" s="1"/>
  <c r="I414" i="21"/>
  <c r="G415" i="21"/>
  <c r="J415" i="21" s="1"/>
  <c r="I415" i="21"/>
  <c r="G416" i="21"/>
  <c r="J416" i="21" s="1"/>
  <c r="I416" i="21"/>
  <c r="G417" i="21"/>
  <c r="J417" i="21" s="1"/>
  <c r="I417" i="21"/>
  <c r="G418" i="21"/>
  <c r="J418" i="21" s="1"/>
  <c r="I418" i="21"/>
  <c r="G419" i="21"/>
  <c r="J419" i="21" s="1"/>
  <c r="I419" i="21"/>
  <c r="G420" i="21"/>
  <c r="J420" i="21" s="1"/>
  <c r="I420" i="21"/>
  <c r="G421" i="21"/>
  <c r="J421" i="21" s="1"/>
  <c r="I421" i="21"/>
  <c r="G422" i="21"/>
  <c r="J422" i="21" s="1"/>
  <c r="I422" i="21"/>
  <c r="G423" i="21"/>
  <c r="J423" i="21" s="1"/>
  <c r="I423" i="21"/>
  <c r="G424" i="21"/>
  <c r="J424" i="21" s="1"/>
  <c r="I424" i="21"/>
  <c r="G425" i="21"/>
  <c r="J425" i="21" s="1"/>
  <c r="I425" i="21"/>
  <c r="G426" i="21"/>
  <c r="J426" i="21" s="1"/>
  <c r="I426" i="21"/>
  <c r="G427" i="21"/>
  <c r="J427" i="21" s="1"/>
  <c r="I427" i="21"/>
  <c r="G428" i="21"/>
  <c r="J428" i="21" s="1"/>
  <c r="I428" i="21"/>
  <c r="G429" i="21"/>
  <c r="J429" i="21" s="1"/>
  <c r="I429" i="21"/>
  <c r="G430" i="21"/>
  <c r="J430" i="21" s="1"/>
  <c r="I430" i="21"/>
  <c r="G431" i="21"/>
  <c r="J431" i="21" s="1"/>
  <c r="I431" i="21"/>
  <c r="G432" i="21"/>
  <c r="J432" i="21" s="1"/>
  <c r="I432" i="21"/>
  <c r="G433" i="21"/>
  <c r="J433" i="21" s="1"/>
  <c r="I433" i="21"/>
  <c r="G434" i="21"/>
  <c r="J434" i="21" s="1"/>
  <c r="I434" i="21"/>
  <c r="G435" i="21"/>
  <c r="J435" i="21" s="1"/>
  <c r="I435" i="21"/>
  <c r="G436" i="21"/>
  <c r="J436" i="21" s="1"/>
  <c r="I436" i="21"/>
  <c r="G437" i="21"/>
  <c r="J437" i="21" s="1"/>
  <c r="I437" i="21"/>
  <c r="G438" i="21"/>
  <c r="J438" i="21" s="1"/>
  <c r="I438" i="21"/>
  <c r="G439" i="21"/>
  <c r="J439" i="21" s="1"/>
  <c r="I439" i="21"/>
  <c r="G440" i="21"/>
  <c r="J440" i="21" s="1"/>
  <c r="I440" i="21"/>
  <c r="G441" i="21"/>
  <c r="J441" i="21" s="1"/>
  <c r="I441" i="21"/>
  <c r="G442" i="21"/>
  <c r="J442" i="21" s="1"/>
  <c r="I442" i="21"/>
  <c r="G443" i="21"/>
  <c r="J443" i="21" s="1"/>
  <c r="I443" i="21"/>
  <c r="G444" i="21"/>
  <c r="J444" i="21" s="1"/>
  <c r="I444" i="21"/>
  <c r="G445" i="21"/>
  <c r="J445" i="21" s="1"/>
  <c r="I445" i="21"/>
  <c r="G446" i="21"/>
  <c r="J446" i="21" s="1"/>
  <c r="I446" i="21"/>
  <c r="G447" i="21"/>
  <c r="J447" i="21" s="1"/>
  <c r="I447" i="21"/>
  <c r="G448" i="21"/>
  <c r="J448" i="21" s="1"/>
  <c r="I448" i="21"/>
  <c r="G449" i="21"/>
  <c r="J449" i="21" s="1"/>
  <c r="I449" i="21"/>
  <c r="G450" i="21"/>
  <c r="J450" i="21" s="1"/>
  <c r="I450" i="21"/>
  <c r="G451" i="21"/>
  <c r="J451" i="21" s="1"/>
  <c r="I451" i="21"/>
  <c r="G452" i="21"/>
  <c r="J452" i="21" s="1"/>
  <c r="I452" i="21"/>
  <c r="G453" i="21"/>
  <c r="J453" i="21" s="1"/>
  <c r="I453" i="21"/>
  <c r="G454" i="21"/>
  <c r="J454" i="21" s="1"/>
  <c r="I454" i="21"/>
  <c r="G455" i="21"/>
  <c r="J455" i="21" s="1"/>
  <c r="I455" i="21"/>
  <c r="G456" i="21"/>
  <c r="J456" i="21" s="1"/>
  <c r="I456" i="21"/>
  <c r="G457" i="21"/>
  <c r="J457" i="21" s="1"/>
  <c r="I457" i="21"/>
  <c r="G458" i="21"/>
  <c r="J458" i="21" s="1"/>
  <c r="I458" i="21"/>
  <c r="G459" i="21"/>
  <c r="J459" i="21" s="1"/>
  <c r="I459" i="21"/>
  <c r="G460" i="21"/>
  <c r="J460" i="21" s="1"/>
  <c r="I460" i="21"/>
  <c r="G461" i="21"/>
  <c r="J461" i="21" s="1"/>
  <c r="I461" i="21"/>
  <c r="G462" i="21"/>
  <c r="J462" i="21" s="1"/>
  <c r="I462" i="21"/>
  <c r="G463" i="21"/>
  <c r="J463" i="21" s="1"/>
  <c r="I463" i="21"/>
  <c r="G464" i="21"/>
  <c r="J464" i="21" s="1"/>
  <c r="I464" i="21"/>
  <c r="G465" i="21"/>
  <c r="J465" i="21" s="1"/>
  <c r="I465" i="21"/>
  <c r="G466" i="21"/>
  <c r="J466" i="21" s="1"/>
  <c r="I466" i="21"/>
  <c r="G467" i="21"/>
  <c r="J467" i="21" s="1"/>
  <c r="I467" i="21"/>
  <c r="G468" i="21"/>
  <c r="J468" i="21" s="1"/>
  <c r="I468" i="21"/>
  <c r="G469" i="21"/>
  <c r="J469" i="21" s="1"/>
  <c r="I469" i="21"/>
  <c r="G470" i="21"/>
  <c r="J470" i="21" s="1"/>
  <c r="I470" i="21"/>
  <c r="G471" i="21"/>
  <c r="J471" i="21" s="1"/>
  <c r="I471" i="21"/>
  <c r="G472" i="21"/>
  <c r="J472" i="21" s="1"/>
  <c r="I472" i="21"/>
  <c r="G473" i="21"/>
  <c r="J473" i="21" s="1"/>
  <c r="I473" i="21"/>
  <c r="G474" i="21"/>
  <c r="J474" i="21" s="1"/>
  <c r="I474" i="21"/>
  <c r="G475" i="21"/>
  <c r="J475" i="21" s="1"/>
  <c r="I475" i="21"/>
  <c r="G476" i="21"/>
  <c r="J476" i="21" s="1"/>
  <c r="I476" i="21"/>
  <c r="G477" i="21"/>
  <c r="J477" i="21" s="1"/>
  <c r="I477" i="21"/>
  <c r="G478" i="21"/>
  <c r="J478" i="21" s="1"/>
  <c r="I478" i="21"/>
  <c r="G479" i="21"/>
  <c r="J479" i="21" s="1"/>
  <c r="I479" i="21"/>
  <c r="G480" i="21"/>
  <c r="J480" i="21" s="1"/>
  <c r="I480" i="21"/>
  <c r="G481" i="21"/>
  <c r="J481" i="21" s="1"/>
  <c r="I481" i="21"/>
  <c r="G482" i="21"/>
  <c r="J482" i="21" s="1"/>
  <c r="I482" i="21"/>
  <c r="G483" i="21"/>
  <c r="J483" i="21" s="1"/>
  <c r="I483" i="21"/>
  <c r="G484" i="21"/>
  <c r="J484" i="21" s="1"/>
  <c r="I484" i="21"/>
  <c r="G485" i="21"/>
  <c r="J485" i="21" s="1"/>
  <c r="I485" i="21"/>
  <c r="G486" i="21"/>
  <c r="J486" i="21" s="1"/>
  <c r="I486" i="21"/>
  <c r="G487" i="21"/>
  <c r="J487" i="21" s="1"/>
  <c r="I487" i="21"/>
  <c r="G488" i="21"/>
  <c r="J488" i="21" s="1"/>
  <c r="I488" i="21"/>
  <c r="G489" i="21"/>
  <c r="J489" i="21" s="1"/>
  <c r="I489" i="21"/>
  <c r="G490" i="21"/>
  <c r="J490" i="21" s="1"/>
  <c r="I490" i="21"/>
  <c r="G491" i="21"/>
  <c r="J491" i="21" s="1"/>
  <c r="I491" i="21"/>
  <c r="G492" i="21"/>
  <c r="J492" i="21" s="1"/>
  <c r="I492" i="21"/>
  <c r="G493" i="21"/>
  <c r="J493" i="21" s="1"/>
  <c r="I493" i="21"/>
  <c r="G494" i="21"/>
  <c r="J494" i="21" s="1"/>
  <c r="I494" i="21"/>
  <c r="G495" i="21"/>
  <c r="J495" i="21" s="1"/>
  <c r="I495" i="21"/>
  <c r="G496" i="21"/>
  <c r="J496" i="21" s="1"/>
  <c r="I496" i="21"/>
  <c r="G497" i="21"/>
  <c r="J497" i="21" s="1"/>
  <c r="I497" i="21"/>
  <c r="I19" i="21"/>
  <c r="G19" i="21"/>
  <c r="I499" i="21" l="1"/>
  <c r="C20" i="22" s="1"/>
  <c r="G499" i="21"/>
  <c r="G739" i="20"/>
  <c r="J19" i="21"/>
  <c r="J499" i="21" s="1"/>
  <c r="C19" i="22" s="1"/>
  <c r="J739" i="20"/>
  <c r="B19" i="22" s="1"/>
  <c r="I739" i="20"/>
  <c r="B20" i="22" s="1"/>
  <c r="AD37" i="16" l="1"/>
  <c r="AC37" i="16"/>
  <c r="AB37" i="16"/>
  <c r="AA37" i="16"/>
  <c r="Z37" i="16"/>
  <c r="Y37" i="16"/>
  <c r="F17" i="9" l="1"/>
  <c r="E12" i="2" l="1"/>
  <c r="E54" i="2" s="1"/>
  <c r="D12" i="2"/>
  <c r="D54" i="2" s="1"/>
  <c r="E430" i="16" l="1"/>
  <c r="F430" i="16"/>
  <c r="C12" i="45" l="1"/>
  <c r="C13" i="45" s="1"/>
  <c r="C14" i="45" s="1"/>
  <c r="C15" i="45" s="1"/>
  <c r="C16" i="45" s="1"/>
  <c r="C17" i="45" s="1"/>
  <c r="C18" i="45" s="1"/>
  <c r="C19" i="45" s="1"/>
  <c r="C12" i="42"/>
  <c r="C13" i="42" s="1"/>
  <c r="C14" i="42" s="1"/>
  <c r="C15" i="42" s="1"/>
  <c r="C16" i="42" s="1"/>
  <c r="C17" i="42" s="1"/>
  <c r="C18" i="42" s="1"/>
  <c r="C19" i="42" s="1"/>
  <c r="C13" i="9"/>
  <c r="E12" i="9" l="1"/>
  <c r="C7" i="8"/>
  <c r="T7" i="8" s="1"/>
  <c r="B7" i="8"/>
  <c r="S7" i="8" s="1"/>
  <c r="C8" i="40" l="1"/>
  <c r="D8" i="40"/>
  <c r="E8" i="40"/>
  <c r="E49" i="40" s="1"/>
  <c r="F8" i="40"/>
  <c r="G8" i="40"/>
  <c r="H8" i="40"/>
  <c r="I8" i="40"/>
  <c r="I49" i="40" s="1"/>
  <c r="C9" i="40"/>
  <c r="D9" i="40"/>
  <c r="E9" i="40"/>
  <c r="E50" i="40" s="1"/>
  <c r="F9" i="40"/>
  <c r="F50" i="40" s="1"/>
  <c r="G9" i="40"/>
  <c r="H9" i="40"/>
  <c r="H50" i="40" s="1"/>
  <c r="I9" i="40"/>
  <c r="C10" i="40"/>
  <c r="C51" i="40" s="1"/>
  <c r="D10" i="40"/>
  <c r="D51" i="40" s="1"/>
  <c r="E10" i="40"/>
  <c r="F10" i="40"/>
  <c r="G10" i="40"/>
  <c r="G51" i="40" s="1"/>
  <c r="H10" i="40"/>
  <c r="I10" i="40"/>
  <c r="C11" i="40"/>
  <c r="D11" i="40"/>
  <c r="D52" i="40" s="1"/>
  <c r="E11" i="40"/>
  <c r="F11" i="40"/>
  <c r="G11" i="40"/>
  <c r="G52" i="40" s="1"/>
  <c r="H11" i="40"/>
  <c r="H52" i="40" s="1"/>
  <c r="I11" i="40"/>
  <c r="C12" i="40"/>
  <c r="C53" i="40" s="1"/>
  <c r="D12" i="40"/>
  <c r="E12" i="40"/>
  <c r="E53" i="40" s="1"/>
  <c r="F12" i="40"/>
  <c r="F53" i="40" s="1"/>
  <c r="F74" i="40" s="1"/>
  <c r="G12" i="40"/>
  <c r="H12" i="40"/>
  <c r="I12" i="40"/>
  <c r="I53" i="40" s="1"/>
  <c r="C13" i="40"/>
  <c r="D13" i="40"/>
  <c r="D54" i="40" s="1"/>
  <c r="E13" i="40"/>
  <c r="F13" i="40"/>
  <c r="F54" i="40" s="1"/>
  <c r="G13" i="40"/>
  <c r="H13" i="40"/>
  <c r="I13" i="40"/>
  <c r="I54" i="40" s="1"/>
  <c r="C14" i="40"/>
  <c r="C55" i="40" s="1"/>
  <c r="D14" i="40"/>
  <c r="E14" i="40"/>
  <c r="E55" i="40" s="1"/>
  <c r="F14" i="40"/>
  <c r="G14" i="40"/>
  <c r="G55" i="40" s="1"/>
  <c r="H14" i="40"/>
  <c r="H55" i="40" s="1"/>
  <c r="H76" i="40" s="1"/>
  <c r="I14" i="40"/>
  <c r="C15" i="40"/>
  <c r="D15" i="40"/>
  <c r="D56" i="40" s="1"/>
  <c r="E15" i="40"/>
  <c r="F15" i="40"/>
  <c r="G15" i="40"/>
  <c r="H15" i="40"/>
  <c r="H56" i="40" s="1"/>
  <c r="I15" i="40"/>
  <c r="C16" i="40"/>
  <c r="D16" i="40"/>
  <c r="D57" i="40" s="1"/>
  <c r="E16" i="40"/>
  <c r="E57" i="40" s="1"/>
  <c r="F16" i="40"/>
  <c r="G16" i="40"/>
  <c r="G57" i="40" s="1"/>
  <c r="H16" i="40"/>
  <c r="I16" i="40"/>
  <c r="I57" i="40" s="1"/>
  <c r="C17" i="40"/>
  <c r="C58" i="40" s="1"/>
  <c r="C79" i="40" s="1"/>
  <c r="D17" i="40"/>
  <c r="E17" i="40"/>
  <c r="F17" i="40"/>
  <c r="F58" i="40" s="1"/>
  <c r="G17" i="40"/>
  <c r="H17" i="40"/>
  <c r="I17" i="40"/>
  <c r="C18" i="40"/>
  <c r="C59" i="40" s="1"/>
  <c r="D18" i="40"/>
  <c r="E18" i="40"/>
  <c r="E59" i="40" s="1"/>
  <c r="F18" i="40"/>
  <c r="G18" i="40"/>
  <c r="G59" i="40" s="1"/>
  <c r="H18" i="40"/>
  <c r="I18" i="40"/>
  <c r="I59" i="40" s="1"/>
  <c r="C19" i="40"/>
  <c r="C60" i="40" s="1"/>
  <c r="D19" i="40"/>
  <c r="D60" i="40" s="1"/>
  <c r="E19" i="40"/>
  <c r="E60" i="40" s="1"/>
  <c r="F19" i="40"/>
  <c r="G19" i="40"/>
  <c r="H19" i="40"/>
  <c r="H60" i="40" s="1"/>
  <c r="I19" i="40"/>
  <c r="C20" i="40"/>
  <c r="D20" i="40"/>
  <c r="E20" i="40"/>
  <c r="F20" i="40"/>
  <c r="G20" i="40"/>
  <c r="G61" i="40" s="1"/>
  <c r="H20" i="40"/>
  <c r="I20" i="40"/>
  <c r="C21" i="40"/>
  <c r="D21" i="40"/>
  <c r="D62" i="40" s="1"/>
  <c r="E21" i="40"/>
  <c r="E62" i="40" s="1"/>
  <c r="F21" i="40"/>
  <c r="F62" i="40" s="1"/>
  <c r="G21" i="40"/>
  <c r="G62" i="40" s="1"/>
  <c r="G83" i="40" s="1"/>
  <c r="H21" i="40"/>
  <c r="I21" i="40"/>
  <c r="C22" i="40"/>
  <c r="D22" i="40"/>
  <c r="E22" i="40"/>
  <c r="F22" i="40"/>
  <c r="G22" i="40"/>
  <c r="H22" i="40"/>
  <c r="I22" i="40"/>
  <c r="C23" i="40"/>
  <c r="C64" i="40" s="1"/>
  <c r="D23" i="40"/>
  <c r="E23" i="40"/>
  <c r="F23" i="40"/>
  <c r="G23" i="40"/>
  <c r="G64" i="40" s="1"/>
  <c r="H23" i="40"/>
  <c r="H64" i="40" s="1"/>
  <c r="I23" i="40"/>
  <c r="C24" i="40"/>
  <c r="C65" i="40" s="1"/>
  <c r="D24" i="40"/>
  <c r="E24" i="40"/>
  <c r="F24" i="40"/>
  <c r="G24" i="40"/>
  <c r="H24" i="40"/>
  <c r="I24" i="40"/>
  <c r="C8" i="35"/>
  <c r="C49" i="35" s="1"/>
  <c r="D8" i="35"/>
  <c r="E8" i="35"/>
  <c r="E49" i="35" s="1"/>
  <c r="E70" i="35" s="1"/>
  <c r="F8" i="35"/>
  <c r="G8" i="35"/>
  <c r="H8" i="35"/>
  <c r="I8" i="35"/>
  <c r="I49" i="35" s="1"/>
  <c r="C9" i="35"/>
  <c r="D9" i="35"/>
  <c r="E9" i="35"/>
  <c r="F9" i="35"/>
  <c r="F50" i="35" s="1"/>
  <c r="F71" i="35" s="1"/>
  <c r="G9" i="35"/>
  <c r="H9" i="35"/>
  <c r="I9" i="35"/>
  <c r="C10" i="35"/>
  <c r="C51" i="35" s="1"/>
  <c r="C72" i="35" s="1"/>
  <c r="D10" i="35"/>
  <c r="E10" i="35"/>
  <c r="F10" i="35"/>
  <c r="G10" i="35"/>
  <c r="G51" i="35" s="1"/>
  <c r="G72" i="35" s="1"/>
  <c r="H10" i="35"/>
  <c r="I10" i="35"/>
  <c r="C11" i="35"/>
  <c r="D11" i="35"/>
  <c r="D52" i="35" s="1"/>
  <c r="D73" i="35" s="1"/>
  <c r="E11" i="35"/>
  <c r="F11" i="35"/>
  <c r="G11" i="35"/>
  <c r="H11" i="35"/>
  <c r="H52" i="35" s="1"/>
  <c r="H73" i="35" s="1"/>
  <c r="I11" i="35"/>
  <c r="C12" i="35"/>
  <c r="C53" i="35" s="1"/>
  <c r="D12" i="35"/>
  <c r="E12" i="35"/>
  <c r="E53" i="35" s="1"/>
  <c r="E74" i="35" s="1"/>
  <c r="F12" i="35"/>
  <c r="G12" i="35"/>
  <c r="H12" i="35"/>
  <c r="H53" i="35" s="1"/>
  <c r="I12" i="35"/>
  <c r="I53" i="35" s="1"/>
  <c r="I74" i="35" s="1"/>
  <c r="C13" i="35"/>
  <c r="D13" i="35"/>
  <c r="E13" i="35"/>
  <c r="F13" i="35"/>
  <c r="F54" i="35" s="1"/>
  <c r="F75" i="35" s="1"/>
  <c r="G13" i="35"/>
  <c r="H13" i="35"/>
  <c r="I13" i="35"/>
  <c r="C14" i="35"/>
  <c r="C55" i="35" s="1"/>
  <c r="C76" i="35" s="1"/>
  <c r="D14" i="35"/>
  <c r="E14" i="35"/>
  <c r="F14" i="35"/>
  <c r="G14" i="35"/>
  <c r="G55" i="35" s="1"/>
  <c r="G76" i="35" s="1"/>
  <c r="H14" i="35"/>
  <c r="I14" i="35"/>
  <c r="C15" i="35"/>
  <c r="D15" i="35"/>
  <c r="D56" i="35" s="1"/>
  <c r="D77" i="35" s="1"/>
  <c r="E15" i="35"/>
  <c r="F15" i="35"/>
  <c r="G15" i="35"/>
  <c r="H15" i="35"/>
  <c r="H56" i="35" s="1"/>
  <c r="H77" i="35" s="1"/>
  <c r="I15" i="35"/>
  <c r="C16" i="35"/>
  <c r="D16" i="35"/>
  <c r="E16" i="35"/>
  <c r="E57" i="35" s="1"/>
  <c r="E78" i="35" s="1"/>
  <c r="F16" i="35"/>
  <c r="G16" i="35"/>
  <c r="G57" i="35" s="1"/>
  <c r="H16" i="35"/>
  <c r="I16" i="35"/>
  <c r="I57" i="35" s="1"/>
  <c r="I78" i="35" s="1"/>
  <c r="C17" i="35"/>
  <c r="D17" i="35"/>
  <c r="E17" i="35"/>
  <c r="E58" i="35" s="1"/>
  <c r="F17" i="35"/>
  <c r="F58" i="35" s="1"/>
  <c r="F79" i="35" s="1"/>
  <c r="G17" i="35"/>
  <c r="H17" i="35"/>
  <c r="I17" i="35"/>
  <c r="C18" i="35"/>
  <c r="C59" i="35" s="1"/>
  <c r="C80" i="35" s="1"/>
  <c r="D18" i="35"/>
  <c r="E18" i="35"/>
  <c r="F18" i="35"/>
  <c r="G18" i="35"/>
  <c r="G59" i="35" s="1"/>
  <c r="G80" i="35" s="1"/>
  <c r="H18" i="35"/>
  <c r="I18" i="35"/>
  <c r="C19" i="35"/>
  <c r="D19" i="35"/>
  <c r="D60" i="35" s="1"/>
  <c r="D81" i="35" s="1"/>
  <c r="E19" i="35"/>
  <c r="F19" i="35"/>
  <c r="G19" i="35"/>
  <c r="H19" i="35"/>
  <c r="H60" i="35" s="1"/>
  <c r="H81" i="35" s="1"/>
  <c r="I19" i="35"/>
  <c r="C20" i="35"/>
  <c r="D20" i="35"/>
  <c r="E20" i="35"/>
  <c r="E61" i="35" s="1"/>
  <c r="E82" i="35" s="1"/>
  <c r="F20" i="35"/>
  <c r="G20" i="35"/>
  <c r="H20" i="35"/>
  <c r="I20" i="35"/>
  <c r="I61" i="35" s="1"/>
  <c r="C21" i="35"/>
  <c r="D21" i="35"/>
  <c r="E21" i="35"/>
  <c r="F21" i="35"/>
  <c r="F62" i="35" s="1"/>
  <c r="F83" i="35" s="1"/>
  <c r="G21" i="35"/>
  <c r="H21" i="35"/>
  <c r="I21" i="35"/>
  <c r="I62" i="35" s="1"/>
  <c r="C22" i="35"/>
  <c r="C63" i="35" s="1"/>
  <c r="C84" i="35" s="1"/>
  <c r="D22" i="35"/>
  <c r="E22" i="35"/>
  <c r="F22" i="35"/>
  <c r="G22" i="35"/>
  <c r="G63" i="35" s="1"/>
  <c r="G84" i="35" s="1"/>
  <c r="H22" i="35"/>
  <c r="I22" i="35"/>
  <c r="C23" i="35"/>
  <c r="D23" i="35"/>
  <c r="D64" i="35" s="1"/>
  <c r="E23" i="35"/>
  <c r="F23" i="35"/>
  <c r="F64" i="35" s="1"/>
  <c r="G23" i="35"/>
  <c r="H23" i="35"/>
  <c r="H64" i="35" s="1"/>
  <c r="H85" i="35" s="1"/>
  <c r="I23" i="35"/>
  <c r="C24" i="35"/>
  <c r="D24" i="35"/>
  <c r="D65" i="35" s="1"/>
  <c r="E24" i="35"/>
  <c r="E65" i="35" s="1"/>
  <c r="E86" i="35" s="1"/>
  <c r="F24" i="35"/>
  <c r="G24" i="35"/>
  <c r="H24" i="35"/>
  <c r="I24" i="35"/>
  <c r="I65" i="35" s="1"/>
  <c r="I86" i="35" s="1"/>
  <c r="C8" i="37"/>
  <c r="C49" i="37" s="1"/>
  <c r="C70" i="37" s="1"/>
  <c r="D8" i="37"/>
  <c r="D49" i="37" s="1"/>
  <c r="E8" i="37"/>
  <c r="F8" i="37"/>
  <c r="F49" i="37" s="1"/>
  <c r="G8" i="37"/>
  <c r="H8" i="37"/>
  <c r="H49" i="37" s="1"/>
  <c r="H70" i="37" s="1"/>
  <c r="I8" i="37"/>
  <c r="C9" i="37"/>
  <c r="D9" i="37"/>
  <c r="E9" i="37"/>
  <c r="F9" i="37"/>
  <c r="G9" i="37"/>
  <c r="H9" i="37"/>
  <c r="H50" i="37" s="1"/>
  <c r="I9" i="37"/>
  <c r="I50" i="37" s="1"/>
  <c r="C10" i="37"/>
  <c r="D10" i="37"/>
  <c r="E10" i="37"/>
  <c r="E51" i="37" s="1"/>
  <c r="E72" i="37" s="1"/>
  <c r="F10" i="37"/>
  <c r="F51" i="37" s="1"/>
  <c r="G10" i="37"/>
  <c r="H10" i="37"/>
  <c r="H51" i="37" s="1"/>
  <c r="I10" i="37"/>
  <c r="C11" i="37"/>
  <c r="C52" i="37" s="1"/>
  <c r="C73" i="37" s="1"/>
  <c r="D11" i="37"/>
  <c r="E11" i="37"/>
  <c r="F11" i="37"/>
  <c r="F52" i="37" s="1"/>
  <c r="G11" i="37"/>
  <c r="H11" i="37"/>
  <c r="I11" i="37"/>
  <c r="C12" i="37"/>
  <c r="C53" i="37" s="1"/>
  <c r="D12" i="37"/>
  <c r="D53" i="37" s="1"/>
  <c r="E12" i="37"/>
  <c r="F12" i="37"/>
  <c r="G12" i="37"/>
  <c r="G53" i="37" s="1"/>
  <c r="G74" i="37" s="1"/>
  <c r="H12" i="37"/>
  <c r="H53" i="37" s="1"/>
  <c r="I12" i="37"/>
  <c r="C13" i="37"/>
  <c r="C54" i="37" s="1"/>
  <c r="D13" i="37"/>
  <c r="E13" i="37"/>
  <c r="E54" i="37" s="1"/>
  <c r="E75" i="37" s="1"/>
  <c r="F13" i="37"/>
  <c r="G13" i="37"/>
  <c r="H13" i="37"/>
  <c r="H54" i="37" s="1"/>
  <c r="I13" i="37"/>
  <c r="C14" i="37"/>
  <c r="D14" i="37"/>
  <c r="E14" i="37"/>
  <c r="F14" i="37"/>
  <c r="F55" i="37" s="1"/>
  <c r="G14" i="37"/>
  <c r="H14" i="37"/>
  <c r="I14" i="37"/>
  <c r="I55" i="37" s="1"/>
  <c r="I76" i="37" s="1"/>
  <c r="C15" i="37"/>
  <c r="D15" i="37"/>
  <c r="E15" i="37"/>
  <c r="F15" i="37"/>
  <c r="G15" i="37"/>
  <c r="G56" i="37" s="1"/>
  <c r="G77" i="37" s="1"/>
  <c r="H15" i="37"/>
  <c r="I15" i="37"/>
  <c r="C16" i="37"/>
  <c r="C57" i="37" s="1"/>
  <c r="D16" i="37"/>
  <c r="E16" i="37"/>
  <c r="F16" i="37"/>
  <c r="G16" i="37"/>
  <c r="H16" i="37"/>
  <c r="H57" i="37" s="1"/>
  <c r="I16" i="37"/>
  <c r="C17" i="37"/>
  <c r="D17" i="37"/>
  <c r="D58" i="37" s="1"/>
  <c r="D79" i="37" s="1"/>
  <c r="E17" i="37"/>
  <c r="F17" i="37"/>
  <c r="G17" i="37"/>
  <c r="G58" i="37" s="1"/>
  <c r="H17" i="37"/>
  <c r="I17" i="37"/>
  <c r="I58" i="37" s="1"/>
  <c r="I79" i="37" s="1"/>
  <c r="C18" i="37"/>
  <c r="D18" i="37"/>
  <c r="E18" i="37"/>
  <c r="F18" i="37"/>
  <c r="G18" i="37"/>
  <c r="H18" i="37"/>
  <c r="I18" i="37"/>
  <c r="C19" i="37"/>
  <c r="D19" i="37"/>
  <c r="E19" i="37"/>
  <c r="F19" i="37"/>
  <c r="F60" i="37" s="1"/>
  <c r="F81" i="37" s="1"/>
  <c r="G19" i="37"/>
  <c r="G60" i="37" s="1"/>
  <c r="H19" i="37"/>
  <c r="I19" i="37"/>
  <c r="I60" i="37" s="1"/>
  <c r="C20" i="37"/>
  <c r="D20" i="37"/>
  <c r="D61" i="37" s="1"/>
  <c r="D82" i="37" s="1"/>
  <c r="E20" i="37"/>
  <c r="F20" i="37"/>
  <c r="G20" i="37"/>
  <c r="H20" i="37"/>
  <c r="I20" i="37"/>
  <c r="C21" i="37"/>
  <c r="D21" i="37"/>
  <c r="D62" i="37" s="1"/>
  <c r="E21" i="37"/>
  <c r="F21" i="37"/>
  <c r="G21" i="37"/>
  <c r="H21" i="37"/>
  <c r="H62" i="37" s="1"/>
  <c r="H83" i="37" s="1"/>
  <c r="I21" i="37"/>
  <c r="C22" i="37"/>
  <c r="D22" i="37"/>
  <c r="E22" i="37"/>
  <c r="F22" i="37"/>
  <c r="F63" i="37" s="1"/>
  <c r="F84" i="37" s="1"/>
  <c r="G22" i="37"/>
  <c r="H22" i="37"/>
  <c r="I22" i="37"/>
  <c r="C23" i="37"/>
  <c r="D23" i="37"/>
  <c r="E23" i="37"/>
  <c r="F23" i="37"/>
  <c r="F64" i="37" s="1"/>
  <c r="G23" i="37"/>
  <c r="H23" i="37"/>
  <c r="I23" i="37"/>
  <c r="C24" i="37"/>
  <c r="C65" i="37" s="1"/>
  <c r="C86" i="37" s="1"/>
  <c r="D24" i="37"/>
  <c r="E24" i="37"/>
  <c r="F24" i="37"/>
  <c r="G24" i="37"/>
  <c r="H24" i="37"/>
  <c r="H65" i="37" s="1"/>
  <c r="H86" i="37" s="1"/>
  <c r="I24" i="37"/>
  <c r="C8" i="41"/>
  <c r="D8" i="41"/>
  <c r="E8" i="41"/>
  <c r="F8" i="41"/>
  <c r="G8" i="41"/>
  <c r="H8" i="41"/>
  <c r="I8" i="41"/>
  <c r="C9" i="41"/>
  <c r="D9" i="41"/>
  <c r="E9" i="41"/>
  <c r="F9" i="41"/>
  <c r="G9" i="41"/>
  <c r="H9" i="41"/>
  <c r="I9" i="41"/>
  <c r="I50" i="41" s="1"/>
  <c r="I71" i="41" s="1"/>
  <c r="C10" i="41"/>
  <c r="D10" i="41"/>
  <c r="E10" i="41"/>
  <c r="F10" i="41"/>
  <c r="G10" i="41"/>
  <c r="H10" i="41"/>
  <c r="I10" i="41"/>
  <c r="I51" i="41" s="1"/>
  <c r="C11" i="41"/>
  <c r="D11" i="41"/>
  <c r="E11" i="41"/>
  <c r="F11" i="41"/>
  <c r="G11" i="41"/>
  <c r="H11" i="41"/>
  <c r="I11" i="41"/>
  <c r="I52" i="41" s="1"/>
  <c r="C12" i="41"/>
  <c r="D12" i="41"/>
  <c r="E12" i="41"/>
  <c r="F12" i="41"/>
  <c r="G12" i="41"/>
  <c r="H12" i="41"/>
  <c r="I12" i="41"/>
  <c r="C13" i="41"/>
  <c r="D13" i="41"/>
  <c r="E13" i="41"/>
  <c r="F13" i="41"/>
  <c r="G13" i="41"/>
  <c r="H13" i="41"/>
  <c r="I13" i="41"/>
  <c r="I54" i="41" s="1"/>
  <c r="I75" i="41" s="1"/>
  <c r="C14" i="41"/>
  <c r="D14" i="41"/>
  <c r="E14" i="41"/>
  <c r="F14" i="41"/>
  <c r="G14" i="41"/>
  <c r="H14" i="41"/>
  <c r="I14" i="41"/>
  <c r="I55" i="41" s="1"/>
  <c r="C15" i="41"/>
  <c r="D15" i="41"/>
  <c r="E15" i="41"/>
  <c r="F15" i="41"/>
  <c r="G15" i="41"/>
  <c r="H15" i="41"/>
  <c r="I15" i="41"/>
  <c r="C16" i="41"/>
  <c r="D16" i="41"/>
  <c r="E16" i="41"/>
  <c r="F16" i="41"/>
  <c r="G16" i="41"/>
  <c r="H16" i="41"/>
  <c r="I16" i="41"/>
  <c r="C17" i="41"/>
  <c r="D17" i="41"/>
  <c r="E17" i="41"/>
  <c r="F17" i="41"/>
  <c r="G17" i="41"/>
  <c r="H17" i="41"/>
  <c r="I17" i="41"/>
  <c r="C18" i="41"/>
  <c r="D18" i="41"/>
  <c r="E18" i="41"/>
  <c r="F18" i="41"/>
  <c r="G18" i="41"/>
  <c r="H18" i="41"/>
  <c r="I18" i="41"/>
  <c r="I59" i="41" s="1"/>
  <c r="C19" i="41"/>
  <c r="D19" i="41"/>
  <c r="E19" i="41"/>
  <c r="F19" i="41"/>
  <c r="G19" i="41"/>
  <c r="H19" i="41"/>
  <c r="I19" i="41"/>
  <c r="C20" i="41"/>
  <c r="D20" i="41"/>
  <c r="E20" i="41"/>
  <c r="F20" i="41"/>
  <c r="G20" i="41"/>
  <c r="H20" i="41"/>
  <c r="I20" i="41"/>
  <c r="C21" i="41"/>
  <c r="D21" i="41"/>
  <c r="E21" i="41"/>
  <c r="F21" i="41"/>
  <c r="G21" i="41"/>
  <c r="H21" i="41"/>
  <c r="I21" i="41"/>
  <c r="I62" i="41" s="1"/>
  <c r="I83" i="41" s="1"/>
  <c r="C22" i="41"/>
  <c r="D22" i="41"/>
  <c r="E22" i="41"/>
  <c r="F22" i="41"/>
  <c r="G22" i="41"/>
  <c r="H22" i="41"/>
  <c r="I22" i="41"/>
  <c r="I63" i="41" s="1"/>
  <c r="C23" i="41"/>
  <c r="D23" i="41"/>
  <c r="E23" i="41"/>
  <c r="F23" i="41"/>
  <c r="G23" i="41"/>
  <c r="H23" i="41"/>
  <c r="I23" i="41"/>
  <c r="C24" i="41"/>
  <c r="D24" i="41"/>
  <c r="E24" i="41"/>
  <c r="F24" i="41"/>
  <c r="G24" i="41"/>
  <c r="H24" i="41"/>
  <c r="I24" i="41"/>
  <c r="C8" i="39"/>
  <c r="D8" i="39"/>
  <c r="E8" i="39"/>
  <c r="F8" i="39"/>
  <c r="G8" i="39"/>
  <c r="H8" i="39"/>
  <c r="I8" i="39"/>
  <c r="I49" i="39" s="1"/>
  <c r="I70" i="39" s="1"/>
  <c r="C9" i="39"/>
  <c r="D9" i="39"/>
  <c r="E9" i="39"/>
  <c r="F9" i="39"/>
  <c r="G9" i="39"/>
  <c r="H9" i="39"/>
  <c r="I9" i="39"/>
  <c r="C10" i="39"/>
  <c r="D10" i="39"/>
  <c r="E10" i="39"/>
  <c r="F10" i="39"/>
  <c r="G10" i="39"/>
  <c r="H10" i="39"/>
  <c r="I10" i="39"/>
  <c r="I51" i="39" s="1"/>
  <c r="C11" i="39"/>
  <c r="D11" i="39"/>
  <c r="E11" i="39"/>
  <c r="F11" i="39"/>
  <c r="G11" i="39"/>
  <c r="H11" i="39"/>
  <c r="I11" i="39"/>
  <c r="C12" i="39"/>
  <c r="D12" i="39"/>
  <c r="E12" i="39"/>
  <c r="F12" i="39"/>
  <c r="G12" i="39"/>
  <c r="H12" i="39"/>
  <c r="I12" i="39"/>
  <c r="I53" i="39" s="1"/>
  <c r="I74" i="39" s="1"/>
  <c r="C13" i="39"/>
  <c r="D13" i="39"/>
  <c r="E13" i="39"/>
  <c r="F13" i="39"/>
  <c r="G13" i="39"/>
  <c r="H13" i="39"/>
  <c r="I13" i="39"/>
  <c r="C14" i="39"/>
  <c r="D14" i="39"/>
  <c r="E14" i="39"/>
  <c r="F14" i="39"/>
  <c r="G14" i="39"/>
  <c r="H14" i="39"/>
  <c r="I14" i="39"/>
  <c r="I55" i="39" s="1"/>
  <c r="C15" i="39"/>
  <c r="D15" i="39"/>
  <c r="E15" i="39"/>
  <c r="F15" i="39"/>
  <c r="G15" i="39"/>
  <c r="H15" i="39"/>
  <c r="I15" i="39"/>
  <c r="I56" i="39" s="1"/>
  <c r="C16" i="39"/>
  <c r="D16" i="39"/>
  <c r="E16" i="39"/>
  <c r="F16" i="39"/>
  <c r="G16" i="39"/>
  <c r="H16" i="39"/>
  <c r="I16" i="39"/>
  <c r="I57" i="39" s="1"/>
  <c r="I78" i="39" s="1"/>
  <c r="C17" i="39"/>
  <c r="D17" i="39"/>
  <c r="E17" i="39"/>
  <c r="F17" i="39"/>
  <c r="G17" i="39"/>
  <c r="H17" i="39"/>
  <c r="I17" i="39"/>
  <c r="C18" i="39"/>
  <c r="D18" i="39"/>
  <c r="E18" i="39"/>
  <c r="F18" i="39"/>
  <c r="G18" i="39"/>
  <c r="H18" i="39"/>
  <c r="I18" i="39"/>
  <c r="I59" i="39" s="1"/>
  <c r="C19" i="39"/>
  <c r="D19" i="39"/>
  <c r="E19" i="39"/>
  <c r="F19" i="39"/>
  <c r="G19" i="39"/>
  <c r="H19" i="39"/>
  <c r="I19" i="39"/>
  <c r="C20" i="39"/>
  <c r="D20" i="39"/>
  <c r="E20" i="39"/>
  <c r="F20" i="39"/>
  <c r="G20" i="39"/>
  <c r="H20" i="39"/>
  <c r="I20" i="39"/>
  <c r="I61" i="39" s="1"/>
  <c r="I82" i="39" s="1"/>
  <c r="C21" i="39"/>
  <c r="D21" i="39"/>
  <c r="E21" i="39"/>
  <c r="F21" i="39"/>
  <c r="G21" i="39"/>
  <c r="H21" i="39"/>
  <c r="I21" i="39"/>
  <c r="C22" i="39"/>
  <c r="D22" i="39"/>
  <c r="E22" i="39"/>
  <c r="F22" i="39"/>
  <c r="G22" i="39"/>
  <c r="H22" i="39"/>
  <c r="I22" i="39"/>
  <c r="I63" i="39" s="1"/>
  <c r="C23" i="39"/>
  <c r="D23" i="39"/>
  <c r="E23" i="39"/>
  <c r="F23" i="39"/>
  <c r="G23" i="39"/>
  <c r="H23" i="39"/>
  <c r="I23" i="39"/>
  <c r="C24" i="39"/>
  <c r="D24" i="39"/>
  <c r="E24" i="39"/>
  <c r="F24" i="39"/>
  <c r="G24" i="39"/>
  <c r="H24" i="39"/>
  <c r="I24" i="39"/>
  <c r="I65" i="39" s="1"/>
  <c r="I86" i="39" s="1"/>
  <c r="C8" i="38"/>
  <c r="D8" i="38"/>
  <c r="E8" i="38"/>
  <c r="E49" i="38" s="1"/>
  <c r="E70" i="38" s="1"/>
  <c r="F8" i="38"/>
  <c r="G8" i="38"/>
  <c r="H8" i="38"/>
  <c r="I8" i="38"/>
  <c r="I49" i="38" s="1"/>
  <c r="I70" i="38" s="1"/>
  <c r="C9" i="38"/>
  <c r="D9" i="38"/>
  <c r="E9" i="38"/>
  <c r="F9" i="38"/>
  <c r="F50" i="38" s="1"/>
  <c r="F71" i="38" s="1"/>
  <c r="G9" i="38"/>
  <c r="H9" i="38"/>
  <c r="I9" i="38"/>
  <c r="C10" i="38"/>
  <c r="C51" i="38" s="1"/>
  <c r="C72" i="38" s="1"/>
  <c r="D10" i="38"/>
  <c r="E10" i="38"/>
  <c r="F10" i="38"/>
  <c r="G10" i="38"/>
  <c r="G51" i="38" s="1"/>
  <c r="G72" i="38" s="1"/>
  <c r="H10" i="38"/>
  <c r="I10" i="38"/>
  <c r="C11" i="38"/>
  <c r="D11" i="38"/>
  <c r="D52" i="38" s="1"/>
  <c r="D73" i="38" s="1"/>
  <c r="E11" i="38"/>
  <c r="F11" i="38"/>
  <c r="G11" i="38"/>
  <c r="H11" i="38"/>
  <c r="H52" i="38" s="1"/>
  <c r="H73" i="38" s="1"/>
  <c r="I11" i="38"/>
  <c r="C12" i="38"/>
  <c r="D12" i="38"/>
  <c r="E12" i="38"/>
  <c r="E53" i="38" s="1"/>
  <c r="E74" i="38" s="1"/>
  <c r="F12" i="38"/>
  <c r="G12" i="38"/>
  <c r="H12" i="38"/>
  <c r="I12" i="38"/>
  <c r="I53" i="38" s="1"/>
  <c r="I74" i="38" s="1"/>
  <c r="C13" i="38"/>
  <c r="D13" i="38"/>
  <c r="E13" i="38"/>
  <c r="F13" i="38"/>
  <c r="F54" i="38" s="1"/>
  <c r="F75" i="38" s="1"/>
  <c r="G13" i="38"/>
  <c r="H13" i="38"/>
  <c r="I13" i="38"/>
  <c r="C14" i="38"/>
  <c r="C55" i="38" s="1"/>
  <c r="C76" i="38" s="1"/>
  <c r="D14" i="38"/>
  <c r="E14" i="38"/>
  <c r="F14" i="38"/>
  <c r="G14" i="38"/>
  <c r="G55" i="38" s="1"/>
  <c r="G76" i="38" s="1"/>
  <c r="H14" i="38"/>
  <c r="I14" i="38"/>
  <c r="C15" i="38"/>
  <c r="D15" i="38"/>
  <c r="D56" i="38" s="1"/>
  <c r="D77" i="38" s="1"/>
  <c r="E15" i="38"/>
  <c r="F15" i="38"/>
  <c r="G15" i="38"/>
  <c r="H15" i="38"/>
  <c r="H56" i="38" s="1"/>
  <c r="H77" i="38" s="1"/>
  <c r="I15" i="38"/>
  <c r="C16" i="38"/>
  <c r="D16" i="38"/>
  <c r="E16" i="38"/>
  <c r="E57" i="38" s="1"/>
  <c r="E78" i="38" s="1"/>
  <c r="F16" i="38"/>
  <c r="G16" i="38"/>
  <c r="H16" i="38"/>
  <c r="I16" i="38"/>
  <c r="I57" i="38" s="1"/>
  <c r="I78" i="38" s="1"/>
  <c r="C17" i="38"/>
  <c r="D17" i="38"/>
  <c r="E17" i="38"/>
  <c r="F17" i="38"/>
  <c r="F58" i="38" s="1"/>
  <c r="F79" i="38" s="1"/>
  <c r="G17" i="38"/>
  <c r="H17" i="38"/>
  <c r="I17" i="38"/>
  <c r="C18" i="38"/>
  <c r="C59" i="38" s="1"/>
  <c r="C80" i="38" s="1"/>
  <c r="D18" i="38"/>
  <c r="E18" i="38"/>
  <c r="F18" i="38"/>
  <c r="G18" i="38"/>
  <c r="G59" i="38" s="1"/>
  <c r="G80" i="38" s="1"/>
  <c r="H18" i="38"/>
  <c r="I18" i="38"/>
  <c r="C19" i="38"/>
  <c r="D19" i="38"/>
  <c r="D60" i="38" s="1"/>
  <c r="D81" i="38" s="1"/>
  <c r="E19" i="38"/>
  <c r="F19" i="38"/>
  <c r="G19" i="38"/>
  <c r="H19" i="38"/>
  <c r="H60" i="38" s="1"/>
  <c r="H81" i="38" s="1"/>
  <c r="I19" i="38"/>
  <c r="C20" i="38"/>
  <c r="D20" i="38"/>
  <c r="E20" i="38"/>
  <c r="E61" i="38" s="1"/>
  <c r="E82" i="38" s="1"/>
  <c r="F20" i="38"/>
  <c r="G20" i="38"/>
  <c r="H20" i="38"/>
  <c r="I20" i="38"/>
  <c r="I61" i="38" s="1"/>
  <c r="I82" i="38" s="1"/>
  <c r="C21" i="38"/>
  <c r="D21" i="38"/>
  <c r="E21" i="38"/>
  <c r="F21" i="38"/>
  <c r="F62" i="38" s="1"/>
  <c r="F83" i="38" s="1"/>
  <c r="G21" i="38"/>
  <c r="H21" i="38"/>
  <c r="I21" i="38"/>
  <c r="C22" i="38"/>
  <c r="C63" i="38" s="1"/>
  <c r="C84" i="38" s="1"/>
  <c r="D22" i="38"/>
  <c r="E22" i="38"/>
  <c r="F22" i="38"/>
  <c r="G22" i="38"/>
  <c r="G63" i="38" s="1"/>
  <c r="G84" i="38" s="1"/>
  <c r="H22" i="38"/>
  <c r="I22" i="38"/>
  <c r="C23" i="38"/>
  <c r="D23" i="38"/>
  <c r="D64" i="38" s="1"/>
  <c r="D85" i="38" s="1"/>
  <c r="E23" i="38"/>
  <c r="F23" i="38"/>
  <c r="G23" i="38"/>
  <c r="H23" i="38"/>
  <c r="H64" i="38" s="1"/>
  <c r="H85" i="38" s="1"/>
  <c r="I23" i="38"/>
  <c r="C24" i="38"/>
  <c r="D24" i="38"/>
  <c r="E24" i="38"/>
  <c r="E65" i="38" s="1"/>
  <c r="E86" i="38" s="1"/>
  <c r="F24" i="38"/>
  <c r="G24" i="38"/>
  <c r="H24" i="38"/>
  <c r="I24" i="38"/>
  <c r="I65" i="38" s="1"/>
  <c r="I86" i="38" s="1"/>
  <c r="C8" i="36"/>
  <c r="D8" i="36"/>
  <c r="D49" i="36" s="1"/>
  <c r="D70" i="36" s="1"/>
  <c r="E8" i="36"/>
  <c r="F8" i="36"/>
  <c r="G8" i="36"/>
  <c r="H8" i="36"/>
  <c r="H49" i="36" s="1"/>
  <c r="H70" i="36" s="1"/>
  <c r="I8" i="36"/>
  <c r="C9" i="36"/>
  <c r="D9" i="36"/>
  <c r="E9" i="36"/>
  <c r="E50" i="36" s="1"/>
  <c r="E71" i="36" s="1"/>
  <c r="F9" i="36"/>
  <c r="G9" i="36"/>
  <c r="H9" i="36"/>
  <c r="I9" i="36"/>
  <c r="I50" i="36" s="1"/>
  <c r="I71" i="36" s="1"/>
  <c r="C10" i="36"/>
  <c r="D10" i="36"/>
  <c r="E10" i="36"/>
  <c r="F10" i="36"/>
  <c r="F51" i="36" s="1"/>
  <c r="F72" i="36" s="1"/>
  <c r="G10" i="36"/>
  <c r="H10" i="36"/>
  <c r="I10" i="36"/>
  <c r="C11" i="36"/>
  <c r="C52" i="36" s="1"/>
  <c r="C73" i="36" s="1"/>
  <c r="D11" i="36"/>
  <c r="E11" i="36"/>
  <c r="F11" i="36"/>
  <c r="G11" i="36"/>
  <c r="G52" i="36" s="1"/>
  <c r="G73" i="36" s="1"/>
  <c r="H11" i="36"/>
  <c r="I11" i="36"/>
  <c r="C12" i="36"/>
  <c r="D12" i="36"/>
  <c r="D53" i="36" s="1"/>
  <c r="D74" i="36" s="1"/>
  <c r="E12" i="36"/>
  <c r="F12" i="36"/>
  <c r="G12" i="36"/>
  <c r="H12" i="36"/>
  <c r="H53" i="36" s="1"/>
  <c r="H74" i="36" s="1"/>
  <c r="I12" i="36"/>
  <c r="C13" i="36"/>
  <c r="D13" i="36"/>
  <c r="E13" i="36"/>
  <c r="E54" i="36" s="1"/>
  <c r="E75" i="36" s="1"/>
  <c r="F13" i="36"/>
  <c r="G13" i="36"/>
  <c r="H13" i="36"/>
  <c r="I13" i="36"/>
  <c r="I54" i="36" s="1"/>
  <c r="I75" i="36" s="1"/>
  <c r="C14" i="36"/>
  <c r="D14" i="36"/>
  <c r="E14" i="36"/>
  <c r="F14" i="36"/>
  <c r="F55" i="36" s="1"/>
  <c r="F76" i="36" s="1"/>
  <c r="G14" i="36"/>
  <c r="H14" i="36"/>
  <c r="I14" i="36"/>
  <c r="C15" i="36"/>
  <c r="C56" i="36" s="1"/>
  <c r="C77" i="36" s="1"/>
  <c r="D15" i="36"/>
  <c r="E15" i="36"/>
  <c r="F15" i="36"/>
  <c r="G15" i="36"/>
  <c r="G56" i="36" s="1"/>
  <c r="G77" i="36" s="1"/>
  <c r="H15" i="36"/>
  <c r="I15" i="36"/>
  <c r="C16" i="36"/>
  <c r="D16" i="36"/>
  <c r="D57" i="36" s="1"/>
  <c r="D78" i="36" s="1"/>
  <c r="E16" i="36"/>
  <c r="F16" i="36"/>
  <c r="G16" i="36"/>
  <c r="H16" i="36"/>
  <c r="H57" i="36" s="1"/>
  <c r="H78" i="36" s="1"/>
  <c r="I16" i="36"/>
  <c r="C17" i="36"/>
  <c r="D17" i="36"/>
  <c r="E17" i="36"/>
  <c r="E58" i="36" s="1"/>
  <c r="E79" i="36" s="1"/>
  <c r="F17" i="36"/>
  <c r="G17" i="36"/>
  <c r="H17" i="36"/>
  <c r="I17" i="36"/>
  <c r="I58" i="36" s="1"/>
  <c r="I79" i="36" s="1"/>
  <c r="C18" i="36"/>
  <c r="D18" i="36"/>
  <c r="E18" i="36"/>
  <c r="F18" i="36"/>
  <c r="F59" i="36" s="1"/>
  <c r="F80" i="36" s="1"/>
  <c r="G18" i="36"/>
  <c r="H18" i="36"/>
  <c r="I18" i="36"/>
  <c r="C19" i="36"/>
  <c r="C60" i="36" s="1"/>
  <c r="C81" i="36" s="1"/>
  <c r="D19" i="36"/>
  <c r="E19" i="36"/>
  <c r="F19" i="36"/>
  <c r="G19" i="36"/>
  <c r="G60" i="36" s="1"/>
  <c r="G81" i="36" s="1"/>
  <c r="H19" i="36"/>
  <c r="I19" i="36"/>
  <c r="C20" i="36"/>
  <c r="D20" i="36"/>
  <c r="D61" i="36" s="1"/>
  <c r="D82" i="36" s="1"/>
  <c r="E20" i="36"/>
  <c r="F20" i="36"/>
  <c r="G20" i="36"/>
  <c r="H20" i="36"/>
  <c r="H61" i="36" s="1"/>
  <c r="H82" i="36" s="1"/>
  <c r="I20" i="36"/>
  <c r="C21" i="36"/>
  <c r="D21" i="36"/>
  <c r="E21" i="36"/>
  <c r="E62" i="36" s="1"/>
  <c r="E83" i="36" s="1"/>
  <c r="F21" i="36"/>
  <c r="G21" i="36"/>
  <c r="H21" i="36"/>
  <c r="I21" i="36"/>
  <c r="I62" i="36" s="1"/>
  <c r="I83" i="36" s="1"/>
  <c r="C22" i="36"/>
  <c r="D22" i="36"/>
  <c r="E22" i="36"/>
  <c r="F22" i="36"/>
  <c r="F63" i="36" s="1"/>
  <c r="F84" i="36" s="1"/>
  <c r="G22" i="36"/>
  <c r="H22" i="36"/>
  <c r="I22" i="36"/>
  <c r="C23" i="36"/>
  <c r="C64" i="36" s="1"/>
  <c r="C85" i="36" s="1"/>
  <c r="D23" i="36"/>
  <c r="E23" i="36"/>
  <c r="F23" i="36"/>
  <c r="G23" i="36"/>
  <c r="G64" i="36" s="1"/>
  <c r="G85" i="36" s="1"/>
  <c r="H23" i="36"/>
  <c r="I23" i="36"/>
  <c r="C24" i="36"/>
  <c r="D24" i="36"/>
  <c r="D65" i="36" s="1"/>
  <c r="D86" i="36" s="1"/>
  <c r="E24" i="36"/>
  <c r="F24" i="36"/>
  <c r="G24" i="36"/>
  <c r="H24" i="36"/>
  <c r="H65" i="36" s="1"/>
  <c r="H86" i="36" s="1"/>
  <c r="I24" i="36"/>
  <c r="C8" i="34"/>
  <c r="D8" i="34"/>
  <c r="E8" i="34"/>
  <c r="F8" i="34"/>
  <c r="F49" i="34" s="1"/>
  <c r="F70" i="34" s="1"/>
  <c r="G8" i="34"/>
  <c r="H8" i="34"/>
  <c r="I8" i="34"/>
  <c r="C9" i="34"/>
  <c r="C50" i="34" s="1"/>
  <c r="C71" i="34" s="1"/>
  <c r="D9" i="34"/>
  <c r="E9" i="34"/>
  <c r="F9" i="34"/>
  <c r="G9" i="34"/>
  <c r="G50" i="34" s="1"/>
  <c r="G71" i="34" s="1"/>
  <c r="H9" i="34"/>
  <c r="I9" i="34"/>
  <c r="C10" i="34"/>
  <c r="D10" i="34"/>
  <c r="D51" i="34" s="1"/>
  <c r="D72" i="34" s="1"/>
  <c r="E10" i="34"/>
  <c r="F10" i="34"/>
  <c r="G10" i="34"/>
  <c r="H10" i="34"/>
  <c r="H51" i="34" s="1"/>
  <c r="H72" i="34" s="1"/>
  <c r="I10" i="34"/>
  <c r="C11" i="34"/>
  <c r="D11" i="34"/>
  <c r="E11" i="34"/>
  <c r="E52" i="34" s="1"/>
  <c r="E73" i="34" s="1"/>
  <c r="F11" i="34"/>
  <c r="G11" i="34"/>
  <c r="H11" i="34"/>
  <c r="I11" i="34"/>
  <c r="I52" i="34" s="1"/>
  <c r="I73" i="34" s="1"/>
  <c r="C12" i="34"/>
  <c r="D12" i="34"/>
  <c r="E12" i="34"/>
  <c r="F12" i="34"/>
  <c r="F53" i="34" s="1"/>
  <c r="F74" i="34" s="1"/>
  <c r="G12" i="34"/>
  <c r="H12" i="34"/>
  <c r="I12" i="34"/>
  <c r="C13" i="34"/>
  <c r="C54" i="34" s="1"/>
  <c r="C75" i="34" s="1"/>
  <c r="D13" i="34"/>
  <c r="E13" i="34"/>
  <c r="F13" i="34"/>
  <c r="G13" i="34"/>
  <c r="G54" i="34" s="1"/>
  <c r="G75" i="34" s="1"/>
  <c r="H13" i="34"/>
  <c r="I13" i="34"/>
  <c r="C14" i="34"/>
  <c r="D14" i="34"/>
  <c r="D55" i="34" s="1"/>
  <c r="D76" i="34" s="1"/>
  <c r="E14" i="34"/>
  <c r="F14" i="34"/>
  <c r="G14" i="34"/>
  <c r="H14" i="34"/>
  <c r="H55" i="34" s="1"/>
  <c r="H76" i="34" s="1"/>
  <c r="I14" i="34"/>
  <c r="C15" i="34"/>
  <c r="D15" i="34"/>
  <c r="E15" i="34"/>
  <c r="E56" i="34" s="1"/>
  <c r="E77" i="34" s="1"/>
  <c r="F15" i="34"/>
  <c r="G15" i="34"/>
  <c r="H15" i="34"/>
  <c r="I15" i="34"/>
  <c r="I56" i="34" s="1"/>
  <c r="I77" i="34" s="1"/>
  <c r="C16" i="34"/>
  <c r="D16" i="34"/>
  <c r="E16" i="34"/>
  <c r="F16" i="34"/>
  <c r="F57" i="34" s="1"/>
  <c r="F78" i="34" s="1"/>
  <c r="G16" i="34"/>
  <c r="H16" i="34"/>
  <c r="I16" i="34"/>
  <c r="C17" i="34"/>
  <c r="C58" i="34" s="1"/>
  <c r="C79" i="34" s="1"/>
  <c r="D17" i="34"/>
  <c r="E17" i="34"/>
  <c r="F17" i="34"/>
  <c r="G17" i="34"/>
  <c r="G58" i="34" s="1"/>
  <c r="G79" i="34" s="1"/>
  <c r="H17" i="34"/>
  <c r="I17" i="34"/>
  <c r="C18" i="34"/>
  <c r="D18" i="34"/>
  <c r="D59" i="34" s="1"/>
  <c r="D80" i="34" s="1"/>
  <c r="E18" i="34"/>
  <c r="F18" i="34"/>
  <c r="G18" i="34"/>
  <c r="H18" i="34"/>
  <c r="H59" i="34" s="1"/>
  <c r="H80" i="34" s="1"/>
  <c r="I18" i="34"/>
  <c r="C19" i="34"/>
  <c r="D19" i="34"/>
  <c r="E19" i="34"/>
  <c r="E60" i="34" s="1"/>
  <c r="E81" i="34" s="1"/>
  <c r="F19" i="34"/>
  <c r="G19" i="34"/>
  <c r="H19" i="34"/>
  <c r="I19" i="34"/>
  <c r="I60" i="34" s="1"/>
  <c r="I81" i="34" s="1"/>
  <c r="C20" i="34"/>
  <c r="D20" i="34"/>
  <c r="E20" i="34"/>
  <c r="F20" i="34"/>
  <c r="F61" i="34" s="1"/>
  <c r="F82" i="34" s="1"/>
  <c r="G20" i="34"/>
  <c r="H20" i="34"/>
  <c r="I20" i="34"/>
  <c r="C21" i="34"/>
  <c r="C62" i="34" s="1"/>
  <c r="C83" i="34" s="1"/>
  <c r="D21" i="34"/>
  <c r="E21" i="34"/>
  <c r="F21" i="34"/>
  <c r="G21" i="34"/>
  <c r="G62" i="34" s="1"/>
  <c r="G83" i="34" s="1"/>
  <c r="H21" i="34"/>
  <c r="I21" i="34"/>
  <c r="C22" i="34"/>
  <c r="D22" i="34"/>
  <c r="D63" i="34" s="1"/>
  <c r="D84" i="34" s="1"/>
  <c r="E22" i="34"/>
  <c r="F22" i="34"/>
  <c r="G22" i="34"/>
  <c r="H22" i="34"/>
  <c r="H63" i="34" s="1"/>
  <c r="H84" i="34" s="1"/>
  <c r="I22" i="34"/>
  <c r="C23" i="34"/>
  <c r="D23" i="34"/>
  <c r="E23" i="34"/>
  <c r="E64" i="34" s="1"/>
  <c r="E85" i="34" s="1"/>
  <c r="F23" i="34"/>
  <c r="G23" i="34"/>
  <c r="H23" i="34"/>
  <c r="I23" i="34"/>
  <c r="I64" i="34" s="1"/>
  <c r="I85" i="34" s="1"/>
  <c r="C24" i="34"/>
  <c r="D24" i="34"/>
  <c r="E24" i="34"/>
  <c r="F24" i="34"/>
  <c r="F65" i="34" s="1"/>
  <c r="F86" i="34" s="1"/>
  <c r="G24" i="34"/>
  <c r="H24" i="34"/>
  <c r="I24" i="34"/>
  <c r="C8" i="33"/>
  <c r="D8" i="33"/>
  <c r="E8" i="33"/>
  <c r="E49" i="33" s="1"/>
  <c r="E70" i="33" s="1"/>
  <c r="F8" i="33"/>
  <c r="G8" i="33"/>
  <c r="H8" i="33"/>
  <c r="I8" i="33"/>
  <c r="I49" i="33" s="1"/>
  <c r="C9" i="33"/>
  <c r="D9" i="33"/>
  <c r="E9" i="33"/>
  <c r="F9" i="33"/>
  <c r="F50" i="33" s="1"/>
  <c r="F71" i="33" s="1"/>
  <c r="G9" i="33"/>
  <c r="H9" i="33"/>
  <c r="I9" i="33"/>
  <c r="C10" i="33"/>
  <c r="C51" i="33" s="1"/>
  <c r="C72" i="33" s="1"/>
  <c r="D10" i="33"/>
  <c r="E10" i="33"/>
  <c r="F10" i="33"/>
  <c r="G10" i="33"/>
  <c r="G51" i="33" s="1"/>
  <c r="G72" i="33" s="1"/>
  <c r="H10" i="33"/>
  <c r="I10" i="33"/>
  <c r="C11" i="33"/>
  <c r="D11" i="33"/>
  <c r="D52" i="33" s="1"/>
  <c r="D73" i="33" s="1"/>
  <c r="E11" i="33"/>
  <c r="F11" i="33"/>
  <c r="G11" i="33"/>
  <c r="H11" i="33"/>
  <c r="H52" i="33" s="1"/>
  <c r="H73" i="33" s="1"/>
  <c r="I11" i="33"/>
  <c r="C12" i="33"/>
  <c r="D12" i="33"/>
  <c r="E12" i="33"/>
  <c r="E53" i="33" s="1"/>
  <c r="E74" i="33" s="1"/>
  <c r="F12" i="33"/>
  <c r="G12" i="33"/>
  <c r="H12" i="33"/>
  <c r="I12" i="33"/>
  <c r="I53" i="33" s="1"/>
  <c r="I74" i="33" s="1"/>
  <c r="C13" i="33"/>
  <c r="D13" i="33"/>
  <c r="E13" i="33"/>
  <c r="F13" i="33"/>
  <c r="F54" i="33" s="1"/>
  <c r="F75" i="33" s="1"/>
  <c r="G13" i="33"/>
  <c r="H13" i="33"/>
  <c r="I13" i="33"/>
  <c r="C14" i="33"/>
  <c r="C55" i="33" s="1"/>
  <c r="C76" i="33" s="1"/>
  <c r="D14" i="33"/>
  <c r="E14" i="33"/>
  <c r="F14" i="33"/>
  <c r="G14" i="33"/>
  <c r="G55" i="33" s="1"/>
  <c r="G76" i="33" s="1"/>
  <c r="H14" i="33"/>
  <c r="I14" i="33"/>
  <c r="C15" i="33"/>
  <c r="D15" i="33"/>
  <c r="D56" i="33" s="1"/>
  <c r="D77" i="33" s="1"/>
  <c r="E15" i="33"/>
  <c r="F15" i="33"/>
  <c r="G15" i="33"/>
  <c r="H15" i="33"/>
  <c r="H56" i="33" s="1"/>
  <c r="H77" i="33" s="1"/>
  <c r="I15" i="33"/>
  <c r="C16" i="33"/>
  <c r="D16" i="33"/>
  <c r="E16" i="33"/>
  <c r="E57" i="33" s="1"/>
  <c r="E78" i="33" s="1"/>
  <c r="F16" i="33"/>
  <c r="G16" i="33"/>
  <c r="H16" i="33"/>
  <c r="I16" i="33"/>
  <c r="I57" i="33" s="1"/>
  <c r="I78" i="33" s="1"/>
  <c r="C17" i="33"/>
  <c r="D17" i="33"/>
  <c r="E17" i="33"/>
  <c r="F17" i="33"/>
  <c r="F58" i="33" s="1"/>
  <c r="F79" i="33" s="1"/>
  <c r="G17" i="33"/>
  <c r="H17" i="33"/>
  <c r="I17" i="33"/>
  <c r="C18" i="33"/>
  <c r="C59" i="33" s="1"/>
  <c r="C80" i="33" s="1"/>
  <c r="D18" i="33"/>
  <c r="E18" i="33"/>
  <c r="F18" i="33"/>
  <c r="G18" i="33"/>
  <c r="G59" i="33" s="1"/>
  <c r="G80" i="33" s="1"/>
  <c r="H18" i="33"/>
  <c r="I18" i="33"/>
  <c r="C19" i="33"/>
  <c r="D19" i="33"/>
  <c r="D60" i="33" s="1"/>
  <c r="D81" i="33" s="1"/>
  <c r="E19" i="33"/>
  <c r="F19" i="33"/>
  <c r="G19" i="33"/>
  <c r="H19" i="33"/>
  <c r="H60" i="33" s="1"/>
  <c r="H81" i="33" s="1"/>
  <c r="I19" i="33"/>
  <c r="C20" i="33"/>
  <c r="D20" i="33"/>
  <c r="E20" i="33"/>
  <c r="E61" i="33" s="1"/>
  <c r="E82" i="33" s="1"/>
  <c r="F20" i="33"/>
  <c r="G20" i="33"/>
  <c r="H20" i="33"/>
  <c r="I20" i="33"/>
  <c r="I61" i="33" s="1"/>
  <c r="I82" i="33" s="1"/>
  <c r="C21" i="33"/>
  <c r="D21" i="33"/>
  <c r="E21" i="33"/>
  <c r="F21" i="33"/>
  <c r="F62" i="33" s="1"/>
  <c r="F83" i="33" s="1"/>
  <c r="G21" i="33"/>
  <c r="H21" i="33"/>
  <c r="I21" i="33"/>
  <c r="C22" i="33"/>
  <c r="C63" i="33" s="1"/>
  <c r="C84" i="33" s="1"/>
  <c r="D22" i="33"/>
  <c r="E22" i="33"/>
  <c r="F22" i="33"/>
  <c r="G22" i="33"/>
  <c r="G63" i="33" s="1"/>
  <c r="G84" i="33" s="1"/>
  <c r="H22" i="33"/>
  <c r="I22" i="33"/>
  <c r="C23" i="33"/>
  <c r="D23" i="33"/>
  <c r="D64" i="33" s="1"/>
  <c r="D85" i="33" s="1"/>
  <c r="E23" i="33"/>
  <c r="F23" i="33"/>
  <c r="G23" i="33"/>
  <c r="H23" i="33"/>
  <c r="H64" i="33" s="1"/>
  <c r="H85" i="33" s="1"/>
  <c r="I23" i="33"/>
  <c r="C24" i="33"/>
  <c r="D24" i="33"/>
  <c r="E24" i="33"/>
  <c r="E65" i="33" s="1"/>
  <c r="E86" i="33" s="1"/>
  <c r="F24" i="33"/>
  <c r="G24" i="33"/>
  <c r="H24" i="33"/>
  <c r="I24" i="33"/>
  <c r="I65" i="33" s="1"/>
  <c r="I86" i="33" s="1"/>
  <c r="C8" i="32"/>
  <c r="D8" i="32"/>
  <c r="E8" i="32"/>
  <c r="F8" i="32"/>
  <c r="G8" i="32"/>
  <c r="G49" i="32" s="1"/>
  <c r="G70" i="32" s="1"/>
  <c r="H8" i="32"/>
  <c r="I8" i="32"/>
  <c r="C9" i="32"/>
  <c r="D9" i="32"/>
  <c r="E9" i="32"/>
  <c r="F9" i="32"/>
  <c r="G9" i="32"/>
  <c r="H9" i="32"/>
  <c r="H50" i="32" s="1"/>
  <c r="H71" i="32" s="1"/>
  <c r="I9" i="32"/>
  <c r="C10" i="32"/>
  <c r="D10" i="32"/>
  <c r="E10" i="32"/>
  <c r="F10" i="32"/>
  <c r="G10" i="32"/>
  <c r="H10" i="32"/>
  <c r="I10" i="32"/>
  <c r="I51" i="32" s="1"/>
  <c r="I72" i="32" s="1"/>
  <c r="C11" i="32"/>
  <c r="D11" i="32"/>
  <c r="E11" i="32"/>
  <c r="F11" i="32"/>
  <c r="G11" i="32"/>
  <c r="H11" i="32"/>
  <c r="I11" i="32"/>
  <c r="C12" i="32"/>
  <c r="C53" i="32" s="1"/>
  <c r="C74" i="32" s="1"/>
  <c r="D12" i="32"/>
  <c r="E12" i="32"/>
  <c r="F12" i="32"/>
  <c r="G12" i="32"/>
  <c r="H12" i="32"/>
  <c r="I12" i="32"/>
  <c r="C13" i="32"/>
  <c r="D13" i="32"/>
  <c r="D54" i="32" s="1"/>
  <c r="D75" i="32" s="1"/>
  <c r="E13" i="32"/>
  <c r="F13" i="32"/>
  <c r="G13" i="32"/>
  <c r="H13" i="32"/>
  <c r="I13" i="32"/>
  <c r="C14" i="32"/>
  <c r="D14" i="32"/>
  <c r="E14" i="32"/>
  <c r="E55" i="32" s="1"/>
  <c r="E76" i="32" s="1"/>
  <c r="F14" i="32"/>
  <c r="G14" i="32"/>
  <c r="H14" i="32"/>
  <c r="I14" i="32"/>
  <c r="C15" i="32"/>
  <c r="D15" i="32"/>
  <c r="E15" i="32"/>
  <c r="F15" i="32"/>
  <c r="F56" i="32" s="1"/>
  <c r="F77" i="32" s="1"/>
  <c r="G15" i="32"/>
  <c r="H15" i="32"/>
  <c r="I15" i="32"/>
  <c r="C16" i="32"/>
  <c r="D16" i="32"/>
  <c r="E16" i="32"/>
  <c r="F16" i="32"/>
  <c r="G16" i="32"/>
  <c r="G57" i="32" s="1"/>
  <c r="G78" i="32" s="1"/>
  <c r="H16" i="32"/>
  <c r="I16" i="32"/>
  <c r="C17" i="32"/>
  <c r="D17" i="32"/>
  <c r="D58" i="32" s="1"/>
  <c r="D79" i="32" s="1"/>
  <c r="E17" i="32"/>
  <c r="F17" i="32"/>
  <c r="G17" i="32"/>
  <c r="H17" i="32"/>
  <c r="H58" i="32" s="1"/>
  <c r="H79" i="32" s="1"/>
  <c r="I17" i="32"/>
  <c r="C18" i="32"/>
  <c r="D18" i="32"/>
  <c r="E18" i="32"/>
  <c r="E59" i="32" s="1"/>
  <c r="E80" i="32" s="1"/>
  <c r="F18" i="32"/>
  <c r="G18" i="32"/>
  <c r="H18" i="32"/>
  <c r="I18" i="32"/>
  <c r="I59" i="32" s="1"/>
  <c r="I80" i="32" s="1"/>
  <c r="C19" i="32"/>
  <c r="D19" i="32"/>
  <c r="E19" i="32"/>
  <c r="F19" i="32"/>
  <c r="F60" i="32" s="1"/>
  <c r="F81" i="32" s="1"/>
  <c r="G19" i="32"/>
  <c r="H19" i="32"/>
  <c r="I19" i="32"/>
  <c r="C20" i="32"/>
  <c r="C61" i="32" s="1"/>
  <c r="C82" i="32" s="1"/>
  <c r="D20" i="32"/>
  <c r="E20" i="32"/>
  <c r="F20" i="32"/>
  <c r="G20" i="32"/>
  <c r="G61" i="32" s="1"/>
  <c r="G82" i="32" s="1"/>
  <c r="H20" i="32"/>
  <c r="I20" i="32"/>
  <c r="C21" i="32"/>
  <c r="D21" i="32"/>
  <c r="D62" i="32" s="1"/>
  <c r="D83" i="32" s="1"/>
  <c r="E21" i="32"/>
  <c r="F21" i="32"/>
  <c r="G21" i="32"/>
  <c r="H21" i="32"/>
  <c r="H62" i="32" s="1"/>
  <c r="H83" i="32" s="1"/>
  <c r="I21" i="32"/>
  <c r="C22" i="32"/>
  <c r="D22" i="32"/>
  <c r="E22" i="32"/>
  <c r="E63" i="32" s="1"/>
  <c r="E84" i="32" s="1"/>
  <c r="F22" i="32"/>
  <c r="G22" i="32"/>
  <c r="H22" i="32"/>
  <c r="I22" i="32"/>
  <c r="I63" i="32" s="1"/>
  <c r="I84" i="32" s="1"/>
  <c r="C23" i="32"/>
  <c r="D23" i="32"/>
  <c r="E23" i="32"/>
  <c r="F23" i="32"/>
  <c r="F64" i="32" s="1"/>
  <c r="F85" i="32" s="1"/>
  <c r="G23" i="32"/>
  <c r="H23" i="32"/>
  <c r="I23" i="32"/>
  <c r="C24" i="32"/>
  <c r="C65" i="32" s="1"/>
  <c r="C86" i="32" s="1"/>
  <c r="D24" i="32"/>
  <c r="E24" i="32"/>
  <c r="F24" i="32"/>
  <c r="G24" i="32"/>
  <c r="G65" i="32" s="1"/>
  <c r="G86" i="32" s="1"/>
  <c r="H24" i="32"/>
  <c r="I24" i="32"/>
  <c r="C8" i="31"/>
  <c r="D8" i="31"/>
  <c r="E8" i="31"/>
  <c r="F8" i="31"/>
  <c r="F49" i="31" s="1"/>
  <c r="F70" i="31" s="1"/>
  <c r="G8" i="31"/>
  <c r="H8" i="31"/>
  <c r="I8" i="31"/>
  <c r="C9" i="31"/>
  <c r="C50" i="31" s="1"/>
  <c r="C71" i="31" s="1"/>
  <c r="D9" i="31"/>
  <c r="E9" i="31"/>
  <c r="F9" i="31"/>
  <c r="G9" i="31"/>
  <c r="G50" i="31" s="1"/>
  <c r="G71" i="31" s="1"/>
  <c r="H9" i="31"/>
  <c r="I9" i="31"/>
  <c r="C10" i="31"/>
  <c r="D10" i="31"/>
  <c r="D51" i="31" s="1"/>
  <c r="D72" i="31" s="1"/>
  <c r="E10" i="31"/>
  <c r="F10" i="31"/>
  <c r="G10" i="31"/>
  <c r="H10" i="31"/>
  <c r="H51" i="31" s="1"/>
  <c r="H72" i="31" s="1"/>
  <c r="I10" i="31"/>
  <c r="C11" i="31"/>
  <c r="D11" i="31"/>
  <c r="E11" i="31"/>
  <c r="E52" i="31" s="1"/>
  <c r="E73" i="31" s="1"/>
  <c r="F11" i="31"/>
  <c r="G11" i="31"/>
  <c r="H11" i="31"/>
  <c r="I11" i="31"/>
  <c r="I52" i="31" s="1"/>
  <c r="I73" i="31" s="1"/>
  <c r="C12" i="31"/>
  <c r="D12" i="31"/>
  <c r="E12" i="31"/>
  <c r="F12" i="31"/>
  <c r="F53" i="31" s="1"/>
  <c r="F74" i="31" s="1"/>
  <c r="G12" i="31"/>
  <c r="H12" i="31"/>
  <c r="I12" i="31"/>
  <c r="C13" i="31"/>
  <c r="C54" i="31" s="1"/>
  <c r="C75" i="31" s="1"/>
  <c r="D13" i="31"/>
  <c r="E13" i="31"/>
  <c r="F13" i="31"/>
  <c r="G13" i="31"/>
  <c r="G54" i="31" s="1"/>
  <c r="G75" i="31" s="1"/>
  <c r="H13" i="31"/>
  <c r="I13" i="31"/>
  <c r="C14" i="31"/>
  <c r="D14" i="31"/>
  <c r="D55" i="31" s="1"/>
  <c r="D76" i="31" s="1"/>
  <c r="E14" i="31"/>
  <c r="F14" i="31"/>
  <c r="G14" i="31"/>
  <c r="H14" i="31"/>
  <c r="H55" i="31" s="1"/>
  <c r="H76" i="31" s="1"/>
  <c r="I14" i="31"/>
  <c r="C15" i="31"/>
  <c r="D15" i="31"/>
  <c r="E15" i="31"/>
  <c r="E56" i="31" s="1"/>
  <c r="E77" i="31" s="1"/>
  <c r="F15" i="31"/>
  <c r="G15" i="31"/>
  <c r="H15" i="31"/>
  <c r="I15" i="31"/>
  <c r="I56" i="31" s="1"/>
  <c r="I77" i="31" s="1"/>
  <c r="C16" i="31"/>
  <c r="D16" i="31"/>
  <c r="E16" i="31"/>
  <c r="F16" i="31"/>
  <c r="F57" i="31" s="1"/>
  <c r="F78" i="31" s="1"/>
  <c r="G16" i="31"/>
  <c r="H16" i="31"/>
  <c r="I16" i="31"/>
  <c r="C17" i="31"/>
  <c r="C58" i="31" s="1"/>
  <c r="C79" i="31" s="1"/>
  <c r="D17" i="31"/>
  <c r="E17" i="31"/>
  <c r="F17" i="31"/>
  <c r="G17" i="31"/>
  <c r="G58" i="31" s="1"/>
  <c r="G79" i="31" s="1"/>
  <c r="H17" i="31"/>
  <c r="I17" i="31"/>
  <c r="C18" i="31"/>
  <c r="D18" i="31"/>
  <c r="D59" i="31" s="1"/>
  <c r="D80" i="31" s="1"/>
  <c r="E18" i="31"/>
  <c r="F18" i="31"/>
  <c r="G18" i="31"/>
  <c r="H18" i="31"/>
  <c r="H59" i="31" s="1"/>
  <c r="H80" i="31" s="1"/>
  <c r="I18" i="31"/>
  <c r="C19" i="31"/>
  <c r="D19" i="31"/>
  <c r="E19" i="31"/>
  <c r="E60" i="31" s="1"/>
  <c r="E81" i="31" s="1"/>
  <c r="F19" i="31"/>
  <c r="G19" i="31"/>
  <c r="H19" i="31"/>
  <c r="I19" i="31"/>
  <c r="I60" i="31" s="1"/>
  <c r="I81" i="31" s="1"/>
  <c r="C20" i="31"/>
  <c r="D20" i="31"/>
  <c r="E20" i="31"/>
  <c r="F20" i="31"/>
  <c r="F61" i="31" s="1"/>
  <c r="F82" i="31" s="1"/>
  <c r="G20" i="31"/>
  <c r="H20" i="31"/>
  <c r="I20" i="31"/>
  <c r="C21" i="31"/>
  <c r="C62" i="31" s="1"/>
  <c r="C83" i="31" s="1"/>
  <c r="D21" i="31"/>
  <c r="E21" i="31"/>
  <c r="F21" i="31"/>
  <c r="G21" i="31"/>
  <c r="G62" i="31" s="1"/>
  <c r="G83" i="31" s="1"/>
  <c r="H21" i="31"/>
  <c r="I21" i="31"/>
  <c r="C22" i="31"/>
  <c r="D22" i="31"/>
  <c r="D63" i="31" s="1"/>
  <c r="D84" i="31" s="1"/>
  <c r="E22" i="31"/>
  <c r="F22" i="31"/>
  <c r="G22" i="31"/>
  <c r="H22" i="31"/>
  <c r="H63" i="31" s="1"/>
  <c r="H84" i="31" s="1"/>
  <c r="I22" i="31"/>
  <c r="C23" i="31"/>
  <c r="D23" i="31"/>
  <c r="E23" i="31"/>
  <c r="E64" i="31" s="1"/>
  <c r="E85" i="31" s="1"/>
  <c r="F23" i="31"/>
  <c r="G23" i="31"/>
  <c r="H23" i="31"/>
  <c r="I23" i="31"/>
  <c r="I64" i="31" s="1"/>
  <c r="I85" i="31" s="1"/>
  <c r="C24" i="31"/>
  <c r="D24" i="31"/>
  <c r="E24" i="31"/>
  <c r="F24" i="31"/>
  <c r="F65" i="31" s="1"/>
  <c r="F86" i="31" s="1"/>
  <c r="G24" i="31"/>
  <c r="H24" i="31"/>
  <c r="I24" i="31"/>
  <c r="C8" i="30"/>
  <c r="D8" i="30"/>
  <c r="E8" i="30"/>
  <c r="F8" i="30"/>
  <c r="G8" i="30"/>
  <c r="H8" i="30"/>
  <c r="I8" i="30"/>
  <c r="C9" i="30"/>
  <c r="D9" i="30"/>
  <c r="E9" i="30"/>
  <c r="F9" i="30"/>
  <c r="G9" i="30"/>
  <c r="H9" i="30"/>
  <c r="I9" i="30"/>
  <c r="C10" i="30"/>
  <c r="D10" i="30"/>
  <c r="E10" i="30"/>
  <c r="F10" i="30"/>
  <c r="G10" i="30"/>
  <c r="H10" i="30"/>
  <c r="I10" i="30"/>
  <c r="C11" i="30"/>
  <c r="D11" i="30"/>
  <c r="E11" i="30"/>
  <c r="F11" i="30"/>
  <c r="G11" i="30"/>
  <c r="H11" i="30"/>
  <c r="I11" i="30"/>
  <c r="C12" i="30"/>
  <c r="D12" i="30"/>
  <c r="E12" i="30"/>
  <c r="F12" i="30"/>
  <c r="G12" i="30"/>
  <c r="H12" i="30"/>
  <c r="I12" i="30"/>
  <c r="C13" i="30"/>
  <c r="D13" i="30"/>
  <c r="E13" i="30"/>
  <c r="F13" i="30"/>
  <c r="G13" i="30"/>
  <c r="H13" i="30"/>
  <c r="I13" i="30"/>
  <c r="C14" i="30"/>
  <c r="D14" i="30"/>
  <c r="E14" i="30"/>
  <c r="F14" i="30"/>
  <c r="G14" i="30"/>
  <c r="H14" i="30"/>
  <c r="I14" i="30"/>
  <c r="C15" i="30"/>
  <c r="D15" i="30"/>
  <c r="E15" i="30"/>
  <c r="F15" i="30"/>
  <c r="G15" i="30"/>
  <c r="H15" i="30"/>
  <c r="I15" i="30"/>
  <c r="C16" i="30"/>
  <c r="D16" i="30"/>
  <c r="E16" i="30"/>
  <c r="F16" i="30"/>
  <c r="G16" i="30"/>
  <c r="H16" i="30"/>
  <c r="I16" i="30"/>
  <c r="C17" i="30"/>
  <c r="D17" i="30"/>
  <c r="E17" i="30"/>
  <c r="F17" i="30"/>
  <c r="G17" i="30"/>
  <c r="H17" i="30"/>
  <c r="I17" i="30"/>
  <c r="C18" i="30"/>
  <c r="D18" i="30"/>
  <c r="E18" i="30"/>
  <c r="F18" i="30"/>
  <c r="G18" i="30"/>
  <c r="H18" i="30"/>
  <c r="I18" i="30"/>
  <c r="C19" i="30"/>
  <c r="D19" i="30"/>
  <c r="E19" i="30"/>
  <c r="E60" i="30" s="1"/>
  <c r="F19" i="30"/>
  <c r="G19" i="30"/>
  <c r="G60" i="30" s="1"/>
  <c r="H19" i="30"/>
  <c r="I19" i="30"/>
  <c r="C20" i="30"/>
  <c r="D20" i="30"/>
  <c r="E20" i="30"/>
  <c r="E61" i="30" s="1"/>
  <c r="F20" i="30"/>
  <c r="G20" i="30"/>
  <c r="H20" i="30"/>
  <c r="H61" i="30" s="1"/>
  <c r="I20" i="30"/>
  <c r="C21" i="30"/>
  <c r="D21" i="30"/>
  <c r="E21" i="30"/>
  <c r="F21" i="30"/>
  <c r="G21" i="30"/>
  <c r="G62" i="30" s="1"/>
  <c r="H21" i="30"/>
  <c r="H62" i="30" s="1"/>
  <c r="I21" i="30"/>
  <c r="I62" i="30" s="1"/>
  <c r="C22" i="30"/>
  <c r="D22" i="30"/>
  <c r="D63" i="30" s="1"/>
  <c r="E22" i="30"/>
  <c r="E63" i="30" s="1"/>
  <c r="F22" i="30"/>
  <c r="G22" i="30"/>
  <c r="H22" i="30"/>
  <c r="H63" i="30" s="1"/>
  <c r="I22" i="30"/>
  <c r="I63" i="30" s="1"/>
  <c r="C23" i="30"/>
  <c r="C64" i="30" s="1"/>
  <c r="D23" i="30"/>
  <c r="E23" i="30"/>
  <c r="E64" i="30" s="1"/>
  <c r="F23" i="30"/>
  <c r="F64" i="30" s="1"/>
  <c r="G23" i="30"/>
  <c r="H23" i="30"/>
  <c r="I23" i="30"/>
  <c r="I64" i="30" s="1"/>
  <c r="C24" i="30"/>
  <c r="C65" i="30" s="1"/>
  <c r="D24" i="30"/>
  <c r="D65" i="30" s="1"/>
  <c r="E24" i="30"/>
  <c r="F24" i="30"/>
  <c r="F65" i="30" s="1"/>
  <c r="G24" i="30"/>
  <c r="G65" i="30" s="1"/>
  <c r="H24" i="30"/>
  <c r="I24" i="30"/>
  <c r="C8" i="29"/>
  <c r="C49" i="29" s="1"/>
  <c r="D8" i="29"/>
  <c r="D49" i="29" s="1"/>
  <c r="E8" i="29"/>
  <c r="E49" i="29" s="1"/>
  <c r="F8" i="29"/>
  <c r="F49" i="29" s="1"/>
  <c r="G8" i="29"/>
  <c r="G49" i="29" s="1"/>
  <c r="H8" i="29"/>
  <c r="H49" i="29" s="1"/>
  <c r="I8" i="29"/>
  <c r="I49" i="29" s="1"/>
  <c r="C9" i="29"/>
  <c r="C50" i="29" s="1"/>
  <c r="D9" i="29"/>
  <c r="D50" i="29" s="1"/>
  <c r="E9" i="29"/>
  <c r="E50" i="29" s="1"/>
  <c r="F9" i="29"/>
  <c r="F50" i="29" s="1"/>
  <c r="G9" i="29"/>
  <c r="G50" i="29" s="1"/>
  <c r="H9" i="29"/>
  <c r="H50" i="29" s="1"/>
  <c r="I9" i="29"/>
  <c r="C10" i="29"/>
  <c r="C51" i="29" s="1"/>
  <c r="D10" i="29"/>
  <c r="D51" i="29" s="1"/>
  <c r="E10" i="29"/>
  <c r="E51" i="29" s="1"/>
  <c r="F10" i="29"/>
  <c r="F51" i="29" s="1"/>
  <c r="G10" i="29"/>
  <c r="G51" i="29" s="1"/>
  <c r="H10" i="29"/>
  <c r="H51" i="29" s="1"/>
  <c r="I10" i="29"/>
  <c r="I51" i="29" s="1"/>
  <c r="I72" i="29" s="1"/>
  <c r="C11" i="29"/>
  <c r="C52" i="29" s="1"/>
  <c r="D11" i="29"/>
  <c r="D52" i="29" s="1"/>
  <c r="E11" i="29"/>
  <c r="E52" i="29" s="1"/>
  <c r="F11" i="29"/>
  <c r="F52" i="29" s="1"/>
  <c r="G11" i="29"/>
  <c r="G52" i="29" s="1"/>
  <c r="H11" i="29"/>
  <c r="H52" i="29" s="1"/>
  <c r="I11" i="29"/>
  <c r="I52" i="29" s="1"/>
  <c r="C12" i="29"/>
  <c r="C53" i="29" s="1"/>
  <c r="D12" i="29"/>
  <c r="D53" i="29" s="1"/>
  <c r="E12" i="29"/>
  <c r="E53" i="29" s="1"/>
  <c r="F12" i="29"/>
  <c r="F53" i="29" s="1"/>
  <c r="G12" i="29"/>
  <c r="G53" i="29" s="1"/>
  <c r="H12" i="29"/>
  <c r="H53" i="29" s="1"/>
  <c r="I12" i="29"/>
  <c r="I53" i="29" s="1"/>
  <c r="C13" i="29"/>
  <c r="C54" i="29" s="1"/>
  <c r="D13" i="29"/>
  <c r="D54" i="29" s="1"/>
  <c r="E13" i="29"/>
  <c r="E54" i="29" s="1"/>
  <c r="F13" i="29"/>
  <c r="F54" i="29" s="1"/>
  <c r="G13" i="29"/>
  <c r="G54" i="29" s="1"/>
  <c r="H13" i="29"/>
  <c r="H54" i="29" s="1"/>
  <c r="I13" i="29"/>
  <c r="C14" i="29"/>
  <c r="C55" i="29" s="1"/>
  <c r="D14" i="29"/>
  <c r="D55" i="29" s="1"/>
  <c r="E14" i="29"/>
  <c r="E55" i="29" s="1"/>
  <c r="F14" i="29"/>
  <c r="F55" i="29" s="1"/>
  <c r="G14" i="29"/>
  <c r="G55" i="29" s="1"/>
  <c r="H14" i="29"/>
  <c r="H55" i="29" s="1"/>
  <c r="I14" i="29"/>
  <c r="I55" i="29" s="1"/>
  <c r="I76" i="29" s="1"/>
  <c r="C15" i="29"/>
  <c r="C56" i="29" s="1"/>
  <c r="D15" i="29"/>
  <c r="D56" i="29" s="1"/>
  <c r="E15" i="29"/>
  <c r="E56" i="29" s="1"/>
  <c r="F15" i="29"/>
  <c r="F56" i="29" s="1"/>
  <c r="G15" i="29"/>
  <c r="G56" i="29" s="1"/>
  <c r="H15" i="29"/>
  <c r="H56" i="29" s="1"/>
  <c r="I15" i="29"/>
  <c r="I56" i="29" s="1"/>
  <c r="C16" i="29"/>
  <c r="C57" i="29" s="1"/>
  <c r="D16" i="29"/>
  <c r="D57" i="29" s="1"/>
  <c r="E16" i="29"/>
  <c r="E57" i="29" s="1"/>
  <c r="F16" i="29"/>
  <c r="F57" i="29" s="1"/>
  <c r="G16" i="29"/>
  <c r="G57" i="29" s="1"/>
  <c r="H16" i="29"/>
  <c r="H57" i="29" s="1"/>
  <c r="I16" i="29"/>
  <c r="I57" i="29" s="1"/>
  <c r="C17" i="29"/>
  <c r="C58" i="29" s="1"/>
  <c r="D17" i="29"/>
  <c r="D58" i="29" s="1"/>
  <c r="E17" i="29"/>
  <c r="E58" i="29" s="1"/>
  <c r="F17" i="29"/>
  <c r="F58" i="29" s="1"/>
  <c r="G17" i="29"/>
  <c r="G58" i="29" s="1"/>
  <c r="H17" i="29"/>
  <c r="H58" i="29" s="1"/>
  <c r="I17" i="29"/>
  <c r="C18" i="29"/>
  <c r="C59" i="29" s="1"/>
  <c r="D18" i="29"/>
  <c r="D59" i="29" s="1"/>
  <c r="E18" i="29"/>
  <c r="E59" i="29" s="1"/>
  <c r="F18" i="29"/>
  <c r="F59" i="29" s="1"/>
  <c r="G18" i="29"/>
  <c r="G59" i="29" s="1"/>
  <c r="H18" i="29"/>
  <c r="H59" i="29" s="1"/>
  <c r="I18" i="29"/>
  <c r="I59" i="29" s="1"/>
  <c r="I80" i="29" s="1"/>
  <c r="C19" i="29"/>
  <c r="C60" i="29" s="1"/>
  <c r="D19" i="29"/>
  <c r="D60" i="29" s="1"/>
  <c r="E19" i="29"/>
  <c r="E60" i="29" s="1"/>
  <c r="F19" i="29"/>
  <c r="F60" i="29" s="1"/>
  <c r="G19" i="29"/>
  <c r="G60" i="29" s="1"/>
  <c r="H19" i="29"/>
  <c r="H60" i="29" s="1"/>
  <c r="I19" i="29"/>
  <c r="I60" i="29" s="1"/>
  <c r="C20" i="29"/>
  <c r="C61" i="29" s="1"/>
  <c r="D20" i="29"/>
  <c r="D61" i="29" s="1"/>
  <c r="E20" i="29"/>
  <c r="E61" i="29" s="1"/>
  <c r="F20" i="29"/>
  <c r="F61" i="29" s="1"/>
  <c r="G20" i="29"/>
  <c r="G61" i="29" s="1"/>
  <c r="H20" i="29"/>
  <c r="H61" i="29" s="1"/>
  <c r="I20" i="29"/>
  <c r="C21" i="29"/>
  <c r="C62" i="29" s="1"/>
  <c r="D21" i="29"/>
  <c r="D62" i="29" s="1"/>
  <c r="E21" i="29"/>
  <c r="E62" i="29" s="1"/>
  <c r="F21" i="29"/>
  <c r="F62" i="29" s="1"/>
  <c r="G21" i="29"/>
  <c r="G62" i="29" s="1"/>
  <c r="H21" i="29"/>
  <c r="H62" i="29" s="1"/>
  <c r="I21" i="29"/>
  <c r="C22" i="29"/>
  <c r="C63" i="29" s="1"/>
  <c r="D22" i="29"/>
  <c r="D63" i="29" s="1"/>
  <c r="E22" i="29"/>
  <c r="E63" i="29" s="1"/>
  <c r="F22" i="29"/>
  <c r="F63" i="29" s="1"/>
  <c r="G22" i="29"/>
  <c r="G63" i="29" s="1"/>
  <c r="H22" i="29"/>
  <c r="H63" i="29" s="1"/>
  <c r="I22" i="29"/>
  <c r="I63" i="29" s="1"/>
  <c r="I84" i="29" s="1"/>
  <c r="C23" i="29"/>
  <c r="C64" i="29" s="1"/>
  <c r="D23" i="29"/>
  <c r="D64" i="29" s="1"/>
  <c r="E23" i="29"/>
  <c r="E64" i="29" s="1"/>
  <c r="F23" i="29"/>
  <c r="F64" i="29" s="1"/>
  <c r="G23" i="29"/>
  <c r="G64" i="29" s="1"/>
  <c r="H23" i="29"/>
  <c r="H64" i="29" s="1"/>
  <c r="I23" i="29"/>
  <c r="I64" i="29" s="1"/>
  <c r="C24" i="29"/>
  <c r="C65" i="29" s="1"/>
  <c r="D24" i="29"/>
  <c r="D65" i="29" s="1"/>
  <c r="E24" i="29"/>
  <c r="E65" i="29" s="1"/>
  <c r="F24" i="29"/>
  <c r="F65" i="29" s="1"/>
  <c r="G24" i="29"/>
  <c r="G65" i="29" s="1"/>
  <c r="H24" i="29"/>
  <c r="H65" i="29" s="1"/>
  <c r="I24" i="29"/>
  <c r="C9" i="28"/>
  <c r="C51" i="28" s="1"/>
  <c r="D9" i="28"/>
  <c r="D51" i="28" s="1"/>
  <c r="E9" i="28"/>
  <c r="E51" i="28" s="1"/>
  <c r="F9" i="28"/>
  <c r="F51" i="28" s="1"/>
  <c r="G9" i="28"/>
  <c r="G51" i="28" s="1"/>
  <c r="H9" i="28"/>
  <c r="H51" i="28" s="1"/>
  <c r="I9" i="28"/>
  <c r="I51" i="28" s="1"/>
  <c r="C10" i="28"/>
  <c r="C52" i="28" s="1"/>
  <c r="D10" i="28"/>
  <c r="D52" i="28" s="1"/>
  <c r="E10" i="28"/>
  <c r="E52" i="28" s="1"/>
  <c r="F10" i="28"/>
  <c r="F52" i="28" s="1"/>
  <c r="G10" i="28"/>
  <c r="G52" i="28" s="1"/>
  <c r="H10" i="28"/>
  <c r="H52" i="28" s="1"/>
  <c r="I10" i="28"/>
  <c r="I52" i="28" s="1"/>
  <c r="C11" i="28"/>
  <c r="C53" i="28" s="1"/>
  <c r="D11" i="28"/>
  <c r="D53" i="28" s="1"/>
  <c r="E11" i="28"/>
  <c r="E53" i="28" s="1"/>
  <c r="F11" i="28"/>
  <c r="F53" i="28" s="1"/>
  <c r="G11" i="28"/>
  <c r="G53" i="28" s="1"/>
  <c r="H11" i="28"/>
  <c r="H53" i="28" s="1"/>
  <c r="I11" i="28"/>
  <c r="I53" i="28" s="1"/>
  <c r="C12" i="28"/>
  <c r="C54" i="28" s="1"/>
  <c r="D12" i="28"/>
  <c r="D54" i="28" s="1"/>
  <c r="E12" i="28"/>
  <c r="E54" i="28" s="1"/>
  <c r="F12" i="28"/>
  <c r="F54" i="28" s="1"/>
  <c r="G12" i="28"/>
  <c r="G54" i="28" s="1"/>
  <c r="H12" i="28"/>
  <c r="H54" i="28" s="1"/>
  <c r="I12" i="28"/>
  <c r="I54" i="28" s="1"/>
  <c r="C13" i="28"/>
  <c r="C55" i="28" s="1"/>
  <c r="D13" i="28"/>
  <c r="D55" i="28" s="1"/>
  <c r="E13" i="28"/>
  <c r="E55" i="28" s="1"/>
  <c r="F13" i="28"/>
  <c r="F55" i="28" s="1"/>
  <c r="G13" i="28"/>
  <c r="G55" i="28" s="1"/>
  <c r="H13" i="28"/>
  <c r="H55" i="28" s="1"/>
  <c r="I13" i="28"/>
  <c r="I55" i="28" s="1"/>
  <c r="C14" i="28"/>
  <c r="C56" i="28" s="1"/>
  <c r="D14" i="28"/>
  <c r="D56" i="28" s="1"/>
  <c r="E14" i="28"/>
  <c r="E56" i="28" s="1"/>
  <c r="F14" i="28"/>
  <c r="F56" i="28" s="1"/>
  <c r="G14" i="28"/>
  <c r="G56" i="28" s="1"/>
  <c r="H14" i="28"/>
  <c r="H56" i="28" s="1"/>
  <c r="I14" i="28"/>
  <c r="I56" i="28" s="1"/>
  <c r="C15" i="28"/>
  <c r="C57" i="28" s="1"/>
  <c r="D15" i="28"/>
  <c r="D57" i="28" s="1"/>
  <c r="E15" i="28"/>
  <c r="E57" i="28" s="1"/>
  <c r="F15" i="28"/>
  <c r="F57" i="28" s="1"/>
  <c r="G15" i="28"/>
  <c r="G57" i="28" s="1"/>
  <c r="H15" i="28"/>
  <c r="H57" i="28" s="1"/>
  <c r="I15" i="28"/>
  <c r="I57" i="28" s="1"/>
  <c r="C16" i="28"/>
  <c r="C58" i="28" s="1"/>
  <c r="D16" i="28"/>
  <c r="D58" i="28" s="1"/>
  <c r="E16" i="28"/>
  <c r="E58" i="28" s="1"/>
  <c r="F16" i="28"/>
  <c r="F58" i="28" s="1"/>
  <c r="G16" i="28"/>
  <c r="G58" i="28" s="1"/>
  <c r="H16" i="28"/>
  <c r="H58" i="28" s="1"/>
  <c r="I16" i="28"/>
  <c r="I58" i="28" s="1"/>
  <c r="C17" i="28"/>
  <c r="C59" i="28" s="1"/>
  <c r="D17" i="28"/>
  <c r="D59" i="28" s="1"/>
  <c r="E17" i="28"/>
  <c r="E59" i="28" s="1"/>
  <c r="F17" i="28"/>
  <c r="F59" i="28" s="1"/>
  <c r="G17" i="28"/>
  <c r="G59" i="28" s="1"/>
  <c r="H17" i="28"/>
  <c r="H59" i="28" s="1"/>
  <c r="I17" i="28"/>
  <c r="I59" i="28" s="1"/>
  <c r="C18" i="28"/>
  <c r="C60" i="28" s="1"/>
  <c r="D18" i="28"/>
  <c r="D60" i="28" s="1"/>
  <c r="E18" i="28"/>
  <c r="E60" i="28" s="1"/>
  <c r="F18" i="28"/>
  <c r="F60" i="28" s="1"/>
  <c r="G18" i="28"/>
  <c r="G60" i="28" s="1"/>
  <c r="H18" i="28"/>
  <c r="H60" i="28" s="1"/>
  <c r="I18" i="28"/>
  <c r="I60" i="28" s="1"/>
  <c r="C19" i="28"/>
  <c r="C61" i="28" s="1"/>
  <c r="D19" i="28"/>
  <c r="D61" i="28" s="1"/>
  <c r="E19" i="28"/>
  <c r="E61" i="28" s="1"/>
  <c r="F19" i="28"/>
  <c r="F61" i="28" s="1"/>
  <c r="G19" i="28"/>
  <c r="G61" i="28" s="1"/>
  <c r="H19" i="28"/>
  <c r="H61" i="28" s="1"/>
  <c r="I19" i="28"/>
  <c r="I61" i="28" s="1"/>
  <c r="C21" i="28"/>
  <c r="C63" i="28" s="1"/>
  <c r="D21" i="28"/>
  <c r="D63" i="28" s="1"/>
  <c r="E21" i="28"/>
  <c r="E63" i="28" s="1"/>
  <c r="F21" i="28"/>
  <c r="F63" i="28" s="1"/>
  <c r="G21" i="28"/>
  <c r="G63" i="28" s="1"/>
  <c r="H21" i="28"/>
  <c r="H63" i="28" s="1"/>
  <c r="I21" i="28"/>
  <c r="I63" i="28" s="1"/>
  <c r="C22" i="28"/>
  <c r="C64" i="28" s="1"/>
  <c r="D22" i="28"/>
  <c r="D64" i="28" s="1"/>
  <c r="E22" i="28"/>
  <c r="E64" i="28" s="1"/>
  <c r="F22" i="28"/>
  <c r="F64" i="28" s="1"/>
  <c r="G22" i="28"/>
  <c r="G64" i="28" s="1"/>
  <c r="H22" i="28"/>
  <c r="H64" i="28" s="1"/>
  <c r="I22" i="28"/>
  <c r="I64" i="28" s="1"/>
  <c r="C23" i="28"/>
  <c r="C65" i="28" s="1"/>
  <c r="D23" i="28"/>
  <c r="D65" i="28" s="1"/>
  <c r="E23" i="28"/>
  <c r="E65" i="28" s="1"/>
  <c r="F23" i="28"/>
  <c r="F65" i="28" s="1"/>
  <c r="G23" i="28"/>
  <c r="G65" i="28" s="1"/>
  <c r="H23" i="28"/>
  <c r="H65" i="28" s="1"/>
  <c r="I23" i="28"/>
  <c r="I65" i="28" s="1"/>
  <c r="C24" i="28"/>
  <c r="C66" i="28" s="1"/>
  <c r="D24" i="28"/>
  <c r="D66" i="28" s="1"/>
  <c r="E24" i="28"/>
  <c r="E66" i="28" s="1"/>
  <c r="F24" i="28"/>
  <c r="F66" i="28" s="1"/>
  <c r="G24" i="28"/>
  <c r="G66" i="28" s="1"/>
  <c r="H24" i="28"/>
  <c r="H66" i="28" s="1"/>
  <c r="I24" i="28"/>
  <c r="I66" i="28" s="1"/>
  <c r="C8" i="28"/>
  <c r="C50" i="28" s="1"/>
  <c r="D8" i="28"/>
  <c r="D50" i="28" s="1"/>
  <c r="E8" i="28"/>
  <c r="E50" i="28" s="1"/>
  <c r="F8" i="28"/>
  <c r="F50" i="28" s="1"/>
  <c r="G8" i="28"/>
  <c r="G50" i="28" s="1"/>
  <c r="H8" i="28"/>
  <c r="H50" i="28" s="1"/>
  <c r="I8" i="28"/>
  <c r="I50" i="28" s="1"/>
  <c r="E67" i="28" l="1"/>
  <c r="I67" i="28"/>
  <c r="D67" i="28"/>
  <c r="C67" i="28"/>
  <c r="F67" i="28"/>
  <c r="H67" i="28"/>
  <c r="G67" i="28"/>
  <c r="E25" i="28"/>
  <c r="H25" i="28"/>
  <c r="D25" i="28"/>
  <c r="G25" i="28"/>
  <c r="C25" i="28"/>
  <c r="D25" i="30"/>
  <c r="F25" i="28"/>
  <c r="I25" i="28"/>
  <c r="F25" i="30"/>
  <c r="I25" i="37"/>
  <c r="C57" i="32"/>
  <c r="C78" i="32" s="1"/>
  <c r="C119" i="32" s="1"/>
  <c r="C140" i="32" s="1"/>
  <c r="H54" i="32"/>
  <c r="H75" i="32" s="1"/>
  <c r="H116" i="32" s="1"/>
  <c r="H137" i="32" s="1"/>
  <c r="F52" i="32"/>
  <c r="F73" i="32" s="1"/>
  <c r="F114" i="32" s="1"/>
  <c r="F135" i="32" s="1"/>
  <c r="D50" i="32"/>
  <c r="D71" i="32" s="1"/>
  <c r="D112" i="32" s="1"/>
  <c r="D133" i="32" s="1"/>
  <c r="G81" i="37"/>
  <c r="G122" i="37" s="1"/>
  <c r="G143" i="37" s="1"/>
  <c r="H78" i="37"/>
  <c r="H119" i="37" s="1"/>
  <c r="H140" i="37" s="1"/>
  <c r="F76" i="37"/>
  <c r="F117" i="37" s="1"/>
  <c r="F138" i="37" s="1"/>
  <c r="H74" i="37"/>
  <c r="H115" i="37" s="1"/>
  <c r="H136" i="37" s="1"/>
  <c r="D74" i="37"/>
  <c r="D115" i="37" s="1"/>
  <c r="D136" i="37" s="1"/>
  <c r="F72" i="37"/>
  <c r="F113" i="37" s="1"/>
  <c r="F134" i="37" s="1"/>
  <c r="I71" i="37"/>
  <c r="I112" i="37" s="1"/>
  <c r="I133" i="37" s="1"/>
  <c r="D70" i="37"/>
  <c r="D111" i="37" s="1"/>
  <c r="D132" i="37" s="1"/>
  <c r="C60" i="37"/>
  <c r="C81" i="37" s="1"/>
  <c r="C122" i="37" s="1"/>
  <c r="C143" i="37" s="1"/>
  <c r="E58" i="37"/>
  <c r="E79" i="37" s="1"/>
  <c r="E120" i="37" s="1"/>
  <c r="E141" i="37" s="1"/>
  <c r="C56" i="37"/>
  <c r="C77" i="37" s="1"/>
  <c r="C118" i="37" s="1"/>
  <c r="C139" i="37" s="1"/>
  <c r="D85" i="35"/>
  <c r="D126" i="35" s="1"/>
  <c r="D147" i="35" s="1"/>
  <c r="I82" i="35"/>
  <c r="I123" i="35" s="1"/>
  <c r="I144" i="35" s="1"/>
  <c r="I25" i="40"/>
  <c r="I73" i="41"/>
  <c r="I114" i="41" s="1"/>
  <c r="I135" i="41" s="1"/>
  <c r="F85" i="37"/>
  <c r="F126" i="37" s="1"/>
  <c r="F147" i="37" s="1"/>
  <c r="D83" i="37"/>
  <c r="D124" i="37" s="1"/>
  <c r="D145" i="37" s="1"/>
  <c r="C78" i="37"/>
  <c r="C119" i="37" s="1"/>
  <c r="C140" i="37" s="1"/>
  <c r="H75" i="37"/>
  <c r="H116" i="37" s="1"/>
  <c r="H137" i="37" s="1"/>
  <c r="C74" i="37"/>
  <c r="C115" i="37" s="1"/>
  <c r="C136" i="37" s="1"/>
  <c r="F73" i="37"/>
  <c r="F114" i="37" s="1"/>
  <c r="F135" i="37" s="1"/>
  <c r="H71" i="37"/>
  <c r="H112" i="37" s="1"/>
  <c r="H133" i="37" s="1"/>
  <c r="I63" i="37"/>
  <c r="I84" i="37" s="1"/>
  <c r="I125" i="37" s="1"/>
  <c r="I146" i="37" s="1"/>
  <c r="G61" i="37"/>
  <c r="G82" i="37" s="1"/>
  <c r="I59" i="37"/>
  <c r="I80" i="37" s="1"/>
  <c r="I121" i="37" s="1"/>
  <c r="I142" i="37" s="1"/>
  <c r="D50" i="37"/>
  <c r="D71" i="37" s="1"/>
  <c r="D112" i="37" s="1"/>
  <c r="D133" i="37" s="1"/>
  <c r="I55" i="32"/>
  <c r="I76" i="32" s="1"/>
  <c r="I117" i="32" s="1"/>
  <c r="I138" i="32" s="1"/>
  <c r="G53" i="32"/>
  <c r="G74" i="32" s="1"/>
  <c r="G115" i="32" s="1"/>
  <c r="G136" i="32" s="1"/>
  <c r="E51" i="32"/>
  <c r="E72" i="32" s="1"/>
  <c r="E113" i="32" s="1"/>
  <c r="E134" i="32" s="1"/>
  <c r="C49" i="32"/>
  <c r="C70" i="32" s="1"/>
  <c r="C111" i="32" s="1"/>
  <c r="C132" i="32" s="1"/>
  <c r="I25" i="38"/>
  <c r="I58" i="41"/>
  <c r="I79" i="41" s="1"/>
  <c r="I120" i="41" s="1"/>
  <c r="I141" i="41" s="1"/>
  <c r="G65" i="37"/>
  <c r="G86" i="37" s="1"/>
  <c r="G127" i="37" s="1"/>
  <c r="G148" i="37" s="1"/>
  <c r="E63" i="37"/>
  <c r="E84" i="37" s="1"/>
  <c r="E59" i="37"/>
  <c r="E80" i="37" s="1"/>
  <c r="E121" i="37" s="1"/>
  <c r="E142" i="37" s="1"/>
  <c r="G57" i="37"/>
  <c r="G78" i="37" s="1"/>
  <c r="G119" i="37" s="1"/>
  <c r="G140" i="37" s="1"/>
  <c r="E55" i="37"/>
  <c r="E76" i="37" s="1"/>
  <c r="I125" i="29"/>
  <c r="I146" i="29" s="1"/>
  <c r="I113" i="29"/>
  <c r="I134" i="29" s="1"/>
  <c r="H66" i="29"/>
  <c r="I117" i="29"/>
  <c r="I138" i="29" s="1"/>
  <c r="I121" i="29"/>
  <c r="I142" i="29" s="1"/>
  <c r="I25" i="29"/>
  <c r="I65" i="29"/>
  <c r="I86" i="29" s="1"/>
  <c r="I61" i="29"/>
  <c r="I82" i="29" s="1"/>
  <c r="I62" i="29"/>
  <c r="I83" i="29" s="1"/>
  <c r="I58" i="29"/>
  <c r="I79" i="29" s="1"/>
  <c r="I54" i="29"/>
  <c r="I75" i="29" s="1"/>
  <c r="I50" i="29"/>
  <c r="I71" i="29" s="1"/>
  <c r="I78" i="29"/>
  <c r="I74" i="29"/>
  <c r="I70" i="29"/>
  <c r="G86" i="30"/>
  <c r="C86" i="30"/>
  <c r="F85" i="30"/>
  <c r="I84" i="30"/>
  <c r="E84" i="30"/>
  <c r="H83" i="30"/>
  <c r="D62" i="30"/>
  <c r="D83" i="30" s="1"/>
  <c r="G61" i="30"/>
  <c r="G82" i="30" s="1"/>
  <c r="C61" i="30"/>
  <c r="C82" i="30" s="1"/>
  <c r="F60" i="30"/>
  <c r="F81" i="30" s="1"/>
  <c r="I59" i="30"/>
  <c r="I80" i="30" s="1"/>
  <c r="E59" i="30"/>
  <c r="E80" i="30" s="1"/>
  <c r="H58" i="30"/>
  <c r="H79" i="30" s="1"/>
  <c r="D58" i="30"/>
  <c r="D79" i="30" s="1"/>
  <c r="G57" i="30"/>
  <c r="G78" i="30" s="1"/>
  <c r="C57" i="30"/>
  <c r="C78" i="30" s="1"/>
  <c r="F56" i="30"/>
  <c r="F77" i="30" s="1"/>
  <c r="I55" i="30"/>
  <c r="I76" i="30" s="1"/>
  <c r="E55" i="30"/>
  <c r="E76" i="30" s="1"/>
  <c r="H54" i="30"/>
  <c r="H75" i="30" s="1"/>
  <c r="D54" i="30"/>
  <c r="D75" i="30" s="1"/>
  <c r="G53" i="30"/>
  <c r="G74" i="30" s="1"/>
  <c r="C53" i="30"/>
  <c r="C74" i="30" s="1"/>
  <c r="F52" i="30"/>
  <c r="F73" i="30" s="1"/>
  <c r="I51" i="30"/>
  <c r="I72" i="30" s="1"/>
  <c r="E51" i="30"/>
  <c r="E72" i="30" s="1"/>
  <c r="H50" i="30"/>
  <c r="H71" i="30" s="1"/>
  <c r="D50" i="30"/>
  <c r="D71" i="30" s="1"/>
  <c r="G49" i="30"/>
  <c r="G70" i="30" s="1"/>
  <c r="C49" i="30"/>
  <c r="C70" i="30" s="1"/>
  <c r="I61" i="30"/>
  <c r="I82" i="30" s="1"/>
  <c r="D61" i="30"/>
  <c r="D82" i="30" s="1"/>
  <c r="F59" i="30"/>
  <c r="F80" i="30" s="1"/>
  <c r="E58" i="30"/>
  <c r="E79" i="30" s="1"/>
  <c r="D57" i="30"/>
  <c r="D78" i="30" s="1"/>
  <c r="C56" i="30"/>
  <c r="C77" i="30" s="1"/>
  <c r="I54" i="30"/>
  <c r="I75" i="30" s="1"/>
  <c r="H53" i="30"/>
  <c r="H74" i="30" s="1"/>
  <c r="G52" i="30"/>
  <c r="G73" i="30" s="1"/>
  <c r="F51" i="30"/>
  <c r="F72" i="30" s="1"/>
  <c r="E50" i="30"/>
  <c r="E71" i="30" s="1"/>
  <c r="D49" i="30"/>
  <c r="D70" i="30" s="1"/>
  <c r="D86" i="30"/>
  <c r="C85" i="30"/>
  <c r="I83" i="30"/>
  <c r="H82" i="30"/>
  <c r="G81" i="30"/>
  <c r="I126" i="31"/>
  <c r="I147" i="31" s="1"/>
  <c r="G124" i="31"/>
  <c r="G145" i="31" s="1"/>
  <c r="E122" i="31"/>
  <c r="E143" i="31" s="1"/>
  <c r="C120" i="31"/>
  <c r="C141" i="31" s="1"/>
  <c r="H117" i="31"/>
  <c r="H138" i="31" s="1"/>
  <c r="F115" i="31"/>
  <c r="F136" i="31" s="1"/>
  <c r="D113" i="31"/>
  <c r="D134" i="31" s="1"/>
  <c r="I125" i="32"/>
  <c r="I146" i="32" s="1"/>
  <c r="G123" i="32"/>
  <c r="G144" i="32" s="1"/>
  <c r="E121" i="32"/>
  <c r="E142" i="32" s="1"/>
  <c r="E127" i="33"/>
  <c r="E148" i="33" s="1"/>
  <c r="I85" i="29"/>
  <c r="I81" i="29"/>
  <c r="I77" i="29"/>
  <c r="I73" i="29"/>
  <c r="F86" i="30"/>
  <c r="I85" i="30"/>
  <c r="E85" i="30"/>
  <c r="H84" i="30"/>
  <c r="D84" i="30"/>
  <c r="G83" i="30"/>
  <c r="E81" i="30"/>
  <c r="H59" i="30"/>
  <c r="H80" i="30" s="1"/>
  <c r="D59" i="30"/>
  <c r="D80" i="30" s="1"/>
  <c r="G58" i="30"/>
  <c r="G79" i="30" s="1"/>
  <c r="C58" i="30"/>
  <c r="C79" i="30" s="1"/>
  <c r="F57" i="30"/>
  <c r="F78" i="30" s="1"/>
  <c r="I56" i="30"/>
  <c r="I77" i="30" s="1"/>
  <c r="E56" i="30"/>
  <c r="E77" i="30" s="1"/>
  <c r="H55" i="30"/>
  <c r="H76" i="30" s="1"/>
  <c r="D55" i="30"/>
  <c r="D76" i="30" s="1"/>
  <c r="G54" i="30"/>
  <c r="G75" i="30" s="1"/>
  <c r="C54" i="30"/>
  <c r="C75" i="30" s="1"/>
  <c r="F53" i="30"/>
  <c r="F74" i="30" s="1"/>
  <c r="I52" i="30"/>
  <c r="I73" i="30" s="1"/>
  <c r="E52" i="30"/>
  <c r="E73" i="30" s="1"/>
  <c r="H51" i="30"/>
  <c r="H72" i="30" s="1"/>
  <c r="D51" i="30"/>
  <c r="D72" i="30" s="1"/>
  <c r="G50" i="30"/>
  <c r="G71" i="30" s="1"/>
  <c r="C50" i="30"/>
  <c r="C71" i="30" s="1"/>
  <c r="F49" i="30"/>
  <c r="F70" i="30" s="1"/>
  <c r="I25" i="30"/>
  <c r="E25" i="30"/>
  <c r="I65" i="30"/>
  <c r="I86" i="30" s="1"/>
  <c r="E65" i="30"/>
  <c r="E86" i="30" s="1"/>
  <c r="H64" i="30"/>
  <c r="H85" i="30" s="1"/>
  <c r="D64" i="30"/>
  <c r="D85" i="30" s="1"/>
  <c r="G63" i="30"/>
  <c r="G84" i="30" s="1"/>
  <c r="C63" i="30"/>
  <c r="C84" i="30" s="1"/>
  <c r="F62" i="30"/>
  <c r="F83" i="30" s="1"/>
  <c r="I60" i="30"/>
  <c r="I81" i="30" s="1"/>
  <c r="D60" i="30"/>
  <c r="D81" i="30" s="1"/>
  <c r="C59" i="30"/>
  <c r="C80" i="30" s="1"/>
  <c r="I57" i="30"/>
  <c r="I78" i="30" s="1"/>
  <c r="H56" i="30"/>
  <c r="H77" i="30" s="1"/>
  <c r="G55" i="30"/>
  <c r="G76" i="30" s="1"/>
  <c r="F54" i="30"/>
  <c r="F75" i="30" s="1"/>
  <c r="E53" i="30"/>
  <c r="E74" i="30" s="1"/>
  <c r="D52" i="30"/>
  <c r="D73" i="30" s="1"/>
  <c r="C51" i="30"/>
  <c r="C72" i="30" s="1"/>
  <c r="I49" i="30"/>
  <c r="E82" i="30"/>
  <c r="E126" i="31"/>
  <c r="E147" i="31" s="1"/>
  <c r="C124" i="31"/>
  <c r="C145" i="31" s="1"/>
  <c r="H121" i="31"/>
  <c r="H142" i="31" s="1"/>
  <c r="F119" i="31"/>
  <c r="F140" i="31" s="1"/>
  <c r="D117" i="31"/>
  <c r="D138" i="31" s="1"/>
  <c r="I114" i="31"/>
  <c r="I135" i="31" s="1"/>
  <c r="G112" i="31"/>
  <c r="G133" i="31" s="1"/>
  <c r="G127" i="32"/>
  <c r="G148" i="32" s="1"/>
  <c r="E125" i="32"/>
  <c r="E146" i="32" s="1"/>
  <c r="C123" i="32"/>
  <c r="C144" i="32" s="1"/>
  <c r="H120" i="32"/>
  <c r="H141" i="32" s="1"/>
  <c r="F118" i="32"/>
  <c r="F139" i="32" s="1"/>
  <c r="D116" i="32"/>
  <c r="D137" i="32" s="1"/>
  <c r="I113" i="32"/>
  <c r="I134" i="32" s="1"/>
  <c r="G111" i="32"/>
  <c r="G132" i="32" s="1"/>
  <c r="H126" i="33"/>
  <c r="H147" i="33" s="1"/>
  <c r="H25" i="30"/>
  <c r="H65" i="30"/>
  <c r="H86" i="30" s="1"/>
  <c r="G64" i="30"/>
  <c r="G85" i="30" s="1"/>
  <c r="F63" i="30"/>
  <c r="F84" i="30" s="1"/>
  <c r="E62" i="30"/>
  <c r="E83" i="30" s="1"/>
  <c r="F61" i="30"/>
  <c r="F82" i="30" s="1"/>
  <c r="H60" i="30"/>
  <c r="H81" i="30" s="1"/>
  <c r="C60" i="30"/>
  <c r="C81" i="30" s="1"/>
  <c r="I58" i="30"/>
  <c r="I79" i="30" s="1"/>
  <c r="H57" i="30"/>
  <c r="H78" i="30" s="1"/>
  <c r="G56" i="30"/>
  <c r="G77" i="30" s="1"/>
  <c r="F55" i="30"/>
  <c r="F76" i="30" s="1"/>
  <c r="E54" i="30"/>
  <c r="E75" i="30" s="1"/>
  <c r="D53" i="30"/>
  <c r="D74" i="30" s="1"/>
  <c r="C52" i="30"/>
  <c r="C73" i="30" s="1"/>
  <c r="I50" i="30"/>
  <c r="I71" i="30" s="1"/>
  <c r="H49" i="30"/>
  <c r="H70" i="30" s="1"/>
  <c r="H125" i="31"/>
  <c r="H146" i="31" s="1"/>
  <c r="F123" i="31"/>
  <c r="F144" i="31" s="1"/>
  <c r="D121" i="31"/>
  <c r="D142" i="31" s="1"/>
  <c r="I118" i="31"/>
  <c r="I139" i="31" s="1"/>
  <c r="G116" i="31"/>
  <c r="G137" i="31" s="1"/>
  <c r="E114" i="31"/>
  <c r="E135" i="31" s="1"/>
  <c r="C112" i="31"/>
  <c r="C133" i="31" s="1"/>
  <c r="C127" i="32"/>
  <c r="C148" i="32" s="1"/>
  <c r="H124" i="32"/>
  <c r="H145" i="32" s="1"/>
  <c r="F122" i="32"/>
  <c r="F143" i="32" s="1"/>
  <c r="D120" i="32"/>
  <c r="D141" i="32" s="1"/>
  <c r="D126" i="33"/>
  <c r="D147" i="33" s="1"/>
  <c r="G25" i="30"/>
  <c r="C25" i="30"/>
  <c r="C62" i="30"/>
  <c r="C83" i="30" s="1"/>
  <c r="G59" i="30"/>
  <c r="G80" i="30" s="1"/>
  <c r="F58" i="30"/>
  <c r="F79" i="30" s="1"/>
  <c r="E57" i="30"/>
  <c r="E78" i="30" s="1"/>
  <c r="D56" i="30"/>
  <c r="D77" i="30" s="1"/>
  <c r="C55" i="30"/>
  <c r="C76" i="30" s="1"/>
  <c r="I53" i="30"/>
  <c r="I74" i="30" s="1"/>
  <c r="H52" i="30"/>
  <c r="H73" i="30" s="1"/>
  <c r="G51" i="30"/>
  <c r="G72" i="30" s="1"/>
  <c r="F50" i="30"/>
  <c r="F71" i="30" s="1"/>
  <c r="E49" i="30"/>
  <c r="E70" i="30" s="1"/>
  <c r="I65" i="31"/>
  <c r="I86" i="31" s="1"/>
  <c r="E65" i="31"/>
  <c r="E86" i="31" s="1"/>
  <c r="H64" i="31"/>
  <c r="H85" i="31" s="1"/>
  <c r="D64" i="31"/>
  <c r="D85" i="31" s="1"/>
  <c r="G63" i="31"/>
  <c r="G84" i="31" s="1"/>
  <c r="C63" i="31"/>
  <c r="C84" i="31" s="1"/>
  <c r="F62" i="31"/>
  <c r="F83" i="31" s="1"/>
  <c r="I61" i="31"/>
  <c r="I82" i="31" s="1"/>
  <c r="E61" i="31"/>
  <c r="E82" i="31" s="1"/>
  <c r="H60" i="31"/>
  <c r="H81" i="31" s="1"/>
  <c r="D60" i="31"/>
  <c r="D81" i="31" s="1"/>
  <c r="G59" i="31"/>
  <c r="G80" i="31" s="1"/>
  <c r="C59" i="31"/>
  <c r="C80" i="31" s="1"/>
  <c r="F58" i="31"/>
  <c r="F79" i="31" s="1"/>
  <c r="I57" i="31"/>
  <c r="I78" i="31" s="1"/>
  <c r="E57" i="31"/>
  <c r="E78" i="31" s="1"/>
  <c r="H56" i="31"/>
  <c r="H77" i="31" s="1"/>
  <c r="D56" i="31"/>
  <c r="D77" i="31" s="1"/>
  <c r="G55" i="31"/>
  <c r="G76" i="31" s="1"/>
  <c r="C55" i="31"/>
  <c r="C76" i="31" s="1"/>
  <c r="F54" i="31"/>
  <c r="F75" i="31" s="1"/>
  <c r="I53" i="31"/>
  <c r="I74" i="31" s="1"/>
  <c r="E53" i="31"/>
  <c r="E74" i="31" s="1"/>
  <c r="H52" i="31"/>
  <c r="H73" i="31" s="1"/>
  <c r="D52" i="31"/>
  <c r="D73" i="31" s="1"/>
  <c r="G51" i="31"/>
  <c r="G72" i="31" s="1"/>
  <c r="C51" i="31"/>
  <c r="C72" i="31" s="1"/>
  <c r="F50" i="31"/>
  <c r="F71" i="31" s="1"/>
  <c r="I49" i="31"/>
  <c r="I25" i="31"/>
  <c r="E49" i="31"/>
  <c r="E70" i="31" s="1"/>
  <c r="F127" i="31"/>
  <c r="F148" i="31" s="1"/>
  <c r="D125" i="31"/>
  <c r="D146" i="31" s="1"/>
  <c r="I122" i="31"/>
  <c r="I143" i="31" s="1"/>
  <c r="G120" i="31"/>
  <c r="G141" i="31" s="1"/>
  <c r="E118" i="31"/>
  <c r="E139" i="31" s="1"/>
  <c r="C116" i="31"/>
  <c r="C137" i="31" s="1"/>
  <c r="H113" i="31"/>
  <c r="H134" i="31" s="1"/>
  <c r="F111" i="31"/>
  <c r="F132" i="31" s="1"/>
  <c r="F126" i="32"/>
  <c r="F147" i="32" s="1"/>
  <c r="D124" i="32"/>
  <c r="D145" i="32" s="1"/>
  <c r="I121" i="32"/>
  <c r="I142" i="32" s="1"/>
  <c r="G119" i="32"/>
  <c r="G140" i="32" s="1"/>
  <c r="E117" i="32"/>
  <c r="E138" i="32" s="1"/>
  <c r="C115" i="32"/>
  <c r="C136" i="32" s="1"/>
  <c r="H112" i="32"/>
  <c r="H133" i="32" s="1"/>
  <c r="G65" i="31"/>
  <c r="G86" i="31" s="1"/>
  <c r="C65" i="31"/>
  <c r="C86" i="31" s="1"/>
  <c r="F64" i="31"/>
  <c r="F85" i="31" s="1"/>
  <c r="I63" i="31"/>
  <c r="I84" i="31" s="1"/>
  <c r="E63" i="31"/>
  <c r="E84" i="31" s="1"/>
  <c r="H62" i="31"/>
  <c r="H83" i="31" s="1"/>
  <c r="D62" i="31"/>
  <c r="D83" i="31" s="1"/>
  <c r="G61" i="31"/>
  <c r="G82" i="31" s="1"/>
  <c r="C61" i="31"/>
  <c r="C82" i="31" s="1"/>
  <c r="F60" i="31"/>
  <c r="F81" i="31" s="1"/>
  <c r="I59" i="31"/>
  <c r="I80" i="31" s="1"/>
  <c r="E59" i="31"/>
  <c r="E80" i="31" s="1"/>
  <c r="H58" i="31"/>
  <c r="H79" i="31" s="1"/>
  <c r="D58" i="31"/>
  <c r="D79" i="31" s="1"/>
  <c r="G57" i="31"/>
  <c r="G78" i="31" s="1"/>
  <c r="C57" i="31"/>
  <c r="C78" i="31" s="1"/>
  <c r="F56" i="31"/>
  <c r="F77" i="31" s="1"/>
  <c r="I55" i="31"/>
  <c r="I76" i="31" s="1"/>
  <c r="E55" i="31"/>
  <c r="E76" i="31" s="1"/>
  <c r="H54" i="31"/>
  <c r="H75" i="31" s="1"/>
  <c r="D54" i="31"/>
  <c r="D75" i="31" s="1"/>
  <c r="G53" i="31"/>
  <c r="G74" i="31" s="1"/>
  <c r="C53" i="31"/>
  <c r="C74" i="31" s="1"/>
  <c r="F52" i="31"/>
  <c r="F73" i="31" s="1"/>
  <c r="I51" i="31"/>
  <c r="I72" i="31" s="1"/>
  <c r="E51" i="31"/>
  <c r="E72" i="31" s="1"/>
  <c r="H50" i="31"/>
  <c r="H71" i="31" s="1"/>
  <c r="D50" i="31"/>
  <c r="D71" i="31" s="1"/>
  <c r="G49" i="31"/>
  <c r="G70" i="31" s="1"/>
  <c r="C49" i="31"/>
  <c r="C70" i="31" s="1"/>
  <c r="H65" i="32"/>
  <c r="H86" i="32" s="1"/>
  <c r="D65" i="32"/>
  <c r="D86" i="32" s="1"/>
  <c r="G64" i="32"/>
  <c r="G85" i="32" s="1"/>
  <c r="C64" i="32"/>
  <c r="C85" i="32" s="1"/>
  <c r="F63" i="32"/>
  <c r="F84" i="32" s="1"/>
  <c r="I62" i="32"/>
  <c r="I83" i="32" s="1"/>
  <c r="E62" i="32"/>
  <c r="E83" i="32" s="1"/>
  <c r="H61" i="32"/>
  <c r="H82" i="32" s="1"/>
  <c r="D61" i="32"/>
  <c r="D82" i="32" s="1"/>
  <c r="G60" i="32"/>
  <c r="G81" i="32" s="1"/>
  <c r="C60" i="32"/>
  <c r="C81" i="32" s="1"/>
  <c r="F59" i="32"/>
  <c r="F80" i="32" s="1"/>
  <c r="I58" i="32"/>
  <c r="I79" i="32" s="1"/>
  <c r="E58" i="32"/>
  <c r="E79" i="32" s="1"/>
  <c r="H57" i="32"/>
  <c r="H78" i="32" s="1"/>
  <c r="D57" i="32"/>
  <c r="D78" i="32" s="1"/>
  <c r="G56" i="32"/>
  <c r="G77" i="32" s="1"/>
  <c r="C56" i="32"/>
  <c r="C77" i="32" s="1"/>
  <c r="F55" i="32"/>
  <c r="F76" i="32" s="1"/>
  <c r="I54" i="32"/>
  <c r="I75" i="32" s="1"/>
  <c r="E54" i="32"/>
  <c r="E75" i="32" s="1"/>
  <c r="H53" i="32"/>
  <c r="H74" i="32" s="1"/>
  <c r="D53" i="32"/>
  <c r="D74" i="32" s="1"/>
  <c r="G52" i="32"/>
  <c r="G73" i="32" s="1"/>
  <c r="C52" i="32"/>
  <c r="C73" i="32" s="1"/>
  <c r="F51" i="32"/>
  <c r="F72" i="32" s="1"/>
  <c r="I50" i="32"/>
  <c r="I71" i="32" s="1"/>
  <c r="E50" i="32"/>
  <c r="E71" i="32" s="1"/>
  <c r="H49" i="32"/>
  <c r="H70" i="32" s="1"/>
  <c r="D49" i="32"/>
  <c r="D70" i="32" s="1"/>
  <c r="E123" i="33"/>
  <c r="E144" i="33" s="1"/>
  <c r="C121" i="33"/>
  <c r="C142" i="33" s="1"/>
  <c r="H118" i="33"/>
  <c r="H139" i="33" s="1"/>
  <c r="F116" i="33"/>
  <c r="F137" i="33" s="1"/>
  <c r="D114" i="33"/>
  <c r="D135" i="33" s="1"/>
  <c r="I70" i="33"/>
  <c r="I126" i="34"/>
  <c r="I147" i="34" s="1"/>
  <c r="G124" i="34"/>
  <c r="G145" i="34" s="1"/>
  <c r="E122" i="34"/>
  <c r="E143" i="34" s="1"/>
  <c r="C120" i="34"/>
  <c r="C141" i="34" s="1"/>
  <c r="H117" i="34"/>
  <c r="H138" i="34" s="1"/>
  <c r="F115" i="34"/>
  <c r="F136" i="34" s="1"/>
  <c r="D113" i="34"/>
  <c r="D134" i="34" s="1"/>
  <c r="H127" i="36"/>
  <c r="H148" i="36" s="1"/>
  <c r="F125" i="36"/>
  <c r="F146" i="36" s="1"/>
  <c r="D123" i="36"/>
  <c r="D144" i="36" s="1"/>
  <c r="I120" i="36"/>
  <c r="I141" i="36" s="1"/>
  <c r="I25" i="32"/>
  <c r="H65" i="33"/>
  <c r="H86" i="33" s="1"/>
  <c r="D65" i="33"/>
  <c r="D86" i="33" s="1"/>
  <c r="G64" i="33"/>
  <c r="G85" i="33" s="1"/>
  <c r="C64" i="33"/>
  <c r="C85" i="33" s="1"/>
  <c r="F63" i="33"/>
  <c r="F84" i="33" s="1"/>
  <c r="I62" i="33"/>
  <c r="I83" i="33" s="1"/>
  <c r="E62" i="33"/>
  <c r="E83" i="33" s="1"/>
  <c r="H61" i="33"/>
  <c r="H82" i="33" s="1"/>
  <c r="D61" i="33"/>
  <c r="D82" i="33" s="1"/>
  <c r="G60" i="33"/>
  <c r="G81" i="33" s="1"/>
  <c r="C60" i="33"/>
  <c r="C81" i="33" s="1"/>
  <c r="F59" i="33"/>
  <c r="F80" i="33" s="1"/>
  <c r="I58" i="33"/>
  <c r="I79" i="33" s="1"/>
  <c r="E58" i="33"/>
  <c r="E79" i="33" s="1"/>
  <c r="H57" i="33"/>
  <c r="H78" i="33" s="1"/>
  <c r="D57" i="33"/>
  <c r="D78" i="33" s="1"/>
  <c r="G56" i="33"/>
  <c r="G77" i="33" s="1"/>
  <c r="C56" i="33"/>
  <c r="C77" i="33" s="1"/>
  <c r="F55" i="33"/>
  <c r="F76" i="33" s="1"/>
  <c r="I54" i="33"/>
  <c r="I75" i="33" s="1"/>
  <c r="E54" i="33"/>
  <c r="E75" i="33" s="1"/>
  <c r="H53" i="33"/>
  <c r="H74" i="33" s="1"/>
  <c r="D53" i="33"/>
  <c r="D74" i="33" s="1"/>
  <c r="G52" i="33"/>
  <c r="G73" i="33" s="1"/>
  <c r="C52" i="33"/>
  <c r="C73" i="33" s="1"/>
  <c r="F51" i="33"/>
  <c r="F72" i="33" s="1"/>
  <c r="I25" i="33"/>
  <c r="I50" i="33"/>
  <c r="E50" i="33"/>
  <c r="E71" i="33" s="1"/>
  <c r="H49" i="33"/>
  <c r="H70" i="33" s="1"/>
  <c r="D49" i="33"/>
  <c r="D70" i="33" s="1"/>
  <c r="C125" i="33"/>
  <c r="C146" i="33" s="1"/>
  <c r="H122" i="33"/>
  <c r="H143" i="33" s="1"/>
  <c r="F120" i="33"/>
  <c r="F141" i="33" s="1"/>
  <c r="D118" i="33"/>
  <c r="D139" i="33" s="1"/>
  <c r="I115" i="33"/>
  <c r="I136" i="33" s="1"/>
  <c r="G113" i="33"/>
  <c r="G134" i="33" s="1"/>
  <c r="E111" i="33"/>
  <c r="E132" i="33" s="1"/>
  <c r="E126" i="34"/>
  <c r="E147" i="34" s="1"/>
  <c r="C124" i="34"/>
  <c r="C145" i="34" s="1"/>
  <c r="H121" i="34"/>
  <c r="H142" i="34" s="1"/>
  <c r="F119" i="34"/>
  <c r="F140" i="34" s="1"/>
  <c r="D117" i="34"/>
  <c r="D138" i="34" s="1"/>
  <c r="I114" i="34"/>
  <c r="I135" i="34" s="1"/>
  <c r="G112" i="34"/>
  <c r="G133" i="34" s="1"/>
  <c r="D127" i="36"/>
  <c r="D148" i="36" s="1"/>
  <c r="I124" i="36"/>
  <c r="I145" i="36" s="1"/>
  <c r="G122" i="36"/>
  <c r="G143" i="36" s="1"/>
  <c r="E120" i="36"/>
  <c r="E141" i="36" s="1"/>
  <c r="F65" i="32"/>
  <c r="F86" i="32" s="1"/>
  <c r="I64" i="32"/>
  <c r="I85" i="32" s="1"/>
  <c r="E64" i="32"/>
  <c r="E85" i="32" s="1"/>
  <c r="H63" i="32"/>
  <c r="H84" i="32" s="1"/>
  <c r="D63" i="32"/>
  <c r="D84" i="32" s="1"/>
  <c r="G62" i="32"/>
  <c r="G83" i="32" s="1"/>
  <c r="C62" i="32"/>
  <c r="C83" i="32" s="1"/>
  <c r="F61" i="32"/>
  <c r="F82" i="32" s="1"/>
  <c r="I60" i="32"/>
  <c r="I81" i="32" s="1"/>
  <c r="E60" i="32"/>
  <c r="E81" i="32" s="1"/>
  <c r="H59" i="32"/>
  <c r="H80" i="32" s="1"/>
  <c r="D59" i="32"/>
  <c r="D80" i="32" s="1"/>
  <c r="G58" i="32"/>
  <c r="G79" i="32" s="1"/>
  <c r="C58" i="32"/>
  <c r="C79" i="32" s="1"/>
  <c r="F57" i="32"/>
  <c r="F78" i="32" s="1"/>
  <c r="I56" i="32"/>
  <c r="I77" i="32" s="1"/>
  <c r="E56" i="32"/>
  <c r="E77" i="32" s="1"/>
  <c r="H55" i="32"/>
  <c r="H76" i="32" s="1"/>
  <c r="D55" i="32"/>
  <c r="D76" i="32" s="1"/>
  <c r="G54" i="32"/>
  <c r="G75" i="32" s="1"/>
  <c r="C54" i="32"/>
  <c r="C75" i="32" s="1"/>
  <c r="F53" i="32"/>
  <c r="F74" i="32" s="1"/>
  <c r="I52" i="32"/>
  <c r="I73" i="32" s="1"/>
  <c r="E52" i="32"/>
  <c r="E73" i="32" s="1"/>
  <c r="H51" i="32"/>
  <c r="H72" i="32" s="1"/>
  <c r="D51" i="32"/>
  <c r="D72" i="32" s="1"/>
  <c r="G50" i="32"/>
  <c r="G71" i="32" s="1"/>
  <c r="C50" i="32"/>
  <c r="C71" i="32" s="1"/>
  <c r="F49" i="32"/>
  <c r="F70" i="32" s="1"/>
  <c r="F124" i="33"/>
  <c r="F145" i="33" s="1"/>
  <c r="D122" i="33"/>
  <c r="D143" i="33" s="1"/>
  <c r="I119" i="33"/>
  <c r="I140" i="33" s="1"/>
  <c r="G117" i="33"/>
  <c r="G138" i="33" s="1"/>
  <c r="E115" i="33"/>
  <c r="E136" i="33" s="1"/>
  <c r="C113" i="33"/>
  <c r="C134" i="33" s="1"/>
  <c r="I127" i="33"/>
  <c r="I148" i="33" s="1"/>
  <c r="G125" i="33"/>
  <c r="G146" i="33" s="1"/>
  <c r="H125" i="34"/>
  <c r="H146" i="34" s="1"/>
  <c r="F123" i="34"/>
  <c r="F144" i="34" s="1"/>
  <c r="D121" i="34"/>
  <c r="D142" i="34" s="1"/>
  <c r="I118" i="34"/>
  <c r="I139" i="34" s="1"/>
  <c r="G116" i="34"/>
  <c r="G137" i="34" s="1"/>
  <c r="E114" i="34"/>
  <c r="E135" i="34" s="1"/>
  <c r="C112" i="34"/>
  <c r="C133" i="34" s="1"/>
  <c r="G126" i="36"/>
  <c r="G147" i="36" s="1"/>
  <c r="E124" i="36"/>
  <c r="E145" i="36" s="1"/>
  <c r="C122" i="36"/>
  <c r="C143" i="36" s="1"/>
  <c r="H65" i="31"/>
  <c r="H86" i="31" s="1"/>
  <c r="D65" i="31"/>
  <c r="D86" i="31" s="1"/>
  <c r="G64" i="31"/>
  <c r="G85" i="31" s="1"/>
  <c r="C64" i="31"/>
  <c r="C85" i="31" s="1"/>
  <c r="F63" i="31"/>
  <c r="F84" i="31" s="1"/>
  <c r="I62" i="31"/>
  <c r="I83" i="31" s="1"/>
  <c r="E62" i="31"/>
  <c r="E83" i="31" s="1"/>
  <c r="H61" i="31"/>
  <c r="H82" i="31" s="1"/>
  <c r="D61" i="31"/>
  <c r="D82" i="31" s="1"/>
  <c r="G60" i="31"/>
  <c r="G81" i="31" s="1"/>
  <c r="C60" i="31"/>
  <c r="C81" i="31" s="1"/>
  <c r="F59" i="31"/>
  <c r="F80" i="31" s="1"/>
  <c r="I58" i="31"/>
  <c r="I79" i="31" s="1"/>
  <c r="E58" i="31"/>
  <c r="E79" i="31" s="1"/>
  <c r="H57" i="31"/>
  <c r="H78" i="31" s="1"/>
  <c r="D57" i="31"/>
  <c r="D78" i="31" s="1"/>
  <c r="G56" i="31"/>
  <c r="G77" i="31" s="1"/>
  <c r="C56" i="31"/>
  <c r="C77" i="31" s="1"/>
  <c r="F55" i="31"/>
  <c r="F76" i="31" s="1"/>
  <c r="I54" i="31"/>
  <c r="I75" i="31" s="1"/>
  <c r="E54" i="31"/>
  <c r="E75" i="31" s="1"/>
  <c r="H53" i="31"/>
  <c r="H74" i="31" s="1"/>
  <c r="D53" i="31"/>
  <c r="D74" i="31" s="1"/>
  <c r="G52" i="31"/>
  <c r="G73" i="31" s="1"/>
  <c r="C52" i="31"/>
  <c r="C73" i="31" s="1"/>
  <c r="F51" i="31"/>
  <c r="F72" i="31" s="1"/>
  <c r="I50" i="31"/>
  <c r="I71" i="31" s="1"/>
  <c r="E50" i="31"/>
  <c r="E71" i="31" s="1"/>
  <c r="H49" i="31"/>
  <c r="H70" i="31" s="1"/>
  <c r="D49" i="31"/>
  <c r="D70" i="31" s="1"/>
  <c r="I65" i="32"/>
  <c r="I86" i="32" s="1"/>
  <c r="E65" i="32"/>
  <c r="E86" i="32" s="1"/>
  <c r="H64" i="32"/>
  <c r="H85" i="32" s="1"/>
  <c r="D64" i="32"/>
  <c r="D85" i="32" s="1"/>
  <c r="G63" i="32"/>
  <c r="G84" i="32" s="1"/>
  <c r="C63" i="32"/>
  <c r="C84" i="32" s="1"/>
  <c r="F62" i="32"/>
  <c r="F83" i="32" s="1"/>
  <c r="I61" i="32"/>
  <c r="I82" i="32" s="1"/>
  <c r="E61" i="32"/>
  <c r="E82" i="32" s="1"/>
  <c r="H60" i="32"/>
  <c r="H81" i="32" s="1"/>
  <c r="D60" i="32"/>
  <c r="D81" i="32" s="1"/>
  <c r="G59" i="32"/>
  <c r="G80" i="32" s="1"/>
  <c r="C59" i="32"/>
  <c r="C80" i="32" s="1"/>
  <c r="F58" i="32"/>
  <c r="F79" i="32" s="1"/>
  <c r="I57" i="32"/>
  <c r="I78" i="32" s="1"/>
  <c r="E57" i="32"/>
  <c r="E78" i="32" s="1"/>
  <c r="H56" i="32"/>
  <c r="H77" i="32" s="1"/>
  <c r="D56" i="32"/>
  <c r="D77" i="32" s="1"/>
  <c r="G55" i="32"/>
  <c r="G76" i="32" s="1"/>
  <c r="C55" i="32"/>
  <c r="C76" i="32" s="1"/>
  <c r="F54" i="32"/>
  <c r="F75" i="32" s="1"/>
  <c r="I53" i="32"/>
  <c r="I74" i="32" s="1"/>
  <c r="E53" i="32"/>
  <c r="E74" i="32" s="1"/>
  <c r="H52" i="32"/>
  <c r="H73" i="32" s="1"/>
  <c r="D52" i="32"/>
  <c r="D73" i="32" s="1"/>
  <c r="G51" i="32"/>
  <c r="G72" i="32" s="1"/>
  <c r="C51" i="32"/>
  <c r="C72" i="32" s="1"/>
  <c r="F50" i="32"/>
  <c r="F71" i="32" s="1"/>
  <c r="I49" i="32"/>
  <c r="I70" i="32" s="1"/>
  <c r="E49" i="32"/>
  <c r="E70" i="32" s="1"/>
  <c r="I123" i="33"/>
  <c r="I144" i="33" s="1"/>
  <c r="G121" i="33"/>
  <c r="G142" i="33" s="1"/>
  <c r="E119" i="33"/>
  <c r="E140" i="33" s="1"/>
  <c r="C117" i="33"/>
  <c r="C138" i="33" s="1"/>
  <c r="H114" i="33"/>
  <c r="H135" i="33" s="1"/>
  <c r="F112" i="33"/>
  <c r="F133" i="33" s="1"/>
  <c r="F127" i="34"/>
  <c r="F148" i="34" s="1"/>
  <c r="D125" i="34"/>
  <c r="D146" i="34" s="1"/>
  <c r="I122" i="34"/>
  <c r="I143" i="34" s="1"/>
  <c r="G120" i="34"/>
  <c r="G141" i="34" s="1"/>
  <c r="E118" i="34"/>
  <c r="E139" i="34" s="1"/>
  <c r="C116" i="34"/>
  <c r="C137" i="34" s="1"/>
  <c r="H113" i="34"/>
  <c r="H134" i="34" s="1"/>
  <c r="F111" i="34"/>
  <c r="F132" i="34" s="1"/>
  <c r="F65" i="33"/>
  <c r="F86" i="33" s="1"/>
  <c r="I64" i="33"/>
  <c r="I85" i="33" s="1"/>
  <c r="E64" i="33"/>
  <c r="E85" i="33" s="1"/>
  <c r="H63" i="33"/>
  <c r="H84" i="33" s="1"/>
  <c r="D63" i="33"/>
  <c r="D84" i="33" s="1"/>
  <c r="G62" i="33"/>
  <c r="G83" i="33" s="1"/>
  <c r="C62" i="33"/>
  <c r="C83" i="33" s="1"/>
  <c r="F61" i="33"/>
  <c r="F82" i="33" s="1"/>
  <c r="I60" i="33"/>
  <c r="I81" i="33" s="1"/>
  <c r="E60" i="33"/>
  <c r="E81" i="33" s="1"/>
  <c r="H59" i="33"/>
  <c r="H80" i="33" s="1"/>
  <c r="D59" i="33"/>
  <c r="D80" i="33" s="1"/>
  <c r="G58" i="33"/>
  <c r="G79" i="33" s="1"/>
  <c r="C58" i="33"/>
  <c r="C79" i="33" s="1"/>
  <c r="F57" i="33"/>
  <c r="F78" i="33" s="1"/>
  <c r="I56" i="33"/>
  <c r="I77" i="33" s="1"/>
  <c r="E56" i="33"/>
  <c r="E77" i="33" s="1"/>
  <c r="H55" i="33"/>
  <c r="H76" i="33" s="1"/>
  <c r="D55" i="33"/>
  <c r="D76" i="33" s="1"/>
  <c r="G54" i="33"/>
  <c r="G75" i="33" s="1"/>
  <c r="C54" i="33"/>
  <c r="C75" i="33" s="1"/>
  <c r="F53" i="33"/>
  <c r="F74" i="33" s="1"/>
  <c r="I52" i="33"/>
  <c r="I73" i="33" s="1"/>
  <c r="E52" i="33"/>
  <c r="E73" i="33" s="1"/>
  <c r="H51" i="33"/>
  <c r="H72" i="33" s="1"/>
  <c r="D51" i="33"/>
  <c r="D72" i="33" s="1"/>
  <c r="G50" i="33"/>
  <c r="G71" i="33" s="1"/>
  <c r="C50" i="33"/>
  <c r="C71" i="33" s="1"/>
  <c r="F49" i="33"/>
  <c r="F70" i="33" s="1"/>
  <c r="I25" i="34"/>
  <c r="G65" i="34"/>
  <c r="G86" i="34" s="1"/>
  <c r="C65" i="34"/>
  <c r="C86" i="34" s="1"/>
  <c r="F64" i="34"/>
  <c r="F85" i="34" s="1"/>
  <c r="I63" i="34"/>
  <c r="I84" i="34" s="1"/>
  <c r="E63" i="34"/>
  <c r="E84" i="34" s="1"/>
  <c r="H62" i="34"/>
  <c r="H83" i="34" s="1"/>
  <c r="D62" i="34"/>
  <c r="D83" i="34" s="1"/>
  <c r="G61" i="34"/>
  <c r="G82" i="34" s="1"/>
  <c r="C61" i="34"/>
  <c r="C82" i="34" s="1"/>
  <c r="F60" i="34"/>
  <c r="F81" i="34" s="1"/>
  <c r="I59" i="34"/>
  <c r="I80" i="34" s="1"/>
  <c r="E59" i="34"/>
  <c r="E80" i="34" s="1"/>
  <c r="H58" i="34"/>
  <c r="H79" i="34" s="1"/>
  <c r="D58" i="34"/>
  <c r="D79" i="34" s="1"/>
  <c r="G57" i="34"/>
  <c r="G78" i="34" s="1"/>
  <c r="C57" i="34"/>
  <c r="C78" i="34" s="1"/>
  <c r="F56" i="34"/>
  <c r="F77" i="34" s="1"/>
  <c r="I55" i="34"/>
  <c r="I76" i="34" s="1"/>
  <c r="E55" i="34"/>
  <c r="E76" i="34" s="1"/>
  <c r="H54" i="34"/>
  <c r="H75" i="34" s="1"/>
  <c r="D54" i="34"/>
  <c r="D75" i="34" s="1"/>
  <c r="G53" i="34"/>
  <c r="G74" i="34" s="1"/>
  <c r="C53" i="34"/>
  <c r="C74" i="34" s="1"/>
  <c r="F52" i="34"/>
  <c r="F73" i="34" s="1"/>
  <c r="I51" i="34"/>
  <c r="I72" i="34" s="1"/>
  <c r="E51" i="34"/>
  <c r="E72" i="34" s="1"/>
  <c r="H50" i="34"/>
  <c r="H71" i="34" s="1"/>
  <c r="D50" i="34"/>
  <c r="D71" i="34" s="1"/>
  <c r="G49" i="34"/>
  <c r="G70" i="34" s="1"/>
  <c r="C49" i="34"/>
  <c r="C70" i="34" s="1"/>
  <c r="F65" i="36"/>
  <c r="F86" i="36" s="1"/>
  <c r="I64" i="36"/>
  <c r="I85" i="36" s="1"/>
  <c r="E64" i="36"/>
  <c r="E85" i="36" s="1"/>
  <c r="H63" i="36"/>
  <c r="H84" i="36" s="1"/>
  <c r="D63" i="36"/>
  <c r="D84" i="36" s="1"/>
  <c r="G62" i="36"/>
  <c r="G83" i="36" s="1"/>
  <c r="C62" i="36"/>
  <c r="C83" i="36" s="1"/>
  <c r="F61" i="36"/>
  <c r="F82" i="36" s="1"/>
  <c r="I60" i="36"/>
  <c r="I81" i="36" s="1"/>
  <c r="E60" i="36"/>
  <c r="E81" i="36" s="1"/>
  <c r="H59" i="36"/>
  <c r="H80" i="36" s="1"/>
  <c r="D59" i="36"/>
  <c r="D80" i="36" s="1"/>
  <c r="G58" i="36"/>
  <c r="G79" i="36" s="1"/>
  <c r="C58" i="36"/>
  <c r="C79" i="36" s="1"/>
  <c r="F57" i="36"/>
  <c r="F78" i="36" s="1"/>
  <c r="I56" i="36"/>
  <c r="I77" i="36" s="1"/>
  <c r="E56" i="36"/>
  <c r="E77" i="36" s="1"/>
  <c r="H55" i="36"/>
  <c r="H76" i="36" s="1"/>
  <c r="D55" i="36"/>
  <c r="D76" i="36" s="1"/>
  <c r="G54" i="36"/>
  <c r="G75" i="36" s="1"/>
  <c r="C54" i="36"/>
  <c r="C75" i="36" s="1"/>
  <c r="F53" i="36"/>
  <c r="F74" i="36" s="1"/>
  <c r="I52" i="36"/>
  <c r="I73" i="36" s="1"/>
  <c r="E52" i="36"/>
  <c r="E73" i="36" s="1"/>
  <c r="H51" i="36"/>
  <c r="H72" i="36" s="1"/>
  <c r="D51" i="36"/>
  <c r="D72" i="36" s="1"/>
  <c r="G50" i="36"/>
  <c r="G71" i="36" s="1"/>
  <c r="C50" i="36"/>
  <c r="C71" i="36" s="1"/>
  <c r="D119" i="36"/>
  <c r="D140" i="36" s="1"/>
  <c r="I116" i="36"/>
  <c r="I137" i="36" s="1"/>
  <c r="G114" i="36"/>
  <c r="G135" i="36" s="1"/>
  <c r="E112" i="36"/>
  <c r="E133" i="36" s="1"/>
  <c r="D126" i="38"/>
  <c r="D147" i="38" s="1"/>
  <c r="I123" i="38"/>
  <c r="I144" i="38" s="1"/>
  <c r="G121" i="38"/>
  <c r="G142" i="38" s="1"/>
  <c r="E119" i="38"/>
  <c r="E140" i="38" s="1"/>
  <c r="C117" i="38"/>
  <c r="C138" i="38" s="1"/>
  <c r="H114" i="38"/>
  <c r="H135" i="38" s="1"/>
  <c r="F112" i="38"/>
  <c r="F133" i="38" s="1"/>
  <c r="G118" i="36"/>
  <c r="G139" i="36" s="1"/>
  <c r="E116" i="36"/>
  <c r="E137" i="36" s="1"/>
  <c r="C114" i="36"/>
  <c r="C135" i="36" s="1"/>
  <c r="H111" i="36"/>
  <c r="H132" i="36" s="1"/>
  <c r="I127" i="38"/>
  <c r="I148" i="38" s="1"/>
  <c r="G125" i="38"/>
  <c r="G146" i="38" s="1"/>
  <c r="E123" i="38"/>
  <c r="E144" i="38" s="1"/>
  <c r="C121" i="38"/>
  <c r="C142" i="38" s="1"/>
  <c r="H118" i="38"/>
  <c r="H139" i="38" s="1"/>
  <c r="F116" i="38"/>
  <c r="F137" i="38" s="1"/>
  <c r="D114" i="38"/>
  <c r="D135" i="38" s="1"/>
  <c r="I111" i="38"/>
  <c r="I132" i="38" s="1"/>
  <c r="I65" i="34"/>
  <c r="I86" i="34" s="1"/>
  <c r="E65" i="34"/>
  <c r="E86" i="34" s="1"/>
  <c r="H64" i="34"/>
  <c r="H85" i="34" s="1"/>
  <c r="D64" i="34"/>
  <c r="D85" i="34" s="1"/>
  <c r="G63" i="34"/>
  <c r="G84" i="34" s="1"/>
  <c r="C63" i="34"/>
  <c r="C84" i="34" s="1"/>
  <c r="F62" i="34"/>
  <c r="F83" i="34" s="1"/>
  <c r="I61" i="34"/>
  <c r="I82" i="34" s="1"/>
  <c r="E61" i="34"/>
  <c r="E82" i="34" s="1"/>
  <c r="H60" i="34"/>
  <c r="H81" i="34" s="1"/>
  <c r="D60" i="34"/>
  <c r="D81" i="34" s="1"/>
  <c r="G59" i="34"/>
  <c r="G80" i="34" s="1"/>
  <c r="C59" i="34"/>
  <c r="C80" i="34" s="1"/>
  <c r="F58" i="34"/>
  <c r="F79" i="34" s="1"/>
  <c r="I57" i="34"/>
  <c r="I78" i="34" s="1"/>
  <c r="E57" i="34"/>
  <c r="E78" i="34" s="1"/>
  <c r="H56" i="34"/>
  <c r="H77" i="34" s="1"/>
  <c r="D56" i="34"/>
  <c r="D77" i="34" s="1"/>
  <c r="G55" i="34"/>
  <c r="G76" i="34" s="1"/>
  <c r="C55" i="34"/>
  <c r="C76" i="34" s="1"/>
  <c r="F54" i="34"/>
  <c r="F75" i="34" s="1"/>
  <c r="I53" i="34"/>
  <c r="I74" i="34" s="1"/>
  <c r="E53" i="34"/>
  <c r="E74" i="34" s="1"/>
  <c r="H52" i="34"/>
  <c r="H73" i="34" s="1"/>
  <c r="D52" i="34"/>
  <c r="D73" i="34" s="1"/>
  <c r="G51" i="34"/>
  <c r="G72" i="34" s="1"/>
  <c r="C51" i="34"/>
  <c r="C72" i="34" s="1"/>
  <c r="F50" i="34"/>
  <c r="F71" i="34" s="1"/>
  <c r="I49" i="34"/>
  <c r="E49" i="34"/>
  <c r="E70" i="34" s="1"/>
  <c r="C118" i="36"/>
  <c r="C139" i="36" s="1"/>
  <c r="H115" i="36"/>
  <c r="H136" i="36" s="1"/>
  <c r="F113" i="36"/>
  <c r="F134" i="36" s="1"/>
  <c r="D111" i="36"/>
  <c r="D132" i="36" s="1"/>
  <c r="C126" i="36"/>
  <c r="C147" i="36" s="1"/>
  <c r="H123" i="36"/>
  <c r="H144" i="36" s="1"/>
  <c r="F121" i="36"/>
  <c r="F142" i="36" s="1"/>
  <c r="E127" i="38"/>
  <c r="E148" i="38" s="1"/>
  <c r="C125" i="38"/>
  <c r="C146" i="38" s="1"/>
  <c r="H122" i="38"/>
  <c r="H143" i="38" s="1"/>
  <c r="F120" i="38"/>
  <c r="F141" i="38" s="1"/>
  <c r="D118" i="38"/>
  <c r="D139" i="38" s="1"/>
  <c r="I115" i="38"/>
  <c r="I136" i="38" s="1"/>
  <c r="G113" i="38"/>
  <c r="G134" i="38" s="1"/>
  <c r="E111" i="38"/>
  <c r="E132" i="38" s="1"/>
  <c r="G65" i="33"/>
  <c r="G86" i="33" s="1"/>
  <c r="C65" i="33"/>
  <c r="C86" i="33" s="1"/>
  <c r="F64" i="33"/>
  <c r="F85" i="33" s="1"/>
  <c r="I63" i="33"/>
  <c r="I84" i="33" s="1"/>
  <c r="E63" i="33"/>
  <c r="E84" i="33" s="1"/>
  <c r="H62" i="33"/>
  <c r="H83" i="33" s="1"/>
  <c r="D62" i="33"/>
  <c r="D83" i="33" s="1"/>
  <c r="G61" i="33"/>
  <c r="G82" i="33" s="1"/>
  <c r="C61" i="33"/>
  <c r="C82" i="33" s="1"/>
  <c r="F60" i="33"/>
  <c r="F81" i="33" s="1"/>
  <c r="I59" i="33"/>
  <c r="I80" i="33" s="1"/>
  <c r="E59" i="33"/>
  <c r="E80" i="33" s="1"/>
  <c r="H58" i="33"/>
  <c r="H79" i="33" s="1"/>
  <c r="D58" i="33"/>
  <c r="D79" i="33" s="1"/>
  <c r="G57" i="33"/>
  <c r="G78" i="33" s="1"/>
  <c r="C57" i="33"/>
  <c r="C78" i="33" s="1"/>
  <c r="F56" i="33"/>
  <c r="F77" i="33" s="1"/>
  <c r="I55" i="33"/>
  <c r="I76" i="33" s="1"/>
  <c r="E55" i="33"/>
  <c r="E76" i="33" s="1"/>
  <c r="H54" i="33"/>
  <c r="H75" i="33" s="1"/>
  <c r="D54" i="33"/>
  <c r="D75" i="33" s="1"/>
  <c r="G53" i="33"/>
  <c r="G74" i="33" s="1"/>
  <c r="C53" i="33"/>
  <c r="C74" i="33" s="1"/>
  <c r="F52" i="33"/>
  <c r="F73" i="33" s="1"/>
  <c r="I51" i="33"/>
  <c r="I72" i="33" s="1"/>
  <c r="E51" i="33"/>
  <c r="E72" i="33" s="1"/>
  <c r="H50" i="33"/>
  <c r="H71" i="33" s="1"/>
  <c r="D50" i="33"/>
  <c r="D71" i="33" s="1"/>
  <c r="G49" i="33"/>
  <c r="G70" i="33" s="1"/>
  <c r="C49" i="33"/>
  <c r="C70" i="33" s="1"/>
  <c r="H65" i="34"/>
  <c r="H86" i="34" s="1"/>
  <c r="D65" i="34"/>
  <c r="D86" i="34" s="1"/>
  <c r="G64" i="34"/>
  <c r="G85" i="34" s="1"/>
  <c r="C64" i="34"/>
  <c r="C85" i="34" s="1"/>
  <c r="F63" i="34"/>
  <c r="F84" i="34" s="1"/>
  <c r="I62" i="34"/>
  <c r="I83" i="34" s="1"/>
  <c r="E62" i="34"/>
  <c r="E83" i="34" s="1"/>
  <c r="H61" i="34"/>
  <c r="H82" i="34" s="1"/>
  <c r="D61" i="34"/>
  <c r="D82" i="34" s="1"/>
  <c r="G60" i="34"/>
  <c r="G81" i="34" s="1"/>
  <c r="C60" i="34"/>
  <c r="C81" i="34" s="1"/>
  <c r="F59" i="34"/>
  <c r="F80" i="34" s="1"/>
  <c r="I58" i="34"/>
  <c r="I79" i="34" s="1"/>
  <c r="E58" i="34"/>
  <c r="E79" i="34" s="1"/>
  <c r="H57" i="34"/>
  <c r="H78" i="34" s="1"/>
  <c r="D57" i="34"/>
  <c r="D78" i="34" s="1"/>
  <c r="G56" i="34"/>
  <c r="G77" i="34" s="1"/>
  <c r="C56" i="34"/>
  <c r="C77" i="34" s="1"/>
  <c r="F55" i="34"/>
  <c r="F76" i="34" s="1"/>
  <c r="I54" i="34"/>
  <c r="I75" i="34" s="1"/>
  <c r="E54" i="34"/>
  <c r="E75" i="34" s="1"/>
  <c r="H53" i="34"/>
  <c r="H74" i="34" s="1"/>
  <c r="D53" i="34"/>
  <c r="D74" i="34" s="1"/>
  <c r="G52" i="34"/>
  <c r="G73" i="34" s="1"/>
  <c r="C52" i="34"/>
  <c r="C73" i="34" s="1"/>
  <c r="F51" i="34"/>
  <c r="F72" i="34" s="1"/>
  <c r="I50" i="34"/>
  <c r="I71" i="34" s="1"/>
  <c r="E50" i="34"/>
  <c r="E71" i="34" s="1"/>
  <c r="H49" i="34"/>
  <c r="H70" i="34" s="1"/>
  <c r="D49" i="34"/>
  <c r="D70" i="34" s="1"/>
  <c r="G65" i="36"/>
  <c r="G86" i="36" s="1"/>
  <c r="C65" i="36"/>
  <c r="C86" i="36" s="1"/>
  <c r="F64" i="36"/>
  <c r="F85" i="36" s="1"/>
  <c r="I63" i="36"/>
  <c r="I84" i="36" s="1"/>
  <c r="E63" i="36"/>
  <c r="E84" i="36" s="1"/>
  <c r="H62" i="36"/>
  <c r="H83" i="36" s="1"/>
  <c r="D62" i="36"/>
  <c r="D83" i="36" s="1"/>
  <c r="G61" i="36"/>
  <c r="G82" i="36" s="1"/>
  <c r="C61" i="36"/>
  <c r="C82" i="36" s="1"/>
  <c r="F60" i="36"/>
  <c r="F81" i="36" s="1"/>
  <c r="I59" i="36"/>
  <c r="I80" i="36" s="1"/>
  <c r="E59" i="36"/>
  <c r="E80" i="36" s="1"/>
  <c r="H58" i="36"/>
  <c r="H79" i="36" s="1"/>
  <c r="D58" i="36"/>
  <c r="D79" i="36" s="1"/>
  <c r="G57" i="36"/>
  <c r="G78" i="36" s="1"/>
  <c r="C57" i="36"/>
  <c r="C78" i="36" s="1"/>
  <c r="F56" i="36"/>
  <c r="F77" i="36" s="1"/>
  <c r="I55" i="36"/>
  <c r="I76" i="36" s="1"/>
  <c r="E55" i="36"/>
  <c r="E76" i="36" s="1"/>
  <c r="H54" i="36"/>
  <c r="H75" i="36" s="1"/>
  <c r="D54" i="36"/>
  <c r="D75" i="36" s="1"/>
  <c r="G53" i="36"/>
  <c r="G74" i="36" s="1"/>
  <c r="C53" i="36"/>
  <c r="C74" i="36" s="1"/>
  <c r="F52" i="36"/>
  <c r="F73" i="36" s="1"/>
  <c r="I51" i="36"/>
  <c r="I72" i="36" s="1"/>
  <c r="I25" i="36"/>
  <c r="E51" i="36"/>
  <c r="E72" i="36" s="1"/>
  <c r="H50" i="36"/>
  <c r="H71" i="36" s="1"/>
  <c r="D50" i="36"/>
  <c r="D71" i="36" s="1"/>
  <c r="G49" i="36"/>
  <c r="G70" i="36" s="1"/>
  <c r="C49" i="36"/>
  <c r="C70" i="36" s="1"/>
  <c r="H119" i="36"/>
  <c r="H140" i="36" s="1"/>
  <c r="F117" i="36"/>
  <c r="F138" i="36" s="1"/>
  <c r="D115" i="36"/>
  <c r="D136" i="36" s="1"/>
  <c r="I112" i="36"/>
  <c r="I133" i="36" s="1"/>
  <c r="H126" i="38"/>
  <c r="H147" i="38" s="1"/>
  <c r="F124" i="38"/>
  <c r="F145" i="38" s="1"/>
  <c r="D122" i="38"/>
  <c r="D143" i="38" s="1"/>
  <c r="I119" i="38"/>
  <c r="I140" i="38" s="1"/>
  <c r="G117" i="38"/>
  <c r="G138" i="38" s="1"/>
  <c r="E115" i="38"/>
  <c r="E136" i="38" s="1"/>
  <c r="C113" i="38"/>
  <c r="C134" i="38" s="1"/>
  <c r="I65" i="36"/>
  <c r="I86" i="36" s="1"/>
  <c r="E65" i="36"/>
  <c r="E86" i="36" s="1"/>
  <c r="H64" i="36"/>
  <c r="H85" i="36" s="1"/>
  <c r="D64" i="36"/>
  <c r="D85" i="36" s="1"/>
  <c r="G63" i="36"/>
  <c r="G84" i="36" s="1"/>
  <c r="C63" i="36"/>
  <c r="C84" i="36" s="1"/>
  <c r="F62" i="36"/>
  <c r="F83" i="36" s="1"/>
  <c r="I61" i="36"/>
  <c r="I82" i="36" s="1"/>
  <c r="E61" i="36"/>
  <c r="E82" i="36" s="1"/>
  <c r="H60" i="36"/>
  <c r="H81" i="36" s="1"/>
  <c r="D60" i="36"/>
  <c r="D81" i="36" s="1"/>
  <c r="G59" i="36"/>
  <c r="G80" i="36" s="1"/>
  <c r="C59" i="36"/>
  <c r="C80" i="36" s="1"/>
  <c r="F58" i="36"/>
  <c r="F79" i="36" s="1"/>
  <c r="I57" i="36"/>
  <c r="I78" i="36" s="1"/>
  <c r="E57" i="36"/>
  <c r="E78" i="36" s="1"/>
  <c r="H56" i="36"/>
  <c r="H77" i="36" s="1"/>
  <c r="D56" i="36"/>
  <c r="D77" i="36" s="1"/>
  <c r="G55" i="36"/>
  <c r="G76" i="36" s="1"/>
  <c r="C55" i="36"/>
  <c r="C76" i="36" s="1"/>
  <c r="F54" i="36"/>
  <c r="F75" i="36" s="1"/>
  <c r="I53" i="36"/>
  <c r="I74" i="36" s="1"/>
  <c r="E53" i="36"/>
  <c r="E74" i="36" s="1"/>
  <c r="H52" i="36"/>
  <c r="H73" i="36" s="1"/>
  <c r="D52" i="36"/>
  <c r="D73" i="36" s="1"/>
  <c r="G51" i="36"/>
  <c r="G72" i="36" s="1"/>
  <c r="C51" i="36"/>
  <c r="C72" i="36" s="1"/>
  <c r="F50" i="36"/>
  <c r="F71" i="36" s="1"/>
  <c r="I49" i="36"/>
  <c r="I70" i="36" s="1"/>
  <c r="E49" i="36"/>
  <c r="E70" i="36" s="1"/>
  <c r="F65" i="38"/>
  <c r="F86" i="38" s="1"/>
  <c r="I64" i="38"/>
  <c r="I85" i="38" s="1"/>
  <c r="E64" i="38"/>
  <c r="E85" i="38" s="1"/>
  <c r="H63" i="38"/>
  <c r="H84" i="38" s="1"/>
  <c r="D63" i="38"/>
  <c r="D84" i="38" s="1"/>
  <c r="G62" i="38"/>
  <c r="G83" i="38" s="1"/>
  <c r="C62" i="38"/>
  <c r="C83" i="38" s="1"/>
  <c r="F61" i="38"/>
  <c r="F82" i="38" s="1"/>
  <c r="I60" i="38"/>
  <c r="I81" i="38" s="1"/>
  <c r="E60" i="38"/>
  <c r="E81" i="38" s="1"/>
  <c r="H59" i="38"/>
  <c r="H80" i="38" s="1"/>
  <c r="D59" i="38"/>
  <c r="D80" i="38" s="1"/>
  <c r="G58" i="38"/>
  <c r="G79" i="38" s="1"/>
  <c r="C58" i="38"/>
  <c r="C79" i="38" s="1"/>
  <c r="F57" i="38"/>
  <c r="F78" i="38" s="1"/>
  <c r="I56" i="38"/>
  <c r="I77" i="38" s="1"/>
  <c r="E56" i="38"/>
  <c r="E77" i="38" s="1"/>
  <c r="H55" i="38"/>
  <c r="H76" i="38" s="1"/>
  <c r="D55" i="38"/>
  <c r="D76" i="38" s="1"/>
  <c r="G54" i="38"/>
  <c r="G75" i="38" s="1"/>
  <c r="C54" i="38"/>
  <c r="C75" i="38" s="1"/>
  <c r="F53" i="38"/>
  <c r="F74" i="38" s="1"/>
  <c r="I52" i="38"/>
  <c r="I73" i="38" s="1"/>
  <c r="E52" i="38"/>
  <c r="E73" i="38" s="1"/>
  <c r="H51" i="38"/>
  <c r="H72" i="38" s="1"/>
  <c r="D51" i="38"/>
  <c r="D72" i="38" s="1"/>
  <c r="G50" i="38"/>
  <c r="G71" i="38" s="1"/>
  <c r="C50" i="38"/>
  <c r="C71" i="38" s="1"/>
  <c r="F49" i="38"/>
  <c r="F70" i="38" s="1"/>
  <c r="I62" i="39"/>
  <c r="I83" i="39" s="1"/>
  <c r="I58" i="39"/>
  <c r="I79" i="39" s="1"/>
  <c r="I54" i="39"/>
  <c r="I75" i="39" s="1"/>
  <c r="I25" i="39"/>
  <c r="I50" i="39"/>
  <c r="I71" i="39" s="1"/>
  <c r="I64" i="39"/>
  <c r="I85" i="39" s="1"/>
  <c r="I80" i="39"/>
  <c r="I123" i="39"/>
  <c r="I144" i="39" s="1"/>
  <c r="I115" i="39"/>
  <c r="I136" i="39" s="1"/>
  <c r="H65" i="38"/>
  <c r="H86" i="38" s="1"/>
  <c r="D65" i="38"/>
  <c r="D86" i="38" s="1"/>
  <c r="G64" i="38"/>
  <c r="G85" i="38" s="1"/>
  <c r="C64" i="38"/>
  <c r="C85" i="38" s="1"/>
  <c r="F63" i="38"/>
  <c r="F84" i="38" s="1"/>
  <c r="I62" i="38"/>
  <c r="I83" i="38" s="1"/>
  <c r="E62" i="38"/>
  <c r="E83" i="38" s="1"/>
  <c r="H61" i="38"/>
  <c r="H82" i="38" s="1"/>
  <c r="D61" i="38"/>
  <c r="D82" i="38" s="1"/>
  <c r="G60" i="38"/>
  <c r="G81" i="38" s="1"/>
  <c r="C60" i="38"/>
  <c r="C81" i="38" s="1"/>
  <c r="F59" i="38"/>
  <c r="F80" i="38" s="1"/>
  <c r="I58" i="38"/>
  <c r="I79" i="38" s="1"/>
  <c r="E58" i="38"/>
  <c r="E79" i="38" s="1"/>
  <c r="H57" i="38"/>
  <c r="H78" i="38" s="1"/>
  <c r="D57" i="38"/>
  <c r="D78" i="38" s="1"/>
  <c r="G56" i="38"/>
  <c r="G77" i="38" s="1"/>
  <c r="C56" i="38"/>
  <c r="C77" i="38" s="1"/>
  <c r="F55" i="38"/>
  <c r="F76" i="38" s="1"/>
  <c r="I54" i="38"/>
  <c r="I75" i="38" s="1"/>
  <c r="E54" i="38"/>
  <c r="E75" i="38" s="1"/>
  <c r="H53" i="38"/>
  <c r="H74" i="38" s="1"/>
  <c r="D53" i="38"/>
  <c r="D74" i="38" s="1"/>
  <c r="G52" i="38"/>
  <c r="G73" i="38" s="1"/>
  <c r="C52" i="38"/>
  <c r="C73" i="38" s="1"/>
  <c r="F51" i="38"/>
  <c r="F72" i="38" s="1"/>
  <c r="I50" i="38"/>
  <c r="I71" i="38" s="1"/>
  <c r="E50" i="38"/>
  <c r="E71" i="38" s="1"/>
  <c r="H49" i="38"/>
  <c r="H70" i="38" s="1"/>
  <c r="D49" i="38"/>
  <c r="D70" i="38" s="1"/>
  <c r="I77" i="39"/>
  <c r="I60" i="39"/>
  <c r="I81" i="39" s="1"/>
  <c r="I52" i="39"/>
  <c r="I72" i="39"/>
  <c r="H127" i="37"/>
  <c r="H148" i="37" s="1"/>
  <c r="C127" i="37"/>
  <c r="C148" i="37" s="1"/>
  <c r="F49" i="36"/>
  <c r="F70" i="36" s="1"/>
  <c r="G65" i="38"/>
  <c r="G86" i="38" s="1"/>
  <c r="C65" i="38"/>
  <c r="C86" i="38" s="1"/>
  <c r="F64" i="38"/>
  <c r="F85" i="38" s="1"/>
  <c r="I63" i="38"/>
  <c r="I84" i="38" s="1"/>
  <c r="E63" i="38"/>
  <c r="E84" i="38" s="1"/>
  <c r="H62" i="38"/>
  <c r="H83" i="38" s="1"/>
  <c r="D62" i="38"/>
  <c r="D83" i="38" s="1"/>
  <c r="G61" i="38"/>
  <c r="G82" i="38" s="1"/>
  <c r="C61" i="38"/>
  <c r="C82" i="38" s="1"/>
  <c r="F60" i="38"/>
  <c r="F81" i="38" s="1"/>
  <c r="I59" i="38"/>
  <c r="I80" i="38" s="1"/>
  <c r="E59" i="38"/>
  <c r="E80" i="38" s="1"/>
  <c r="H58" i="38"/>
  <c r="H79" i="38" s="1"/>
  <c r="D58" i="38"/>
  <c r="D79" i="38" s="1"/>
  <c r="G57" i="38"/>
  <c r="G78" i="38" s="1"/>
  <c r="C57" i="38"/>
  <c r="C78" i="38" s="1"/>
  <c r="F56" i="38"/>
  <c r="F77" i="38" s="1"/>
  <c r="I55" i="38"/>
  <c r="I76" i="38" s="1"/>
  <c r="E55" i="38"/>
  <c r="E76" i="38" s="1"/>
  <c r="H54" i="38"/>
  <c r="H75" i="38" s="1"/>
  <c r="D54" i="38"/>
  <c r="D75" i="38" s="1"/>
  <c r="G53" i="38"/>
  <c r="G74" i="38" s="1"/>
  <c r="C53" i="38"/>
  <c r="C74" i="38" s="1"/>
  <c r="F52" i="38"/>
  <c r="F73" i="38" s="1"/>
  <c r="I51" i="38"/>
  <c r="I72" i="38" s="1"/>
  <c r="E51" i="38"/>
  <c r="E72" i="38" s="1"/>
  <c r="H50" i="38"/>
  <c r="H71" i="38" s="1"/>
  <c r="D50" i="38"/>
  <c r="D71" i="38" s="1"/>
  <c r="G49" i="38"/>
  <c r="G70" i="38" s="1"/>
  <c r="C49" i="38"/>
  <c r="C70" i="38" s="1"/>
  <c r="I127" i="39"/>
  <c r="I148" i="39" s="1"/>
  <c r="I119" i="39"/>
  <c r="I140" i="39" s="1"/>
  <c r="I111" i="39"/>
  <c r="I84" i="39"/>
  <c r="I76" i="39"/>
  <c r="I65" i="41"/>
  <c r="I86" i="41" s="1"/>
  <c r="I61" i="41"/>
  <c r="I82" i="41" s="1"/>
  <c r="I57" i="41"/>
  <c r="I78" i="41" s="1"/>
  <c r="I53" i="41"/>
  <c r="I74" i="41" s="1"/>
  <c r="I49" i="41"/>
  <c r="I84" i="41"/>
  <c r="I80" i="41"/>
  <c r="I76" i="41"/>
  <c r="I72" i="41"/>
  <c r="F65" i="37"/>
  <c r="F86" i="37" s="1"/>
  <c r="I64" i="37"/>
  <c r="I85" i="37" s="1"/>
  <c r="E64" i="37"/>
  <c r="E85" i="37" s="1"/>
  <c r="H63" i="37"/>
  <c r="H84" i="37" s="1"/>
  <c r="D63" i="37"/>
  <c r="D84" i="37" s="1"/>
  <c r="G62" i="37"/>
  <c r="G83" i="37" s="1"/>
  <c r="C62" i="37"/>
  <c r="C83" i="37" s="1"/>
  <c r="F61" i="37"/>
  <c r="F82" i="37" s="1"/>
  <c r="I81" i="37"/>
  <c r="E60" i="37"/>
  <c r="E81" i="37" s="1"/>
  <c r="H59" i="37"/>
  <c r="H80" i="37" s="1"/>
  <c r="D59" i="37"/>
  <c r="D80" i="37" s="1"/>
  <c r="G79" i="37"/>
  <c r="C58" i="37"/>
  <c r="C79" i="37" s="1"/>
  <c r="F57" i="37"/>
  <c r="F78" i="37" s="1"/>
  <c r="I56" i="37"/>
  <c r="I77" i="37" s="1"/>
  <c r="H55" i="37"/>
  <c r="H76" i="37" s="1"/>
  <c r="D55" i="37"/>
  <c r="D76" i="37" s="1"/>
  <c r="G54" i="37"/>
  <c r="G75" i="37" s="1"/>
  <c r="C75" i="37"/>
  <c r="F53" i="37"/>
  <c r="F74" i="37" s="1"/>
  <c r="I52" i="37"/>
  <c r="I73" i="37" s="1"/>
  <c r="E52" i="37"/>
  <c r="E73" i="37" s="1"/>
  <c r="H72" i="37"/>
  <c r="D51" i="37"/>
  <c r="D72" i="37" s="1"/>
  <c r="G50" i="37"/>
  <c r="G71" i="37" s="1"/>
  <c r="C50" i="37"/>
  <c r="C71" i="37" s="1"/>
  <c r="F70" i="37"/>
  <c r="E56" i="37"/>
  <c r="E77" i="37" s="1"/>
  <c r="I64" i="41"/>
  <c r="I85" i="41" s="1"/>
  <c r="I60" i="41"/>
  <c r="I81" i="41" s="1"/>
  <c r="I56" i="41"/>
  <c r="I77" i="41" s="1"/>
  <c r="I124" i="41"/>
  <c r="I145" i="41" s="1"/>
  <c r="I116" i="41"/>
  <c r="I137" i="41" s="1"/>
  <c r="I112" i="41"/>
  <c r="I133" i="41" s="1"/>
  <c r="I65" i="37"/>
  <c r="I86" i="37" s="1"/>
  <c r="E65" i="37"/>
  <c r="E86" i="37" s="1"/>
  <c r="H64" i="37"/>
  <c r="H85" i="37" s="1"/>
  <c r="D64" i="37"/>
  <c r="D85" i="37" s="1"/>
  <c r="G63" i="37"/>
  <c r="G84" i="37" s="1"/>
  <c r="C63" i="37"/>
  <c r="C84" i="37" s="1"/>
  <c r="F62" i="37"/>
  <c r="F83" i="37" s="1"/>
  <c r="I61" i="37"/>
  <c r="I82" i="37" s="1"/>
  <c r="E61" i="37"/>
  <c r="E82" i="37" s="1"/>
  <c r="H60" i="37"/>
  <c r="H81" i="37" s="1"/>
  <c r="D60" i="37"/>
  <c r="D81" i="37" s="1"/>
  <c r="G59" i="37"/>
  <c r="G80" i="37" s="1"/>
  <c r="C59" i="37"/>
  <c r="C80" i="37" s="1"/>
  <c r="F58" i="37"/>
  <c r="F79" i="37" s="1"/>
  <c r="I57" i="37"/>
  <c r="I78" i="37" s="1"/>
  <c r="E57" i="37"/>
  <c r="E78" i="37" s="1"/>
  <c r="H56" i="37"/>
  <c r="H77" i="37" s="1"/>
  <c r="D56" i="37"/>
  <c r="D77" i="37" s="1"/>
  <c r="G55" i="37"/>
  <c r="G76" i="37" s="1"/>
  <c r="C55" i="37"/>
  <c r="C76" i="37" s="1"/>
  <c r="F54" i="37"/>
  <c r="F75" i="37" s="1"/>
  <c r="I53" i="37"/>
  <c r="I74" i="37" s="1"/>
  <c r="E53" i="37"/>
  <c r="E74" i="37" s="1"/>
  <c r="H52" i="37"/>
  <c r="H73" i="37" s="1"/>
  <c r="D52" i="37"/>
  <c r="D73" i="37" s="1"/>
  <c r="G51" i="37"/>
  <c r="G72" i="37" s="1"/>
  <c r="C51" i="37"/>
  <c r="C72" i="37" s="1"/>
  <c r="F50" i="37"/>
  <c r="F71" i="37" s="1"/>
  <c r="I49" i="37"/>
  <c r="E49" i="37"/>
  <c r="E70" i="37" s="1"/>
  <c r="I25" i="41"/>
  <c r="F125" i="37"/>
  <c r="F146" i="37" s="1"/>
  <c r="D123" i="37"/>
  <c r="D144" i="37" s="1"/>
  <c r="I120" i="37"/>
  <c r="I141" i="37" s="1"/>
  <c r="G118" i="37"/>
  <c r="G139" i="37" s="1"/>
  <c r="E116" i="37"/>
  <c r="E137" i="37" s="1"/>
  <c r="C114" i="37"/>
  <c r="C135" i="37" s="1"/>
  <c r="H111" i="37"/>
  <c r="H132" i="37" s="1"/>
  <c r="F122" i="37"/>
  <c r="F143" i="37" s="1"/>
  <c r="D120" i="37"/>
  <c r="D141" i="37" s="1"/>
  <c r="I117" i="37"/>
  <c r="I138" i="37" s="1"/>
  <c r="G115" i="37"/>
  <c r="G136" i="37" s="1"/>
  <c r="E113" i="37"/>
  <c r="E134" i="37" s="1"/>
  <c r="C111" i="37"/>
  <c r="C132" i="37" s="1"/>
  <c r="H124" i="37"/>
  <c r="H145" i="37" s="1"/>
  <c r="D65" i="37"/>
  <c r="D86" i="37" s="1"/>
  <c r="G64" i="37"/>
  <c r="G85" i="37" s="1"/>
  <c r="C64" i="37"/>
  <c r="C85" i="37" s="1"/>
  <c r="I62" i="37"/>
  <c r="I83" i="37" s="1"/>
  <c r="E62" i="37"/>
  <c r="E83" i="37" s="1"/>
  <c r="H61" i="37"/>
  <c r="H82" i="37" s="1"/>
  <c r="C61" i="37"/>
  <c r="C82" i="37" s="1"/>
  <c r="F59" i="37"/>
  <c r="F80" i="37" s="1"/>
  <c r="H58" i="37"/>
  <c r="H79" i="37" s="1"/>
  <c r="D57" i="37"/>
  <c r="D78" i="37" s="1"/>
  <c r="F56" i="37"/>
  <c r="F77" i="37" s="1"/>
  <c r="I54" i="37"/>
  <c r="I75" i="37" s="1"/>
  <c r="D54" i="37"/>
  <c r="D75" i="37" s="1"/>
  <c r="G52" i="37"/>
  <c r="G73" i="37" s="1"/>
  <c r="I51" i="37"/>
  <c r="I72" i="37" s="1"/>
  <c r="E50" i="37"/>
  <c r="E71" i="37" s="1"/>
  <c r="G49" i="37"/>
  <c r="G70" i="37" s="1"/>
  <c r="H65" i="35"/>
  <c r="H86" i="35" s="1"/>
  <c r="D86" i="35"/>
  <c r="G64" i="35"/>
  <c r="G85" i="35" s="1"/>
  <c r="C64" i="35"/>
  <c r="C85" i="35" s="1"/>
  <c r="F63" i="35"/>
  <c r="F84" i="35" s="1"/>
  <c r="I83" i="35"/>
  <c r="E62" i="35"/>
  <c r="E83" i="35" s="1"/>
  <c r="H61" i="35"/>
  <c r="H82" i="35" s="1"/>
  <c r="D61" i="35"/>
  <c r="D82" i="35" s="1"/>
  <c r="C60" i="35"/>
  <c r="C81" i="35" s="1"/>
  <c r="F59" i="35"/>
  <c r="F80" i="35" s="1"/>
  <c r="I58" i="35"/>
  <c r="I79" i="35" s="1"/>
  <c r="E79" i="35"/>
  <c r="H57" i="35"/>
  <c r="H78" i="35" s="1"/>
  <c r="D57" i="35"/>
  <c r="D78" i="35" s="1"/>
  <c r="G56" i="35"/>
  <c r="G77" i="35" s="1"/>
  <c r="F55" i="35"/>
  <c r="F76" i="35" s="1"/>
  <c r="I54" i="35"/>
  <c r="I75" i="35" s="1"/>
  <c r="E54" i="35"/>
  <c r="E75" i="35" s="1"/>
  <c r="H74" i="35"/>
  <c r="D53" i="35"/>
  <c r="D74" i="35" s="1"/>
  <c r="G52" i="35"/>
  <c r="G73" i="35" s="1"/>
  <c r="C52" i="35"/>
  <c r="C73" i="35" s="1"/>
  <c r="I50" i="35"/>
  <c r="I71" i="35" s="1"/>
  <c r="E50" i="35"/>
  <c r="E71" i="35" s="1"/>
  <c r="H49" i="35"/>
  <c r="H70" i="35" s="1"/>
  <c r="D49" i="35"/>
  <c r="D70" i="35" s="1"/>
  <c r="I127" i="35"/>
  <c r="I148" i="35" s="1"/>
  <c r="F124" i="35"/>
  <c r="F145" i="35" s="1"/>
  <c r="G60" i="35"/>
  <c r="G81" i="35" s="1"/>
  <c r="C121" i="35"/>
  <c r="C142" i="35" s="1"/>
  <c r="C56" i="35"/>
  <c r="C77" i="35" s="1"/>
  <c r="F116" i="35"/>
  <c r="F137" i="35" s="1"/>
  <c r="F51" i="35"/>
  <c r="F72" i="35" s="1"/>
  <c r="C65" i="35"/>
  <c r="C86" i="35" s="1"/>
  <c r="F85" i="35"/>
  <c r="I63" i="35"/>
  <c r="I84" i="35" s="1"/>
  <c r="E63" i="35"/>
  <c r="E84" i="35" s="1"/>
  <c r="H62" i="35"/>
  <c r="H83" i="35" s="1"/>
  <c r="G61" i="35"/>
  <c r="G82" i="35" s="1"/>
  <c r="C61" i="35"/>
  <c r="C82" i="35" s="1"/>
  <c r="F60" i="35"/>
  <c r="F81" i="35" s="1"/>
  <c r="E59" i="35"/>
  <c r="E80" i="35" s="1"/>
  <c r="H58" i="35"/>
  <c r="H79" i="35" s="1"/>
  <c r="D58" i="35"/>
  <c r="D79" i="35" s="1"/>
  <c r="G78" i="35"/>
  <c r="C57" i="35"/>
  <c r="C78" i="35" s="1"/>
  <c r="F56" i="35"/>
  <c r="F77" i="35" s="1"/>
  <c r="I55" i="35"/>
  <c r="I76" i="35" s="1"/>
  <c r="H54" i="35"/>
  <c r="H75" i="35" s="1"/>
  <c r="D54" i="35"/>
  <c r="D75" i="35" s="1"/>
  <c r="G53" i="35"/>
  <c r="G74" i="35" s="1"/>
  <c r="C74" i="35"/>
  <c r="F52" i="35"/>
  <c r="F73" i="35" s="1"/>
  <c r="I51" i="35"/>
  <c r="I72" i="35" s="1"/>
  <c r="E51" i="35"/>
  <c r="E72" i="35" s="1"/>
  <c r="D50" i="35"/>
  <c r="D71" i="35" s="1"/>
  <c r="G49" i="35"/>
  <c r="G70" i="35" s="1"/>
  <c r="G65" i="35"/>
  <c r="G86" i="35" s="1"/>
  <c r="D62" i="35"/>
  <c r="D83" i="35" s="1"/>
  <c r="D122" i="35"/>
  <c r="D143" i="35" s="1"/>
  <c r="E119" i="35"/>
  <c r="E140" i="35" s="1"/>
  <c r="G117" i="35"/>
  <c r="G138" i="35" s="1"/>
  <c r="H114" i="35"/>
  <c r="H135" i="35" s="1"/>
  <c r="C113" i="35"/>
  <c r="C134" i="35" s="1"/>
  <c r="F65" i="35"/>
  <c r="F86" i="35" s="1"/>
  <c r="I64" i="35"/>
  <c r="I85" i="35" s="1"/>
  <c r="E64" i="35"/>
  <c r="E85" i="35" s="1"/>
  <c r="H63" i="35"/>
  <c r="H84" i="35" s="1"/>
  <c r="D63" i="35"/>
  <c r="D84" i="35" s="1"/>
  <c r="G62" i="35"/>
  <c r="G83" i="35" s="1"/>
  <c r="C62" i="35"/>
  <c r="C83" i="35" s="1"/>
  <c r="F61" i="35"/>
  <c r="F82" i="35" s="1"/>
  <c r="I60" i="35"/>
  <c r="I81" i="35" s="1"/>
  <c r="E60" i="35"/>
  <c r="E81" i="35" s="1"/>
  <c r="H59" i="35"/>
  <c r="H80" i="35" s="1"/>
  <c r="D59" i="35"/>
  <c r="D80" i="35" s="1"/>
  <c r="G58" i="35"/>
  <c r="G79" i="35" s="1"/>
  <c r="C58" i="35"/>
  <c r="C79" i="35" s="1"/>
  <c r="F57" i="35"/>
  <c r="F78" i="35" s="1"/>
  <c r="I56" i="35"/>
  <c r="I77" i="35" s="1"/>
  <c r="E56" i="35"/>
  <c r="E77" i="35" s="1"/>
  <c r="H55" i="35"/>
  <c r="H76" i="35" s="1"/>
  <c r="D55" i="35"/>
  <c r="D76" i="35" s="1"/>
  <c r="G54" i="35"/>
  <c r="G75" i="35" s="1"/>
  <c r="C54" i="35"/>
  <c r="C75" i="35" s="1"/>
  <c r="F53" i="35"/>
  <c r="F74" i="35" s="1"/>
  <c r="I52" i="35"/>
  <c r="I73" i="35" s="1"/>
  <c r="E52" i="35"/>
  <c r="E73" i="35" s="1"/>
  <c r="H51" i="35"/>
  <c r="H72" i="35" s="1"/>
  <c r="D51" i="35"/>
  <c r="D72" i="35" s="1"/>
  <c r="G50" i="35"/>
  <c r="G71" i="35" s="1"/>
  <c r="C50" i="35"/>
  <c r="C71" i="35" s="1"/>
  <c r="F49" i="35"/>
  <c r="F70" i="35" s="1"/>
  <c r="I25" i="35"/>
  <c r="G125" i="35"/>
  <c r="G146" i="35" s="1"/>
  <c r="I59" i="35"/>
  <c r="I80" i="35" s="1"/>
  <c r="H118" i="35"/>
  <c r="H139" i="35" s="1"/>
  <c r="E55" i="35"/>
  <c r="E76" i="35" s="1"/>
  <c r="D114" i="35"/>
  <c r="D135" i="35" s="1"/>
  <c r="H50" i="35"/>
  <c r="H71" i="35" s="1"/>
  <c r="E127" i="35"/>
  <c r="E148" i="35" s="1"/>
  <c r="C125" i="35"/>
  <c r="C146" i="35" s="1"/>
  <c r="H122" i="35"/>
  <c r="H143" i="35" s="1"/>
  <c r="H126" i="35"/>
  <c r="H147" i="35" s="1"/>
  <c r="E123" i="35"/>
  <c r="E144" i="35" s="1"/>
  <c r="G121" i="35"/>
  <c r="G142" i="35" s="1"/>
  <c r="I119" i="35"/>
  <c r="I140" i="35" s="1"/>
  <c r="C117" i="35"/>
  <c r="C138" i="35" s="1"/>
  <c r="E115" i="35"/>
  <c r="E136" i="35" s="1"/>
  <c r="F112" i="35"/>
  <c r="F133" i="35" s="1"/>
  <c r="C70" i="35"/>
  <c r="F120" i="35"/>
  <c r="F141" i="35" s="1"/>
  <c r="D118" i="35"/>
  <c r="D139" i="35" s="1"/>
  <c r="I115" i="35"/>
  <c r="I136" i="35" s="1"/>
  <c r="G113" i="35"/>
  <c r="G134" i="35" s="1"/>
  <c r="E111" i="35"/>
  <c r="E132" i="35" s="1"/>
  <c r="I70" i="35"/>
  <c r="F65" i="40"/>
  <c r="F86" i="40" s="1"/>
  <c r="I64" i="40"/>
  <c r="I85" i="40" s="1"/>
  <c r="E64" i="40"/>
  <c r="E85" i="40" s="1"/>
  <c r="H63" i="40"/>
  <c r="H84" i="40" s="1"/>
  <c r="D63" i="40"/>
  <c r="D84" i="40" s="1"/>
  <c r="C62" i="40"/>
  <c r="C83" i="40" s="1"/>
  <c r="F61" i="40"/>
  <c r="F82" i="40" s="1"/>
  <c r="I60" i="40"/>
  <c r="I81" i="40" s="1"/>
  <c r="H59" i="40"/>
  <c r="H80" i="40" s="1"/>
  <c r="D59" i="40"/>
  <c r="D80" i="40" s="1"/>
  <c r="G58" i="40"/>
  <c r="G79" i="40" s="1"/>
  <c r="F57" i="40"/>
  <c r="F78" i="40" s="1"/>
  <c r="I56" i="40"/>
  <c r="I77" i="40" s="1"/>
  <c r="E56" i="40"/>
  <c r="E77" i="40" s="1"/>
  <c r="D55" i="40"/>
  <c r="D76" i="40" s="1"/>
  <c r="G54" i="40"/>
  <c r="G75" i="40" s="1"/>
  <c r="C54" i="40"/>
  <c r="C75" i="40" s="1"/>
  <c r="I52" i="40"/>
  <c r="I73" i="40" s="1"/>
  <c r="E52" i="40"/>
  <c r="E73" i="40" s="1"/>
  <c r="H51" i="40"/>
  <c r="H72" i="40" s="1"/>
  <c r="G50" i="40"/>
  <c r="G71" i="40" s="1"/>
  <c r="C50" i="40"/>
  <c r="C71" i="40" s="1"/>
  <c r="F49" i="40"/>
  <c r="F70" i="40" s="1"/>
  <c r="G65" i="40"/>
  <c r="G86" i="40" s="1"/>
  <c r="E63" i="40"/>
  <c r="E84" i="40" s="1"/>
  <c r="H61" i="40"/>
  <c r="H82" i="40" s="1"/>
  <c r="C61" i="40"/>
  <c r="C82" i="40" s="1"/>
  <c r="F59" i="40"/>
  <c r="F80" i="40" s="1"/>
  <c r="H58" i="40"/>
  <c r="H79" i="40" s="1"/>
  <c r="E81" i="40"/>
  <c r="D78" i="40"/>
  <c r="D75" i="40"/>
  <c r="D72" i="40"/>
  <c r="H85" i="40"/>
  <c r="F83" i="40"/>
  <c r="E65" i="40"/>
  <c r="E86" i="40" s="1"/>
  <c r="I63" i="40"/>
  <c r="I84" i="40" s="1"/>
  <c r="C63" i="40"/>
  <c r="C84" i="40" s="1"/>
  <c r="F56" i="40"/>
  <c r="F77" i="40" s="1"/>
  <c r="I51" i="40"/>
  <c r="I72" i="40" s="1"/>
  <c r="G49" i="40"/>
  <c r="G70" i="40" s="1"/>
  <c r="C86" i="40"/>
  <c r="G124" i="40"/>
  <c r="G145" i="40" s="1"/>
  <c r="F115" i="40"/>
  <c r="F136" i="40" s="1"/>
  <c r="E71" i="40"/>
  <c r="G85" i="40"/>
  <c r="C85" i="40"/>
  <c r="E83" i="40"/>
  <c r="C81" i="40"/>
  <c r="H57" i="40"/>
  <c r="H78" i="40" s="1"/>
  <c r="G56" i="40"/>
  <c r="G77" i="40" s="1"/>
  <c r="C56" i="40"/>
  <c r="C77" i="40" s="1"/>
  <c r="F55" i="40"/>
  <c r="F76" i="40" s="1"/>
  <c r="E54" i="40"/>
  <c r="E75" i="40" s="1"/>
  <c r="H53" i="40"/>
  <c r="H74" i="40" s="1"/>
  <c r="D53" i="40"/>
  <c r="D74" i="40" s="1"/>
  <c r="C52" i="40"/>
  <c r="C73" i="40" s="1"/>
  <c r="F51" i="40"/>
  <c r="F72" i="40" s="1"/>
  <c r="I50" i="40"/>
  <c r="I71" i="40" s="1"/>
  <c r="H49" i="40"/>
  <c r="H70" i="40" s="1"/>
  <c r="D49" i="40"/>
  <c r="D70" i="40" s="1"/>
  <c r="I65" i="40"/>
  <c r="I86" i="40" s="1"/>
  <c r="D65" i="40"/>
  <c r="D86" i="40" s="1"/>
  <c r="F64" i="40"/>
  <c r="F85" i="40" s="1"/>
  <c r="G63" i="40"/>
  <c r="G84" i="40" s="1"/>
  <c r="I62" i="40"/>
  <c r="I83" i="40" s="1"/>
  <c r="E61" i="40"/>
  <c r="E82" i="40" s="1"/>
  <c r="G60" i="40"/>
  <c r="G81" i="40" s="1"/>
  <c r="E58" i="40"/>
  <c r="E79" i="40" s="1"/>
  <c r="H117" i="40"/>
  <c r="H138" i="40" s="1"/>
  <c r="G73" i="40"/>
  <c r="D83" i="40"/>
  <c r="G82" i="40"/>
  <c r="I80" i="40"/>
  <c r="E80" i="40"/>
  <c r="G78" i="40"/>
  <c r="E76" i="40"/>
  <c r="C74" i="40"/>
  <c r="H71" i="40"/>
  <c r="H65" i="40"/>
  <c r="H86" i="40" s="1"/>
  <c r="D64" i="40"/>
  <c r="D85" i="40" s="1"/>
  <c r="F63" i="40"/>
  <c r="F84" i="40" s="1"/>
  <c r="H62" i="40"/>
  <c r="H83" i="40" s="1"/>
  <c r="I61" i="40"/>
  <c r="I82" i="40" s="1"/>
  <c r="D61" i="40"/>
  <c r="D82" i="40" s="1"/>
  <c r="F60" i="40"/>
  <c r="F81" i="40" s="1"/>
  <c r="I58" i="40"/>
  <c r="I79" i="40" s="1"/>
  <c r="D58" i="40"/>
  <c r="D79" i="40" s="1"/>
  <c r="C57" i="40"/>
  <c r="C78" i="40" s="1"/>
  <c r="I55" i="40"/>
  <c r="I76" i="40" s="1"/>
  <c r="H54" i="40"/>
  <c r="H75" i="40" s="1"/>
  <c r="G53" i="40"/>
  <c r="G74" i="40" s="1"/>
  <c r="F52" i="40"/>
  <c r="F73" i="40" s="1"/>
  <c r="E51" i="40"/>
  <c r="E72" i="40" s="1"/>
  <c r="D50" i="40"/>
  <c r="D71" i="40" s="1"/>
  <c r="C49" i="40"/>
  <c r="C70" i="40" s="1"/>
  <c r="C120" i="40"/>
  <c r="C141" i="40" s="1"/>
  <c r="I75" i="40"/>
  <c r="H81" i="40"/>
  <c r="D81" i="40"/>
  <c r="G80" i="40"/>
  <c r="C80" i="40"/>
  <c r="F79" i="40"/>
  <c r="I78" i="40"/>
  <c r="E78" i="40"/>
  <c r="H77" i="40"/>
  <c r="D77" i="40"/>
  <c r="G76" i="40"/>
  <c r="C76" i="40"/>
  <c r="F75" i="40"/>
  <c r="I74" i="40"/>
  <c r="E74" i="40"/>
  <c r="H73" i="40"/>
  <c r="D73" i="40"/>
  <c r="G72" i="40"/>
  <c r="C72" i="40"/>
  <c r="F71" i="40"/>
  <c r="I70" i="40"/>
  <c r="E70" i="40"/>
  <c r="C17" i="2"/>
  <c r="C59" i="2" s="1"/>
  <c r="D17" i="2"/>
  <c r="D59" i="2" s="1"/>
  <c r="E17" i="2"/>
  <c r="E59" i="2" s="1"/>
  <c r="F17" i="2"/>
  <c r="F59" i="2" s="1"/>
  <c r="G17" i="2"/>
  <c r="G59" i="2" s="1"/>
  <c r="H17" i="2"/>
  <c r="H59" i="2" s="1"/>
  <c r="I17" i="2"/>
  <c r="I59" i="2" s="1"/>
  <c r="C18" i="2"/>
  <c r="D18" i="2"/>
  <c r="E18" i="2"/>
  <c r="F18" i="2"/>
  <c r="G18" i="2"/>
  <c r="H18" i="2"/>
  <c r="I18" i="2"/>
  <c r="C19" i="2"/>
  <c r="C61" i="2" s="1"/>
  <c r="D19" i="2"/>
  <c r="D61" i="2" s="1"/>
  <c r="E19" i="2"/>
  <c r="E61" i="2" s="1"/>
  <c r="F19" i="2"/>
  <c r="F61" i="2" s="1"/>
  <c r="G19" i="2"/>
  <c r="G61" i="2" s="1"/>
  <c r="H19" i="2"/>
  <c r="H61" i="2" s="1"/>
  <c r="I19" i="2"/>
  <c r="I61" i="2" s="1"/>
  <c r="C20" i="2"/>
  <c r="C62" i="2" s="1"/>
  <c r="D20" i="2"/>
  <c r="D62" i="2" s="1"/>
  <c r="E20" i="2"/>
  <c r="E62" i="2" s="1"/>
  <c r="F20" i="2"/>
  <c r="F62" i="2" s="1"/>
  <c r="G20" i="2"/>
  <c r="G62" i="2" s="1"/>
  <c r="H20" i="2"/>
  <c r="H62" i="2" s="1"/>
  <c r="I20" i="2"/>
  <c r="I62" i="2" s="1"/>
  <c r="C21" i="2"/>
  <c r="C63" i="2" s="1"/>
  <c r="D21" i="2"/>
  <c r="D63" i="2" s="1"/>
  <c r="E21" i="2"/>
  <c r="E63" i="2" s="1"/>
  <c r="F21" i="2"/>
  <c r="F63" i="2" s="1"/>
  <c r="G21" i="2"/>
  <c r="G63" i="2" s="1"/>
  <c r="H21" i="2"/>
  <c r="H63" i="2" s="1"/>
  <c r="I21" i="2"/>
  <c r="I63" i="2" s="1"/>
  <c r="C22" i="2"/>
  <c r="C64" i="2" s="1"/>
  <c r="D22" i="2"/>
  <c r="D64" i="2" s="1"/>
  <c r="E22" i="2"/>
  <c r="E64" i="2" s="1"/>
  <c r="F22" i="2"/>
  <c r="F64" i="2" s="1"/>
  <c r="G22" i="2"/>
  <c r="G64" i="2" s="1"/>
  <c r="H22" i="2"/>
  <c r="H64" i="2" s="1"/>
  <c r="I22" i="2"/>
  <c r="I64" i="2" s="1"/>
  <c r="C23" i="2"/>
  <c r="C65" i="2" s="1"/>
  <c r="D23" i="2"/>
  <c r="D65" i="2" s="1"/>
  <c r="E23" i="2"/>
  <c r="E65" i="2" s="1"/>
  <c r="F23" i="2"/>
  <c r="F65" i="2" s="1"/>
  <c r="G23" i="2"/>
  <c r="G65" i="2" s="1"/>
  <c r="H23" i="2"/>
  <c r="H65" i="2" s="1"/>
  <c r="I23" i="2"/>
  <c r="I65" i="2" s="1"/>
  <c r="C24" i="2"/>
  <c r="D24" i="2"/>
  <c r="E24" i="2"/>
  <c r="F24" i="2"/>
  <c r="G24" i="2"/>
  <c r="H24" i="2"/>
  <c r="I24" i="2"/>
  <c r="C16" i="2"/>
  <c r="C58" i="2" s="1"/>
  <c r="D16" i="2"/>
  <c r="D58" i="2" s="1"/>
  <c r="E16" i="2"/>
  <c r="E58" i="2" s="1"/>
  <c r="F16" i="2"/>
  <c r="F58" i="2" s="1"/>
  <c r="G16" i="2"/>
  <c r="G58" i="2" s="1"/>
  <c r="H16" i="2"/>
  <c r="H58" i="2" s="1"/>
  <c r="I16" i="2"/>
  <c r="I58" i="2" s="1"/>
  <c r="C15" i="2"/>
  <c r="C57" i="2" s="1"/>
  <c r="D15" i="2"/>
  <c r="D57" i="2" s="1"/>
  <c r="E15" i="2"/>
  <c r="E57" i="2" s="1"/>
  <c r="F15" i="2"/>
  <c r="F57" i="2" s="1"/>
  <c r="G15" i="2"/>
  <c r="G57" i="2" s="1"/>
  <c r="H15" i="2"/>
  <c r="H57" i="2" s="1"/>
  <c r="I15" i="2"/>
  <c r="I57" i="2" s="1"/>
  <c r="C14" i="2"/>
  <c r="C56" i="2" s="1"/>
  <c r="D14" i="2"/>
  <c r="D56" i="2" s="1"/>
  <c r="E14" i="2"/>
  <c r="E56" i="2" s="1"/>
  <c r="F14" i="2"/>
  <c r="F56" i="2" s="1"/>
  <c r="G14" i="2"/>
  <c r="G56" i="2" s="1"/>
  <c r="H14" i="2"/>
  <c r="H56" i="2" s="1"/>
  <c r="I14" i="2"/>
  <c r="I56" i="2" s="1"/>
  <c r="C13" i="2"/>
  <c r="D13" i="2"/>
  <c r="E13" i="2"/>
  <c r="F13" i="2"/>
  <c r="G13" i="2"/>
  <c r="H13" i="2"/>
  <c r="I13" i="2"/>
  <c r="C12" i="2"/>
  <c r="C54" i="2" s="1"/>
  <c r="F12" i="2"/>
  <c r="F54" i="2" s="1"/>
  <c r="G12" i="2"/>
  <c r="G54" i="2" s="1"/>
  <c r="H12" i="2"/>
  <c r="H54" i="2" s="1"/>
  <c r="I12" i="2"/>
  <c r="I54" i="2" s="1"/>
  <c r="C11" i="2"/>
  <c r="C53" i="2" s="1"/>
  <c r="D11" i="2"/>
  <c r="D53" i="2" s="1"/>
  <c r="E11" i="2"/>
  <c r="E53" i="2" s="1"/>
  <c r="F11" i="2"/>
  <c r="F53" i="2" s="1"/>
  <c r="G11" i="2"/>
  <c r="G53" i="2" s="1"/>
  <c r="H11" i="2"/>
  <c r="H53" i="2" s="1"/>
  <c r="I11" i="2"/>
  <c r="I53" i="2" s="1"/>
  <c r="C10" i="2"/>
  <c r="D10" i="2"/>
  <c r="E10" i="2"/>
  <c r="F10" i="2"/>
  <c r="G10" i="2"/>
  <c r="H10" i="2"/>
  <c r="I10" i="2"/>
  <c r="C9" i="2"/>
  <c r="C51" i="2" s="1"/>
  <c r="D9" i="2"/>
  <c r="D51" i="2" s="1"/>
  <c r="E9" i="2"/>
  <c r="E51" i="2" s="1"/>
  <c r="F9" i="2"/>
  <c r="F51" i="2" s="1"/>
  <c r="G9" i="2"/>
  <c r="G51" i="2" s="1"/>
  <c r="H9" i="2"/>
  <c r="H51" i="2" s="1"/>
  <c r="I9" i="2"/>
  <c r="I51" i="2" s="1"/>
  <c r="C8" i="2"/>
  <c r="C50" i="2" s="1"/>
  <c r="D8" i="2"/>
  <c r="D50" i="2" s="1"/>
  <c r="E8" i="2"/>
  <c r="E50" i="2" s="1"/>
  <c r="F8" i="2"/>
  <c r="F50" i="2" s="1"/>
  <c r="G8" i="2"/>
  <c r="G50" i="2" s="1"/>
  <c r="H8" i="2"/>
  <c r="H50" i="2" s="1"/>
  <c r="I8" i="2"/>
  <c r="I50" i="2" s="1"/>
  <c r="B8" i="2"/>
  <c r="B50" i="2" l="1"/>
  <c r="J50" i="2" s="1"/>
  <c r="H13" i="1"/>
  <c r="H55" i="2"/>
  <c r="D13" i="1"/>
  <c r="D55" i="2"/>
  <c r="I13" i="1"/>
  <c r="I55" i="2"/>
  <c r="E13" i="1"/>
  <c r="E55" i="2"/>
  <c r="G13" i="1"/>
  <c r="G55" i="2"/>
  <c r="C13" i="1"/>
  <c r="C55" i="2"/>
  <c r="F13" i="1"/>
  <c r="F55" i="2"/>
  <c r="D18" i="1"/>
  <c r="D60" i="2"/>
  <c r="G18" i="1"/>
  <c r="G60" i="2"/>
  <c r="C18" i="1"/>
  <c r="C60" i="2"/>
  <c r="F18" i="1"/>
  <c r="F60" i="2"/>
  <c r="I18" i="1"/>
  <c r="I60" i="2"/>
  <c r="E18" i="1"/>
  <c r="E60" i="2"/>
  <c r="H18" i="1"/>
  <c r="H60" i="2"/>
  <c r="H24" i="1"/>
  <c r="H66" i="2"/>
  <c r="C24" i="1"/>
  <c r="C66" i="2"/>
  <c r="I24" i="1"/>
  <c r="I66" i="2"/>
  <c r="E24" i="1"/>
  <c r="E66" i="2"/>
  <c r="D24" i="1"/>
  <c r="D66" i="2"/>
  <c r="G24" i="1"/>
  <c r="G66" i="2"/>
  <c r="F24" i="1"/>
  <c r="F66" i="2"/>
  <c r="I10" i="1"/>
  <c r="I52" i="2"/>
  <c r="E10" i="1"/>
  <c r="E52" i="2"/>
  <c r="F10" i="1"/>
  <c r="F52" i="2"/>
  <c r="H10" i="1"/>
  <c r="H52" i="2"/>
  <c r="D10" i="1"/>
  <c r="D52" i="2"/>
  <c r="G10" i="1"/>
  <c r="G52" i="2"/>
  <c r="C10" i="1"/>
  <c r="C52" i="2"/>
  <c r="G123" i="37"/>
  <c r="G144" i="37" s="1"/>
  <c r="E125" i="37"/>
  <c r="E146" i="37" s="1"/>
  <c r="E117" i="37"/>
  <c r="E138" i="37" s="1"/>
  <c r="I66" i="38"/>
  <c r="I66" i="40"/>
  <c r="I66" i="39"/>
  <c r="I66" i="33"/>
  <c r="D112" i="40"/>
  <c r="D133" i="40" s="1"/>
  <c r="I120" i="40"/>
  <c r="I141" i="40" s="1"/>
  <c r="E123" i="40"/>
  <c r="E144" i="40" s="1"/>
  <c r="H111" i="40"/>
  <c r="H132" i="40" s="1"/>
  <c r="G127" i="40"/>
  <c r="G148" i="40" s="1"/>
  <c r="H113" i="40"/>
  <c r="H134" i="40" s="1"/>
  <c r="F119" i="40"/>
  <c r="F140" i="40" s="1"/>
  <c r="I122" i="40"/>
  <c r="I143" i="40" s="1"/>
  <c r="E113" i="40"/>
  <c r="E134" i="40" s="1"/>
  <c r="I117" i="40"/>
  <c r="I138" i="40" s="1"/>
  <c r="F122" i="40"/>
  <c r="F143" i="40" s="1"/>
  <c r="F125" i="40"/>
  <c r="F146" i="40" s="1"/>
  <c r="I127" i="40"/>
  <c r="I148" i="40" s="1"/>
  <c r="C114" i="40"/>
  <c r="C135" i="40" s="1"/>
  <c r="C123" i="40"/>
  <c r="C144" i="40" s="1"/>
  <c r="F111" i="40"/>
  <c r="F132" i="40" s="1"/>
  <c r="E114" i="40"/>
  <c r="E135" i="40" s="1"/>
  <c r="D117" i="40"/>
  <c r="D138" i="40" s="1"/>
  <c r="G120" i="40"/>
  <c r="G141" i="40" s="1"/>
  <c r="F123" i="40"/>
  <c r="F144" i="40" s="1"/>
  <c r="E126" i="40"/>
  <c r="E147" i="40" s="1"/>
  <c r="I121" i="35"/>
  <c r="I142" i="35" s="1"/>
  <c r="I114" i="35"/>
  <c r="I135" i="35" s="1"/>
  <c r="F119" i="35"/>
  <c r="F140" i="35" s="1"/>
  <c r="C124" i="35"/>
  <c r="C145" i="35" s="1"/>
  <c r="G111" i="35"/>
  <c r="G132" i="35" s="1"/>
  <c r="G115" i="35"/>
  <c r="G136" i="35" s="1"/>
  <c r="G123" i="35"/>
  <c r="G144" i="35" s="1"/>
  <c r="H111" i="35"/>
  <c r="H132" i="35" s="1"/>
  <c r="H119" i="35"/>
  <c r="H140" i="35" s="1"/>
  <c r="G126" i="35"/>
  <c r="G147" i="35" s="1"/>
  <c r="G111" i="37"/>
  <c r="G132" i="37" s="1"/>
  <c r="H120" i="37"/>
  <c r="H141" i="37" s="1"/>
  <c r="E124" i="37"/>
  <c r="E145" i="37" s="1"/>
  <c r="E115" i="37"/>
  <c r="E136" i="37" s="1"/>
  <c r="I119" i="37"/>
  <c r="I140" i="37" s="1"/>
  <c r="F124" i="37"/>
  <c r="F145" i="37" s="1"/>
  <c r="I126" i="41"/>
  <c r="I147" i="41" s="1"/>
  <c r="C120" i="37"/>
  <c r="C141" i="37" s="1"/>
  <c r="F123" i="37"/>
  <c r="F144" i="37" s="1"/>
  <c r="I127" i="41"/>
  <c r="I148" i="41" s="1"/>
  <c r="H112" i="38"/>
  <c r="H133" i="38" s="1"/>
  <c r="C115" i="38"/>
  <c r="C136" i="38" s="1"/>
  <c r="E117" i="38"/>
  <c r="E138" i="38" s="1"/>
  <c r="G119" i="38"/>
  <c r="G140" i="38" s="1"/>
  <c r="I121" i="38"/>
  <c r="I142" i="38" s="1"/>
  <c r="D124" i="38"/>
  <c r="D145" i="38" s="1"/>
  <c r="F126" i="38"/>
  <c r="F147" i="38" s="1"/>
  <c r="D115" i="38"/>
  <c r="D136" i="38" s="1"/>
  <c r="F117" i="38"/>
  <c r="F138" i="38" s="1"/>
  <c r="H119" i="38"/>
  <c r="H140" i="38" s="1"/>
  <c r="C122" i="38"/>
  <c r="C143" i="38" s="1"/>
  <c r="E124" i="38"/>
  <c r="E145" i="38" s="1"/>
  <c r="G126" i="38"/>
  <c r="G147" i="38" s="1"/>
  <c r="I112" i="39"/>
  <c r="I133" i="39" s="1"/>
  <c r="F111" i="38"/>
  <c r="F132" i="38" s="1"/>
  <c r="H113" i="38"/>
  <c r="H134" i="38" s="1"/>
  <c r="C116" i="38"/>
  <c r="C137" i="38" s="1"/>
  <c r="E118" i="38"/>
  <c r="E139" i="38" s="1"/>
  <c r="G120" i="38"/>
  <c r="G141" i="38" s="1"/>
  <c r="I122" i="38"/>
  <c r="I143" i="38" s="1"/>
  <c r="D125" i="38"/>
  <c r="D146" i="38" s="1"/>
  <c r="F127" i="38"/>
  <c r="F148" i="38" s="1"/>
  <c r="C113" i="36"/>
  <c r="C134" i="36" s="1"/>
  <c r="E115" i="36"/>
  <c r="E136" i="36" s="1"/>
  <c r="G117" i="36"/>
  <c r="G138" i="36" s="1"/>
  <c r="I119" i="36"/>
  <c r="I140" i="36" s="1"/>
  <c r="D122" i="36"/>
  <c r="D143" i="36" s="1"/>
  <c r="F124" i="36"/>
  <c r="F145" i="36" s="1"/>
  <c r="H126" i="36"/>
  <c r="H147" i="36" s="1"/>
  <c r="D112" i="36"/>
  <c r="D133" i="36" s="1"/>
  <c r="I113" i="36"/>
  <c r="I134" i="36" s="1"/>
  <c r="F118" i="36"/>
  <c r="F139" i="36" s="1"/>
  <c r="C123" i="36"/>
  <c r="C144" i="36" s="1"/>
  <c r="G127" i="36"/>
  <c r="G148" i="36" s="1"/>
  <c r="I112" i="34"/>
  <c r="I133" i="34" s="1"/>
  <c r="D115" i="34"/>
  <c r="D136" i="34" s="1"/>
  <c r="F117" i="34"/>
  <c r="F138" i="34" s="1"/>
  <c r="H119" i="34"/>
  <c r="H140" i="34" s="1"/>
  <c r="C122" i="34"/>
  <c r="C143" i="34" s="1"/>
  <c r="E124" i="34"/>
  <c r="E145" i="34" s="1"/>
  <c r="G126" i="34"/>
  <c r="G147" i="34" s="1"/>
  <c r="G111" i="33"/>
  <c r="G132" i="33" s="1"/>
  <c r="I113" i="33"/>
  <c r="I134" i="33" s="1"/>
  <c r="D116" i="33"/>
  <c r="D137" i="33" s="1"/>
  <c r="F118" i="33"/>
  <c r="F139" i="33" s="1"/>
  <c r="H120" i="33"/>
  <c r="H141" i="33" s="1"/>
  <c r="C123" i="33"/>
  <c r="C144" i="33" s="1"/>
  <c r="E125" i="33"/>
  <c r="E146" i="33" s="1"/>
  <c r="G127" i="33"/>
  <c r="G148" i="33" s="1"/>
  <c r="E114" i="36"/>
  <c r="E135" i="36" s="1"/>
  <c r="I118" i="36"/>
  <c r="I139" i="36" s="1"/>
  <c r="F123" i="36"/>
  <c r="F144" i="36" s="1"/>
  <c r="C111" i="34"/>
  <c r="C132" i="34" s="1"/>
  <c r="E113" i="34"/>
  <c r="E134" i="34" s="1"/>
  <c r="G115" i="34"/>
  <c r="G136" i="34" s="1"/>
  <c r="I117" i="34"/>
  <c r="I138" i="34" s="1"/>
  <c r="D120" i="34"/>
  <c r="D141" i="34" s="1"/>
  <c r="F122" i="34"/>
  <c r="F143" i="34" s="1"/>
  <c r="H124" i="34"/>
  <c r="H145" i="34" s="1"/>
  <c r="C127" i="34"/>
  <c r="C148" i="34" s="1"/>
  <c r="I87" i="32"/>
  <c r="I111" i="32"/>
  <c r="I132" i="32" s="1"/>
  <c r="D114" i="32"/>
  <c r="D135" i="32" s="1"/>
  <c r="F116" i="32"/>
  <c r="F137" i="32" s="1"/>
  <c r="H118" i="32"/>
  <c r="H139" i="32" s="1"/>
  <c r="C121" i="32"/>
  <c r="C142" i="32" s="1"/>
  <c r="E123" i="32"/>
  <c r="E144" i="32" s="1"/>
  <c r="G125" i="32"/>
  <c r="G146" i="32" s="1"/>
  <c r="I127" i="32"/>
  <c r="I148" i="32" s="1"/>
  <c r="I112" i="31"/>
  <c r="I133" i="31" s="1"/>
  <c r="D115" i="31"/>
  <c r="D136" i="31" s="1"/>
  <c r="F117" i="31"/>
  <c r="F138" i="31" s="1"/>
  <c r="H119" i="31"/>
  <c r="H140" i="31" s="1"/>
  <c r="C122" i="31"/>
  <c r="C143" i="31" s="1"/>
  <c r="E124" i="31"/>
  <c r="E145" i="31" s="1"/>
  <c r="G126" i="31"/>
  <c r="G147" i="31" s="1"/>
  <c r="G112" i="32"/>
  <c r="G133" i="32" s="1"/>
  <c r="I114" i="32"/>
  <c r="I135" i="32" s="1"/>
  <c r="D117" i="32"/>
  <c r="D138" i="32" s="1"/>
  <c r="F119" i="32"/>
  <c r="F140" i="32" s="1"/>
  <c r="H121" i="32"/>
  <c r="H142" i="32" s="1"/>
  <c r="C124" i="32"/>
  <c r="C145" i="32" s="1"/>
  <c r="E126" i="32"/>
  <c r="E147" i="32" s="1"/>
  <c r="D111" i="33"/>
  <c r="D132" i="33" s="1"/>
  <c r="G114" i="33"/>
  <c r="G135" i="33" s="1"/>
  <c r="D119" i="33"/>
  <c r="D140" i="33" s="1"/>
  <c r="H123" i="33"/>
  <c r="H144" i="33" s="1"/>
  <c r="H111" i="32"/>
  <c r="H132" i="32" s="1"/>
  <c r="C114" i="32"/>
  <c r="C135" i="32" s="1"/>
  <c r="E116" i="32"/>
  <c r="E137" i="32" s="1"/>
  <c r="G118" i="32"/>
  <c r="G139" i="32" s="1"/>
  <c r="I120" i="32"/>
  <c r="I141" i="32" s="1"/>
  <c r="D123" i="32"/>
  <c r="D144" i="32" s="1"/>
  <c r="F125" i="32"/>
  <c r="F146" i="32" s="1"/>
  <c r="H127" i="32"/>
  <c r="H148" i="32" s="1"/>
  <c r="H112" i="31"/>
  <c r="H133" i="31" s="1"/>
  <c r="C115" i="31"/>
  <c r="C136" i="31" s="1"/>
  <c r="E117" i="31"/>
  <c r="E138" i="31" s="1"/>
  <c r="G119" i="31"/>
  <c r="G140" i="31" s="1"/>
  <c r="I121" i="31"/>
  <c r="I142" i="31" s="1"/>
  <c r="D124" i="31"/>
  <c r="D145" i="31" s="1"/>
  <c r="F126" i="31"/>
  <c r="F147" i="31" s="1"/>
  <c r="F116" i="31"/>
  <c r="F137" i="31" s="1"/>
  <c r="C121" i="31"/>
  <c r="C142" i="31" s="1"/>
  <c r="G125" i="31"/>
  <c r="G146" i="31" s="1"/>
  <c r="F112" i="30"/>
  <c r="F133" i="30" s="1"/>
  <c r="C117" i="30"/>
  <c r="C138" i="30" s="1"/>
  <c r="G121" i="30"/>
  <c r="G142" i="30" s="1"/>
  <c r="I112" i="30"/>
  <c r="I133" i="30" s="1"/>
  <c r="F117" i="30"/>
  <c r="F138" i="30" s="1"/>
  <c r="C122" i="30"/>
  <c r="C143" i="30" s="1"/>
  <c r="F125" i="30"/>
  <c r="F146" i="30" s="1"/>
  <c r="D114" i="30"/>
  <c r="D135" i="30" s="1"/>
  <c r="H118" i="30"/>
  <c r="H139" i="30" s="1"/>
  <c r="D126" i="30"/>
  <c r="D147" i="30" s="1"/>
  <c r="H113" i="30"/>
  <c r="H134" i="30" s="1"/>
  <c r="E118" i="30"/>
  <c r="E139" i="30" s="1"/>
  <c r="G114" i="30"/>
  <c r="G135" i="30" s="1"/>
  <c r="D119" i="30"/>
  <c r="D140" i="30" s="1"/>
  <c r="I123" i="30"/>
  <c r="I144" i="30" s="1"/>
  <c r="H112" i="30"/>
  <c r="H133" i="30" s="1"/>
  <c r="C115" i="30"/>
  <c r="C136" i="30" s="1"/>
  <c r="E117" i="30"/>
  <c r="E138" i="30" s="1"/>
  <c r="G119" i="30"/>
  <c r="G140" i="30" s="1"/>
  <c r="I121" i="30"/>
  <c r="I142" i="30" s="1"/>
  <c r="D124" i="30"/>
  <c r="D145" i="30" s="1"/>
  <c r="I120" i="29"/>
  <c r="I141" i="29" s="1"/>
  <c r="C119" i="40"/>
  <c r="C140" i="40" s="1"/>
  <c r="D123" i="40"/>
  <c r="D144" i="40" s="1"/>
  <c r="D126" i="40"/>
  <c r="D147" i="40" s="1"/>
  <c r="E120" i="40"/>
  <c r="E141" i="40" s="1"/>
  <c r="G125" i="40"/>
  <c r="G146" i="40" s="1"/>
  <c r="E116" i="40"/>
  <c r="E137" i="40" s="1"/>
  <c r="G111" i="40"/>
  <c r="G132" i="40" s="1"/>
  <c r="I125" i="40"/>
  <c r="I146" i="40" s="1"/>
  <c r="C112" i="40"/>
  <c r="C133" i="40" s="1"/>
  <c r="I114" i="40"/>
  <c r="I135" i="40" s="1"/>
  <c r="E118" i="40"/>
  <c r="E139" i="40" s="1"/>
  <c r="D121" i="40"/>
  <c r="D142" i="40" s="1"/>
  <c r="C124" i="40"/>
  <c r="C145" i="40" s="1"/>
  <c r="I126" i="40"/>
  <c r="I147" i="40" s="1"/>
  <c r="H113" i="35"/>
  <c r="H134" i="35" s="1"/>
  <c r="E118" i="35"/>
  <c r="E139" i="35" s="1"/>
  <c r="I122" i="35"/>
  <c r="I143" i="35" s="1"/>
  <c r="F127" i="35"/>
  <c r="F148" i="35" s="1"/>
  <c r="D112" i="35"/>
  <c r="D133" i="35" s="1"/>
  <c r="H124" i="35"/>
  <c r="H145" i="35" s="1"/>
  <c r="C118" i="35"/>
  <c r="C139" i="35" s="1"/>
  <c r="E112" i="37"/>
  <c r="E133" i="37" s="1"/>
  <c r="F121" i="37"/>
  <c r="F142" i="37" s="1"/>
  <c r="D114" i="37"/>
  <c r="D135" i="37" s="1"/>
  <c r="H118" i="37"/>
  <c r="H139" i="37" s="1"/>
  <c r="E123" i="37"/>
  <c r="E144" i="37" s="1"/>
  <c r="I127" i="37"/>
  <c r="I148" i="37" s="1"/>
  <c r="E114" i="37"/>
  <c r="E135" i="37" s="1"/>
  <c r="D125" i="37"/>
  <c r="D146" i="37" s="1"/>
  <c r="I115" i="41"/>
  <c r="I136" i="41" s="1"/>
  <c r="F113" i="38"/>
  <c r="F134" i="38" s="1"/>
  <c r="H115" i="38"/>
  <c r="H136" i="38" s="1"/>
  <c r="C118" i="38"/>
  <c r="C139" i="38" s="1"/>
  <c r="E120" i="38"/>
  <c r="E141" i="38" s="1"/>
  <c r="G122" i="38"/>
  <c r="G143" i="38" s="1"/>
  <c r="I124" i="38"/>
  <c r="I145" i="38" s="1"/>
  <c r="D127" i="38"/>
  <c r="D148" i="38" s="1"/>
  <c r="C112" i="38"/>
  <c r="C133" i="38" s="1"/>
  <c r="E114" i="38"/>
  <c r="E135" i="38" s="1"/>
  <c r="G116" i="38"/>
  <c r="G137" i="38" s="1"/>
  <c r="I118" i="38"/>
  <c r="I139" i="38" s="1"/>
  <c r="D121" i="38"/>
  <c r="D142" i="38" s="1"/>
  <c r="F123" i="38"/>
  <c r="F144" i="38" s="1"/>
  <c r="H125" i="38"/>
  <c r="H146" i="38" s="1"/>
  <c r="E111" i="36"/>
  <c r="E132" i="36" s="1"/>
  <c r="G113" i="36"/>
  <c r="G134" i="36" s="1"/>
  <c r="I115" i="36"/>
  <c r="I136" i="36" s="1"/>
  <c r="D118" i="36"/>
  <c r="D139" i="36" s="1"/>
  <c r="F120" i="36"/>
  <c r="F141" i="36" s="1"/>
  <c r="H122" i="36"/>
  <c r="H143" i="36" s="1"/>
  <c r="C125" i="36"/>
  <c r="C146" i="36" s="1"/>
  <c r="E127" i="36"/>
  <c r="E148" i="36" s="1"/>
  <c r="H112" i="36"/>
  <c r="H133" i="36" s="1"/>
  <c r="E117" i="36"/>
  <c r="E138" i="36" s="1"/>
  <c r="I121" i="36"/>
  <c r="I142" i="36" s="1"/>
  <c r="F126" i="36"/>
  <c r="F147" i="36" s="1"/>
  <c r="D111" i="34"/>
  <c r="D132" i="34" s="1"/>
  <c r="F113" i="34"/>
  <c r="F134" i="34" s="1"/>
  <c r="H115" i="34"/>
  <c r="H136" i="34" s="1"/>
  <c r="C118" i="34"/>
  <c r="C139" i="34" s="1"/>
  <c r="E120" i="34"/>
  <c r="E141" i="34" s="1"/>
  <c r="G122" i="34"/>
  <c r="G143" i="34" s="1"/>
  <c r="I124" i="34"/>
  <c r="I145" i="34" s="1"/>
  <c r="D127" i="34"/>
  <c r="D148" i="34" s="1"/>
  <c r="D112" i="33"/>
  <c r="D133" i="33" s="1"/>
  <c r="F114" i="33"/>
  <c r="F135" i="33" s="1"/>
  <c r="H116" i="33"/>
  <c r="H137" i="33" s="1"/>
  <c r="C119" i="33"/>
  <c r="C140" i="33" s="1"/>
  <c r="E121" i="33"/>
  <c r="E142" i="33" s="1"/>
  <c r="G123" i="33"/>
  <c r="G144" i="33" s="1"/>
  <c r="I125" i="33"/>
  <c r="I146" i="33" s="1"/>
  <c r="D114" i="34"/>
  <c r="D135" i="34" s="1"/>
  <c r="F116" i="34"/>
  <c r="F137" i="34" s="1"/>
  <c r="H118" i="34"/>
  <c r="H139" i="34" s="1"/>
  <c r="C121" i="34"/>
  <c r="C142" i="34" s="1"/>
  <c r="E123" i="34"/>
  <c r="E144" i="34" s="1"/>
  <c r="G125" i="34"/>
  <c r="G146" i="34" s="1"/>
  <c r="I127" i="34"/>
  <c r="I148" i="34" s="1"/>
  <c r="D113" i="36"/>
  <c r="D134" i="36" s="1"/>
  <c r="H117" i="36"/>
  <c r="H138" i="36" s="1"/>
  <c r="E122" i="36"/>
  <c r="E143" i="36" s="1"/>
  <c r="I126" i="36"/>
  <c r="I147" i="36" s="1"/>
  <c r="G111" i="34"/>
  <c r="G132" i="34" s="1"/>
  <c r="I113" i="34"/>
  <c r="I134" i="34" s="1"/>
  <c r="D116" i="34"/>
  <c r="D137" i="34" s="1"/>
  <c r="F118" i="34"/>
  <c r="F139" i="34" s="1"/>
  <c r="H120" i="34"/>
  <c r="H141" i="34" s="1"/>
  <c r="C123" i="34"/>
  <c r="C144" i="34" s="1"/>
  <c r="E125" i="34"/>
  <c r="E146" i="34" s="1"/>
  <c r="G127" i="34"/>
  <c r="G148" i="34" s="1"/>
  <c r="G112" i="33"/>
  <c r="G133" i="33" s="1"/>
  <c r="I114" i="33"/>
  <c r="I135" i="33" s="1"/>
  <c r="D117" i="33"/>
  <c r="D138" i="33" s="1"/>
  <c r="F119" i="33"/>
  <c r="F140" i="33" s="1"/>
  <c r="H121" i="33"/>
  <c r="H142" i="33" s="1"/>
  <c r="C124" i="33"/>
  <c r="C145" i="33" s="1"/>
  <c r="E126" i="33"/>
  <c r="E147" i="33" s="1"/>
  <c r="F112" i="32"/>
  <c r="F133" i="32" s="1"/>
  <c r="H114" i="32"/>
  <c r="H135" i="32" s="1"/>
  <c r="C117" i="32"/>
  <c r="C138" i="32" s="1"/>
  <c r="E119" i="32"/>
  <c r="E140" i="32" s="1"/>
  <c r="G121" i="32"/>
  <c r="G142" i="32" s="1"/>
  <c r="I123" i="32"/>
  <c r="I144" i="32" s="1"/>
  <c r="D126" i="32"/>
  <c r="D147" i="32" s="1"/>
  <c r="D111" i="31"/>
  <c r="D132" i="31" s="1"/>
  <c r="F113" i="31"/>
  <c r="F134" i="31" s="1"/>
  <c r="H115" i="31"/>
  <c r="H136" i="31" s="1"/>
  <c r="C118" i="31"/>
  <c r="C139" i="31" s="1"/>
  <c r="E120" i="31"/>
  <c r="E141" i="31" s="1"/>
  <c r="G122" i="31"/>
  <c r="G143" i="31" s="1"/>
  <c r="I124" i="31"/>
  <c r="I145" i="31" s="1"/>
  <c r="D127" i="31"/>
  <c r="D148" i="31" s="1"/>
  <c r="D113" i="32"/>
  <c r="D134" i="32" s="1"/>
  <c r="F115" i="32"/>
  <c r="F136" i="32" s="1"/>
  <c r="H117" i="32"/>
  <c r="H138" i="32" s="1"/>
  <c r="C120" i="32"/>
  <c r="C141" i="32" s="1"/>
  <c r="E122" i="32"/>
  <c r="E143" i="32" s="1"/>
  <c r="G124" i="32"/>
  <c r="G145" i="32" s="1"/>
  <c r="I126" i="32"/>
  <c r="I147" i="32" s="1"/>
  <c r="H111" i="33"/>
  <c r="H132" i="33" s="1"/>
  <c r="F113" i="33"/>
  <c r="F134" i="33" s="1"/>
  <c r="C118" i="33"/>
  <c r="C139" i="33" s="1"/>
  <c r="G122" i="33"/>
  <c r="G143" i="33" s="1"/>
  <c r="D127" i="33"/>
  <c r="D148" i="33" s="1"/>
  <c r="E112" i="32"/>
  <c r="E133" i="32" s="1"/>
  <c r="G114" i="32"/>
  <c r="G135" i="32" s="1"/>
  <c r="I116" i="32"/>
  <c r="I137" i="32" s="1"/>
  <c r="D119" i="32"/>
  <c r="D140" i="32" s="1"/>
  <c r="F121" i="32"/>
  <c r="F142" i="32" s="1"/>
  <c r="H123" i="32"/>
  <c r="H144" i="32" s="1"/>
  <c r="C126" i="32"/>
  <c r="C147" i="32" s="1"/>
  <c r="C111" i="31"/>
  <c r="C132" i="31" s="1"/>
  <c r="E113" i="31"/>
  <c r="E134" i="31" s="1"/>
  <c r="G115" i="31"/>
  <c r="G136" i="31" s="1"/>
  <c r="I117" i="31"/>
  <c r="I138" i="31" s="1"/>
  <c r="D120" i="31"/>
  <c r="D141" i="31" s="1"/>
  <c r="F122" i="31"/>
  <c r="F143" i="31" s="1"/>
  <c r="H124" i="31"/>
  <c r="H145" i="31" s="1"/>
  <c r="C127" i="31"/>
  <c r="C148" i="31" s="1"/>
  <c r="E115" i="31"/>
  <c r="E136" i="31" s="1"/>
  <c r="I119" i="31"/>
  <c r="I140" i="31" s="1"/>
  <c r="F124" i="31"/>
  <c r="F145" i="31" s="1"/>
  <c r="G113" i="30"/>
  <c r="G134" i="30" s="1"/>
  <c r="D118" i="30"/>
  <c r="D139" i="30" s="1"/>
  <c r="C124" i="30"/>
  <c r="C145" i="30" s="1"/>
  <c r="C114" i="30"/>
  <c r="C135" i="30" s="1"/>
  <c r="G118" i="30"/>
  <c r="G139" i="30" s="1"/>
  <c r="H122" i="30"/>
  <c r="H143" i="30" s="1"/>
  <c r="G126" i="30"/>
  <c r="G147" i="30" s="1"/>
  <c r="E115" i="30"/>
  <c r="E136" i="30" s="1"/>
  <c r="I119" i="30"/>
  <c r="I140" i="30" s="1"/>
  <c r="F124" i="30"/>
  <c r="F145" i="30" s="1"/>
  <c r="H126" i="30"/>
  <c r="H147" i="30" s="1"/>
  <c r="G112" i="30"/>
  <c r="G133" i="30" s="1"/>
  <c r="D117" i="30"/>
  <c r="D138" i="30" s="1"/>
  <c r="H121" i="30"/>
  <c r="H142" i="30" s="1"/>
  <c r="H115" i="30"/>
  <c r="H136" i="30" s="1"/>
  <c r="E120" i="30"/>
  <c r="E141" i="30" s="1"/>
  <c r="C111" i="30"/>
  <c r="C132" i="30" s="1"/>
  <c r="E113" i="30"/>
  <c r="E134" i="30" s="1"/>
  <c r="G115" i="30"/>
  <c r="G136" i="30" s="1"/>
  <c r="I117" i="30"/>
  <c r="I138" i="30" s="1"/>
  <c r="D120" i="30"/>
  <c r="D141" i="30" s="1"/>
  <c r="F122" i="30"/>
  <c r="F143" i="30" s="1"/>
  <c r="I124" i="29"/>
  <c r="I145" i="29" s="1"/>
  <c r="I123" i="40"/>
  <c r="I144" i="40" s="1"/>
  <c r="G118" i="40"/>
  <c r="G139" i="40" s="1"/>
  <c r="E127" i="40"/>
  <c r="E148" i="40" s="1"/>
  <c r="H120" i="40"/>
  <c r="H141" i="40" s="1"/>
  <c r="E125" i="40"/>
  <c r="E146" i="40" s="1"/>
  <c r="G112" i="40"/>
  <c r="G133" i="40" s="1"/>
  <c r="C116" i="40"/>
  <c r="C137" i="40" s="1"/>
  <c r="I118" i="40"/>
  <c r="I139" i="40" s="1"/>
  <c r="H121" i="40"/>
  <c r="H142" i="40" s="1"/>
  <c r="D125" i="40"/>
  <c r="D146" i="40" s="1"/>
  <c r="F127" i="40"/>
  <c r="F148" i="40" s="1"/>
  <c r="G112" i="35"/>
  <c r="G133" i="35" s="1"/>
  <c r="D117" i="35"/>
  <c r="D138" i="35" s="1"/>
  <c r="H121" i="35"/>
  <c r="H142" i="35" s="1"/>
  <c r="E126" i="35"/>
  <c r="E147" i="35" s="1"/>
  <c r="D124" i="35"/>
  <c r="D145" i="35" s="1"/>
  <c r="F114" i="35"/>
  <c r="F135" i="35" s="1"/>
  <c r="C119" i="35"/>
  <c r="C140" i="35" s="1"/>
  <c r="H120" i="35"/>
  <c r="H141" i="35" s="1"/>
  <c r="D115" i="35"/>
  <c r="D136" i="35" s="1"/>
  <c r="I116" i="35"/>
  <c r="I137" i="35" s="1"/>
  <c r="I120" i="35"/>
  <c r="I141" i="35" s="1"/>
  <c r="I113" i="37"/>
  <c r="I134" i="37" s="1"/>
  <c r="F118" i="37"/>
  <c r="F139" i="37" s="1"/>
  <c r="C123" i="37"/>
  <c r="C144" i="37" s="1"/>
  <c r="C126" i="37"/>
  <c r="C147" i="37" s="1"/>
  <c r="C113" i="37"/>
  <c r="C134" i="37" s="1"/>
  <c r="G117" i="37"/>
  <c r="G138" i="37" s="1"/>
  <c r="D122" i="37"/>
  <c r="D143" i="37" s="1"/>
  <c r="H126" i="37"/>
  <c r="H147" i="37" s="1"/>
  <c r="I118" i="41"/>
  <c r="I139" i="41" s="1"/>
  <c r="E122" i="37"/>
  <c r="E143" i="37" s="1"/>
  <c r="H125" i="37"/>
  <c r="H146" i="37" s="1"/>
  <c r="I119" i="41"/>
  <c r="I140" i="41" s="1"/>
  <c r="G111" i="38"/>
  <c r="G132" i="38" s="1"/>
  <c r="I113" i="38"/>
  <c r="I134" i="38" s="1"/>
  <c r="D116" i="38"/>
  <c r="D137" i="38" s="1"/>
  <c r="F118" i="38"/>
  <c r="F139" i="38" s="1"/>
  <c r="H120" i="38"/>
  <c r="H141" i="38" s="1"/>
  <c r="C123" i="38"/>
  <c r="C144" i="38" s="1"/>
  <c r="E125" i="38"/>
  <c r="E146" i="38" s="1"/>
  <c r="G127" i="38"/>
  <c r="G148" i="38" s="1"/>
  <c r="I122" i="39"/>
  <c r="I143" i="39" s="1"/>
  <c r="H111" i="38"/>
  <c r="H132" i="38" s="1"/>
  <c r="C114" i="38"/>
  <c r="C135" i="38" s="1"/>
  <c r="E116" i="38"/>
  <c r="E137" i="38" s="1"/>
  <c r="G118" i="38"/>
  <c r="G139" i="38" s="1"/>
  <c r="I120" i="38"/>
  <c r="I141" i="38" s="1"/>
  <c r="D123" i="38"/>
  <c r="D144" i="38" s="1"/>
  <c r="F125" i="38"/>
  <c r="F146" i="38" s="1"/>
  <c r="H127" i="38"/>
  <c r="H148" i="38" s="1"/>
  <c r="G112" i="38"/>
  <c r="G133" i="38" s="1"/>
  <c r="I114" i="38"/>
  <c r="I135" i="38" s="1"/>
  <c r="D117" i="38"/>
  <c r="D138" i="38" s="1"/>
  <c r="F119" i="38"/>
  <c r="F140" i="38" s="1"/>
  <c r="H121" i="38"/>
  <c r="H142" i="38" s="1"/>
  <c r="C124" i="38"/>
  <c r="C145" i="38" s="1"/>
  <c r="E126" i="38"/>
  <c r="E147" i="38" s="1"/>
  <c r="I87" i="36"/>
  <c r="I111" i="36"/>
  <c r="I132" i="36" s="1"/>
  <c r="D114" i="36"/>
  <c r="D135" i="36" s="1"/>
  <c r="F116" i="36"/>
  <c r="F137" i="36" s="1"/>
  <c r="H118" i="36"/>
  <c r="H139" i="36" s="1"/>
  <c r="C121" i="36"/>
  <c r="C142" i="36" s="1"/>
  <c r="E123" i="36"/>
  <c r="E144" i="36" s="1"/>
  <c r="G125" i="36"/>
  <c r="G146" i="36" s="1"/>
  <c r="I127" i="36"/>
  <c r="I148" i="36" s="1"/>
  <c r="C111" i="36"/>
  <c r="C132" i="36" s="1"/>
  <c r="E113" i="36"/>
  <c r="E134" i="36" s="1"/>
  <c r="D116" i="36"/>
  <c r="D137" i="36" s="1"/>
  <c r="H120" i="36"/>
  <c r="H141" i="36" s="1"/>
  <c r="E125" i="36"/>
  <c r="E146" i="36" s="1"/>
  <c r="H111" i="34"/>
  <c r="H132" i="34" s="1"/>
  <c r="C114" i="34"/>
  <c r="C135" i="34" s="1"/>
  <c r="E116" i="34"/>
  <c r="E137" i="34" s="1"/>
  <c r="G118" i="34"/>
  <c r="G139" i="34" s="1"/>
  <c r="I120" i="34"/>
  <c r="I141" i="34" s="1"/>
  <c r="D123" i="34"/>
  <c r="D144" i="34" s="1"/>
  <c r="F125" i="34"/>
  <c r="F146" i="34" s="1"/>
  <c r="H127" i="34"/>
  <c r="H148" i="34" s="1"/>
  <c r="H112" i="33"/>
  <c r="H133" i="33" s="1"/>
  <c r="C115" i="33"/>
  <c r="C136" i="33" s="1"/>
  <c r="E117" i="33"/>
  <c r="E138" i="33" s="1"/>
  <c r="G119" i="33"/>
  <c r="G140" i="33" s="1"/>
  <c r="I121" i="33"/>
  <c r="I142" i="33" s="1"/>
  <c r="D124" i="33"/>
  <c r="D145" i="33" s="1"/>
  <c r="F126" i="33"/>
  <c r="F147" i="33" s="1"/>
  <c r="F112" i="34"/>
  <c r="F133" i="34" s="1"/>
  <c r="H114" i="34"/>
  <c r="H135" i="34" s="1"/>
  <c r="C117" i="34"/>
  <c r="C138" i="34" s="1"/>
  <c r="E119" i="34"/>
  <c r="E140" i="34" s="1"/>
  <c r="G121" i="34"/>
  <c r="G142" i="34" s="1"/>
  <c r="I123" i="34"/>
  <c r="I144" i="34" s="1"/>
  <c r="D126" i="34"/>
  <c r="D147" i="34" s="1"/>
  <c r="C112" i="36"/>
  <c r="C133" i="36" s="1"/>
  <c r="G116" i="36"/>
  <c r="G137" i="36" s="1"/>
  <c r="D121" i="36"/>
  <c r="D142" i="36" s="1"/>
  <c r="H125" i="36"/>
  <c r="H146" i="36" s="1"/>
  <c r="D112" i="34"/>
  <c r="D133" i="34" s="1"/>
  <c r="F114" i="34"/>
  <c r="F135" i="34" s="1"/>
  <c r="H116" i="34"/>
  <c r="H137" i="34" s="1"/>
  <c r="C119" i="34"/>
  <c r="C140" i="34" s="1"/>
  <c r="E121" i="34"/>
  <c r="E142" i="34" s="1"/>
  <c r="G123" i="34"/>
  <c r="G144" i="34" s="1"/>
  <c r="I125" i="34"/>
  <c r="I146" i="34" s="1"/>
  <c r="I119" i="32"/>
  <c r="I140" i="32" s="1"/>
  <c r="D122" i="32"/>
  <c r="D143" i="32" s="1"/>
  <c r="F124" i="32"/>
  <c r="F145" i="32" s="1"/>
  <c r="H126" i="32"/>
  <c r="H147" i="32" s="1"/>
  <c r="H111" i="31"/>
  <c r="H132" i="31" s="1"/>
  <c r="C114" i="31"/>
  <c r="C135" i="31" s="1"/>
  <c r="E116" i="31"/>
  <c r="E137" i="31" s="1"/>
  <c r="G118" i="31"/>
  <c r="G139" i="31" s="1"/>
  <c r="I120" i="31"/>
  <c r="I141" i="31" s="1"/>
  <c r="D123" i="31"/>
  <c r="D144" i="31" s="1"/>
  <c r="F125" i="31"/>
  <c r="F146" i="31" s="1"/>
  <c r="H127" i="31"/>
  <c r="H148" i="31" s="1"/>
  <c r="F111" i="32"/>
  <c r="F132" i="32" s="1"/>
  <c r="H113" i="32"/>
  <c r="H134" i="32" s="1"/>
  <c r="C116" i="32"/>
  <c r="C137" i="32" s="1"/>
  <c r="E118" i="32"/>
  <c r="E139" i="32" s="1"/>
  <c r="G120" i="32"/>
  <c r="G141" i="32" s="1"/>
  <c r="I122" i="32"/>
  <c r="I143" i="32" s="1"/>
  <c r="D125" i="32"/>
  <c r="D146" i="32" s="1"/>
  <c r="F127" i="32"/>
  <c r="F148" i="32" s="1"/>
  <c r="E112" i="33"/>
  <c r="E133" i="33" s="1"/>
  <c r="I116" i="33"/>
  <c r="I137" i="33" s="1"/>
  <c r="F121" i="33"/>
  <c r="F142" i="33" s="1"/>
  <c r="C126" i="33"/>
  <c r="C147" i="33" s="1"/>
  <c r="G111" i="31"/>
  <c r="G132" i="31" s="1"/>
  <c r="I113" i="31"/>
  <c r="I134" i="31" s="1"/>
  <c r="D116" i="31"/>
  <c r="D137" i="31" s="1"/>
  <c r="F118" i="31"/>
  <c r="F139" i="31" s="1"/>
  <c r="H120" i="31"/>
  <c r="H141" i="31" s="1"/>
  <c r="C123" i="31"/>
  <c r="C144" i="31" s="1"/>
  <c r="E125" i="31"/>
  <c r="E146" i="31" s="1"/>
  <c r="G127" i="31"/>
  <c r="G148" i="31" s="1"/>
  <c r="E111" i="31"/>
  <c r="E132" i="31" s="1"/>
  <c r="D114" i="31"/>
  <c r="D135" i="31" s="1"/>
  <c r="H118" i="31"/>
  <c r="H139" i="31" s="1"/>
  <c r="E123" i="31"/>
  <c r="E144" i="31" s="1"/>
  <c r="I127" i="31"/>
  <c r="I148" i="31" s="1"/>
  <c r="H114" i="30"/>
  <c r="H135" i="30" s="1"/>
  <c r="E119" i="30"/>
  <c r="E140" i="30" s="1"/>
  <c r="D115" i="30"/>
  <c r="D136" i="30" s="1"/>
  <c r="H119" i="30"/>
  <c r="H140" i="30" s="1"/>
  <c r="F123" i="30"/>
  <c r="F144" i="30" s="1"/>
  <c r="H127" i="30"/>
  <c r="H148" i="30" s="1"/>
  <c r="F116" i="30"/>
  <c r="F137" i="30" s="1"/>
  <c r="C121" i="30"/>
  <c r="C142" i="30" s="1"/>
  <c r="C125" i="30"/>
  <c r="C146" i="30" s="1"/>
  <c r="E127" i="30"/>
  <c r="E148" i="30" s="1"/>
  <c r="F111" i="30"/>
  <c r="F132" i="30" s="1"/>
  <c r="C116" i="30"/>
  <c r="C137" i="30" s="1"/>
  <c r="G120" i="30"/>
  <c r="G141" i="30" s="1"/>
  <c r="G111" i="30"/>
  <c r="G132" i="30" s="1"/>
  <c r="I113" i="30"/>
  <c r="I134" i="30" s="1"/>
  <c r="D116" i="30"/>
  <c r="D137" i="30" s="1"/>
  <c r="F118" i="30"/>
  <c r="F139" i="30" s="1"/>
  <c r="H120" i="30"/>
  <c r="H141" i="30" s="1"/>
  <c r="C123" i="30"/>
  <c r="C144" i="30" s="1"/>
  <c r="H116" i="40"/>
  <c r="H137" i="40" s="1"/>
  <c r="H124" i="40"/>
  <c r="H145" i="40" s="1"/>
  <c r="D127" i="40"/>
  <c r="D148" i="40" s="1"/>
  <c r="G116" i="40"/>
  <c r="G137" i="40" s="1"/>
  <c r="H125" i="40"/>
  <c r="H146" i="40" s="1"/>
  <c r="H112" i="35"/>
  <c r="H133" i="35" s="1"/>
  <c r="F111" i="35"/>
  <c r="F132" i="35" s="1"/>
  <c r="C116" i="35"/>
  <c r="C137" i="35" s="1"/>
  <c r="G120" i="35"/>
  <c r="G141" i="35" s="1"/>
  <c r="D125" i="35"/>
  <c r="D146" i="35" s="1"/>
  <c r="E121" i="35"/>
  <c r="E142" i="35" s="1"/>
  <c r="G122" i="35"/>
  <c r="G143" i="35" s="1"/>
  <c r="D111" i="35"/>
  <c r="D132" i="35" s="1"/>
  <c r="F117" i="35"/>
  <c r="F138" i="35" s="1"/>
  <c r="E124" i="35"/>
  <c r="E145" i="35" s="1"/>
  <c r="C126" i="35"/>
  <c r="C147" i="35" s="1"/>
  <c r="G114" i="37"/>
  <c r="G135" i="37" s="1"/>
  <c r="H123" i="37"/>
  <c r="H144" i="37" s="1"/>
  <c r="F116" i="37"/>
  <c r="F137" i="37" s="1"/>
  <c r="C121" i="37"/>
  <c r="C142" i="37" s="1"/>
  <c r="G125" i="37"/>
  <c r="G146" i="37" s="1"/>
  <c r="I122" i="41"/>
  <c r="I143" i="41" s="1"/>
  <c r="D113" i="37"/>
  <c r="D134" i="37" s="1"/>
  <c r="H117" i="37"/>
  <c r="H138" i="37" s="1"/>
  <c r="F119" i="37"/>
  <c r="F140" i="37" s="1"/>
  <c r="F127" i="37"/>
  <c r="F148" i="37" s="1"/>
  <c r="I123" i="41"/>
  <c r="I144" i="41" s="1"/>
  <c r="D112" i="38"/>
  <c r="D133" i="38" s="1"/>
  <c r="F114" i="38"/>
  <c r="F135" i="38" s="1"/>
  <c r="H116" i="38"/>
  <c r="H137" i="38" s="1"/>
  <c r="C119" i="38"/>
  <c r="C140" i="38" s="1"/>
  <c r="E121" i="38"/>
  <c r="E142" i="38" s="1"/>
  <c r="G123" i="38"/>
  <c r="G144" i="38" s="1"/>
  <c r="I125" i="38"/>
  <c r="I146" i="38" s="1"/>
  <c r="F111" i="36"/>
  <c r="F132" i="36" s="1"/>
  <c r="E112" i="38"/>
  <c r="E133" i="38" s="1"/>
  <c r="G114" i="38"/>
  <c r="G135" i="38" s="1"/>
  <c r="I116" i="38"/>
  <c r="I137" i="38" s="1"/>
  <c r="D119" i="38"/>
  <c r="D140" i="38" s="1"/>
  <c r="F121" i="38"/>
  <c r="F142" i="38" s="1"/>
  <c r="H123" i="38"/>
  <c r="H144" i="38" s="1"/>
  <c r="C126" i="38"/>
  <c r="C147" i="38" s="1"/>
  <c r="I126" i="39"/>
  <c r="I147" i="39" s="1"/>
  <c r="D113" i="38"/>
  <c r="D134" i="38" s="1"/>
  <c r="F115" i="38"/>
  <c r="F136" i="38" s="1"/>
  <c r="H117" i="38"/>
  <c r="H138" i="38" s="1"/>
  <c r="C120" i="38"/>
  <c r="C141" i="38" s="1"/>
  <c r="E122" i="38"/>
  <c r="E143" i="38" s="1"/>
  <c r="G124" i="38"/>
  <c r="G145" i="38" s="1"/>
  <c r="I126" i="38"/>
  <c r="I147" i="38" s="1"/>
  <c r="F112" i="36"/>
  <c r="F133" i="36" s="1"/>
  <c r="H114" i="36"/>
  <c r="H135" i="36" s="1"/>
  <c r="C117" i="36"/>
  <c r="C138" i="36" s="1"/>
  <c r="E119" i="36"/>
  <c r="E140" i="36" s="1"/>
  <c r="G121" i="36"/>
  <c r="G142" i="36" s="1"/>
  <c r="I123" i="36"/>
  <c r="I144" i="36" s="1"/>
  <c r="D126" i="36"/>
  <c r="D147" i="36" s="1"/>
  <c r="G111" i="36"/>
  <c r="G132" i="36" s="1"/>
  <c r="C115" i="36"/>
  <c r="C136" i="36" s="1"/>
  <c r="G119" i="36"/>
  <c r="G140" i="36" s="1"/>
  <c r="D124" i="36"/>
  <c r="D145" i="36" s="1"/>
  <c r="E112" i="34"/>
  <c r="E133" i="34" s="1"/>
  <c r="G114" i="34"/>
  <c r="G135" i="34" s="1"/>
  <c r="I116" i="34"/>
  <c r="I137" i="34" s="1"/>
  <c r="D119" i="34"/>
  <c r="D140" i="34" s="1"/>
  <c r="F121" i="34"/>
  <c r="F142" i="34" s="1"/>
  <c r="H123" i="34"/>
  <c r="H144" i="34" s="1"/>
  <c r="C126" i="34"/>
  <c r="C147" i="34" s="1"/>
  <c r="C111" i="33"/>
  <c r="C132" i="33" s="1"/>
  <c r="E113" i="33"/>
  <c r="E134" i="33" s="1"/>
  <c r="G115" i="33"/>
  <c r="G136" i="33" s="1"/>
  <c r="I117" i="33"/>
  <c r="I138" i="33" s="1"/>
  <c r="D120" i="33"/>
  <c r="D141" i="33" s="1"/>
  <c r="F122" i="33"/>
  <c r="F143" i="33" s="1"/>
  <c r="H124" i="33"/>
  <c r="H145" i="33" s="1"/>
  <c r="C127" i="33"/>
  <c r="C148" i="33" s="1"/>
  <c r="C113" i="34"/>
  <c r="C134" i="34" s="1"/>
  <c r="E115" i="34"/>
  <c r="E136" i="34" s="1"/>
  <c r="G117" i="34"/>
  <c r="G138" i="34" s="1"/>
  <c r="I119" i="34"/>
  <c r="I140" i="34" s="1"/>
  <c r="D122" i="34"/>
  <c r="D143" i="34" s="1"/>
  <c r="F124" i="34"/>
  <c r="F145" i="34" s="1"/>
  <c r="H126" i="34"/>
  <c r="H147" i="34" s="1"/>
  <c r="F115" i="36"/>
  <c r="F136" i="36" s="1"/>
  <c r="C120" i="36"/>
  <c r="C141" i="36" s="1"/>
  <c r="G124" i="36"/>
  <c r="G145" i="36" s="1"/>
  <c r="H112" i="34"/>
  <c r="H133" i="34" s="1"/>
  <c r="C115" i="34"/>
  <c r="C136" i="34" s="1"/>
  <c r="E117" i="34"/>
  <c r="E138" i="34" s="1"/>
  <c r="G119" i="34"/>
  <c r="G140" i="34" s="1"/>
  <c r="I121" i="34"/>
  <c r="I142" i="34" s="1"/>
  <c r="D124" i="34"/>
  <c r="D145" i="34" s="1"/>
  <c r="F126" i="34"/>
  <c r="F147" i="34" s="1"/>
  <c r="F111" i="33"/>
  <c r="F132" i="33" s="1"/>
  <c r="H113" i="33"/>
  <c r="H134" i="33" s="1"/>
  <c r="C116" i="33"/>
  <c r="C137" i="33" s="1"/>
  <c r="E118" i="33"/>
  <c r="E139" i="33" s="1"/>
  <c r="G120" i="33"/>
  <c r="G141" i="33" s="1"/>
  <c r="I122" i="33"/>
  <c r="I143" i="33" s="1"/>
  <c r="D125" i="33"/>
  <c r="D146" i="33" s="1"/>
  <c r="F127" i="33"/>
  <c r="F148" i="33" s="1"/>
  <c r="E111" i="32"/>
  <c r="E132" i="32" s="1"/>
  <c r="G113" i="32"/>
  <c r="G134" i="32" s="1"/>
  <c r="I115" i="32"/>
  <c r="I136" i="32" s="1"/>
  <c r="D118" i="32"/>
  <c r="D139" i="32" s="1"/>
  <c r="F120" i="32"/>
  <c r="F141" i="32" s="1"/>
  <c r="H122" i="32"/>
  <c r="H143" i="32" s="1"/>
  <c r="C125" i="32"/>
  <c r="C146" i="32" s="1"/>
  <c r="E127" i="32"/>
  <c r="E148" i="32" s="1"/>
  <c r="E112" i="31"/>
  <c r="E133" i="31" s="1"/>
  <c r="G114" i="31"/>
  <c r="G135" i="31" s="1"/>
  <c r="I116" i="31"/>
  <c r="I137" i="31" s="1"/>
  <c r="D119" i="31"/>
  <c r="D140" i="31" s="1"/>
  <c r="F121" i="31"/>
  <c r="F142" i="31" s="1"/>
  <c r="H123" i="31"/>
  <c r="H144" i="31" s="1"/>
  <c r="C126" i="31"/>
  <c r="C147" i="31" s="1"/>
  <c r="C112" i="32"/>
  <c r="C133" i="32" s="1"/>
  <c r="E114" i="32"/>
  <c r="E135" i="32" s="1"/>
  <c r="G116" i="32"/>
  <c r="G137" i="32" s="1"/>
  <c r="I118" i="32"/>
  <c r="I139" i="32" s="1"/>
  <c r="D121" i="32"/>
  <c r="D142" i="32" s="1"/>
  <c r="F123" i="32"/>
  <c r="F144" i="32" s="1"/>
  <c r="H125" i="32"/>
  <c r="H146" i="32" s="1"/>
  <c r="H115" i="33"/>
  <c r="H136" i="33" s="1"/>
  <c r="E120" i="33"/>
  <c r="E141" i="33" s="1"/>
  <c r="I124" i="33"/>
  <c r="I145" i="33" s="1"/>
  <c r="D111" i="32"/>
  <c r="D132" i="32" s="1"/>
  <c r="F113" i="32"/>
  <c r="F134" i="32" s="1"/>
  <c r="H115" i="32"/>
  <c r="H136" i="32" s="1"/>
  <c r="C118" i="32"/>
  <c r="C139" i="32" s="1"/>
  <c r="E120" i="32"/>
  <c r="E141" i="32" s="1"/>
  <c r="G122" i="32"/>
  <c r="G143" i="32" s="1"/>
  <c r="I124" i="32"/>
  <c r="I145" i="32" s="1"/>
  <c r="D127" i="32"/>
  <c r="D148" i="32" s="1"/>
  <c r="D112" i="31"/>
  <c r="D133" i="31" s="1"/>
  <c r="F114" i="31"/>
  <c r="F135" i="31" s="1"/>
  <c r="H116" i="31"/>
  <c r="H137" i="31" s="1"/>
  <c r="C119" i="31"/>
  <c r="C140" i="31" s="1"/>
  <c r="E121" i="31"/>
  <c r="E142" i="31" s="1"/>
  <c r="G123" i="31"/>
  <c r="G144" i="31" s="1"/>
  <c r="I125" i="31"/>
  <c r="I146" i="31" s="1"/>
  <c r="C113" i="31"/>
  <c r="C134" i="31" s="1"/>
  <c r="G117" i="31"/>
  <c r="G138" i="31" s="1"/>
  <c r="D122" i="31"/>
  <c r="D143" i="31" s="1"/>
  <c r="H126" i="31"/>
  <c r="H147" i="31" s="1"/>
  <c r="E111" i="30"/>
  <c r="E132" i="30" s="1"/>
  <c r="I115" i="30"/>
  <c r="I136" i="30" s="1"/>
  <c r="F120" i="30"/>
  <c r="F141" i="30" s="1"/>
  <c r="H111" i="30"/>
  <c r="H132" i="30" s="1"/>
  <c r="E116" i="30"/>
  <c r="E137" i="30" s="1"/>
  <c r="I120" i="30"/>
  <c r="I141" i="30" s="1"/>
  <c r="E124" i="30"/>
  <c r="E145" i="30" s="1"/>
  <c r="C113" i="30"/>
  <c r="C134" i="30" s="1"/>
  <c r="G117" i="30"/>
  <c r="G138" i="30" s="1"/>
  <c r="D122" i="30"/>
  <c r="D143" i="30" s="1"/>
  <c r="G125" i="30"/>
  <c r="G146" i="30" s="1"/>
  <c r="I127" i="30"/>
  <c r="I148" i="30" s="1"/>
  <c r="I114" i="30"/>
  <c r="I135" i="30" s="1"/>
  <c r="F119" i="30"/>
  <c r="F140" i="30" s="1"/>
  <c r="F113" i="30"/>
  <c r="F134" i="30" s="1"/>
  <c r="C118" i="30"/>
  <c r="C139" i="30" s="1"/>
  <c r="D123" i="30"/>
  <c r="D144" i="30" s="1"/>
  <c r="D112" i="30"/>
  <c r="D133" i="30" s="1"/>
  <c r="F114" i="30"/>
  <c r="F135" i="30" s="1"/>
  <c r="H116" i="30"/>
  <c r="H137" i="30" s="1"/>
  <c r="C119" i="30"/>
  <c r="C140" i="30" s="1"/>
  <c r="E121" i="30"/>
  <c r="E142" i="30" s="1"/>
  <c r="G123" i="30"/>
  <c r="G144" i="30" s="1"/>
  <c r="I116" i="29"/>
  <c r="I137" i="29" s="1"/>
  <c r="I127" i="29"/>
  <c r="I148" i="29" s="1"/>
  <c r="I111" i="40"/>
  <c r="I132" i="40" s="1"/>
  <c r="I87" i="40"/>
  <c r="C121" i="40"/>
  <c r="C142" i="40" s="1"/>
  <c r="F114" i="40"/>
  <c r="F135" i="40" s="1"/>
  <c r="F113" i="40"/>
  <c r="F134" i="40" s="1"/>
  <c r="H119" i="40"/>
  <c r="H140" i="40" s="1"/>
  <c r="H114" i="40"/>
  <c r="H135" i="40" s="1"/>
  <c r="E111" i="40"/>
  <c r="E132" i="40" s="1"/>
  <c r="G113" i="40"/>
  <c r="G134" i="40" s="1"/>
  <c r="I115" i="40"/>
  <c r="I136" i="40" s="1"/>
  <c r="D118" i="40"/>
  <c r="D139" i="40" s="1"/>
  <c r="F120" i="40"/>
  <c r="F141" i="40" s="1"/>
  <c r="H122" i="40"/>
  <c r="H143" i="40" s="1"/>
  <c r="G119" i="40"/>
  <c r="G140" i="40" s="1"/>
  <c r="G114" i="40"/>
  <c r="G135" i="40" s="1"/>
  <c r="E124" i="40"/>
  <c r="E145" i="40" s="1"/>
  <c r="G126" i="40"/>
  <c r="G147" i="40" s="1"/>
  <c r="C127" i="40"/>
  <c r="C148" i="40" s="1"/>
  <c r="D113" i="40"/>
  <c r="D134" i="40" s="1"/>
  <c r="D127" i="35"/>
  <c r="D148" i="35" s="1"/>
  <c r="F111" i="37"/>
  <c r="F132" i="37" s="1"/>
  <c r="G120" i="37"/>
  <c r="G141" i="37" s="1"/>
  <c r="I113" i="41"/>
  <c r="I134" i="41" s="1"/>
  <c r="I66" i="41"/>
  <c r="I125" i="39"/>
  <c r="I146" i="39" s="1"/>
  <c r="I113" i="39"/>
  <c r="I134" i="39" s="1"/>
  <c r="I118" i="39"/>
  <c r="I139" i="39" s="1"/>
  <c r="I70" i="41"/>
  <c r="I71" i="33"/>
  <c r="I87" i="33" s="1"/>
  <c r="E122" i="30"/>
  <c r="E143" i="30" s="1"/>
  <c r="G124" i="30"/>
  <c r="G145" i="30" s="1"/>
  <c r="I126" i="30"/>
  <c r="I147" i="30" s="1"/>
  <c r="I122" i="29"/>
  <c r="I143" i="29" s="1"/>
  <c r="I124" i="30"/>
  <c r="I145" i="30" s="1"/>
  <c r="E125" i="30"/>
  <c r="E146" i="30" s="1"/>
  <c r="G127" i="30"/>
  <c r="G148" i="30" s="1"/>
  <c r="F116" i="40"/>
  <c r="F137" i="40" s="1"/>
  <c r="E117" i="40"/>
  <c r="E138" i="40" s="1"/>
  <c r="C118" i="40"/>
  <c r="C139" i="40" s="1"/>
  <c r="H126" i="40"/>
  <c r="H147" i="40" s="1"/>
  <c r="I111" i="35"/>
  <c r="I87" i="35"/>
  <c r="I113" i="40"/>
  <c r="I134" i="40" s="1"/>
  <c r="F121" i="40"/>
  <c r="F142" i="40" s="1"/>
  <c r="C112" i="35"/>
  <c r="C133" i="35" s="1"/>
  <c r="D113" i="35"/>
  <c r="D134" i="35" s="1"/>
  <c r="E114" i="35"/>
  <c r="E135" i="35" s="1"/>
  <c r="F115" i="35"/>
  <c r="F136" i="35" s="1"/>
  <c r="G116" i="35"/>
  <c r="G137" i="35" s="1"/>
  <c r="H117" i="35"/>
  <c r="H138" i="35" s="1"/>
  <c r="I118" i="35"/>
  <c r="I139" i="35" s="1"/>
  <c r="C120" i="35"/>
  <c r="C141" i="35" s="1"/>
  <c r="D121" i="35"/>
  <c r="D142" i="35" s="1"/>
  <c r="E122" i="35"/>
  <c r="E143" i="35" s="1"/>
  <c r="F123" i="35"/>
  <c r="F144" i="35" s="1"/>
  <c r="G124" i="35"/>
  <c r="G145" i="35" s="1"/>
  <c r="H125" i="35"/>
  <c r="H146" i="35" s="1"/>
  <c r="I126" i="35"/>
  <c r="I147" i="35" s="1"/>
  <c r="E113" i="35"/>
  <c r="E134" i="35" s="1"/>
  <c r="H116" i="35"/>
  <c r="H137" i="35" s="1"/>
  <c r="F118" i="35"/>
  <c r="F139" i="35" s="1"/>
  <c r="G119" i="35"/>
  <c r="G140" i="35" s="1"/>
  <c r="F122" i="35"/>
  <c r="F143" i="35" s="1"/>
  <c r="I125" i="35"/>
  <c r="I146" i="35" s="1"/>
  <c r="G127" i="35"/>
  <c r="G148" i="35" s="1"/>
  <c r="I112" i="35"/>
  <c r="I133" i="35" s="1"/>
  <c r="G114" i="35"/>
  <c r="G135" i="35" s="1"/>
  <c r="H115" i="35"/>
  <c r="H136" i="35" s="1"/>
  <c r="G118" i="35"/>
  <c r="G139" i="35" s="1"/>
  <c r="C122" i="35"/>
  <c r="C143" i="35" s="1"/>
  <c r="H123" i="35"/>
  <c r="H144" i="35" s="1"/>
  <c r="I124" i="35"/>
  <c r="I145" i="35" s="1"/>
  <c r="H127" i="35"/>
  <c r="H148" i="35" s="1"/>
  <c r="D119" i="37"/>
  <c r="D140" i="37" s="1"/>
  <c r="I124" i="37"/>
  <c r="I145" i="37" s="1"/>
  <c r="G126" i="37"/>
  <c r="G147" i="37" s="1"/>
  <c r="E111" i="37"/>
  <c r="E132" i="37" s="1"/>
  <c r="F112" i="37"/>
  <c r="F133" i="37" s="1"/>
  <c r="G113" i="37"/>
  <c r="G134" i="37" s="1"/>
  <c r="H114" i="37"/>
  <c r="H135" i="37" s="1"/>
  <c r="I115" i="37"/>
  <c r="I136" i="37" s="1"/>
  <c r="C117" i="37"/>
  <c r="C138" i="37" s="1"/>
  <c r="D118" i="37"/>
  <c r="D139" i="37" s="1"/>
  <c r="E119" i="37"/>
  <c r="E140" i="37" s="1"/>
  <c r="F120" i="37"/>
  <c r="F141" i="37" s="1"/>
  <c r="G121" i="37"/>
  <c r="G142" i="37" s="1"/>
  <c r="H122" i="37"/>
  <c r="H143" i="37" s="1"/>
  <c r="I123" i="37"/>
  <c r="I144" i="37" s="1"/>
  <c r="C125" i="37"/>
  <c r="C146" i="37" s="1"/>
  <c r="D126" i="37"/>
  <c r="D147" i="37" s="1"/>
  <c r="E127" i="37"/>
  <c r="E148" i="37" s="1"/>
  <c r="C112" i="37"/>
  <c r="C133" i="37" s="1"/>
  <c r="F115" i="37"/>
  <c r="F136" i="37" s="1"/>
  <c r="D117" i="37"/>
  <c r="D138" i="37" s="1"/>
  <c r="E118" i="37"/>
  <c r="E139" i="37" s="1"/>
  <c r="D121" i="37"/>
  <c r="D142" i="37" s="1"/>
  <c r="G124" i="37"/>
  <c r="G145" i="37" s="1"/>
  <c r="I126" i="37"/>
  <c r="I147" i="37" s="1"/>
  <c r="I117" i="41"/>
  <c r="I138" i="41" s="1"/>
  <c r="I73" i="39"/>
  <c r="I87" i="39" s="1"/>
  <c r="I121" i="39"/>
  <c r="I142" i="39" s="1"/>
  <c r="I116" i="39"/>
  <c r="I137" i="39" s="1"/>
  <c r="I120" i="39"/>
  <c r="I141" i="39" s="1"/>
  <c r="I124" i="39"/>
  <c r="I145" i="39" s="1"/>
  <c r="C111" i="38"/>
  <c r="C132" i="38" s="1"/>
  <c r="E113" i="38"/>
  <c r="E134" i="38" s="1"/>
  <c r="G115" i="38"/>
  <c r="G136" i="38" s="1"/>
  <c r="I117" i="38"/>
  <c r="I138" i="38" s="1"/>
  <c r="D120" i="38"/>
  <c r="D141" i="38" s="1"/>
  <c r="F122" i="38"/>
  <c r="F143" i="38" s="1"/>
  <c r="H124" i="38"/>
  <c r="H145" i="38" s="1"/>
  <c r="C127" i="38"/>
  <c r="C148" i="38" s="1"/>
  <c r="F114" i="36"/>
  <c r="F135" i="36" s="1"/>
  <c r="G115" i="36"/>
  <c r="G136" i="36" s="1"/>
  <c r="H116" i="36"/>
  <c r="H137" i="36" s="1"/>
  <c r="I117" i="36"/>
  <c r="I138" i="36" s="1"/>
  <c r="C119" i="36"/>
  <c r="C140" i="36" s="1"/>
  <c r="D120" i="36"/>
  <c r="D141" i="36" s="1"/>
  <c r="E121" i="36"/>
  <c r="E142" i="36" s="1"/>
  <c r="F122" i="36"/>
  <c r="F143" i="36" s="1"/>
  <c r="G123" i="36"/>
  <c r="G144" i="36" s="1"/>
  <c r="H124" i="36"/>
  <c r="H145" i="36" s="1"/>
  <c r="I125" i="36"/>
  <c r="I146" i="36" s="1"/>
  <c r="C127" i="36"/>
  <c r="C148" i="36" s="1"/>
  <c r="D111" i="38"/>
  <c r="D132" i="38" s="1"/>
  <c r="I66" i="34"/>
  <c r="G112" i="36"/>
  <c r="G133" i="36" s="1"/>
  <c r="H113" i="36"/>
  <c r="H134" i="36" s="1"/>
  <c r="I114" i="36"/>
  <c r="I135" i="36" s="1"/>
  <c r="C116" i="36"/>
  <c r="C137" i="36" s="1"/>
  <c r="D117" i="36"/>
  <c r="D138" i="36" s="1"/>
  <c r="E118" i="36"/>
  <c r="E139" i="36" s="1"/>
  <c r="F119" i="36"/>
  <c r="F140" i="36" s="1"/>
  <c r="G120" i="36"/>
  <c r="G141" i="36" s="1"/>
  <c r="H121" i="36"/>
  <c r="H142" i="36" s="1"/>
  <c r="I122" i="36"/>
  <c r="I143" i="36" s="1"/>
  <c r="C124" i="36"/>
  <c r="C145" i="36" s="1"/>
  <c r="D125" i="36"/>
  <c r="D146" i="36" s="1"/>
  <c r="E126" i="36"/>
  <c r="E147" i="36" s="1"/>
  <c r="F127" i="36"/>
  <c r="F148" i="36" s="1"/>
  <c r="C112" i="33"/>
  <c r="C133" i="33" s="1"/>
  <c r="E114" i="33"/>
  <c r="E135" i="33" s="1"/>
  <c r="G116" i="33"/>
  <c r="G137" i="33" s="1"/>
  <c r="I118" i="33"/>
  <c r="I139" i="33" s="1"/>
  <c r="D121" i="33"/>
  <c r="D142" i="33" s="1"/>
  <c r="F123" i="33"/>
  <c r="F144" i="33" s="1"/>
  <c r="H125" i="33"/>
  <c r="H146" i="33" s="1"/>
  <c r="C114" i="33"/>
  <c r="C135" i="33" s="1"/>
  <c r="D115" i="33"/>
  <c r="D136" i="33" s="1"/>
  <c r="E116" i="33"/>
  <c r="E137" i="33" s="1"/>
  <c r="F117" i="33"/>
  <c r="F138" i="33" s="1"/>
  <c r="G118" i="33"/>
  <c r="G139" i="33" s="1"/>
  <c r="H119" i="33"/>
  <c r="H140" i="33" s="1"/>
  <c r="I120" i="33"/>
  <c r="I141" i="33" s="1"/>
  <c r="C122" i="33"/>
  <c r="C143" i="33" s="1"/>
  <c r="D123" i="33"/>
  <c r="D144" i="33" s="1"/>
  <c r="E124" i="33"/>
  <c r="E145" i="33" s="1"/>
  <c r="F125" i="33"/>
  <c r="F146" i="33" s="1"/>
  <c r="G126" i="33"/>
  <c r="G147" i="33" s="1"/>
  <c r="H127" i="33"/>
  <c r="H148" i="33" s="1"/>
  <c r="F112" i="31"/>
  <c r="F133" i="31" s="1"/>
  <c r="G113" i="31"/>
  <c r="G134" i="31" s="1"/>
  <c r="H114" i="31"/>
  <c r="H135" i="31" s="1"/>
  <c r="I115" i="31"/>
  <c r="I136" i="31" s="1"/>
  <c r="C117" i="31"/>
  <c r="C138" i="31" s="1"/>
  <c r="D118" i="31"/>
  <c r="D139" i="31" s="1"/>
  <c r="E119" i="31"/>
  <c r="E140" i="31" s="1"/>
  <c r="F120" i="31"/>
  <c r="F141" i="31" s="1"/>
  <c r="G121" i="31"/>
  <c r="G142" i="31" s="1"/>
  <c r="H122" i="31"/>
  <c r="H143" i="31" s="1"/>
  <c r="I123" i="31"/>
  <c r="I144" i="31" s="1"/>
  <c r="C125" i="31"/>
  <c r="C146" i="31" s="1"/>
  <c r="D126" i="31"/>
  <c r="D147" i="31" s="1"/>
  <c r="E127" i="31"/>
  <c r="E148" i="31" s="1"/>
  <c r="E123" i="30"/>
  <c r="E144" i="30" s="1"/>
  <c r="C112" i="30"/>
  <c r="C133" i="30" s="1"/>
  <c r="D113" i="30"/>
  <c r="D134" i="30" s="1"/>
  <c r="E114" i="30"/>
  <c r="E135" i="30" s="1"/>
  <c r="F115" i="30"/>
  <c r="F136" i="30" s="1"/>
  <c r="G116" i="30"/>
  <c r="G137" i="30" s="1"/>
  <c r="H117" i="30"/>
  <c r="H138" i="30" s="1"/>
  <c r="I118" i="30"/>
  <c r="I139" i="30" s="1"/>
  <c r="C120" i="30"/>
  <c r="C141" i="30" s="1"/>
  <c r="D121" i="30"/>
  <c r="D142" i="30" s="1"/>
  <c r="I122" i="30"/>
  <c r="I143" i="30" s="1"/>
  <c r="D125" i="30"/>
  <c r="D146" i="30" s="1"/>
  <c r="F127" i="30"/>
  <c r="F148" i="30" s="1"/>
  <c r="I126" i="29"/>
  <c r="I147" i="29" s="1"/>
  <c r="D111" i="30"/>
  <c r="D132" i="30" s="1"/>
  <c r="C126" i="30"/>
  <c r="C147" i="30" s="1"/>
  <c r="I125" i="30"/>
  <c r="I146" i="30" s="1"/>
  <c r="I111" i="29"/>
  <c r="I132" i="29" s="1"/>
  <c r="I87" i="29"/>
  <c r="E112" i="30"/>
  <c r="E133" i="30" s="1"/>
  <c r="H118" i="40"/>
  <c r="H139" i="40" s="1"/>
  <c r="C111" i="40"/>
  <c r="C132" i="40" s="1"/>
  <c r="D120" i="40"/>
  <c r="D141" i="40" s="1"/>
  <c r="D115" i="40"/>
  <c r="D136" i="40" s="1"/>
  <c r="I124" i="40"/>
  <c r="I145" i="40" s="1"/>
  <c r="F112" i="40"/>
  <c r="F133" i="40" s="1"/>
  <c r="C117" i="40"/>
  <c r="C138" i="40" s="1"/>
  <c r="G121" i="40"/>
  <c r="G142" i="40" s="1"/>
  <c r="C115" i="40"/>
  <c r="C136" i="40" s="1"/>
  <c r="E121" i="40"/>
  <c r="E142" i="40" s="1"/>
  <c r="D124" i="40"/>
  <c r="D145" i="40" s="1"/>
  <c r="G122" i="40"/>
  <c r="G143" i="40" s="1"/>
  <c r="H127" i="40"/>
  <c r="H148" i="40" s="1"/>
  <c r="C125" i="40"/>
  <c r="C146" i="40" s="1"/>
  <c r="D119" i="40"/>
  <c r="D140" i="40" s="1"/>
  <c r="F118" i="40"/>
  <c r="F139" i="40" s="1"/>
  <c r="H123" i="40"/>
  <c r="H144" i="40" s="1"/>
  <c r="D116" i="35"/>
  <c r="D137" i="35" s="1"/>
  <c r="E117" i="35"/>
  <c r="E138" i="35" s="1"/>
  <c r="D120" i="35"/>
  <c r="D141" i="35" s="1"/>
  <c r="E125" i="35"/>
  <c r="E146" i="35" s="1"/>
  <c r="F126" i="35"/>
  <c r="F147" i="35" s="1"/>
  <c r="I66" i="35"/>
  <c r="E112" i="35"/>
  <c r="E133" i="35" s="1"/>
  <c r="F113" i="35"/>
  <c r="F134" i="35" s="1"/>
  <c r="E116" i="35"/>
  <c r="E137" i="35" s="1"/>
  <c r="F121" i="35"/>
  <c r="F142" i="35" s="1"/>
  <c r="F125" i="35"/>
  <c r="F146" i="35" s="1"/>
  <c r="D116" i="37"/>
  <c r="D137" i="37" s="1"/>
  <c r="I116" i="37"/>
  <c r="I137" i="37" s="1"/>
  <c r="D127" i="37"/>
  <c r="D148" i="37" s="1"/>
  <c r="I66" i="37"/>
  <c r="I114" i="37"/>
  <c r="I135" i="37" s="1"/>
  <c r="C116" i="37"/>
  <c r="C137" i="37" s="1"/>
  <c r="I118" i="37"/>
  <c r="I139" i="37" s="1"/>
  <c r="C124" i="37"/>
  <c r="C145" i="37" s="1"/>
  <c r="E126" i="37"/>
  <c r="E147" i="37" s="1"/>
  <c r="I121" i="41"/>
  <c r="I142" i="41" s="1"/>
  <c r="I66" i="36"/>
  <c r="E111" i="34"/>
  <c r="E132" i="34" s="1"/>
  <c r="G113" i="34"/>
  <c r="G134" i="34" s="1"/>
  <c r="I115" i="34"/>
  <c r="I136" i="34" s="1"/>
  <c r="D118" i="34"/>
  <c r="D139" i="34" s="1"/>
  <c r="F120" i="34"/>
  <c r="F141" i="34" s="1"/>
  <c r="H122" i="34"/>
  <c r="H143" i="34" s="1"/>
  <c r="C125" i="34"/>
  <c r="C146" i="34" s="1"/>
  <c r="E127" i="34"/>
  <c r="E148" i="34" s="1"/>
  <c r="I66" i="32"/>
  <c r="I111" i="33"/>
  <c r="I66" i="31"/>
  <c r="I112" i="32"/>
  <c r="I133" i="32" s="1"/>
  <c r="D115" i="32"/>
  <c r="D136" i="32" s="1"/>
  <c r="F117" i="32"/>
  <c r="F138" i="32" s="1"/>
  <c r="H119" i="32"/>
  <c r="H140" i="32" s="1"/>
  <c r="C122" i="32"/>
  <c r="C143" i="32" s="1"/>
  <c r="E124" i="32"/>
  <c r="E145" i="32" s="1"/>
  <c r="G126" i="32"/>
  <c r="G147" i="32" s="1"/>
  <c r="I66" i="30"/>
  <c r="H125" i="30"/>
  <c r="H146" i="30" s="1"/>
  <c r="I114" i="29"/>
  <c r="I135" i="29" s="1"/>
  <c r="G122" i="30"/>
  <c r="G143" i="30" s="1"/>
  <c r="D127" i="30"/>
  <c r="D148" i="30" s="1"/>
  <c r="F126" i="30"/>
  <c r="F147" i="30" s="1"/>
  <c r="I115" i="29"/>
  <c r="I136" i="29" s="1"/>
  <c r="I116" i="30"/>
  <c r="I137" i="30" s="1"/>
  <c r="I112" i="29"/>
  <c r="I133" i="29" s="1"/>
  <c r="I66" i="29"/>
  <c r="D114" i="40"/>
  <c r="D135" i="40" s="1"/>
  <c r="I116" i="40"/>
  <c r="I137" i="40" s="1"/>
  <c r="G123" i="40"/>
  <c r="G144" i="40" s="1"/>
  <c r="C122" i="40"/>
  <c r="C143" i="40" s="1"/>
  <c r="F124" i="40"/>
  <c r="F145" i="40" s="1"/>
  <c r="D116" i="40"/>
  <c r="D137" i="40" s="1"/>
  <c r="E119" i="40"/>
  <c r="E140" i="40" s="1"/>
  <c r="C113" i="40"/>
  <c r="C134" i="40" s="1"/>
  <c r="E115" i="40"/>
  <c r="E136" i="40" s="1"/>
  <c r="G117" i="40"/>
  <c r="G138" i="40" s="1"/>
  <c r="I119" i="40"/>
  <c r="I140" i="40" s="1"/>
  <c r="D122" i="40"/>
  <c r="D143" i="40" s="1"/>
  <c r="H112" i="40"/>
  <c r="H133" i="40" s="1"/>
  <c r="G115" i="40"/>
  <c r="G136" i="40" s="1"/>
  <c r="I121" i="40"/>
  <c r="I142" i="40" s="1"/>
  <c r="D111" i="40"/>
  <c r="D132" i="40" s="1"/>
  <c r="I112" i="40"/>
  <c r="I133" i="40" s="1"/>
  <c r="H115" i="40"/>
  <c r="H136" i="40" s="1"/>
  <c r="F117" i="40"/>
  <c r="F138" i="40" s="1"/>
  <c r="C126" i="40"/>
  <c r="C147" i="40" s="1"/>
  <c r="E112" i="40"/>
  <c r="E133" i="40" s="1"/>
  <c r="E122" i="40"/>
  <c r="E143" i="40" s="1"/>
  <c r="F126" i="40"/>
  <c r="F147" i="40" s="1"/>
  <c r="C111" i="35"/>
  <c r="C132" i="35" s="1"/>
  <c r="I113" i="35"/>
  <c r="I134" i="35" s="1"/>
  <c r="C115" i="35"/>
  <c r="C136" i="35" s="1"/>
  <c r="I117" i="35"/>
  <c r="I138" i="35" s="1"/>
  <c r="C123" i="35"/>
  <c r="C144" i="35" s="1"/>
  <c r="C127" i="35"/>
  <c r="C148" i="35" s="1"/>
  <c r="C114" i="35"/>
  <c r="C135" i="35" s="1"/>
  <c r="D119" i="35"/>
  <c r="D140" i="35" s="1"/>
  <c r="E120" i="35"/>
  <c r="E141" i="35" s="1"/>
  <c r="D123" i="35"/>
  <c r="D144" i="35" s="1"/>
  <c r="I70" i="37"/>
  <c r="G112" i="37"/>
  <c r="G133" i="37" s="1"/>
  <c r="H113" i="37"/>
  <c r="H134" i="37" s="1"/>
  <c r="G116" i="37"/>
  <c r="G137" i="37" s="1"/>
  <c r="H121" i="37"/>
  <c r="H142" i="37" s="1"/>
  <c r="I122" i="37"/>
  <c r="I143" i="37" s="1"/>
  <c r="I125" i="41"/>
  <c r="I146" i="41" s="1"/>
  <c r="I117" i="39"/>
  <c r="I138" i="39" s="1"/>
  <c r="I132" i="39"/>
  <c r="I112" i="38"/>
  <c r="I87" i="38"/>
  <c r="I70" i="34"/>
  <c r="D113" i="33"/>
  <c r="D134" i="33" s="1"/>
  <c r="F115" i="33"/>
  <c r="F136" i="33" s="1"/>
  <c r="H117" i="33"/>
  <c r="H138" i="33" s="1"/>
  <c r="C120" i="33"/>
  <c r="C141" i="33" s="1"/>
  <c r="E122" i="33"/>
  <c r="E143" i="33" s="1"/>
  <c r="G124" i="33"/>
  <c r="G145" i="33" s="1"/>
  <c r="I126" i="33"/>
  <c r="I147" i="33" s="1"/>
  <c r="C113" i="32"/>
  <c r="C134" i="32" s="1"/>
  <c r="E115" i="32"/>
  <c r="E136" i="32" s="1"/>
  <c r="G117" i="32"/>
  <c r="G138" i="32" s="1"/>
  <c r="I70" i="31"/>
  <c r="E126" i="30"/>
  <c r="E147" i="30" s="1"/>
  <c r="I118" i="29"/>
  <c r="I139" i="29" s="1"/>
  <c r="H123" i="30"/>
  <c r="H144" i="30" s="1"/>
  <c r="H124" i="30"/>
  <c r="H145" i="30" s="1"/>
  <c r="C127" i="30"/>
  <c r="C148" i="30" s="1"/>
  <c r="I119" i="29"/>
  <c r="I140" i="29" s="1"/>
  <c r="I70" i="30"/>
  <c r="I123" i="29"/>
  <c r="I144" i="29" s="1"/>
  <c r="F121" i="30"/>
  <c r="F142" i="30" s="1"/>
  <c r="I25" i="2"/>
  <c r="I8" i="1"/>
  <c r="E25" i="2"/>
  <c r="E8" i="1"/>
  <c r="H9" i="1"/>
  <c r="D9" i="1"/>
  <c r="G23" i="1"/>
  <c r="F22" i="1"/>
  <c r="I21" i="1"/>
  <c r="E21" i="1"/>
  <c r="D20" i="1"/>
  <c r="C19" i="1"/>
  <c r="E17" i="1"/>
  <c r="H20" i="1"/>
  <c r="H25" i="2"/>
  <c r="H8" i="1"/>
  <c r="D25" i="2"/>
  <c r="D8" i="1"/>
  <c r="G9" i="1"/>
  <c r="C9" i="1"/>
  <c r="I11" i="1"/>
  <c r="E11" i="1"/>
  <c r="H12" i="1"/>
  <c r="D12" i="1"/>
  <c r="F14" i="1"/>
  <c r="I15" i="1"/>
  <c r="E15" i="1"/>
  <c r="H16" i="1"/>
  <c r="D16" i="1"/>
  <c r="F23" i="1"/>
  <c r="I22" i="1"/>
  <c r="E22" i="1"/>
  <c r="H21" i="1"/>
  <c r="D21" i="1"/>
  <c r="C20" i="1"/>
  <c r="F19" i="1"/>
  <c r="H17" i="1"/>
  <c r="D17" i="1"/>
  <c r="I20" i="1"/>
  <c r="F11" i="1"/>
  <c r="I12" i="1"/>
  <c r="E12" i="1"/>
  <c r="C23" i="1"/>
  <c r="G19" i="1"/>
  <c r="I17" i="1"/>
  <c r="G25" i="2"/>
  <c r="G8" i="1"/>
  <c r="C25" i="2"/>
  <c r="C8" i="1"/>
  <c r="F9" i="1"/>
  <c r="H11" i="1"/>
  <c r="D11" i="1"/>
  <c r="G12" i="1"/>
  <c r="C12" i="1"/>
  <c r="I14" i="1"/>
  <c r="E14" i="1"/>
  <c r="H15" i="1"/>
  <c r="D15" i="1"/>
  <c r="G16" i="1"/>
  <c r="C16" i="1"/>
  <c r="I23" i="1"/>
  <c r="E23" i="1"/>
  <c r="H22" i="1"/>
  <c r="D22" i="1"/>
  <c r="G21" i="1"/>
  <c r="C21" i="1"/>
  <c r="I19" i="1"/>
  <c r="E19" i="1"/>
  <c r="G17" i="1"/>
  <c r="C17" i="1"/>
  <c r="F20" i="1"/>
  <c r="G14" i="1"/>
  <c r="C14" i="1"/>
  <c r="F15" i="1"/>
  <c r="I16" i="1"/>
  <c r="E16" i="1"/>
  <c r="J8" i="2"/>
  <c r="F25" i="2"/>
  <c r="F8" i="1"/>
  <c r="I9" i="1"/>
  <c r="E9" i="1"/>
  <c r="G11" i="1"/>
  <c r="C11" i="1"/>
  <c r="F12" i="1"/>
  <c r="H14" i="1"/>
  <c r="D14" i="1"/>
  <c r="G15" i="1"/>
  <c r="C15" i="1"/>
  <c r="F16" i="1"/>
  <c r="H23" i="1"/>
  <c r="D23" i="1"/>
  <c r="G22" i="1"/>
  <c r="C22" i="1"/>
  <c r="F21" i="1"/>
  <c r="E20" i="1"/>
  <c r="H19" i="1"/>
  <c r="D19" i="1"/>
  <c r="F17" i="1"/>
  <c r="G20" i="1"/>
  <c r="A2" i="8"/>
  <c r="F2" i="76" s="1"/>
  <c r="E13" i="70"/>
  <c r="D12" i="70" s="1"/>
  <c r="D13" i="70"/>
  <c r="E12" i="70" s="1"/>
  <c r="F17" i="69"/>
  <c r="E17" i="69"/>
  <c r="F13" i="69"/>
  <c r="E12" i="69" s="1"/>
  <c r="E13" i="69"/>
  <c r="F12" i="69" s="1"/>
  <c r="E13" i="68"/>
  <c r="D12" i="68" s="1"/>
  <c r="D13" i="68"/>
  <c r="E12" i="68" s="1"/>
  <c r="E17" i="67"/>
  <c r="F17" i="67"/>
  <c r="F13" i="67"/>
  <c r="E12" i="67" s="1"/>
  <c r="E13" i="67"/>
  <c r="F12" i="67" s="1"/>
  <c r="E13" i="66"/>
  <c r="D12" i="66" s="1"/>
  <c r="D13" i="66"/>
  <c r="E12" i="66" s="1"/>
  <c r="F17" i="65"/>
  <c r="E17" i="65"/>
  <c r="F13" i="65"/>
  <c r="E12" i="65" s="1"/>
  <c r="E13" i="65"/>
  <c r="F12" i="65" s="1"/>
  <c r="E13" i="64"/>
  <c r="D12" i="64" s="1"/>
  <c r="D13" i="64"/>
  <c r="E12" i="64" s="1"/>
  <c r="F17" i="63"/>
  <c r="E17" i="63"/>
  <c r="F13" i="63"/>
  <c r="E12" i="63" s="1"/>
  <c r="E13" i="63"/>
  <c r="F12" i="63" s="1"/>
  <c r="E17" i="61"/>
  <c r="F17" i="61"/>
  <c r="F13" i="61"/>
  <c r="E12" i="61" s="1"/>
  <c r="E13" i="61"/>
  <c r="F12" i="61" s="1"/>
  <c r="E13" i="62"/>
  <c r="D12" i="62" s="1"/>
  <c r="D13" i="62"/>
  <c r="E12" i="62" s="1"/>
  <c r="E13" i="60"/>
  <c r="D12" i="60" s="1"/>
  <c r="D13" i="60"/>
  <c r="E12" i="60" s="1"/>
  <c r="F17" i="59"/>
  <c r="E17" i="59"/>
  <c r="F13" i="59"/>
  <c r="E12" i="59" s="1"/>
  <c r="E13" i="59"/>
  <c r="F12" i="59" s="1"/>
  <c r="E13" i="58"/>
  <c r="D12" i="58" s="1"/>
  <c r="D13" i="58"/>
  <c r="E12" i="58" s="1"/>
  <c r="F17" i="57"/>
  <c r="E17" i="57"/>
  <c r="F13" i="57"/>
  <c r="E12" i="57" s="1"/>
  <c r="E13" i="57"/>
  <c r="F12" i="57" s="1"/>
  <c r="E13" i="56"/>
  <c r="D12" i="56" s="1"/>
  <c r="D13" i="56"/>
  <c r="E12" i="56" s="1"/>
  <c r="E17" i="55"/>
  <c r="F17" i="55"/>
  <c r="F13" i="55"/>
  <c r="E12" i="55" s="1"/>
  <c r="E13" i="55"/>
  <c r="F12" i="55" s="1"/>
  <c r="F17" i="53"/>
  <c r="E17" i="53"/>
  <c r="F13" i="53"/>
  <c r="E12" i="53" s="1"/>
  <c r="E13" i="53"/>
  <c r="F12" i="53" s="1"/>
  <c r="E13" i="52"/>
  <c r="D12" i="52" s="1"/>
  <c r="D13" i="52"/>
  <c r="E12" i="52" s="1"/>
  <c r="E13" i="54"/>
  <c r="D12" i="54" s="1"/>
  <c r="D13" i="54"/>
  <c r="E12" i="54" s="1"/>
  <c r="F17" i="51"/>
  <c r="E17" i="51"/>
  <c r="F13" i="51"/>
  <c r="E12" i="51" s="1"/>
  <c r="E13" i="51"/>
  <c r="F12" i="51" s="1"/>
  <c r="F17" i="49"/>
  <c r="E17" i="49"/>
  <c r="F13" i="49"/>
  <c r="E12" i="49" s="1"/>
  <c r="E13" i="49"/>
  <c r="F12" i="49" s="1"/>
  <c r="E13" i="50"/>
  <c r="D12" i="50" s="1"/>
  <c r="D13" i="50"/>
  <c r="E12" i="50" s="1"/>
  <c r="E17" i="45"/>
  <c r="F17" i="46"/>
  <c r="E17" i="46"/>
  <c r="F13" i="46"/>
  <c r="E12" i="46" s="1"/>
  <c r="E13" i="46"/>
  <c r="F12" i="46" s="1"/>
  <c r="E13" i="48"/>
  <c r="D12" i="48" s="1"/>
  <c r="D13" i="48"/>
  <c r="E12" i="48" s="1"/>
  <c r="F17" i="45"/>
  <c r="F13" i="45"/>
  <c r="E12" i="45" s="1"/>
  <c r="E13" i="45"/>
  <c r="F12" i="45" s="1"/>
  <c r="E13" i="44"/>
  <c r="D12" i="44" s="1"/>
  <c r="D13" i="44"/>
  <c r="E12" i="44" s="1"/>
  <c r="E13" i="43"/>
  <c r="D12" i="43" s="1"/>
  <c r="D13" i="43"/>
  <c r="E12" i="43" s="1"/>
  <c r="E17" i="42"/>
  <c r="E13" i="42"/>
  <c r="F12" i="42" s="1"/>
  <c r="F17" i="42"/>
  <c r="F13" i="42"/>
  <c r="E12" i="42" s="1"/>
  <c r="C20" i="16"/>
  <c r="F4" i="76" s="1"/>
  <c r="A12" i="76" s="1"/>
  <c r="F2" i="51" l="1"/>
  <c r="B2" i="19"/>
  <c r="B2" i="18"/>
  <c r="F4" i="69"/>
  <c r="A12" i="69" s="1"/>
  <c r="N20" i="16"/>
  <c r="H67" i="2"/>
  <c r="F67" i="2"/>
  <c r="D67" i="2"/>
  <c r="I67" i="2"/>
  <c r="G67" i="2"/>
  <c r="E67" i="2"/>
  <c r="C67" i="2"/>
  <c r="D17" i="60"/>
  <c r="D17" i="64"/>
  <c r="F2" i="45"/>
  <c r="F2" i="53"/>
  <c r="D17" i="52"/>
  <c r="E17" i="58"/>
  <c r="D17" i="68"/>
  <c r="D17" i="70"/>
  <c r="I128" i="38"/>
  <c r="E17" i="66"/>
  <c r="I111" i="34"/>
  <c r="I128" i="34" s="1"/>
  <c r="I87" i="34"/>
  <c r="I87" i="41"/>
  <c r="I111" i="41"/>
  <c r="I128" i="41" s="1"/>
  <c r="I149" i="40"/>
  <c r="I149" i="36"/>
  <c r="I132" i="33"/>
  <c r="I149" i="29"/>
  <c r="I87" i="30"/>
  <c r="I111" i="30"/>
  <c r="I128" i="30" s="1"/>
  <c r="I114" i="39"/>
  <c r="I128" i="39" s="1"/>
  <c r="I128" i="35"/>
  <c r="I112" i="33"/>
  <c r="I128" i="33" s="1"/>
  <c r="I128" i="32"/>
  <c r="G25" i="1"/>
  <c r="I111" i="31"/>
  <c r="I128" i="31" s="1"/>
  <c r="I87" i="31"/>
  <c r="I133" i="38"/>
  <c r="I149" i="38" s="1"/>
  <c r="I111" i="37"/>
  <c r="I128" i="37" s="1"/>
  <c r="I87" i="37"/>
  <c r="I128" i="29"/>
  <c r="I132" i="35"/>
  <c r="I149" i="35" s="1"/>
  <c r="I128" i="40"/>
  <c r="I128" i="36"/>
  <c r="I149" i="32"/>
  <c r="E25" i="1"/>
  <c r="D25" i="1"/>
  <c r="I25" i="1"/>
  <c r="C25" i="1"/>
  <c r="F25" i="1"/>
  <c r="H25" i="1"/>
  <c r="E2" i="23"/>
  <c r="F4" i="53"/>
  <c r="A12" i="53" s="1"/>
  <c r="F4" i="9"/>
  <c r="E4" i="70" s="1"/>
  <c r="A12" i="70" s="1"/>
  <c r="F2" i="69"/>
  <c r="E4" i="23"/>
  <c r="F2" i="46"/>
  <c r="F2" i="49"/>
  <c r="F4" i="59"/>
  <c r="A12" i="59" s="1"/>
  <c r="F2" i="65"/>
  <c r="F4" i="65"/>
  <c r="A12" i="65" s="1"/>
  <c r="F4" i="49"/>
  <c r="A12" i="49" s="1"/>
  <c r="F4" i="42"/>
  <c r="A12" i="42" s="1"/>
  <c r="E17" i="52"/>
  <c r="E17" i="68"/>
  <c r="F2" i="55"/>
  <c r="F2" i="61"/>
  <c r="F2" i="57"/>
  <c r="F2" i="59"/>
  <c r="F2" i="63"/>
  <c r="F2" i="67"/>
  <c r="F2" i="9"/>
  <c r="F2" i="42"/>
  <c r="F4" i="45"/>
  <c r="A12" i="45" s="1"/>
  <c r="F4" i="46"/>
  <c r="A12" i="46" s="1"/>
  <c r="F4" i="51"/>
  <c r="A12" i="51" s="1"/>
  <c r="F4" i="57"/>
  <c r="A12" i="57" s="1"/>
  <c r="F4" i="63"/>
  <c r="A12" i="63" s="1"/>
  <c r="F4" i="55"/>
  <c r="A12" i="55" s="1"/>
  <c r="F4" i="61"/>
  <c r="A12" i="61" s="1"/>
  <c r="F4" i="67"/>
  <c r="A12" i="67" s="1"/>
  <c r="E17" i="70"/>
  <c r="D17" i="66"/>
  <c r="E17" i="64"/>
  <c r="E17" i="62"/>
  <c r="D17" i="62"/>
  <c r="E17" i="60"/>
  <c r="D17" i="58"/>
  <c r="E17" i="56"/>
  <c r="D17" i="56"/>
  <c r="E17" i="44"/>
  <c r="E17" i="54"/>
  <c r="D17" i="54"/>
  <c r="E17" i="50"/>
  <c r="D17" i="50"/>
  <c r="D17" i="48"/>
  <c r="E17" i="48"/>
  <c r="D17" i="44"/>
  <c r="E17" i="43"/>
  <c r="D17" i="43"/>
  <c r="B45" i="40"/>
  <c r="B41" i="40"/>
  <c r="C41" i="40" s="1"/>
  <c r="D41" i="40" s="1"/>
  <c r="E41" i="40" s="1"/>
  <c r="F41" i="40" s="1"/>
  <c r="G41" i="40" s="1"/>
  <c r="H41" i="40" s="1"/>
  <c r="B42" i="40"/>
  <c r="C42" i="40" s="1"/>
  <c r="D42" i="40" s="1"/>
  <c r="E42" i="40" s="1"/>
  <c r="F42" i="40" s="1"/>
  <c r="G42" i="40" s="1"/>
  <c r="H42" i="40" s="1"/>
  <c r="B43" i="40"/>
  <c r="C43" i="40" s="1"/>
  <c r="D43" i="40" s="1"/>
  <c r="E43" i="40" s="1"/>
  <c r="F43" i="40" s="1"/>
  <c r="G43" i="40" s="1"/>
  <c r="H43" i="40" s="1"/>
  <c r="B44" i="40"/>
  <c r="C44" i="40" s="1"/>
  <c r="D44" i="40" s="1"/>
  <c r="E44" i="40" s="1"/>
  <c r="F44" i="40" s="1"/>
  <c r="G44" i="40" s="1"/>
  <c r="H44" i="40" s="1"/>
  <c r="B40" i="40"/>
  <c r="C40" i="40" s="1"/>
  <c r="D40" i="40" s="1"/>
  <c r="E40" i="40" s="1"/>
  <c r="F40" i="40" s="1"/>
  <c r="G40" i="40" s="1"/>
  <c r="H40" i="40" s="1"/>
  <c r="B35" i="40"/>
  <c r="C35" i="40" s="1"/>
  <c r="D35" i="40" s="1"/>
  <c r="E35" i="40" s="1"/>
  <c r="F35" i="40" s="1"/>
  <c r="G35" i="40" s="1"/>
  <c r="H35" i="40" s="1"/>
  <c r="B36" i="40"/>
  <c r="C36" i="40" s="1"/>
  <c r="D36" i="40" s="1"/>
  <c r="E36" i="40" s="1"/>
  <c r="F36" i="40" s="1"/>
  <c r="G36" i="40" s="1"/>
  <c r="H36" i="40" s="1"/>
  <c r="B37" i="40"/>
  <c r="C37" i="40" s="1"/>
  <c r="D37" i="40" s="1"/>
  <c r="E37" i="40" s="1"/>
  <c r="F37" i="40" s="1"/>
  <c r="G37" i="40" s="1"/>
  <c r="H37" i="40" s="1"/>
  <c r="B38" i="40"/>
  <c r="C38" i="40" s="1"/>
  <c r="D38" i="40" s="1"/>
  <c r="E38" i="40" s="1"/>
  <c r="F38" i="40" s="1"/>
  <c r="G38" i="40" s="1"/>
  <c r="H38" i="40" s="1"/>
  <c r="B39" i="40"/>
  <c r="C39" i="40" s="1"/>
  <c r="D39" i="40" s="1"/>
  <c r="E39" i="40" s="1"/>
  <c r="F39" i="40" s="1"/>
  <c r="G39" i="40" s="1"/>
  <c r="H39" i="40" s="1"/>
  <c r="B34" i="40"/>
  <c r="C34" i="40" s="1"/>
  <c r="D34" i="40" s="1"/>
  <c r="E34" i="40" s="1"/>
  <c r="F34" i="40" s="1"/>
  <c r="G34" i="40" s="1"/>
  <c r="H34" i="40" s="1"/>
  <c r="B30" i="40"/>
  <c r="C30" i="40" s="1"/>
  <c r="D30" i="40" s="1"/>
  <c r="E30" i="40" s="1"/>
  <c r="F30" i="40" s="1"/>
  <c r="G30" i="40" s="1"/>
  <c r="H30" i="40" s="1"/>
  <c r="B31" i="40"/>
  <c r="C31" i="40" s="1"/>
  <c r="D31" i="40" s="1"/>
  <c r="E31" i="40" s="1"/>
  <c r="F31" i="40" s="1"/>
  <c r="G31" i="40" s="1"/>
  <c r="H31" i="40" s="1"/>
  <c r="B32" i="40"/>
  <c r="C32" i="40" s="1"/>
  <c r="D32" i="40" s="1"/>
  <c r="E32" i="40" s="1"/>
  <c r="F32" i="40" s="1"/>
  <c r="G32" i="40" s="1"/>
  <c r="H32" i="40" s="1"/>
  <c r="B33" i="40"/>
  <c r="C33" i="40" s="1"/>
  <c r="D33" i="40" s="1"/>
  <c r="E33" i="40" s="1"/>
  <c r="F33" i="40" s="1"/>
  <c r="G33" i="40" s="1"/>
  <c r="H33" i="40" s="1"/>
  <c r="B29" i="40"/>
  <c r="C29" i="40" s="1"/>
  <c r="D29" i="40" s="1"/>
  <c r="E29" i="40" s="1"/>
  <c r="F29" i="40" s="1"/>
  <c r="G29" i="40" s="1"/>
  <c r="H29" i="40" s="1"/>
  <c r="B45" i="35"/>
  <c r="C45" i="35" s="1"/>
  <c r="D45" i="35" s="1"/>
  <c r="E45" i="35" s="1"/>
  <c r="F45" i="35" s="1"/>
  <c r="G45" i="35" s="1"/>
  <c r="H45" i="35" s="1"/>
  <c r="B41" i="35"/>
  <c r="C41" i="35" s="1"/>
  <c r="D41" i="35" s="1"/>
  <c r="E41" i="35" s="1"/>
  <c r="F41" i="35" s="1"/>
  <c r="G41" i="35" s="1"/>
  <c r="H41" i="35" s="1"/>
  <c r="B42" i="35"/>
  <c r="C42" i="35" s="1"/>
  <c r="D42" i="35" s="1"/>
  <c r="E42" i="35" s="1"/>
  <c r="F42" i="35" s="1"/>
  <c r="G42" i="35" s="1"/>
  <c r="H42" i="35" s="1"/>
  <c r="B43" i="35"/>
  <c r="C43" i="35" s="1"/>
  <c r="D43" i="35" s="1"/>
  <c r="E43" i="35" s="1"/>
  <c r="F43" i="35" s="1"/>
  <c r="G43" i="35" s="1"/>
  <c r="H43" i="35" s="1"/>
  <c r="B44" i="35"/>
  <c r="C44" i="35" s="1"/>
  <c r="D44" i="35" s="1"/>
  <c r="E44" i="35" s="1"/>
  <c r="F44" i="35" s="1"/>
  <c r="G44" i="35" s="1"/>
  <c r="H44" i="35" s="1"/>
  <c r="B40" i="35"/>
  <c r="C40" i="35" s="1"/>
  <c r="D40" i="35" s="1"/>
  <c r="E40" i="35" s="1"/>
  <c r="F40" i="35" s="1"/>
  <c r="G40" i="35" s="1"/>
  <c r="H40" i="35" s="1"/>
  <c r="B35" i="35"/>
  <c r="C35" i="35" s="1"/>
  <c r="D35" i="35" s="1"/>
  <c r="E35" i="35" s="1"/>
  <c r="F35" i="35" s="1"/>
  <c r="G35" i="35" s="1"/>
  <c r="H35" i="35" s="1"/>
  <c r="B36" i="35"/>
  <c r="C36" i="35" s="1"/>
  <c r="D36" i="35" s="1"/>
  <c r="E36" i="35" s="1"/>
  <c r="F36" i="35" s="1"/>
  <c r="G36" i="35" s="1"/>
  <c r="H36" i="35" s="1"/>
  <c r="B37" i="35"/>
  <c r="C37" i="35" s="1"/>
  <c r="D37" i="35" s="1"/>
  <c r="E37" i="35" s="1"/>
  <c r="F37" i="35" s="1"/>
  <c r="G37" i="35" s="1"/>
  <c r="H37" i="35" s="1"/>
  <c r="B38" i="35"/>
  <c r="C38" i="35" s="1"/>
  <c r="D38" i="35" s="1"/>
  <c r="E38" i="35" s="1"/>
  <c r="F38" i="35" s="1"/>
  <c r="G38" i="35" s="1"/>
  <c r="H38" i="35" s="1"/>
  <c r="B39" i="35"/>
  <c r="C39" i="35" s="1"/>
  <c r="D39" i="35" s="1"/>
  <c r="E39" i="35" s="1"/>
  <c r="F39" i="35" s="1"/>
  <c r="G39" i="35" s="1"/>
  <c r="H39" i="35" s="1"/>
  <c r="B34" i="35"/>
  <c r="C34" i="35" s="1"/>
  <c r="D34" i="35" s="1"/>
  <c r="E34" i="35" s="1"/>
  <c r="F34" i="35" s="1"/>
  <c r="G34" i="35" s="1"/>
  <c r="H34" i="35" s="1"/>
  <c r="B30" i="35"/>
  <c r="C30" i="35" s="1"/>
  <c r="D30" i="35" s="1"/>
  <c r="E30" i="35" s="1"/>
  <c r="F30" i="35" s="1"/>
  <c r="G30" i="35" s="1"/>
  <c r="H30" i="35" s="1"/>
  <c r="B31" i="35"/>
  <c r="C31" i="35" s="1"/>
  <c r="D31" i="35" s="1"/>
  <c r="E31" i="35" s="1"/>
  <c r="F31" i="35" s="1"/>
  <c r="G31" i="35" s="1"/>
  <c r="H31" i="35" s="1"/>
  <c r="B32" i="35"/>
  <c r="C32" i="35" s="1"/>
  <c r="D32" i="35" s="1"/>
  <c r="E32" i="35" s="1"/>
  <c r="F32" i="35" s="1"/>
  <c r="G32" i="35" s="1"/>
  <c r="H32" i="35" s="1"/>
  <c r="B33" i="35"/>
  <c r="C33" i="35" s="1"/>
  <c r="D33" i="35" s="1"/>
  <c r="E33" i="35" s="1"/>
  <c r="F33" i="35" s="1"/>
  <c r="G33" i="35" s="1"/>
  <c r="H33" i="35" s="1"/>
  <c r="B29" i="35"/>
  <c r="C29" i="35" s="1"/>
  <c r="D29" i="35" s="1"/>
  <c r="E29" i="35" s="1"/>
  <c r="F29" i="35" s="1"/>
  <c r="G29" i="35" s="1"/>
  <c r="H29" i="35" s="1"/>
  <c r="B45" i="37"/>
  <c r="C45" i="37" s="1"/>
  <c r="D45" i="37" s="1"/>
  <c r="E45" i="37" s="1"/>
  <c r="F45" i="37" s="1"/>
  <c r="G45" i="37" s="1"/>
  <c r="H45" i="37" s="1"/>
  <c r="B41" i="37"/>
  <c r="C41" i="37" s="1"/>
  <c r="D41" i="37" s="1"/>
  <c r="E41" i="37" s="1"/>
  <c r="F41" i="37" s="1"/>
  <c r="G41" i="37" s="1"/>
  <c r="H41" i="37" s="1"/>
  <c r="B42" i="37"/>
  <c r="C42" i="37" s="1"/>
  <c r="D42" i="37" s="1"/>
  <c r="E42" i="37" s="1"/>
  <c r="F42" i="37" s="1"/>
  <c r="G42" i="37" s="1"/>
  <c r="H42" i="37" s="1"/>
  <c r="B43" i="37"/>
  <c r="C43" i="37" s="1"/>
  <c r="D43" i="37" s="1"/>
  <c r="E43" i="37" s="1"/>
  <c r="F43" i="37" s="1"/>
  <c r="G43" i="37" s="1"/>
  <c r="H43" i="37" s="1"/>
  <c r="B44" i="37"/>
  <c r="C44" i="37" s="1"/>
  <c r="D44" i="37" s="1"/>
  <c r="E44" i="37" s="1"/>
  <c r="F44" i="37" s="1"/>
  <c r="G44" i="37" s="1"/>
  <c r="H44" i="37" s="1"/>
  <c r="B40" i="37"/>
  <c r="C40" i="37" s="1"/>
  <c r="D40" i="37" s="1"/>
  <c r="E40" i="37" s="1"/>
  <c r="F40" i="37" s="1"/>
  <c r="G40" i="37" s="1"/>
  <c r="H40" i="37" s="1"/>
  <c r="B35" i="37"/>
  <c r="C35" i="37" s="1"/>
  <c r="D35" i="37" s="1"/>
  <c r="E35" i="37" s="1"/>
  <c r="F35" i="37" s="1"/>
  <c r="G35" i="37" s="1"/>
  <c r="H35" i="37" s="1"/>
  <c r="B36" i="37"/>
  <c r="C36" i="37" s="1"/>
  <c r="D36" i="37" s="1"/>
  <c r="E36" i="37" s="1"/>
  <c r="F36" i="37" s="1"/>
  <c r="G36" i="37" s="1"/>
  <c r="H36" i="37" s="1"/>
  <c r="B37" i="37"/>
  <c r="C37" i="37" s="1"/>
  <c r="D37" i="37" s="1"/>
  <c r="E37" i="37" s="1"/>
  <c r="F37" i="37" s="1"/>
  <c r="G37" i="37" s="1"/>
  <c r="H37" i="37" s="1"/>
  <c r="B38" i="37"/>
  <c r="C38" i="37" s="1"/>
  <c r="D38" i="37" s="1"/>
  <c r="E38" i="37" s="1"/>
  <c r="F38" i="37" s="1"/>
  <c r="G38" i="37" s="1"/>
  <c r="H38" i="37" s="1"/>
  <c r="B39" i="37"/>
  <c r="C39" i="37" s="1"/>
  <c r="D39" i="37" s="1"/>
  <c r="E39" i="37" s="1"/>
  <c r="F39" i="37" s="1"/>
  <c r="G39" i="37" s="1"/>
  <c r="H39" i="37" s="1"/>
  <c r="B34" i="37"/>
  <c r="C34" i="37" s="1"/>
  <c r="D34" i="37" s="1"/>
  <c r="E34" i="37" s="1"/>
  <c r="F34" i="37" s="1"/>
  <c r="G34" i="37" s="1"/>
  <c r="H34" i="37" s="1"/>
  <c r="B30" i="37"/>
  <c r="C30" i="37" s="1"/>
  <c r="D30" i="37" s="1"/>
  <c r="E30" i="37" s="1"/>
  <c r="F30" i="37" s="1"/>
  <c r="G30" i="37" s="1"/>
  <c r="H30" i="37" s="1"/>
  <c r="B31" i="37"/>
  <c r="C31" i="37" s="1"/>
  <c r="D31" i="37" s="1"/>
  <c r="E31" i="37" s="1"/>
  <c r="F31" i="37" s="1"/>
  <c r="G31" i="37" s="1"/>
  <c r="H31" i="37" s="1"/>
  <c r="B32" i="37"/>
  <c r="C32" i="37" s="1"/>
  <c r="D32" i="37" s="1"/>
  <c r="E32" i="37" s="1"/>
  <c r="F32" i="37" s="1"/>
  <c r="G32" i="37" s="1"/>
  <c r="H32" i="37" s="1"/>
  <c r="B33" i="37"/>
  <c r="C33" i="37" s="1"/>
  <c r="D33" i="37" s="1"/>
  <c r="E33" i="37" s="1"/>
  <c r="F33" i="37" s="1"/>
  <c r="G33" i="37" s="1"/>
  <c r="H33" i="37" s="1"/>
  <c r="B29" i="37"/>
  <c r="C29" i="37" s="1"/>
  <c r="D29" i="37" s="1"/>
  <c r="E29" i="37" s="1"/>
  <c r="F29" i="37" s="1"/>
  <c r="G29" i="37" s="1"/>
  <c r="H29" i="37" s="1"/>
  <c r="B45" i="41"/>
  <c r="C45" i="41" s="1"/>
  <c r="D45" i="41" s="1"/>
  <c r="E45" i="41" s="1"/>
  <c r="F45" i="41" s="1"/>
  <c r="G45" i="41" s="1"/>
  <c r="H45" i="41" s="1"/>
  <c r="B41" i="41"/>
  <c r="C41" i="41" s="1"/>
  <c r="D41" i="41" s="1"/>
  <c r="E41" i="41" s="1"/>
  <c r="F41" i="41" s="1"/>
  <c r="G41" i="41" s="1"/>
  <c r="H41" i="41" s="1"/>
  <c r="B42" i="41"/>
  <c r="C42" i="41" s="1"/>
  <c r="D42" i="41" s="1"/>
  <c r="E42" i="41" s="1"/>
  <c r="F42" i="41" s="1"/>
  <c r="G42" i="41" s="1"/>
  <c r="H42" i="41" s="1"/>
  <c r="B43" i="41"/>
  <c r="C43" i="41" s="1"/>
  <c r="D43" i="41" s="1"/>
  <c r="E43" i="41" s="1"/>
  <c r="F43" i="41" s="1"/>
  <c r="G43" i="41" s="1"/>
  <c r="H43" i="41" s="1"/>
  <c r="B44" i="41"/>
  <c r="C44" i="41" s="1"/>
  <c r="D44" i="41" s="1"/>
  <c r="E44" i="41" s="1"/>
  <c r="F44" i="41" s="1"/>
  <c r="G44" i="41" s="1"/>
  <c r="H44" i="41" s="1"/>
  <c r="B40" i="41"/>
  <c r="C40" i="41" s="1"/>
  <c r="D40" i="41" s="1"/>
  <c r="E40" i="41" s="1"/>
  <c r="F40" i="41" s="1"/>
  <c r="G40" i="41" s="1"/>
  <c r="H40" i="41" s="1"/>
  <c r="B35" i="41"/>
  <c r="C35" i="41" s="1"/>
  <c r="D35" i="41" s="1"/>
  <c r="E35" i="41" s="1"/>
  <c r="F35" i="41" s="1"/>
  <c r="G35" i="41" s="1"/>
  <c r="H35" i="41" s="1"/>
  <c r="B36" i="41"/>
  <c r="C36" i="41" s="1"/>
  <c r="D36" i="41" s="1"/>
  <c r="E36" i="41" s="1"/>
  <c r="F36" i="41" s="1"/>
  <c r="G36" i="41" s="1"/>
  <c r="H36" i="41" s="1"/>
  <c r="B37" i="41"/>
  <c r="C37" i="41" s="1"/>
  <c r="D37" i="41" s="1"/>
  <c r="E37" i="41" s="1"/>
  <c r="F37" i="41" s="1"/>
  <c r="G37" i="41" s="1"/>
  <c r="H37" i="41" s="1"/>
  <c r="B38" i="41"/>
  <c r="C38" i="41" s="1"/>
  <c r="D38" i="41" s="1"/>
  <c r="E38" i="41" s="1"/>
  <c r="F38" i="41" s="1"/>
  <c r="G38" i="41" s="1"/>
  <c r="H38" i="41" s="1"/>
  <c r="B39" i="41"/>
  <c r="C39" i="41" s="1"/>
  <c r="D39" i="41" s="1"/>
  <c r="E39" i="41" s="1"/>
  <c r="F39" i="41" s="1"/>
  <c r="G39" i="41" s="1"/>
  <c r="H39" i="41" s="1"/>
  <c r="B34" i="41"/>
  <c r="C34" i="41" s="1"/>
  <c r="D34" i="41" s="1"/>
  <c r="E34" i="41" s="1"/>
  <c r="F34" i="41" s="1"/>
  <c r="G34" i="41" s="1"/>
  <c r="H34" i="41" s="1"/>
  <c r="B30" i="41"/>
  <c r="C30" i="41" s="1"/>
  <c r="D30" i="41" s="1"/>
  <c r="E30" i="41" s="1"/>
  <c r="F30" i="41" s="1"/>
  <c r="G30" i="41" s="1"/>
  <c r="H30" i="41" s="1"/>
  <c r="B31" i="41"/>
  <c r="C31" i="41" s="1"/>
  <c r="D31" i="41" s="1"/>
  <c r="E31" i="41" s="1"/>
  <c r="F31" i="41" s="1"/>
  <c r="G31" i="41" s="1"/>
  <c r="H31" i="41" s="1"/>
  <c r="B32" i="41"/>
  <c r="B33" i="41"/>
  <c r="C33" i="41" s="1"/>
  <c r="D33" i="41" s="1"/>
  <c r="E33" i="41" s="1"/>
  <c r="F33" i="41" s="1"/>
  <c r="G33" i="41" s="1"/>
  <c r="H33" i="41" s="1"/>
  <c r="B29" i="41"/>
  <c r="C29" i="41" s="1"/>
  <c r="D29" i="41" s="1"/>
  <c r="E29" i="41" s="1"/>
  <c r="F29" i="41" s="1"/>
  <c r="G29" i="41" s="1"/>
  <c r="H29" i="41" s="1"/>
  <c r="B45" i="39"/>
  <c r="C45" i="39" s="1"/>
  <c r="D45" i="39" s="1"/>
  <c r="E45" i="39" s="1"/>
  <c r="F45" i="39" s="1"/>
  <c r="G45" i="39" s="1"/>
  <c r="H45" i="39" s="1"/>
  <c r="B41" i="39"/>
  <c r="C41" i="39" s="1"/>
  <c r="D41" i="39" s="1"/>
  <c r="E41" i="39" s="1"/>
  <c r="F41" i="39" s="1"/>
  <c r="G41" i="39" s="1"/>
  <c r="H41" i="39" s="1"/>
  <c r="B42" i="39"/>
  <c r="C42" i="39" s="1"/>
  <c r="D42" i="39" s="1"/>
  <c r="E42" i="39" s="1"/>
  <c r="F42" i="39" s="1"/>
  <c r="G42" i="39" s="1"/>
  <c r="H42" i="39" s="1"/>
  <c r="B43" i="39"/>
  <c r="C43" i="39" s="1"/>
  <c r="D43" i="39" s="1"/>
  <c r="E43" i="39" s="1"/>
  <c r="F43" i="39" s="1"/>
  <c r="G43" i="39" s="1"/>
  <c r="H43" i="39" s="1"/>
  <c r="B44" i="39"/>
  <c r="C44" i="39" s="1"/>
  <c r="D44" i="39" s="1"/>
  <c r="E44" i="39" s="1"/>
  <c r="F44" i="39" s="1"/>
  <c r="G44" i="39" s="1"/>
  <c r="H44" i="39" s="1"/>
  <c r="B40" i="39"/>
  <c r="C40" i="39" s="1"/>
  <c r="D40" i="39" s="1"/>
  <c r="E40" i="39" s="1"/>
  <c r="F40" i="39" s="1"/>
  <c r="G40" i="39" s="1"/>
  <c r="H40" i="39" s="1"/>
  <c r="B35" i="39"/>
  <c r="C35" i="39" s="1"/>
  <c r="D35" i="39" s="1"/>
  <c r="E35" i="39" s="1"/>
  <c r="F35" i="39" s="1"/>
  <c r="G35" i="39" s="1"/>
  <c r="H35" i="39" s="1"/>
  <c r="B36" i="39"/>
  <c r="C36" i="39" s="1"/>
  <c r="D36" i="39" s="1"/>
  <c r="E36" i="39" s="1"/>
  <c r="F36" i="39" s="1"/>
  <c r="G36" i="39" s="1"/>
  <c r="H36" i="39" s="1"/>
  <c r="B37" i="39"/>
  <c r="C37" i="39" s="1"/>
  <c r="D37" i="39" s="1"/>
  <c r="E37" i="39" s="1"/>
  <c r="F37" i="39" s="1"/>
  <c r="G37" i="39" s="1"/>
  <c r="H37" i="39" s="1"/>
  <c r="B38" i="39"/>
  <c r="C38" i="39" s="1"/>
  <c r="D38" i="39" s="1"/>
  <c r="E38" i="39" s="1"/>
  <c r="F38" i="39" s="1"/>
  <c r="G38" i="39" s="1"/>
  <c r="H38" i="39" s="1"/>
  <c r="B39" i="39"/>
  <c r="C39" i="39" s="1"/>
  <c r="D39" i="39" s="1"/>
  <c r="E39" i="39" s="1"/>
  <c r="F39" i="39" s="1"/>
  <c r="G39" i="39" s="1"/>
  <c r="H39" i="39" s="1"/>
  <c r="B34" i="39"/>
  <c r="C34" i="39" s="1"/>
  <c r="D34" i="39" s="1"/>
  <c r="E34" i="39" s="1"/>
  <c r="F34" i="39" s="1"/>
  <c r="G34" i="39" s="1"/>
  <c r="H34" i="39" s="1"/>
  <c r="B30" i="39"/>
  <c r="C30" i="39" s="1"/>
  <c r="D30" i="39" s="1"/>
  <c r="E30" i="39" s="1"/>
  <c r="F30" i="39" s="1"/>
  <c r="G30" i="39" s="1"/>
  <c r="H30" i="39" s="1"/>
  <c r="B31" i="39"/>
  <c r="C31" i="39" s="1"/>
  <c r="D31" i="39" s="1"/>
  <c r="E31" i="39" s="1"/>
  <c r="F31" i="39" s="1"/>
  <c r="G31" i="39" s="1"/>
  <c r="H31" i="39" s="1"/>
  <c r="B32" i="39"/>
  <c r="C32" i="39" s="1"/>
  <c r="D32" i="39" s="1"/>
  <c r="E32" i="39" s="1"/>
  <c r="F32" i="39" s="1"/>
  <c r="G32" i="39" s="1"/>
  <c r="H32" i="39" s="1"/>
  <c r="B33" i="39"/>
  <c r="C33" i="39" s="1"/>
  <c r="D33" i="39" s="1"/>
  <c r="E33" i="39" s="1"/>
  <c r="F33" i="39" s="1"/>
  <c r="G33" i="39" s="1"/>
  <c r="H33" i="39" s="1"/>
  <c r="B29" i="39"/>
  <c r="C29" i="39" s="1"/>
  <c r="D29" i="39" s="1"/>
  <c r="E29" i="39" s="1"/>
  <c r="F29" i="39" s="1"/>
  <c r="G29" i="39" s="1"/>
  <c r="H29" i="39" s="1"/>
  <c r="B45" i="38"/>
  <c r="C45" i="38" s="1"/>
  <c r="D45" i="38" s="1"/>
  <c r="E45" i="38" s="1"/>
  <c r="F45" i="38" s="1"/>
  <c r="G45" i="38" s="1"/>
  <c r="H45" i="38" s="1"/>
  <c r="B41" i="38"/>
  <c r="C41" i="38" s="1"/>
  <c r="D41" i="38" s="1"/>
  <c r="E41" i="38" s="1"/>
  <c r="F41" i="38" s="1"/>
  <c r="G41" i="38" s="1"/>
  <c r="H41" i="38" s="1"/>
  <c r="B42" i="38"/>
  <c r="C42" i="38" s="1"/>
  <c r="D42" i="38" s="1"/>
  <c r="E42" i="38" s="1"/>
  <c r="F42" i="38" s="1"/>
  <c r="G42" i="38" s="1"/>
  <c r="H42" i="38" s="1"/>
  <c r="B43" i="38"/>
  <c r="C43" i="38" s="1"/>
  <c r="D43" i="38" s="1"/>
  <c r="E43" i="38" s="1"/>
  <c r="F43" i="38" s="1"/>
  <c r="G43" i="38" s="1"/>
  <c r="H43" i="38" s="1"/>
  <c r="B44" i="38"/>
  <c r="C44" i="38" s="1"/>
  <c r="D44" i="38" s="1"/>
  <c r="E44" i="38" s="1"/>
  <c r="F44" i="38" s="1"/>
  <c r="G44" i="38" s="1"/>
  <c r="H44" i="38" s="1"/>
  <c r="B40" i="38"/>
  <c r="C40" i="38" s="1"/>
  <c r="D40" i="38" s="1"/>
  <c r="E40" i="38" s="1"/>
  <c r="F40" i="38" s="1"/>
  <c r="G40" i="38" s="1"/>
  <c r="H40" i="38" s="1"/>
  <c r="B35" i="38"/>
  <c r="C35" i="38" s="1"/>
  <c r="D35" i="38" s="1"/>
  <c r="E35" i="38" s="1"/>
  <c r="F35" i="38" s="1"/>
  <c r="G35" i="38" s="1"/>
  <c r="H35" i="38" s="1"/>
  <c r="B36" i="38"/>
  <c r="C36" i="38" s="1"/>
  <c r="D36" i="38" s="1"/>
  <c r="E36" i="38" s="1"/>
  <c r="F36" i="38" s="1"/>
  <c r="G36" i="38" s="1"/>
  <c r="H36" i="38" s="1"/>
  <c r="B37" i="38"/>
  <c r="C37" i="38" s="1"/>
  <c r="D37" i="38" s="1"/>
  <c r="E37" i="38" s="1"/>
  <c r="F37" i="38" s="1"/>
  <c r="G37" i="38" s="1"/>
  <c r="H37" i="38" s="1"/>
  <c r="B38" i="38"/>
  <c r="C38" i="38" s="1"/>
  <c r="D38" i="38" s="1"/>
  <c r="E38" i="38" s="1"/>
  <c r="F38" i="38" s="1"/>
  <c r="G38" i="38" s="1"/>
  <c r="H38" i="38" s="1"/>
  <c r="B39" i="38"/>
  <c r="C39" i="38" s="1"/>
  <c r="D39" i="38" s="1"/>
  <c r="E39" i="38" s="1"/>
  <c r="F39" i="38" s="1"/>
  <c r="G39" i="38" s="1"/>
  <c r="H39" i="38" s="1"/>
  <c r="B34" i="38"/>
  <c r="C34" i="38" s="1"/>
  <c r="D34" i="38" s="1"/>
  <c r="E34" i="38" s="1"/>
  <c r="F34" i="38" s="1"/>
  <c r="G34" i="38" s="1"/>
  <c r="H34" i="38" s="1"/>
  <c r="B30" i="38"/>
  <c r="C30" i="38" s="1"/>
  <c r="D30" i="38" s="1"/>
  <c r="E30" i="38" s="1"/>
  <c r="F30" i="38" s="1"/>
  <c r="G30" i="38" s="1"/>
  <c r="H30" i="38" s="1"/>
  <c r="B31" i="38"/>
  <c r="C31" i="38" s="1"/>
  <c r="D31" i="38" s="1"/>
  <c r="E31" i="38" s="1"/>
  <c r="F31" i="38" s="1"/>
  <c r="G31" i="38" s="1"/>
  <c r="H31" i="38" s="1"/>
  <c r="B32" i="38"/>
  <c r="C32" i="38" s="1"/>
  <c r="D32" i="38" s="1"/>
  <c r="E32" i="38" s="1"/>
  <c r="F32" i="38" s="1"/>
  <c r="G32" i="38" s="1"/>
  <c r="H32" i="38" s="1"/>
  <c r="B33" i="38"/>
  <c r="C33" i="38" s="1"/>
  <c r="D33" i="38" s="1"/>
  <c r="E33" i="38" s="1"/>
  <c r="F33" i="38" s="1"/>
  <c r="G33" i="38" s="1"/>
  <c r="H33" i="38" s="1"/>
  <c r="B29" i="38"/>
  <c r="C29" i="38" s="1"/>
  <c r="D29" i="38" s="1"/>
  <c r="E29" i="38" s="1"/>
  <c r="F29" i="38" s="1"/>
  <c r="G29" i="38" s="1"/>
  <c r="H29" i="38" s="1"/>
  <c r="B45" i="36"/>
  <c r="C45" i="36" s="1"/>
  <c r="D45" i="36" s="1"/>
  <c r="E45" i="36" s="1"/>
  <c r="F45" i="36" s="1"/>
  <c r="G45" i="36" s="1"/>
  <c r="H45" i="36" s="1"/>
  <c r="B41" i="36"/>
  <c r="C41" i="36" s="1"/>
  <c r="D41" i="36" s="1"/>
  <c r="E41" i="36" s="1"/>
  <c r="F41" i="36" s="1"/>
  <c r="G41" i="36" s="1"/>
  <c r="H41" i="36" s="1"/>
  <c r="B42" i="36"/>
  <c r="C42" i="36" s="1"/>
  <c r="D42" i="36" s="1"/>
  <c r="E42" i="36" s="1"/>
  <c r="F42" i="36" s="1"/>
  <c r="G42" i="36" s="1"/>
  <c r="H42" i="36" s="1"/>
  <c r="B43" i="36"/>
  <c r="C43" i="36" s="1"/>
  <c r="D43" i="36" s="1"/>
  <c r="E43" i="36" s="1"/>
  <c r="F43" i="36" s="1"/>
  <c r="G43" i="36" s="1"/>
  <c r="H43" i="36" s="1"/>
  <c r="B44" i="36"/>
  <c r="C44" i="36" s="1"/>
  <c r="D44" i="36" s="1"/>
  <c r="E44" i="36" s="1"/>
  <c r="F44" i="36" s="1"/>
  <c r="G44" i="36" s="1"/>
  <c r="H44" i="36" s="1"/>
  <c r="B40" i="36"/>
  <c r="C40" i="36" s="1"/>
  <c r="D40" i="36" s="1"/>
  <c r="E40" i="36" s="1"/>
  <c r="F40" i="36" s="1"/>
  <c r="G40" i="36" s="1"/>
  <c r="H40" i="36" s="1"/>
  <c r="B35" i="36"/>
  <c r="C35" i="36" s="1"/>
  <c r="D35" i="36" s="1"/>
  <c r="E35" i="36" s="1"/>
  <c r="F35" i="36" s="1"/>
  <c r="G35" i="36" s="1"/>
  <c r="H35" i="36" s="1"/>
  <c r="B36" i="36"/>
  <c r="C36" i="36" s="1"/>
  <c r="D36" i="36" s="1"/>
  <c r="E36" i="36" s="1"/>
  <c r="F36" i="36" s="1"/>
  <c r="G36" i="36" s="1"/>
  <c r="H36" i="36" s="1"/>
  <c r="B37" i="36"/>
  <c r="C37" i="36" s="1"/>
  <c r="D37" i="36" s="1"/>
  <c r="E37" i="36" s="1"/>
  <c r="F37" i="36" s="1"/>
  <c r="G37" i="36" s="1"/>
  <c r="H37" i="36" s="1"/>
  <c r="B38" i="36"/>
  <c r="C38" i="36" s="1"/>
  <c r="D38" i="36" s="1"/>
  <c r="E38" i="36" s="1"/>
  <c r="F38" i="36" s="1"/>
  <c r="G38" i="36" s="1"/>
  <c r="H38" i="36" s="1"/>
  <c r="B39" i="36"/>
  <c r="C39" i="36" s="1"/>
  <c r="D39" i="36" s="1"/>
  <c r="E39" i="36" s="1"/>
  <c r="F39" i="36" s="1"/>
  <c r="G39" i="36" s="1"/>
  <c r="H39" i="36" s="1"/>
  <c r="B34" i="36"/>
  <c r="C34" i="36" s="1"/>
  <c r="D34" i="36" s="1"/>
  <c r="E34" i="36" s="1"/>
  <c r="F34" i="36" s="1"/>
  <c r="G34" i="36" s="1"/>
  <c r="H34" i="36" s="1"/>
  <c r="B30" i="36"/>
  <c r="C30" i="36" s="1"/>
  <c r="D30" i="36" s="1"/>
  <c r="E30" i="36" s="1"/>
  <c r="F30" i="36" s="1"/>
  <c r="G30" i="36" s="1"/>
  <c r="H30" i="36" s="1"/>
  <c r="B31" i="36"/>
  <c r="C31" i="36" s="1"/>
  <c r="D31" i="36" s="1"/>
  <c r="E31" i="36" s="1"/>
  <c r="F31" i="36" s="1"/>
  <c r="G31" i="36" s="1"/>
  <c r="H31" i="36" s="1"/>
  <c r="B32" i="36"/>
  <c r="C32" i="36" s="1"/>
  <c r="D32" i="36" s="1"/>
  <c r="E32" i="36" s="1"/>
  <c r="F32" i="36" s="1"/>
  <c r="G32" i="36" s="1"/>
  <c r="H32" i="36" s="1"/>
  <c r="B33" i="36"/>
  <c r="C33" i="36" s="1"/>
  <c r="D33" i="36" s="1"/>
  <c r="E33" i="36" s="1"/>
  <c r="F33" i="36" s="1"/>
  <c r="G33" i="36" s="1"/>
  <c r="H33" i="36" s="1"/>
  <c r="B29" i="36"/>
  <c r="C29" i="36" s="1"/>
  <c r="D29" i="36" s="1"/>
  <c r="E29" i="36" s="1"/>
  <c r="F29" i="36" s="1"/>
  <c r="G29" i="36" s="1"/>
  <c r="H29" i="36" s="1"/>
  <c r="B45" i="34"/>
  <c r="C45" i="34" s="1"/>
  <c r="D45" i="34" s="1"/>
  <c r="E45" i="34" s="1"/>
  <c r="F45" i="34" s="1"/>
  <c r="G45" i="34" s="1"/>
  <c r="H45" i="34" s="1"/>
  <c r="B41" i="34"/>
  <c r="C41" i="34" s="1"/>
  <c r="D41" i="34" s="1"/>
  <c r="E41" i="34" s="1"/>
  <c r="F41" i="34" s="1"/>
  <c r="G41" i="34" s="1"/>
  <c r="H41" i="34" s="1"/>
  <c r="B42" i="34"/>
  <c r="C42" i="34" s="1"/>
  <c r="D42" i="34" s="1"/>
  <c r="E42" i="34" s="1"/>
  <c r="F42" i="34" s="1"/>
  <c r="G42" i="34" s="1"/>
  <c r="H42" i="34" s="1"/>
  <c r="B43" i="34"/>
  <c r="C43" i="34" s="1"/>
  <c r="D43" i="34" s="1"/>
  <c r="E43" i="34" s="1"/>
  <c r="F43" i="34" s="1"/>
  <c r="G43" i="34" s="1"/>
  <c r="H43" i="34" s="1"/>
  <c r="B44" i="34"/>
  <c r="C44" i="34" s="1"/>
  <c r="D44" i="34" s="1"/>
  <c r="E44" i="34" s="1"/>
  <c r="F44" i="34" s="1"/>
  <c r="G44" i="34" s="1"/>
  <c r="H44" i="34" s="1"/>
  <c r="B40" i="34"/>
  <c r="C40" i="34" s="1"/>
  <c r="D40" i="34" s="1"/>
  <c r="E40" i="34" s="1"/>
  <c r="F40" i="34" s="1"/>
  <c r="G40" i="34" s="1"/>
  <c r="H40" i="34" s="1"/>
  <c r="B35" i="34"/>
  <c r="C35" i="34" s="1"/>
  <c r="D35" i="34" s="1"/>
  <c r="E35" i="34" s="1"/>
  <c r="F35" i="34" s="1"/>
  <c r="G35" i="34" s="1"/>
  <c r="H35" i="34" s="1"/>
  <c r="B36" i="34"/>
  <c r="C36" i="34" s="1"/>
  <c r="D36" i="34" s="1"/>
  <c r="E36" i="34" s="1"/>
  <c r="F36" i="34" s="1"/>
  <c r="G36" i="34" s="1"/>
  <c r="H36" i="34" s="1"/>
  <c r="B37" i="34"/>
  <c r="C37" i="34" s="1"/>
  <c r="D37" i="34" s="1"/>
  <c r="E37" i="34" s="1"/>
  <c r="F37" i="34" s="1"/>
  <c r="G37" i="34" s="1"/>
  <c r="H37" i="34" s="1"/>
  <c r="B38" i="34"/>
  <c r="C38" i="34" s="1"/>
  <c r="D38" i="34" s="1"/>
  <c r="E38" i="34" s="1"/>
  <c r="F38" i="34" s="1"/>
  <c r="G38" i="34" s="1"/>
  <c r="H38" i="34" s="1"/>
  <c r="B39" i="34"/>
  <c r="C39" i="34" s="1"/>
  <c r="D39" i="34" s="1"/>
  <c r="E39" i="34" s="1"/>
  <c r="F39" i="34" s="1"/>
  <c r="G39" i="34" s="1"/>
  <c r="H39" i="34" s="1"/>
  <c r="B34" i="34"/>
  <c r="C34" i="34" s="1"/>
  <c r="D34" i="34" s="1"/>
  <c r="E34" i="34" s="1"/>
  <c r="F34" i="34" s="1"/>
  <c r="G34" i="34" s="1"/>
  <c r="H34" i="34" s="1"/>
  <c r="B30" i="34"/>
  <c r="C30" i="34" s="1"/>
  <c r="D30" i="34" s="1"/>
  <c r="E30" i="34" s="1"/>
  <c r="F30" i="34" s="1"/>
  <c r="G30" i="34" s="1"/>
  <c r="H30" i="34" s="1"/>
  <c r="B31" i="34"/>
  <c r="C31" i="34" s="1"/>
  <c r="D31" i="34" s="1"/>
  <c r="E31" i="34" s="1"/>
  <c r="F31" i="34" s="1"/>
  <c r="G31" i="34" s="1"/>
  <c r="H31" i="34" s="1"/>
  <c r="B32" i="34"/>
  <c r="C32" i="34" s="1"/>
  <c r="D32" i="34" s="1"/>
  <c r="E32" i="34" s="1"/>
  <c r="F32" i="34" s="1"/>
  <c r="G32" i="34" s="1"/>
  <c r="H32" i="34" s="1"/>
  <c r="B33" i="34"/>
  <c r="C33" i="34" s="1"/>
  <c r="D33" i="34" s="1"/>
  <c r="E33" i="34" s="1"/>
  <c r="F33" i="34" s="1"/>
  <c r="G33" i="34" s="1"/>
  <c r="H33" i="34" s="1"/>
  <c r="B29" i="34"/>
  <c r="C29" i="34" s="1"/>
  <c r="D29" i="34" s="1"/>
  <c r="E29" i="34" s="1"/>
  <c r="F29" i="34" s="1"/>
  <c r="G29" i="34" s="1"/>
  <c r="H29" i="34" s="1"/>
  <c r="B45" i="33"/>
  <c r="C45" i="33" s="1"/>
  <c r="D45" i="33" s="1"/>
  <c r="E45" i="33" s="1"/>
  <c r="F45" i="33" s="1"/>
  <c r="G45" i="33" s="1"/>
  <c r="H45" i="33" s="1"/>
  <c r="B41" i="33"/>
  <c r="C41" i="33" s="1"/>
  <c r="D41" i="33" s="1"/>
  <c r="E41" i="33" s="1"/>
  <c r="F41" i="33" s="1"/>
  <c r="G41" i="33" s="1"/>
  <c r="H41" i="33" s="1"/>
  <c r="B42" i="33"/>
  <c r="C42" i="33" s="1"/>
  <c r="D42" i="33" s="1"/>
  <c r="E42" i="33" s="1"/>
  <c r="F42" i="33" s="1"/>
  <c r="G42" i="33" s="1"/>
  <c r="H42" i="33" s="1"/>
  <c r="B43" i="33"/>
  <c r="C43" i="33" s="1"/>
  <c r="D43" i="33" s="1"/>
  <c r="E43" i="33" s="1"/>
  <c r="F43" i="33" s="1"/>
  <c r="G43" i="33" s="1"/>
  <c r="H43" i="33" s="1"/>
  <c r="B44" i="33"/>
  <c r="C44" i="33" s="1"/>
  <c r="D44" i="33" s="1"/>
  <c r="E44" i="33" s="1"/>
  <c r="F44" i="33" s="1"/>
  <c r="G44" i="33" s="1"/>
  <c r="H44" i="33" s="1"/>
  <c r="B40" i="33"/>
  <c r="C40" i="33" s="1"/>
  <c r="D40" i="33" s="1"/>
  <c r="E40" i="33" s="1"/>
  <c r="F40" i="33" s="1"/>
  <c r="G40" i="33" s="1"/>
  <c r="H40" i="33" s="1"/>
  <c r="B35" i="33"/>
  <c r="C35" i="33" s="1"/>
  <c r="D35" i="33" s="1"/>
  <c r="E35" i="33" s="1"/>
  <c r="F35" i="33" s="1"/>
  <c r="G35" i="33" s="1"/>
  <c r="H35" i="33" s="1"/>
  <c r="B36" i="33"/>
  <c r="C36" i="33" s="1"/>
  <c r="D36" i="33" s="1"/>
  <c r="E36" i="33" s="1"/>
  <c r="F36" i="33" s="1"/>
  <c r="G36" i="33" s="1"/>
  <c r="H36" i="33" s="1"/>
  <c r="B37" i="33"/>
  <c r="C37" i="33" s="1"/>
  <c r="D37" i="33" s="1"/>
  <c r="E37" i="33" s="1"/>
  <c r="F37" i="33" s="1"/>
  <c r="G37" i="33" s="1"/>
  <c r="H37" i="33" s="1"/>
  <c r="B38" i="33"/>
  <c r="C38" i="33" s="1"/>
  <c r="D38" i="33" s="1"/>
  <c r="E38" i="33" s="1"/>
  <c r="F38" i="33" s="1"/>
  <c r="G38" i="33" s="1"/>
  <c r="H38" i="33" s="1"/>
  <c r="B39" i="33"/>
  <c r="C39" i="33" s="1"/>
  <c r="D39" i="33" s="1"/>
  <c r="E39" i="33" s="1"/>
  <c r="F39" i="33" s="1"/>
  <c r="G39" i="33" s="1"/>
  <c r="H39" i="33" s="1"/>
  <c r="B34" i="33"/>
  <c r="C34" i="33" s="1"/>
  <c r="D34" i="33" s="1"/>
  <c r="E34" i="33" s="1"/>
  <c r="F34" i="33" s="1"/>
  <c r="G34" i="33" s="1"/>
  <c r="H34" i="33" s="1"/>
  <c r="B30" i="33"/>
  <c r="C30" i="33" s="1"/>
  <c r="D30" i="33" s="1"/>
  <c r="E30" i="33" s="1"/>
  <c r="F30" i="33" s="1"/>
  <c r="G30" i="33" s="1"/>
  <c r="H30" i="33" s="1"/>
  <c r="B31" i="33"/>
  <c r="C31" i="33" s="1"/>
  <c r="D31" i="33" s="1"/>
  <c r="E31" i="33" s="1"/>
  <c r="F31" i="33" s="1"/>
  <c r="G31" i="33" s="1"/>
  <c r="H31" i="33" s="1"/>
  <c r="B32" i="33"/>
  <c r="C32" i="33" s="1"/>
  <c r="D32" i="33" s="1"/>
  <c r="E32" i="33" s="1"/>
  <c r="F32" i="33" s="1"/>
  <c r="G32" i="33" s="1"/>
  <c r="H32" i="33" s="1"/>
  <c r="B33" i="33"/>
  <c r="C33" i="33" s="1"/>
  <c r="D33" i="33" s="1"/>
  <c r="E33" i="33" s="1"/>
  <c r="F33" i="33" s="1"/>
  <c r="G33" i="33" s="1"/>
  <c r="H33" i="33" s="1"/>
  <c r="B29" i="33"/>
  <c r="C29" i="33" s="1"/>
  <c r="D29" i="33" s="1"/>
  <c r="E29" i="33" s="1"/>
  <c r="F29" i="33" s="1"/>
  <c r="G29" i="33" s="1"/>
  <c r="H29" i="33" s="1"/>
  <c r="B45" i="32"/>
  <c r="C45" i="32" s="1"/>
  <c r="D45" i="32" s="1"/>
  <c r="E45" i="32" s="1"/>
  <c r="F45" i="32" s="1"/>
  <c r="G45" i="32" s="1"/>
  <c r="H45" i="32" s="1"/>
  <c r="B41" i="32"/>
  <c r="C41" i="32" s="1"/>
  <c r="D41" i="32" s="1"/>
  <c r="E41" i="32" s="1"/>
  <c r="F41" i="32" s="1"/>
  <c r="G41" i="32" s="1"/>
  <c r="H41" i="32" s="1"/>
  <c r="B42" i="32"/>
  <c r="C42" i="32" s="1"/>
  <c r="D42" i="32" s="1"/>
  <c r="E42" i="32" s="1"/>
  <c r="F42" i="32" s="1"/>
  <c r="G42" i="32" s="1"/>
  <c r="H42" i="32" s="1"/>
  <c r="B43" i="32"/>
  <c r="C43" i="32" s="1"/>
  <c r="D43" i="32" s="1"/>
  <c r="E43" i="32" s="1"/>
  <c r="F43" i="32" s="1"/>
  <c r="G43" i="32" s="1"/>
  <c r="H43" i="32" s="1"/>
  <c r="B44" i="32"/>
  <c r="C44" i="32" s="1"/>
  <c r="D44" i="32" s="1"/>
  <c r="E44" i="32" s="1"/>
  <c r="F44" i="32" s="1"/>
  <c r="G44" i="32" s="1"/>
  <c r="H44" i="32" s="1"/>
  <c r="B40" i="32"/>
  <c r="C40" i="32" s="1"/>
  <c r="D40" i="32" s="1"/>
  <c r="E40" i="32" s="1"/>
  <c r="F40" i="32" s="1"/>
  <c r="G40" i="32" s="1"/>
  <c r="H40" i="32" s="1"/>
  <c r="B35" i="32"/>
  <c r="C35" i="32" s="1"/>
  <c r="D35" i="32" s="1"/>
  <c r="E35" i="32" s="1"/>
  <c r="F35" i="32" s="1"/>
  <c r="G35" i="32" s="1"/>
  <c r="H35" i="32" s="1"/>
  <c r="B36" i="32"/>
  <c r="C36" i="32" s="1"/>
  <c r="D36" i="32" s="1"/>
  <c r="E36" i="32" s="1"/>
  <c r="F36" i="32" s="1"/>
  <c r="G36" i="32" s="1"/>
  <c r="H36" i="32" s="1"/>
  <c r="B37" i="32"/>
  <c r="C37" i="32" s="1"/>
  <c r="D37" i="32" s="1"/>
  <c r="E37" i="32" s="1"/>
  <c r="F37" i="32" s="1"/>
  <c r="G37" i="32" s="1"/>
  <c r="H37" i="32" s="1"/>
  <c r="B38" i="32"/>
  <c r="C38" i="32" s="1"/>
  <c r="D38" i="32" s="1"/>
  <c r="E38" i="32" s="1"/>
  <c r="F38" i="32" s="1"/>
  <c r="G38" i="32" s="1"/>
  <c r="H38" i="32" s="1"/>
  <c r="B39" i="32"/>
  <c r="C39" i="32" s="1"/>
  <c r="D39" i="32" s="1"/>
  <c r="E39" i="32" s="1"/>
  <c r="F39" i="32" s="1"/>
  <c r="G39" i="32" s="1"/>
  <c r="H39" i="32" s="1"/>
  <c r="B34" i="32"/>
  <c r="C34" i="32" s="1"/>
  <c r="D34" i="32" s="1"/>
  <c r="E34" i="32" s="1"/>
  <c r="F34" i="32" s="1"/>
  <c r="G34" i="32" s="1"/>
  <c r="H34" i="32" s="1"/>
  <c r="B30" i="32"/>
  <c r="C30" i="32" s="1"/>
  <c r="D30" i="32" s="1"/>
  <c r="E30" i="32" s="1"/>
  <c r="F30" i="32" s="1"/>
  <c r="G30" i="32" s="1"/>
  <c r="H30" i="32" s="1"/>
  <c r="B31" i="32"/>
  <c r="C31" i="32" s="1"/>
  <c r="D31" i="32" s="1"/>
  <c r="E31" i="32" s="1"/>
  <c r="F31" i="32" s="1"/>
  <c r="G31" i="32" s="1"/>
  <c r="H31" i="32" s="1"/>
  <c r="B32" i="32"/>
  <c r="C32" i="32" s="1"/>
  <c r="D32" i="32" s="1"/>
  <c r="E32" i="32" s="1"/>
  <c r="F32" i="32" s="1"/>
  <c r="G32" i="32" s="1"/>
  <c r="H32" i="32" s="1"/>
  <c r="B33" i="32"/>
  <c r="C33" i="32" s="1"/>
  <c r="D33" i="32" s="1"/>
  <c r="E33" i="32" s="1"/>
  <c r="F33" i="32" s="1"/>
  <c r="G33" i="32" s="1"/>
  <c r="H33" i="32" s="1"/>
  <c r="B29" i="32"/>
  <c r="C29" i="32" s="1"/>
  <c r="D29" i="32" s="1"/>
  <c r="E29" i="32" s="1"/>
  <c r="F29" i="32" s="1"/>
  <c r="G29" i="32" s="1"/>
  <c r="H29" i="32" s="1"/>
  <c r="B45" i="31"/>
  <c r="C45" i="31" s="1"/>
  <c r="D45" i="31" s="1"/>
  <c r="E45" i="31" s="1"/>
  <c r="F45" i="31" s="1"/>
  <c r="G45" i="31" s="1"/>
  <c r="H45" i="31" s="1"/>
  <c r="B41" i="31"/>
  <c r="C41" i="31" s="1"/>
  <c r="D41" i="31" s="1"/>
  <c r="E41" i="31" s="1"/>
  <c r="F41" i="31" s="1"/>
  <c r="G41" i="31" s="1"/>
  <c r="H41" i="31" s="1"/>
  <c r="B42" i="31"/>
  <c r="C42" i="31" s="1"/>
  <c r="D42" i="31" s="1"/>
  <c r="E42" i="31" s="1"/>
  <c r="F42" i="31" s="1"/>
  <c r="G42" i="31" s="1"/>
  <c r="H42" i="31" s="1"/>
  <c r="B43" i="31"/>
  <c r="C43" i="31" s="1"/>
  <c r="D43" i="31" s="1"/>
  <c r="E43" i="31" s="1"/>
  <c r="F43" i="31" s="1"/>
  <c r="G43" i="31" s="1"/>
  <c r="H43" i="31" s="1"/>
  <c r="B44" i="31"/>
  <c r="C44" i="31" s="1"/>
  <c r="D44" i="31" s="1"/>
  <c r="E44" i="31" s="1"/>
  <c r="F44" i="31" s="1"/>
  <c r="G44" i="31" s="1"/>
  <c r="H44" i="31" s="1"/>
  <c r="B40" i="31"/>
  <c r="C40" i="31" s="1"/>
  <c r="D40" i="31" s="1"/>
  <c r="E40" i="31" s="1"/>
  <c r="F40" i="31" s="1"/>
  <c r="G40" i="31" s="1"/>
  <c r="H40" i="31" s="1"/>
  <c r="B35" i="31"/>
  <c r="C35" i="31" s="1"/>
  <c r="D35" i="31" s="1"/>
  <c r="E35" i="31" s="1"/>
  <c r="F35" i="31" s="1"/>
  <c r="G35" i="31" s="1"/>
  <c r="H35" i="31" s="1"/>
  <c r="B36" i="31"/>
  <c r="C36" i="31" s="1"/>
  <c r="D36" i="31" s="1"/>
  <c r="E36" i="31" s="1"/>
  <c r="F36" i="31" s="1"/>
  <c r="G36" i="31" s="1"/>
  <c r="H36" i="31" s="1"/>
  <c r="B37" i="31"/>
  <c r="C37" i="31" s="1"/>
  <c r="D37" i="31" s="1"/>
  <c r="E37" i="31" s="1"/>
  <c r="F37" i="31" s="1"/>
  <c r="G37" i="31" s="1"/>
  <c r="H37" i="31" s="1"/>
  <c r="B38" i="31"/>
  <c r="C38" i="31" s="1"/>
  <c r="D38" i="31" s="1"/>
  <c r="E38" i="31" s="1"/>
  <c r="F38" i="31" s="1"/>
  <c r="G38" i="31" s="1"/>
  <c r="H38" i="31" s="1"/>
  <c r="B39" i="31"/>
  <c r="C39" i="31" s="1"/>
  <c r="D39" i="31" s="1"/>
  <c r="E39" i="31" s="1"/>
  <c r="F39" i="31" s="1"/>
  <c r="G39" i="31" s="1"/>
  <c r="H39" i="31" s="1"/>
  <c r="B34" i="31"/>
  <c r="C34" i="31" s="1"/>
  <c r="D34" i="31" s="1"/>
  <c r="E34" i="31" s="1"/>
  <c r="F34" i="31" s="1"/>
  <c r="G34" i="31" s="1"/>
  <c r="H34" i="31" s="1"/>
  <c r="B30" i="31"/>
  <c r="C30" i="31" s="1"/>
  <c r="D30" i="31" s="1"/>
  <c r="E30" i="31" s="1"/>
  <c r="F30" i="31" s="1"/>
  <c r="G30" i="31" s="1"/>
  <c r="H30" i="31" s="1"/>
  <c r="B31" i="31"/>
  <c r="C31" i="31" s="1"/>
  <c r="D31" i="31" s="1"/>
  <c r="E31" i="31" s="1"/>
  <c r="F31" i="31" s="1"/>
  <c r="G31" i="31" s="1"/>
  <c r="H31" i="31" s="1"/>
  <c r="B32" i="31"/>
  <c r="C32" i="31" s="1"/>
  <c r="D32" i="31" s="1"/>
  <c r="E32" i="31" s="1"/>
  <c r="F32" i="31" s="1"/>
  <c r="G32" i="31" s="1"/>
  <c r="H32" i="31" s="1"/>
  <c r="B33" i="31"/>
  <c r="C33" i="31" s="1"/>
  <c r="D33" i="31" s="1"/>
  <c r="E33" i="31" s="1"/>
  <c r="F33" i="31" s="1"/>
  <c r="G33" i="31" s="1"/>
  <c r="H33" i="31" s="1"/>
  <c r="B29" i="31"/>
  <c r="C29" i="31" s="1"/>
  <c r="D29" i="31" s="1"/>
  <c r="E29" i="31" s="1"/>
  <c r="F29" i="31" s="1"/>
  <c r="G29" i="31" s="1"/>
  <c r="H29" i="31" s="1"/>
  <c r="B45" i="30"/>
  <c r="C45" i="30" s="1"/>
  <c r="D45" i="30" s="1"/>
  <c r="E45" i="30" s="1"/>
  <c r="F45" i="30" s="1"/>
  <c r="G45" i="30" s="1"/>
  <c r="H45" i="30" s="1"/>
  <c r="B41" i="30"/>
  <c r="C41" i="30" s="1"/>
  <c r="D41" i="30" s="1"/>
  <c r="E41" i="30" s="1"/>
  <c r="F41" i="30" s="1"/>
  <c r="G41" i="30" s="1"/>
  <c r="H41" i="30" s="1"/>
  <c r="B42" i="30"/>
  <c r="C42" i="30" s="1"/>
  <c r="D42" i="30" s="1"/>
  <c r="E42" i="30" s="1"/>
  <c r="F42" i="30" s="1"/>
  <c r="G42" i="30" s="1"/>
  <c r="H42" i="30" s="1"/>
  <c r="B43" i="30"/>
  <c r="C43" i="30" s="1"/>
  <c r="D43" i="30" s="1"/>
  <c r="E43" i="30" s="1"/>
  <c r="F43" i="30" s="1"/>
  <c r="G43" i="30" s="1"/>
  <c r="H43" i="30" s="1"/>
  <c r="B44" i="30"/>
  <c r="C44" i="30" s="1"/>
  <c r="D44" i="30" s="1"/>
  <c r="E44" i="30" s="1"/>
  <c r="F44" i="30" s="1"/>
  <c r="G44" i="30" s="1"/>
  <c r="H44" i="30" s="1"/>
  <c r="B40" i="30"/>
  <c r="C40" i="30" s="1"/>
  <c r="D40" i="30" s="1"/>
  <c r="E40" i="30" s="1"/>
  <c r="F40" i="30" s="1"/>
  <c r="G40" i="30" s="1"/>
  <c r="H40" i="30" s="1"/>
  <c r="B35" i="30"/>
  <c r="C35" i="30" s="1"/>
  <c r="D35" i="30" s="1"/>
  <c r="E35" i="30" s="1"/>
  <c r="F35" i="30" s="1"/>
  <c r="G35" i="30" s="1"/>
  <c r="H35" i="30" s="1"/>
  <c r="B36" i="30"/>
  <c r="C36" i="30" s="1"/>
  <c r="D36" i="30" s="1"/>
  <c r="E36" i="30" s="1"/>
  <c r="F36" i="30" s="1"/>
  <c r="G36" i="30" s="1"/>
  <c r="H36" i="30" s="1"/>
  <c r="B37" i="30"/>
  <c r="C37" i="30" s="1"/>
  <c r="D37" i="30" s="1"/>
  <c r="E37" i="30" s="1"/>
  <c r="F37" i="30" s="1"/>
  <c r="G37" i="30" s="1"/>
  <c r="H37" i="30" s="1"/>
  <c r="B38" i="30"/>
  <c r="C38" i="30" s="1"/>
  <c r="D38" i="30" s="1"/>
  <c r="E38" i="30" s="1"/>
  <c r="F38" i="30" s="1"/>
  <c r="G38" i="30" s="1"/>
  <c r="H38" i="30" s="1"/>
  <c r="B39" i="30"/>
  <c r="C39" i="30" s="1"/>
  <c r="D39" i="30" s="1"/>
  <c r="E39" i="30" s="1"/>
  <c r="F39" i="30" s="1"/>
  <c r="G39" i="30" s="1"/>
  <c r="H39" i="30" s="1"/>
  <c r="B34" i="30"/>
  <c r="C34" i="30" s="1"/>
  <c r="D34" i="30" s="1"/>
  <c r="E34" i="30" s="1"/>
  <c r="F34" i="30" s="1"/>
  <c r="G34" i="30" s="1"/>
  <c r="H34" i="30" s="1"/>
  <c r="B30" i="30"/>
  <c r="C30" i="30" s="1"/>
  <c r="D30" i="30" s="1"/>
  <c r="E30" i="30" s="1"/>
  <c r="F30" i="30" s="1"/>
  <c r="G30" i="30" s="1"/>
  <c r="H30" i="30" s="1"/>
  <c r="B31" i="30"/>
  <c r="C31" i="30" s="1"/>
  <c r="D31" i="30" s="1"/>
  <c r="E31" i="30" s="1"/>
  <c r="F31" i="30" s="1"/>
  <c r="G31" i="30" s="1"/>
  <c r="H31" i="30" s="1"/>
  <c r="B32" i="30"/>
  <c r="C32" i="30" s="1"/>
  <c r="D32" i="30" s="1"/>
  <c r="E32" i="30" s="1"/>
  <c r="F32" i="30" s="1"/>
  <c r="G32" i="30" s="1"/>
  <c r="H32" i="30" s="1"/>
  <c r="B33" i="30"/>
  <c r="C33" i="30" s="1"/>
  <c r="D33" i="30" s="1"/>
  <c r="E33" i="30" s="1"/>
  <c r="F33" i="30" s="1"/>
  <c r="G33" i="30" s="1"/>
  <c r="H33" i="30" s="1"/>
  <c r="B29" i="30"/>
  <c r="C29" i="30" s="1"/>
  <c r="D29" i="30" s="1"/>
  <c r="E29" i="30" s="1"/>
  <c r="F29" i="30" s="1"/>
  <c r="G29" i="30" s="1"/>
  <c r="H29" i="30" s="1"/>
  <c r="C45" i="40"/>
  <c r="D45" i="40" s="1"/>
  <c r="E45" i="40" s="1"/>
  <c r="F45" i="40" s="1"/>
  <c r="G45" i="40" s="1"/>
  <c r="H45" i="40" s="1"/>
  <c r="C32" i="41"/>
  <c r="D32" i="41" s="1"/>
  <c r="E32" i="41" s="1"/>
  <c r="F32" i="41" s="1"/>
  <c r="G32" i="41" s="1"/>
  <c r="H32" i="41" s="1"/>
  <c r="B45" i="29"/>
  <c r="B41" i="29"/>
  <c r="B42" i="29"/>
  <c r="B43" i="29"/>
  <c r="B44" i="29"/>
  <c r="B40" i="29"/>
  <c r="B35" i="29"/>
  <c r="B36" i="29"/>
  <c r="B37" i="29"/>
  <c r="B38" i="29"/>
  <c r="B39" i="29"/>
  <c r="B34" i="29"/>
  <c r="B30" i="29"/>
  <c r="B31" i="29"/>
  <c r="B32" i="29"/>
  <c r="B33" i="29"/>
  <c r="B29" i="29"/>
  <c r="B87" i="28"/>
  <c r="C87" i="28" s="1"/>
  <c r="C107" i="28" s="1"/>
  <c r="C128" i="28" s="1"/>
  <c r="B83" i="28"/>
  <c r="B103" i="28" s="1"/>
  <c r="B124" i="28" s="1"/>
  <c r="B84" i="28"/>
  <c r="B85" i="28"/>
  <c r="B86" i="28"/>
  <c r="B82" i="28"/>
  <c r="C82" i="28" s="1"/>
  <c r="C102" i="28" s="1"/>
  <c r="C123" i="28" s="1"/>
  <c r="B77" i="28"/>
  <c r="B78" i="28"/>
  <c r="B79" i="28"/>
  <c r="B80" i="28"/>
  <c r="B81" i="28"/>
  <c r="B76" i="28"/>
  <c r="B75" i="28"/>
  <c r="B72" i="28"/>
  <c r="C72" i="28" s="1"/>
  <c r="C92" i="28" s="1"/>
  <c r="C113" i="28" s="1"/>
  <c r="B73" i="28"/>
  <c r="B74" i="28"/>
  <c r="B71" i="28"/>
  <c r="B87" i="2"/>
  <c r="B83" i="2"/>
  <c r="C83" i="2" s="1"/>
  <c r="C103" i="2" s="1"/>
  <c r="C124" i="2" s="1"/>
  <c r="B84" i="2"/>
  <c r="C84" i="2" s="1"/>
  <c r="C104" i="2" s="1"/>
  <c r="C125" i="2" s="1"/>
  <c r="B85" i="2"/>
  <c r="C85" i="2" s="1"/>
  <c r="C105" i="2" s="1"/>
  <c r="C126" i="2" s="1"/>
  <c r="B86" i="2"/>
  <c r="C86" i="2" s="1"/>
  <c r="C106" i="2" s="1"/>
  <c r="C127" i="2" s="1"/>
  <c r="B82" i="2"/>
  <c r="C82" i="2" s="1"/>
  <c r="C102" i="2" s="1"/>
  <c r="C123" i="2" s="1"/>
  <c r="B77" i="2"/>
  <c r="C77" i="2" s="1"/>
  <c r="C97" i="2" s="1"/>
  <c r="C118" i="2" s="1"/>
  <c r="B78" i="2"/>
  <c r="C78" i="2" s="1"/>
  <c r="C98" i="2" s="1"/>
  <c r="C119" i="2" s="1"/>
  <c r="B79" i="2"/>
  <c r="C79" i="2" s="1"/>
  <c r="C99" i="2" s="1"/>
  <c r="C120" i="2" s="1"/>
  <c r="B81" i="2"/>
  <c r="B76" i="2"/>
  <c r="B72" i="2"/>
  <c r="B73" i="2"/>
  <c r="B74" i="2"/>
  <c r="C74" i="2" s="1"/>
  <c r="C94" i="2" s="1"/>
  <c r="C115" i="2" s="1"/>
  <c r="B75" i="2"/>
  <c r="C75" i="2" s="1"/>
  <c r="C95" i="2" s="1"/>
  <c r="C116" i="2" s="1"/>
  <c r="B71" i="2"/>
  <c r="B91" i="2" s="1"/>
  <c r="B112" i="2" s="1"/>
  <c r="C83" i="28" l="1"/>
  <c r="C103" i="28" s="1"/>
  <c r="C124" i="28" s="1"/>
  <c r="E4" i="64"/>
  <c r="A12" i="64" s="1"/>
  <c r="C34" i="29"/>
  <c r="B34" i="1"/>
  <c r="C36" i="29"/>
  <c r="B36" i="1"/>
  <c r="C43" i="29"/>
  <c r="B43" i="1"/>
  <c r="C31" i="29"/>
  <c r="C38" i="29"/>
  <c r="B38" i="1"/>
  <c r="C40" i="29"/>
  <c r="B40" i="1"/>
  <c r="C41" i="29"/>
  <c r="B41" i="1"/>
  <c r="C29" i="29"/>
  <c r="B29" i="1"/>
  <c r="C30" i="29"/>
  <c r="B30" i="1"/>
  <c r="C37" i="29"/>
  <c r="B37" i="1"/>
  <c r="C44" i="29"/>
  <c r="B44" i="1"/>
  <c r="C45" i="29"/>
  <c r="B45" i="1"/>
  <c r="C33" i="29"/>
  <c r="B33" i="1"/>
  <c r="C32" i="29"/>
  <c r="B32" i="1"/>
  <c r="C39" i="29"/>
  <c r="B39" i="1"/>
  <c r="C35" i="29"/>
  <c r="B35" i="1"/>
  <c r="C42" i="29"/>
  <c r="B42" i="1"/>
  <c r="I135" i="39"/>
  <c r="I149" i="39" s="1"/>
  <c r="I132" i="41"/>
  <c r="I149" i="41" s="1"/>
  <c r="E4" i="52"/>
  <c r="A12" i="52" s="1"/>
  <c r="E4" i="68"/>
  <c r="A12" i="68" s="1"/>
  <c r="E4" i="43"/>
  <c r="A12" i="43" s="1"/>
  <c r="C81" i="28"/>
  <c r="C101" i="28" s="1"/>
  <c r="C122" i="28" s="1"/>
  <c r="C77" i="28"/>
  <c r="C97" i="28" s="1"/>
  <c r="C118" i="28" s="1"/>
  <c r="J29" i="30"/>
  <c r="I29" i="30"/>
  <c r="J45" i="30"/>
  <c r="I45" i="30"/>
  <c r="D82" i="2"/>
  <c r="D102" i="2" s="1"/>
  <c r="D123" i="2" s="1"/>
  <c r="D82" i="28"/>
  <c r="D102" i="28" s="1"/>
  <c r="D123" i="28" s="1"/>
  <c r="C74" i="28"/>
  <c r="C94" i="28" s="1"/>
  <c r="C115" i="28" s="1"/>
  <c r="C76" i="28"/>
  <c r="C96" i="28" s="1"/>
  <c r="C117" i="28" s="1"/>
  <c r="C78" i="28"/>
  <c r="C98" i="28" s="1"/>
  <c r="C119" i="28" s="1"/>
  <c r="C85" i="28"/>
  <c r="C105" i="28" s="1"/>
  <c r="C126" i="28" s="1"/>
  <c r="J32" i="30"/>
  <c r="I32" i="30"/>
  <c r="J36" i="30"/>
  <c r="I36" i="30"/>
  <c r="J40" i="30"/>
  <c r="I40" i="30"/>
  <c r="J44" i="30"/>
  <c r="I44" i="30"/>
  <c r="J32" i="31"/>
  <c r="I32" i="31"/>
  <c r="J36" i="31"/>
  <c r="I36" i="31"/>
  <c r="J41" i="31"/>
  <c r="I41" i="31"/>
  <c r="J45" i="31"/>
  <c r="I45" i="31"/>
  <c r="J32" i="32"/>
  <c r="I32" i="32"/>
  <c r="J36" i="32"/>
  <c r="I36" i="32"/>
  <c r="J43" i="32"/>
  <c r="I43" i="32"/>
  <c r="J33" i="33"/>
  <c r="I33" i="33"/>
  <c r="J37" i="33"/>
  <c r="I37" i="33"/>
  <c r="J41" i="33"/>
  <c r="I41" i="33"/>
  <c r="J45" i="33"/>
  <c r="I45" i="33"/>
  <c r="J32" i="34"/>
  <c r="I32" i="34"/>
  <c r="J36" i="34"/>
  <c r="I36" i="34"/>
  <c r="J40" i="34"/>
  <c r="I40" i="34"/>
  <c r="J45" i="34"/>
  <c r="I45" i="34"/>
  <c r="J32" i="36"/>
  <c r="I32" i="36"/>
  <c r="J38" i="36"/>
  <c r="I38" i="36"/>
  <c r="J42" i="36"/>
  <c r="I42" i="36"/>
  <c r="J30" i="38"/>
  <c r="I30" i="38"/>
  <c r="J35" i="38"/>
  <c r="I35" i="38"/>
  <c r="J39" i="38"/>
  <c r="I39" i="38"/>
  <c r="J43" i="38"/>
  <c r="I43" i="38"/>
  <c r="J30" i="39"/>
  <c r="I30" i="39"/>
  <c r="J35" i="39"/>
  <c r="I35" i="39"/>
  <c r="J41" i="39"/>
  <c r="I41" i="39"/>
  <c r="J29" i="41"/>
  <c r="I29" i="41"/>
  <c r="J33" i="41"/>
  <c r="I33" i="41"/>
  <c r="J38" i="41"/>
  <c r="I38" i="41"/>
  <c r="J42" i="41"/>
  <c r="I42" i="41"/>
  <c r="J32" i="37"/>
  <c r="I32" i="37"/>
  <c r="J37" i="37"/>
  <c r="I37" i="37"/>
  <c r="J42" i="37"/>
  <c r="I42" i="37"/>
  <c r="J31" i="35"/>
  <c r="I31" i="35"/>
  <c r="J36" i="35"/>
  <c r="I36" i="35"/>
  <c r="J41" i="35"/>
  <c r="I41" i="35"/>
  <c r="J45" i="35"/>
  <c r="I45" i="35"/>
  <c r="J33" i="40"/>
  <c r="I33" i="40"/>
  <c r="J37" i="40"/>
  <c r="I37" i="40"/>
  <c r="J41" i="40"/>
  <c r="I41" i="40"/>
  <c r="J34" i="39"/>
  <c r="I34" i="39"/>
  <c r="I132" i="37"/>
  <c r="I149" i="37" s="1"/>
  <c r="I132" i="31"/>
  <c r="I149" i="31" s="1"/>
  <c r="D79" i="2"/>
  <c r="D99" i="2" s="1"/>
  <c r="D120" i="2" s="1"/>
  <c r="C73" i="28"/>
  <c r="C93" i="28" s="1"/>
  <c r="C114" i="28" s="1"/>
  <c r="C84" i="28"/>
  <c r="C104" i="28" s="1"/>
  <c r="C125" i="28" s="1"/>
  <c r="J41" i="30"/>
  <c r="I41" i="30"/>
  <c r="J33" i="31"/>
  <c r="I33" i="31"/>
  <c r="J29" i="32"/>
  <c r="I29" i="32"/>
  <c r="J33" i="32"/>
  <c r="I33" i="32"/>
  <c r="J37" i="32"/>
  <c r="I37" i="32"/>
  <c r="J44" i="32"/>
  <c r="I44" i="32"/>
  <c r="J34" i="33"/>
  <c r="I34" i="33"/>
  <c r="J38" i="33"/>
  <c r="I38" i="33"/>
  <c r="J42" i="33"/>
  <c r="I42" i="33"/>
  <c r="J29" i="34"/>
  <c r="I29" i="34"/>
  <c r="J33" i="34"/>
  <c r="I33" i="34"/>
  <c r="J37" i="34"/>
  <c r="I37" i="34"/>
  <c r="J41" i="34"/>
  <c r="I41" i="34"/>
  <c r="J29" i="36"/>
  <c r="I29" i="36"/>
  <c r="J33" i="36"/>
  <c r="I33" i="36"/>
  <c r="J39" i="36"/>
  <c r="I39" i="36"/>
  <c r="J44" i="36"/>
  <c r="I44" i="36"/>
  <c r="J31" i="38"/>
  <c r="I31" i="38"/>
  <c r="J36" i="38"/>
  <c r="I36" i="38"/>
  <c r="J40" i="38"/>
  <c r="I40" i="38"/>
  <c r="J44" i="38"/>
  <c r="I44" i="38"/>
  <c r="J31" i="39"/>
  <c r="I31" i="39"/>
  <c r="J38" i="39"/>
  <c r="I38" i="39"/>
  <c r="J43" i="39"/>
  <c r="I43" i="39"/>
  <c r="J30" i="41"/>
  <c r="I30" i="41"/>
  <c r="J34" i="41"/>
  <c r="I34" i="41"/>
  <c r="J39" i="41"/>
  <c r="I39" i="41"/>
  <c r="J43" i="41"/>
  <c r="I43" i="41"/>
  <c r="J33" i="37"/>
  <c r="I33" i="37"/>
  <c r="J38" i="37"/>
  <c r="I38" i="37"/>
  <c r="J43" i="37"/>
  <c r="I43" i="37"/>
  <c r="J33" i="35"/>
  <c r="I33" i="35"/>
  <c r="J37" i="35"/>
  <c r="I37" i="35"/>
  <c r="J42" i="35"/>
  <c r="I42" i="35"/>
  <c r="J29" i="40"/>
  <c r="I29" i="40"/>
  <c r="J34" i="40"/>
  <c r="I34" i="40"/>
  <c r="J38" i="40"/>
  <c r="I38" i="40"/>
  <c r="J42" i="40"/>
  <c r="I42" i="40"/>
  <c r="J29" i="31"/>
  <c r="I29" i="31"/>
  <c r="J37" i="31"/>
  <c r="I37" i="31"/>
  <c r="J38" i="32"/>
  <c r="I38" i="32"/>
  <c r="J40" i="32"/>
  <c r="I40" i="32"/>
  <c r="J41" i="32"/>
  <c r="I41" i="32"/>
  <c r="J32" i="33"/>
  <c r="I32" i="33"/>
  <c r="J43" i="34"/>
  <c r="I43" i="34"/>
  <c r="J37" i="39"/>
  <c r="I37" i="39"/>
  <c r="J36" i="39"/>
  <c r="I36" i="39"/>
  <c r="J37" i="41"/>
  <c r="I37" i="41"/>
  <c r="J45" i="41"/>
  <c r="I45" i="41"/>
  <c r="J40" i="37"/>
  <c r="I40" i="37"/>
  <c r="J32" i="35"/>
  <c r="I32" i="35"/>
  <c r="J43" i="40"/>
  <c r="I43" i="40"/>
  <c r="D86" i="2"/>
  <c r="D106" i="2" s="1"/>
  <c r="D127" i="2" s="1"/>
  <c r="J33" i="30"/>
  <c r="I33" i="30"/>
  <c r="J42" i="31"/>
  <c r="I42" i="31"/>
  <c r="D78" i="2"/>
  <c r="D98" i="2" s="1"/>
  <c r="D119" i="2" s="1"/>
  <c r="D72" i="28"/>
  <c r="D92" i="28" s="1"/>
  <c r="D113" i="28" s="1"/>
  <c r="D87" i="28"/>
  <c r="D107" i="28" s="1"/>
  <c r="D128" i="28" s="1"/>
  <c r="J34" i="30"/>
  <c r="I34" i="30"/>
  <c r="J30" i="31"/>
  <c r="I30" i="31"/>
  <c r="J43" i="31"/>
  <c r="I43" i="31"/>
  <c r="J34" i="32"/>
  <c r="I34" i="32"/>
  <c r="J35" i="33"/>
  <c r="I35" i="33"/>
  <c r="J30" i="34"/>
  <c r="I30" i="34"/>
  <c r="J42" i="34"/>
  <c r="I42" i="34"/>
  <c r="J35" i="36"/>
  <c r="I35" i="36"/>
  <c r="J45" i="36"/>
  <c r="I45" i="36"/>
  <c r="J37" i="38"/>
  <c r="I37" i="38"/>
  <c r="J41" i="38"/>
  <c r="I41" i="38"/>
  <c r="J45" i="38"/>
  <c r="I45" i="38"/>
  <c r="J32" i="39"/>
  <c r="I32" i="39"/>
  <c r="J39" i="39"/>
  <c r="I39" i="39"/>
  <c r="J44" i="39"/>
  <c r="I44" i="39"/>
  <c r="J31" i="41"/>
  <c r="I31" i="41"/>
  <c r="J35" i="41"/>
  <c r="I35" i="41"/>
  <c r="J40" i="41"/>
  <c r="I40" i="41"/>
  <c r="J44" i="41"/>
  <c r="I44" i="41"/>
  <c r="J35" i="37"/>
  <c r="I35" i="37"/>
  <c r="J39" i="37"/>
  <c r="I39" i="37"/>
  <c r="J29" i="35"/>
  <c r="I29" i="35"/>
  <c r="J34" i="35"/>
  <c r="I34" i="35"/>
  <c r="J38" i="35"/>
  <c r="I38" i="35"/>
  <c r="J43" i="35"/>
  <c r="I43" i="35"/>
  <c r="J30" i="40"/>
  <c r="I30" i="40"/>
  <c r="J35" i="40"/>
  <c r="I35" i="40"/>
  <c r="J39" i="40"/>
  <c r="I39" i="40"/>
  <c r="J44" i="40"/>
  <c r="I44" i="40"/>
  <c r="J45" i="32"/>
  <c r="I45" i="32"/>
  <c r="J34" i="36"/>
  <c r="I34" i="36"/>
  <c r="J36" i="36"/>
  <c r="I36" i="36"/>
  <c r="J43" i="36"/>
  <c r="I43" i="36"/>
  <c r="J42" i="39"/>
  <c r="I42" i="39"/>
  <c r="J29" i="37"/>
  <c r="I29" i="37"/>
  <c r="J30" i="37"/>
  <c r="I30" i="37"/>
  <c r="J44" i="37"/>
  <c r="I44" i="37"/>
  <c r="J45" i="37"/>
  <c r="I45" i="37"/>
  <c r="J40" i="35"/>
  <c r="I40" i="35"/>
  <c r="J37" i="30"/>
  <c r="I37" i="30"/>
  <c r="J38" i="31"/>
  <c r="I38" i="31"/>
  <c r="D75" i="2"/>
  <c r="D95" i="2" s="1"/>
  <c r="D116" i="2" s="1"/>
  <c r="D85" i="2"/>
  <c r="D105" i="2" s="1"/>
  <c r="D126" i="2" s="1"/>
  <c r="J30" i="30"/>
  <c r="I30" i="30"/>
  <c r="J38" i="30"/>
  <c r="I38" i="30"/>
  <c r="J42" i="30"/>
  <c r="I42" i="30"/>
  <c r="J34" i="31"/>
  <c r="I34" i="31"/>
  <c r="J39" i="31"/>
  <c r="I39" i="31"/>
  <c r="J30" i="32"/>
  <c r="I30" i="32"/>
  <c r="J39" i="32"/>
  <c r="I39" i="32"/>
  <c r="J29" i="33"/>
  <c r="I29" i="33"/>
  <c r="J39" i="33"/>
  <c r="I39" i="33"/>
  <c r="J43" i="33"/>
  <c r="I43" i="33"/>
  <c r="J34" i="34"/>
  <c r="I34" i="34"/>
  <c r="J38" i="34"/>
  <c r="I38" i="34"/>
  <c r="J30" i="36"/>
  <c r="I30" i="36"/>
  <c r="J40" i="36"/>
  <c r="I40" i="36"/>
  <c r="J32" i="38"/>
  <c r="I32" i="38"/>
  <c r="D74" i="2"/>
  <c r="D94" i="2" s="1"/>
  <c r="D115" i="2" s="1"/>
  <c r="D77" i="2"/>
  <c r="D97" i="2" s="1"/>
  <c r="D118" i="2" s="1"/>
  <c r="D84" i="2"/>
  <c r="D104" i="2" s="1"/>
  <c r="D125" i="2" s="1"/>
  <c r="C80" i="28"/>
  <c r="C100" i="28" s="1"/>
  <c r="C121" i="28" s="1"/>
  <c r="C71" i="28"/>
  <c r="C91" i="28" s="1"/>
  <c r="C112" i="28" s="1"/>
  <c r="C75" i="28"/>
  <c r="C95" i="28" s="1"/>
  <c r="C116" i="28" s="1"/>
  <c r="C79" i="28"/>
  <c r="C99" i="28" s="1"/>
  <c r="C120" i="28" s="1"/>
  <c r="C86" i="28"/>
  <c r="C106" i="28" s="1"/>
  <c r="C127" i="28" s="1"/>
  <c r="J31" i="30"/>
  <c r="I31" i="30"/>
  <c r="J35" i="30"/>
  <c r="I35" i="30"/>
  <c r="J39" i="30"/>
  <c r="I39" i="30"/>
  <c r="J43" i="30"/>
  <c r="I43" i="30"/>
  <c r="J31" i="31"/>
  <c r="I31" i="31"/>
  <c r="J35" i="31"/>
  <c r="I35" i="31"/>
  <c r="J40" i="31"/>
  <c r="I40" i="31"/>
  <c r="J44" i="31"/>
  <c r="I44" i="31"/>
  <c r="J31" i="32"/>
  <c r="I31" i="32"/>
  <c r="J35" i="32"/>
  <c r="I35" i="32"/>
  <c r="J42" i="32"/>
  <c r="I42" i="32"/>
  <c r="J31" i="33"/>
  <c r="I31" i="33"/>
  <c r="J36" i="33"/>
  <c r="I36" i="33"/>
  <c r="J40" i="33"/>
  <c r="I40" i="33"/>
  <c r="J44" i="33"/>
  <c r="I44" i="33"/>
  <c r="J31" i="34"/>
  <c r="I31" i="34"/>
  <c r="J35" i="34"/>
  <c r="I35" i="34"/>
  <c r="J39" i="34"/>
  <c r="I39" i="34"/>
  <c r="J44" i="34"/>
  <c r="I44" i="34"/>
  <c r="J31" i="36"/>
  <c r="I31" i="36"/>
  <c r="J37" i="36"/>
  <c r="I37" i="36"/>
  <c r="J41" i="36"/>
  <c r="I41" i="36"/>
  <c r="J29" i="38"/>
  <c r="I29" i="38"/>
  <c r="J34" i="38"/>
  <c r="I34" i="38"/>
  <c r="J38" i="38"/>
  <c r="I38" i="38"/>
  <c r="J42" i="38"/>
  <c r="I42" i="38"/>
  <c r="J29" i="39"/>
  <c r="I29" i="39"/>
  <c r="J33" i="39"/>
  <c r="I33" i="39"/>
  <c r="J40" i="39"/>
  <c r="I40" i="39"/>
  <c r="J45" i="39"/>
  <c r="I45" i="39"/>
  <c r="J32" i="41"/>
  <c r="I32" i="41"/>
  <c r="J36" i="41"/>
  <c r="I36" i="41"/>
  <c r="J41" i="41"/>
  <c r="I41" i="41"/>
  <c r="J31" i="37"/>
  <c r="I31" i="37"/>
  <c r="J36" i="37"/>
  <c r="I36" i="37"/>
  <c r="J41" i="37"/>
  <c r="I41" i="37"/>
  <c r="J30" i="35"/>
  <c r="I30" i="35"/>
  <c r="J35" i="35"/>
  <c r="I35" i="35"/>
  <c r="J39" i="35"/>
  <c r="I39" i="35"/>
  <c r="J44" i="35"/>
  <c r="I44" i="35"/>
  <c r="J32" i="40"/>
  <c r="I32" i="40"/>
  <c r="J36" i="40"/>
  <c r="I36" i="40"/>
  <c r="J40" i="40"/>
  <c r="I40" i="40"/>
  <c r="J45" i="40"/>
  <c r="I45" i="40"/>
  <c r="J30" i="33"/>
  <c r="I30" i="33"/>
  <c r="J33" i="38"/>
  <c r="I33" i="38"/>
  <c r="J34" i="37"/>
  <c r="I34" i="37"/>
  <c r="J31" i="40"/>
  <c r="I31" i="40"/>
  <c r="E4" i="62"/>
  <c r="A12" i="62" s="1"/>
  <c r="E4" i="50"/>
  <c r="A12" i="50" s="1"/>
  <c r="E4" i="66"/>
  <c r="A12" i="66" s="1"/>
  <c r="E4" i="60"/>
  <c r="A12" i="60" s="1"/>
  <c r="E4" i="44"/>
  <c r="A12" i="44" s="1"/>
  <c r="E4" i="58"/>
  <c r="A12" i="58" s="1"/>
  <c r="E4" i="56"/>
  <c r="A12" i="56" s="1"/>
  <c r="E4" i="48"/>
  <c r="A12" i="48" s="1"/>
  <c r="E4" i="54"/>
  <c r="A12" i="54" s="1"/>
  <c r="I133" i="33"/>
  <c r="I149" i="33" s="1"/>
  <c r="I132" i="30"/>
  <c r="I149" i="30" s="1"/>
  <c r="I132" i="34"/>
  <c r="I149" i="34" s="1"/>
  <c r="C87" i="2"/>
  <c r="C107" i="2" s="1"/>
  <c r="C128" i="2" s="1"/>
  <c r="C81" i="2"/>
  <c r="C101" i="2" s="1"/>
  <c r="C122" i="2" s="1"/>
  <c r="C76" i="2"/>
  <c r="C96" i="2" s="1"/>
  <c r="C117" i="2" s="1"/>
  <c r="C73" i="2"/>
  <c r="C93" i="2" s="1"/>
  <c r="C114" i="2" s="1"/>
  <c r="D83" i="28"/>
  <c r="D103" i="28" s="1"/>
  <c r="D124" i="28" s="1"/>
  <c r="D83" i="2"/>
  <c r="D103" i="2" s="1"/>
  <c r="D124" i="2" s="1"/>
  <c r="E2" i="68"/>
  <c r="E2" i="64"/>
  <c r="E2" i="54"/>
  <c r="E2" i="50"/>
  <c r="E2" i="44"/>
  <c r="E2" i="66"/>
  <c r="E2" i="62"/>
  <c r="E2" i="56"/>
  <c r="E2" i="70"/>
  <c r="E2" i="60"/>
  <c r="E2" i="58"/>
  <c r="E2" i="52"/>
  <c r="E2" i="48"/>
  <c r="E2" i="43"/>
  <c r="B24" i="40"/>
  <c r="B20" i="40"/>
  <c r="B21" i="40"/>
  <c r="B22" i="40"/>
  <c r="B23" i="40"/>
  <c r="B19" i="40"/>
  <c r="B14" i="40"/>
  <c r="B15" i="40"/>
  <c r="B16" i="40"/>
  <c r="B17" i="40"/>
  <c r="B18" i="40"/>
  <c r="B13" i="40"/>
  <c r="B12" i="40"/>
  <c r="B9" i="40"/>
  <c r="B10" i="40"/>
  <c r="B11" i="40"/>
  <c r="B8" i="40"/>
  <c r="B24" i="35"/>
  <c r="B20" i="35"/>
  <c r="B21" i="35"/>
  <c r="B22" i="35"/>
  <c r="B23" i="35"/>
  <c r="B19" i="35"/>
  <c r="B14" i="35"/>
  <c r="B15" i="35"/>
  <c r="B16" i="35"/>
  <c r="B17" i="35"/>
  <c r="B18" i="35"/>
  <c r="B13" i="35"/>
  <c r="B12" i="35"/>
  <c r="B9" i="35"/>
  <c r="B10" i="35"/>
  <c r="B11" i="35"/>
  <c r="B8" i="35"/>
  <c r="B24" i="37"/>
  <c r="B20" i="37"/>
  <c r="B21" i="37"/>
  <c r="B22" i="37"/>
  <c r="B23" i="37"/>
  <c r="B19" i="37"/>
  <c r="B14" i="37"/>
  <c r="B15" i="37"/>
  <c r="B16" i="37"/>
  <c r="B17" i="37"/>
  <c r="B18" i="37"/>
  <c r="B13" i="37"/>
  <c r="B12" i="37"/>
  <c r="B9" i="37"/>
  <c r="B10" i="37"/>
  <c r="B11" i="37"/>
  <c r="B8" i="37"/>
  <c r="B24" i="41"/>
  <c r="B20" i="41"/>
  <c r="B21" i="41"/>
  <c r="B22" i="41"/>
  <c r="B23" i="41"/>
  <c r="B19" i="41"/>
  <c r="B14" i="41"/>
  <c r="B15" i="41"/>
  <c r="B16" i="41"/>
  <c r="B17" i="41"/>
  <c r="B18" i="41"/>
  <c r="B13" i="41"/>
  <c r="B12" i="41"/>
  <c r="B9" i="41"/>
  <c r="B10" i="41"/>
  <c r="B11" i="41"/>
  <c r="B8" i="41"/>
  <c r="B24" i="39"/>
  <c r="B20" i="39"/>
  <c r="B21" i="39"/>
  <c r="B22" i="39"/>
  <c r="B23" i="39"/>
  <c r="B19" i="39"/>
  <c r="B14" i="39"/>
  <c r="B15" i="39"/>
  <c r="B16" i="39"/>
  <c r="B17" i="39"/>
  <c r="B18" i="39"/>
  <c r="B13" i="39"/>
  <c r="B12" i="39"/>
  <c r="B9" i="39"/>
  <c r="B10" i="39"/>
  <c r="B11" i="39"/>
  <c r="B8" i="39"/>
  <c r="B24" i="38"/>
  <c r="B20" i="38"/>
  <c r="B21" i="38"/>
  <c r="B22" i="38"/>
  <c r="B23" i="38"/>
  <c r="B19" i="38"/>
  <c r="B14" i="38"/>
  <c r="B15" i="38"/>
  <c r="B16" i="38"/>
  <c r="B17" i="38"/>
  <c r="B18" i="38"/>
  <c r="B13" i="38"/>
  <c r="B12" i="38"/>
  <c r="B9" i="38"/>
  <c r="B10" i="38"/>
  <c r="B11" i="38"/>
  <c r="B8" i="38"/>
  <c r="B24" i="36"/>
  <c r="B20" i="36"/>
  <c r="B21" i="36"/>
  <c r="B22" i="36"/>
  <c r="B23" i="36"/>
  <c r="B19" i="36"/>
  <c r="B14" i="36"/>
  <c r="B15" i="36"/>
  <c r="B16" i="36"/>
  <c r="B17" i="36"/>
  <c r="B18" i="36"/>
  <c r="B13" i="36"/>
  <c r="B12" i="36"/>
  <c r="B9" i="36"/>
  <c r="B10" i="36"/>
  <c r="B11" i="36"/>
  <c r="B8" i="36"/>
  <c r="B24" i="34"/>
  <c r="B20" i="34"/>
  <c r="B21" i="34"/>
  <c r="B22" i="34"/>
  <c r="B23" i="34"/>
  <c r="B19" i="34"/>
  <c r="B14" i="34"/>
  <c r="B15" i="34"/>
  <c r="B16" i="34"/>
  <c r="B17" i="34"/>
  <c r="B18" i="34"/>
  <c r="B13" i="34"/>
  <c r="B12" i="34"/>
  <c r="B9" i="34"/>
  <c r="B10" i="34"/>
  <c r="B11" i="34"/>
  <c r="B8" i="34"/>
  <c r="B24" i="33"/>
  <c r="B20" i="33"/>
  <c r="B21" i="33"/>
  <c r="B22" i="33"/>
  <c r="B23" i="33"/>
  <c r="B19" i="33"/>
  <c r="B14" i="33"/>
  <c r="B15" i="33"/>
  <c r="B16" i="33"/>
  <c r="B17" i="33"/>
  <c r="B18" i="33"/>
  <c r="B13" i="33"/>
  <c r="B12" i="33"/>
  <c r="B9" i="33"/>
  <c r="B10" i="33"/>
  <c r="B11" i="33"/>
  <c r="B8" i="33"/>
  <c r="B24" i="32"/>
  <c r="B20" i="32"/>
  <c r="B21" i="32"/>
  <c r="B22" i="32"/>
  <c r="B23" i="32"/>
  <c r="B19" i="32"/>
  <c r="B14" i="32"/>
  <c r="B15" i="32"/>
  <c r="B16" i="32"/>
  <c r="B17" i="32"/>
  <c r="B18" i="32"/>
  <c r="B13" i="32"/>
  <c r="B12" i="32"/>
  <c r="B9" i="32"/>
  <c r="B10" i="32"/>
  <c r="B11" i="32"/>
  <c r="B8" i="32"/>
  <c r="B24" i="31"/>
  <c r="B20" i="31"/>
  <c r="B21" i="31"/>
  <c r="B22" i="31"/>
  <c r="B23" i="31"/>
  <c r="B19" i="31"/>
  <c r="B14" i="31"/>
  <c r="B15" i="31"/>
  <c r="B16" i="31"/>
  <c r="B17" i="31"/>
  <c r="B18" i="31"/>
  <c r="B13" i="31"/>
  <c r="B12" i="31"/>
  <c r="B9" i="31"/>
  <c r="B10" i="31"/>
  <c r="B11" i="31"/>
  <c r="B8" i="31"/>
  <c r="B24" i="30"/>
  <c r="B20" i="30"/>
  <c r="B21" i="30"/>
  <c r="B22" i="30"/>
  <c r="B23" i="30"/>
  <c r="B19" i="30"/>
  <c r="B14" i="30"/>
  <c r="B15" i="30"/>
  <c r="B16" i="30"/>
  <c r="B17" i="30"/>
  <c r="B18" i="30"/>
  <c r="B13" i="30"/>
  <c r="B12" i="30"/>
  <c r="B9" i="30"/>
  <c r="B10" i="30"/>
  <c r="B11" i="30"/>
  <c r="B8" i="30"/>
  <c r="B24" i="29"/>
  <c r="B20" i="29"/>
  <c r="B21" i="29"/>
  <c r="B22" i="29"/>
  <c r="B23" i="29"/>
  <c r="B19" i="29"/>
  <c r="B14" i="29"/>
  <c r="B15" i="29"/>
  <c r="B16" i="29"/>
  <c r="B17" i="29"/>
  <c r="B18" i="29"/>
  <c r="B13" i="29"/>
  <c r="B12" i="29"/>
  <c r="B9" i="29"/>
  <c r="B10" i="29"/>
  <c r="B11" i="29"/>
  <c r="B8" i="29"/>
  <c r="B24" i="28"/>
  <c r="B19" i="28"/>
  <c r="B21" i="28"/>
  <c r="B22" i="28"/>
  <c r="B23" i="28"/>
  <c r="B14" i="28"/>
  <c r="B15" i="28"/>
  <c r="B16" i="28"/>
  <c r="B17" i="28"/>
  <c r="B18" i="28"/>
  <c r="B13" i="28"/>
  <c r="B12" i="28"/>
  <c r="B9" i="28"/>
  <c r="B10" i="28"/>
  <c r="B11" i="28"/>
  <c r="B8" i="28"/>
  <c r="C385" i="16"/>
  <c r="C359" i="16"/>
  <c r="C333" i="16"/>
  <c r="C307" i="16"/>
  <c r="C281" i="16"/>
  <c r="C255" i="16"/>
  <c r="C229" i="16"/>
  <c r="C203" i="16"/>
  <c r="C177" i="16"/>
  <c r="C151" i="16"/>
  <c r="C125" i="16"/>
  <c r="C99" i="16"/>
  <c r="C73" i="16"/>
  <c r="C47" i="16"/>
  <c r="C21" i="16"/>
  <c r="AK7" i="8"/>
  <c r="AL7" i="8"/>
  <c r="AM7" i="8"/>
  <c r="AN7" i="8"/>
  <c r="AO7" i="8"/>
  <c r="AP7" i="8"/>
  <c r="AQ7" i="8"/>
  <c r="AR7" i="8"/>
  <c r="AS7" i="8"/>
  <c r="AT7" i="8"/>
  <c r="AU7" i="8"/>
  <c r="AV7" i="8"/>
  <c r="AW7" i="8"/>
  <c r="AX7" i="8"/>
  <c r="AJ7" i="8"/>
  <c r="B8" i="1" l="1"/>
  <c r="B50" i="1" s="1"/>
  <c r="J8" i="28"/>
  <c r="B50" i="28"/>
  <c r="D31" i="29"/>
  <c r="C52" i="1"/>
  <c r="J9" i="28"/>
  <c r="B51" i="28"/>
  <c r="J17" i="28"/>
  <c r="B59" i="28"/>
  <c r="J23" i="28"/>
  <c r="B65" i="28"/>
  <c r="J24" i="28"/>
  <c r="B66" i="28"/>
  <c r="J16" i="28"/>
  <c r="B58" i="28"/>
  <c r="D35" i="29"/>
  <c r="C35" i="1"/>
  <c r="C56" i="1" s="1"/>
  <c r="D32" i="29"/>
  <c r="C32" i="1"/>
  <c r="C53" i="1" s="1"/>
  <c r="D45" i="29"/>
  <c r="C45" i="1"/>
  <c r="C66" i="1" s="1"/>
  <c r="D37" i="29"/>
  <c r="C37" i="1"/>
  <c r="C58" i="1" s="1"/>
  <c r="D29" i="29"/>
  <c r="C29" i="1"/>
  <c r="C50" i="1" s="1"/>
  <c r="D40" i="29"/>
  <c r="C40" i="1"/>
  <c r="C61" i="1" s="1"/>
  <c r="J11" i="28"/>
  <c r="B53" i="28"/>
  <c r="J13" i="28"/>
  <c r="B55" i="28"/>
  <c r="J15" i="28"/>
  <c r="B57" i="28"/>
  <c r="J21" i="28"/>
  <c r="B63" i="28"/>
  <c r="B46" i="1"/>
  <c r="J12" i="28"/>
  <c r="B54" i="28"/>
  <c r="J22" i="28"/>
  <c r="B64" i="28"/>
  <c r="D36" i="29"/>
  <c r="C36" i="1"/>
  <c r="C57" i="1" s="1"/>
  <c r="J10" i="28"/>
  <c r="B52" i="28"/>
  <c r="J18" i="28"/>
  <c r="B60" i="28"/>
  <c r="J14" i="28"/>
  <c r="B56" i="28"/>
  <c r="J19" i="28"/>
  <c r="B61" i="28"/>
  <c r="D42" i="29"/>
  <c r="C42" i="1"/>
  <c r="C63" i="1" s="1"/>
  <c r="D39" i="29"/>
  <c r="C39" i="1"/>
  <c r="C60" i="1" s="1"/>
  <c r="D33" i="29"/>
  <c r="C33" i="1"/>
  <c r="C54" i="1" s="1"/>
  <c r="D44" i="29"/>
  <c r="C44" i="1"/>
  <c r="C65" i="1" s="1"/>
  <c r="D30" i="29"/>
  <c r="C30" i="1"/>
  <c r="C51" i="1" s="1"/>
  <c r="D41" i="29"/>
  <c r="C41" i="1"/>
  <c r="C62" i="1" s="1"/>
  <c r="D38" i="29"/>
  <c r="C38" i="1"/>
  <c r="C59" i="1" s="1"/>
  <c r="D43" i="29"/>
  <c r="C43" i="1"/>
  <c r="C64" i="1" s="1"/>
  <c r="D34" i="29"/>
  <c r="C34" i="1"/>
  <c r="C55" i="1" s="1"/>
  <c r="E85" i="2"/>
  <c r="E105" i="2" s="1"/>
  <c r="E126" i="2" s="1"/>
  <c r="D76" i="2"/>
  <c r="D96" i="2" s="1"/>
  <c r="D117" i="2" s="1"/>
  <c r="E82" i="2"/>
  <c r="E78" i="2"/>
  <c r="E75" i="2"/>
  <c r="E95" i="2" s="1"/>
  <c r="E116" i="2" s="1"/>
  <c r="D81" i="2"/>
  <c r="D101" i="2" s="1"/>
  <c r="D122" i="2" s="1"/>
  <c r="D86" i="28"/>
  <c r="D106" i="28" s="1"/>
  <c r="D127" i="28" s="1"/>
  <c r="D75" i="28"/>
  <c r="D95" i="28" s="1"/>
  <c r="D116" i="28" s="1"/>
  <c r="E87" i="28"/>
  <c r="E107" i="28" s="1"/>
  <c r="E128" i="28" s="1"/>
  <c r="E86" i="2"/>
  <c r="E106" i="2" s="1"/>
  <c r="E127" i="2" s="1"/>
  <c r="D73" i="28"/>
  <c r="D93" i="28" s="1"/>
  <c r="D114" i="28" s="1"/>
  <c r="D78" i="28"/>
  <c r="D98" i="28" s="1"/>
  <c r="D119" i="28" s="1"/>
  <c r="D74" i="28"/>
  <c r="D94" i="28" s="1"/>
  <c r="D115" i="28" s="1"/>
  <c r="D81" i="28"/>
  <c r="D101" i="28" s="1"/>
  <c r="D122" i="28" s="1"/>
  <c r="E84" i="2"/>
  <c r="E104" i="2" s="1"/>
  <c r="E125" i="2" s="1"/>
  <c r="E74" i="2"/>
  <c r="E94" i="2" s="1"/>
  <c r="E115" i="2" s="1"/>
  <c r="D79" i="28"/>
  <c r="D99" i="28" s="1"/>
  <c r="D120" i="28" s="1"/>
  <c r="D71" i="28"/>
  <c r="D91" i="28" s="1"/>
  <c r="D112" i="28" s="1"/>
  <c r="E72" i="28"/>
  <c r="E92" i="28" s="1"/>
  <c r="E113" i="28" s="1"/>
  <c r="D84" i="28"/>
  <c r="D104" i="28" s="1"/>
  <c r="D125" i="28" s="1"/>
  <c r="E79" i="2"/>
  <c r="E99" i="2" s="1"/>
  <c r="E120" i="2" s="1"/>
  <c r="D85" i="28"/>
  <c r="D105" i="28" s="1"/>
  <c r="D126" i="28" s="1"/>
  <c r="D76" i="28"/>
  <c r="D96" i="28" s="1"/>
  <c r="D117" i="28" s="1"/>
  <c r="E82" i="28"/>
  <c r="E102" i="28" s="1"/>
  <c r="E123" i="28" s="1"/>
  <c r="D77" i="28"/>
  <c r="D97" i="28" s="1"/>
  <c r="D118" i="28" s="1"/>
  <c r="D80" i="28"/>
  <c r="D100" i="28" s="1"/>
  <c r="D121" i="28" s="1"/>
  <c r="E77" i="2"/>
  <c r="E97" i="2" s="1"/>
  <c r="E118" i="2" s="1"/>
  <c r="B165" i="28"/>
  <c r="D87" i="2"/>
  <c r="D107" i="2" s="1"/>
  <c r="D128" i="2" s="1"/>
  <c r="D73" i="2"/>
  <c r="D93" i="2" s="1"/>
  <c r="D114" i="2" s="1"/>
  <c r="E83" i="28"/>
  <c r="E103" i="28" s="1"/>
  <c r="E124" i="28" s="1"/>
  <c r="E83" i="2"/>
  <c r="E103" i="2" s="1"/>
  <c r="E124" i="2" s="1"/>
  <c r="B25" i="28"/>
  <c r="N410" i="16"/>
  <c r="N384" i="16"/>
  <c r="N358" i="16"/>
  <c r="N332" i="16"/>
  <c r="N306" i="16"/>
  <c r="N280" i="16"/>
  <c r="N254" i="16"/>
  <c r="N228" i="16"/>
  <c r="N202" i="16"/>
  <c r="N176" i="16"/>
  <c r="N150" i="16"/>
  <c r="N124" i="16"/>
  <c r="N98" i="16"/>
  <c r="N72" i="16"/>
  <c r="N46" i="16"/>
  <c r="C46" i="16"/>
  <c r="C72" i="16"/>
  <c r="C98" i="16"/>
  <c r="C124" i="16"/>
  <c r="C150" i="16"/>
  <c r="C176" i="16"/>
  <c r="C202" i="16"/>
  <c r="C228" i="16"/>
  <c r="C410" i="16"/>
  <c r="C384" i="16"/>
  <c r="C358" i="16"/>
  <c r="C332" i="16"/>
  <c r="C306" i="16"/>
  <c r="C280" i="16"/>
  <c r="C254" i="16"/>
  <c r="A2" i="26"/>
  <c r="G64" i="41"/>
  <c r="E64" i="41"/>
  <c r="C64" i="41"/>
  <c r="D63" i="41"/>
  <c r="H62" i="41"/>
  <c r="G62" i="41"/>
  <c r="E62" i="41"/>
  <c r="C62" i="41"/>
  <c r="G60" i="41"/>
  <c r="C60" i="41"/>
  <c r="G59" i="41"/>
  <c r="C59" i="41"/>
  <c r="G58" i="41"/>
  <c r="C58" i="41"/>
  <c r="G57" i="41"/>
  <c r="C57" i="41"/>
  <c r="G56" i="41"/>
  <c r="C56" i="41"/>
  <c r="G55" i="41"/>
  <c r="C55" i="41"/>
  <c r="G54" i="41"/>
  <c r="C54" i="41"/>
  <c r="G53" i="41"/>
  <c r="C53" i="41"/>
  <c r="G52" i="41"/>
  <c r="C52" i="41"/>
  <c r="G51" i="41"/>
  <c r="C51" i="41"/>
  <c r="G50" i="41"/>
  <c r="C50" i="41"/>
  <c r="G49" i="41"/>
  <c r="A4" i="41"/>
  <c r="J21" i="40"/>
  <c r="B60" i="40"/>
  <c r="B59" i="40"/>
  <c r="B58" i="40"/>
  <c r="B57" i="40"/>
  <c r="B56" i="40"/>
  <c r="B52" i="40"/>
  <c r="A4" i="40"/>
  <c r="J23" i="39"/>
  <c r="J19" i="39"/>
  <c r="J15" i="39"/>
  <c r="J11" i="39"/>
  <c r="A4" i="39"/>
  <c r="J23" i="38"/>
  <c r="B63" i="38"/>
  <c r="B61" i="38"/>
  <c r="J19" i="38"/>
  <c r="J15" i="38"/>
  <c r="J11" i="38"/>
  <c r="A4" i="38"/>
  <c r="B60" i="37"/>
  <c r="B81" i="37" s="1"/>
  <c r="B59" i="37"/>
  <c r="B58" i="37"/>
  <c r="B57" i="37"/>
  <c r="J15" i="37"/>
  <c r="B56" i="37"/>
  <c r="B55" i="37"/>
  <c r="B54" i="37"/>
  <c r="B53" i="37"/>
  <c r="J11" i="37"/>
  <c r="B52" i="37"/>
  <c r="B51" i="37"/>
  <c r="B50" i="37"/>
  <c r="B49" i="37"/>
  <c r="A4" i="37"/>
  <c r="B60" i="36"/>
  <c r="B59" i="36"/>
  <c r="B58" i="36"/>
  <c r="B57" i="36"/>
  <c r="B56" i="36"/>
  <c r="B55" i="36"/>
  <c r="B54" i="36"/>
  <c r="B53" i="36"/>
  <c r="B52" i="36"/>
  <c r="B51" i="36"/>
  <c r="B50" i="36"/>
  <c r="B49" i="36"/>
  <c r="A4" i="36"/>
  <c r="E25" i="35"/>
  <c r="A4" i="35"/>
  <c r="J24" i="34"/>
  <c r="J21" i="34"/>
  <c r="J18" i="34"/>
  <c r="J17" i="34"/>
  <c r="J14" i="34"/>
  <c r="J10" i="34"/>
  <c r="A4" i="34"/>
  <c r="J14" i="33"/>
  <c r="J10" i="33"/>
  <c r="A4" i="33"/>
  <c r="J23" i="32"/>
  <c r="J21" i="32"/>
  <c r="J17" i="32"/>
  <c r="B57" i="32"/>
  <c r="B55" i="32"/>
  <c r="J13" i="32"/>
  <c r="B53" i="32"/>
  <c r="B51" i="32"/>
  <c r="J9" i="32"/>
  <c r="B49" i="32"/>
  <c r="A4" i="32"/>
  <c r="J24" i="31"/>
  <c r="J20" i="31"/>
  <c r="J16" i="31"/>
  <c r="G25" i="31"/>
  <c r="C25" i="31"/>
  <c r="A4" i="31"/>
  <c r="B65" i="30"/>
  <c r="J23" i="30"/>
  <c r="B64" i="30"/>
  <c r="B63" i="30"/>
  <c r="B62" i="30"/>
  <c r="B61" i="30"/>
  <c r="B60" i="30"/>
  <c r="B58" i="30"/>
  <c r="B56" i="30"/>
  <c r="B54" i="30"/>
  <c r="B52" i="30"/>
  <c r="J10" i="30"/>
  <c r="B50" i="30"/>
  <c r="A4" i="30"/>
  <c r="B60" i="29"/>
  <c r="B59" i="29"/>
  <c r="B80" i="29" s="1"/>
  <c r="B58" i="29"/>
  <c r="B57" i="29"/>
  <c r="B78" i="29" s="1"/>
  <c r="B56" i="29"/>
  <c r="B55" i="29"/>
  <c r="B76" i="29" s="1"/>
  <c r="B54" i="29"/>
  <c r="B53" i="29"/>
  <c r="B74" i="29" s="1"/>
  <c r="B52" i="29"/>
  <c r="B51" i="29"/>
  <c r="B72" i="29" s="1"/>
  <c r="B50" i="29"/>
  <c r="F25" i="29"/>
  <c r="D25" i="29"/>
  <c r="A4" i="29"/>
  <c r="A4" i="28"/>
  <c r="J56" i="28" l="1"/>
  <c r="B97" i="28"/>
  <c r="B118" i="28" s="1"/>
  <c r="J52" i="28"/>
  <c r="B93" i="28"/>
  <c r="B114" i="28" s="1"/>
  <c r="J64" i="28"/>
  <c r="B105" i="28"/>
  <c r="B126" i="28" s="1"/>
  <c r="F82" i="2"/>
  <c r="F102" i="2" s="1"/>
  <c r="F123" i="2" s="1"/>
  <c r="E102" i="2"/>
  <c r="E123" i="2" s="1"/>
  <c r="J63" i="28"/>
  <c r="B104" i="28"/>
  <c r="B125" i="28" s="1"/>
  <c r="J55" i="28"/>
  <c r="B96" i="28"/>
  <c r="B117" i="28" s="1"/>
  <c r="J58" i="28"/>
  <c r="B99" i="28"/>
  <c r="B120" i="28" s="1"/>
  <c r="J65" i="28"/>
  <c r="B106" i="28"/>
  <c r="B127" i="28" s="1"/>
  <c r="J51" i="28"/>
  <c r="B92" i="28"/>
  <c r="B113" i="28" s="1"/>
  <c r="B91" i="28"/>
  <c r="B112" i="28" s="1"/>
  <c r="J61" i="28"/>
  <c r="B102" i="28"/>
  <c r="B123" i="28" s="1"/>
  <c r="J60" i="28"/>
  <c r="B101" i="28"/>
  <c r="B122" i="28" s="1"/>
  <c r="J54" i="28"/>
  <c r="B95" i="28"/>
  <c r="B116" i="28" s="1"/>
  <c r="J57" i="28"/>
  <c r="B98" i="28"/>
  <c r="B119" i="28" s="1"/>
  <c r="J53" i="28"/>
  <c r="B94" i="28"/>
  <c r="B115" i="28" s="1"/>
  <c r="J66" i="28"/>
  <c r="B107" i="28"/>
  <c r="B128" i="28" s="1"/>
  <c r="J59" i="28"/>
  <c r="B100" i="28"/>
  <c r="B121" i="28" s="1"/>
  <c r="F85" i="2"/>
  <c r="F105" i="2" s="1"/>
  <c r="F126" i="2" s="1"/>
  <c r="F78" i="2"/>
  <c r="F98" i="2" s="1"/>
  <c r="F119" i="2" s="1"/>
  <c r="E98" i="2"/>
  <c r="E119" i="2" s="1"/>
  <c r="F75" i="2"/>
  <c r="F95" i="2" s="1"/>
  <c r="F116" i="2" s="1"/>
  <c r="J25" i="28"/>
  <c r="E38" i="29"/>
  <c r="D38" i="1"/>
  <c r="D59" i="1" s="1"/>
  <c r="E42" i="29"/>
  <c r="D42" i="1"/>
  <c r="D63" i="1" s="1"/>
  <c r="E30" i="29"/>
  <c r="D30" i="1"/>
  <c r="D51" i="1" s="1"/>
  <c r="E29" i="29"/>
  <c r="D29" i="1"/>
  <c r="D50" i="1" s="1"/>
  <c r="E45" i="29"/>
  <c r="D45" i="1"/>
  <c r="D66" i="1" s="1"/>
  <c r="E35" i="29"/>
  <c r="D35" i="1"/>
  <c r="D56" i="1" s="1"/>
  <c r="C46" i="1"/>
  <c r="C67" i="1"/>
  <c r="C196" i="1" s="1"/>
  <c r="J50" i="28"/>
  <c r="B67" i="28"/>
  <c r="E34" i="29"/>
  <c r="D34" i="1"/>
  <c r="D55" i="1" s="1"/>
  <c r="E33" i="29"/>
  <c r="D33" i="1"/>
  <c r="D54" i="1" s="1"/>
  <c r="E31" i="29"/>
  <c r="D52" i="1"/>
  <c r="E43" i="29"/>
  <c r="D43" i="1"/>
  <c r="D64" i="1" s="1"/>
  <c r="E41" i="29"/>
  <c r="D41" i="1"/>
  <c r="D62" i="1" s="1"/>
  <c r="E44" i="29"/>
  <c r="D44" i="1"/>
  <c r="D65" i="1" s="1"/>
  <c r="E39" i="29"/>
  <c r="D39" i="1"/>
  <c r="D60" i="1" s="1"/>
  <c r="E36" i="29"/>
  <c r="D36" i="1"/>
  <c r="D57" i="1" s="1"/>
  <c r="E40" i="29"/>
  <c r="D40" i="1"/>
  <c r="D61" i="1" s="1"/>
  <c r="E37" i="29"/>
  <c r="D37" i="1"/>
  <c r="D58" i="1" s="1"/>
  <c r="E32" i="29"/>
  <c r="D32" i="1"/>
  <c r="D53" i="1" s="1"/>
  <c r="E76" i="2"/>
  <c r="E81" i="2"/>
  <c r="E101" i="2" s="1"/>
  <c r="E122" i="2" s="1"/>
  <c r="E73" i="2"/>
  <c r="E93" i="2" s="1"/>
  <c r="E114" i="2" s="1"/>
  <c r="C108" i="28"/>
  <c r="E80" i="28"/>
  <c r="E100" i="28" s="1"/>
  <c r="E121" i="28" s="1"/>
  <c r="D162" i="28"/>
  <c r="G82" i="2"/>
  <c r="G102" i="2" s="1"/>
  <c r="G123" i="2" s="1"/>
  <c r="E77" i="28"/>
  <c r="E97" i="28" s="1"/>
  <c r="E118" i="28" s="1"/>
  <c r="D159" i="28"/>
  <c r="E76" i="28"/>
  <c r="E96" i="28" s="1"/>
  <c r="E117" i="28" s="1"/>
  <c r="D158" i="28"/>
  <c r="F79" i="2"/>
  <c r="F99" i="2" s="1"/>
  <c r="F120" i="2" s="1"/>
  <c r="F72" i="28"/>
  <c r="F92" i="28" s="1"/>
  <c r="F113" i="28" s="1"/>
  <c r="E154" i="28"/>
  <c r="E79" i="28"/>
  <c r="E99" i="28" s="1"/>
  <c r="E120" i="28" s="1"/>
  <c r="D161" i="28"/>
  <c r="F74" i="2"/>
  <c r="F94" i="2" s="1"/>
  <c r="F115" i="2" s="1"/>
  <c r="E74" i="28"/>
  <c r="E94" i="28" s="1"/>
  <c r="E115" i="28" s="1"/>
  <c r="D156" i="28"/>
  <c r="E73" i="28"/>
  <c r="E93" i="28" s="1"/>
  <c r="E114" i="28" s="1"/>
  <c r="D155" i="28"/>
  <c r="F87" i="28"/>
  <c r="F107" i="28" s="1"/>
  <c r="F128" i="28" s="1"/>
  <c r="E169" i="28"/>
  <c r="E86" i="28"/>
  <c r="E106" i="28" s="1"/>
  <c r="E127" i="28" s="1"/>
  <c r="D168" i="28"/>
  <c r="F77" i="2"/>
  <c r="F97" i="2" s="1"/>
  <c r="F118" i="2" s="1"/>
  <c r="G78" i="2"/>
  <c r="G98" i="2" s="1"/>
  <c r="G119" i="2" s="1"/>
  <c r="F82" i="28"/>
  <c r="F102" i="28" s="1"/>
  <c r="F123" i="28" s="1"/>
  <c r="E164" i="28"/>
  <c r="E85" i="28"/>
  <c r="E105" i="28" s="1"/>
  <c r="E126" i="28" s="1"/>
  <c r="D167" i="28"/>
  <c r="E84" i="28"/>
  <c r="E104" i="28" s="1"/>
  <c r="E125" i="28" s="1"/>
  <c r="D166" i="28"/>
  <c r="E71" i="28"/>
  <c r="E91" i="28" s="1"/>
  <c r="E112" i="28" s="1"/>
  <c r="F84" i="2"/>
  <c r="F104" i="2" s="1"/>
  <c r="F125" i="2" s="1"/>
  <c r="E81" i="28"/>
  <c r="E101" i="28" s="1"/>
  <c r="E122" i="28" s="1"/>
  <c r="D163" i="28"/>
  <c r="E78" i="28"/>
  <c r="E98" i="28" s="1"/>
  <c r="E119" i="28" s="1"/>
  <c r="D160" i="28"/>
  <c r="F86" i="2"/>
  <c r="F106" i="2" s="1"/>
  <c r="F127" i="2" s="1"/>
  <c r="E75" i="28"/>
  <c r="E95" i="28" s="1"/>
  <c r="E116" i="28" s="1"/>
  <c r="D157" i="28"/>
  <c r="E87" i="2"/>
  <c r="E107" i="2" s="1"/>
  <c r="E128" i="2" s="1"/>
  <c r="F83" i="28"/>
  <c r="F103" i="28" s="1"/>
  <c r="F124" i="28" s="1"/>
  <c r="F83" i="2"/>
  <c r="F103" i="2" s="1"/>
  <c r="F124" i="2" s="1"/>
  <c r="E25" i="31"/>
  <c r="D25" i="35"/>
  <c r="C25" i="29"/>
  <c r="C25" i="35"/>
  <c r="H25" i="35"/>
  <c r="F25" i="40"/>
  <c r="B25" i="29"/>
  <c r="J9" i="29"/>
  <c r="F74" i="29"/>
  <c r="F115" i="29" s="1"/>
  <c r="F136" i="29" s="1"/>
  <c r="F77" i="29"/>
  <c r="F118" i="29" s="1"/>
  <c r="F139" i="29" s="1"/>
  <c r="F76" i="29"/>
  <c r="F117" i="29" s="1"/>
  <c r="F138" i="29" s="1"/>
  <c r="B49" i="29"/>
  <c r="B70" i="29" s="1"/>
  <c r="B111" i="29" s="1"/>
  <c r="B132" i="29" s="1"/>
  <c r="F72" i="29"/>
  <c r="F113" i="29" s="1"/>
  <c r="F134" i="29" s="1"/>
  <c r="F80" i="29"/>
  <c r="F121" i="29" s="1"/>
  <c r="F142" i="29" s="1"/>
  <c r="F71" i="29"/>
  <c r="F112" i="29" s="1"/>
  <c r="F133" i="29" s="1"/>
  <c r="F75" i="29"/>
  <c r="F116" i="29" s="1"/>
  <c r="F137" i="29" s="1"/>
  <c r="F79" i="29"/>
  <c r="F120" i="29" s="1"/>
  <c r="F141" i="29" s="1"/>
  <c r="F83" i="29"/>
  <c r="F124" i="29" s="1"/>
  <c r="F145" i="29" s="1"/>
  <c r="F73" i="29"/>
  <c r="F114" i="29" s="1"/>
  <c r="F135" i="29" s="1"/>
  <c r="F78" i="29"/>
  <c r="F81" i="29"/>
  <c r="F122" i="29" s="1"/>
  <c r="F143" i="29" s="1"/>
  <c r="J18" i="30"/>
  <c r="J22" i="30"/>
  <c r="J9" i="30"/>
  <c r="J17" i="30"/>
  <c r="J21" i="30"/>
  <c r="J16" i="30"/>
  <c r="J24" i="30"/>
  <c r="J9" i="31"/>
  <c r="J12" i="31"/>
  <c r="J13" i="31"/>
  <c r="J17" i="31"/>
  <c r="J21" i="31"/>
  <c r="J11" i="31"/>
  <c r="J15" i="31"/>
  <c r="J19" i="31"/>
  <c r="J23" i="31"/>
  <c r="J10" i="31"/>
  <c r="J14" i="31"/>
  <c r="J18" i="31"/>
  <c r="J22" i="31"/>
  <c r="J11" i="32"/>
  <c r="J15" i="32"/>
  <c r="J19" i="32"/>
  <c r="J22" i="32"/>
  <c r="J20" i="32"/>
  <c r="J24" i="32"/>
  <c r="J9" i="33"/>
  <c r="J13" i="33"/>
  <c r="J8" i="33"/>
  <c r="J12" i="33"/>
  <c r="J16" i="33"/>
  <c r="J11" i="33"/>
  <c r="J15" i="33"/>
  <c r="J22" i="34"/>
  <c r="J9" i="34"/>
  <c r="J13" i="34"/>
  <c r="J8" i="34"/>
  <c r="J12" i="34"/>
  <c r="J16" i="34"/>
  <c r="J20" i="34"/>
  <c r="J11" i="34"/>
  <c r="J15" i="34"/>
  <c r="J19" i="34"/>
  <c r="J23" i="34"/>
  <c r="J10" i="38"/>
  <c r="J14" i="38"/>
  <c r="J18" i="38"/>
  <c r="J9" i="38"/>
  <c r="J13" i="38"/>
  <c r="J17" i="38"/>
  <c r="J21" i="38"/>
  <c r="J8" i="38"/>
  <c r="F25" i="38"/>
  <c r="J12" i="38"/>
  <c r="J16" i="38"/>
  <c r="J8" i="39"/>
  <c r="F25" i="39"/>
  <c r="J12" i="39"/>
  <c r="J16" i="39"/>
  <c r="J20" i="39"/>
  <c r="J24" i="39"/>
  <c r="D25" i="39"/>
  <c r="J10" i="39"/>
  <c r="J14" i="39"/>
  <c r="J18" i="39"/>
  <c r="J22" i="39"/>
  <c r="E25" i="39"/>
  <c r="J9" i="39"/>
  <c r="J13" i="39"/>
  <c r="J17" i="39"/>
  <c r="J21" i="39"/>
  <c r="J24" i="41"/>
  <c r="J23" i="41"/>
  <c r="J10" i="37"/>
  <c r="J14" i="37"/>
  <c r="J9" i="37"/>
  <c r="J13" i="37"/>
  <c r="J17" i="37"/>
  <c r="J8" i="37"/>
  <c r="J12" i="37"/>
  <c r="J16" i="37"/>
  <c r="J12" i="35"/>
  <c r="J22" i="40"/>
  <c r="B50" i="40"/>
  <c r="B71" i="40" s="1"/>
  <c r="B112" i="40" s="1"/>
  <c r="B133" i="40" s="1"/>
  <c r="J20" i="40"/>
  <c r="J24" i="40"/>
  <c r="B73" i="40"/>
  <c r="B114" i="40" s="1"/>
  <c r="B135" i="40" s="1"/>
  <c r="J23" i="40"/>
  <c r="B54" i="40"/>
  <c r="B75" i="40" s="1"/>
  <c r="B116" i="40" s="1"/>
  <c r="D49" i="41"/>
  <c r="D70" i="41" s="1"/>
  <c r="D25" i="41"/>
  <c r="H49" i="41"/>
  <c r="H70" i="41" s="1"/>
  <c r="H25" i="41"/>
  <c r="D50" i="41"/>
  <c r="D71" i="41" s="1"/>
  <c r="H50" i="41"/>
  <c r="H71" i="41" s="1"/>
  <c r="D51" i="41"/>
  <c r="D72" i="41" s="1"/>
  <c r="H51" i="41"/>
  <c r="H72" i="41" s="1"/>
  <c r="D52" i="41"/>
  <c r="D73" i="41" s="1"/>
  <c r="H52" i="41"/>
  <c r="H73" i="41" s="1"/>
  <c r="D53" i="41"/>
  <c r="D74" i="41" s="1"/>
  <c r="H53" i="41"/>
  <c r="H74" i="41" s="1"/>
  <c r="D54" i="41"/>
  <c r="D75" i="41" s="1"/>
  <c r="H54" i="41"/>
  <c r="H75" i="41" s="1"/>
  <c r="D55" i="41"/>
  <c r="D76" i="41" s="1"/>
  <c r="H55" i="41"/>
  <c r="H76" i="41" s="1"/>
  <c r="D56" i="41"/>
  <c r="D77" i="41" s="1"/>
  <c r="H56" i="41"/>
  <c r="H77" i="41" s="1"/>
  <c r="D57" i="41"/>
  <c r="D78" i="41" s="1"/>
  <c r="H57" i="41"/>
  <c r="H78" i="41" s="1"/>
  <c r="D58" i="41"/>
  <c r="D79" i="41" s="1"/>
  <c r="H58" i="41"/>
  <c r="H79" i="41" s="1"/>
  <c r="D59" i="41"/>
  <c r="D80" i="41" s="1"/>
  <c r="H59" i="41"/>
  <c r="H80" i="41" s="1"/>
  <c r="D60" i="41"/>
  <c r="D81" i="41" s="1"/>
  <c r="H60" i="41"/>
  <c r="H81" i="41" s="1"/>
  <c r="D61" i="41"/>
  <c r="D82" i="41" s="1"/>
  <c r="J20" i="41"/>
  <c r="E25" i="41"/>
  <c r="E49" i="41"/>
  <c r="E70" i="41" s="1"/>
  <c r="J8" i="41"/>
  <c r="E50" i="41"/>
  <c r="E71" i="41" s="1"/>
  <c r="J9" i="41"/>
  <c r="E51" i="41"/>
  <c r="E72" i="41" s="1"/>
  <c r="J10" i="41"/>
  <c r="E52" i="41"/>
  <c r="E73" i="41" s="1"/>
  <c r="J11" i="41"/>
  <c r="E53" i="41"/>
  <c r="E74" i="41" s="1"/>
  <c r="J12" i="41"/>
  <c r="E54" i="41"/>
  <c r="E75" i="41" s="1"/>
  <c r="J13" i="41"/>
  <c r="E55" i="41"/>
  <c r="E76" i="41" s="1"/>
  <c r="J14" i="41"/>
  <c r="E56" i="41"/>
  <c r="E77" i="41" s="1"/>
  <c r="J15" i="41"/>
  <c r="E57" i="41"/>
  <c r="E78" i="41" s="1"/>
  <c r="J16" i="41"/>
  <c r="E58" i="41"/>
  <c r="E79" i="41" s="1"/>
  <c r="J17" i="41"/>
  <c r="E59" i="41"/>
  <c r="E80" i="41" s="1"/>
  <c r="J18" i="41"/>
  <c r="E60" i="41"/>
  <c r="E81" i="41" s="1"/>
  <c r="J19" i="41"/>
  <c r="E61" i="41"/>
  <c r="E82" i="41" s="1"/>
  <c r="B49" i="41"/>
  <c r="B70" i="41" s="1"/>
  <c r="B25" i="41"/>
  <c r="F25" i="41"/>
  <c r="F49" i="41"/>
  <c r="F70" i="41" s="1"/>
  <c r="B50" i="41"/>
  <c r="B71" i="41" s="1"/>
  <c r="F50" i="41"/>
  <c r="F71" i="41" s="1"/>
  <c r="B51" i="41"/>
  <c r="B72" i="41" s="1"/>
  <c r="F51" i="41"/>
  <c r="F72" i="41" s="1"/>
  <c r="B52" i="41"/>
  <c r="B73" i="41" s="1"/>
  <c r="F52" i="41"/>
  <c r="F73" i="41" s="1"/>
  <c r="B53" i="41"/>
  <c r="B74" i="41" s="1"/>
  <c r="F53" i="41"/>
  <c r="F74" i="41" s="1"/>
  <c r="B54" i="41"/>
  <c r="B75" i="41" s="1"/>
  <c r="F54" i="41"/>
  <c r="F75" i="41" s="1"/>
  <c r="B55" i="41"/>
  <c r="B76" i="41" s="1"/>
  <c r="F55" i="41"/>
  <c r="F76" i="41" s="1"/>
  <c r="B56" i="41"/>
  <c r="B77" i="41" s="1"/>
  <c r="F56" i="41"/>
  <c r="F77" i="41" s="1"/>
  <c r="B57" i="41"/>
  <c r="B78" i="41" s="1"/>
  <c r="F57" i="41"/>
  <c r="F78" i="41" s="1"/>
  <c r="C49" i="41"/>
  <c r="C70" i="41" s="1"/>
  <c r="C25" i="41"/>
  <c r="B58" i="41"/>
  <c r="B79" i="41" s="1"/>
  <c r="E63" i="41"/>
  <c r="E84" i="41" s="1"/>
  <c r="E65" i="41"/>
  <c r="E86" i="41" s="1"/>
  <c r="H83" i="41"/>
  <c r="C85" i="41"/>
  <c r="E83" i="41"/>
  <c r="J21" i="41"/>
  <c r="J22" i="41"/>
  <c r="E85" i="41"/>
  <c r="H61" i="41"/>
  <c r="H82" i="41" s="1"/>
  <c r="H63" i="41"/>
  <c r="H84" i="41" s="1"/>
  <c r="H64" i="41"/>
  <c r="H85" i="41" s="1"/>
  <c r="H65" i="41"/>
  <c r="H86" i="41" s="1"/>
  <c r="G70" i="41"/>
  <c r="G71" i="41"/>
  <c r="G72" i="41"/>
  <c r="G73" i="41"/>
  <c r="G74" i="41"/>
  <c r="G75" i="41"/>
  <c r="G76" i="41"/>
  <c r="G77" i="41"/>
  <c r="G78" i="41"/>
  <c r="G79" i="41"/>
  <c r="G80" i="41"/>
  <c r="G81" i="41"/>
  <c r="D84" i="41"/>
  <c r="G85" i="41"/>
  <c r="F59" i="41"/>
  <c r="F80" i="41" s="1"/>
  <c r="B60" i="41"/>
  <c r="B81" i="41" s="1"/>
  <c r="F60" i="41"/>
  <c r="F81" i="41" s="1"/>
  <c r="B61" i="41"/>
  <c r="B82" i="41" s="1"/>
  <c r="F61" i="41"/>
  <c r="F82" i="41" s="1"/>
  <c r="B62" i="41"/>
  <c r="B83" i="41" s="1"/>
  <c r="F62" i="41"/>
  <c r="F83" i="41" s="1"/>
  <c r="B63" i="41"/>
  <c r="B84" i="41" s="1"/>
  <c r="F63" i="41"/>
  <c r="F84" i="41" s="1"/>
  <c r="B64" i="41"/>
  <c r="B85" i="41" s="1"/>
  <c r="F64" i="41"/>
  <c r="F85" i="41" s="1"/>
  <c r="B65" i="41"/>
  <c r="B86" i="41" s="1"/>
  <c r="F65" i="41"/>
  <c r="F86" i="41" s="1"/>
  <c r="B59" i="41"/>
  <c r="C83" i="41"/>
  <c r="C61" i="41"/>
  <c r="C82" i="41" s="1"/>
  <c r="G61" i="41"/>
  <c r="G82" i="41" s="1"/>
  <c r="C63" i="41"/>
  <c r="C84" i="41" s="1"/>
  <c r="G63" i="41"/>
  <c r="G84" i="41" s="1"/>
  <c r="C65" i="41"/>
  <c r="C86" i="41" s="1"/>
  <c r="G65" i="41"/>
  <c r="G25" i="41"/>
  <c r="F58" i="41"/>
  <c r="F79" i="41" s="1"/>
  <c r="D62" i="41"/>
  <c r="D83" i="41" s="1"/>
  <c r="D64" i="41"/>
  <c r="D85" i="41" s="1"/>
  <c r="D65" i="41"/>
  <c r="D86" i="41" s="1"/>
  <c r="C71" i="41"/>
  <c r="C72" i="41"/>
  <c r="C73" i="41"/>
  <c r="C74" i="41"/>
  <c r="C75" i="41"/>
  <c r="C76" i="41"/>
  <c r="C77" i="41"/>
  <c r="C78" i="41"/>
  <c r="C79" i="41"/>
  <c r="C80" i="41"/>
  <c r="C81" i="41"/>
  <c r="G83" i="41"/>
  <c r="G66" i="40"/>
  <c r="D25" i="40"/>
  <c r="J8" i="40"/>
  <c r="J9" i="40"/>
  <c r="J10" i="40"/>
  <c r="J11" i="40"/>
  <c r="J12" i="40"/>
  <c r="J13" i="40"/>
  <c r="J14" i="40"/>
  <c r="J15" i="40"/>
  <c r="J16" i="40"/>
  <c r="J17" i="40"/>
  <c r="J18" i="40"/>
  <c r="J19" i="40"/>
  <c r="E25" i="40"/>
  <c r="B77" i="40"/>
  <c r="B79" i="40"/>
  <c r="B81" i="40"/>
  <c r="B61" i="40"/>
  <c r="B82" i="40" s="1"/>
  <c r="B62" i="40"/>
  <c r="B83" i="40" s="1"/>
  <c r="B63" i="40"/>
  <c r="B64" i="40"/>
  <c r="B85" i="40" s="1"/>
  <c r="B65" i="40"/>
  <c r="B86" i="40" s="1"/>
  <c r="B25" i="40"/>
  <c r="B49" i="40"/>
  <c r="B70" i="40" s="1"/>
  <c r="J50" i="40"/>
  <c r="B51" i="40"/>
  <c r="B53" i="40"/>
  <c r="B74" i="40" s="1"/>
  <c r="B55" i="40"/>
  <c r="B76" i="40" s="1"/>
  <c r="H25" i="40"/>
  <c r="C25" i="40"/>
  <c r="G25" i="40"/>
  <c r="B78" i="40"/>
  <c r="B80" i="40"/>
  <c r="C49" i="39"/>
  <c r="C25" i="39"/>
  <c r="G49" i="39"/>
  <c r="G25" i="39"/>
  <c r="C50" i="39"/>
  <c r="C71" i="39" s="1"/>
  <c r="G50" i="39"/>
  <c r="C51" i="39"/>
  <c r="G51" i="39"/>
  <c r="G72" i="39" s="1"/>
  <c r="C52" i="39"/>
  <c r="G52" i="39"/>
  <c r="C53" i="39"/>
  <c r="G53" i="39"/>
  <c r="C54" i="39"/>
  <c r="G54" i="39"/>
  <c r="G75" i="39" s="1"/>
  <c r="C55" i="39"/>
  <c r="G55" i="39"/>
  <c r="C56" i="39"/>
  <c r="G56" i="39"/>
  <c r="C57" i="39"/>
  <c r="G57" i="39"/>
  <c r="C58" i="39"/>
  <c r="G58" i="39"/>
  <c r="C59" i="39"/>
  <c r="G59" i="39"/>
  <c r="G80" i="39" s="1"/>
  <c r="C60" i="39"/>
  <c r="G60" i="39"/>
  <c r="C61" i="39"/>
  <c r="G61" i="39"/>
  <c r="G82" i="39" s="1"/>
  <c r="C62" i="39"/>
  <c r="G62" i="39"/>
  <c r="C63" i="39"/>
  <c r="G63" i="39"/>
  <c r="C64" i="39"/>
  <c r="G64" i="39"/>
  <c r="D65" i="39"/>
  <c r="D86" i="39" s="1"/>
  <c r="H65" i="39"/>
  <c r="H86" i="39" s="1"/>
  <c r="D49" i="39"/>
  <c r="D50" i="39"/>
  <c r="D71" i="39" s="1"/>
  <c r="D51" i="39"/>
  <c r="D72" i="39" s="1"/>
  <c r="D52" i="39"/>
  <c r="D53" i="39"/>
  <c r="D54" i="39"/>
  <c r="D55" i="39"/>
  <c r="D56" i="39"/>
  <c r="D57" i="39"/>
  <c r="D58" i="39"/>
  <c r="D59" i="39"/>
  <c r="D80" i="39" s="1"/>
  <c r="D60" i="39"/>
  <c r="D61" i="39"/>
  <c r="D62" i="39"/>
  <c r="D63" i="39"/>
  <c r="D64" i="39"/>
  <c r="E65" i="39"/>
  <c r="E86" i="39" s="1"/>
  <c r="E49" i="39"/>
  <c r="E50" i="39"/>
  <c r="E51" i="39"/>
  <c r="E72" i="39" s="1"/>
  <c r="E52" i="39"/>
  <c r="E53" i="39"/>
  <c r="E54" i="39"/>
  <c r="E75" i="39" s="1"/>
  <c r="E55" i="39"/>
  <c r="E56" i="39"/>
  <c r="E57" i="39"/>
  <c r="E58" i="39"/>
  <c r="E79" i="39" s="1"/>
  <c r="E59" i="39"/>
  <c r="E60" i="39"/>
  <c r="E61" i="39"/>
  <c r="E82" i="39" s="1"/>
  <c r="E62" i="39"/>
  <c r="E63" i="39"/>
  <c r="E64" i="39"/>
  <c r="B49" i="39"/>
  <c r="B70" i="39" s="1"/>
  <c r="F49" i="39"/>
  <c r="B50" i="39"/>
  <c r="B71" i="39" s="1"/>
  <c r="F50" i="39"/>
  <c r="B51" i="39"/>
  <c r="B72" i="39" s="1"/>
  <c r="F51" i="39"/>
  <c r="F72" i="39" s="1"/>
  <c r="B52" i="39"/>
  <c r="B73" i="39" s="1"/>
  <c r="F52" i="39"/>
  <c r="B53" i="39"/>
  <c r="B74" i="39" s="1"/>
  <c r="F53" i="39"/>
  <c r="B54" i="39"/>
  <c r="F54" i="39"/>
  <c r="F75" i="39" s="1"/>
  <c r="B55" i="39"/>
  <c r="B76" i="39" s="1"/>
  <c r="F55" i="39"/>
  <c r="B56" i="39"/>
  <c r="B77" i="39" s="1"/>
  <c r="F56" i="39"/>
  <c r="B57" i="39"/>
  <c r="B78" i="39" s="1"/>
  <c r="F57" i="39"/>
  <c r="B58" i="39"/>
  <c r="F58" i="39"/>
  <c r="B59" i="39"/>
  <c r="B80" i="39" s="1"/>
  <c r="F59" i="39"/>
  <c r="F80" i="39" s="1"/>
  <c r="B60" i="39"/>
  <c r="B81" i="39" s="1"/>
  <c r="F60" i="39"/>
  <c r="B61" i="39"/>
  <c r="B82" i="39" s="1"/>
  <c r="F61" i="39"/>
  <c r="F82" i="39" s="1"/>
  <c r="B62" i="39"/>
  <c r="F62" i="39"/>
  <c r="B63" i="39"/>
  <c r="B84" i="39" s="1"/>
  <c r="F63" i="39"/>
  <c r="B64" i="39"/>
  <c r="B85" i="39" s="1"/>
  <c r="F64" i="39"/>
  <c r="B65" i="39"/>
  <c r="B86" i="39" s="1"/>
  <c r="F65" i="39"/>
  <c r="F86" i="39" s="1"/>
  <c r="B25" i="39"/>
  <c r="H25" i="39"/>
  <c r="H49" i="39"/>
  <c r="H50" i="39"/>
  <c r="H51" i="39"/>
  <c r="H72" i="39" s="1"/>
  <c r="H52" i="39"/>
  <c r="H53" i="39"/>
  <c r="H54" i="39"/>
  <c r="H75" i="39" s="1"/>
  <c r="H55" i="39"/>
  <c r="H56" i="39"/>
  <c r="H57" i="39"/>
  <c r="H58" i="39"/>
  <c r="H59" i="39"/>
  <c r="H80" i="39" s="1"/>
  <c r="H60" i="39"/>
  <c r="H61" i="39"/>
  <c r="H82" i="39" s="1"/>
  <c r="H62" i="39"/>
  <c r="H63" i="39"/>
  <c r="H64" i="39"/>
  <c r="C65" i="39"/>
  <c r="C86" i="39" s="1"/>
  <c r="G65" i="39"/>
  <c r="G86" i="39" s="1"/>
  <c r="E25" i="38"/>
  <c r="B49" i="38"/>
  <c r="B70" i="38" s="1"/>
  <c r="B51" i="38"/>
  <c r="B72" i="38" s="1"/>
  <c r="B53" i="38"/>
  <c r="B74" i="38" s="1"/>
  <c r="B55" i="38"/>
  <c r="B76" i="38" s="1"/>
  <c r="B84" i="38"/>
  <c r="J20" i="38"/>
  <c r="J22" i="38"/>
  <c r="J24" i="38"/>
  <c r="B82" i="38"/>
  <c r="B25" i="38"/>
  <c r="H25" i="38"/>
  <c r="B50" i="38"/>
  <c r="B52" i="38"/>
  <c r="B54" i="38"/>
  <c r="B75" i="38" s="1"/>
  <c r="B56" i="38"/>
  <c r="B57" i="38"/>
  <c r="B58" i="38"/>
  <c r="B59" i="38"/>
  <c r="B80" i="38" s="1"/>
  <c r="B60" i="38"/>
  <c r="B62" i="38"/>
  <c r="B83" i="38" s="1"/>
  <c r="B64" i="38"/>
  <c r="B65" i="38"/>
  <c r="B86" i="38" s="1"/>
  <c r="C25" i="38"/>
  <c r="G25" i="38"/>
  <c r="D25" i="38"/>
  <c r="B61" i="37"/>
  <c r="B62" i="37"/>
  <c r="B83" i="37" s="1"/>
  <c r="B63" i="37"/>
  <c r="B64" i="37"/>
  <c r="B65" i="37"/>
  <c r="B25" i="37"/>
  <c r="F25" i="37"/>
  <c r="J51" i="37"/>
  <c r="J53" i="37"/>
  <c r="J55" i="37"/>
  <c r="J57" i="37"/>
  <c r="C25" i="37"/>
  <c r="G25" i="37"/>
  <c r="J49" i="37"/>
  <c r="B70" i="37"/>
  <c r="B71" i="37"/>
  <c r="B72" i="37"/>
  <c r="B73" i="37"/>
  <c r="B74" i="37"/>
  <c r="B75" i="37"/>
  <c r="B76" i="37"/>
  <c r="B77" i="37"/>
  <c r="B78" i="37"/>
  <c r="B79" i="37"/>
  <c r="B80" i="37"/>
  <c r="D25" i="37"/>
  <c r="H25" i="37"/>
  <c r="J18" i="37"/>
  <c r="J19" i="37"/>
  <c r="J20" i="37"/>
  <c r="J21" i="37"/>
  <c r="J22" i="37"/>
  <c r="J23" i="37"/>
  <c r="J24" i="37"/>
  <c r="E25" i="37"/>
  <c r="B122" i="37"/>
  <c r="B61" i="36"/>
  <c r="B82" i="36" s="1"/>
  <c r="B62" i="36"/>
  <c r="B83" i="36" s="1"/>
  <c r="B63" i="36"/>
  <c r="B84" i="36" s="1"/>
  <c r="B64" i="36"/>
  <c r="B85" i="36" s="1"/>
  <c r="B65" i="36"/>
  <c r="B25" i="36"/>
  <c r="F25" i="36"/>
  <c r="C25" i="36"/>
  <c r="B79" i="36"/>
  <c r="B81" i="36"/>
  <c r="D25" i="36"/>
  <c r="B70" i="36"/>
  <c r="B71" i="36"/>
  <c r="B72" i="36"/>
  <c r="B73" i="36"/>
  <c r="B74" i="36"/>
  <c r="B75" i="36"/>
  <c r="B76" i="36"/>
  <c r="B77" i="36"/>
  <c r="B78" i="36"/>
  <c r="J8" i="36"/>
  <c r="J9" i="36"/>
  <c r="J10" i="36"/>
  <c r="J11" i="36"/>
  <c r="J12" i="36"/>
  <c r="J13" i="36"/>
  <c r="J15" i="36"/>
  <c r="J16" i="36"/>
  <c r="J17" i="36"/>
  <c r="J18" i="36"/>
  <c r="J19" i="36"/>
  <c r="J20" i="36"/>
  <c r="J21" i="36"/>
  <c r="J22" i="36"/>
  <c r="J23" i="36"/>
  <c r="J24" i="36"/>
  <c r="E25" i="36"/>
  <c r="B80" i="36"/>
  <c r="J8" i="35"/>
  <c r="J9" i="35"/>
  <c r="J10" i="35"/>
  <c r="J11" i="35"/>
  <c r="J13" i="35"/>
  <c r="J14" i="35"/>
  <c r="J15" i="35"/>
  <c r="J16" i="35"/>
  <c r="J17" i="35"/>
  <c r="J18" i="35"/>
  <c r="J19" i="35"/>
  <c r="J20" i="35"/>
  <c r="J21" i="35"/>
  <c r="J22" i="35"/>
  <c r="J23" i="35"/>
  <c r="J24" i="35"/>
  <c r="G25" i="35"/>
  <c r="B49" i="35"/>
  <c r="B70" i="35" s="1"/>
  <c r="B25" i="35"/>
  <c r="F25" i="35"/>
  <c r="B50" i="35"/>
  <c r="B71" i="35" s="1"/>
  <c r="B51" i="35"/>
  <c r="B72" i="35" s="1"/>
  <c r="B52" i="35"/>
  <c r="B73" i="35" s="1"/>
  <c r="B53" i="35"/>
  <c r="B74" i="35" s="1"/>
  <c r="B54" i="35"/>
  <c r="B75" i="35" s="1"/>
  <c r="B55" i="35"/>
  <c r="B76" i="35" s="1"/>
  <c r="B56" i="35"/>
  <c r="B77" i="35" s="1"/>
  <c r="B57" i="35"/>
  <c r="B78" i="35" s="1"/>
  <c r="B58" i="35"/>
  <c r="B79" i="35" s="1"/>
  <c r="B59" i="35"/>
  <c r="B80" i="35" s="1"/>
  <c r="B60" i="35"/>
  <c r="B81" i="35" s="1"/>
  <c r="B61" i="35"/>
  <c r="B82" i="35" s="1"/>
  <c r="B62" i="35"/>
  <c r="B83" i="35" s="1"/>
  <c r="B63" i="35"/>
  <c r="B84" i="35" s="1"/>
  <c r="B64" i="35"/>
  <c r="B65" i="35"/>
  <c r="B86" i="35" s="1"/>
  <c r="D25" i="34"/>
  <c r="H25" i="34"/>
  <c r="B50" i="34"/>
  <c r="B71" i="34" s="1"/>
  <c r="B52" i="34"/>
  <c r="B73" i="34" s="1"/>
  <c r="B54" i="34"/>
  <c r="B75" i="34" s="1"/>
  <c r="B56" i="34"/>
  <c r="B77" i="34" s="1"/>
  <c r="B58" i="34"/>
  <c r="B79" i="34" s="1"/>
  <c r="B60" i="34"/>
  <c r="B81" i="34" s="1"/>
  <c r="E25" i="34"/>
  <c r="B25" i="34"/>
  <c r="F25" i="34"/>
  <c r="B49" i="34"/>
  <c r="B70" i="34" s="1"/>
  <c r="B51" i="34"/>
  <c r="B53" i="34"/>
  <c r="B55" i="34"/>
  <c r="B76" i="34" s="1"/>
  <c r="B57" i="34"/>
  <c r="B59" i="34"/>
  <c r="B80" i="34" s="1"/>
  <c r="B61" i="34"/>
  <c r="C25" i="34"/>
  <c r="G25" i="34"/>
  <c r="B62" i="34"/>
  <c r="B63" i="34"/>
  <c r="B64" i="34"/>
  <c r="B85" i="34" s="1"/>
  <c r="B65" i="34"/>
  <c r="B61" i="33"/>
  <c r="B82" i="33" s="1"/>
  <c r="J20" i="33"/>
  <c r="B65" i="33"/>
  <c r="J24" i="33"/>
  <c r="D25" i="33"/>
  <c r="H25" i="33"/>
  <c r="B60" i="33"/>
  <c r="J19" i="33"/>
  <c r="B64" i="33"/>
  <c r="B85" i="33" s="1"/>
  <c r="J23" i="33"/>
  <c r="G25" i="33"/>
  <c r="F25" i="33"/>
  <c r="E25" i="33"/>
  <c r="B59" i="33"/>
  <c r="B80" i="33" s="1"/>
  <c r="J18" i="33"/>
  <c r="B63" i="33"/>
  <c r="J22" i="33"/>
  <c r="C25" i="33"/>
  <c r="B49" i="33"/>
  <c r="B50" i="33"/>
  <c r="B51" i="33"/>
  <c r="B52" i="33"/>
  <c r="B53" i="33"/>
  <c r="B54" i="33"/>
  <c r="B55" i="33"/>
  <c r="B56" i="33"/>
  <c r="B57" i="33"/>
  <c r="B58" i="33"/>
  <c r="J17" i="33"/>
  <c r="B62" i="33"/>
  <c r="B83" i="33" s="1"/>
  <c r="J21" i="33"/>
  <c r="B25" i="33"/>
  <c r="D25" i="32"/>
  <c r="H25" i="32"/>
  <c r="B50" i="32"/>
  <c r="B71" i="32" s="1"/>
  <c r="B52" i="32"/>
  <c r="B73" i="32" s="1"/>
  <c r="B54" i="32"/>
  <c r="B75" i="32" s="1"/>
  <c r="B56" i="32"/>
  <c r="J56" i="32" s="1"/>
  <c r="B58" i="32"/>
  <c r="J58" i="32" s="1"/>
  <c r="B60" i="32"/>
  <c r="B81" i="32" s="1"/>
  <c r="B70" i="32"/>
  <c r="B72" i="32"/>
  <c r="B74" i="32"/>
  <c r="B76" i="32"/>
  <c r="B78" i="32"/>
  <c r="J8" i="32"/>
  <c r="J10" i="32"/>
  <c r="J12" i="32"/>
  <c r="J14" i="32"/>
  <c r="J16" i="32"/>
  <c r="J18" i="32"/>
  <c r="E25" i="32"/>
  <c r="B25" i="32"/>
  <c r="F25" i="32"/>
  <c r="B59" i="32"/>
  <c r="B61" i="32"/>
  <c r="C25" i="32"/>
  <c r="G25" i="32"/>
  <c r="B62" i="32"/>
  <c r="J62" i="32" s="1"/>
  <c r="B63" i="32"/>
  <c r="B64" i="32"/>
  <c r="B65" i="32"/>
  <c r="J8" i="31"/>
  <c r="B49" i="31"/>
  <c r="B25" i="31"/>
  <c r="F25" i="31"/>
  <c r="B50" i="31"/>
  <c r="B71" i="31" s="1"/>
  <c r="B51" i="31"/>
  <c r="B72" i="31" s="1"/>
  <c r="B52" i="31"/>
  <c r="B73" i="31" s="1"/>
  <c r="B53" i="31"/>
  <c r="B74" i="31" s="1"/>
  <c r="B54" i="31"/>
  <c r="B75" i="31" s="1"/>
  <c r="B55" i="31"/>
  <c r="B76" i="31" s="1"/>
  <c r="B56" i="31"/>
  <c r="B77" i="31" s="1"/>
  <c r="B57" i="31"/>
  <c r="B78" i="31" s="1"/>
  <c r="B58" i="31"/>
  <c r="B79" i="31" s="1"/>
  <c r="B59" i="31"/>
  <c r="B80" i="31" s="1"/>
  <c r="B60" i="31"/>
  <c r="B81" i="31" s="1"/>
  <c r="B61" i="31"/>
  <c r="B82" i="31" s="1"/>
  <c r="B62" i="31"/>
  <c r="B83" i="31" s="1"/>
  <c r="B63" i="31"/>
  <c r="B84" i="31" s="1"/>
  <c r="B64" i="31"/>
  <c r="B85" i="31" s="1"/>
  <c r="H25" i="31"/>
  <c r="D25" i="31"/>
  <c r="B65" i="31"/>
  <c r="B86" i="31" s="1"/>
  <c r="B84" i="30"/>
  <c r="B82" i="30"/>
  <c r="B86" i="30"/>
  <c r="J8" i="30"/>
  <c r="B71" i="30"/>
  <c r="B73" i="30"/>
  <c r="B75" i="30"/>
  <c r="B77" i="30"/>
  <c r="B79" i="30"/>
  <c r="B81" i="30"/>
  <c r="B83" i="30"/>
  <c r="B85" i="30"/>
  <c r="B25" i="30"/>
  <c r="B49" i="30"/>
  <c r="B70" i="30" s="1"/>
  <c r="B51" i="30"/>
  <c r="B53" i="30"/>
  <c r="B74" i="30" s="1"/>
  <c r="B55" i="30"/>
  <c r="B57" i="30"/>
  <c r="B78" i="30" s="1"/>
  <c r="B59" i="30"/>
  <c r="J11" i="30"/>
  <c r="J12" i="30"/>
  <c r="J13" i="30"/>
  <c r="J14" i="30"/>
  <c r="J15" i="30"/>
  <c r="J19" i="30"/>
  <c r="J20" i="30"/>
  <c r="J58" i="30"/>
  <c r="B71" i="29"/>
  <c r="B75" i="29"/>
  <c r="B79" i="29"/>
  <c r="B117" i="29"/>
  <c r="B115" i="29"/>
  <c r="B73" i="29"/>
  <c r="B77" i="29"/>
  <c r="B81" i="29"/>
  <c r="B113" i="29"/>
  <c r="B121" i="29"/>
  <c r="B119" i="29"/>
  <c r="G25" i="29"/>
  <c r="C79" i="29"/>
  <c r="C82" i="29"/>
  <c r="C83" i="29"/>
  <c r="C84" i="29"/>
  <c r="C85" i="29"/>
  <c r="C86" i="29"/>
  <c r="D82" i="29"/>
  <c r="H73" i="29"/>
  <c r="D81" i="29"/>
  <c r="H81" i="29"/>
  <c r="H82" i="29"/>
  <c r="H83" i="29"/>
  <c r="H84" i="29"/>
  <c r="D85" i="29"/>
  <c r="H85" i="29"/>
  <c r="D86" i="29"/>
  <c r="H25" i="29"/>
  <c r="D71" i="29"/>
  <c r="G72" i="29"/>
  <c r="G74" i="29"/>
  <c r="D75" i="29"/>
  <c r="G76" i="29"/>
  <c r="G78" i="29"/>
  <c r="G80" i="29"/>
  <c r="E70" i="29"/>
  <c r="E71" i="29"/>
  <c r="E72" i="29"/>
  <c r="E73" i="29"/>
  <c r="E74" i="29"/>
  <c r="E75" i="29"/>
  <c r="E76" i="29"/>
  <c r="E77" i="29"/>
  <c r="E78" i="29"/>
  <c r="E79" i="29"/>
  <c r="E80" i="29"/>
  <c r="E81" i="29"/>
  <c r="G70" i="29"/>
  <c r="D77" i="29"/>
  <c r="J8" i="29"/>
  <c r="J12" i="29"/>
  <c r="J13" i="29"/>
  <c r="J14" i="29"/>
  <c r="J17" i="29"/>
  <c r="E82" i="29"/>
  <c r="E83" i="29"/>
  <c r="E84" i="29"/>
  <c r="E86" i="29"/>
  <c r="E25" i="29"/>
  <c r="C70" i="29"/>
  <c r="C72" i="29"/>
  <c r="H72" i="29"/>
  <c r="C74" i="29"/>
  <c r="C76" i="29"/>
  <c r="H76" i="29"/>
  <c r="C78" i="29"/>
  <c r="C80" i="29"/>
  <c r="G81" i="29"/>
  <c r="G82" i="29"/>
  <c r="G83" i="29"/>
  <c r="G84" i="29"/>
  <c r="G85" i="29"/>
  <c r="G86" i="29"/>
  <c r="F70" i="29"/>
  <c r="C73" i="29"/>
  <c r="H70" i="29"/>
  <c r="H71" i="29"/>
  <c r="D73" i="29"/>
  <c r="H74" i="29"/>
  <c r="H75" i="29"/>
  <c r="H77" i="29"/>
  <c r="H78" i="29"/>
  <c r="H79" i="29"/>
  <c r="H80" i="29"/>
  <c r="D83" i="29"/>
  <c r="H86" i="29"/>
  <c r="J10" i="29"/>
  <c r="J11" i="29"/>
  <c r="J15" i="29"/>
  <c r="J16" i="29"/>
  <c r="J18" i="29"/>
  <c r="J19" i="29"/>
  <c r="J20" i="29"/>
  <c r="J21" i="29"/>
  <c r="J22" i="29"/>
  <c r="E85" i="29"/>
  <c r="J23" i="29"/>
  <c r="J24" i="29"/>
  <c r="F82" i="29"/>
  <c r="F84" i="29"/>
  <c r="F85" i="29"/>
  <c r="F86" i="29"/>
  <c r="D72" i="29"/>
  <c r="J52" i="29"/>
  <c r="D74" i="29"/>
  <c r="G75" i="29"/>
  <c r="D76" i="29"/>
  <c r="G77" i="29"/>
  <c r="D78" i="29"/>
  <c r="G79" i="29"/>
  <c r="D80" i="29"/>
  <c r="B61" i="29"/>
  <c r="B62" i="29"/>
  <c r="B63" i="29"/>
  <c r="J63" i="29" s="1"/>
  <c r="B64" i="29"/>
  <c r="B85" i="29" s="1"/>
  <c r="B65" i="29"/>
  <c r="D84" i="29"/>
  <c r="C167" i="28"/>
  <c r="C153" i="28"/>
  <c r="C154" i="28"/>
  <c r="C155" i="28"/>
  <c r="C156" i="28"/>
  <c r="C157" i="28"/>
  <c r="C158" i="28"/>
  <c r="C159" i="28"/>
  <c r="C160" i="28"/>
  <c r="C161" i="28"/>
  <c r="C162" i="28"/>
  <c r="C163" i="28"/>
  <c r="C164" i="28"/>
  <c r="C166" i="28"/>
  <c r="D164" i="28"/>
  <c r="C169" i="28"/>
  <c r="C168" i="28"/>
  <c r="D169" i="28"/>
  <c r="D154" i="28"/>
  <c r="C21" i="22"/>
  <c r="C25" i="22" s="1"/>
  <c r="A2" i="21"/>
  <c r="A12" i="23"/>
  <c r="A2" i="22"/>
  <c r="J36" i="20"/>
  <c r="I36" i="20"/>
  <c r="D20" i="22" s="1"/>
  <c r="P7" i="1" l="1"/>
  <c r="N7" i="2"/>
  <c r="G85" i="2"/>
  <c r="G105" i="2" s="1"/>
  <c r="G126" i="2" s="1"/>
  <c r="J67" i="28"/>
  <c r="F76" i="2"/>
  <c r="F96" i="2" s="1"/>
  <c r="F117" i="2" s="1"/>
  <c r="E96" i="2"/>
  <c r="E117" i="2" s="1"/>
  <c r="G75" i="2"/>
  <c r="G95" i="2" s="1"/>
  <c r="G116" i="2" s="1"/>
  <c r="F32" i="29"/>
  <c r="E32" i="1"/>
  <c r="E53" i="1" s="1"/>
  <c r="F40" i="29"/>
  <c r="E40" i="1"/>
  <c r="E61" i="1" s="1"/>
  <c r="F36" i="29"/>
  <c r="E36" i="1"/>
  <c r="E57" i="1" s="1"/>
  <c r="F44" i="29"/>
  <c r="E44" i="1"/>
  <c r="E65" i="1" s="1"/>
  <c r="F43" i="29"/>
  <c r="E43" i="1"/>
  <c r="E64" i="1" s="1"/>
  <c r="F33" i="29"/>
  <c r="E33" i="1"/>
  <c r="E54" i="1" s="1"/>
  <c r="F35" i="29"/>
  <c r="E35" i="1"/>
  <c r="E56" i="1" s="1"/>
  <c r="F29" i="29"/>
  <c r="E29" i="1"/>
  <c r="E50" i="1" s="1"/>
  <c r="D46" i="1"/>
  <c r="F42" i="29"/>
  <c r="E42" i="1"/>
  <c r="E63" i="1" s="1"/>
  <c r="F37" i="29"/>
  <c r="E37" i="1"/>
  <c r="E58" i="1" s="1"/>
  <c r="F39" i="29"/>
  <c r="E39" i="1"/>
  <c r="E60" i="1" s="1"/>
  <c r="F41" i="29"/>
  <c r="E41" i="1"/>
  <c r="E62" i="1" s="1"/>
  <c r="F31" i="29"/>
  <c r="E52" i="1"/>
  <c r="F34" i="29"/>
  <c r="E34" i="1"/>
  <c r="E55" i="1" s="1"/>
  <c r="F45" i="29"/>
  <c r="E45" i="1"/>
  <c r="E66" i="1" s="1"/>
  <c r="F30" i="29"/>
  <c r="E30" i="1"/>
  <c r="E51" i="1" s="1"/>
  <c r="F38" i="29"/>
  <c r="E38" i="1"/>
  <c r="E59" i="1" s="1"/>
  <c r="F73" i="2"/>
  <c r="F81" i="2"/>
  <c r="B21" i="22"/>
  <c r="D108" i="28"/>
  <c r="D19" i="22"/>
  <c r="D21" i="22" s="1"/>
  <c r="D153" i="28"/>
  <c r="B162" i="28"/>
  <c r="B183" i="28" s="1"/>
  <c r="B159" i="28"/>
  <c r="F75" i="28"/>
  <c r="F95" i="28" s="1"/>
  <c r="F116" i="28" s="1"/>
  <c r="E157" i="28"/>
  <c r="F78" i="28"/>
  <c r="F98" i="28" s="1"/>
  <c r="F119" i="28" s="1"/>
  <c r="E160" i="28"/>
  <c r="G84" i="2"/>
  <c r="G104" i="2" s="1"/>
  <c r="G125" i="2" s="1"/>
  <c r="F84" i="28"/>
  <c r="F104" i="28" s="1"/>
  <c r="F125" i="28" s="1"/>
  <c r="E166" i="28"/>
  <c r="G82" i="28"/>
  <c r="G102" i="28" s="1"/>
  <c r="G123" i="28" s="1"/>
  <c r="F164" i="28"/>
  <c r="F86" i="28"/>
  <c r="F106" i="28" s="1"/>
  <c r="F127" i="28" s="1"/>
  <c r="E168" i="28"/>
  <c r="F73" i="28"/>
  <c r="F93" i="28" s="1"/>
  <c r="F114" i="28" s="1"/>
  <c r="E155" i="28"/>
  <c r="G74" i="2"/>
  <c r="G94" i="2" s="1"/>
  <c r="G115" i="2" s="1"/>
  <c r="G72" i="28"/>
  <c r="G92" i="28" s="1"/>
  <c r="G113" i="28" s="1"/>
  <c r="F154" i="28"/>
  <c r="F76" i="28"/>
  <c r="F96" i="28" s="1"/>
  <c r="F117" i="28" s="1"/>
  <c r="E158" i="28"/>
  <c r="H82" i="2"/>
  <c r="H102" i="2" s="1"/>
  <c r="H123" i="2" s="1"/>
  <c r="B158" i="28"/>
  <c r="B179" i="28" s="1"/>
  <c r="B164" i="28"/>
  <c r="B155" i="28"/>
  <c r="F80" i="28"/>
  <c r="F100" i="28" s="1"/>
  <c r="F121" i="28" s="1"/>
  <c r="B154" i="28"/>
  <c r="G86" i="2"/>
  <c r="G106" i="2" s="1"/>
  <c r="G127" i="2" s="1"/>
  <c r="F81" i="28"/>
  <c r="F101" i="28" s="1"/>
  <c r="F122" i="28" s="1"/>
  <c r="E163" i="28"/>
  <c r="F71" i="28"/>
  <c r="F91" i="28" s="1"/>
  <c r="F112" i="28" s="1"/>
  <c r="F85" i="28"/>
  <c r="F105" i="28" s="1"/>
  <c r="F126" i="28" s="1"/>
  <c r="E167" i="28"/>
  <c r="H78" i="2"/>
  <c r="H98" i="2" s="1"/>
  <c r="H119" i="2" s="1"/>
  <c r="G77" i="2"/>
  <c r="G97" i="2" s="1"/>
  <c r="G118" i="2" s="1"/>
  <c r="G87" i="28"/>
  <c r="G107" i="28" s="1"/>
  <c r="G128" i="28" s="1"/>
  <c r="F169" i="28"/>
  <c r="F74" i="28"/>
  <c r="F94" i="28" s="1"/>
  <c r="F115" i="28" s="1"/>
  <c r="E156" i="28"/>
  <c r="F79" i="28"/>
  <c r="F99" i="28" s="1"/>
  <c r="F120" i="28" s="1"/>
  <c r="E99" i="1"/>
  <c r="G79" i="2"/>
  <c r="G99" i="2" s="1"/>
  <c r="G120" i="2" s="1"/>
  <c r="F77" i="28"/>
  <c r="F97" i="28" s="1"/>
  <c r="F118" i="28" s="1"/>
  <c r="E159" i="28"/>
  <c r="B156" i="28"/>
  <c r="B177" i="28" s="1"/>
  <c r="B161" i="28"/>
  <c r="B166" i="28"/>
  <c r="B187" i="28" s="1"/>
  <c r="B160" i="28"/>
  <c r="B153" i="28"/>
  <c r="B174" i="28" s="1"/>
  <c r="G83" i="2"/>
  <c r="G103" i="2" s="1"/>
  <c r="G124" i="2" s="1"/>
  <c r="G127" i="39"/>
  <c r="G148" i="39" s="1"/>
  <c r="H83" i="39"/>
  <c r="H79" i="39"/>
  <c r="H116" i="39"/>
  <c r="H137" i="39" s="1"/>
  <c r="H71" i="39"/>
  <c r="F127" i="39"/>
  <c r="F148" i="39" s="1"/>
  <c r="F84" i="39"/>
  <c r="F123" i="39"/>
  <c r="F144" i="39" s="1"/>
  <c r="F121" i="39"/>
  <c r="F142" i="39" s="1"/>
  <c r="F78" i="39"/>
  <c r="F76" i="39"/>
  <c r="F74" i="39"/>
  <c r="F113" i="39"/>
  <c r="F134" i="39" s="1"/>
  <c r="F70" i="39"/>
  <c r="E83" i="39"/>
  <c r="E120" i="39"/>
  <c r="E141" i="39" s="1"/>
  <c r="E116" i="39"/>
  <c r="E137" i="39" s="1"/>
  <c r="E71" i="39"/>
  <c r="D84" i="39"/>
  <c r="D105" i="1"/>
  <c r="D126" i="1" s="1"/>
  <c r="D121" i="39"/>
  <c r="D142" i="39" s="1"/>
  <c r="D76" i="39"/>
  <c r="D97" i="1"/>
  <c r="D118" i="1" s="1"/>
  <c r="D113" i="39"/>
  <c r="D134" i="39" s="1"/>
  <c r="D127" i="39"/>
  <c r="D148" i="39" s="1"/>
  <c r="C84" i="39"/>
  <c r="C105" i="1"/>
  <c r="C126" i="1" s="1"/>
  <c r="C82" i="39"/>
  <c r="C103" i="1"/>
  <c r="C124" i="1" s="1"/>
  <c r="C80" i="39"/>
  <c r="C101" i="1"/>
  <c r="C122" i="1" s="1"/>
  <c r="C78" i="39"/>
  <c r="C99" i="1"/>
  <c r="C120" i="1" s="1"/>
  <c r="C76" i="39"/>
  <c r="C97" i="1"/>
  <c r="C118" i="1" s="1"/>
  <c r="C74" i="39"/>
  <c r="C95" i="1"/>
  <c r="C116" i="1" s="1"/>
  <c r="C72" i="39"/>
  <c r="J72" i="39" s="1"/>
  <c r="C93" i="1"/>
  <c r="C114" i="1" s="1"/>
  <c r="G70" i="39"/>
  <c r="C120" i="41"/>
  <c r="C141" i="41" s="1"/>
  <c r="C116" i="41"/>
  <c r="C137" i="41" s="1"/>
  <c r="C112" i="41"/>
  <c r="C133" i="41" s="1"/>
  <c r="F120" i="41"/>
  <c r="F141" i="41" s="1"/>
  <c r="G125" i="41"/>
  <c r="G146" i="41" s="1"/>
  <c r="C124" i="41"/>
  <c r="C145" i="41" s="1"/>
  <c r="F126" i="41"/>
  <c r="F147" i="41" s="1"/>
  <c r="F124" i="41"/>
  <c r="F145" i="41" s="1"/>
  <c r="F122" i="41"/>
  <c r="F143" i="41" s="1"/>
  <c r="D125" i="41"/>
  <c r="D146" i="41" s="1"/>
  <c r="G119" i="41"/>
  <c r="G140" i="41" s="1"/>
  <c r="G115" i="41"/>
  <c r="G136" i="41" s="1"/>
  <c r="G111" i="41"/>
  <c r="G132" i="41" s="1"/>
  <c r="H123" i="41"/>
  <c r="H144" i="41" s="1"/>
  <c r="E124" i="41"/>
  <c r="E145" i="41" s="1"/>
  <c r="E125" i="41"/>
  <c r="E146" i="41" s="1"/>
  <c r="F119" i="41"/>
  <c r="F140" i="41" s="1"/>
  <c r="F117" i="41"/>
  <c r="F138" i="41" s="1"/>
  <c r="F115" i="41"/>
  <c r="F136" i="41" s="1"/>
  <c r="F113" i="41"/>
  <c r="F134" i="41" s="1"/>
  <c r="F111" i="41"/>
  <c r="F132" i="41" s="1"/>
  <c r="E123" i="41"/>
  <c r="E144" i="41" s="1"/>
  <c r="E121" i="41"/>
  <c r="E142" i="41" s="1"/>
  <c r="E119" i="41"/>
  <c r="E140" i="41" s="1"/>
  <c r="E117" i="41"/>
  <c r="E138" i="41" s="1"/>
  <c r="E115" i="41"/>
  <c r="E136" i="41" s="1"/>
  <c r="E113" i="41"/>
  <c r="E134" i="41" s="1"/>
  <c r="E111" i="41"/>
  <c r="E132" i="41" s="1"/>
  <c r="H122" i="41"/>
  <c r="H143" i="41" s="1"/>
  <c r="H120" i="41"/>
  <c r="H141" i="41" s="1"/>
  <c r="H118" i="41"/>
  <c r="H139" i="41" s="1"/>
  <c r="H116" i="41"/>
  <c r="H137" i="41" s="1"/>
  <c r="H114" i="41"/>
  <c r="H135" i="41" s="1"/>
  <c r="H112" i="41"/>
  <c r="H133" i="41" s="1"/>
  <c r="C127" i="39"/>
  <c r="C148" i="39" s="1"/>
  <c r="H123" i="39"/>
  <c r="H144" i="39" s="1"/>
  <c r="H78" i="39"/>
  <c r="H74" i="39"/>
  <c r="H70" i="39"/>
  <c r="E123" i="39"/>
  <c r="E144" i="39" s="1"/>
  <c r="E78" i="39"/>
  <c r="E74" i="39"/>
  <c r="E70" i="39"/>
  <c r="D83" i="39"/>
  <c r="D104" i="1"/>
  <c r="D125" i="1" s="1"/>
  <c r="D79" i="39"/>
  <c r="D75" i="39"/>
  <c r="D96" i="1"/>
  <c r="D117" i="1" s="1"/>
  <c r="D112" i="39"/>
  <c r="D133" i="39" s="1"/>
  <c r="G85" i="39"/>
  <c r="G83" i="39"/>
  <c r="G81" i="39"/>
  <c r="G79" i="39"/>
  <c r="G77" i="39"/>
  <c r="G116" i="39"/>
  <c r="G137" i="39" s="1"/>
  <c r="G73" i="39"/>
  <c r="G71" i="39"/>
  <c r="G124" i="41"/>
  <c r="G145" i="41" s="1"/>
  <c r="C119" i="41"/>
  <c r="C140" i="41" s="1"/>
  <c r="C115" i="41"/>
  <c r="C136" i="41" s="1"/>
  <c r="D127" i="41"/>
  <c r="D148" i="41" s="1"/>
  <c r="C125" i="41"/>
  <c r="C146" i="41" s="1"/>
  <c r="G122" i="41"/>
  <c r="G143" i="41" s="1"/>
  <c r="G118" i="41"/>
  <c r="G139" i="41" s="1"/>
  <c r="G114" i="41"/>
  <c r="G135" i="41" s="1"/>
  <c r="H127" i="41"/>
  <c r="H148" i="41" s="1"/>
  <c r="E126" i="41"/>
  <c r="E147" i="41" s="1"/>
  <c r="C126" i="41"/>
  <c r="C147" i="41" s="1"/>
  <c r="D122" i="41"/>
  <c r="D143" i="41" s="1"/>
  <c r="D120" i="41"/>
  <c r="D141" i="41" s="1"/>
  <c r="D118" i="41"/>
  <c r="D139" i="41" s="1"/>
  <c r="D116" i="41"/>
  <c r="D137" i="41" s="1"/>
  <c r="D114" i="41"/>
  <c r="D135" i="41" s="1"/>
  <c r="D112" i="41"/>
  <c r="D133" i="41" s="1"/>
  <c r="D111" i="41"/>
  <c r="D132" i="41" s="1"/>
  <c r="C107" i="1"/>
  <c r="C128" i="1" s="1"/>
  <c r="H85" i="39"/>
  <c r="H81" i="39"/>
  <c r="H77" i="39"/>
  <c r="H73" i="39"/>
  <c r="F85" i="39"/>
  <c r="F83" i="39"/>
  <c r="F81" i="39"/>
  <c r="F79" i="39"/>
  <c r="F77" i="39"/>
  <c r="F116" i="39"/>
  <c r="F137" i="39" s="1"/>
  <c r="F73" i="39"/>
  <c r="F71" i="39"/>
  <c r="E85" i="39"/>
  <c r="E81" i="39"/>
  <c r="E102" i="1"/>
  <c r="E77" i="39"/>
  <c r="E73" i="39"/>
  <c r="E127" i="39"/>
  <c r="E148" i="39" s="1"/>
  <c r="D82" i="39"/>
  <c r="D103" i="1"/>
  <c r="D124" i="1" s="1"/>
  <c r="D78" i="39"/>
  <c r="D99" i="1"/>
  <c r="D120" i="1" s="1"/>
  <c r="D74" i="39"/>
  <c r="D95" i="1"/>
  <c r="D116" i="1" s="1"/>
  <c r="D70" i="39"/>
  <c r="C85" i="39"/>
  <c r="C106" i="1"/>
  <c r="C127" i="1" s="1"/>
  <c r="C83" i="39"/>
  <c r="C104" i="1"/>
  <c r="C125" i="1" s="1"/>
  <c r="C81" i="39"/>
  <c r="C102" i="1"/>
  <c r="C123" i="1" s="1"/>
  <c r="C79" i="39"/>
  <c r="C77" i="39"/>
  <c r="C98" i="1"/>
  <c r="C119" i="1" s="1"/>
  <c r="C75" i="39"/>
  <c r="C96" i="1"/>
  <c r="C117" i="1" s="1"/>
  <c r="C73" i="39"/>
  <c r="C94" i="1"/>
  <c r="C115" i="1" s="1"/>
  <c r="C112" i="39"/>
  <c r="C133" i="39" s="1"/>
  <c r="C70" i="39"/>
  <c r="C122" i="41"/>
  <c r="C143" i="41" s="1"/>
  <c r="C118" i="41"/>
  <c r="C139" i="41" s="1"/>
  <c r="C114" i="41"/>
  <c r="C135" i="41" s="1"/>
  <c r="D126" i="41"/>
  <c r="D147" i="41" s="1"/>
  <c r="G123" i="41"/>
  <c r="G144" i="41" s="1"/>
  <c r="F127" i="41"/>
  <c r="F148" i="41" s="1"/>
  <c r="F125" i="41"/>
  <c r="F146" i="41" s="1"/>
  <c r="F123" i="41"/>
  <c r="F144" i="41" s="1"/>
  <c r="F121" i="41"/>
  <c r="F142" i="41" s="1"/>
  <c r="G121" i="41"/>
  <c r="G142" i="41" s="1"/>
  <c r="G117" i="41"/>
  <c r="G138" i="41" s="1"/>
  <c r="G113" i="41"/>
  <c r="G134" i="41" s="1"/>
  <c r="H126" i="41"/>
  <c r="H147" i="41" s="1"/>
  <c r="H124" i="41"/>
  <c r="H145" i="41" s="1"/>
  <c r="F118" i="41"/>
  <c r="F139" i="41" s="1"/>
  <c r="F116" i="41"/>
  <c r="F137" i="41" s="1"/>
  <c r="F114" i="41"/>
  <c r="F135" i="41" s="1"/>
  <c r="F112" i="41"/>
  <c r="F133" i="41" s="1"/>
  <c r="E122" i="41"/>
  <c r="E143" i="41" s="1"/>
  <c r="E120" i="41"/>
  <c r="E141" i="41" s="1"/>
  <c r="E118" i="41"/>
  <c r="E139" i="41" s="1"/>
  <c r="E116" i="41"/>
  <c r="E137" i="41" s="1"/>
  <c r="E114" i="41"/>
  <c r="E135" i="41" s="1"/>
  <c r="E112" i="41"/>
  <c r="E133" i="41" s="1"/>
  <c r="H121" i="41"/>
  <c r="H142" i="41" s="1"/>
  <c r="H119" i="41"/>
  <c r="H140" i="41" s="1"/>
  <c r="H117" i="41"/>
  <c r="H138" i="41" s="1"/>
  <c r="H115" i="41"/>
  <c r="H136" i="41" s="1"/>
  <c r="H113" i="41"/>
  <c r="H134" i="41" s="1"/>
  <c r="D107" i="1"/>
  <c r="D128" i="1" s="1"/>
  <c r="D93" i="1"/>
  <c r="D114" i="1" s="1"/>
  <c r="J25" i="29"/>
  <c r="H84" i="39"/>
  <c r="H121" i="39"/>
  <c r="H142" i="39" s="1"/>
  <c r="H76" i="39"/>
  <c r="H113" i="39"/>
  <c r="H134" i="39" s="1"/>
  <c r="E84" i="39"/>
  <c r="E80" i="39"/>
  <c r="E76" i="39"/>
  <c r="E113" i="39"/>
  <c r="E134" i="39" s="1"/>
  <c r="D85" i="39"/>
  <c r="D106" i="1"/>
  <c r="D127" i="1" s="1"/>
  <c r="D81" i="39"/>
  <c r="D102" i="1"/>
  <c r="D123" i="1" s="1"/>
  <c r="D77" i="39"/>
  <c r="D98" i="1"/>
  <c r="D119" i="1" s="1"/>
  <c r="D73" i="39"/>
  <c r="D94" i="1"/>
  <c r="D115" i="1" s="1"/>
  <c r="H127" i="39"/>
  <c r="H148" i="39" s="1"/>
  <c r="G84" i="39"/>
  <c r="G123" i="39"/>
  <c r="G144" i="39" s="1"/>
  <c r="G121" i="39"/>
  <c r="G142" i="39" s="1"/>
  <c r="G78" i="39"/>
  <c r="G76" i="39"/>
  <c r="G74" i="39"/>
  <c r="G113" i="39"/>
  <c r="G134" i="39" s="1"/>
  <c r="C121" i="41"/>
  <c r="C142" i="41" s="1"/>
  <c r="C117" i="41"/>
  <c r="C138" i="41" s="1"/>
  <c r="C113" i="41"/>
  <c r="C134" i="41" s="1"/>
  <c r="D124" i="41"/>
  <c r="D145" i="41" s="1"/>
  <c r="C127" i="41"/>
  <c r="C148" i="41" s="1"/>
  <c r="C123" i="41"/>
  <c r="C144" i="41" s="1"/>
  <c r="G126" i="41"/>
  <c r="G147" i="41" s="1"/>
  <c r="G120" i="41"/>
  <c r="G141" i="41" s="1"/>
  <c r="G116" i="41"/>
  <c r="G137" i="41" s="1"/>
  <c r="G112" i="41"/>
  <c r="G133" i="41" s="1"/>
  <c r="H125" i="41"/>
  <c r="H146" i="41" s="1"/>
  <c r="E127" i="41"/>
  <c r="E148" i="41" s="1"/>
  <c r="C111" i="41"/>
  <c r="C132" i="41" s="1"/>
  <c r="D123" i="41"/>
  <c r="D144" i="41" s="1"/>
  <c r="D121" i="41"/>
  <c r="D142" i="41" s="1"/>
  <c r="D119" i="41"/>
  <c r="D140" i="41" s="1"/>
  <c r="D117" i="41"/>
  <c r="D138" i="41" s="1"/>
  <c r="D115" i="41"/>
  <c r="D136" i="41" s="1"/>
  <c r="D113" i="41"/>
  <c r="D134" i="41" s="1"/>
  <c r="H111" i="41"/>
  <c r="H132" i="41" s="1"/>
  <c r="D101" i="1"/>
  <c r="D122" i="1" s="1"/>
  <c r="E107" i="1"/>
  <c r="F87" i="2"/>
  <c r="F107" i="2" s="1"/>
  <c r="F128" i="2" s="1"/>
  <c r="G76" i="2"/>
  <c r="G96" i="2" s="1"/>
  <c r="G117" i="2" s="1"/>
  <c r="C165" i="28"/>
  <c r="C186" i="28" s="1"/>
  <c r="C129" i="28"/>
  <c r="G83" i="28"/>
  <c r="G103" i="28" s="1"/>
  <c r="G124" i="28" s="1"/>
  <c r="E165" i="28"/>
  <c r="E186" i="28" s="1"/>
  <c r="D165" i="28"/>
  <c r="E103" i="1"/>
  <c r="J78" i="37"/>
  <c r="J62" i="34"/>
  <c r="J57" i="40"/>
  <c r="J62" i="30"/>
  <c r="J63" i="32"/>
  <c r="J54" i="30"/>
  <c r="J64" i="32"/>
  <c r="B77" i="32"/>
  <c r="J77" i="32" s="1"/>
  <c r="J61" i="29"/>
  <c r="J56" i="30"/>
  <c r="J55" i="32"/>
  <c r="J74" i="37"/>
  <c r="J53" i="32"/>
  <c r="J50" i="30"/>
  <c r="F66" i="30"/>
  <c r="J62" i="29"/>
  <c r="J65" i="29"/>
  <c r="H66" i="32"/>
  <c r="J63" i="40"/>
  <c r="G66" i="41"/>
  <c r="J51" i="36"/>
  <c r="J64" i="30"/>
  <c r="J49" i="29"/>
  <c r="J59" i="41"/>
  <c r="J62" i="39"/>
  <c r="H66" i="34"/>
  <c r="J65" i="32"/>
  <c r="B79" i="32"/>
  <c r="B120" i="32" s="1"/>
  <c r="F66" i="29"/>
  <c r="F119" i="29"/>
  <c r="F140" i="29" s="1"/>
  <c r="J54" i="29"/>
  <c r="B83" i="29"/>
  <c r="B124" i="29" s="1"/>
  <c r="J60" i="29"/>
  <c r="J50" i="29"/>
  <c r="J59" i="29"/>
  <c r="G66" i="29"/>
  <c r="J58" i="29"/>
  <c r="J56" i="29"/>
  <c r="D66" i="30"/>
  <c r="J63" i="30"/>
  <c r="H66" i="30"/>
  <c r="J61" i="30"/>
  <c r="J65" i="30"/>
  <c r="E66" i="31"/>
  <c r="G66" i="32"/>
  <c r="J61" i="32"/>
  <c r="B86" i="32"/>
  <c r="B127" i="32" s="1"/>
  <c r="J65" i="34"/>
  <c r="D66" i="34"/>
  <c r="J63" i="34"/>
  <c r="G66" i="34"/>
  <c r="J54" i="36"/>
  <c r="F66" i="36"/>
  <c r="J53" i="36"/>
  <c r="E66" i="36"/>
  <c r="D66" i="36"/>
  <c r="J50" i="36"/>
  <c r="J56" i="36"/>
  <c r="B66" i="36"/>
  <c r="J64" i="38"/>
  <c r="E66" i="38"/>
  <c r="J61" i="38"/>
  <c r="J58" i="39"/>
  <c r="J54" i="39"/>
  <c r="J25" i="39"/>
  <c r="B83" i="39"/>
  <c r="B124" i="39" s="1"/>
  <c r="B145" i="39" s="1"/>
  <c r="G86" i="41"/>
  <c r="G66" i="37"/>
  <c r="D66" i="37"/>
  <c r="E66" i="37"/>
  <c r="J60" i="37"/>
  <c r="J52" i="37"/>
  <c r="J50" i="37"/>
  <c r="B66" i="37"/>
  <c r="J64" i="35"/>
  <c r="G66" i="35"/>
  <c r="J56" i="40"/>
  <c r="D66" i="40"/>
  <c r="H66" i="40"/>
  <c r="J59" i="40"/>
  <c r="J52" i="40"/>
  <c r="J73" i="40"/>
  <c r="J64" i="40"/>
  <c r="J54" i="40"/>
  <c r="H87" i="41"/>
  <c r="E87" i="41"/>
  <c r="F87" i="41"/>
  <c r="D87" i="41"/>
  <c r="J65" i="41"/>
  <c r="J64" i="41"/>
  <c r="J63" i="41"/>
  <c r="J62" i="41"/>
  <c r="J61" i="41"/>
  <c r="J60" i="41"/>
  <c r="B80" i="41"/>
  <c r="B87" i="41" s="1"/>
  <c r="J58" i="41"/>
  <c r="C66" i="41"/>
  <c r="J57" i="41"/>
  <c r="J56" i="41"/>
  <c r="J55" i="41"/>
  <c r="J54" i="41"/>
  <c r="J53" i="41"/>
  <c r="J52" i="41"/>
  <c r="J51" i="41"/>
  <c r="J50" i="41"/>
  <c r="B127" i="41"/>
  <c r="B148" i="41" s="1"/>
  <c r="B126" i="41"/>
  <c r="B147" i="41" s="1"/>
  <c r="J85" i="41"/>
  <c r="B125" i="41"/>
  <c r="B146" i="41" s="1"/>
  <c r="J84" i="41"/>
  <c r="B124" i="41"/>
  <c r="B145" i="41" s="1"/>
  <c r="J83" i="41"/>
  <c r="B123" i="41"/>
  <c r="B144" i="41" s="1"/>
  <c r="J82" i="41"/>
  <c r="B122" i="41"/>
  <c r="B143" i="41" s="1"/>
  <c r="J81" i="41"/>
  <c r="B120" i="41"/>
  <c r="B141" i="41" s="1"/>
  <c r="J79" i="41"/>
  <c r="B119" i="41"/>
  <c r="B140" i="41" s="1"/>
  <c r="J78" i="41"/>
  <c r="B118" i="41"/>
  <c r="B139" i="41" s="1"/>
  <c r="J77" i="41"/>
  <c r="B117" i="41"/>
  <c r="B138" i="41" s="1"/>
  <c r="J76" i="41"/>
  <c r="B116" i="41"/>
  <c r="B137" i="41" s="1"/>
  <c r="J75" i="41"/>
  <c r="B115" i="41"/>
  <c r="B136" i="41" s="1"/>
  <c r="J74" i="41"/>
  <c r="B114" i="41"/>
  <c r="B135" i="41" s="1"/>
  <c r="J73" i="41"/>
  <c r="B113" i="41"/>
  <c r="B134" i="41" s="1"/>
  <c r="J72" i="41"/>
  <c r="B112" i="41"/>
  <c r="B133" i="41" s="1"/>
  <c r="J71" i="41"/>
  <c r="J25" i="41"/>
  <c r="F66" i="41"/>
  <c r="B66" i="41"/>
  <c r="J49" i="41"/>
  <c r="E66" i="41"/>
  <c r="C87" i="41"/>
  <c r="B111" i="41"/>
  <c r="B132" i="41" s="1"/>
  <c r="J70" i="41"/>
  <c r="H66" i="41"/>
  <c r="D66" i="41"/>
  <c r="B115" i="40"/>
  <c r="B136" i="40" s="1"/>
  <c r="J74" i="40"/>
  <c r="B111" i="40"/>
  <c r="B132" i="40" s="1"/>
  <c r="J70" i="40"/>
  <c r="B127" i="40"/>
  <c r="B148" i="40" s="1"/>
  <c r="J86" i="40"/>
  <c r="B123" i="40"/>
  <c r="B144" i="40" s="1"/>
  <c r="J82" i="40"/>
  <c r="F87" i="40"/>
  <c r="B117" i="40"/>
  <c r="J76" i="40"/>
  <c r="J25" i="40"/>
  <c r="J62" i="40"/>
  <c r="B120" i="40"/>
  <c r="B141" i="40" s="1"/>
  <c r="J79" i="40"/>
  <c r="D87" i="40"/>
  <c r="J58" i="40"/>
  <c r="J51" i="40"/>
  <c r="B126" i="40"/>
  <c r="B147" i="40" s="1"/>
  <c r="J85" i="40"/>
  <c r="B118" i="40"/>
  <c r="B139" i="40" s="1"/>
  <c r="J60" i="40"/>
  <c r="B121" i="40"/>
  <c r="B142" i="40" s="1"/>
  <c r="C87" i="40"/>
  <c r="J55" i="40"/>
  <c r="B84" i="40"/>
  <c r="F66" i="40"/>
  <c r="E87" i="40"/>
  <c r="H87" i="40"/>
  <c r="E66" i="40"/>
  <c r="B72" i="40"/>
  <c r="B137" i="40"/>
  <c r="B119" i="40"/>
  <c r="J78" i="40"/>
  <c r="C66" i="40"/>
  <c r="G87" i="40"/>
  <c r="J53" i="40"/>
  <c r="B66" i="40"/>
  <c r="J49" i="40"/>
  <c r="J65" i="40"/>
  <c r="B124" i="40"/>
  <c r="B145" i="40" s="1"/>
  <c r="J83" i="40"/>
  <c r="J61" i="40"/>
  <c r="B122" i="40"/>
  <c r="B143" i="40" s="1"/>
  <c r="J81" i="40"/>
  <c r="B122" i="39"/>
  <c r="B143" i="39" s="1"/>
  <c r="B118" i="39"/>
  <c r="B139" i="39" s="1"/>
  <c r="B114" i="39"/>
  <c r="B135" i="39" s="1"/>
  <c r="B121" i="39"/>
  <c r="B142" i="39" s="1"/>
  <c r="B119" i="39"/>
  <c r="B140" i="39" s="1"/>
  <c r="B117" i="39"/>
  <c r="B138" i="39" s="1"/>
  <c r="B115" i="39"/>
  <c r="B136" i="39" s="1"/>
  <c r="B113" i="39"/>
  <c r="B134" i="39" s="1"/>
  <c r="H66" i="39"/>
  <c r="F66" i="39"/>
  <c r="D66" i="39"/>
  <c r="J65" i="39"/>
  <c r="J64" i="39"/>
  <c r="J63" i="39"/>
  <c r="J61" i="39"/>
  <c r="B79" i="39"/>
  <c r="B75" i="39"/>
  <c r="B112" i="39"/>
  <c r="B133" i="39" s="1"/>
  <c r="B111" i="39"/>
  <c r="B132" i="39" s="1"/>
  <c r="C66" i="39"/>
  <c r="B127" i="39"/>
  <c r="J86" i="39"/>
  <c r="B126" i="39"/>
  <c r="B147" i="39" s="1"/>
  <c r="B125" i="39"/>
  <c r="B146" i="39" s="1"/>
  <c r="B123" i="39"/>
  <c r="B144" i="39" s="1"/>
  <c r="J60" i="39"/>
  <c r="J59" i="39"/>
  <c r="J57" i="39"/>
  <c r="J56" i="39"/>
  <c r="J55" i="39"/>
  <c r="J53" i="39"/>
  <c r="J52" i="39"/>
  <c r="J51" i="39"/>
  <c r="J50" i="39"/>
  <c r="B66" i="39"/>
  <c r="J49" i="39"/>
  <c r="E66" i="39"/>
  <c r="G66" i="39"/>
  <c r="B111" i="38"/>
  <c r="B127" i="38"/>
  <c r="J86" i="38"/>
  <c r="B121" i="38"/>
  <c r="J80" i="38"/>
  <c r="J74" i="38"/>
  <c r="B115" i="38"/>
  <c r="B136" i="38" s="1"/>
  <c r="B117" i="38"/>
  <c r="J76" i="38"/>
  <c r="H87" i="38"/>
  <c r="J52" i="38"/>
  <c r="B124" i="38"/>
  <c r="J83" i="38"/>
  <c r="D66" i="38"/>
  <c r="J62" i="38"/>
  <c r="J57" i="38"/>
  <c r="J54" i="38"/>
  <c r="B85" i="38"/>
  <c r="B78" i="38"/>
  <c r="J72" i="38"/>
  <c r="B113" i="38"/>
  <c r="J51" i="38"/>
  <c r="B66" i="38"/>
  <c r="J49" i="38"/>
  <c r="F66" i="38"/>
  <c r="C87" i="38"/>
  <c r="C66" i="38"/>
  <c r="J60" i="38"/>
  <c r="J56" i="38"/>
  <c r="J25" i="38"/>
  <c r="B123" i="38"/>
  <c r="B125" i="38"/>
  <c r="B146" i="38" s="1"/>
  <c r="J84" i="38"/>
  <c r="J53" i="38"/>
  <c r="G87" i="38"/>
  <c r="J58" i="38"/>
  <c r="F87" i="38"/>
  <c r="J63" i="38"/>
  <c r="G66" i="38"/>
  <c r="J65" i="38"/>
  <c r="J59" i="38"/>
  <c r="J50" i="38"/>
  <c r="B81" i="38"/>
  <c r="B79" i="38"/>
  <c r="B77" i="38"/>
  <c r="B116" i="38"/>
  <c r="J75" i="38"/>
  <c r="B73" i="38"/>
  <c r="B71" i="38"/>
  <c r="J55" i="38"/>
  <c r="H66" i="38"/>
  <c r="J83" i="37"/>
  <c r="B124" i="37"/>
  <c r="B145" i="37" s="1"/>
  <c r="J73" i="37"/>
  <c r="J71" i="37"/>
  <c r="B120" i="37"/>
  <c r="J79" i="37"/>
  <c r="B116" i="37"/>
  <c r="B137" i="37" s="1"/>
  <c r="J75" i="37"/>
  <c r="B112" i="37"/>
  <c r="B133" i="37" s="1"/>
  <c r="C66" i="37"/>
  <c r="B82" i="37"/>
  <c r="H66" i="37"/>
  <c r="J56" i="37"/>
  <c r="H87" i="37"/>
  <c r="B119" i="37"/>
  <c r="B140" i="37" s="1"/>
  <c r="B115" i="37"/>
  <c r="B136" i="37" s="1"/>
  <c r="B111" i="37"/>
  <c r="B132" i="37" s="1"/>
  <c r="J70" i="37"/>
  <c r="J65" i="37"/>
  <c r="J64" i="37"/>
  <c r="J63" i="37"/>
  <c r="F66" i="37"/>
  <c r="F87" i="37"/>
  <c r="B118" i="37"/>
  <c r="B139" i="37" s="1"/>
  <c r="J77" i="37"/>
  <c r="B114" i="37"/>
  <c r="B135" i="37" s="1"/>
  <c r="J25" i="37"/>
  <c r="B86" i="37"/>
  <c r="B85" i="37"/>
  <c r="B84" i="37"/>
  <c r="B143" i="37"/>
  <c r="E87" i="37"/>
  <c r="J58" i="37"/>
  <c r="J54" i="37"/>
  <c r="B121" i="37"/>
  <c r="B142" i="37" s="1"/>
  <c r="B117" i="37"/>
  <c r="J76" i="37"/>
  <c r="B113" i="37"/>
  <c r="J72" i="37"/>
  <c r="J80" i="37"/>
  <c r="J62" i="37"/>
  <c r="J61" i="37"/>
  <c r="J59" i="37"/>
  <c r="B121" i="36"/>
  <c r="J80" i="36"/>
  <c r="C66" i="36"/>
  <c r="E87" i="36"/>
  <c r="B116" i="36"/>
  <c r="B137" i="36" s="1"/>
  <c r="J75" i="36"/>
  <c r="B112" i="36"/>
  <c r="B133" i="36" s="1"/>
  <c r="J57" i="36"/>
  <c r="J72" i="36"/>
  <c r="J59" i="36"/>
  <c r="J73" i="36"/>
  <c r="B119" i="36"/>
  <c r="J78" i="36"/>
  <c r="B115" i="36"/>
  <c r="B136" i="36" s="1"/>
  <c r="J74" i="36"/>
  <c r="B111" i="36"/>
  <c r="B132" i="36" s="1"/>
  <c r="J60" i="36"/>
  <c r="J49" i="36"/>
  <c r="J52" i="36"/>
  <c r="B118" i="36"/>
  <c r="B139" i="36" s="1"/>
  <c r="B114" i="36"/>
  <c r="B135" i="36" s="1"/>
  <c r="J81" i="36"/>
  <c r="B122" i="36"/>
  <c r="B143" i="36" s="1"/>
  <c r="J58" i="36"/>
  <c r="J65" i="36"/>
  <c r="J64" i="36"/>
  <c r="J63" i="36"/>
  <c r="J62" i="36"/>
  <c r="J61" i="36"/>
  <c r="J77" i="36"/>
  <c r="B117" i="36"/>
  <c r="B113" i="36"/>
  <c r="B134" i="36" s="1"/>
  <c r="B120" i="36"/>
  <c r="B141" i="36" s="1"/>
  <c r="J79" i="36"/>
  <c r="B86" i="36"/>
  <c r="J85" i="36"/>
  <c r="B126" i="36"/>
  <c r="B147" i="36" s="1"/>
  <c r="J84" i="36"/>
  <c r="B125" i="36"/>
  <c r="J83" i="36"/>
  <c r="B124" i="36"/>
  <c r="B123" i="36"/>
  <c r="J70" i="36"/>
  <c r="B122" i="35"/>
  <c r="B143" i="35" s="1"/>
  <c r="J81" i="35"/>
  <c r="B118" i="35"/>
  <c r="B139" i="35" s="1"/>
  <c r="J77" i="35"/>
  <c r="B114" i="35"/>
  <c r="B135" i="35" s="1"/>
  <c r="J73" i="35"/>
  <c r="B123" i="35"/>
  <c r="B144" i="35" s="1"/>
  <c r="J82" i="35"/>
  <c r="B119" i="35"/>
  <c r="B140" i="35" s="1"/>
  <c r="J78" i="35"/>
  <c r="B115" i="35"/>
  <c r="B136" i="35" s="1"/>
  <c r="J74" i="35"/>
  <c r="H87" i="35"/>
  <c r="B124" i="35"/>
  <c r="B145" i="35" s="1"/>
  <c r="J83" i="35"/>
  <c r="B120" i="35"/>
  <c r="B141" i="35" s="1"/>
  <c r="J79" i="35"/>
  <c r="B116" i="35"/>
  <c r="B137" i="35" s="1"/>
  <c r="J75" i="35"/>
  <c r="B112" i="35"/>
  <c r="B133" i="35" s="1"/>
  <c r="J71" i="35"/>
  <c r="E87" i="35"/>
  <c r="B121" i="35"/>
  <c r="B142" i="35" s="1"/>
  <c r="J80" i="35"/>
  <c r="B117" i="35"/>
  <c r="B138" i="35" s="1"/>
  <c r="J76" i="35"/>
  <c r="B113" i="35"/>
  <c r="B134" i="35" s="1"/>
  <c r="J72" i="35"/>
  <c r="C87" i="35"/>
  <c r="J65" i="35"/>
  <c r="J63" i="35"/>
  <c r="B85" i="35"/>
  <c r="B87" i="35" s="1"/>
  <c r="J25" i="35"/>
  <c r="J49" i="35"/>
  <c r="B66" i="35"/>
  <c r="E66" i="35"/>
  <c r="D66" i="35"/>
  <c r="B127" i="35"/>
  <c r="B148" i="35" s="1"/>
  <c r="J86" i="35"/>
  <c r="B125" i="35"/>
  <c r="B146" i="35" s="1"/>
  <c r="J84" i="35"/>
  <c r="F66" i="35"/>
  <c r="B111" i="35"/>
  <c r="B132" i="35" s="1"/>
  <c r="C66" i="35"/>
  <c r="D87" i="35"/>
  <c r="G87" i="35"/>
  <c r="J62" i="35"/>
  <c r="J61" i="35"/>
  <c r="J60" i="35"/>
  <c r="J59" i="35"/>
  <c r="J58" i="35"/>
  <c r="J57" i="35"/>
  <c r="J56" i="35"/>
  <c r="J55" i="35"/>
  <c r="J54" i="35"/>
  <c r="J53" i="35"/>
  <c r="J52" i="35"/>
  <c r="J51" i="35"/>
  <c r="J50" i="35"/>
  <c r="J70" i="35"/>
  <c r="H66" i="35"/>
  <c r="B111" i="34"/>
  <c r="B132" i="34" s="1"/>
  <c r="B114" i="34"/>
  <c r="B122" i="34"/>
  <c r="B143" i="34" s="1"/>
  <c r="J81" i="34"/>
  <c r="B116" i="34"/>
  <c r="B137" i="34" s="1"/>
  <c r="J75" i="34"/>
  <c r="J77" i="34"/>
  <c r="B118" i="34"/>
  <c r="B139" i="34" s="1"/>
  <c r="J64" i="34"/>
  <c r="J59" i="34"/>
  <c r="J55" i="34"/>
  <c r="J79" i="34"/>
  <c r="B120" i="34"/>
  <c r="B141" i="34" s="1"/>
  <c r="B112" i="34"/>
  <c r="J71" i="34"/>
  <c r="J58" i="34"/>
  <c r="J50" i="34"/>
  <c r="F66" i="34"/>
  <c r="H87" i="34"/>
  <c r="J53" i="34"/>
  <c r="J25" i="34"/>
  <c r="J85" i="34"/>
  <c r="B126" i="34"/>
  <c r="B147" i="34" s="1"/>
  <c r="B83" i="34"/>
  <c r="F87" i="34"/>
  <c r="J56" i="34"/>
  <c r="E66" i="34"/>
  <c r="J61" i="34"/>
  <c r="J57" i="34"/>
  <c r="J51" i="34"/>
  <c r="B82" i="34"/>
  <c r="B121" i="34"/>
  <c r="J80" i="34"/>
  <c r="B78" i="34"/>
  <c r="B117" i="34"/>
  <c r="J76" i="34"/>
  <c r="B74" i="34"/>
  <c r="B72" i="34"/>
  <c r="D87" i="34"/>
  <c r="J52" i="34"/>
  <c r="G87" i="34"/>
  <c r="C66" i="34"/>
  <c r="B66" i="34"/>
  <c r="J49" i="34"/>
  <c r="B86" i="34"/>
  <c r="B84" i="34"/>
  <c r="J60" i="34"/>
  <c r="J54" i="34"/>
  <c r="B123" i="33"/>
  <c r="B144" i="33" s="1"/>
  <c r="J82" i="33"/>
  <c r="B121" i="33"/>
  <c r="B142" i="33" s="1"/>
  <c r="J80" i="33"/>
  <c r="J25" i="33"/>
  <c r="J58" i="33"/>
  <c r="J57" i="33"/>
  <c r="J56" i="33"/>
  <c r="J55" i="33"/>
  <c r="J54" i="33"/>
  <c r="J53" i="33"/>
  <c r="J52" i="33"/>
  <c r="J51" i="33"/>
  <c r="J50" i="33"/>
  <c r="B66" i="33"/>
  <c r="J49" i="33"/>
  <c r="C66" i="33"/>
  <c r="J63" i="33"/>
  <c r="E66" i="33"/>
  <c r="J60" i="33"/>
  <c r="J65" i="33"/>
  <c r="J62" i="33"/>
  <c r="B79" i="33"/>
  <c r="B78" i="33"/>
  <c r="B77" i="33"/>
  <c r="B76" i="33"/>
  <c r="B75" i="33"/>
  <c r="B74" i="33"/>
  <c r="B73" i="33"/>
  <c r="B72" i="33"/>
  <c r="B71" i="33"/>
  <c r="B70" i="33"/>
  <c r="B84" i="33"/>
  <c r="G66" i="33"/>
  <c r="J64" i="33"/>
  <c r="B81" i="33"/>
  <c r="D66" i="33"/>
  <c r="B86" i="33"/>
  <c r="B124" i="33"/>
  <c r="B145" i="33" s="1"/>
  <c r="J83" i="33"/>
  <c r="F66" i="33"/>
  <c r="C87" i="33"/>
  <c r="B126" i="33"/>
  <c r="J85" i="33"/>
  <c r="H66" i="33"/>
  <c r="D87" i="33"/>
  <c r="J59" i="33"/>
  <c r="G87" i="33"/>
  <c r="J61" i="33"/>
  <c r="F87" i="32"/>
  <c r="C66" i="32"/>
  <c r="J59" i="32"/>
  <c r="E87" i="32"/>
  <c r="E66" i="32"/>
  <c r="B117" i="32"/>
  <c r="B138" i="32" s="1"/>
  <c r="J76" i="32"/>
  <c r="B113" i="32"/>
  <c r="J60" i="32"/>
  <c r="G87" i="32"/>
  <c r="J57" i="32"/>
  <c r="J74" i="32"/>
  <c r="J25" i="32"/>
  <c r="B85" i="32"/>
  <c r="B83" i="32"/>
  <c r="B122" i="32"/>
  <c r="B143" i="32" s="1"/>
  <c r="J81" i="32"/>
  <c r="B116" i="32"/>
  <c r="B137" i="32" s="1"/>
  <c r="J75" i="32"/>
  <c r="B112" i="32"/>
  <c r="B133" i="32" s="1"/>
  <c r="J71" i="32"/>
  <c r="J50" i="32"/>
  <c r="B80" i="32"/>
  <c r="J51" i="32"/>
  <c r="F66" i="32"/>
  <c r="B119" i="32"/>
  <c r="B140" i="32" s="1"/>
  <c r="J78" i="32"/>
  <c r="B115" i="32"/>
  <c r="B136" i="32" s="1"/>
  <c r="B111" i="32"/>
  <c r="B132" i="32" s="1"/>
  <c r="J52" i="32"/>
  <c r="D66" i="32"/>
  <c r="B66" i="32"/>
  <c r="B84" i="32"/>
  <c r="B82" i="32"/>
  <c r="B114" i="32"/>
  <c r="B135" i="32" s="1"/>
  <c r="J73" i="32"/>
  <c r="J54" i="32"/>
  <c r="J49" i="32"/>
  <c r="B125" i="31"/>
  <c r="B146" i="31" s="1"/>
  <c r="J84" i="31"/>
  <c r="B121" i="31"/>
  <c r="B142" i="31" s="1"/>
  <c r="J80" i="31"/>
  <c r="B119" i="31"/>
  <c r="B140" i="31" s="1"/>
  <c r="J78" i="31"/>
  <c r="B117" i="31"/>
  <c r="J76" i="31"/>
  <c r="B115" i="31"/>
  <c r="B136" i="31" s="1"/>
  <c r="J74" i="31"/>
  <c r="B113" i="31"/>
  <c r="B134" i="31" s="1"/>
  <c r="J72" i="31"/>
  <c r="B123" i="31"/>
  <c r="B144" i="31" s="1"/>
  <c r="J82" i="31"/>
  <c r="B126" i="31"/>
  <c r="B147" i="31" s="1"/>
  <c r="J85" i="31"/>
  <c r="B124" i="31"/>
  <c r="B145" i="31" s="1"/>
  <c r="J83" i="31"/>
  <c r="B122" i="31"/>
  <c r="J81" i="31"/>
  <c r="B120" i="31"/>
  <c r="B141" i="31" s="1"/>
  <c r="J79" i="31"/>
  <c r="B118" i="31"/>
  <c r="B139" i="31" s="1"/>
  <c r="J77" i="31"/>
  <c r="B116" i="31"/>
  <c r="B137" i="31" s="1"/>
  <c r="J75" i="31"/>
  <c r="B114" i="31"/>
  <c r="B135" i="31" s="1"/>
  <c r="J73" i="31"/>
  <c r="B112" i="31"/>
  <c r="J71" i="31"/>
  <c r="B127" i="31"/>
  <c r="J86" i="31"/>
  <c r="C66" i="31"/>
  <c r="D66" i="31"/>
  <c r="J25" i="31"/>
  <c r="C87" i="31"/>
  <c r="D87" i="31"/>
  <c r="J49" i="31"/>
  <c r="B66" i="31"/>
  <c r="J65" i="31"/>
  <c r="G66" i="31"/>
  <c r="F66" i="31"/>
  <c r="B70" i="31"/>
  <c r="H66" i="31"/>
  <c r="G87" i="31"/>
  <c r="J64" i="31"/>
  <c r="J63" i="31"/>
  <c r="J62" i="31"/>
  <c r="J61" i="31"/>
  <c r="J60" i="31"/>
  <c r="J59" i="31"/>
  <c r="J58" i="31"/>
  <c r="J57" i="31"/>
  <c r="J56" i="31"/>
  <c r="J55" i="31"/>
  <c r="J54" i="31"/>
  <c r="J53" i="31"/>
  <c r="J52" i="31"/>
  <c r="J51" i="31"/>
  <c r="J50" i="31"/>
  <c r="F87" i="31"/>
  <c r="H87" i="31"/>
  <c r="B119" i="30"/>
  <c r="B140" i="30" s="1"/>
  <c r="J78" i="30"/>
  <c r="B115" i="30"/>
  <c r="J74" i="30"/>
  <c r="B111" i="30"/>
  <c r="J60" i="30"/>
  <c r="J52" i="30"/>
  <c r="E66" i="30"/>
  <c r="D87" i="30"/>
  <c r="J86" i="30"/>
  <c r="J84" i="30"/>
  <c r="J82" i="30"/>
  <c r="G87" i="30"/>
  <c r="J59" i="30"/>
  <c r="J55" i="30"/>
  <c r="J51" i="30"/>
  <c r="J25" i="30"/>
  <c r="B124" i="30"/>
  <c r="B145" i="30" s="1"/>
  <c r="B80" i="30"/>
  <c r="B76" i="30"/>
  <c r="B72" i="30"/>
  <c r="G66" i="30"/>
  <c r="B123" i="30"/>
  <c r="B125" i="30"/>
  <c r="J81" i="30"/>
  <c r="J85" i="30"/>
  <c r="J79" i="30"/>
  <c r="J75" i="30"/>
  <c r="J57" i="30"/>
  <c r="J53" i="30"/>
  <c r="B66" i="30"/>
  <c r="J49" i="30"/>
  <c r="B126" i="30"/>
  <c r="B122" i="30"/>
  <c r="B120" i="30"/>
  <c r="B141" i="30" s="1"/>
  <c r="B118" i="30"/>
  <c r="B139" i="30" s="1"/>
  <c r="B116" i="30"/>
  <c r="B114" i="30"/>
  <c r="B112" i="30"/>
  <c r="B133" i="30" s="1"/>
  <c r="B127" i="30"/>
  <c r="B148" i="30" s="1"/>
  <c r="C66" i="30"/>
  <c r="F87" i="30"/>
  <c r="J73" i="30"/>
  <c r="G120" i="29"/>
  <c r="G141" i="29" s="1"/>
  <c r="G116" i="29"/>
  <c r="G137" i="29" s="1"/>
  <c r="G123" i="29"/>
  <c r="G144" i="29" s="1"/>
  <c r="C113" i="29"/>
  <c r="C134" i="29" s="1"/>
  <c r="J72" i="29"/>
  <c r="C124" i="29"/>
  <c r="C145" i="29" s="1"/>
  <c r="D119" i="29"/>
  <c r="D140" i="29" s="1"/>
  <c r="D115" i="29"/>
  <c r="D136" i="29" s="1"/>
  <c r="G126" i="29"/>
  <c r="G147" i="29" s="1"/>
  <c r="G122" i="29"/>
  <c r="G143" i="29" s="1"/>
  <c r="C117" i="29"/>
  <c r="C138" i="29" s="1"/>
  <c r="J76" i="29"/>
  <c r="C111" i="29"/>
  <c r="C132" i="29" s="1"/>
  <c r="E124" i="29"/>
  <c r="E145" i="29" s="1"/>
  <c r="G119" i="29"/>
  <c r="G140" i="29" s="1"/>
  <c r="G113" i="29"/>
  <c r="G134" i="29" s="1"/>
  <c r="C127" i="29"/>
  <c r="C148" i="29" s="1"/>
  <c r="C123" i="29"/>
  <c r="C144" i="29" s="1"/>
  <c r="J74" i="29"/>
  <c r="G118" i="29"/>
  <c r="G139" i="29" s="1"/>
  <c r="E126" i="29"/>
  <c r="E147" i="29" s="1"/>
  <c r="E123" i="29"/>
  <c r="E144" i="29" s="1"/>
  <c r="G117" i="29"/>
  <c r="G138" i="29" s="1"/>
  <c r="H126" i="29"/>
  <c r="H147" i="29" s="1"/>
  <c r="H122" i="29"/>
  <c r="H143" i="29" s="1"/>
  <c r="C126" i="29"/>
  <c r="C147" i="29" s="1"/>
  <c r="D113" i="29"/>
  <c r="D134" i="29" s="1"/>
  <c r="G124" i="29"/>
  <c r="G145" i="29" s="1"/>
  <c r="C119" i="29"/>
  <c r="C140" i="29" s="1"/>
  <c r="J78" i="29"/>
  <c r="H113" i="29"/>
  <c r="H134" i="29" s="1"/>
  <c r="E127" i="29"/>
  <c r="E148" i="29" s="1"/>
  <c r="D116" i="29"/>
  <c r="D137" i="29" s="1"/>
  <c r="H124" i="29"/>
  <c r="H145" i="29" s="1"/>
  <c r="C120" i="29"/>
  <c r="C141" i="29" s="1"/>
  <c r="G127" i="29"/>
  <c r="G148" i="29" s="1"/>
  <c r="H117" i="29"/>
  <c r="H138" i="29" s="1"/>
  <c r="E125" i="29"/>
  <c r="E146" i="29" s="1"/>
  <c r="J64" i="29"/>
  <c r="B86" i="29"/>
  <c r="B84" i="29"/>
  <c r="E66" i="29"/>
  <c r="H118" i="29"/>
  <c r="H139" i="29" s="1"/>
  <c r="D114" i="29"/>
  <c r="D135" i="29" s="1"/>
  <c r="C71" i="29"/>
  <c r="E122" i="29"/>
  <c r="E143" i="29" s="1"/>
  <c r="E118" i="29"/>
  <c r="E139" i="29" s="1"/>
  <c r="E114" i="29"/>
  <c r="E135" i="29" s="1"/>
  <c r="J57" i="29"/>
  <c r="D79" i="29"/>
  <c r="J79" i="29" s="1"/>
  <c r="H114" i="29"/>
  <c r="H135" i="29" s="1"/>
  <c r="C81" i="29"/>
  <c r="J81" i="29" s="1"/>
  <c r="C77" i="29"/>
  <c r="J77" i="29" s="1"/>
  <c r="C75" i="29"/>
  <c r="J75" i="29" s="1"/>
  <c r="G71" i="29"/>
  <c r="B120" i="29"/>
  <c r="B141" i="29" s="1"/>
  <c r="B116" i="29"/>
  <c r="B137" i="29" s="1"/>
  <c r="B112" i="29"/>
  <c r="D125" i="29"/>
  <c r="D146" i="29" s="1"/>
  <c r="F126" i="29"/>
  <c r="F147" i="29" s="1"/>
  <c r="H127" i="29"/>
  <c r="H148" i="29" s="1"/>
  <c r="H121" i="29"/>
  <c r="H142" i="29" s="1"/>
  <c r="D117" i="29"/>
  <c r="D138" i="29" s="1"/>
  <c r="H112" i="29"/>
  <c r="H133" i="29" s="1"/>
  <c r="F87" i="29"/>
  <c r="F111" i="29"/>
  <c r="D70" i="29"/>
  <c r="J70" i="29" s="1"/>
  <c r="E121" i="29"/>
  <c r="E142" i="29" s="1"/>
  <c r="E117" i="29"/>
  <c r="E138" i="29" s="1"/>
  <c r="E113" i="29"/>
  <c r="E134" i="29" s="1"/>
  <c r="J53" i="29"/>
  <c r="H125" i="29"/>
  <c r="H146" i="29" s="1"/>
  <c r="H123" i="29"/>
  <c r="H144" i="29" s="1"/>
  <c r="D122" i="29"/>
  <c r="D143" i="29" s="1"/>
  <c r="D123" i="29"/>
  <c r="D144" i="29" s="1"/>
  <c r="G125" i="29"/>
  <c r="G146" i="29" s="1"/>
  <c r="G121" i="29"/>
  <c r="G142" i="29" s="1"/>
  <c r="G115" i="29"/>
  <c r="G136" i="29" s="1"/>
  <c r="J80" i="29"/>
  <c r="B122" i="29"/>
  <c r="B143" i="29" s="1"/>
  <c r="B118" i="29"/>
  <c r="B139" i="29" s="1"/>
  <c r="B114" i="29"/>
  <c r="B66" i="29"/>
  <c r="D66" i="29"/>
  <c r="B126" i="29"/>
  <c r="J85" i="29"/>
  <c r="F123" i="29"/>
  <c r="F144" i="29" s="1"/>
  <c r="H120" i="29"/>
  <c r="H141" i="29" s="1"/>
  <c r="H116" i="29"/>
  <c r="H137" i="29" s="1"/>
  <c r="H87" i="29"/>
  <c r="H111" i="29"/>
  <c r="H132" i="29" s="1"/>
  <c r="D118" i="29"/>
  <c r="D139" i="29" s="1"/>
  <c r="G73" i="29"/>
  <c r="E120" i="29"/>
  <c r="E141" i="29" s="1"/>
  <c r="E116" i="29"/>
  <c r="E137" i="29" s="1"/>
  <c r="E112" i="29"/>
  <c r="E133" i="29" s="1"/>
  <c r="J55" i="29"/>
  <c r="D112" i="29"/>
  <c r="D133" i="29" s="1"/>
  <c r="C125" i="29"/>
  <c r="C146" i="29" s="1"/>
  <c r="C121" i="29"/>
  <c r="C142" i="29" s="1"/>
  <c r="C115" i="29"/>
  <c r="C136" i="29" s="1"/>
  <c r="B134" i="29"/>
  <c r="B136" i="29"/>
  <c r="F127" i="29"/>
  <c r="F148" i="29" s="1"/>
  <c r="F125" i="29"/>
  <c r="F146" i="29" s="1"/>
  <c r="D124" i="29"/>
  <c r="D145" i="29" s="1"/>
  <c r="H119" i="29"/>
  <c r="H140" i="29" s="1"/>
  <c r="H115" i="29"/>
  <c r="H136" i="29" s="1"/>
  <c r="C114" i="29"/>
  <c r="C135" i="29" s="1"/>
  <c r="C66" i="29"/>
  <c r="G111" i="29"/>
  <c r="G132" i="29" s="1"/>
  <c r="E119" i="29"/>
  <c r="E140" i="29" s="1"/>
  <c r="E115" i="29"/>
  <c r="E136" i="29" s="1"/>
  <c r="E111" i="29"/>
  <c r="E87" i="29"/>
  <c r="J51" i="29"/>
  <c r="D127" i="29"/>
  <c r="D148" i="29" s="1"/>
  <c r="D126" i="29"/>
  <c r="D147" i="29" s="1"/>
  <c r="D121" i="29"/>
  <c r="B140" i="29"/>
  <c r="B142" i="29"/>
  <c r="B82" i="29"/>
  <c r="B138" i="29"/>
  <c r="E185" i="28"/>
  <c r="E190" i="28"/>
  <c r="C187" i="28"/>
  <c r="C185" i="28"/>
  <c r="C183" i="28"/>
  <c r="C181" i="28"/>
  <c r="C179" i="28"/>
  <c r="C177" i="28"/>
  <c r="C175" i="28"/>
  <c r="C188" i="28"/>
  <c r="C189" i="28"/>
  <c r="E175" i="28"/>
  <c r="C184" i="28"/>
  <c r="C182" i="28"/>
  <c r="C180" i="28"/>
  <c r="C178" i="28"/>
  <c r="C176" i="28"/>
  <c r="D176" i="28"/>
  <c r="D175" i="28"/>
  <c r="D190" i="28"/>
  <c r="C190" i="28"/>
  <c r="D189" i="28"/>
  <c r="D187" i="28"/>
  <c r="D185" i="28"/>
  <c r="D184" i="28"/>
  <c r="D183" i="28"/>
  <c r="D182" i="28"/>
  <c r="D181" i="28"/>
  <c r="D180" i="28"/>
  <c r="D179" i="28"/>
  <c r="D177" i="28"/>
  <c r="B108" i="28"/>
  <c r="D178" i="28"/>
  <c r="D188" i="28"/>
  <c r="H85" i="2" l="1"/>
  <c r="H105" i="2" s="1"/>
  <c r="H126" i="2" s="1"/>
  <c r="H75" i="2"/>
  <c r="H95" i="2" s="1"/>
  <c r="H116" i="2" s="1"/>
  <c r="G81" i="2"/>
  <c r="G101" i="2" s="1"/>
  <c r="G122" i="2" s="1"/>
  <c r="F101" i="2"/>
  <c r="F122" i="2" s="1"/>
  <c r="G73" i="2"/>
  <c r="G93" i="2" s="1"/>
  <c r="G114" i="2" s="1"/>
  <c r="F93" i="2"/>
  <c r="F114" i="2" s="1"/>
  <c r="E128" i="1"/>
  <c r="E124" i="1"/>
  <c r="E120" i="1"/>
  <c r="E123" i="1"/>
  <c r="G41" i="29"/>
  <c r="G41" i="1" s="1"/>
  <c r="F41" i="1"/>
  <c r="F62" i="1" s="1"/>
  <c r="G40" i="29"/>
  <c r="F40" i="1"/>
  <c r="F61" i="1" s="1"/>
  <c r="J79" i="32"/>
  <c r="G38" i="29"/>
  <c r="F38" i="1"/>
  <c r="F59" i="1" s="1"/>
  <c r="D67" i="1"/>
  <c r="D196" i="1" s="1"/>
  <c r="G30" i="29"/>
  <c r="F30" i="1"/>
  <c r="F51" i="1" s="1"/>
  <c r="E46" i="1"/>
  <c r="G42" i="29"/>
  <c r="F42" i="1"/>
  <c r="F63" i="1" s="1"/>
  <c r="G34" i="29"/>
  <c r="F34" i="1"/>
  <c r="F55" i="1" s="1"/>
  <c r="G29" i="29"/>
  <c r="F29" i="1"/>
  <c r="F50" i="1" s="1"/>
  <c r="G33" i="29"/>
  <c r="F33" i="1"/>
  <c r="F54" i="1" s="1"/>
  <c r="G45" i="29"/>
  <c r="F45" i="1"/>
  <c r="F66" i="1" s="1"/>
  <c r="G37" i="29"/>
  <c r="F37" i="1"/>
  <c r="F58" i="1" s="1"/>
  <c r="G44" i="29"/>
  <c r="F44" i="1"/>
  <c r="F65" i="1" s="1"/>
  <c r="G31" i="29"/>
  <c r="F52" i="1"/>
  <c r="G39" i="29"/>
  <c r="F39" i="1"/>
  <c r="F60" i="1" s="1"/>
  <c r="G35" i="29"/>
  <c r="F35" i="1"/>
  <c r="F56" i="1" s="1"/>
  <c r="G43" i="29"/>
  <c r="F43" i="1"/>
  <c r="F64" i="1" s="1"/>
  <c r="G36" i="29"/>
  <c r="F36" i="1"/>
  <c r="F57" i="1" s="1"/>
  <c r="G32" i="29"/>
  <c r="F32" i="1"/>
  <c r="F53" i="1" s="1"/>
  <c r="E104" i="1"/>
  <c r="E125" i="1" s="1"/>
  <c r="J82" i="39"/>
  <c r="F190" i="28"/>
  <c r="E179" i="28"/>
  <c r="J86" i="32"/>
  <c r="E96" i="1"/>
  <c r="E117" i="1" s="1"/>
  <c r="J74" i="39"/>
  <c r="D170" i="28"/>
  <c r="J77" i="39"/>
  <c r="J83" i="39"/>
  <c r="E178" i="28"/>
  <c r="C87" i="39"/>
  <c r="J85" i="39"/>
  <c r="D186" i="28"/>
  <c r="E93" i="1"/>
  <c r="E114" i="1" s="1"/>
  <c r="E176" i="28"/>
  <c r="E177" i="28"/>
  <c r="D174" i="28"/>
  <c r="B118" i="32"/>
  <c r="J118" i="32" s="1"/>
  <c r="J78" i="39"/>
  <c r="E95" i="1"/>
  <c r="E116" i="1" s="1"/>
  <c r="F102" i="1"/>
  <c r="E184" i="28"/>
  <c r="F175" i="28"/>
  <c r="G87" i="39"/>
  <c r="D129" i="28"/>
  <c r="E101" i="1"/>
  <c r="E122" i="1" s="1"/>
  <c r="J70" i="39"/>
  <c r="J76" i="39"/>
  <c r="J80" i="39"/>
  <c r="J84" i="39"/>
  <c r="J71" i="39"/>
  <c r="E87" i="39"/>
  <c r="J73" i="39"/>
  <c r="J81" i="39"/>
  <c r="B163" i="28"/>
  <c r="E94" i="1"/>
  <c r="E115" i="1" s="1"/>
  <c r="E187" i="28"/>
  <c r="E189" i="28"/>
  <c r="F87" i="39"/>
  <c r="E188" i="28"/>
  <c r="B168" i="28"/>
  <c r="B180" i="28"/>
  <c r="F185" i="28"/>
  <c r="B182" i="28"/>
  <c r="E180" i="28"/>
  <c r="E181" i="28"/>
  <c r="J83" i="29"/>
  <c r="E97" i="1"/>
  <c r="E118" i="1" s="1"/>
  <c r="E105" i="1"/>
  <c r="E126" i="1" s="1"/>
  <c r="E98" i="1"/>
  <c r="E119" i="1" s="1"/>
  <c r="E106" i="1"/>
  <c r="E127" i="1" s="1"/>
  <c r="G77" i="28"/>
  <c r="G97" i="28" s="1"/>
  <c r="G118" i="28" s="1"/>
  <c r="G79" i="28"/>
  <c r="G99" i="28" s="1"/>
  <c r="G120" i="28" s="1"/>
  <c r="H87" i="28"/>
  <c r="H107" i="28" s="1"/>
  <c r="H128" i="28" s="1"/>
  <c r="I78" i="2"/>
  <c r="I98" i="2" s="1"/>
  <c r="I119" i="2" s="1"/>
  <c r="J78" i="2"/>
  <c r="G71" i="28"/>
  <c r="G91" i="28" s="1"/>
  <c r="G112" i="28" s="1"/>
  <c r="F153" i="28"/>
  <c r="H86" i="2"/>
  <c r="H106" i="2" s="1"/>
  <c r="H127" i="2" s="1"/>
  <c r="J82" i="2"/>
  <c r="I82" i="2"/>
  <c r="I102" i="2" s="1"/>
  <c r="I123" i="2" s="1"/>
  <c r="H72" i="28"/>
  <c r="H92" i="28" s="1"/>
  <c r="H113" i="28" s="1"/>
  <c r="G73" i="28"/>
  <c r="G93" i="28" s="1"/>
  <c r="G114" i="28" s="1"/>
  <c r="H82" i="28"/>
  <c r="H102" i="28" s="1"/>
  <c r="H123" i="28" s="1"/>
  <c r="H84" i="2"/>
  <c r="H104" i="2" s="1"/>
  <c r="H125" i="2" s="1"/>
  <c r="G75" i="28"/>
  <c r="G95" i="28" s="1"/>
  <c r="G116" i="28" s="1"/>
  <c r="B157" i="28"/>
  <c r="E108" i="28"/>
  <c r="B167" i="28"/>
  <c r="B169" i="28"/>
  <c r="H83" i="2"/>
  <c r="H103" i="2" s="1"/>
  <c r="H124" i="2" s="1"/>
  <c r="H79" i="2"/>
  <c r="H99" i="2" s="1"/>
  <c r="H120" i="2" s="1"/>
  <c r="G74" i="28"/>
  <c r="G94" i="28" s="1"/>
  <c r="G115" i="28" s="1"/>
  <c r="H77" i="2"/>
  <c r="H97" i="2" s="1"/>
  <c r="H118" i="2" s="1"/>
  <c r="G85" i="28"/>
  <c r="G105" i="28" s="1"/>
  <c r="G126" i="28" s="1"/>
  <c r="G81" i="28"/>
  <c r="G101" i="28" s="1"/>
  <c r="G122" i="28" s="1"/>
  <c r="G80" i="28"/>
  <c r="G100" i="28" s="1"/>
  <c r="G121" i="28" s="1"/>
  <c r="G76" i="28"/>
  <c r="G96" i="28" s="1"/>
  <c r="G117" i="28" s="1"/>
  <c r="H74" i="2"/>
  <c r="H94" i="2" s="1"/>
  <c r="H115" i="2" s="1"/>
  <c r="G86" i="28"/>
  <c r="G106" i="28" s="1"/>
  <c r="G127" i="28" s="1"/>
  <c r="G84" i="28"/>
  <c r="G104" i="28" s="1"/>
  <c r="G125" i="28" s="1"/>
  <c r="G78" i="28"/>
  <c r="G98" i="28" s="1"/>
  <c r="G119" i="28" s="1"/>
  <c r="J86" i="41"/>
  <c r="G127" i="41"/>
  <c r="G148" i="41" s="1"/>
  <c r="G115" i="39"/>
  <c r="G136" i="39" s="1"/>
  <c r="G119" i="39"/>
  <c r="G140" i="39" s="1"/>
  <c r="D118" i="39"/>
  <c r="D139" i="39" s="1"/>
  <c r="D126" i="39"/>
  <c r="D147" i="39" s="1"/>
  <c r="E117" i="39"/>
  <c r="E138" i="39" s="1"/>
  <c r="E125" i="39"/>
  <c r="E146" i="39" s="1"/>
  <c r="H117" i="39"/>
  <c r="H138" i="39" s="1"/>
  <c r="H125" i="39"/>
  <c r="H146" i="39" s="1"/>
  <c r="G112" i="39"/>
  <c r="G133" i="39" s="1"/>
  <c r="G120" i="39"/>
  <c r="G141" i="39" s="1"/>
  <c r="G124" i="39"/>
  <c r="G145" i="39" s="1"/>
  <c r="D120" i="39"/>
  <c r="D141" i="39" s="1"/>
  <c r="E111" i="39"/>
  <c r="E132" i="39" s="1"/>
  <c r="E119" i="39"/>
  <c r="E140" i="39" s="1"/>
  <c r="H111" i="39"/>
  <c r="H132" i="39" s="1"/>
  <c r="H119" i="39"/>
  <c r="H140" i="39" s="1"/>
  <c r="C116" i="39"/>
  <c r="C137" i="39" s="1"/>
  <c r="C120" i="39"/>
  <c r="C141" i="39" s="1"/>
  <c r="C124" i="39"/>
  <c r="C145" i="39" s="1"/>
  <c r="D111" i="39"/>
  <c r="D132" i="39" s="1"/>
  <c r="D119" i="39"/>
  <c r="D140" i="39" s="1"/>
  <c r="E118" i="39"/>
  <c r="E139" i="39" s="1"/>
  <c r="E126" i="39"/>
  <c r="E147" i="39" s="1"/>
  <c r="F114" i="39"/>
  <c r="F135" i="39" s="1"/>
  <c r="F118" i="39"/>
  <c r="F139" i="39" s="1"/>
  <c r="F122" i="39"/>
  <c r="F143" i="39" s="1"/>
  <c r="F126" i="39"/>
  <c r="F147" i="39" s="1"/>
  <c r="H118" i="39"/>
  <c r="H139" i="39" s="1"/>
  <c r="H126" i="39"/>
  <c r="H147" i="39" s="1"/>
  <c r="C113" i="39"/>
  <c r="C134" i="39" s="1"/>
  <c r="C117" i="39"/>
  <c r="C138" i="39" s="1"/>
  <c r="C121" i="39"/>
  <c r="C142" i="39" s="1"/>
  <c r="C125" i="39"/>
  <c r="C146" i="39" s="1"/>
  <c r="E112" i="39"/>
  <c r="E133" i="39" s="1"/>
  <c r="F111" i="39"/>
  <c r="F132" i="39" s="1"/>
  <c r="F115" i="39"/>
  <c r="F136" i="39" s="1"/>
  <c r="F119" i="39"/>
  <c r="F140" i="39" s="1"/>
  <c r="H124" i="39"/>
  <c r="H145" i="39" s="1"/>
  <c r="G117" i="39"/>
  <c r="G138" i="39" s="1"/>
  <c r="G125" i="39"/>
  <c r="G146" i="39" s="1"/>
  <c r="D114" i="39"/>
  <c r="D135" i="39" s="1"/>
  <c r="D122" i="39"/>
  <c r="D143" i="39" s="1"/>
  <c r="E121" i="39"/>
  <c r="E142" i="39" s="1"/>
  <c r="G114" i="39"/>
  <c r="G135" i="39" s="1"/>
  <c r="G118" i="39"/>
  <c r="G139" i="39" s="1"/>
  <c r="G122" i="39"/>
  <c r="G143" i="39" s="1"/>
  <c r="G126" i="39"/>
  <c r="G147" i="39" s="1"/>
  <c r="D116" i="39"/>
  <c r="D137" i="39" s="1"/>
  <c r="D124" i="39"/>
  <c r="D145" i="39" s="1"/>
  <c r="E115" i="39"/>
  <c r="E136" i="39" s="1"/>
  <c r="H115" i="39"/>
  <c r="H136" i="39" s="1"/>
  <c r="H87" i="39"/>
  <c r="C111" i="39"/>
  <c r="C132" i="39" s="1"/>
  <c r="C114" i="39"/>
  <c r="C135" i="39" s="1"/>
  <c r="C118" i="39"/>
  <c r="C139" i="39" s="1"/>
  <c r="C122" i="39"/>
  <c r="C143" i="39" s="1"/>
  <c r="C126" i="39"/>
  <c r="D115" i="39"/>
  <c r="D136" i="39" s="1"/>
  <c r="D123" i="39"/>
  <c r="D144" i="39" s="1"/>
  <c r="E114" i="39"/>
  <c r="E135" i="39" s="1"/>
  <c r="E122" i="39"/>
  <c r="E143" i="39" s="1"/>
  <c r="F112" i="39"/>
  <c r="F133" i="39" s="1"/>
  <c r="F120" i="39"/>
  <c r="F141" i="39" s="1"/>
  <c r="F124" i="39"/>
  <c r="F145" i="39" s="1"/>
  <c r="H114" i="39"/>
  <c r="H135" i="39" s="1"/>
  <c r="H122" i="39"/>
  <c r="H143" i="39" s="1"/>
  <c r="G111" i="39"/>
  <c r="G132" i="39" s="1"/>
  <c r="C115" i="39"/>
  <c r="C136" i="39" s="1"/>
  <c r="C119" i="39"/>
  <c r="C140" i="39" s="1"/>
  <c r="C123" i="39"/>
  <c r="C144" i="39" s="1"/>
  <c r="D117" i="39"/>
  <c r="D138" i="39" s="1"/>
  <c r="D125" i="39"/>
  <c r="D146" i="39" s="1"/>
  <c r="E124" i="39"/>
  <c r="F117" i="39"/>
  <c r="F138" i="39" s="1"/>
  <c r="F125" i="39"/>
  <c r="F146" i="39" s="1"/>
  <c r="H112" i="39"/>
  <c r="H133" i="39" s="1"/>
  <c r="H120" i="39"/>
  <c r="H141" i="39" s="1"/>
  <c r="G87" i="2"/>
  <c r="G107" i="2" s="1"/>
  <c r="G128" i="2" s="1"/>
  <c r="H81" i="2"/>
  <c r="H101" i="2" s="1"/>
  <c r="H122" i="2" s="1"/>
  <c r="H76" i="2"/>
  <c r="H96" i="2" s="1"/>
  <c r="H117" i="2" s="1"/>
  <c r="H83" i="28"/>
  <c r="H103" i="28" s="1"/>
  <c r="H124" i="28" s="1"/>
  <c r="F103" i="1"/>
  <c r="C170" i="28"/>
  <c r="E128" i="29"/>
  <c r="C87" i="37"/>
  <c r="J82" i="36"/>
  <c r="F87" i="36"/>
  <c r="D87" i="37"/>
  <c r="J121" i="29"/>
  <c r="B87" i="39"/>
  <c r="D128" i="33"/>
  <c r="J125" i="36"/>
  <c r="J117" i="37"/>
  <c r="G87" i="41"/>
  <c r="J127" i="39"/>
  <c r="G87" i="29"/>
  <c r="J113" i="38"/>
  <c r="J75" i="40"/>
  <c r="J82" i="38"/>
  <c r="J113" i="37"/>
  <c r="J70" i="38"/>
  <c r="J124" i="36"/>
  <c r="C87" i="30"/>
  <c r="J66" i="29"/>
  <c r="M66" i="29" s="1"/>
  <c r="J113" i="29"/>
  <c r="B181" i="28"/>
  <c r="F128" i="36"/>
  <c r="G128" i="38"/>
  <c r="D128" i="35"/>
  <c r="J71" i="29"/>
  <c r="J71" i="40"/>
  <c r="D142" i="29"/>
  <c r="J142" i="29" s="1"/>
  <c r="J117" i="29"/>
  <c r="J115" i="29"/>
  <c r="J126" i="29"/>
  <c r="J119" i="29"/>
  <c r="C128" i="31"/>
  <c r="H128" i="31"/>
  <c r="J122" i="31"/>
  <c r="J140" i="32"/>
  <c r="J66" i="32"/>
  <c r="M66" i="32" s="1"/>
  <c r="B87" i="32"/>
  <c r="D149" i="33"/>
  <c r="J126" i="33"/>
  <c r="J144" i="33"/>
  <c r="J123" i="36"/>
  <c r="B144" i="36"/>
  <c r="J144" i="36" s="1"/>
  <c r="J145" i="41"/>
  <c r="C128" i="41"/>
  <c r="J66" i="41"/>
  <c r="M66" i="41" s="1"/>
  <c r="J116" i="41"/>
  <c r="J66" i="37"/>
  <c r="M66" i="37" s="1"/>
  <c r="G87" i="37"/>
  <c r="J114" i="40"/>
  <c r="B185" i="28"/>
  <c r="B129" i="28"/>
  <c r="E149" i="41"/>
  <c r="J138" i="41"/>
  <c r="J134" i="41"/>
  <c r="C149" i="41"/>
  <c r="J114" i="41"/>
  <c r="J118" i="41"/>
  <c r="J125" i="41"/>
  <c r="D128" i="41"/>
  <c r="J133" i="41"/>
  <c r="J113" i="41"/>
  <c r="J137" i="41"/>
  <c r="J117" i="41"/>
  <c r="J141" i="41"/>
  <c r="J144" i="41"/>
  <c r="J124" i="41"/>
  <c r="B121" i="41"/>
  <c r="J121" i="41" s="1"/>
  <c r="J80" i="41"/>
  <c r="F149" i="41"/>
  <c r="J111" i="41"/>
  <c r="J112" i="41"/>
  <c r="J136" i="41"/>
  <c r="J140" i="41"/>
  <c r="J120" i="41"/>
  <c r="J143" i="41"/>
  <c r="J123" i="41"/>
  <c r="J147" i="41"/>
  <c r="D149" i="41"/>
  <c r="E128" i="41"/>
  <c r="H149" i="41"/>
  <c r="J135" i="41"/>
  <c r="J115" i="41"/>
  <c r="J139" i="41"/>
  <c r="J119" i="41"/>
  <c r="J122" i="41"/>
  <c r="J146" i="41"/>
  <c r="J126" i="41"/>
  <c r="F128" i="41"/>
  <c r="H128" i="41"/>
  <c r="J135" i="40"/>
  <c r="J136" i="40"/>
  <c r="J147" i="40"/>
  <c r="J124" i="40"/>
  <c r="J66" i="40"/>
  <c r="M66" i="40" s="1"/>
  <c r="G128" i="40"/>
  <c r="B113" i="40"/>
  <c r="J113" i="40" s="1"/>
  <c r="J72" i="40"/>
  <c r="J116" i="40"/>
  <c r="J120" i="40"/>
  <c r="F128" i="40"/>
  <c r="J143" i="40"/>
  <c r="G149" i="40"/>
  <c r="B125" i="40"/>
  <c r="J125" i="40" s="1"/>
  <c r="J84" i="40"/>
  <c r="J139" i="40"/>
  <c r="J126" i="40"/>
  <c r="J117" i="40"/>
  <c r="J144" i="40"/>
  <c r="B87" i="40"/>
  <c r="J122" i="40"/>
  <c r="J121" i="40"/>
  <c r="J141" i="40"/>
  <c r="J119" i="40"/>
  <c r="J148" i="40"/>
  <c r="J115" i="40"/>
  <c r="J145" i="40"/>
  <c r="B140" i="40"/>
  <c r="J112" i="40"/>
  <c r="J80" i="40"/>
  <c r="J77" i="40"/>
  <c r="B138" i="40"/>
  <c r="J138" i="40" s="1"/>
  <c r="F149" i="40"/>
  <c r="J123" i="40"/>
  <c r="J127" i="40"/>
  <c r="J111" i="40"/>
  <c r="B116" i="39"/>
  <c r="J75" i="39"/>
  <c r="D87" i="39"/>
  <c r="B120" i="39"/>
  <c r="J79" i="39"/>
  <c r="J66" i="39"/>
  <c r="M66" i="39" s="1"/>
  <c r="B148" i="39"/>
  <c r="J148" i="39" s="1"/>
  <c r="J136" i="38"/>
  <c r="B120" i="38"/>
  <c r="J120" i="38" s="1"/>
  <c r="J79" i="38"/>
  <c r="J124" i="38"/>
  <c r="J127" i="38"/>
  <c r="B87" i="38"/>
  <c r="J116" i="38"/>
  <c r="B122" i="38"/>
  <c r="J122" i="38" s="1"/>
  <c r="J81" i="38"/>
  <c r="F149" i="38"/>
  <c r="B126" i="38"/>
  <c r="J126" i="38" s="1"/>
  <c r="J85" i="38"/>
  <c r="J117" i="38"/>
  <c r="J121" i="38"/>
  <c r="J146" i="38"/>
  <c r="H149" i="38"/>
  <c r="J115" i="38"/>
  <c r="E128" i="38"/>
  <c r="E87" i="38"/>
  <c r="B112" i="38"/>
  <c r="J112" i="38" s="1"/>
  <c r="J71" i="38"/>
  <c r="B137" i="38"/>
  <c r="J137" i="38" s="1"/>
  <c r="F128" i="38"/>
  <c r="G149" i="38"/>
  <c r="J125" i="38"/>
  <c r="C128" i="38"/>
  <c r="B119" i="38"/>
  <c r="J119" i="38" s="1"/>
  <c r="J78" i="38"/>
  <c r="B145" i="38"/>
  <c r="J145" i="38" s="1"/>
  <c r="B148" i="38"/>
  <c r="J148" i="38" s="1"/>
  <c r="J66" i="38"/>
  <c r="M66" i="38" s="1"/>
  <c r="D128" i="38"/>
  <c r="D87" i="38"/>
  <c r="B114" i="38"/>
  <c r="J114" i="38" s="1"/>
  <c r="J73" i="38"/>
  <c r="B118" i="38"/>
  <c r="J118" i="38" s="1"/>
  <c r="J77" i="38"/>
  <c r="B144" i="38"/>
  <c r="B134" i="38"/>
  <c r="J134" i="38" s="1"/>
  <c r="H128" i="38"/>
  <c r="B138" i="38"/>
  <c r="J138" i="38" s="1"/>
  <c r="B142" i="38"/>
  <c r="J142" i="38" s="1"/>
  <c r="B132" i="38"/>
  <c r="J139" i="37"/>
  <c r="J145" i="37"/>
  <c r="F149" i="37"/>
  <c r="J140" i="37"/>
  <c r="B134" i="37"/>
  <c r="J134" i="37" s="1"/>
  <c r="J84" i="37"/>
  <c r="B125" i="37"/>
  <c r="J125" i="37" s="1"/>
  <c r="J111" i="37"/>
  <c r="J114" i="37"/>
  <c r="J121" i="37"/>
  <c r="E128" i="37"/>
  <c r="J85" i="37"/>
  <c r="B126" i="37"/>
  <c r="J126" i="37" s="1"/>
  <c r="B87" i="37"/>
  <c r="J136" i="37"/>
  <c r="H128" i="37"/>
  <c r="J120" i="37"/>
  <c r="E149" i="37"/>
  <c r="J86" i="37"/>
  <c r="B127" i="37"/>
  <c r="J127" i="37" s="1"/>
  <c r="J122" i="37"/>
  <c r="J81" i="37"/>
  <c r="J132" i="37"/>
  <c r="H149" i="37"/>
  <c r="J116" i="37"/>
  <c r="B141" i="37"/>
  <c r="J141" i="37" s="1"/>
  <c r="B138" i="37"/>
  <c r="J138" i="37" s="1"/>
  <c r="J118" i="37"/>
  <c r="F128" i="37"/>
  <c r="J119" i="37"/>
  <c r="B123" i="37"/>
  <c r="J123" i="37" s="1"/>
  <c r="J82" i="37"/>
  <c r="J137" i="37"/>
  <c r="D128" i="37"/>
  <c r="J124" i="37"/>
  <c r="B145" i="36"/>
  <c r="J145" i="36" s="1"/>
  <c r="J126" i="36"/>
  <c r="J120" i="36"/>
  <c r="J139" i="36"/>
  <c r="J122" i="36"/>
  <c r="J141" i="36"/>
  <c r="J119" i="36"/>
  <c r="J134" i="36"/>
  <c r="J121" i="36"/>
  <c r="J111" i="36"/>
  <c r="C87" i="36"/>
  <c r="J147" i="36"/>
  <c r="D128" i="36"/>
  <c r="B138" i="36"/>
  <c r="J143" i="36"/>
  <c r="D87" i="36"/>
  <c r="B140" i="36"/>
  <c r="J140" i="36" s="1"/>
  <c r="J71" i="36"/>
  <c r="J116" i="36"/>
  <c r="E128" i="36"/>
  <c r="B142" i="36"/>
  <c r="J142" i="36" s="1"/>
  <c r="B146" i="36"/>
  <c r="J146" i="36" s="1"/>
  <c r="J86" i="36"/>
  <c r="B127" i="36"/>
  <c r="J127" i="36" s="1"/>
  <c r="F149" i="36"/>
  <c r="B87" i="36"/>
  <c r="J114" i="36"/>
  <c r="J115" i="36"/>
  <c r="J137" i="36"/>
  <c r="G149" i="35"/>
  <c r="J148" i="35"/>
  <c r="C149" i="35"/>
  <c r="J138" i="35"/>
  <c r="J143" i="35"/>
  <c r="E149" i="35"/>
  <c r="J133" i="35"/>
  <c r="J145" i="35"/>
  <c r="J146" i="35"/>
  <c r="J142" i="35"/>
  <c r="F128" i="35"/>
  <c r="F87" i="35"/>
  <c r="J116" i="35"/>
  <c r="J115" i="35"/>
  <c r="J127" i="35"/>
  <c r="B126" i="35"/>
  <c r="J126" i="35" s="1"/>
  <c r="J85" i="35"/>
  <c r="J87" i="35" s="1"/>
  <c r="J121" i="35"/>
  <c r="J112" i="35"/>
  <c r="J144" i="35"/>
  <c r="J139" i="35"/>
  <c r="J122" i="35"/>
  <c r="J125" i="35"/>
  <c r="J134" i="35"/>
  <c r="J117" i="35"/>
  <c r="J141" i="35"/>
  <c r="J124" i="35"/>
  <c r="H128" i="35"/>
  <c r="J140" i="35"/>
  <c r="J123" i="35"/>
  <c r="J135" i="35"/>
  <c r="J118" i="35"/>
  <c r="G128" i="35"/>
  <c r="D149" i="35"/>
  <c r="J66" i="35"/>
  <c r="M66" i="35" s="1"/>
  <c r="C128" i="35"/>
  <c r="J113" i="35"/>
  <c r="E128" i="35"/>
  <c r="J137" i="35"/>
  <c r="J120" i="35"/>
  <c r="H149" i="35"/>
  <c r="J136" i="35"/>
  <c r="J119" i="35"/>
  <c r="J114" i="35"/>
  <c r="F149" i="34"/>
  <c r="J143" i="34"/>
  <c r="J66" i="34"/>
  <c r="M66" i="34" s="1"/>
  <c r="E87" i="34"/>
  <c r="E128" i="34"/>
  <c r="J126" i="34"/>
  <c r="J120" i="34"/>
  <c r="J118" i="34"/>
  <c r="J116" i="34"/>
  <c r="J114" i="34"/>
  <c r="D128" i="34"/>
  <c r="J117" i="34"/>
  <c r="J121" i="34"/>
  <c r="G128" i="34"/>
  <c r="J137" i="34"/>
  <c r="J73" i="34"/>
  <c r="J84" i="34"/>
  <c r="B125" i="34"/>
  <c r="J125" i="34" s="1"/>
  <c r="C128" i="34"/>
  <c r="C87" i="34"/>
  <c r="B113" i="34"/>
  <c r="J113" i="34" s="1"/>
  <c r="J72" i="34"/>
  <c r="B138" i="34"/>
  <c r="J138" i="34" s="1"/>
  <c r="B142" i="34"/>
  <c r="J142" i="34" s="1"/>
  <c r="F128" i="34"/>
  <c r="J147" i="34"/>
  <c r="H128" i="34"/>
  <c r="J112" i="34"/>
  <c r="J141" i="34"/>
  <c r="J139" i="34"/>
  <c r="J70" i="34"/>
  <c r="J86" i="34"/>
  <c r="B127" i="34"/>
  <c r="J127" i="34" s="1"/>
  <c r="D149" i="34"/>
  <c r="B115" i="34"/>
  <c r="J115" i="34" s="1"/>
  <c r="J74" i="34"/>
  <c r="B119" i="34"/>
  <c r="J119" i="34" s="1"/>
  <c r="J78" i="34"/>
  <c r="J82" i="34"/>
  <c r="B123" i="34"/>
  <c r="J123" i="34" s="1"/>
  <c r="J83" i="34"/>
  <c r="B124" i="34"/>
  <c r="J124" i="34" s="1"/>
  <c r="H149" i="34"/>
  <c r="B133" i="34"/>
  <c r="J133" i="34" s="1"/>
  <c r="J122" i="34"/>
  <c r="B135" i="34"/>
  <c r="B87" i="34"/>
  <c r="C149" i="33"/>
  <c r="J124" i="33"/>
  <c r="B111" i="33"/>
  <c r="B132" i="33" s="1"/>
  <c r="B87" i="33"/>
  <c r="J70" i="33"/>
  <c r="B115" i="33"/>
  <c r="J115" i="33" s="1"/>
  <c r="J74" i="33"/>
  <c r="B119" i="33"/>
  <c r="J119" i="33" s="1"/>
  <c r="J78" i="33"/>
  <c r="J66" i="33"/>
  <c r="M66" i="33" s="1"/>
  <c r="J121" i="33"/>
  <c r="G128" i="33"/>
  <c r="B127" i="33"/>
  <c r="J127" i="33" s="1"/>
  <c r="J86" i="33"/>
  <c r="B112" i="33"/>
  <c r="J112" i="33" s="1"/>
  <c r="J71" i="33"/>
  <c r="B116" i="33"/>
  <c r="J116" i="33" s="1"/>
  <c r="J75" i="33"/>
  <c r="B120" i="33"/>
  <c r="J120" i="33" s="1"/>
  <c r="J79" i="33"/>
  <c r="G149" i="33"/>
  <c r="F128" i="33"/>
  <c r="F87" i="33"/>
  <c r="B147" i="33"/>
  <c r="J147" i="33" s="1"/>
  <c r="E128" i="33"/>
  <c r="E87" i="33"/>
  <c r="B113" i="33"/>
  <c r="J113" i="33" s="1"/>
  <c r="J72" i="33"/>
  <c r="B117" i="33"/>
  <c r="J117" i="33" s="1"/>
  <c r="J76" i="33"/>
  <c r="H128" i="33"/>
  <c r="H87" i="33"/>
  <c r="C128" i="33"/>
  <c r="J145" i="33"/>
  <c r="B122" i="33"/>
  <c r="J122" i="33" s="1"/>
  <c r="J81" i="33"/>
  <c r="B125" i="33"/>
  <c r="J125" i="33" s="1"/>
  <c r="J84" i="33"/>
  <c r="B114" i="33"/>
  <c r="J114" i="33" s="1"/>
  <c r="J73" i="33"/>
  <c r="B118" i="33"/>
  <c r="J118" i="33" s="1"/>
  <c r="J77" i="33"/>
  <c r="J142" i="33"/>
  <c r="J123" i="33"/>
  <c r="E149" i="32"/>
  <c r="J137" i="32"/>
  <c r="J143" i="32"/>
  <c r="J114" i="32"/>
  <c r="J84" i="32"/>
  <c r="B125" i="32"/>
  <c r="J125" i="32" s="1"/>
  <c r="J112" i="32"/>
  <c r="J135" i="32"/>
  <c r="J127" i="32"/>
  <c r="C87" i="32"/>
  <c r="J133" i="32"/>
  <c r="B124" i="32"/>
  <c r="J124" i="32" s="1"/>
  <c r="J83" i="32"/>
  <c r="J115" i="32"/>
  <c r="G128" i="32"/>
  <c r="J72" i="32"/>
  <c r="J117" i="32"/>
  <c r="F128" i="32"/>
  <c r="H87" i="32"/>
  <c r="H128" i="32"/>
  <c r="J120" i="32"/>
  <c r="B126" i="32"/>
  <c r="J126" i="32" s="1"/>
  <c r="J85" i="32"/>
  <c r="J138" i="32"/>
  <c r="E128" i="32"/>
  <c r="D128" i="32"/>
  <c r="D87" i="32"/>
  <c r="J82" i="32"/>
  <c r="B123" i="32"/>
  <c r="J123" i="32" s="1"/>
  <c r="B148" i="32"/>
  <c r="J148" i="32" s="1"/>
  <c r="J70" i="32"/>
  <c r="J119" i="32"/>
  <c r="B121" i="32"/>
  <c r="J121" i="32" s="1"/>
  <c r="J80" i="32"/>
  <c r="J116" i="32"/>
  <c r="B141" i="32"/>
  <c r="J141" i="32" s="1"/>
  <c r="J122" i="32"/>
  <c r="B134" i="32"/>
  <c r="F149" i="32"/>
  <c r="J139" i="31"/>
  <c r="D149" i="31"/>
  <c r="J147" i="31"/>
  <c r="J142" i="31"/>
  <c r="B87" i="31"/>
  <c r="B111" i="31"/>
  <c r="B132" i="31" s="1"/>
  <c r="J70" i="31"/>
  <c r="J87" i="31" s="1"/>
  <c r="J127" i="31"/>
  <c r="J112" i="31"/>
  <c r="J144" i="31"/>
  <c r="J136" i="31"/>
  <c r="J117" i="31"/>
  <c r="J146" i="31"/>
  <c r="H149" i="31"/>
  <c r="F128" i="31"/>
  <c r="G128" i="31"/>
  <c r="C149" i="31"/>
  <c r="B133" i="31"/>
  <c r="J133" i="31" s="1"/>
  <c r="J120" i="31"/>
  <c r="J123" i="31"/>
  <c r="J113" i="31"/>
  <c r="J115" i="31"/>
  <c r="J125" i="31"/>
  <c r="J141" i="31"/>
  <c r="F149" i="31"/>
  <c r="G149" i="31"/>
  <c r="E128" i="31"/>
  <c r="E87" i="31"/>
  <c r="J137" i="31"/>
  <c r="J118" i="31"/>
  <c r="J145" i="31"/>
  <c r="J126" i="31"/>
  <c r="J134" i="31"/>
  <c r="J140" i="31"/>
  <c r="J121" i="31"/>
  <c r="D128" i="31"/>
  <c r="J135" i="31"/>
  <c r="J66" i="31"/>
  <c r="M66" i="31" s="1"/>
  <c r="B148" i="31"/>
  <c r="J148" i="31" s="1"/>
  <c r="J114" i="31"/>
  <c r="J116" i="31"/>
  <c r="B143" i="31"/>
  <c r="J143" i="31" s="1"/>
  <c r="J124" i="31"/>
  <c r="B138" i="31"/>
  <c r="J138" i="31" s="1"/>
  <c r="J119" i="31"/>
  <c r="F128" i="30"/>
  <c r="E87" i="30"/>
  <c r="E128" i="30"/>
  <c r="B113" i="30"/>
  <c r="J113" i="30" s="1"/>
  <c r="J72" i="30"/>
  <c r="J70" i="30"/>
  <c r="J119" i="30"/>
  <c r="J112" i="30"/>
  <c r="J116" i="30"/>
  <c r="B117" i="30"/>
  <c r="J117" i="30" s="1"/>
  <c r="J76" i="30"/>
  <c r="G149" i="30"/>
  <c r="J125" i="30"/>
  <c r="B87" i="30"/>
  <c r="J115" i="30"/>
  <c r="J140" i="30"/>
  <c r="F149" i="30"/>
  <c r="J71" i="30"/>
  <c r="B137" i="30"/>
  <c r="B147" i="30"/>
  <c r="J118" i="30"/>
  <c r="J124" i="30"/>
  <c r="H149" i="30"/>
  <c r="B121" i="30"/>
  <c r="J121" i="30" s="1"/>
  <c r="J80" i="30"/>
  <c r="H87" i="30"/>
  <c r="J127" i="30"/>
  <c r="B136" i="30"/>
  <c r="J136" i="30" s="1"/>
  <c r="J114" i="30"/>
  <c r="B135" i="30"/>
  <c r="J77" i="30"/>
  <c r="B143" i="30"/>
  <c r="J66" i="30"/>
  <c r="M66" i="30" s="1"/>
  <c r="J120" i="30"/>
  <c r="J126" i="30"/>
  <c r="B146" i="30"/>
  <c r="B144" i="30"/>
  <c r="J83" i="30"/>
  <c r="H128" i="30"/>
  <c r="G128" i="30"/>
  <c r="D128" i="30"/>
  <c r="B132" i="30"/>
  <c r="G114" i="29"/>
  <c r="J114" i="29" s="1"/>
  <c r="J73" i="29"/>
  <c r="D111" i="29"/>
  <c r="D132" i="29" s="1"/>
  <c r="D87" i="29"/>
  <c r="C118" i="29"/>
  <c r="J118" i="29" s="1"/>
  <c r="D120" i="29"/>
  <c r="D141" i="29" s="1"/>
  <c r="J141" i="29" s="1"/>
  <c r="C112" i="29"/>
  <c r="C133" i="29" s="1"/>
  <c r="J140" i="29"/>
  <c r="J136" i="29"/>
  <c r="H149" i="29"/>
  <c r="F128" i="29"/>
  <c r="J124" i="29"/>
  <c r="C122" i="29"/>
  <c r="J138" i="29"/>
  <c r="J134" i="29"/>
  <c r="B147" i="29"/>
  <c r="J147" i="29" s="1"/>
  <c r="B135" i="29"/>
  <c r="B145" i="29"/>
  <c r="J145" i="29" s="1"/>
  <c r="B133" i="29"/>
  <c r="G112" i="29"/>
  <c r="J84" i="29"/>
  <c r="B125" i="29"/>
  <c r="J125" i="29" s="1"/>
  <c r="B123" i="29"/>
  <c r="B144" i="29" s="1"/>
  <c r="J144" i="29" s="1"/>
  <c r="J82" i="29"/>
  <c r="E132" i="29"/>
  <c r="E149" i="29" s="1"/>
  <c r="H128" i="29"/>
  <c r="F132" i="29"/>
  <c r="F149" i="29" s="1"/>
  <c r="B87" i="29"/>
  <c r="C116" i="29"/>
  <c r="J116" i="29" s="1"/>
  <c r="B127" i="29"/>
  <c r="J127" i="29" s="1"/>
  <c r="J86" i="29"/>
  <c r="C87" i="29"/>
  <c r="B176" i="28"/>
  <c r="B186" i="28"/>
  <c r="B175" i="28"/>
  <c r="C174" i="28"/>
  <c r="C191" i="28" s="1"/>
  <c r="A2" i="20"/>
  <c r="E13" i="17"/>
  <c r="D13" i="17"/>
  <c r="E12" i="17" s="1"/>
  <c r="D64" i="19"/>
  <c r="E19" i="42" s="1"/>
  <c r="E64" i="19"/>
  <c r="E19" i="45" s="1"/>
  <c r="F64" i="19"/>
  <c r="E19" i="46" s="1"/>
  <c r="G64" i="19"/>
  <c r="E19" i="49" s="1"/>
  <c r="H64" i="19"/>
  <c r="E19" i="51" s="1"/>
  <c r="I64" i="19"/>
  <c r="E19" i="53" s="1"/>
  <c r="J64" i="19"/>
  <c r="E19" i="55" s="1"/>
  <c r="K64" i="19"/>
  <c r="E19" i="57" s="1"/>
  <c r="L64" i="19"/>
  <c r="E19" i="59" s="1"/>
  <c r="M64" i="19"/>
  <c r="E19" i="61" s="1"/>
  <c r="N64" i="19"/>
  <c r="E19" i="63" s="1"/>
  <c r="O64" i="19"/>
  <c r="E19" i="65" s="1"/>
  <c r="P64" i="19"/>
  <c r="E19" i="67" s="1"/>
  <c r="Q64" i="19"/>
  <c r="E19" i="69" s="1"/>
  <c r="C64" i="19"/>
  <c r="E19" i="9" s="1"/>
  <c r="R39" i="19"/>
  <c r="R40" i="19"/>
  <c r="R41" i="19"/>
  <c r="R42" i="19"/>
  <c r="R43" i="19"/>
  <c r="R44" i="19"/>
  <c r="R45" i="19"/>
  <c r="R46" i="19"/>
  <c r="R47" i="19"/>
  <c r="R48" i="19"/>
  <c r="R49" i="19"/>
  <c r="R50" i="19"/>
  <c r="R51" i="19"/>
  <c r="R52" i="19"/>
  <c r="R53" i="19"/>
  <c r="R55" i="19"/>
  <c r="R56" i="19"/>
  <c r="R57" i="19"/>
  <c r="R58" i="19"/>
  <c r="R59" i="19"/>
  <c r="R60" i="19"/>
  <c r="R61" i="19"/>
  <c r="R62" i="19"/>
  <c r="R63" i="19"/>
  <c r="R38" i="19"/>
  <c r="O37" i="19"/>
  <c r="P37" i="19"/>
  <c r="Q37" i="19"/>
  <c r="D37" i="19"/>
  <c r="E37" i="19"/>
  <c r="F37" i="19"/>
  <c r="G37" i="19"/>
  <c r="H37" i="19"/>
  <c r="I37" i="19"/>
  <c r="J37" i="19"/>
  <c r="K37" i="19"/>
  <c r="L37" i="19"/>
  <c r="M37" i="19"/>
  <c r="N37" i="19"/>
  <c r="C37" i="19"/>
  <c r="I75" i="2" l="1"/>
  <c r="I95" i="2" s="1"/>
  <c r="I116" i="2" s="1"/>
  <c r="I85" i="2"/>
  <c r="I105" i="2" s="1"/>
  <c r="I126" i="2" s="1"/>
  <c r="J85" i="2"/>
  <c r="J75" i="2"/>
  <c r="H73" i="2"/>
  <c r="H93" i="2" s="1"/>
  <c r="H114" i="2" s="1"/>
  <c r="D191" i="28"/>
  <c r="F123" i="1"/>
  <c r="J87" i="41"/>
  <c r="F124" i="1"/>
  <c r="E67" i="1"/>
  <c r="E196" i="1" s="1"/>
  <c r="H44" i="29"/>
  <c r="G44" i="1"/>
  <c r="G65" i="1" s="1"/>
  <c r="H37" i="29"/>
  <c r="G37" i="1"/>
  <c r="G58" i="1" s="1"/>
  <c r="H39" i="29"/>
  <c r="G39" i="1"/>
  <c r="G60" i="1" s="1"/>
  <c r="H33" i="29"/>
  <c r="G33" i="1"/>
  <c r="G54" i="1" s="1"/>
  <c r="H34" i="29"/>
  <c r="G34" i="1"/>
  <c r="G55" i="1" s="1"/>
  <c r="H45" i="29"/>
  <c r="G45" i="1"/>
  <c r="G66" i="1" s="1"/>
  <c r="H42" i="29"/>
  <c r="G42" i="1"/>
  <c r="G63" i="1" s="1"/>
  <c r="H38" i="29"/>
  <c r="G38" i="1"/>
  <c r="G59" i="1" s="1"/>
  <c r="F46" i="1"/>
  <c r="H36" i="29"/>
  <c r="G36" i="1"/>
  <c r="G57" i="1" s="1"/>
  <c r="H35" i="29"/>
  <c r="G35" i="1"/>
  <c r="G56" i="1" s="1"/>
  <c r="H40" i="29"/>
  <c r="G40" i="1"/>
  <c r="G61" i="1" s="1"/>
  <c r="H32" i="29"/>
  <c r="G32" i="1"/>
  <c r="G53" i="1" s="1"/>
  <c r="H43" i="29"/>
  <c r="G43" i="1"/>
  <c r="G64" i="1" s="1"/>
  <c r="H31" i="29"/>
  <c r="G52" i="1"/>
  <c r="H29" i="29"/>
  <c r="G29" i="1"/>
  <c r="G50" i="1" s="1"/>
  <c r="H30" i="29"/>
  <c r="G30" i="1"/>
  <c r="G51" i="1" s="1"/>
  <c r="H41" i="29"/>
  <c r="H41" i="1" s="1"/>
  <c r="G62" i="1"/>
  <c r="F93" i="1"/>
  <c r="F114" i="1" s="1"/>
  <c r="F101" i="1"/>
  <c r="F122" i="1" s="1"/>
  <c r="F174" i="28"/>
  <c r="J122" i="39"/>
  <c r="H128" i="39"/>
  <c r="J113" i="39"/>
  <c r="C128" i="39"/>
  <c r="J124" i="39"/>
  <c r="J115" i="39"/>
  <c r="D128" i="39"/>
  <c r="J127" i="41"/>
  <c r="J128" i="41" s="1"/>
  <c r="M128" i="41" s="1"/>
  <c r="J126" i="39"/>
  <c r="J121" i="39"/>
  <c r="G128" i="39"/>
  <c r="J117" i="39"/>
  <c r="J144" i="39"/>
  <c r="C147" i="39"/>
  <c r="J147" i="39" s="1"/>
  <c r="B139" i="32"/>
  <c r="J139" i="32" s="1"/>
  <c r="E128" i="39"/>
  <c r="J123" i="39"/>
  <c r="J120" i="39"/>
  <c r="J118" i="39"/>
  <c r="E145" i="39"/>
  <c r="E149" i="39" s="1"/>
  <c r="J112" i="39"/>
  <c r="J119" i="39"/>
  <c r="J116" i="39"/>
  <c r="F108" i="28"/>
  <c r="J125" i="39"/>
  <c r="J114" i="39"/>
  <c r="J138" i="39"/>
  <c r="F96" i="1"/>
  <c r="F117" i="1" s="1"/>
  <c r="J136" i="39"/>
  <c r="H84" i="28"/>
  <c r="H104" i="28" s="1"/>
  <c r="H125" i="28" s="1"/>
  <c r="J74" i="2"/>
  <c r="I74" i="2"/>
  <c r="I94" i="2" s="1"/>
  <c r="I115" i="2" s="1"/>
  <c r="H85" i="28"/>
  <c r="H105" i="28" s="1"/>
  <c r="H126" i="28" s="1"/>
  <c r="H74" i="28"/>
  <c r="H94" i="28" s="1"/>
  <c r="H115" i="28" s="1"/>
  <c r="F95" i="1"/>
  <c r="F116" i="1" s="1"/>
  <c r="G102" i="1"/>
  <c r="G154" i="28"/>
  <c r="G175" i="28" s="1"/>
  <c r="I86" i="2"/>
  <c r="I106" i="2" s="1"/>
  <c r="I127" i="2" s="1"/>
  <c r="J86" i="2"/>
  <c r="F161" i="28"/>
  <c r="F182" i="28" s="1"/>
  <c r="F94" i="1"/>
  <c r="F115" i="1" s="1"/>
  <c r="F128" i="39"/>
  <c r="G128" i="41"/>
  <c r="F98" i="1"/>
  <c r="F119" i="1" s="1"/>
  <c r="F106" i="1"/>
  <c r="F127" i="1" s="1"/>
  <c r="F158" i="28"/>
  <c r="F179" i="28" s="1"/>
  <c r="H80" i="28"/>
  <c r="H100" i="28" s="1"/>
  <c r="H121" i="28" s="1"/>
  <c r="F163" i="28"/>
  <c r="F184" i="28" s="1"/>
  <c r="E162" i="28"/>
  <c r="H75" i="28"/>
  <c r="H95" i="28" s="1"/>
  <c r="H116" i="28" s="1"/>
  <c r="J82" i="28"/>
  <c r="I82" i="28"/>
  <c r="J72" i="28"/>
  <c r="I72" i="28"/>
  <c r="I92" i="28" s="1"/>
  <c r="I113" i="28" s="1"/>
  <c r="H79" i="28"/>
  <c r="H99" i="28" s="1"/>
  <c r="H120" i="28" s="1"/>
  <c r="E153" i="28"/>
  <c r="E174" i="28" s="1"/>
  <c r="E129" i="28"/>
  <c r="J139" i="39"/>
  <c r="J140" i="39"/>
  <c r="J146" i="39"/>
  <c r="H78" i="28"/>
  <c r="H98" i="28" s="1"/>
  <c r="H119" i="28" s="1"/>
  <c r="H86" i="28"/>
  <c r="H106" i="28" s="1"/>
  <c r="H127" i="28" s="1"/>
  <c r="H76" i="28"/>
  <c r="H96" i="28" s="1"/>
  <c r="H117" i="28" s="1"/>
  <c r="G96" i="1"/>
  <c r="H81" i="28"/>
  <c r="H101" i="28" s="1"/>
  <c r="H122" i="28" s="1"/>
  <c r="J77" i="2"/>
  <c r="I77" i="2"/>
  <c r="I97" i="2" s="1"/>
  <c r="I118" i="2" s="1"/>
  <c r="J79" i="2"/>
  <c r="I79" i="2"/>
  <c r="I99" i="2" s="1"/>
  <c r="I120" i="2" s="1"/>
  <c r="J83" i="2"/>
  <c r="I83" i="2"/>
  <c r="I103" i="2" s="1"/>
  <c r="I124" i="2" s="1"/>
  <c r="H71" i="28"/>
  <c r="H91" i="28" s="1"/>
  <c r="H112" i="28" s="1"/>
  <c r="G169" i="28"/>
  <c r="G190" i="28" s="1"/>
  <c r="F159" i="28"/>
  <c r="F180" i="28" s="1"/>
  <c r="F97" i="1"/>
  <c r="F118" i="1" s="1"/>
  <c r="J142" i="39"/>
  <c r="F104" i="1"/>
  <c r="F125" i="1" s="1"/>
  <c r="F105" i="1"/>
  <c r="F126" i="1" s="1"/>
  <c r="F156" i="28"/>
  <c r="F177" i="28" s="1"/>
  <c r="J84" i="2"/>
  <c r="I84" i="2"/>
  <c r="I104" i="2" s="1"/>
  <c r="I125" i="2" s="1"/>
  <c r="H73" i="28"/>
  <c r="H93" i="28" s="1"/>
  <c r="H114" i="28" s="1"/>
  <c r="J87" i="28"/>
  <c r="I87" i="28"/>
  <c r="I107" i="28" s="1"/>
  <c r="I128" i="28" s="1"/>
  <c r="H77" i="28"/>
  <c r="H97" i="28" s="1"/>
  <c r="H118" i="28" s="1"/>
  <c r="E161" i="28"/>
  <c r="E182" i="28" s="1"/>
  <c r="F99" i="1"/>
  <c r="F120" i="1" s="1"/>
  <c r="G149" i="39"/>
  <c r="J134" i="39"/>
  <c r="J135" i="39"/>
  <c r="F149" i="39"/>
  <c r="J148" i="41"/>
  <c r="G149" i="41"/>
  <c r="J143" i="39"/>
  <c r="B148" i="33"/>
  <c r="J148" i="33" s="1"/>
  <c r="F107" i="1"/>
  <c r="F128" i="1" s="1"/>
  <c r="H87" i="2"/>
  <c r="H107" i="2" s="1"/>
  <c r="H128" i="2" s="1"/>
  <c r="G107" i="1"/>
  <c r="I81" i="2"/>
  <c r="I101" i="2" s="1"/>
  <c r="I122" i="2" s="1"/>
  <c r="J81" i="2"/>
  <c r="J76" i="2"/>
  <c r="I76" i="2"/>
  <c r="I96" i="2" s="1"/>
  <c r="I117" i="2" s="1"/>
  <c r="G103" i="1"/>
  <c r="F165" i="28"/>
  <c r="I83" i="28"/>
  <c r="I103" i="28" s="1"/>
  <c r="I124" i="28" s="1"/>
  <c r="J83" i="28"/>
  <c r="J115" i="37"/>
  <c r="H149" i="39"/>
  <c r="B136" i="33"/>
  <c r="J136" i="33" s="1"/>
  <c r="G128" i="29"/>
  <c r="C149" i="40"/>
  <c r="J120" i="29"/>
  <c r="B143" i="33"/>
  <c r="J143" i="33" s="1"/>
  <c r="B141" i="39"/>
  <c r="J141" i="39" s="1"/>
  <c r="B137" i="39"/>
  <c r="J137" i="39" s="1"/>
  <c r="F16" i="69"/>
  <c r="E16" i="69"/>
  <c r="E16" i="67"/>
  <c r="F16" i="67"/>
  <c r="F16" i="65"/>
  <c r="E16" i="65"/>
  <c r="E16" i="63"/>
  <c r="F16" i="63"/>
  <c r="F16" i="61"/>
  <c r="E16" i="61"/>
  <c r="J133" i="39"/>
  <c r="F16" i="59"/>
  <c r="E16" i="59"/>
  <c r="F16" i="55"/>
  <c r="E16" i="55"/>
  <c r="E16" i="53"/>
  <c r="F16" i="53"/>
  <c r="E16" i="51"/>
  <c r="F16" i="51"/>
  <c r="F16" i="49"/>
  <c r="E16" i="49"/>
  <c r="F16" i="46"/>
  <c r="E16" i="46"/>
  <c r="F16" i="45"/>
  <c r="E16" i="45"/>
  <c r="R64" i="19"/>
  <c r="G135" i="29"/>
  <c r="J135" i="29" s="1"/>
  <c r="B128" i="41"/>
  <c r="J136" i="36"/>
  <c r="G149" i="34"/>
  <c r="B139" i="33"/>
  <c r="J139" i="33" s="1"/>
  <c r="J148" i="30"/>
  <c r="J133" i="30"/>
  <c r="B148" i="37"/>
  <c r="J148" i="37" s="1"/>
  <c r="B142" i="41"/>
  <c r="J142" i="41" s="1"/>
  <c r="J113" i="36"/>
  <c r="B138" i="33"/>
  <c r="J138" i="33" s="1"/>
  <c r="J113" i="32"/>
  <c r="J140" i="40"/>
  <c r="J142" i="40"/>
  <c r="J87" i="40"/>
  <c r="B128" i="40"/>
  <c r="J142" i="37"/>
  <c r="J87" i="39"/>
  <c r="B147" i="38"/>
  <c r="J147" i="38" s="1"/>
  <c r="B135" i="38"/>
  <c r="J135" i="38" s="1"/>
  <c r="J112" i="36"/>
  <c r="D149" i="36"/>
  <c r="B141" i="33"/>
  <c r="J141" i="33" s="1"/>
  <c r="B146" i="32"/>
  <c r="J146" i="32" s="1"/>
  <c r="E149" i="31"/>
  <c r="J147" i="30"/>
  <c r="J146" i="30"/>
  <c r="J139" i="30"/>
  <c r="C137" i="29"/>
  <c r="J137" i="29" s="1"/>
  <c r="J87" i="29"/>
  <c r="B148" i="29"/>
  <c r="J148" i="29" s="1"/>
  <c r="C128" i="29"/>
  <c r="C139" i="29"/>
  <c r="J139" i="29" s="1"/>
  <c r="B184" i="28"/>
  <c r="J133" i="37"/>
  <c r="B133" i="33"/>
  <c r="J133" i="33" s="1"/>
  <c r="J122" i="29"/>
  <c r="C143" i="29"/>
  <c r="J143" i="29" s="1"/>
  <c r="D149" i="30"/>
  <c r="J141" i="30"/>
  <c r="J135" i="30"/>
  <c r="J111" i="30"/>
  <c r="J122" i="30"/>
  <c r="J123" i="30"/>
  <c r="E149" i="30"/>
  <c r="B128" i="30"/>
  <c r="J136" i="32"/>
  <c r="H149" i="33"/>
  <c r="B135" i="33"/>
  <c r="J135" i="33" s="1"/>
  <c r="B134" i="33"/>
  <c r="J134" i="33" s="1"/>
  <c r="B136" i="34"/>
  <c r="J136" i="34" s="1"/>
  <c r="B148" i="34"/>
  <c r="J148" i="34" s="1"/>
  <c r="B146" i="34"/>
  <c r="J146" i="34" s="1"/>
  <c r="J118" i="36"/>
  <c r="D149" i="38"/>
  <c r="J144" i="38"/>
  <c r="B139" i="38"/>
  <c r="J139" i="38" s="1"/>
  <c r="B140" i="38"/>
  <c r="J140" i="38" s="1"/>
  <c r="J87" i="38"/>
  <c r="J123" i="38"/>
  <c r="D149" i="39"/>
  <c r="J111" i="39"/>
  <c r="C128" i="37"/>
  <c r="G128" i="37"/>
  <c r="B147" i="37"/>
  <c r="J147" i="37" s="1"/>
  <c r="J135" i="37"/>
  <c r="J87" i="37"/>
  <c r="F149" i="35"/>
  <c r="B128" i="35"/>
  <c r="C128" i="40"/>
  <c r="J133" i="40"/>
  <c r="H128" i="40"/>
  <c r="J118" i="40"/>
  <c r="J128" i="40" s="1"/>
  <c r="M128" i="40" s="1"/>
  <c r="E128" i="40"/>
  <c r="B146" i="40"/>
  <c r="J146" i="40" s="1"/>
  <c r="B170" i="28"/>
  <c r="B190" i="28"/>
  <c r="J132" i="41"/>
  <c r="B134" i="40"/>
  <c r="J132" i="40"/>
  <c r="D128" i="40"/>
  <c r="B128" i="39"/>
  <c r="J132" i="39"/>
  <c r="B143" i="38"/>
  <c r="J143" i="38" s="1"/>
  <c r="B141" i="38"/>
  <c r="J141" i="38" s="1"/>
  <c r="E149" i="38"/>
  <c r="J111" i="38"/>
  <c r="B133" i="38"/>
  <c r="J133" i="38" s="1"/>
  <c r="B128" i="38"/>
  <c r="J112" i="37"/>
  <c r="J143" i="37"/>
  <c r="B144" i="37"/>
  <c r="J144" i="37" s="1"/>
  <c r="B128" i="37"/>
  <c r="B146" i="37"/>
  <c r="J146" i="37" s="1"/>
  <c r="E149" i="36"/>
  <c r="C128" i="36"/>
  <c r="B128" i="36"/>
  <c r="B148" i="36"/>
  <c r="J148" i="36" s="1"/>
  <c r="J111" i="35"/>
  <c r="J128" i="35" s="1"/>
  <c r="M128" i="35" s="1"/>
  <c r="B147" i="35"/>
  <c r="B140" i="34"/>
  <c r="J140" i="34" s="1"/>
  <c r="B145" i="34"/>
  <c r="J145" i="34" s="1"/>
  <c r="B144" i="34"/>
  <c r="J144" i="34" s="1"/>
  <c r="B128" i="34"/>
  <c r="J111" i="34"/>
  <c r="J128" i="34" s="1"/>
  <c r="M128" i="34" s="1"/>
  <c r="J87" i="34"/>
  <c r="B134" i="34"/>
  <c r="E149" i="34"/>
  <c r="B146" i="33"/>
  <c r="J146" i="33" s="1"/>
  <c r="F149" i="33"/>
  <c r="B137" i="33"/>
  <c r="J137" i="33" s="1"/>
  <c r="B140" i="33"/>
  <c r="J140" i="33" s="1"/>
  <c r="B128" i="33"/>
  <c r="J111" i="33"/>
  <c r="J128" i="33" s="1"/>
  <c r="M128" i="33" s="1"/>
  <c r="J87" i="33"/>
  <c r="E149" i="33"/>
  <c r="H149" i="32"/>
  <c r="C128" i="32"/>
  <c r="J87" i="32"/>
  <c r="B144" i="32"/>
  <c r="J144" i="32" s="1"/>
  <c r="G149" i="32"/>
  <c r="J111" i="32"/>
  <c r="B142" i="32"/>
  <c r="J142" i="32" s="1"/>
  <c r="B147" i="32"/>
  <c r="J147" i="32" s="1"/>
  <c r="B145" i="32"/>
  <c r="J145" i="32" s="1"/>
  <c r="B128" i="32"/>
  <c r="B128" i="31"/>
  <c r="J111" i="31"/>
  <c r="J128" i="31" s="1"/>
  <c r="M128" i="31" s="1"/>
  <c r="B149" i="31"/>
  <c r="J143" i="30"/>
  <c r="B142" i="30"/>
  <c r="J142" i="30" s="1"/>
  <c r="J145" i="30"/>
  <c r="B138" i="30"/>
  <c r="J138" i="30" s="1"/>
  <c r="J137" i="30"/>
  <c r="C128" i="30"/>
  <c r="J87" i="30"/>
  <c r="B134" i="30"/>
  <c r="J134" i="30" s="1"/>
  <c r="B146" i="29"/>
  <c r="J146" i="29" s="1"/>
  <c r="D128" i="29"/>
  <c r="J111" i="29"/>
  <c r="G133" i="29"/>
  <c r="J112" i="29"/>
  <c r="J123" i="29"/>
  <c r="B128" i="29"/>
  <c r="D149" i="29"/>
  <c r="J132" i="29"/>
  <c r="B189" i="28"/>
  <c r="B178" i="28"/>
  <c r="B188" i="28"/>
  <c r="J73" i="2" l="1"/>
  <c r="I73" i="2"/>
  <c r="I93" i="2" s="1"/>
  <c r="I114" i="2" s="1"/>
  <c r="I102" i="28"/>
  <c r="I123" i="28" s="1"/>
  <c r="G117" i="1"/>
  <c r="G128" i="1"/>
  <c r="G124" i="1"/>
  <c r="G123" i="1"/>
  <c r="F67" i="1"/>
  <c r="F196" i="1" s="1"/>
  <c r="H30" i="1"/>
  <c r="H51" i="1" s="1"/>
  <c r="I30" i="29"/>
  <c r="I30" i="1" s="1"/>
  <c r="I51" i="1" s="1"/>
  <c r="J30" i="29"/>
  <c r="H32" i="1"/>
  <c r="H53" i="1" s="1"/>
  <c r="I32" i="29"/>
  <c r="I32" i="1" s="1"/>
  <c r="I53" i="1" s="1"/>
  <c r="J32" i="29"/>
  <c r="G46" i="1"/>
  <c r="H35" i="1"/>
  <c r="H56" i="1" s="1"/>
  <c r="I35" i="29"/>
  <c r="I35" i="1" s="1"/>
  <c r="I56" i="1" s="1"/>
  <c r="J35" i="29"/>
  <c r="H33" i="1"/>
  <c r="H54" i="1" s="1"/>
  <c r="J33" i="29"/>
  <c r="I33" i="29"/>
  <c r="I33" i="1" s="1"/>
  <c r="I54" i="1" s="1"/>
  <c r="H37" i="1"/>
  <c r="H58" i="1" s="1"/>
  <c r="J37" i="29"/>
  <c r="I37" i="29"/>
  <c r="I37" i="1" s="1"/>
  <c r="I58" i="1" s="1"/>
  <c r="H62" i="1"/>
  <c r="J41" i="29"/>
  <c r="I41" i="29"/>
  <c r="I41" i="1" s="1"/>
  <c r="H43" i="1"/>
  <c r="H64" i="1" s="1"/>
  <c r="I43" i="29"/>
  <c r="I43" i="1" s="1"/>
  <c r="I64" i="1" s="1"/>
  <c r="J43" i="29"/>
  <c r="H40" i="1"/>
  <c r="H61" i="1" s="1"/>
  <c r="I40" i="29"/>
  <c r="I40" i="1" s="1"/>
  <c r="I61" i="1" s="1"/>
  <c r="J40" i="29"/>
  <c r="H29" i="1"/>
  <c r="H50" i="1" s="1"/>
  <c r="J29" i="29"/>
  <c r="I29" i="29"/>
  <c r="I29" i="1" s="1"/>
  <c r="I50" i="1" s="1"/>
  <c r="H52" i="1"/>
  <c r="I31" i="29"/>
  <c r="I52" i="1" s="1"/>
  <c r="J31" i="29"/>
  <c r="H36" i="1"/>
  <c r="H57" i="1" s="1"/>
  <c r="I36" i="29"/>
  <c r="I36" i="1" s="1"/>
  <c r="I57" i="1" s="1"/>
  <c r="J36" i="29"/>
  <c r="H38" i="1"/>
  <c r="H59" i="1" s="1"/>
  <c r="J38" i="29"/>
  <c r="I38" i="29"/>
  <c r="I38" i="1" s="1"/>
  <c r="I59" i="1" s="1"/>
  <c r="H42" i="1"/>
  <c r="H63" i="1" s="1"/>
  <c r="J42" i="29"/>
  <c r="I42" i="29"/>
  <c r="I42" i="1" s="1"/>
  <c r="I63" i="1" s="1"/>
  <c r="H45" i="1"/>
  <c r="H66" i="1" s="1"/>
  <c r="I45" i="29"/>
  <c r="I45" i="1" s="1"/>
  <c r="I66" i="1" s="1"/>
  <c r="J45" i="29"/>
  <c r="H34" i="1"/>
  <c r="H55" i="1" s="1"/>
  <c r="I34" i="29"/>
  <c r="I34" i="1" s="1"/>
  <c r="I55" i="1" s="1"/>
  <c r="J34" i="29"/>
  <c r="H39" i="1"/>
  <c r="H60" i="1" s="1"/>
  <c r="I39" i="29"/>
  <c r="I39" i="1" s="1"/>
  <c r="I60" i="1" s="1"/>
  <c r="J39" i="29"/>
  <c r="H44" i="1"/>
  <c r="H65" i="1" s="1"/>
  <c r="I44" i="29"/>
  <c r="I44" i="1" s="1"/>
  <c r="I65" i="1" s="1"/>
  <c r="J44" i="29"/>
  <c r="G93" i="1"/>
  <c r="G114" i="1" s="1"/>
  <c r="J145" i="39"/>
  <c r="J149" i="39" s="1"/>
  <c r="G94" i="1"/>
  <c r="G115" i="1" s="1"/>
  <c r="G108" i="28"/>
  <c r="G149" i="29"/>
  <c r="J128" i="39"/>
  <c r="M128" i="39" s="1"/>
  <c r="F15" i="61" s="1"/>
  <c r="E14" i="61" s="1"/>
  <c r="C149" i="39"/>
  <c r="F186" i="28"/>
  <c r="G104" i="1"/>
  <c r="G125" i="1" s="1"/>
  <c r="B149" i="39"/>
  <c r="J103" i="28"/>
  <c r="G159" i="28"/>
  <c r="G180" i="28" s="1"/>
  <c r="J107" i="28"/>
  <c r="F167" i="28"/>
  <c r="F188" i="28" s="1"/>
  <c r="I71" i="28"/>
  <c r="I91" i="28" s="1"/>
  <c r="I112" i="28" s="1"/>
  <c r="J71" i="28"/>
  <c r="F155" i="28"/>
  <c r="F176" i="28" s="1"/>
  <c r="G161" i="28"/>
  <c r="G182" i="28" s="1"/>
  <c r="H164" i="28"/>
  <c r="H185" i="28" s="1"/>
  <c r="I167" i="2"/>
  <c r="I188" i="2" s="1"/>
  <c r="F168" i="28"/>
  <c r="F189" i="28" s="1"/>
  <c r="G164" i="28"/>
  <c r="G185" i="28" s="1"/>
  <c r="G156" i="28"/>
  <c r="G177" i="28" s="1"/>
  <c r="F18" i="51"/>
  <c r="F129" i="28"/>
  <c r="J77" i="28"/>
  <c r="I77" i="28"/>
  <c r="G106" i="1"/>
  <c r="G127" i="1" s="1"/>
  <c r="I157" i="2"/>
  <c r="I178" i="2" s="1"/>
  <c r="I164" i="2"/>
  <c r="I185" i="2" s="1"/>
  <c r="J81" i="28"/>
  <c r="I81" i="28"/>
  <c r="I101" i="28" s="1"/>
  <c r="I122" i="28" s="1"/>
  <c r="I86" i="28"/>
  <c r="I106" i="28" s="1"/>
  <c r="I127" i="28" s="1"/>
  <c r="J86" i="28"/>
  <c r="I79" i="28"/>
  <c r="J79" i="28"/>
  <c r="H154" i="28"/>
  <c r="H175" i="28" s="1"/>
  <c r="G95" i="1"/>
  <c r="G116" i="1" s="1"/>
  <c r="J74" i="28"/>
  <c r="I74" i="28"/>
  <c r="G101" i="1"/>
  <c r="G122" i="1" s="1"/>
  <c r="I169" i="28"/>
  <c r="I190" i="28" s="1"/>
  <c r="G155" i="28"/>
  <c r="G176" i="28" s="1"/>
  <c r="F166" i="28"/>
  <c r="F187" i="28" s="1"/>
  <c r="G98" i="1"/>
  <c r="G119" i="1" s="1"/>
  <c r="E170" i="28"/>
  <c r="J123" i="28"/>
  <c r="J102" i="28"/>
  <c r="J75" i="28"/>
  <c r="I75" i="28"/>
  <c r="I95" i="28" s="1"/>
  <c r="I116" i="28" s="1"/>
  <c r="E183" i="28"/>
  <c r="E191" i="28" s="1"/>
  <c r="G99" i="1"/>
  <c r="G120" i="1" s="1"/>
  <c r="G162" i="28"/>
  <c r="G183" i="28" s="1"/>
  <c r="F160" i="28"/>
  <c r="F181" i="28" s="1"/>
  <c r="I160" i="2"/>
  <c r="I181" i="2" s="1"/>
  <c r="G105" i="1"/>
  <c r="G126" i="1" s="1"/>
  <c r="F162" i="28"/>
  <c r="F183" i="28" s="1"/>
  <c r="G166" i="28"/>
  <c r="G187" i="28" s="1"/>
  <c r="H93" i="1"/>
  <c r="J73" i="28"/>
  <c r="I73" i="28"/>
  <c r="I93" i="28" s="1"/>
  <c r="I114" i="28" s="1"/>
  <c r="I165" i="2"/>
  <c r="I186" i="2" s="1"/>
  <c r="J76" i="28"/>
  <c r="I76" i="28"/>
  <c r="I96" i="28" s="1"/>
  <c r="I117" i="28" s="1"/>
  <c r="I78" i="28"/>
  <c r="I98" i="28" s="1"/>
  <c r="I119" i="28" s="1"/>
  <c r="J78" i="28"/>
  <c r="J113" i="28"/>
  <c r="J92" i="28"/>
  <c r="G97" i="1"/>
  <c r="G118" i="1" s="1"/>
  <c r="J80" i="28"/>
  <c r="I80" i="28"/>
  <c r="I100" i="28" s="1"/>
  <c r="I121" i="28" s="1"/>
  <c r="H102" i="1"/>
  <c r="F157" i="28"/>
  <c r="F178" i="28" s="1"/>
  <c r="I85" i="28"/>
  <c r="I105" i="28" s="1"/>
  <c r="I126" i="28" s="1"/>
  <c r="J85" i="28"/>
  <c r="J84" i="28"/>
  <c r="I84" i="28"/>
  <c r="I104" i="28" s="1"/>
  <c r="I125" i="28" s="1"/>
  <c r="H107" i="1"/>
  <c r="J87" i="2"/>
  <c r="I87" i="2"/>
  <c r="I107" i="2" s="1"/>
  <c r="I128" i="2" s="1"/>
  <c r="G165" i="28"/>
  <c r="I103" i="1"/>
  <c r="H103" i="1"/>
  <c r="H149" i="40"/>
  <c r="J128" i="37"/>
  <c r="M128" i="37" s="1"/>
  <c r="F15" i="65" s="1"/>
  <c r="E14" i="65" s="1"/>
  <c r="J135" i="34"/>
  <c r="J144" i="30"/>
  <c r="F18" i="46"/>
  <c r="F18" i="45"/>
  <c r="D149" i="37"/>
  <c r="F18" i="49"/>
  <c r="E18" i="53"/>
  <c r="J128" i="32"/>
  <c r="M128" i="32" s="1"/>
  <c r="E15" i="51" s="1"/>
  <c r="F14" i="51" s="1"/>
  <c r="E18" i="51"/>
  <c r="E18" i="49"/>
  <c r="E18" i="45"/>
  <c r="E18" i="46"/>
  <c r="C149" i="29"/>
  <c r="F18" i="53"/>
  <c r="E15" i="69"/>
  <c r="F14" i="69" s="1"/>
  <c r="F15" i="69"/>
  <c r="E14" i="69" s="1"/>
  <c r="F18" i="69"/>
  <c r="E18" i="69"/>
  <c r="E18" i="67"/>
  <c r="F18" i="67"/>
  <c r="E15" i="67"/>
  <c r="F14" i="67" s="1"/>
  <c r="F15" i="67"/>
  <c r="E14" i="67" s="1"/>
  <c r="E18" i="65"/>
  <c r="F18" i="65"/>
  <c r="F15" i="63"/>
  <c r="E14" i="63" s="1"/>
  <c r="E15" i="63"/>
  <c r="F14" i="63" s="1"/>
  <c r="E18" i="63"/>
  <c r="F18" i="63"/>
  <c r="E18" i="61"/>
  <c r="F18" i="61"/>
  <c r="E18" i="59"/>
  <c r="F18" i="59"/>
  <c r="E18" i="55"/>
  <c r="F18" i="55"/>
  <c r="F15" i="55"/>
  <c r="E14" i="55" s="1"/>
  <c r="E15" i="55"/>
  <c r="F14" i="55" s="1"/>
  <c r="F15" i="53"/>
  <c r="E14" i="53" s="1"/>
  <c r="E15" i="53"/>
  <c r="F14" i="53" s="1"/>
  <c r="E15" i="49"/>
  <c r="F14" i="49" s="1"/>
  <c r="F15" i="49"/>
  <c r="E14" i="49" s="1"/>
  <c r="J149" i="41"/>
  <c r="J132" i="31"/>
  <c r="J149" i="31" s="1"/>
  <c r="E149" i="40"/>
  <c r="G149" i="37"/>
  <c r="B149" i="41"/>
  <c r="J132" i="30"/>
  <c r="B149" i="33"/>
  <c r="C149" i="32"/>
  <c r="J128" i="30"/>
  <c r="M128" i="30" s="1"/>
  <c r="C149" i="30"/>
  <c r="J133" i="29"/>
  <c r="J149" i="29" s="1"/>
  <c r="J133" i="36"/>
  <c r="B149" i="38"/>
  <c r="B149" i="29"/>
  <c r="B149" i="30"/>
  <c r="J135" i="36"/>
  <c r="J128" i="38"/>
  <c r="M128" i="38" s="1"/>
  <c r="C149" i="38"/>
  <c r="J132" i="38"/>
  <c r="J149" i="38" s="1"/>
  <c r="J149" i="37"/>
  <c r="J132" i="35"/>
  <c r="J134" i="40"/>
  <c r="B149" i="40"/>
  <c r="J137" i="40"/>
  <c r="D149" i="40"/>
  <c r="C149" i="37"/>
  <c r="B149" i="37"/>
  <c r="B149" i="36"/>
  <c r="C149" i="36"/>
  <c r="J132" i="36"/>
  <c r="J147" i="35"/>
  <c r="B149" i="35"/>
  <c r="J134" i="34"/>
  <c r="B149" i="34"/>
  <c r="C149" i="34"/>
  <c r="J132" i="34"/>
  <c r="J132" i="33"/>
  <c r="J149" i="33" s="1"/>
  <c r="D149" i="32"/>
  <c r="J132" i="32"/>
  <c r="B149" i="32"/>
  <c r="J134" i="32"/>
  <c r="J128" i="29"/>
  <c r="M128" i="29" s="1"/>
  <c r="B191" i="28"/>
  <c r="I62" i="1" l="1"/>
  <c r="I124" i="1" s="1"/>
  <c r="J41" i="1"/>
  <c r="E15" i="61"/>
  <c r="F14" i="61" s="1"/>
  <c r="I94" i="28"/>
  <c r="I115" i="28" s="1"/>
  <c r="I99" i="28"/>
  <c r="I120" i="28" s="1"/>
  <c r="I97" i="28"/>
  <c r="I118" i="28" s="1"/>
  <c r="J118" i="28" s="1"/>
  <c r="I102" i="1"/>
  <c r="I123" i="1" s="1"/>
  <c r="J32" i="1"/>
  <c r="H123" i="1"/>
  <c r="H128" i="1"/>
  <c r="H114" i="1"/>
  <c r="H124" i="1"/>
  <c r="J35" i="1"/>
  <c r="J43" i="1"/>
  <c r="H97" i="1"/>
  <c r="H118" i="1" s="1"/>
  <c r="J44" i="1"/>
  <c r="J29" i="1"/>
  <c r="J33" i="1"/>
  <c r="J42" i="1"/>
  <c r="J45" i="1"/>
  <c r="G67" i="1"/>
  <c r="G196" i="1" s="1"/>
  <c r="J37" i="1"/>
  <c r="J31" i="1"/>
  <c r="J34" i="1"/>
  <c r="J38" i="1"/>
  <c r="J36" i="1"/>
  <c r="I46" i="1"/>
  <c r="J39" i="1"/>
  <c r="H46" i="1"/>
  <c r="J40" i="1"/>
  <c r="J30" i="1"/>
  <c r="I101" i="1"/>
  <c r="I122" i="1" s="1"/>
  <c r="J122" i="28"/>
  <c r="J100" i="28"/>
  <c r="I96" i="1"/>
  <c r="I117" i="1" s="1"/>
  <c r="H96" i="1"/>
  <c r="H117" i="1" s="1"/>
  <c r="G129" i="28"/>
  <c r="F170" i="28"/>
  <c r="H94" i="1"/>
  <c r="H115" i="1" s="1"/>
  <c r="H106" i="1"/>
  <c r="H127" i="1" s="1"/>
  <c r="F191" i="28"/>
  <c r="J104" i="28"/>
  <c r="J105" i="28"/>
  <c r="I105" i="1"/>
  <c r="I126" i="1" s="1"/>
  <c r="H162" i="28"/>
  <c r="H183" i="28" s="1"/>
  <c r="H95" i="1"/>
  <c r="H116" i="1" s="1"/>
  <c r="J96" i="28"/>
  <c r="I106" i="1"/>
  <c r="I127" i="1" s="1"/>
  <c r="I163" i="28"/>
  <c r="I184" i="28" s="1"/>
  <c r="H159" i="28"/>
  <c r="H180" i="28" s="1"/>
  <c r="J101" i="28"/>
  <c r="H153" i="28"/>
  <c r="H174" i="28" s="1"/>
  <c r="I104" i="1"/>
  <c r="I125" i="1" s="1"/>
  <c r="H108" i="28"/>
  <c r="I93" i="1"/>
  <c r="I114" i="1" s="1"/>
  <c r="I156" i="2"/>
  <c r="I177" i="2" s="1"/>
  <c r="H105" i="1"/>
  <c r="H126" i="1" s="1"/>
  <c r="J98" i="28"/>
  <c r="I98" i="1"/>
  <c r="I119" i="1" s="1"/>
  <c r="H158" i="28"/>
  <c r="H179" i="28" s="1"/>
  <c r="J91" i="28"/>
  <c r="J93" i="28"/>
  <c r="G167" i="28"/>
  <c r="G188" i="28" s="1"/>
  <c r="G158" i="28"/>
  <c r="G179" i="28" s="1"/>
  <c r="J117" i="28"/>
  <c r="H104" i="1"/>
  <c r="H125" i="1" s="1"/>
  <c r="H156" i="28"/>
  <c r="H177" i="28" s="1"/>
  <c r="H101" i="1"/>
  <c r="H122" i="1" s="1"/>
  <c r="G163" i="28"/>
  <c r="G184" i="28" s="1"/>
  <c r="I166" i="28"/>
  <c r="I187" i="28" s="1"/>
  <c r="H98" i="1"/>
  <c r="H119" i="1" s="1"/>
  <c r="G153" i="28"/>
  <c r="G174" i="28" s="1"/>
  <c r="J112" i="28"/>
  <c r="J95" i="28"/>
  <c r="I95" i="1"/>
  <c r="I116" i="1" s="1"/>
  <c r="I164" i="28"/>
  <c r="I164" i="1" s="1"/>
  <c r="I161" i="2"/>
  <c r="I182" i="2" s="1"/>
  <c r="G157" i="28"/>
  <c r="J99" i="28"/>
  <c r="I168" i="28"/>
  <c r="H163" i="28"/>
  <c r="H184" i="28" s="1"/>
  <c r="J106" i="28"/>
  <c r="H99" i="1"/>
  <c r="H120" i="1" s="1"/>
  <c r="H169" i="28"/>
  <c r="J169" i="28" s="1"/>
  <c r="J128" i="28"/>
  <c r="I154" i="28"/>
  <c r="J154" i="28" s="1"/>
  <c r="I158" i="28"/>
  <c r="I179" i="28" s="1"/>
  <c r="I155" i="28"/>
  <c r="I176" i="28" s="1"/>
  <c r="G160" i="28"/>
  <c r="G181" i="28" s="1"/>
  <c r="J115" i="28"/>
  <c r="I168" i="2"/>
  <c r="H161" i="28"/>
  <c r="H182" i="28" s="1"/>
  <c r="H168" i="28"/>
  <c r="H189" i="28" s="1"/>
  <c r="I159" i="2"/>
  <c r="I180" i="2" s="1"/>
  <c r="J127" i="28"/>
  <c r="G168" i="28"/>
  <c r="G189" i="28" s="1"/>
  <c r="I153" i="28"/>
  <c r="I174" i="28" s="1"/>
  <c r="I166" i="2"/>
  <c r="G186" i="28"/>
  <c r="I107" i="1"/>
  <c r="I128" i="1" s="1"/>
  <c r="I163" i="2"/>
  <c r="I158" i="2"/>
  <c r="I155" i="2"/>
  <c r="H165" i="28"/>
  <c r="H186" i="28" s="1"/>
  <c r="J124" i="28"/>
  <c r="I165" i="28"/>
  <c r="I186" i="28" s="1"/>
  <c r="E15" i="65"/>
  <c r="F14" i="65" s="1"/>
  <c r="F23" i="65" s="1"/>
  <c r="E23" i="63"/>
  <c r="J149" i="30"/>
  <c r="E23" i="67"/>
  <c r="F15" i="51"/>
  <c r="E14" i="51" s="1"/>
  <c r="E23" i="51" s="1"/>
  <c r="E23" i="53"/>
  <c r="F23" i="49"/>
  <c r="E23" i="49"/>
  <c r="E23" i="55"/>
  <c r="E23" i="61"/>
  <c r="E23" i="69"/>
  <c r="F23" i="53"/>
  <c r="F23" i="69"/>
  <c r="F23" i="67"/>
  <c r="F23" i="63"/>
  <c r="F23" i="61"/>
  <c r="F15" i="59"/>
  <c r="E14" i="59" s="1"/>
  <c r="E15" i="59"/>
  <c r="F14" i="59" s="1"/>
  <c r="F23" i="55"/>
  <c r="F15" i="46"/>
  <c r="E14" i="46" s="1"/>
  <c r="E15" i="46"/>
  <c r="F14" i="46" s="1"/>
  <c r="E15" i="45"/>
  <c r="F14" i="45" s="1"/>
  <c r="F15" i="45"/>
  <c r="E14" i="45" s="1"/>
  <c r="J149" i="32"/>
  <c r="J149" i="35"/>
  <c r="J149" i="40"/>
  <c r="J149" i="34"/>
  <c r="A2" i="13"/>
  <c r="D37" i="13"/>
  <c r="E37" i="13"/>
  <c r="F38" i="13" s="1"/>
  <c r="F37" i="13"/>
  <c r="G37" i="13"/>
  <c r="H37" i="13"/>
  <c r="I37" i="13"/>
  <c r="J37" i="13"/>
  <c r="K37" i="13"/>
  <c r="L37" i="13"/>
  <c r="L57" i="18" s="1"/>
  <c r="C37" i="13"/>
  <c r="C57" i="18" l="1"/>
  <c r="M37" i="13"/>
  <c r="J94" i="28"/>
  <c r="J97" i="28"/>
  <c r="I108" i="28"/>
  <c r="I185" i="1"/>
  <c r="I99" i="1"/>
  <c r="I120" i="1" s="1"/>
  <c r="I97" i="1"/>
  <c r="I118" i="1" s="1"/>
  <c r="I94" i="1"/>
  <c r="I115" i="1" s="1"/>
  <c r="I67" i="1"/>
  <c r="I196" i="1" s="1"/>
  <c r="H67" i="1"/>
  <c r="H196" i="1" s="1"/>
  <c r="J46" i="1"/>
  <c r="M46" i="1" s="1"/>
  <c r="I163" i="1"/>
  <c r="I184" i="1" s="1"/>
  <c r="I166" i="1"/>
  <c r="I187" i="1" s="1"/>
  <c r="J164" i="28"/>
  <c r="I185" i="28"/>
  <c r="J185" i="28" s="1"/>
  <c r="H129" i="28"/>
  <c r="J57" i="18"/>
  <c r="I57" i="18"/>
  <c r="E57" i="18"/>
  <c r="F57" i="18"/>
  <c r="H57" i="18"/>
  <c r="D57" i="18"/>
  <c r="K57" i="18"/>
  <c r="G57" i="18"/>
  <c r="I129" i="28"/>
  <c r="I158" i="1"/>
  <c r="I179" i="1" s="1"/>
  <c r="I168" i="1"/>
  <c r="I189" i="1" s="1"/>
  <c r="H190" i="28"/>
  <c r="J190" i="28" s="1"/>
  <c r="J179" i="28"/>
  <c r="J165" i="28"/>
  <c r="I187" i="2"/>
  <c r="J163" i="28"/>
  <c r="G170" i="28"/>
  <c r="J168" i="28"/>
  <c r="I161" i="28"/>
  <c r="I182" i="28" s="1"/>
  <c r="J182" i="28" s="1"/>
  <c r="J120" i="28"/>
  <c r="I156" i="28"/>
  <c r="I177" i="28" s="1"/>
  <c r="J177" i="28" s="1"/>
  <c r="I189" i="2"/>
  <c r="I175" i="28"/>
  <c r="J175" i="28" s="1"/>
  <c r="I159" i="28"/>
  <c r="J159" i="28" s="1"/>
  <c r="I189" i="28"/>
  <c r="J189" i="28" s="1"/>
  <c r="G178" i="28"/>
  <c r="G191" i="28" s="1"/>
  <c r="J153" i="28"/>
  <c r="I162" i="28"/>
  <c r="J158" i="28"/>
  <c r="I160" i="28"/>
  <c r="I160" i="1" s="1"/>
  <c r="I181" i="1" s="1"/>
  <c r="J121" i="28"/>
  <c r="H166" i="28"/>
  <c r="J166" i="28" s="1"/>
  <c r="J125" i="28"/>
  <c r="I157" i="28"/>
  <c r="I157" i="1" s="1"/>
  <c r="I178" i="1" s="1"/>
  <c r="J184" i="28"/>
  <c r="J174" i="28"/>
  <c r="H160" i="28"/>
  <c r="H181" i="28" s="1"/>
  <c r="J119" i="28"/>
  <c r="H155" i="28"/>
  <c r="J155" i="28" s="1"/>
  <c r="J114" i="28"/>
  <c r="H167" i="28"/>
  <c r="H188" i="28" s="1"/>
  <c r="J126" i="28"/>
  <c r="H157" i="28"/>
  <c r="H178" i="28" s="1"/>
  <c r="J116" i="28"/>
  <c r="I167" i="28"/>
  <c r="I167" i="1" s="1"/>
  <c r="I188" i="1" s="1"/>
  <c r="J186" i="28"/>
  <c r="I169" i="2"/>
  <c r="I169" i="1" s="1"/>
  <c r="I190" i="1" s="1"/>
  <c r="I184" i="2"/>
  <c r="I179" i="2"/>
  <c r="I155" i="1"/>
  <c r="I176" i="1" s="1"/>
  <c r="I176" i="2"/>
  <c r="I165" i="1"/>
  <c r="I186" i="1" s="1"/>
  <c r="E23" i="65"/>
  <c r="F23" i="59"/>
  <c r="E23" i="45"/>
  <c r="F23" i="51"/>
  <c r="F23" i="46"/>
  <c r="E23" i="59"/>
  <c r="E23" i="46"/>
  <c r="F23" i="45"/>
  <c r="B36" i="13"/>
  <c r="B35" i="13"/>
  <c r="B34" i="13"/>
  <c r="B33" i="13"/>
  <c r="B32" i="13"/>
  <c r="B31" i="13"/>
  <c r="B30" i="13"/>
  <c r="B29" i="13"/>
  <c r="B28" i="13"/>
  <c r="B27" i="13"/>
  <c r="B26" i="13"/>
  <c r="B25" i="13"/>
  <c r="B24" i="13"/>
  <c r="B23" i="13"/>
  <c r="B22" i="13"/>
  <c r="E17" i="9"/>
  <c r="E13" i="9"/>
  <c r="F12" i="9" s="1"/>
  <c r="E4" i="17"/>
  <c r="E2" i="17"/>
  <c r="B24" i="2"/>
  <c r="B66" i="2" s="1"/>
  <c r="B20" i="2"/>
  <c r="B62" i="2" s="1"/>
  <c r="B21" i="2"/>
  <c r="B63" i="2" s="1"/>
  <c r="B22" i="2"/>
  <c r="B64" i="2" s="1"/>
  <c r="B23" i="2"/>
  <c r="B65" i="2" s="1"/>
  <c r="B19" i="2"/>
  <c r="B61" i="2" s="1"/>
  <c r="B16" i="2"/>
  <c r="B58" i="2" s="1"/>
  <c r="B17" i="2"/>
  <c r="B59" i="2" s="1"/>
  <c r="B18" i="2"/>
  <c r="B60" i="2" s="1"/>
  <c r="B15" i="2"/>
  <c r="B57" i="2" s="1"/>
  <c r="B14" i="2"/>
  <c r="B56" i="2" s="1"/>
  <c r="B13" i="2"/>
  <c r="B55" i="2" s="1"/>
  <c r="B12" i="2"/>
  <c r="B54" i="2" s="1"/>
  <c r="B9" i="2"/>
  <c r="B51" i="2" s="1"/>
  <c r="B10" i="2"/>
  <c r="B52" i="2" s="1"/>
  <c r="B93" i="2" s="1"/>
  <c r="B11" i="2"/>
  <c r="B53" i="2" s="1"/>
  <c r="O413" i="16"/>
  <c r="P413" i="16"/>
  <c r="Q413" i="16"/>
  <c r="R413" i="16"/>
  <c r="S413" i="16"/>
  <c r="T413" i="16"/>
  <c r="U413" i="16"/>
  <c r="O414" i="16"/>
  <c r="P414" i="16"/>
  <c r="Q414" i="16"/>
  <c r="R414" i="16"/>
  <c r="S414" i="16"/>
  <c r="T414" i="16"/>
  <c r="U414" i="16"/>
  <c r="O415" i="16"/>
  <c r="P415" i="16"/>
  <c r="Q415" i="16"/>
  <c r="R415" i="16"/>
  <c r="S415" i="16"/>
  <c r="T415" i="16"/>
  <c r="U415" i="16"/>
  <c r="O416" i="16"/>
  <c r="P416" i="16"/>
  <c r="Q416" i="16"/>
  <c r="R416" i="16"/>
  <c r="S416" i="16"/>
  <c r="T416" i="16"/>
  <c r="U416" i="16"/>
  <c r="O417" i="16"/>
  <c r="P417" i="16"/>
  <c r="Q417" i="16"/>
  <c r="R417" i="16"/>
  <c r="S417" i="16"/>
  <c r="T417" i="16"/>
  <c r="U417" i="16"/>
  <c r="O418" i="16"/>
  <c r="P418" i="16"/>
  <c r="Q418" i="16"/>
  <c r="R418" i="16"/>
  <c r="S418" i="16"/>
  <c r="T418" i="16"/>
  <c r="U418" i="16"/>
  <c r="O419" i="16"/>
  <c r="P419" i="16"/>
  <c r="Q419" i="16"/>
  <c r="R419" i="16"/>
  <c r="S419" i="16"/>
  <c r="T419" i="16"/>
  <c r="U419" i="16"/>
  <c r="O420" i="16"/>
  <c r="P420" i="16"/>
  <c r="Q420" i="16"/>
  <c r="R420" i="16"/>
  <c r="S420" i="16"/>
  <c r="T420" i="16"/>
  <c r="U420" i="16"/>
  <c r="O421" i="16"/>
  <c r="P421" i="16"/>
  <c r="Q421" i="16"/>
  <c r="R421" i="16"/>
  <c r="S421" i="16"/>
  <c r="T421" i="16"/>
  <c r="U421" i="16"/>
  <c r="O422" i="16"/>
  <c r="P422" i="16"/>
  <c r="Q422" i="16"/>
  <c r="R422" i="16"/>
  <c r="S422" i="16"/>
  <c r="T422" i="16"/>
  <c r="U422" i="16"/>
  <c r="O423" i="16"/>
  <c r="P423" i="16"/>
  <c r="Q423" i="16"/>
  <c r="R423" i="16"/>
  <c r="S423" i="16"/>
  <c r="T423" i="16"/>
  <c r="U423" i="16"/>
  <c r="O424" i="16"/>
  <c r="P424" i="16"/>
  <c r="Q424" i="16"/>
  <c r="R424" i="16"/>
  <c r="S424" i="16"/>
  <c r="T424" i="16"/>
  <c r="U424" i="16"/>
  <c r="O425" i="16"/>
  <c r="P425" i="16"/>
  <c r="Q425" i="16"/>
  <c r="R425" i="16"/>
  <c r="S425" i="16"/>
  <c r="T425" i="16"/>
  <c r="U425" i="16"/>
  <c r="O426" i="16"/>
  <c r="P426" i="16"/>
  <c r="Q426" i="16"/>
  <c r="R426" i="16"/>
  <c r="S426" i="16"/>
  <c r="T426" i="16"/>
  <c r="U426" i="16"/>
  <c r="O427" i="16"/>
  <c r="P427" i="16"/>
  <c r="Q427" i="16"/>
  <c r="R427" i="16"/>
  <c r="S427" i="16"/>
  <c r="T427" i="16"/>
  <c r="U427" i="16"/>
  <c r="O428" i="16"/>
  <c r="P428" i="16"/>
  <c r="Q428" i="16"/>
  <c r="R428" i="16"/>
  <c r="S428" i="16"/>
  <c r="T428" i="16"/>
  <c r="U428" i="16"/>
  <c r="O429" i="16"/>
  <c r="P429" i="16"/>
  <c r="Q429" i="16"/>
  <c r="R429" i="16"/>
  <c r="S429" i="16"/>
  <c r="T429" i="16"/>
  <c r="U429" i="16"/>
  <c r="O431" i="16"/>
  <c r="P431" i="16"/>
  <c r="Q431" i="16"/>
  <c r="R431" i="16"/>
  <c r="S431" i="16"/>
  <c r="T431" i="16"/>
  <c r="U431" i="16"/>
  <c r="O430" i="16"/>
  <c r="P430" i="16"/>
  <c r="AA430" i="16" s="1"/>
  <c r="Q430" i="16"/>
  <c r="AB430" i="16" s="1"/>
  <c r="R430" i="16"/>
  <c r="S430" i="16"/>
  <c r="T430" i="16"/>
  <c r="U430" i="16"/>
  <c r="O432" i="16"/>
  <c r="P432" i="16"/>
  <c r="Q432" i="16"/>
  <c r="R432" i="16"/>
  <c r="S432" i="16"/>
  <c r="T432" i="16"/>
  <c r="U432" i="16"/>
  <c r="N414" i="16"/>
  <c r="N415" i="16"/>
  <c r="N416" i="16"/>
  <c r="N417" i="16"/>
  <c r="N418" i="16"/>
  <c r="N419" i="16"/>
  <c r="N420" i="16"/>
  <c r="N421" i="16"/>
  <c r="N422" i="16"/>
  <c r="N423" i="16"/>
  <c r="N424" i="16"/>
  <c r="N425" i="16"/>
  <c r="N426" i="16"/>
  <c r="N427" i="16"/>
  <c r="N428" i="16"/>
  <c r="N429" i="16"/>
  <c r="N431" i="16"/>
  <c r="N430" i="16"/>
  <c r="N432" i="16"/>
  <c r="N413" i="16"/>
  <c r="D413" i="16"/>
  <c r="E413" i="16"/>
  <c r="F413" i="16"/>
  <c r="G413" i="16"/>
  <c r="AC413" i="16" s="1"/>
  <c r="H413" i="16"/>
  <c r="I413" i="16"/>
  <c r="J413" i="16"/>
  <c r="D414" i="16"/>
  <c r="E414" i="16"/>
  <c r="F414" i="16"/>
  <c r="G414" i="16"/>
  <c r="H414" i="16"/>
  <c r="I414" i="16"/>
  <c r="J414" i="16"/>
  <c r="D415" i="16"/>
  <c r="Z415" i="16" s="1"/>
  <c r="E415" i="16"/>
  <c r="F415" i="16"/>
  <c r="G415" i="16"/>
  <c r="H415" i="16"/>
  <c r="AD415" i="16" s="1"/>
  <c r="I415" i="16"/>
  <c r="J415" i="16"/>
  <c r="AF415" i="16" s="1"/>
  <c r="D416" i="16"/>
  <c r="E416" i="16"/>
  <c r="F416" i="16"/>
  <c r="G416" i="16"/>
  <c r="H416" i="16"/>
  <c r="I416" i="16"/>
  <c r="J416" i="16"/>
  <c r="AF416" i="16" s="1"/>
  <c r="D417" i="16"/>
  <c r="Z417" i="16" s="1"/>
  <c r="E417" i="16"/>
  <c r="F417" i="16"/>
  <c r="G417" i="16"/>
  <c r="H417" i="16"/>
  <c r="I417" i="16"/>
  <c r="AE417" i="16" s="1"/>
  <c r="J417" i="16"/>
  <c r="AF417" i="16" s="1"/>
  <c r="D418" i="16"/>
  <c r="Z418" i="16" s="1"/>
  <c r="E418" i="16"/>
  <c r="AA418" i="16" s="1"/>
  <c r="F418" i="16"/>
  <c r="G418" i="16"/>
  <c r="H418" i="16"/>
  <c r="I418" i="16"/>
  <c r="J418" i="16"/>
  <c r="D419" i="16"/>
  <c r="Z419" i="16" s="1"/>
  <c r="E419" i="16"/>
  <c r="AA419" i="16" s="1"/>
  <c r="F419" i="16"/>
  <c r="G419" i="16"/>
  <c r="H419" i="16"/>
  <c r="AD419" i="16" s="1"/>
  <c r="I419" i="16"/>
  <c r="J419" i="16"/>
  <c r="D420" i="16"/>
  <c r="E420" i="16"/>
  <c r="AA420" i="16" s="1"/>
  <c r="F420" i="16"/>
  <c r="AB420" i="16" s="1"/>
  <c r="G420" i="16"/>
  <c r="H420" i="16"/>
  <c r="I420" i="16"/>
  <c r="AE420" i="16" s="1"/>
  <c r="J420" i="16"/>
  <c r="D421" i="16"/>
  <c r="E421" i="16"/>
  <c r="F421" i="16"/>
  <c r="G421" i="16"/>
  <c r="AC421" i="16" s="1"/>
  <c r="H421" i="16"/>
  <c r="AD421" i="16" s="1"/>
  <c r="I421" i="16"/>
  <c r="J421" i="16"/>
  <c r="D422" i="16"/>
  <c r="E422" i="16"/>
  <c r="F422" i="16"/>
  <c r="G422" i="16"/>
  <c r="AC422" i="16" s="1"/>
  <c r="H422" i="16"/>
  <c r="AD422" i="16" s="1"/>
  <c r="I422" i="16"/>
  <c r="J422" i="16"/>
  <c r="D423" i="16"/>
  <c r="E423" i="16"/>
  <c r="F423" i="16"/>
  <c r="G423" i="16"/>
  <c r="H423" i="16"/>
  <c r="AD423" i="16" s="1"/>
  <c r="I423" i="16"/>
  <c r="AE423" i="16" s="1"/>
  <c r="J423" i="16"/>
  <c r="AF423" i="16" s="1"/>
  <c r="D424" i="16"/>
  <c r="Z424" i="16" s="1"/>
  <c r="E424" i="16"/>
  <c r="F424" i="16"/>
  <c r="G424" i="16"/>
  <c r="H424" i="16"/>
  <c r="I424" i="16"/>
  <c r="AE424" i="16" s="1"/>
  <c r="J424" i="16"/>
  <c r="AF424" i="16" s="1"/>
  <c r="D425" i="16"/>
  <c r="Z425" i="16" s="1"/>
  <c r="E425" i="16"/>
  <c r="F425" i="16"/>
  <c r="G425" i="16"/>
  <c r="H425" i="16"/>
  <c r="I425" i="16"/>
  <c r="J425" i="16"/>
  <c r="AF425" i="16" s="1"/>
  <c r="D426" i="16"/>
  <c r="E426" i="16"/>
  <c r="AA426" i="16" s="1"/>
  <c r="F426" i="16"/>
  <c r="AB426" i="16" s="1"/>
  <c r="G426" i="16"/>
  <c r="H426" i="16"/>
  <c r="I426" i="16"/>
  <c r="J426" i="16"/>
  <c r="D427" i="16"/>
  <c r="E427" i="16"/>
  <c r="F427" i="16"/>
  <c r="AB427" i="16" s="1"/>
  <c r="G427" i="16"/>
  <c r="H427" i="16"/>
  <c r="I427" i="16"/>
  <c r="J427" i="16"/>
  <c r="D428" i="16"/>
  <c r="E428" i="16"/>
  <c r="F428" i="16"/>
  <c r="G428" i="16"/>
  <c r="AC428" i="16" s="1"/>
  <c r="H428" i="16"/>
  <c r="I428" i="16"/>
  <c r="J428" i="16"/>
  <c r="D429" i="16"/>
  <c r="E429" i="16"/>
  <c r="F429" i="16"/>
  <c r="G429" i="16"/>
  <c r="H429" i="16"/>
  <c r="AD429" i="16" s="1"/>
  <c r="I429" i="16"/>
  <c r="J429" i="16"/>
  <c r="D431" i="16"/>
  <c r="E431" i="16"/>
  <c r="F431" i="16"/>
  <c r="G431" i="16"/>
  <c r="H431" i="16"/>
  <c r="I431" i="16"/>
  <c r="J431" i="16"/>
  <c r="D430" i="16"/>
  <c r="G430" i="16"/>
  <c r="H430" i="16"/>
  <c r="I430" i="16"/>
  <c r="J430" i="16"/>
  <c r="D432" i="16"/>
  <c r="E432" i="16"/>
  <c r="F432" i="16"/>
  <c r="G432" i="16"/>
  <c r="H432" i="16"/>
  <c r="I432" i="16"/>
  <c r="J432" i="16"/>
  <c r="C414" i="16"/>
  <c r="C415" i="16"/>
  <c r="C416" i="16"/>
  <c r="C417" i="16"/>
  <c r="C418" i="16"/>
  <c r="C419" i="16"/>
  <c r="C420" i="16"/>
  <c r="C421" i="16"/>
  <c r="C422" i="16"/>
  <c r="C423" i="16"/>
  <c r="C424" i="16"/>
  <c r="C425" i="16"/>
  <c r="C426" i="16"/>
  <c r="C427" i="16"/>
  <c r="C428" i="16"/>
  <c r="C429" i="16"/>
  <c r="C431" i="16"/>
  <c r="C430" i="16"/>
  <c r="C432" i="16"/>
  <c r="C413" i="16"/>
  <c r="Y411" i="16"/>
  <c r="N411" i="16"/>
  <c r="U407" i="16"/>
  <c r="T407" i="16"/>
  <c r="S407" i="16"/>
  <c r="R407" i="16"/>
  <c r="Q407" i="16"/>
  <c r="P407" i="16"/>
  <c r="O407" i="16"/>
  <c r="N407" i="16"/>
  <c r="J407" i="16"/>
  <c r="I407" i="16"/>
  <c r="H407" i="16"/>
  <c r="G407" i="16"/>
  <c r="F407" i="16"/>
  <c r="E407" i="16"/>
  <c r="D407" i="16"/>
  <c r="C407" i="16"/>
  <c r="AF406" i="16"/>
  <c r="AE406" i="16"/>
  <c r="AD406" i="16"/>
  <c r="AC406" i="16"/>
  <c r="AB406" i="16"/>
  <c r="AA406" i="16"/>
  <c r="Z406" i="16"/>
  <c r="Y406" i="16"/>
  <c r="V406" i="16"/>
  <c r="K406" i="16"/>
  <c r="AF405" i="16"/>
  <c r="AE405" i="16"/>
  <c r="AD405" i="16"/>
  <c r="AC405" i="16"/>
  <c r="AB405" i="16"/>
  <c r="AA405" i="16"/>
  <c r="Z405" i="16"/>
  <c r="Y405" i="16"/>
  <c r="V405" i="16"/>
  <c r="K405" i="16"/>
  <c r="AF404" i="16"/>
  <c r="AE404" i="16"/>
  <c r="AD404" i="16"/>
  <c r="AC404" i="16"/>
  <c r="AB404" i="16"/>
  <c r="AA404" i="16"/>
  <c r="Z404" i="16"/>
  <c r="Y404" i="16"/>
  <c r="V404" i="16"/>
  <c r="K404" i="16"/>
  <c r="AF403" i="16"/>
  <c r="AE403" i="16"/>
  <c r="AD403" i="16"/>
  <c r="AC403" i="16"/>
  <c r="AB403" i="16"/>
  <c r="AA403" i="16"/>
  <c r="Z403" i="16"/>
  <c r="Y403" i="16"/>
  <c r="V403" i="16"/>
  <c r="K403" i="16"/>
  <c r="AF402" i="16"/>
  <c r="AE402" i="16"/>
  <c r="AD402" i="16"/>
  <c r="AC402" i="16"/>
  <c r="AB402" i="16"/>
  <c r="AA402" i="16"/>
  <c r="Z402" i="16"/>
  <c r="Y402" i="16"/>
  <c r="V402" i="16"/>
  <c r="K402" i="16"/>
  <c r="AF401" i="16"/>
  <c r="AE401" i="16"/>
  <c r="AD401" i="16"/>
  <c r="AC401" i="16"/>
  <c r="AB401" i="16"/>
  <c r="AA401" i="16"/>
  <c r="Z401" i="16"/>
  <c r="Y401" i="16"/>
  <c r="V401" i="16"/>
  <c r="K401" i="16"/>
  <c r="AF400" i="16"/>
  <c r="AE400" i="16"/>
  <c r="AD400" i="16"/>
  <c r="AC400" i="16"/>
  <c r="AB400" i="16"/>
  <c r="AA400" i="16"/>
  <c r="Z400" i="16"/>
  <c r="Y400" i="16"/>
  <c r="V400" i="16"/>
  <c r="K400" i="16"/>
  <c r="AF399" i="16"/>
  <c r="AE399" i="16"/>
  <c r="AD399" i="16"/>
  <c r="AC399" i="16"/>
  <c r="AB399" i="16"/>
  <c r="AA399" i="16"/>
  <c r="Z399" i="16"/>
  <c r="Y399" i="16"/>
  <c r="V399" i="16"/>
  <c r="K399" i="16"/>
  <c r="AF398" i="16"/>
  <c r="AE398" i="16"/>
  <c r="AD398" i="16"/>
  <c r="AC398" i="16"/>
  <c r="AB398" i="16"/>
  <c r="AA398" i="16"/>
  <c r="Z398" i="16"/>
  <c r="Y398" i="16"/>
  <c r="V398" i="16"/>
  <c r="K398" i="16"/>
  <c r="AF397" i="16"/>
  <c r="AE397" i="16"/>
  <c r="AD397" i="16"/>
  <c r="AC397" i="16"/>
  <c r="AB397" i="16"/>
  <c r="AA397" i="16"/>
  <c r="Z397" i="16"/>
  <c r="Y397" i="16"/>
  <c r="V397" i="16"/>
  <c r="K397" i="16"/>
  <c r="AF396" i="16"/>
  <c r="AE396" i="16"/>
  <c r="AD396" i="16"/>
  <c r="AC396" i="16"/>
  <c r="AB396" i="16"/>
  <c r="AA396" i="16"/>
  <c r="Z396" i="16"/>
  <c r="Y396" i="16"/>
  <c r="V396" i="16"/>
  <c r="K396" i="16"/>
  <c r="AF395" i="16"/>
  <c r="AE395" i="16"/>
  <c r="AD395" i="16"/>
  <c r="AC395" i="16"/>
  <c r="AB395" i="16"/>
  <c r="AA395" i="16"/>
  <c r="Z395" i="16"/>
  <c r="Y395" i="16"/>
  <c r="V395" i="16"/>
  <c r="K395" i="16"/>
  <c r="AF394" i="16"/>
  <c r="AE394" i="16"/>
  <c r="AD394" i="16"/>
  <c r="AC394" i="16"/>
  <c r="AB394" i="16"/>
  <c r="AA394" i="16"/>
  <c r="Z394" i="16"/>
  <c r="Y394" i="16"/>
  <c r="V394" i="16"/>
  <c r="K394" i="16"/>
  <c r="AF393" i="16"/>
  <c r="AE393" i="16"/>
  <c r="AD393" i="16"/>
  <c r="AC393" i="16"/>
  <c r="AB393" i="16"/>
  <c r="AA393" i="16"/>
  <c r="Z393" i="16"/>
  <c r="Y393" i="16"/>
  <c r="V393" i="16"/>
  <c r="K393" i="16"/>
  <c r="AF392" i="16"/>
  <c r="AE392" i="16"/>
  <c r="AD392" i="16"/>
  <c r="AC392" i="16"/>
  <c r="AB392" i="16"/>
  <c r="AA392" i="16"/>
  <c r="Z392" i="16"/>
  <c r="Y392" i="16"/>
  <c r="V392" i="16"/>
  <c r="K392" i="16"/>
  <c r="AF391" i="16"/>
  <c r="AE391" i="16"/>
  <c r="AD391" i="16"/>
  <c r="AC391" i="16"/>
  <c r="AB391" i="16"/>
  <c r="AA391" i="16"/>
  <c r="Z391" i="16"/>
  <c r="Y391" i="16"/>
  <c r="V391" i="16"/>
  <c r="K391" i="16"/>
  <c r="AF390" i="16"/>
  <c r="AE390" i="16"/>
  <c r="AD390" i="16"/>
  <c r="AC390" i="16"/>
  <c r="AB390" i="16"/>
  <c r="AA390" i="16"/>
  <c r="Z390" i="16"/>
  <c r="Y390" i="16"/>
  <c r="V390" i="16"/>
  <c r="K390" i="16"/>
  <c r="AF389" i="16"/>
  <c r="AE389" i="16"/>
  <c r="AD389" i="16"/>
  <c r="AC389" i="16"/>
  <c r="AB389" i="16"/>
  <c r="AA389" i="16"/>
  <c r="Z389" i="16"/>
  <c r="Y389" i="16"/>
  <c r="V389" i="16"/>
  <c r="K389" i="16"/>
  <c r="AF388" i="16"/>
  <c r="AE388" i="16"/>
  <c r="AD388" i="16"/>
  <c r="AC388" i="16"/>
  <c r="AB388" i="16"/>
  <c r="AA388" i="16"/>
  <c r="Z388" i="16"/>
  <c r="Y388" i="16"/>
  <c r="V388" i="16"/>
  <c r="K388" i="16"/>
  <c r="AF387" i="16"/>
  <c r="AE387" i="16"/>
  <c r="AD387" i="16"/>
  <c r="AC387" i="16"/>
  <c r="AB387" i="16"/>
  <c r="AA387" i="16"/>
  <c r="Z387" i="16"/>
  <c r="Y387" i="16"/>
  <c r="V387" i="16"/>
  <c r="K387" i="16"/>
  <c r="Y385" i="16"/>
  <c r="N385" i="16"/>
  <c r="U381" i="16"/>
  <c r="T381" i="16"/>
  <c r="S381" i="16"/>
  <c r="R381" i="16"/>
  <c r="Q381" i="16"/>
  <c r="P381" i="16"/>
  <c r="O381" i="16"/>
  <c r="N381" i="16"/>
  <c r="J381" i="16"/>
  <c r="I381" i="16"/>
  <c r="H381" i="16"/>
  <c r="G381" i="16"/>
  <c r="F381" i="16"/>
  <c r="E381" i="16"/>
  <c r="D381" i="16"/>
  <c r="C381" i="16"/>
  <c r="AF380" i="16"/>
  <c r="AE380" i="16"/>
  <c r="AD380" i="16"/>
  <c r="AC380" i="16"/>
  <c r="AB380" i="16"/>
  <c r="AA380" i="16"/>
  <c r="Z380" i="16"/>
  <c r="Y380" i="16"/>
  <c r="V380" i="16"/>
  <c r="K380" i="16"/>
  <c r="AF379" i="16"/>
  <c r="AE379" i="16"/>
  <c r="AD379" i="16"/>
  <c r="AC379" i="16"/>
  <c r="AB379" i="16"/>
  <c r="AA379" i="16"/>
  <c r="Z379" i="16"/>
  <c r="Y379" i="16"/>
  <c r="V379" i="16"/>
  <c r="K379" i="16"/>
  <c r="AF378" i="16"/>
  <c r="AE378" i="16"/>
  <c r="AD378" i="16"/>
  <c r="AC378" i="16"/>
  <c r="AB378" i="16"/>
  <c r="AA378" i="16"/>
  <c r="Z378" i="16"/>
  <c r="Y378" i="16"/>
  <c r="V378" i="16"/>
  <c r="K378" i="16"/>
  <c r="AF377" i="16"/>
  <c r="AE377" i="16"/>
  <c r="AD377" i="16"/>
  <c r="AC377" i="16"/>
  <c r="AB377" i="16"/>
  <c r="AA377" i="16"/>
  <c r="Z377" i="16"/>
  <c r="Y377" i="16"/>
  <c r="V377" i="16"/>
  <c r="K377" i="16"/>
  <c r="AF376" i="16"/>
  <c r="AE376" i="16"/>
  <c r="AD376" i="16"/>
  <c r="AC376" i="16"/>
  <c r="AB376" i="16"/>
  <c r="AA376" i="16"/>
  <c r="Z376" i="16"/>
  <c r="Y376" i="16"/>
  <c r="V376" i="16"/>
  <c r="K376" i="16"/>
  <c r="AF375" i="16"/>
  <c r="AE375" i="16"/>
  <c r="AD375" i="16"/>
  <c r="AC375" i="16"/>
  <c r="AB375" i="16"/>
  <c r="AA375" i="16"/>
  <c r="Z375" i="16"/>
  <c r="Y375" i="16"/>
  <c r="V375" i="16"/>
  <c r="K375" i="16"/>
  <c r="AF374" i="16"/>
  <c r="AE374" i="16"/>
  <c r="AD374" i="16"/>
  <c r="AC374" i="16"/>
  <c r="AB374" i="16"/>
  <c r="AA374" i="16"/>
  <c r="Z374" i="16"/>
  <c r="Y374" i="16"/>
  <c r="V374" i="16"/>
  <c r="K374" i="16"/>
  <c r="AF373" i="16"/>
  <c r="AE373" i="16"/>
  <c r="AD373" i="16"/>
  <c r="AC373" i="16"/>
  <c r="AB373" i="16"/>
  <c r="AA373" i="16"/>
  <c r="Z373" i="16"/>
  <c r="Y373" i="16"/>
  <c r="V373" i="16"/>
  <c r="K373" i="16"/>
  <c r="AF372" i="16"/>
  <c r="AE372" i="16"/>
  <c r="AD372" i="16"/>
  <c r="AC372" i="16"/>
  <c r="AB372" i="16"/>
  <c r="AA372" i="16"/>
  <c r="Z372" i="16"/>
  <c r="Y372" i="16"/>
  <c r="V372" i="16"/>
  <c r="K372" i="16"/>
  <c r="AF371" i="16"/>
  <c r="AE371" i="16"/>
  <c r="AD371" i="16"/>
  <c r="AC371" i="16"/>
  <c r="AB371" i="16"/>
  <c r="AA371" i="16"/>
  <c r="Z371" i="16"/>
  <c r="Y371" i="16"/>
  <c r="V371" i="16"/>
  <c r="K371" i="16"/>
  <c r="AF370" i="16"/>
  <c r="AE370" i="16"/>
  <c r="AD370" i="16"/>
  <c r="AC370" i="16"/>
  <c r="AB370" i="16"/>
  <c r="AA370" i="16"/>
  <c r="Z370" i="16"/>
  <c r="Y370" i="16"/>
  <c r="V370" i="16"/>
  <c r="K370" i="16"/>
  <c r="AF369" i="16"/>
  <c r="AE369" i="16"/>
  <c r="AD369" i="16"/>
  <c r="AC369" i="16"/>
  <c r="AB369" i="16"/>
  <c r="AA369" i="16"/>
  <c r="Z369" i="16"/>
  <c r="Y369" i="16"/>
  <c r="V369" i="16"/>
  <c r="K369" i="16"/>
  <c r="AF368" i="16"/>
  <c r="AE368" i="16"/>
  <c r="AD368" i="16"/>
  <c r="AC368" i="16"/>
  <c r="AB368" i="16"/>
  <c r="AA368" i="16"/>
  <c r="Z368" i="16"/>
  <c r="Y368" i="16"/>
  <c r="V368" i="16"/>
  <c r="K368" i="16"/>
  <c r="AF367" i="16"/>
  <c r="AE367" i="16"/>
  <c r="AD367" i="16"/>
  <c r="AC367" i="16"/>
  <c r="AB367" i="16"/>
  <c r="AA367" i="16"/>
  <c r="Z367" i="16"/>
  <c r="Y367" i="16"/>
  <c r="V367" i="16"/>
  <c r="K367" i="16"/>
  <c r="AF366" i="16"/>
  <c r="AE366" i="16"/>
  <c r="AD366" i="16"/>
  <c r="AC366" i="16"/>
  <c r="AB366" i="16"/>
  <c r="AA366" i="16"/>
  <c r="Z366" i="16"/>
  <c r="Y366" i="16"/>
  <c r="V366" i="16"/>
  <c r="K366" i="16"/>
  <c r="AF365" i="16"/>
  <c r="AE365" i="16"/>
  <c r="AD365" i="16"/>
  <c r="AC365" i="16"/>
  <c r="AB365" i="16"/>
  <c r="AA365" i="16"/>
  <c r="Z365" i="16"/>
  <c r="Y365" i="16"/>
  <c r="V365" i="16"/>
  <c r="K365" i="16"/>
  <c r="AF364" i="16"/>
  <c r="AE364" i="16"/>
  <c r="AD364" i="16"/>
  <c r="AC364" i="16"/>
  <c r="AB364" i="16"/>
  <c r="AA364" i="16"/>
  <c r="Z364" i="16"/>
  <c r="Y364" i="16"/>
  <c r="V364" i="16"/>
  <c r="K364" i="16"/>
  <c r="AF363" i="16"/>
  <c r="AE363" i="16"/>
  <c r="AD363" i="16"/>
  <c r="AC363" i="16"/>
  <c r="AB363" i="16"/>
  <c r="AA363" i="16"/>
  <c r="Z363" i="16"/>
  <c r="Y363" i="16"/>
  <c r="V363" i="16"/>
  <c r="K363" i="16"/>
  <c r="AF362" i="16"/>
  <c r="AE362" i="16"/>
  <c r="AD362" i="16"/>
  <c r="AC362" i="16"/>
  <c r="AB362" i="16"/>
  <c r="AA362" i="16"/>
  <c r="Z362" i="16"/>
  <c r="Y362" i="16"/>
  <c r="V362" i="16"/>
  <c r="K362" i="16"/>
  <c r="AF361" i="16"/>
  <c r="AE361" i="16"/>
  <c r="AD361" i="16"/>
  <c r="AC361" i="16"/>
  <c r="AB361" i="16"/>
  <c r="AA361" i="16"/>
  <c r="Z361" i="16"/>
  <c r="Y361" i="16"/>
  <c r="V361" i="16"/>
  <c r="K361" i="16"/>
  <c r="Y359" i="16"/>
  <c r="N359" i="16"/>
  <c r="U355" i="16"/>
  <c r="T355" i="16"/>
  <c r="S355" i="16"/>
  <c r="R355" i="16"/>
  <c r="Q355" i="16"/>
  <c r="P355" i="16"/>
  <c r="O355" i="16"/>
  <c r="N355" i="16"/>
  <c r="J355" i="16"/>
  <c r="I355" i="16"/>
  <c r="H355" i="16"/>
  <c r="G355" i="16"/>
  <c r="F355" i="16"/>
  <c r="E355" i="16"/>
  <c r="D355" i="16"/>
  <c r="C355" i="16"/>
  <c r="AF354" i="16"/>
  <c r="AE354" i="16"/>
  <c r="AD354" i="16"/>
  <c r="AC354" i="16"/>
  <c r="AB354" i="16"/>
  <c r="AA354" i="16"/>
  <c r="Z354" i="16"/>
  <c r="Y354" i="16"/>
  <c r="V354" i="16"/>
  <c r="K354" i="16"/>
  <c r="AF353" i="16"/>
  <c r="AE353" i="16"/>
  <c r="AD353" i="16"/>
  <c r="AC353" i="16"/>
  <c r="AB353" i="16"/>
  <c r="AA353" i="16"/>
  <c r="Z353" i="16"/>
  <c r="Y353" i="16"/>
  <c r="V353" i="16"/>
  <c r="K353" i="16"/>
  <c r="AF352" i="16"/>
  <c r="AE352" i="16"/>
  <c r="AD352" i="16"/>
  <c r="AC352" i="16"/>
  <c r="AB352" i="16"/>
  <c r="AA352" i="16"/>
  <c r="Z352" i="16"/>
  <c r="Y352" i="16"/>
  <c r="V352" i="16"/>
  <c r="K352" i="16"/>
  <c r="AF351" i="16"/>
  <c r="AE351" i="16"/>
  <c r="AD351" i="16"/>
  <c r="AC351" i="16"/>
  <c r="AB351" i="16"/>
  <c r="AA351" i="16"/>
  <c r="Z351" i="16"/>
  <c r="Y351" i="16"/>
  <c r="V351" i="16"/>
  <c r="K351" i="16"/>
  <c r="AF350" i="16"/>
  <c r="AE350" i="16"/>
  <c r="AD350" i="16"/>
  <c r="AC350" i="16"/>
  <c r="AB350" i="16"/>
  <c r="AA350" i="16"/>
  <c r="Z350" i="16"/>
  <c r="Y350" i="16"/>
  <c r="V350" i="16"/>
  <c r="K350" i="16"/>
  <c r="AF349" i="16"/>
  <c r="AE349" i="16"/>
  <c r="AD349" i="16"/>
  <c r="AC349" i="16"/>
  <c r="AB349" i="16"/>
  <c r="AA349" i="16"/>
  <c r="Z349" i="16"/>
  <c r="Y349" i="16"/>
  <c r="V349" i="16"/>
  <c r="K349" i="16"/>
  <c r="AF348" i="16"/>
  <c r="AE348" i="16"/>
  <c r="AD348" i="16"/>
  <c r="AC348" i="16"/>
  <c r="AB348" i="16"/>
  <c r="AA348" i="16"/>
  <c r="Z348" i="16"/>
  <c r="Y348" i="16"/>
  <c r="V348" i="16"/>
  <c r="K348" i="16"/>
  <c r="AF347" i="16"/>
  <c r="AE347" i="16"/>
  <c r="AD347" i="16"/>
  <c r="AC347" i="16"/>
  <c r="AB347" i="16"/>
  <c r="AA347" i="16"/>
  <c r="Z347" i="16"/>
  <c r="Y347" i="16"/>
  <c r="V347" i="16"/>
  <c r="K347" i="16"/>
  <c r="AF346" i="16"/>
  <c r="AE346" i="16"/>
  <c r="AD346" i="16"/>
  <c r="AC346" i="16"/>
  <c r="AB346" i="16"/>
  <c r="AA346" i="16"/>
  <c r="Z346" i="16"/>
  <c r="Y346" i="16"/>
  <c r="V346" i="16"/>
  <c r="K346" i="16"/>
  <c r="AF345" i="16"/>
  <c r="AE345" i="16"/>
  <c r="AD345" i="16"/>
  <c r="AC345" i="16"/>
  <c r="AB345" i="16"/>
  <c r="AA345" i="16"/>
  <c r="Z345" i="16"/>
  <c r="Y345" i="16"/>
  <c r="V345" i="16"/>
  <c r="K345" i="16"/>
  <c r="AF344" i="16"/>
  <c r="AE344" i="16"/>
  <c r="AD344" i="16"/>
  <c r="AC344" i="16"/>
  <c r="AB344" i="16"/>
  <c r="AA344" i="16"/>
  <c r="Z344" i="16"/>
  <c r="Y344" i="16"/>
  <c r="V344" i="16"/>
  <c r="K344" i="16"/>
  <c r="AF343" i="16"/>
  <c r="AE343" i="16"/>
  <c r="AD343" i="16"/>
  <c r="AC343" i="16"/>
  <c r="AB343" i="16"/>
  <c r="AA343" i="16"/>
  <c r="Z343" i="16"/>
  <c r="Y343" i="16"/>
  <c r="V343" i="16"/>
  <c r="K343" i="16"/>
  <c r="AF342" i="16"/>
  <c r="AE342" i="16"/>
  <c r="AD342" i="16"/>
  <c r="AC342" i="16"/>
  <c r="AB342" i="16"/>
  <c r="AA342" i="16"/>
  <c r="Z342" i="16"/>
  <c r="Y342" i="16"/>
  <c r="V342" i="16"/>
  <c r="K342" i="16"/>
  <c r="AF341" i="16"/>
  <c r="AE341" i="16"/>
  <c r="AD341" i="16"/>
  <c r="AC341" i="16"/>
  <c r="AB341" i="16"/>
  <c r="AA341" i="16"/>
  <c r="Z341" i="16"/>
  <c r="Y341" i="16"/>
  <c r="V341" i="16"/>
  <c r="K341" i="16"/>
  <c r="AF340" i="16"/>
  <c r="AE340" i="16"/>
  <c r="AD340" i="16"/>
  <c r="AC340" i="16"/>
  <c r="AB340" i="16"/>
  <c r="AA340" i="16"/>
  <c r="Z340" i="16"/>
  <c r="Y340" i="16"/>
  <c r="V340" i="16"/>
  <c r="K340" i="16"/>
  <c r="AF339" i="16"/>
  <c r="AE339" i="16"/>
  <c r="AD339" i="16"/>
  <c r="AC339" i="16"/>
  <c r="AB339" i="16"/>
  <c r="AA339" i="16"/>
  <c r="Z339" i="16"/>
  <c r="Y339" i="16"/>
  <c r="V339" i="16"/>
  <c r="K339" i="16"/>
  <c r="AF338" i="16"/>
  <c r="AE338" i="16"/>
  <c r="AD338" i="16"/>
  <c r="AC338" i="16"/>
  <c r="AB338" i="16"/>
  <c r="AA338" i="16"/>
  <c r="Z338" i="16"/>
  <c r="Y338" i="16"/>
  <c r="V338" i="16"/>
  <c r="K338" i="16"/>
  <c r="AF337" i="16"/>
  <c r="AE337" i="16"/>
  <c r="AD337" i="16"/>
  <c r="AC337" i="16"/>
  <c r="AB337" i="16"/>
  <c r="AA337" i="16"/>
  <c r="Z337" i="16"/>
  <c r="Y337" i="16"/>
  <c r="V337" i="16"/>
  <c r="K337" i="16"/>
  <c r="AF336" i="16"/>
  <c r="AE336" i="16"/>
  <c r="AD336" i="16"/>
  <c r="AC336" i="16"/>
  <c r="AB336" i="16"/>
  <c r="AA336" i="16"/>
  <c r="Z336" i="16"/>
  <c r="Y336" i="16"/>
  <c r="V336" i="16"/>
  <c r="K336" i="16"/>
  <c r="AF335" i="16"/>
  <c r="AE335" i="16"/>
  <c r="AD335" i="16"/>
  <c r="AC335" i="16"/>
  <c r="AB335" i="16"/>
  <c r="AA335" i="16"/>
  <c r="Z335" i="16"/>
  <c r="Y335" i="16"/>
  <c r="V335" i="16"/>
  <c r="K335" i="16"/>
  <c r="Y333" i="16"/>
  <c r="N333" i="16"/>
  <c r="U329" i="16"/>
  <c r="T329" i="16"/>
  <c r="S329" i="16"/>
  <c r="R329" i="16"/>
  <c r="Q329" i="16"/>
  <c r="P329" i="16"/>
  <c r="O329" i="16"/>
  <c r="N329" i="16"/>
  <c r="J329" i="16"/>
  <c r="I329" i="16"/>
  <c r="H329" i="16"/>
  <c r="G329" i="16"/>
  <c r="F329" i="16"/>
  <c r="E329" i="16"/>
  <c r="D329" i="16"/>
  <c r="C329" i="16"/>
  <c r="AF328" i="16"/>
  <c r="AE328" i="16"/>
  <c r="AD328" i="16"/>
  <c r="AC328" i="16"/>
  <c r="AB328" i="16"/>
  <c r="AA328" i="16"/>
  <c r="Z328" i="16"/>
  <c r="Y328" i="16"/>
  <c r="V328" i="16"/>
  <c r="K328" i="16"/>
  <c r="AF327" i="16"/>
  <c r="AE327" i="16"/>
  <c r="AD327" i="16"/>
  <c r="AC327" i="16"/>
  <c r="AB327" i="16"/>
  <c r="AA327" i="16"/>
  <c r="Z327" i="16"/>
  <c r="Y327" i="16"/>
  <c r="V327" i="16"/>
  <c r="K327" i="16"/>
  <c r="AF326" i="16"/>
  <c r="AE326" i="16"/>
  <c r="AD326" i="16"/>
  <c r="AC326" i="16"/>
  <c r="AB326" i="16"/>
  <c r="AA326" i="16"/>
  <c r="Z326" i="16"/>
  <c r="Y326" i="16"/>
  <c r="V326" i="16"/>
  <c r="K326" i="16"/>
  <c r="AF325" i="16"/>
  <c r="AE325" i="16"/>
  <c r="AD325" i="16"/>
  <c r="AC325" i="16"/>
  <c r="AB325" i="16"/>
  <c r="AA325" i="16"/>
  <c r="Z325" i="16"/>
  <c r="Y325" i="16"/>
  <c r="V325" i="16"/>
  <c r="K325" i="16"/>
  <c r="AF324" i="16"/>
  <c r="AE324" i="16"/>
  <c r="AD324" i="16"/>
  <c r="AC324" i="16"/>
  <c r="AB324" i="16"/>
  <c r="AA324" i="16"/>
  <c r="Z324" i="16"/>
  <c r="Y324" i="16"/>
  <c r="V324" i="16"/>
  <c r="K324" i="16"/>
  <c r="AF323" i="16"/>
  <c r="AE323" i="16"/>
  <c r="AD323" i="16"/>
  <c r="AC323" i="16"/>
  <c r="AB323" i="16"/>
  <c r="AA323" i="16"/>
  <c r="Z323" i="16"/>
  <c r="Y323" i="16"/>
  <c r="V323" i="16"/>
  <c r="K323" i="16"/>
  <c r="AF322" i="16"/>
  <c r="AE322" i="16"/>
  <c r="AD322" i="16"/>
  <c r="AC322" i="16"/>
  <c r="AB322" i="16"/>
  <c r="AA322" i="16"/>
  <c r="Z322" i="16"/>
  <c r="Y322" i="16"/>
  <c r="V322" i="16"/>
  <c r="K322" i="16"/>
  <c r="AF321" i="16"/>
  <c r="AE321" i="16"/>
  <c r="AD321" i="16"/>
  <c r="AC321" i="16"/>
  <c r="AB321" i="16"/>
  <c r="AA321" i="16"/>
  <c r="Z321" i="16"/>
  <c r="Y321" i="16"/>
  <c r="V321" i="16"/>
  <c r="K321" i="16"/>
  <c r="AF320" i="16"/>
  <c r="AE320" i="16"/>
  <c r="AD320" i="16"/>
  <c r="AC320" i="16"/>
  <c r="AB320" i="16"/>
  <c r="AA320" i="16"/>
  <c r="Z320" i="16"/>
  <c r="Y320" i="16"/>
  <c r="V320" i="16"/>
  <c r="K320" i="16"/>
  <c r="AF319" i="16"/>
  <c r="AE319" i="16"/>
  <c r="AD319" i="16"/>
  <c r="AC319" i="16"/>
  <c r="AB319" i="16"/>
  <c r="AA319" i="16"/>
  <c r="Z319" i="16"/>
  <c r="Y319" i="16"/>
  <c r="V319" i="16"/>
  <c r="K319" i="16"/>
  <c r="AF318" i="16"/>
  <c r="AE318" i="16"/>
  <c r="AD318" i="16"/>
  <c r="AC318" i="16"/>
  <c r="AB318" i="16"/>
  <c r="AA318" i="16"/>
  <c r="Z318" i="16"/>
  <c r="Y318" i="16"/>
  <c r="V318" i="16"/>
  <c r="K318" i="16"/>
  <c r="AF317" i="16"/>
  <c r="AE317" i="16"/>
  <c r="AD317" i="16"/>
  <c r="AC317" i="16"/>
  <c r="AB317" i="16"/>
  <c r="AA317" i="16"/>
  <c r="Z317" i="16"/>
  <c r="Y317" i="16"/>
  <c r="V317" i="16"/>
  <c r="K317" i="16"/>
  <c r="AF316" i="16"/>
  <c r="AE316" i="16"/>
  <c r="AD316" i="16"/>
  <c r="AC316" i="16"/>
  <c r="AB316" i="16"/>
  <c r="AA316" i="16"/>
  <c r="Z316" i="16"/>
  <c r="Y316" i="16"/>
  <c r="V316" i="16"/>
  <c r="K316" i="16"/>
  <c r="AF315" i="16"/>
  <c r="AE315" i="16"/>
  <c r="AD315" i="16"/>
  <c r="AC315" i="16"/>
  <c r="AB315" i="16"/>
  <c r="AA315" i="16"/>
  <c r="Z315" i="16"/>
  <c r="Y315" i="16"/>
  <c r="V315" i="16"/>
  <c r="K315" i="16"/>
  <c r="AF314" i="16"/>
  <c r="AE314" i="16"/>
  <c r="AD314" i="16"/>
  <c r="AC314" i="16"/>
  <c r="AB314" i="16"/>
  <c r="AA314" i="16"/>
  <c r="Z314" i="16"/>
  <c r="Y314" i="16"/>
  <c r="V314" i="16"/>
  <c r="K314" i="16"/>
  <c r="AF313" i="16"/>
  <c r="AE313" i="16"/>
  <c r="AD313" i="16"/>
  <c r="AC313" i="16"/>
  <c r="AB313" i="16"/>
  <c r="AA313" i="16"/>
  <c r="Z313" i="16"/>
  <c r="Y313" i="16"/>
  <c r="V313" i="16"/>
  <c r="K313" i="16"/>
  <c r="AF312" i="16"/>
  <c r="AE312" i="16"/>
  <c r="AD312" i="16"/>
  <c r="AC312" i="16"/>
  <c r="AB312" i="16"/>
  <c r="AA312" i="16"/>
  <c r="Z312" i="16"/>
  <c r="Y312" i="16"/>
  <c r="V312" i="16"/>
  <c r="K312" i="16"/>
  <c r="AF311" i="16"/>
  <c r="AE311" i="16"/>
  <c r="AD311" i="16"/>
  <c r="AC311" i="16"/>
  <c r="AB311" i="16"/>
  <c r="AA311" i="16"/>
  <c r="Z311" i="16"/>
  <c r="Y311" i="16"/>
  <c r="V311" i="16"/>
  <c r="K311" i="16"/>
  <c r="AF310" i="16"/>
  <c r="AE310" i="16"/>
  <c r="AD310" i="16"/>
  <c r="AC310" i="16"/>
  <c r="AB310" i="16"/>
  <c r="AA310" i="16"/>
  <c r="Z310" i="16"/>
  <c r="Y310" i="16"/>
  <c r="V310" i="16"/>
  <c r="K310" i="16"/>
  <c r="AF309" i="16"/>
  <c r="AE309" i="16"/>
  <c r="AD309" i="16"/>
  <c r="AC309" i="16"/>
  <c r="AB309" i="16"/>
  <c r="AA309" i="16"/>
  <c r="Z309" i="16"/>
  <c r="Y309" i="16"/>
  <c r="V309" i="16"/>
  <c r="K309" i="16"/>
  <c r="Y307" i="16"/>
  <c r="N307" i="16"/>
  <c r="U303" i="16"/>
  <c r="T303" i="16"/>
  <c r="S303" i="16"/>
  <c r="R303" i="16"/>
  <c r="Q303" i="16"/>
  <c r="P303" i="16"/>
  <c r="O303" i="16"/>
  <c r="N303" i="16"/>
  <c r="J303" i="16"/>
  <c r="I303" i="16"/>
  <c r="H303" i="16"/>
  <c r="G303" i="16"/>
  <c r="F303" i="16"/>
  <c r="E303" i="16"/>
  <c r="D303" i="16"/>
  <c r="C303" i="16"/>
  <c r="AF302" i="16"/>
  <c r="AE302" i="16"/>
  <c r="AD302" i="16"/>
  <c r="AC302" i="16"/>
  <c r="AB302" i="16"/>
  <c r="AA302" i="16"/>
  <c r="Z302" i="16"/>
  <c r="Y302" i="16"/>
  <c r="V302" i="16"/>
  <c r="K302" i="16"/>
  <c r="AF301" i="16"/>
  <c r="AE301" i="16"/>
  <c r="AD301" i="16"/>
  <c r="AC301" i="16"/>
  <c r="AB301" i="16"/>
  <c r="AA301" i="16"/>
  <c r="Z301" i="16"/>
  <c r="Y301" i="16"/>
  <c r="V301" i="16"/>
  <c r="K301" i="16"/>
  <c r="AF300" i="16"/>
  <c r="AE300" i="16"/>
  <c r="AD300" i="16"/>
  <c r="AC300" i="16"/>
  <c r="AB300" i="16"/>
  <c r="AA300" i="16"/>
  <c r="Z300" i="16"/>
  <c r="Y300" i="16"/>
  <c r="V300" i="16"/>
  <c r="K300" i="16"/>
  <c r="AF299" i="16"/>
  <c r="AE299" i="16"/>
  <c r="AD299" i="16"/>
  <c r="AC299" i="16"/>
  <c r="AB299" i="16"/>
  <c r="AA299" i="16"/>
  <c r="Z299" i="16"/>
  <c r="Y299" i="16"/>
  <c r="V299" i="16"/>
  <c r="K299" i="16"/>
  <c r="AF298" i="16"/>
  <c r="AE298" i="16"/>
  <c r="AD298" i="16"/>
  <c r="AC298" i="16"/>
  <c r="AB298" i="16"/>
  <c r="AA298" i="16"/>
  <c r="Z298" i="16"/>
  <c r="Y298" i="16"/>
  <c r="V298" i="16"/>
  <c r="K298" i="16"/>
  <c r="AF297" i="16"/>
  <c r="AE297" i="16"/>
  <c r="AD297" i="16"/>
  <c r="AC297" i="16"/>
  <c r="AB297" i="16"/>
  <c r="AA297" i="16"/>
  <c r="Z297" i="16"/>
  <c r="Y297" i="16"/>
  <c r="V297" i="16"/>
  <c r="K297" i="16"/>
  <c r="AF296" i="16"/>
  <c r="AE296" i="16"/>
  <c r="AD296" i="16"/>
  <c r="AC296" i="16"/>
  <c r="AB296" i="16"/>
  <c r="AA296" i="16"/>
  <c r="Z296" i="16"/>
  <c r="Y296" i="16"/>
  <c r="V296" i="16"/>
  <c r="K296" i="16"/>
  <c r="AF295" i="16"/>
  <c r="AE295" i="16"/>
  <c r="AD295" i="16"/>
  <c r="AC295" i="16"/>
  <c r="AB295" i="16"/>
  <c r="AA295" i="16"/>
  <c r="Z295" i="16"/>
  <c r="Y295" i="16"/>
  <c r="V295" i="16"/>
  <c r="K295" i="16"/>
  <c r="AF294" i="16"/>
  <c r="AE294" i="16"/>
  <c r="AD294" i="16"/>
  <c r="AC294" i="16"/>
  <c r="AB294" i="16"/>
  <c r="AA294" i="16"/>
  <c r="Z294" i="16"/>
  <c r="Y294" i="16"/>
  <c r="V294" i="16"/>
  <c r="K294" i="16"/>
  <c r="AF293" i="16"/>
  <c r="AE293" i="16"/>
  <c r="AD293" i="16"/>
  <c r="AC293" i="16"/>
  <c r="AB293" i="16"/>
  <c r="AA293" i="16"/>
  <c r="Z293" i="16"/>
  <c r="Y293" i="16"/>
  <c r="V293" i="16"/>
  <c r="K293" i="16"/>
  <c r="AF292" i="16"/>
  <c r="AE292" i="16"/>
  <c r="AD292" i="16"/>
  <c r="AC292" i="16"/>
  <c r="AB292" i="16"/>
  <c r="AA292" i="16"/>
  <c r="Z292" i="16"/>
  <c r="Y292" i="16"/>
  <c r="V292" i="16"/>
  <c r="K292" i="16"/>
  <c r="AF291" i="16"/>
  <c r="AE291" i="16"/>
  <c r="AD291" i="16"/>
  <c r="AC291" i="16"/>
  <c r="AB291" i="16"/>
  <c r="AA291" i="16"/>
  <c r="Z291" i="16"/>
  <c r="Y291" i="16"/>
  <c r="V291" i="16"/>
  <c r="K291" i="16"/>
  <c r="AF290" i="16"/>
  <c r="AE290" i="16"/>
  <c r="AD290" i="16"/>
  <c r="AC290" i="16"/>
  <c r="AB290" i="16"/>
  <c r="AA290" i="16"/>
  <c r="Z290" i="16"/>
  <c r="Y290" i="16"/>
  <c r="V290" i="16"/>
  <c r="K290" i="16"/>
  <c r="AF289" i="16"/>
  <c r="AE289" i="16"/>
  <c r="AD289" i="16"/>
  <c r="AC289" i="16"/>
  <c r="AB289" i="16"/>
  <c r="AA289" i="16"/>
  <c r="Z289" i="16"/>
  <c r="Y289" i="16"/>
  <c r="V289" i="16"/>
  <c r="K289" i="16"/>
  <c r="AF288" i="16"/>
  <c r="AE288" i="16"/>
  <c r="AD288" i="16"/>
  <c r="AC288" i="16"/>
  <c r="AB288" i="16"/>
  <c r="AA288" i="16"/>
  <c r="Z288" i="16"/>
  <c r="Y288" i="16"/>
  <c r="V288" i="16"/>
  <c r="K288" i="16"/>
  <c r="AF287" i="16"/>
  <c r="AE287" i="16"/>
  <c r="AD287" i="16"/>
  <c r="AC287" i="16"/>
  <c r="AB287" i="16"/>
  <c r="AA287" i="16"/>
  <c r="Z287" i="16"/>
  <c r="Y287" i="16"/>
  <c r="V287" i="16"/>
  <c r="K287" i="16"/>
  <c r="AF286" i="16"/>
  <c r="AE286" i="16"/>
  <c r="AD286" i="16"/>
  <c r="AC286" i="16"/>
  <c r="AB286" i="16"/>
  <c r="AA286" i="16"/>
  <c r="Z286" i="16"/>
  <c r="Y286" i="16"/>
  <c r="V286" i="16"/>
  <c r="K286" i="16"/>
  <c r="AF285" i="16"/>
  <c r="AE285" i="16"/>
  <c r="AD285" i="16"/>
  <c r="AC285" i="16"/>
  <c r="AB285" i="16"/>
  <c r="AA285" i="16"/>
  <c r="Z285" i="16"/>
  <c r="Y285" i="16"/>
  <c r="V285" i="16"/>
  <c r="K285" i="16"/>
  <c r="AF284" i="16"/>
  <c r="AE284" i="16"/>
  <c r="AD284" i="16"/>
  <c r="AC284" i="16"/>
  <c r="AB284" i="16"/>
  <c r="AA284" i="16"/>
  <c r="Z284" i="16"/>
  <c r="Y284" i="16"/>
  <c r="V284" i="16"/>
  <c r="K284" i="16"/>
  <c r="AF283" i="16"/>
  <c r="AE283" i="16"/>
  <c r="AD283" i="16"/>
  <c r="AC283" i="16"/>
  <c r="AB283" i="16"/>
  <c r="AA283" i="16"/>
  <c r="Z283" i="16"/>
  <c r="Y283" i="16"/>
  <c r="V283" i="16"/>
  <c r="K283" i="16"/>
  <c r="Y281" i="16"/>
  <c r="N281" i="16"/>
  <c r="U277" i="16"/>
  <c r="T277" i="16"/>
  <c r="S277" i="16"/>
  <c r="R277" i="16"/>
  <c r="Q277" i="16"/>
  <c r="P277" i="16"/>
  <c r="O277" i="16"/>
  <c r="N277" i="16"/>
  <c r="J277" i="16"/>
  <c r="I277" i="16"/>
  <c r="H277" i="16"/>
  <c r="G277" i="16"/>
  <c r="F277" i="16"/>
  <c r="E277" i="16"/>
  <c r="D277" i="16"/>
  <c r="C277" i="16"/>
  <c r="AF276" i="16"/>
  <c r="AE276" i="16"/>
  <c r="AD276" i="16"/>
  <c r="AC276" i="16"/>
  <c r="AB276" i="16"/>
  <c r="AA276" i="16"/>
  <c r="Z276" i="16"/>
  <c r="Y276" i="16"/>
  <c r="V276" i="16"/>
  <c r="K276" i="16"/>
  <c r="AF275" i="16"/>
  <c r="AE275" i="16"/>
  <c r="AD275" i="16"/>
  <c r="AC275" i="16"/>
  <c r="AB275" i="16"/>
  <c r="AA275" i="16"/>
  <c r="Z275" i="16"/>
  <c r="Y275" i="16"/>
  <c r="V275" i="16"/>
  <c r="K275" i="16"/>
  <c r="AF274" i="16"/>
  <c r="AE274" i="16"/>
  <c r="AD274" i="16"/>
  <c r="AC274" i="16"/>
  <c r="AB274" i="16"/>
  <c r="AA274" i="16"/>
  <c r="Z274" i="16"/>
  <c r="Y274" i="16"/>
  <c r="V274" i="16"/>
  <c r="K274" i="16"/>
  <c r="AF273" i="16"/>
  <c r="AE273" i="16"/>
  <c r="AD273" i="16"/>
  <c r="AC273" i="16"/>
  <c r="AB273" i="16"/>
  <c r="AA273" i="16"/>
  <c r="Z273" i="16"/>
  <c r="Y273" i="16"/>
  <c r="V273" i="16"/>
  <c r="K273" i="16"/>
  <c r="AF272" i="16"/>
  <c r="AE272" i="16"/>
  <c r="AD272" i="16"/>
  <c r="AC272" i="16"/>
  <c r="AB272" i="16"/>
  <c r="AA272" i="16"/>
  <c r="Z272" i="16"/>
  <c r="Y272" i="16"/>
  <c r="V272" i="16"/>
  <c r="K272" i="16"/>
  <c r="AF271" i="16"/>
  <c r="AE271" i="16"/>
  <c r="AD271" i="16"/>
  <c r="AC271" i="16"/>
  <c r="AB271" i="16"/>
  <c r="AA271" i="16"/>
  <c r="Z271" i="16"/>
  <c r="Y271" i="16"/>
  <c r="V271" i="16"/>
  <c r="K271" i="16"/>
  <c r="AF270" i="16"/>
  <c r="AE270" i="16"/>
  <c r="AD270" i="16"/>
  <c r="AC270" i="16"/>
  <c r="AB270" i="16"/>
  <c r="AA270" i="16"/>
  <c r="Z270" i="16"/>
  <c r="Y270" i="16"/>
  <c r="V270" i="16"/>
  <c r="K270" i="16"/>
  <c r="AF269" i="16"/>
  <c r="AE269" i="16"/>
  <c r="AD269" i="16"/>
  <c r="AC269" i="16"/>
  <c r="AB269" i="16"/>
  <c r="AA269" i="16"/>
  <c r="Z269" i="16"/>
  <c r="Y269" i="16"/>
  <c r="V269" i="16"/>
  <c r="K269" i="16"/>
  <c r="AF268" i="16"/>
  <c r="AE268" i="16"/>
  <c r="AD268" i="16"/>
  <c r="AC268" i="16"/>
  <c r="AB268" i="16"/>
  <c r="AA268" i="16"/>
  <c r="Z268" i="16"/>
  <c r="Y268" i="16"/>
  <c r="V268" i="16"/>
  <c r="K268" i="16"/>
  <c r="AF267" i="16"/>
  <c r="AE267" i="16"/>
  <c r="AD267" i="16"/>
  <c r="AC267" i="16"/>
  <c r="AB267" i="16"/>
  <c r="AA267" i="16"/>
  <c r="Z267" i="16"/>
  <c r="Y267" i="16"/>
  <c r="V267" i="16"/>
  <c r="K267" i="16"/>
  <c r="AF266" i="16"/>
  <c r="AE266" i="16"/>
  <c r="AD266" i="16"/>
  <c r="AC266" i="16"/>
  <c r="AB266" i="16"/>
  <c r="AA266" i="16"/>
  <c r="Z266" i="16"/>
  <c r="Y266" i="16"/>
  <c r="V266" i="16"/>
  <c r="K266" i="16"/>
  <c r="AF265" i="16"/>
  <c r="AE265" i="16"/>
  <c r="AD265" i="16"/>
  <c r="AC265" i="16"/>
  <c r="AB265" i="16"/>
  <c r="AA265" i="16"/>
  <c r="Z265" i="16"/>
  <c r="Y265" i="16"/>
  <c r="V265" i="16"/>
  <c r="K265" i="16"/>
  <c r="AF264" i="16"/>
  <c r="AE264" i="16"/>
  <c r="AD264" i="16"/>
  <c r="AC264" i="16"/>
  <c r="AB264" i="16"/>
  <c r="AA264" i="16"/>
  <c r="Z264" i="16"/>
  <c r="Y264" i="16"/>
  <c r="V264" i="16"/>
  <c r="K264" i="16"/>
  <c r="AF263" i="16"/>
  <c r="AE263" i="16"/>
  <c r="AD263" i="16"/>
  <c r="AC263" i="16"/>
  <c r="AB263" i="16"/>
  <c r="AA263" i="16"/>
  <c r="Z263" i="16"/>
  <c r="Y263" i="16"/>
  <c r="V263" i="16"/>
  <c r="K263" i="16"/>
  <c r="AF262" i="16"/>
  <c r="AE262" i="16"/>
  <c r="AD262" i="16"/>
  <c r="AC262" i="16"/>
  <c r="AB262" i="16"/>
  <c r="AA262" i="16"/>
  <c r="Z262" i="16"/>
  <c r="Y262" i="16"/>
  <c r="V262" i="16"/>
  <c r="K262" i="16"/>
  <c r="AF261" i="16"/>
  <c r="AE261" i="16"/>
  <c r="AD261" i="16"/>
  <c r="AC261" i="16"/>
  <c r="AB261" i="16"/>
  <c r="AA261" i="16"/>
  <c r="Z261" i="16"/>
  <c r="Y261" i="16"/>
  <c r="V261" i="16"/>
  <c r="K261" i="16"/>
  <c r="AF260" i="16"/>
  <c r="AE260" i="16"/>
  <c r="AD260" i="16"/>
  <c r="AC260" i="16"/>
  <c r="AB260" i="16"/>
  <c r="AA260" i="16"/>
  <c r="Z260" i="16"/>
  <c r="Y260" i="16"/>
  <c r="V260" i="16"/>
  <c r="K260" i="16"/>
  <c r="AF259" i="16"/>
  <c r="AE259" i="16"/>
  <c r="AD259" i="16"/>
  <c r="AC259" i="16"/>
  <c r="AB259" i="16"/>
  <c r="AA259" i="16"/>
  <c r="Z259" i="16"/>
  <c r="Y259" i="16"/>
  <c r="V259" i="16"/>
  <c r="K259" i="16"/>
  <c r="AF258" i="16"/>
  <c r="AE258" i="16"/>
  <c r="AD258" i="16"/>
  <c r="AC258" i="16"/>
  <c r="AB258" i="16"/>
  <c r="AA258" i="16"/>
  <c r="Z258" i="16"/>
  <c r="Y258" i="16"/>
  <c r="V258" i="16"/>
  <c r="K258" i="16"/>
  <c r="AF257" i="16"/>
  <c r="AE257" i="16"/>
  <c r="AD257" i="16"/>
  <c r="AC257" i="16"/>
  <c r="AB257" i="16"/>
  <c r="AA257" i="16"/>
  <c r="Z257" i="16"/>
  <c r="Y257" i="16"/>
  <c r="V257" i="16"/>
  <c r="K257" i="16"/>
  <c r="Y255" i="16"/>
  <c r="N255" i="16"/>
  <c r="U251" i="16"/>
  <c r="T251" i="16"/>
  <c r="S251" i="16"/>
  <c r="R251" i="16"/>
  <c r="Q251" i="16"/>
  <c r="P251" i="16"/>
  <c r="O251" i="16"/>
  <c r="N251" i="16"/>
  <c r="J251" i="16"/>
  <c r="I251" i="16"/>
  <c r="H251" i="16"/>
  <c r="G251" i="16"/>
  <c r="F251" i="16"/>
  <c r="E251" i="16"/>
  <c r="D251" i="16"/>
  <c r="C251" i="16"/>
  <c r="AF250" i="16"/>
  <c r="AE250" i="16"/>
  <c r="AD250" i="16"/>
  <c r="AC250" i="16"/>
  <c r="AB250" i="16"/>
  <c r="AA250" i="16"/>
  <c r="Z250" i="16"/>
  <c r="Y250" i="16"/>
  <c r="V250" i="16"/>
  <c r="K250" i="16"/>
  <c r="AF249" i="16"/>
  <c r="AE249" i="16"/>
  <c r="AD249" i="16"/>
  <c r="AC249" i="16"/>
  <c r="AB249" i="16"/>
  <c r="AA249" i="16"/>
  <c r="Z249" i="16"/>
  <c r="Y249" i="16"/>
  <c r="V249" i="16"/>
  <c r="K249" i="16"/>
  <c r="AF248" i="16"/>
  <c r="AE248" i="16"/>
  <c r="AD248" i="16"/>
  <c r="AC248" i="16"/>
  <c r="AB248" i="16"/>
  <c r="AA248" i="16"/>
  <c r="Z248" i="16"/>
  <c r="Y248" i="16"/>
  <c r="V248" i="16"/>
  <c r="K248" i="16"/>
  <c r="AF247" i="16"/>
  <c r="AE247" i="16"/>
  <c r="AD247" i="16"/>
  <c r="AC247" i="16"/>
  <c r="AB247" i="16"/>
  <c r="AA247" i="16"/>
  <c r="Z247" i="16"/>
  <c r="Y247" i="16"/>
  <c r="V247" i="16"/>
  <c r="K247" i="16"/>
  <c r="AF246" i="16"/>
  <c r="AE246" i="16"/>
  <c r="AD246" i="16"/>
  <c r="AC246" i="16"/>
  <c r="AB246" i="16"/>
  <c r="AA246" i="16"/>
  <c r="Z246" i="16"/>
  <c r="Y246" i="16"/>
  <c r="V246" i="16"/>
  <c r="K246" i="16"/>
  <c r="AF245" i="16"/>
  <c r="AE245" i="16"/>
  <c r="AD245" i="16"/>
  <c r="AC245" i="16"/>
  <c r="AB245" i="16"/>
  <c r="AA245" i="16"/>
  <c r="Z245" i="16"/>
  <c r="Y245" i="16"/>
  <c r="V245" i="16"/>
  <c r="K245" i="16"/>
  <c r="AF244" i="16"/>
  <c r="AE244" i="16"/>
  <c r="AD244" i="16"/>
  <c r="AC244" i="16"/>
  <c r="AB244" i="16"/>
  <c r="AA244" i="16"/>
  <c r="Z244" i="16"/>
  <c r="Y244" i="16"/>
  <c r="V244" i="16"/>
  <c r="K244" i="16"/>
  <c r="AF243" i="16"/>
  <c r="AE243" i="16"/>
  <c r="AD243" i="16"/>
  <c r="AC243" i="16"/>
  <c r="AB243" i="16"/>
  <c r="AA243" i="16"/>
  <c r="Z243" i="16"/>
  <c r="Y243" i="16"/>
  <c r="V243" i="16"/>
  <c r="K243" i="16"/>
  <c r="AF242" i="16"/>
  <c r="AE242" i="16"/>
  <c r="AD242" i="16"/>
  <c r="AC242" i="16"/>
  <c r="AB242" i="16"/>
  <c r="AA242" i="16"/>
  <c r="Z242" i="16"/>
  <c r="Y242" i="16"/>
  <c r="V242" i="16"/>
  <c r="K242" i="16"/>
  <c r="AF241" i="16"/>
  <c r="AE241" i="16"/>
  <c r="AD241" i="16"/>
  <c r="AC241" i="16"/>
  <c r="AB241" i="16"/>
  <c r="AA241" i="16"/>
  <c r="Z241" i="16"/>
  <c r="Y241" i="16"/>
  <c r="V241" i="16"/>
  <c r="K241" i="16"/>
  <c r="AF240" i="16"/>
  <c r="AE240" i="16"/>
  <c r="AD240" i="16"/>
  <c r="AC240" i="16"/>
  <c r="AB240" i="16"/>
  <c r="AA240" i="16"/>
  <c r="Z240" i="16"/>
  <c r="Y240" i="16"/>
  <c r="V240" i="16"/>
  <c r="K240" i="16"/>
  <c r="AF239" i="16"/>
  <c r="AE239" i="16"/>
  <c r="AD239" i="16"/>
  <c r="AC239" i="16"/>
  <c r="AB239" i="16"/>
  <c r="AA239" i="16"/>
  <c r="Z239" i="16"/>
  <c r="Y239" i="16"/>
  <c r="V239" i="16"/>
  <c r="K239" i="16"/>
  <c r="AF238" i="16"/>
  <c r="AE238" i="16"/>
  <c r="AD238" i="16"/>
  <c r="AC238" i="16"/>
  <c r="AB238" i="16"/>
  <c r="AA238" i="16"/>
  <c r="Z238" i="16"/>
  <c r="Y238" i="16"/>
  <c r="V238" i="16"/>
  <c r="K238" i="16"/>
  <c r="AF237" i="16"/>
  <c r="AE237" i="16"/>
  <c r="AD237" i="16"/>
  <c r="AC237" i="16"/>
  <c r="AB237" i="16"/>
  <c r="AA237" i="16"/>
  <c r="Z237" i="16"/>
  <c r="Y237" i="16"/>
  <c r="V237" i="16"/>
  <c r="K237" i="16"/>
  <c r="AF236" i="16"/>
  <c r="AE236" i="16"/>
  <c r="AD236" i="16"/>
  <c r="AC236" i="16"/>
  <c r="AB236" i="16"/>
  <c r="AA236" i="16"/>
  <c r="Z236" i="16"/>
  <c r="Y236" i="16"/>
  <c r="V236" i="16"/>
  <c r="K236" i="16"/>
  <c r="AF235" i="16"/>
  <c r="AE235" i="16"/>
  <c r="AD235" i="16"/>
  <c r="AC235" i="16"/>
  <c r="AB235" i="16"/>
  <c r="AA235" i="16"/>
  <c r="Z235" i="16"/>
  <c r="Y235" i="16"/>
  <c r="V235" i="16"/>
  <c r="K235" i="16"/>
  <c r="AF234" i="16"/>
  <c r="AE234" i="16"/>
  <c r="AD234" i="16"/>
  <c r="AC234" i="16"/>
  <c r="AB234" i="16"/>
  <c r="AA234" i="16"/>
  <c r="Z234" i="16"/>
  <c r="Y234" i="16"/>
  <c r="V234" i="16"/>
  <c r="K234" i="16"/>
  <c r="AF233" i="16"/>
  <c r="AE233" i="16"/>
  <c r="AD233" i="16"/>
  <c r="AC233" i="16"/>
  <c r="AB233" i="16"/>
  <c r="AA233" i="16"/>
  <c r="Z233" i="16"/>
  <c r="Y233" i="16"/>
  <c r="V233" i="16"/>
  <c r="K233" i="16"/>
  <c r="AF232" i="16"/>
  <c r="AE232" i="16"/>
  <c r="AD232" i="16"/>
  <c r="AC232" i="16"/>
  <c r="AB232" i="16"/>
  <c r="AA232" i="16"/>
  <c r="Z232" i="16"/>
  <c r="Y232" i="16"/>
  <c r="V232" i="16"/>
  <c r="K232" i="16"/>
  <c r="AF231" i="16"/>
  <c r="AE231" i="16"/>
  <c r="AD231" i="16"/>
  <c r="AC231" i="16"/>
  <c r="AB231" i="16"/>
  <c r="AA231" i="16"/>
  <c r="Z231" i="16"/>
  <c r="Y231" i="16"/>
  <c r="V231" i="16"/>
  <c r="K231" i="16"/>
  <c r="Y229" i="16"/>
  <c r="N229" i="16"/>
  <c r="U225" i="16"/>
  <c r="T225" i="16"/>
  <c r="S225" i="16"/>
  <c r="R225" i="16"/>
  <c r="Q225" i="16"/>
  <c r="P225" i="16"/>
  <c r="O225" i="16"/>
  <c r="N225" i="16"/>
  <c r="J225" i="16"/>
  <c r="I225" i="16"/>
  <c r="H225" i="16"/>
  <c r="G225" i="16"/>
  <c r="F225" i="16"/>
  <c r="E225" i="16"/>
  <c r="D225" i="16"/>
  <c r="C225" i="16"/>
  <c r="AF224" i="16"/>
  <c r="AE224" i="16"/>
  <c r="AD224" i="16"/>
  <c r="AC224" i="16"/>
  <c r="AB224" i="16"/>
  <c r="AA224" i="16"/>
  <c r="Z224" i="16"/>
  <c r="Y224" i="16"/>
  <c r="V224" i="16"/>
  <c r="K224" i="16"/>
  <c r="AF223" i="16"/>
  <c r="AE223" i="16"/>
  <c r="AD223" i="16"/>
  <c r="AC223" i="16"/>
  <c r="AB223" i="16"/>
  <c r="AA223" i="16"/>
  <c r="Z223" i="16"/>
  <c r="Y223" i="16"/>
  <c r="V223" i="16"/>
  <c r="K223" i="16"/>
  <c r="AF222" i="16"/>
  <c r="AE222" i="16"/>
  <c r="AD222" i="16"/>
  <c r="AC222" i="16"/>
  <c r="AB222" i="16"/>
  <c r="AA222" i="16"/>
  <c r="Z222" i="16"/>
  <c r="Y222" i="16"/>
  <c r="V222" i="16"/>
  <c r="K222" i="16"/>
  <c r="AF221" i="16"/>
  <c r="AE221" i="16"/>
  <c r="AD221" i="16"/>
  <c r="AC221" i="16"/>
  <c r="AB221" i="16"/>
  <c r="AA221" i="16"/>
  <c r="Z221" i="16"/>
  <c r="Y221" i="16"/>
  <c r="V221" i="16"/>
  <c r="K221" i="16"/>
  <c r="AF220" i="16"/>
  <c r="AE220" i="16"/>
  <c r="AD220" i="16"/>
  <c r="AC220" i="16"/>
  <c r="AB220" i="16"/>
  <c r="AA220" i="16"/>
  <c r="Z220" i="16"/>
  <c r="Y220" i="16"/>
  <c r="V220" i="16"/>
  <c r="K220" i="16"/>
  <c r="AF219" i="16"/>
  <c r="AE219" i="16"/>
  <c r="AD219" i="16"/>
  <c r="AC219" i="16"/>
  <c r="AB219" i="16"/>
  <c r="AA219" i="16"/>
  <c r="Z219" i="16"/>
  <c r="Y219" i="16"/>
  <c r="V219" i="16"/>
  <c r="K219" i="16"/>
  <c r="AF218" i="16"/>
  <c r="AE218" i="16"/>
  <c r="AD218" i="16"/>
  <c r="AC218" i="16"/>
  <c r="AB218" i="16"/>
  <c r="AA218" i="16"/>
  <c r="Z218" i="16"/>
  <c r="Y218" i="16"/>
  <c r="V218" i="16"/>
  <c r="K218" i="16"/>
  <c r="AF217" i="16"/>
  <c r="AE217" i="16"/>
  <c r="AD217" i="16"/>
  <c r="AC217" i="16"/>
  <c r="AB217" i="16"/>
  <c r="AA217" i="16"/>
  <c r="Z217" i="16"/>
  <c r="Y217" i="16"/>
  <c r="V217" i="16"/>
  <c r="K217" i="16"/>
  <c r="AF216" i="16"/>
  <c r="AE216" i="16"/>
  <c r="AD216" i="16"/>
  <c r="AC216" i="16"/>
  <c r="AB216" i="16"/>
  <c r="AA216" i="16"/>
  <c r="Z216" i="16"/>
  <c r="Y216" i="16"/>
  <c r="V216" i="16"/>
  <c r="K216" i="16"/>
  <c r="AF215" i="16"/>
  <c r="AE215" i="16"/>
  <c r="AD215" i="16"/>
  <c r="AC215" i="16"/>
  <c r="AB215" i="16"/>
  <c r="AA215" i="16"/>
  <c r="Z215" i="16"/>
  <c r="Y215" i="16"/>
  <c r="V215" i="16"/>
  <c r="K215" i="16"/>
  <c r="AF214" i="16"/>
  <c r="AE214" i="16"/>
  <c r="AD214" i="16"/>
  <c r="AC214" i="16"/>
  <c r="AB214" i="16"/>
  <c r="AA214" i="16"/>
  <c r="Z214" i="16"/>
  <c r="Y214" i="16"/>
  <c r="V214" i="16"/>
  <c r="K214" i="16"/>
  <c r="AF213" i="16"/>
  <c r="AE213" i="16"/>
  <c r="AD213" i="16"/>
  <c r="AC213" i="16"/>
  <c r="AB213" i="16"/>
  <c r="AA213" i="16"/>
  <c r="Z213" i="16"/>
  <c r="Y213" i="16"/>
  <c r="V213" i="16"/>
  <c r="K213" i="16"/>
  <c r="AF212" i="16"/>
  <c r="AE212" i="16"/>
  <c r="AD212" i="16"/>
  <c r="AC212" i="16"/>
  <c r="AB212" i="16"/>
  <c r="AA212" i="16"/>
  <c r="Z212" i="16"/>
  <c r="Y212" i="16"/>
  <c r="V212" i="16"/>
  <c r="K212" i="16"/>
  <c r="AF211" i="16"/>
  <c r="AE211" i="16"/>
  <c r="AD211" i="16"/>
  <c r="AC211" i="16"/>
  <c r="AB211" i="16"/>
  <c r="AA211" i="16"/>
  <c r="Z211" i="16"/>
  <c r="Y211" i="16"/>
  <c r="V211" i="16"/>
  <c r="K211" i="16"/>
  <c r="AF210" i="16"/>
  <c r="AE210" i="16"/>
  <c r="AD210" i="16"/>
  <c r="AC210" i="16"/>
  <c r="AB210" i="16"/>
  <c r="AA210" i="16"/>
  <c r="Z210" i="16"/>
  <c r="Y210" i="16"/>
  <c r="V210" i="16"/>
  <c r="K210" i="16"/>
  <c r="AF209" i="16"/>
  <c r="AE209" i="16"/>
  <c r="AD209" i="16"/>
  <c r="AC209" i="16"/>
  <c r="AB209" i="16"/>
  <c r="AA209" i="16"/>
  <c r="Z209" i="16"/>
  <c r="Y209" i="16"/>
  <c r="V209" i="16"/>
  <c r="K209" i="16"/>
  <c r="AF208" i="16"/>
  <c r="AE208" i="16"/>
  <c r="AD208" i="16"/>
  <c r="AC208" i="16"/>
  <c r="AB208" i="16"/>
  <c r="AA208" i="16"/>
  <c r="Z208" i="16"/>
  <c r="Y208" i="16"/>
  <c r="V208" i="16"/>
  <c r="K208" i="16"/>
  <c r="AF207" i="16"/>
  <c r="AE207" i="16"/>
  <c r="AD207" i="16"/>
  <c r="AC207" i="16"/>
  <c r="AB207" i="16"/>
  <c r="AA207" i="16"/>
  <c r="Z207" i="16"/>
  <c r="Y207" i="16"/>
  <c r="V207" i="16"/>
  <c r="K207" i="16"/>
  <c r="AF206" i="16"/>
  <c r="AE206" i="16"/>
  <c r="AD206" i="16"/>
  <c r="AC206" i="16"/>
  <c r="AB206" i="16"/>
  <c r="AA206" i="16"/>
  <c r="Z206" i="16"/>
  <c r="Y206" i="16"/>
  <c r="V206" i="16"/>
  <c r="K206" i="16"/>
  <c r="AF205" i="16"/>
  <c r="AE205" i="16"/>
  <c r="AD205" i="16"/>
  <c r="AC205" i="16"/>
  <c r="AB205" i="16"/>
  <c r="AA205" i="16"/>
  <c r="Z205" i="16"/>
  <c r="Y205" i="16"/>
  <c r="V205" i="16"/>
  <c r="K205" i="16"/>
  <c r="Y203" i="16"/>
  <c r="N203" i="16"/>
  <c r="U199" i="16"/>
  <c r="T199" i="16"/>
  <c r="S199" i="16"/>
  <c r="R199" i="16"/>
  <c r="Q199" i="16"/>
  <c r="P199" i="16"/>
  <c r="O199" i="16"/>
  <c r="N199" i="16"/>
  <c r="J199" i="16"/>
  <c r="I199" i="16"/>
  <c r="H199" i="16"/>
  <c r="G199" i="16"/>
  <c r="F199" i="16"/>
  <c r="E199" i="16"/>
  <c r="D199" i="16"/>
  <c r="C199" i="16"/>
  <c r="AF198" i="16"/>
  <c r="AE198" i="16"/>
  <c r="AD198" i="16"/>
  <c r="AC198" i="16"/>
  <c r="AB198" i="16"/>
  <c r="AA198" i="16"/>
  <c r="Z198" i="16"/>
  <c r="Y198" i="16"/>
  <c r="V198" i="16"/>
  <c r="K198" i="16"/>
  <c r="AF197" i="16"/>
  <c r="AE197" i="16"/>
  <c r="AD197" i="16"/>
  <c r="AC197" i="16"/>
  <c r="AB197" i="16"/>
  <c r="AA197" i="16"/>
  <c r="Z197" i="16"/>
  <c r="Y197" i="16"/>
  <c r="V197" i="16"/>
  <c r="K197" i="16"/>
  <c r="AF196" i="16"/>
  <c r="AE196" i="16"/>
  <c r="AD196" i="16"/>
  <c r="AC196" i="16"/>
  <c r="AB196" i="16"/>
  <c r="AA196" i="16"/>
  <c r="Z196" i="16"/>
  <c r="Y196" i="16"/>
  <c r="V196" i="16"/>
  <c r="K196" i="16"/>
  <c r="AF195" i="16"/>
  <c r="AE195" i="16"/>
  <c r="AD195" i="16"/>
  <c r="AC195" i="16"/>
  <c r="AB195" i="16"/>
  <c r="AA195" i="16"/>
  <c r="Z195" i="16"/>
  <c r="Y195" i="16"/>
  <c r="V195" i="16"/>
  <c r="K195" i="16"/>
  <c r="AF194" i="16"/>
  <c r="AE194" i="16"/>
  <c r="AD194" i="16"/>
  <c r="AC194" i="16"/>
  <c r="AB194" i="16"/>
  <c r="AA194" i="16"/>
  <c r="Z194" i="16"/>
  <c r="Y194" i="16"/>
  <c r="V194" i="16"/>
  <c r="K194" i="16"/>
  <c r="AF193" i="16"/>
  <c r="AE193" i="16"/>
  <c r="AD193" i="16"/>
  <c r="AC193" i="16"/>
  <c r="AB193" i="16"/>
  <c r="AA193" i="16"/>
  <c r="Z193" i="16"/>
  <c r="Y193" i="16"/>
  <c r="V193" i="16"/>
  <c r="K193" i="16"/>
  <c r="AF192" i="16"/>
  <c r="AE192" i="16"/>
  <c r="AD192" i="16"/>
  <c r="AC192" i="16"/>
  <c r="AB192" i="16"/>
  <c r="AA192" i="16"/>
  <c r="Z192" i="16"/>
  <c r="Y192" i="16"/>
  <c r="V192" i="16"/>
  <c r="K192" i="16"/>
  <c r="AF191" i="16"/>
  <c r="AE191" i="16"/>
  <c r="AD191" i="16"/>
  <c r="AC191" i="16"/>
  <c r="AB191" i="16"/>
  <c r="AA191" i="16"/>
  <c r="Z191" i="16"/>
  <c r="Y191" i="16"/>
  <c r="V191" i="16"/>
  <c r="K191" i="16"/>
  <c r="AF190" i="16"/>
  <c r="AE190" i="16"/>
  <c r="AD190" i="16"/>
  <c r="AC190" i="16"/>
  <c r="AB190" i="16"/>
  <c r="AA190" i="16"/>
  <c r="Z190" i="16"/>
  <c r="Y190" i="16"/>
  <c r="V190" i="16"/>
  <c r="K190" i="16"/>
  <c r="AF189" i="16"/>
  <c r="AE189" i="16"/>
  <c r="AD189" i="16"/>
  <c r="AC189" i="16"/>
  <c r="AB189" i="16"/>
  <c r="AA189" i="16"/>
  <c r="Z189" i="16"/>
  <c r="Y189" i="16"/>
  <c r="V189" i="16"/>
  <c r="K189" i="16"/>
  <c r="AF188" i="16"/>
  <c r="AE188" i="16"/>
  <c r="AD188" i="16"/>
  <c r="AC188" i="16"/>
  <c r="AB188" i="16"/>
  <c r="AA188" i="16"/>
  <c r="Z188" i="16"/>
  <c r="Y188" i="16"/>
  <c r="V188" i="16"/>
  <c r="K188" i="16"/>
  <c r="AF187" i="16"/>
  <c r="AE187" i="16"/>
  <c r="AD187" i="16"/>
  <c r="AC187" i="16"/>
  <c r="AB187" i="16"/>
  <c r="AA187" i="16"/>
  <c r="Z187" i="16"/>
  <c r="Y187" i="16"/>
  <c r="V187" i="16"/>
  <c r="K187" i="16"/>
  <c r="AF186" i="16"/>
  <c r="AE186" i="16"/>
  <c r="AD186" i="16"/>
  <c r="AC186" i="16"/>
  <c r="AB186" i="16"/>
  <c r="AA186" i="16"/>
  <c r="Z186" i="16"/>
  <c r="Y186" i="16"/>
  <c r="V186" i="16"/>
  <c r="K186" i="16"/>
  <c r="AF185" i="16"/>
  <c r="AE185" i="16"/>
  <c r="AD185" i="16"/>
  <c r="AC185" i="16"/>
  <c r="AB185" i="16"/>
  <c r="AA185" i="16"/>
  <c r="Z185" i="16"/>
  <c r="Y185" i="16"/>
  <c r="V185" i="16"/>
  <c r="K185" i="16"/>
  <c r="AF184" i="16"/>
  <c r="AE184" i="16"/>
  <c r="AD184" i="16"/>
  <c r="AC184" i="16"/>
  <c r="AB184" i="16"/>
  <c r="AA184" i="16"/>
  <c r="Z184" i="16"/>
  <c r="Y184" i="16"/>
  <c r="V184" i="16"/>
  <c r="K184" i="16"/>
  <c r="AF183" i="16"/>
  <c r="AE183" i="16"/>
  <c r="AD183" i="16"/>
  <c r="AC183" i="16"/>
  <c r="AB183" i="16"/>
  <c r="AA183" i="16"/>
  <c r="Z183" i="16"/>
  <c r="Y183" i="16"/>
  <c r="V183" i="16"/>
  <c r="K183" i="16"/>
  <c r="AF182" i="16"/>
  <c r="AE182" i="16"/>
  <c r="AD182" i="16"/>
  <c r="AC182" i="16"/>
  <c r="AB182" i="16"/>
  <c r="AA182" i="16"/>
  <c r="Z182" i="16"/>
  <c r="Y182" i="16"/>
  <c r="V182" i="16"/>
  <c r="K182" i="16"/>
  <c r="AF181" i="16"/>
  <c r="AE181" i="16"/>
  <c r="AD181" i="16"/>
  <c r="AC181" i="16"/>
  <c r="AB181" i="16"/>
  <c r="AA181" i="16"/>
  <c r="Z181" i="16"/>
  <c r="Y181" i="16"/>
  <c r="V181" i="16"/>
  <c r="K181" i="16"/>
  <c r="AF180" i="16"/>
  <c r="AE180" i="16"/>
  <c r="AD180" i="16"/>
  <c r="AC180" i="16"/>
  <c r="AB180" i="16"/>
  <c r="AA180" i="16"/>
  <c r="Z180" i="16"/>
  <c r="Y180" i="16"/>
  <c r="V180" i="16"/>
  <c r="K180" i="16"/>
  <c r="AF179" i="16"/>
  <c r="AE179" i="16"/>
  <c r="AD179" i="16"/>
  <c r="AC179" i="16"/>
  <c r="AB179" i="16"/>
  <c r="AA179" i="16"/>
  <c r="Z179" i="16"/>
  <c r="Y179" i="16"/>
  <c r="V179" i="16"/>
  <c r="K179" i="16"/>
  <c r="Y177" i="16"/>
  <c r="N177" i="16"/>
  <c r="U173" i="16"/>
  <c r="T173" i="16"/>
  <c r="S173" i="16"/>
  <c r="R173" i="16"/>
  <c r="Q173" i="16"/>
  <c r="P173" i="16"/>
  <c r="O173" i="16"/>
  <c r="N173" i="16"/>
  <c r="J173" i="16"/>
  <c r="I173" i="16"/>
  <c r="H173" i="16"/>
  <c r="G173" i="16"/>
  <c r="F173" i="16"/>
  <c r="E173" i="16"/>
  <c r="D173" i="16"/>
  <c r="C173" i="16"/>
  <c r="AF172" i="16"/>
  <c r="AE172" i="16"/>
  <c r="AD172" i="16"/>
  <c r="AC172" i="16"/>
  <c r="AB172" i="16"/>
  <c r="AA172" i="16"/>
  <c r="Z172" i="16"/>
  <c r="Y172" i="16"/>
  <c r="V172" i="16"/>
  <c r="K172" i="16"/>
  <c r="AF171" i="16"/>
  <c r="AE171" i="16"/>
  <c r="AD171" i="16"/>
  <c r="AC171" i="16"/>
  <c r="AB171" i="16"/>
  <c r="AA171" i="16"/>
  <c r="Z171" i="16"/>
  <c r="Y171" i="16"/>
  <c r="V171" i="16"/>
  <c r="K171" i="16"/>
  <c r="AF170" i="16"/>
  <c r="AE170" i="16"/>
  <c r="AD170" i="16"/>
  <c r="AC170" i="16"/>
  <c r="AB170" i="16"/>
  <c r="AA170" i="16"/>
  <c r="Z170" i="16"/>
  <c r="Y170" i="16"/>
  <c r="V170" i="16"/>
  <c r="K170" i="16"/>
  <c r="AF169" i="16"/>
  <c r="AE169" i="16"/>
  <c r="AD169" i="16"/>
  <c r="AC169" i="16"/>
  <c r="AB169" i="16"/>
  <c r="AA169" i="16"/>
  <c r="Z169" i="16"/>
  <c r="Y169" i="16"/>
  <c r="V169" i="16"/>
  <c r="K169" i="16"/>
  <c r="AF168" i="16"/>
  <c r="AE168" i="16"/>
  <c r="AD168" i="16"/>
  <c r="AC168" i="16"/>
  <c r="AB168" i="16"/>
  <c r="AA168" i="16"/>
  <c r="Z168" i="16"/>
  <c r="Y168" i="16"/>
  <c r="V168" i="16"/>
  <c r="K168" i="16"/>
  <c r="AF167" i="16"/>
  <c r="AE167" i="16"/>
  <c r="AD167" i="16"/>
  <c r="AC167" i="16"/>
  <c r="AB167" i="16"/>
  <c r="AA167" i="16"/>
  <c r="Z167" i="16"/>
  <c r="Y167" i="16"/>
  <c r="V167" i="16"/>
  <c r="K167" i="16"/>
  <c r="AF166" i="16"/>
  <c r="AE166" i="16"/>
  <c r="AD166" i="16"/>
  <c r="AC166" i="16"/>
  <c r="AB166" i="16"/>
  <c r="AA166" i="16"/>
  <c r="Z166" i="16"/>
  <c r="Y166" i="16"/>
  <c r="V166" i="16"/>
  <c r="K166" i="16"/>
  <c r="AF165" i="16"/>
  <c r="AE165" i="16"/>
  <c r="AD165" i="16"/>
  <c r="AC165" i="16"/>
  <c r="AB165" i="16"/>
  <c r="AA165" i="16"/>
  <c r="Z165" i="16"/>
  <c r="Y165" i="16"/>
  <c r="V165" i="16"/>
  <c r="K165" i="16"/>
  <c r="AF164" i="16"/>
  <c r="AE164" i="16"/>
  <c r="AD164" i="16"/>
  <c r="AC164" i="16"/>
  <c r="AB164" i="16"/>
  <c r="AA164" i="16"/>
  <c r="Z164" i="16"/>
  <c r="Y164" i="16"/>
  <c r="V164" i="16"/>
  <c r="K164" i="16"/>
  <c r="AF163" i="16"/>
  <c r="AE163" i="16"/>
  <c r="AD163" i="16"/>
  <c r="AC163" i="16"/>
  <c r="AB163" i="16"/>
  <c r="AA163" i="16"/>
  <c r="Z163" i="16"/>
  <c r="Y163" i="16"/>
  <c r="V163" i="16"/>
  <c r="K163" i="16"/>
  <c r="AF162" i="16"/>
  <c r="AE162" i="16"/>
  <c r="AD162" i="16"/>
  <c r="AC162" i="16"/>
  <c r="AB162" i="16"/>
  <c r="AA162" i="16"/>
  <c r="Z162" i="16"/>
  <c r="Y162" i="16"/>
  <c r="V162" i="16"/>
  <c r="K162" i="16"/>
  <c r="AF161" i="16"/>
  <c r="AE161" i="16"/>
  <c r="AD161" i="16"/>
  <c r="AC161" i="16"/>
  <c r="AB161" i="16"/>
  <c r="AA161" i="16"/>
  <c r="Z161" i="16"/>
  <c r="Y161" i="16"/>
  <c r="V161" i="16"/>
  <c r="K161" i="16"/>
  <c r="AF160" i="16"/>
  <c r="AE160" i="16"/>
  <c r="AD160" i="16"/>
  <c r="AC160" i="16"/>
  <c r="AB160" i="16"/>
  <c r="AA160" i="16"/>
  <c r="Z160" i="16"/>
  <c r="Y160" i="16"/>
  <c r="V160" i="16"/>
  <c r="K160" i="16"/>
  <c r="AF159" i="16"/>
  <c r="AE159" i="16"/>
  <c r="AD159" i="16"/>
  <c r="AC159" i="16"/>
  <c r="AB159" i="16"/>
  <c r="AA159" i="16"/>
  <c r="Z159" i="16"/>
  <c r="Y159" i="16"/>
  <c r="V159" i="16"/>
  <c r="K159" i="16"/>
  <c r="AF158" i="16"/>
  <c r="AE158" i="16"/>
  <c r="AD158" i="16"/>
  <c r="AC158" i="16"/>
  <c r="AB158" i="16"/>
  <c r="AA158" i="16"/>
  <c r="Z158" i="16"/>
  <c r="Y158" i="16"/>
  <c r="V158" i="16"/>
  <c r="K158" i="16"/>
  <c r="AF157" i="16"/>
  <c r="AE157" i="16"/>
  <c r="AD157" i="16"/>
  <c r="AC157" i="16"/>
  <c r="AB157" i="16"/>
  <c r="AA157" i="16"/>
  <c r="Z157" i="16"/>
  <c r="Y157" i="16"/>
  <c r="V157" i="16"/>
  <c r="K157" i="16"/>
  <c r="AF156" i="16"/>
  <c r="AE156" i="16"/>
  <c r="AD156" i="16"/>
  <c r="AC156" i="16"/>
  <c r="AB156" i="16"/>
  <c r="AA156" i="16"/>
  <c r="Z156" i="16"/>
  <c r="Y156" i="16"/>
  <c r="V156" i="16"/>
  <c r="K156" i="16"/>
  <c r="AF155" i="16"/>
  <c r="AE155" i="16"/>
  <c r="AD155" i="16"/>
  <c r="AC155" i="16"/>
  <c r="AB155" i="16"/>
  <c r="AA155" i="16"/>
  <c r="Z155" i="16"/>
  <c r="Y155" i="16"/>
  <c r="V155" i="16"/>
  <c r="K155" i="16"/>
  <c r="AF154" i="16"/>
  <c r="AE154" i="16"/>
  <c r="AD154" i="16"/>
  <c r="AC154" i="16"/>
  <c r="AB154" i="16"/>
  <c r="AA154" i="16"/>
  <c r="Z154" i="16"/>
  <c r="Y154" i="16"/>
  <c r="V154" i="16"/>
  <c r="K154" i="16"/>
  <c r="AF153" i="16"/>
  <c r="AE153" i="16"/>
  <c r="AD153" i="16"/>
  <c r="AC153" i="16"/>
  <c r="AB153" i="16"/>
  <c r="AA153" i="16"/>
  <c r="Z153" i="16"/>
  <c r="Y153" i="16"/>
  <c r="V153" i="16"/>
  <c r="K153" i="16"/>
  <c r="Y151" i="16"/>
  <c r="N151" i="16"/>
  <c r="U147" i="16"/>
  <c r="T147" i="16"/>
  <c r="S147" i="16"/>
  <c r="R147" i="16"/>
  <c r="Q147" i="16"/>
  <c r="P147" i="16"/>
  <c r="O147" i="16"/>
  <c r="N147" i="16"/>
  <c r="J147" i="16"/>
  <c r="I147" i="16"/>
  <c r="H147" i="16"/>
  <c r="G147" i="16"/>
  <c r="F147" i="16"/>
  <c r="E147" i="16"/>
  <c r="D147" i="16"/>
  <c r="C147" i="16"/>
  <c r="AF146" i="16"/>
  <c r="AE146" i="16"/>
  <c r="AD146" i="16"/>
  <c r="AC146" i="16"/>
  <c r="AB146" i="16"/>
  <c r="AA146" i="16"/>
  <c r="Z146" i="16"/>
  <c r="Y146" i="16"/>
  <c r="V146" i="16"/>
  <c r="K146" i="16"/>
  <c r="AF145" i="16"/>
  <c r="AE145" i="16"/>
  <c r="AD145" i="16"/>
  <c r="AC145" i="16"/>
  <c r="AB145" i="16"/>
  <c r="AA145" i="16"/>
  <c r="Z145" i="16"/>
  <c r="Y145" i="16"/>
  <c r="V145" i="16"/>
  <c r="K145" i="16"/>
  <c r="AF144" i="16"/>
  <c r="AE144" i="16"/>
  <c r="AD144" i="16"/>
  <c r="AC144" i="16"/>
  <c r="AB144" i="16"/>
  <c r="AA144" i="16"/>
  <c r="Z144" i="16"/>
  <c r="Y144" i="16"/>
  <c r="V144" i="16"/>
  <c r="K144" i="16"/>
  <c r="AF143" i="16"/>
  <c r="AE143" i="16"/>
  <c r="AD143" i="16"/>
  <c r="AC143" i="16"/>
  <c r="AB143" i="16"/>
  <c r="AA143" i="16"/>
  <c r="Z143" i="16"/>
  <c r="Y143" i="16"/>
  <c r="V143" i="16"/>
  <c r="K143" i="16"/>
  <c r="AF142" i="16"/>
  <c r="AE142" i="16"/>
  <c r="AD142" i="16"/>
  <c r="AC142" i="16"/>
  <c r="AB142" i="16"/>
  <c r="AA142" i="16"/>
  <c r="Z142" i="16"/>
  <c r="Y142" i="16"/>
  <c r="V142" i="16"/>
  <c r="K142" i="16"/>
  <c r="AF141" i="16"/>
  <c r="AE141" i="16"/>
  <c r="AD141" i="16"/>
  <c r="AC141" i="16"/>
  <c r="AB141" i="16"/>
  <c r="AA141" i="16"/>
  <c r="Z141" i="16"/>
  <c r="Y141" i="16"/>
  <c r="V141" i="16"/>
  <c r="K141" i="16"/>
  <c r="AF140" i="16"/>
  <c r="AE140" i="16"/>
  <c r="AD140" i="16"/>
  <c r="AC140" i="16"/>
  <c r="AB140" i="16"/>
  <c r="AA140" i="16"/>
  <c r="Z140" i="16"/>
  <c r="Y140" i="16"/>
  <c r="V140" i="16"/>
  <c r="K140" i="16"/>
  <c r="AF139" i="16"/>
  <c r="AE139" i="16"/>
  <c r="AD139" i="16"/>
  <c r="AC139" i="16"/>
  <c r="AB139" i="16"/>
  <c r="AA139" i="16"/>
  <c r="Z139" i="16"/>
  <c r="Y139" i="16"/>
  <c r="V139" i="16"/>
  <c r="K139" i="16"/>
  <c r="AF138" i="16"/>
  <c r="AE138" i="16"/>
  <c r="AD138" i="16"/>
  <c r="AC138" i="16"/>
  <c r="AB138" i="16"/>
  <c r="AA138" i="16"/>
  <c r="Z138" i="16"/>
  <c r="Y138" i="16"/>
  <c r="V138" i="16"/>
  <c r="K138" i="16"/>
  <c r="AF137" i="16"/>
  <c r="AE137" i="16"/>
  <c r="AD137" i="16"/>
  <c r="AC137" i="16"/>
  <c r="AB137" i="16"/>
  <c r="AA137" i="16"/>
  <c r="Z137" i="16"/>
  <c r="Y137" i="16"/>
  <c r="V137" i="16"/>
  <c r="K137" i="16"/>
  <c r="AF136" i="16"/>
  <c r="AE136" i="16"/>
  <c r="AD136" i="16"/>
  <c r="AC136" i="16"/>
  <c r="AB136" i="16"/>
  <c r="AA136" i="16"/>
  <c r="Z136" i="16"/>
  <c r="Y136" i="16"/>
  <c r="V136" i="16"/>
  <c r="K136" i="16"/>
  <c r="AF135" i="16"/>
  <c r="AE135" i="16"/>
  <c r="AD135" i="16"/>
  <c r="AC135" i="16"/>
  <c r="AB135" i="16"/>
  <c r="AA135" i="16"/>
  <c r="Z135" i="16"/>
  <c r="Y135" i="16"/>
  <c r="V135" i="16"/>
  <c r="K135" i="16"/>
  <c r="AF134" i="16"/>
  <c r="AE134" i="16"/>
  <c r="AD134" i="16"/>
  <c r="AC134" i="16"/>
  <c r="AB134" i="16"/>
  <c r="AA134" i="16"/>
  <c r="Z134" i="16"/>
  <c r="Y134" i="16"/>
  <c r="V134" i="16"/>
  <c r="K134" i="16"/>
  <c r="AF133" i="16"/>
  <c r="AE133" i="16"/>
  <c r="AD133" i="16"/>
  <c r="AC133" i="16"/>
  <c r="AB133" i="16"/>
  <c r="AA133" i="16"/>
  <c r="Z133" i="16"/>
  <c r="Y133" i="16"/>
  <c r="V133" i="16"/>
  <c r="K133" i="16"/>
  <c r="AF132" i="16"/>
  <c r="AE132" i="16"/>
  <c r="AD132" i="16"/>
  <c r="AC132" i="16"/>
  <c r="AB132" i="16"/>
  <c r="AA132" i="16"/>
  <c r="Z132" i="16"/>
  <c r="Y132" i="16"/>
  <c r="V132" i="16"/>
  <c r="K132" i="16"/>
  <c r="AF131" i="16"/>
  <c r="AE131" i="16"/>
  <c r="AD131" i="16"/>
  <c r="AC131" i="16"/>
  <c r="AB131" i="16"/>
  <c r="AA131" i="16"/>
  <c r="Z131" i="16"/>
  <c r="Y131" i="16"/>
  <c r="V131" i="16"/>
  <c r="K131" i="16"/>
  <c r="AF130" i="16"/>
  <c r="AE130" i="16"/>
  <c r="AD130" i="16"/>
  <c r="AC130" i="16"/>
  <c r="AB130" i="16"/>
  <c r="AA130" i="16"/>
  <c r="Z130" i="16"/>
  <c r="Y130" i="16"/>
  <c r="V130" i="16"/>
  <c r="K130" i="16"/>
  <c r="AF129" i="16"/>
  <c r="AE129" i="16"/>
  <c r="AD129" i="16"/>
  <c r="AC129" i="16"/>
  <c r="AB129" i="16"/>
  <c r="AA129" i="16"/>
  <c r="Z129" i="16"/>
  <c r="Y129" i="16"/>
  <c r="V129" i="16"/>
  <c r="K129" i="16"/>
  <c r="AF128" i="16"/>
  <c r="AE128" i="16"/>
  <c r="AD128" i="16"/>
  <c r="AC128" i="16"/>
  <c r="AB128" i="16"/>
  <c r="AA128" i="16"/>
  <c r="Z128" i="16"/>
  <c r="Y128" i="16"/>
  <c r="V128" i="16"/>
  <c r="K128" i="16"/>
  <c r="AF127" i="16"/>
  <c r="AE127" i="16"/>
  <c r="AD127" i="16"/>
  <c r="AC127" i="16"/>
  <c r="AB127" i="16"/>
  <c r="AA127" i="16"/>
  <c r="Z127" i="16"/>
  <c r="Y127" i="16"/>
  <c r="V127" i="16"/>
  <c r="K127" i="16"/>
  <c r="Y125" i="16"/>
  <c r="N125" i="16"/>
  <c r="U121" i="16"/>
  <c r="T121" i="16"/>
  <c r="S121" i="16"/>
  <c r="R121" i="16"/>
  <c r="Q121" i="16"/>
  <c r="P121" i="16"/>
  <c r="O121" i="16"/>
  <c r="N121" i="16"/>
  <c r="J121" i="16"/>
  <c r="I121" i="16"/>
  <c r="H121" i="16"/>
  <c r="G121" i="16"/>
  <c r="F121" i="16"/>
  <c r="E121" i="16"/>
  <c r="D121" i="16"/>
  <c r="C121" i="16"/>
  <c r="AF120" i="16"/>
  <c r="AE120" i="16"/>
  <c r="AD120" i="16"/>
  <c r="AC120" i="16"/>
  <c r="AB120" i="16"/>
  <c r="AA120" i="16"/>
  <c r="Z120" i="16"/>
  <c r="Y120" i="16"/>
  <c r="V120" i="16"/>
  <c r="K120" i="16"/>
  <c r="AF119" i="16"/>
  <c r="AE119" i="16"/>
  <c r="AD119" i="16"/>
  <c r="AC119" i="16"/>
  <c r="AB119" i="16"/>
  <c r="AA119" i="16"/>
  <c r="Z119" i="16"/>
  <c r="Y119" i="16"/>
  <c r="V119" i="16"/>
  <c r="K119" i="16"/>
  <c r="AF118" i="16"/>
  <c r="AE118" i="16"/>
  <c r="AD118" i="16"/>
  <c r="AC118" i="16"/>
  <c r="AB118" i="16"/>
  <c r="AA118" i="16"/>
  <c r="Z118" i="16"/>
  <c r="Y118" i="16"/>
  <c r="V118" i="16"/>
  <c r="K118" i="16"/>
  <c r="AF117" i="16"/>
  <c r="AE117" i="16"/>
  <c r="AD117" i="16"/>
  <c r="AC117" i="16"/>
  <c r="AB117" i="16"/>
  <c r="AA117" i="16"/>
  <c r="Z117" i="16"/>
  <c r="Y117" i="16"/>
  <c r="V117" i="16"/>
  <c r="K117" i="16"/>
  <c r="AF116" i="16"/>
  <c r="AE116" i="16"/>
  <c r="AD116" i="16"/>
  <c r="AC116" i="16"/>
  <c r="AB116" i="16"/>
  <c r="AA116" i="16"/>
  <c r="Z116" i="16"/>
  <c r="Y116" i="16"/>
  <c r="V116" i="16"/>
  <c r="K116" i="16"/>
  <c r="AF115" i="16"/>
  <c r="AE115" i="16"/>
  <c r="AD115" i="16"/>
  <c r="AC115" i="16"/>
  <c r="AB115" i="16"/>
  <c r="AA115" i="16"/>
  <c r="Z115" i="16"/>
  <c r="Y115" i="16"/>
  <c r="V115" i="16"/>
  <c r="K115" i="16"/>
  <c r="AF114" i="16"/>
  <c r="AE114" i="16"/>
  <c r="AD114" i="16"/>
  <c r="AC114" i="16"/>
  <c r="AB114" i="16"/>
  <c r="AA114" i="16"/>
  <c r="Z114" i="16"/>
  <c r="Y114" i="16"/>
  <c r="V114" i="16"/>
  <c r="K114" i="16"/>
  <c r="AF113" i="16"/>
  <c r="AE113" i="16"/>
  <c r="AD113" i="16"/>
  <c r="AC113" i="16"/>
  <c r="AB113" i="16"/>
  <c r="AA113" i="16"/>
  <c r="Z113" i="16"/>
  <c r="Y113" i="16"/>
  <c r="V113" i="16"/>
  <c r="K113" i="16"/>
  <c r="AF112" i="16"/>
  <c r="AE112" i="16"/>
  <c r="AD112" i="16"/>
  <c r="AC112" i="16"/>
  <c r="AB112" i="16"/>
  <c r="AA112" i="16"/>
  <c r="Z112" i="16"/>
  <c r="Y112" i="16"/>
  <c r="V112" i="16"/>
  <c r="K112" i="16"/>
  <c r="AF111" i="16"/>
  <c r="AE111" i="16"/>
  <c r="AD111" i="16"/>
  <c r="AC111" i="16"/>
  <c r="AB111" i="16"/>
  <c r="AA111" i="16"/>
  <c r="Z111" i="16"/>
  <c r="Y111" i="16"/>
  <c r="V111" i="16"/>
  <c r="K111" i="16"/>
  <c r="AF110" i="16"/>
  <c r="AE110" i="16"/>
  <c r="AD110" i="16"/>
  <c r="AC110" i="16"/>
  <c r="AB110" i="16"/>
  <c r="AA110" i="16"/>
  <c r="Z110" i="16"/>
  <c r="Y110" i="16"/>
  <c r="V110" i="16"/>
  <c r="K110" i="16"/>
  <c r="AF109" i="16"/>
  <c r="AE109" i="16"/>
  <c r="AD109" i="16"/>
  <c r="AC109" i="16"/>
  <c r="AB109" i="16"/>
  <c r="AA109" i="16"/>
  <c r="Z109" i="16"/>
  <c r="Y109" i="16"/>
  <c r="V109" i="16"/>
  <c r="K109" i="16"/>
  <c r="AF108" i="16"/>
  <c r="AE108" i="16"/>
  <c r="AD108" i="16"/>
  <c r="AC108" i="16"/>
  <c r="AB108" i="16"/>
  <c r="AA108" i="16"/>
  <c r="Z108" i="16"/>
  <c r="Y108" i="16"/>
  <c r="V108" i="16"/>
  <c r="K108" i="16"/>
  <c r="AF107" i="16"/>
  <c r="AE107" i="16"/>
  <c r="AD107" i="16"/>
  <c r="AC107" i="16"/>
  <c r="AB107" i="16"/>
  <c r="AA107" i="16"/>
  <c r="Z107" i="16"/>
  <c r="Y107" i="16"/>
  <c r="V107" i="16"/>
  <c r="K107" i="16"/>
  <c r="AF106" i="16"/>
  <c r="AE106" i="16"/>
  <c r="AD106" i="16"/>
  <c r="AC106" i="16"/>
  <c r="AB106" i="16"/>
  <c r="AA106" i="16"/>
  <c r="Z106" i="16"/>
  <c r="Y106" i="16"/>
  <c r="V106" i="16"/>
  <c r="K106" i="16"/>
  <c r="AF105" i="16"/>
  <c r="AE105" i="16"/>
  <c r="AD105" i="16"/>
  <c r="AC105" i="16"/>
  <c r="AB105" i="16"/>
  <c r="AA105" i="16"/>
  <c r="Z105" i="16"/>
  <c r="Y105" i="16"/>
  <c r="V105" i="16"/>
  <c r="K105" i="16"/>
  <c r="AF104" i="16"/>
  <c r="AE104" i="16"/>
  <c r="AD104" i="16"/>
  <c r="AC104" i="16"/>
  <c r="AB104" i="16"/>
  <c r="AA104" i="16"/>
  <c r="Z104" i="16"/>
  <c r="Y104" i="16"/>
  <c r="V104" i="16"/>
  <c r="K104" i="16"/>
  <c r="AF103" i="16"/>
  <c r="AE103" i="16"/>
  <c r="AD103" i="16"/>
  <c r="AC103" i="16"/>
  <c r="AB103" i="16"/>
  <c r="AA103" i="16"/>
  <c r="Z103" i="16"/>
  <c r="Y103" i="16"/>
  <c r="V103" i="16"/>
  <c r="K103" i="16"/>
  <c r="AF102" i="16"/>
  <c r="AE102" i="16"/>
  <c r="AD102" i="16"/>
  <c r="AC102" i="16"/>
  <c r="AB102" i="16"/>
  <c r="AA102" i="16"/>
  <c r="Z102" i="16"/>
  <c r="Y102" i="16"/>
  <c r="V102" i="16"/>
  <c r="K102" i="16"/>
  <c r="AF101" i="16"/>
  <c r="AE101" i="16"/>
  <c r="AD101" i="16"/>
  <c r="AC101" i="16"/>
  <c r="AB101" i="16"/>
  <c r="AA101" i="16"/>
  <c r="Z101" i="16"/>
  <c r="Y101" i="16"/>
  <c r="V101" i="16"/>
  <c r="K101" i="16"/>
  <c r="Y99" i="16"/>
  <c r="N99" i="16"/>
  <c r="U95" i="16"/>
  <c r="T95" i="16"/>
  <c r="S95" i="16"/>
  <c r="R95" i="16"/>
  <c r="Q95" i="16"/>
  <c r="P95" i="16"/>
  <c r="O95" i="16"/>
  <c r="N95" i="16"/>
  <c r="J95" i="16"/>
  <c r="I95" i="16"/>
  <c r="H95" i="16"/>
  <c r="G95" i="16"/>
  <c r="F95" i="16"/>
  <c r="E95" i="16"/>
  <c r="D95" i="16"/>
  <c r="C95" i="16"/>
  <c r="AF94" i="16"/>
  <c r="AE94" i="16"/>
  <c r="AD94" i="16"/>
  <c r="AC94" i="16"/>
  <c r="AB94" i="16"/>
  <c r="AA94" i="16"/>
  <c r="Z94" i="16"/>
  <c r="Y94" i="16"/>
  <c r="V94" i="16"/>
  <c r="K94" i="16"/>
  <c r="AF93" i="16"/>
  <c r="AE93" i="16"/>
  <c r="AD93" i="16"/>
  <c r="AC93" i="16"/>
  <c r="AB93" i="16"/>
  <c r="AA93" i="16"/>
  <c r="Z93" i="16"/>
  <c r="Y93" i="16"/>
  <c r="V93" i="16"/>
  <c r="K93" i="16"/>
  <c r="AF92" i="16"/>
  <c r="AE92" i="16"/>
  <c r="AD92" i="16"/>
  <c r="AC92" i="16"/>
  <c r="AB92" i="16"/>
  <c r="AA92" i="16"/>
  <c r="Z92" i="16"/>
  <c r="Y92" i="16"/>
  <c r="V92" i="16"/>
  <c r="K92" i="16"/>
  <c r="AF91" i="16"/>
  <c r="AE91" i="16"/>
  <c r="AD91" i="16"/>
  <c r="AC91" i="16"/>
  <c r="AB91" i="16"/>
  <c r="AA91" i="16"/>
  <c r="Z91" i="16"/>
  <c r="Y91" i="16"/>
  <c r="V91" i="16"/>
  <c r="K91" i="16"/>
  <c r="AF90" i="16"/>
  <c r="AE90" i="16"/>
  <c r="AD90" i="16"/>
  <c r="AC90" i="16"/>
  <c r="AB90" i="16"/>
  <c r="AA90" i="16"/>
  <c r="Z90" i="16"/>
  <c r="Y90" i="16"/>
  <c r="V90" i="16"/>
  <c r="K90" i="16"/>
  <c r="AF89" i="16"/>
  <c r="AE89" i="16"/>
  <c r="AD89" i="16"/>
  <c r="AC89" i="16"/>
  <c r="AB89" i="16"/>
  <c r="AA89" i="16"/>
  <c r="Z89" i="16"/>
  <c r="Y89" i="16"/>
  <c r="V89" i="16"/>
  <c r="K89" i="16"/>
  <c r="AF88" i="16"/>
  <c r="AE88" i="16"/>
  <c r="AD88" i="16"/>
  <c r="AC88" i="16"/>
  <c r="AB88" i="16"/>
  <c r="AA88" i="16"/>
  <c r="Z88" i="16"/>
  <c r="Y88" i="16"/>
  <c r="V88" i="16"/>
  <c r="K88" i="16"/>
  <c r="AF87" i="16"/>
  <c r="AE87" i="16"/>
  <c r="AD87" i="16"/>
  <c r="AC87" i="16"/>
  <c r="AB87" i="16"/>
  <c r="AA87" i="16"/>
  <c r="Z87" i="16"/>
  <c r="Y87" i="16"/>
  <c r="V87" i="16"/>
  <c r="K87" i="16"/>
  <c r="AF86" i="16"/>
  <c r="AE86" i="16"/>
  <c r="AD86" i="16"/>
  <c r="AC86" i="16"/>
  <c r="AB86" i="16"/>
  <c r="AA86" i="16"/>
  <c r="Z86" i="16"/>
  <c r="Y86" i="16"/>
  <c r="V86" i="16"/>
  <c r="K86" i="16"/>
  <c r="AF85" i="16"/>
  <c r="AE85" i="16"/>
  <c r="AD85" i="16"/>
  <c r="AC85" i="16"/>
  <c r="AB85" i="16"/>
  <c r="AA85" i="16"/>
  <c r="Z85" i="16"/>
  <c r="Y85" i="16"/>
  <c r="V85" i="16"/>
  <c r="K85" i="16"/>
  <c r="AF84" i="16"/>
  <c r="AE84" i="16"/>
  <c r="AD84" i="16"/>
  <c r="AC84" i="16"/>
  <c r="AB84" i="16"/>
  <c r="AA84" i="16"/>
  <c r="Z84" i="16"/>
  <c r="Y84" i="16"/>
  <c r="V84" i="16"/>
  <c r="K84" i="16"/>
  <c r="AF83" i="16"/>
  <c r="AE83" i="16"/>
  <c r="AD83" i="16"/>
  <c r="AC83" i="16"/>
  <c r="AB83" i="16"/>
  <c r="AA83" i="16"/>
  <c r="Z83" i="16"/>
  <c r="Y83" i="16"/>
  <c r="V83" i="16"/>
  <c r="K83" i="16"/>
  <c r="AF82" i="16"/>
  <c r="AE82" i="16"/>
  <c r="AD82" i="16"/>
  <c r="AC82" i="16"/>
  <c r="AB82" i="16"/>
  <c r="AA82" i="16"/>
  <c r="Z82" i="16"/>
  <c r="Y82" i="16"/>
  <c r="V82" i="16"/>
  <c r="K82" i="16"/>
  <c r="AF81" i="16"/>
  <c r="AE81" i="16"/>
  <c r="AD81" i="16"/>
  <c r="AC81" i="16"/>
  <c r="AB81" i="16"/>
  <c r="AA81" i="16"/>
  <c r="Z81" i="16"/>
  <c r="Y81" i="16"/>
  <c r="V81" i="16"/>
  <c r="K81" i="16"/>
  <c r="AF80" i="16"/>
  <c r="AE80" i="16"/>
  <c r="AD80" i="16"/>
  <c r="AC80" i="16"/>
  <c r="AB80" i="16"/>
  <c r="AA80" i="16"/>
  <c r="Z80" i="16"/>
  <c r="Y80" i="16"/>
  <c r="V80" i="16"/>
  <c r="K80" i="16"/>
  <c r="AF79" i="16"/>
  <c r="AE79" i="16"/>
  <c r="AD79" i="16"/>
  <c r="AC79" i="16"/>
  <c r="AB79" i="16"/>
  <c r="AA79" i="16"/>
  <c r="Z79" i="16"/>
  <c r="Y79" i="16"/>
  <c r="V79" i="16"/>
  <c r="K79" i="16"/>
  <c r="AF78" i="16"/>
  <c r="AE78" i="16"/>
  <c r="AD78" i="16"/>
  <c r="AC78" i="16"/>
  <c r="AB78" i="16"/>
  <c r="AA78" i="16"/>
  <c r="Z78" i="16"/>
  <c r="Y78" i="16"/>
  <c r="V78" i="16"/>
  <c r="K78" i="16"/>
  <c r="AF77" i="16"/>
  <c r="AE77" i="16"/>
  <c r="AD77" i="16"/>
  <c r="AC77" i="16"/>
  <c r="AB77" i="16"/>
  <c r="AA77" i="16"/>
  <c r="Z77" i="16"/>
  <c r="Y77" i="16"/>
  <c r="V77" i="16"/>
  <c r="K77" i="16"/>
  <c r="AF76" i="16"/>
  <c r="AE76" i="16"/>
  <c r="AD76" i="16"/>
  <c r="AC76" i="16"/>
  <c r="AB76" i="16"/>
  <c r="AA76" i="16"/>
  <c r="Z76" i="16"/>
  <c r="Y76" i="16"/>
  <c r="V76" i="16"/>
  <c r="K76" i="16"/>
  <c r="AF75" i="16"/>
  <c r="AE75" i="16"/>
  <c r="AD75" i="16"/>
  <c r="AC75" i="16"/>
  <c r="AB75" i="16"/>
  <c r="AA75" i="16"/>
  <c r="Z75" i="16"/>
  <c r="Y75" i="16"/>
  <c r="V75" i="16"/>
  <c r="K75" i="16"/>
  <c r="Y73" i="16"/>
  <c r="N73" i="16"/>
  <c r="U69" i="16"/>
  <c r="T69" i="16"/>
  <c r="S69" i="16"/>
  <c r="R69" i="16"/>
  <c r="Q69" i="16"/>
  <c r="P69" i="16"/>
  <c r="O69" i="16"/>
  <c r="N69" i="16"/>
  <c r="J69" i="16"/>
  <c r="I69" i="16"/>
  <c r="H69" i="16"/>
  <c r="G69" i="16"/>
  <c r="AF68" i="16"/>
  <c r="AE68" i="16"/>
  <c r="AD68" i="16"/>
  <c r="AC68" i="16"/>
  <c r="AB68" i="16"/>
  <c r="AA68" i="16"/>
  <c r="Z68" i="16"/>
  <c r="Y68" i="16"/>
  <c r="K68" i="16"/>
  <c r="AF66" i="16"/>
  <c r="AE66" i="16"/>
  <c r="AD66" i="16"/>
  <c r="AC66" i="16"/>
  <c r="AB66" i="16"/>
  <c r="AA66" i="16"/>
  <c r="Z66" i="16"/>
  <c r="Y66" i="16"/>
  <c r="K66" i="16"/>
  <c r="AF67" i="16"/>
  <c r="AE67" i="16"/>
  <c r="AD67" i="16"/>
  <c r="AC67" i="16"/>
  <c r="AB67" i="16"/>
  <c r="AA67" i="16"/>
  <c r="Z67" i="16"/>
  <c r="Y67" i="16"/>
  <c r="K67" i="16"/>
  <c r="AF65" i="16"/>
  <c r="AE65" i="16"/>
  <c r="AC65" i="16"/>
  <c r="AB65" i="16"/>
  <c r="AA65" i="16"/>
  <c r="Z65" i="16"/>
  <c r="Y65" i="16"/>
  <c r="K65" i="16"/>
  <c r="AF64" i="16"/>
  <c r="AE64" i="16"/>
  <c r="AD64" i="16"/>
  <c r="AC64" i="16"/>
  <c r="AB64" i="16"/>
  <c r="AA64" i="16"/>
  <c r="Z64" i="16"/>
  <c r="Y64" i="16"/>
  <c r="K64" i="16"/>
  <c r="AF63" i="16"/>
  <c r="AE63" i="16"/>
  <c r="AD63" i="16"/>
  <c r="AC63" i="16"/>
  <c r="AB63" i="16"/>
  <c r="AA63" i="16"/>
  <c r="Z63" i="16"/>
  <c r="Y63" i="16"/>
  <c r="K63" i="16"/>
  <c r="K69" i="16" s="1"/>
  <c r="AF62" i="16"/>
  <c r="AE62" i="16"/>
  <c r="AD62" i="16"/>
  <c r="AC62" i="16"/>
  <c r="AB62" i="16"/>
  <c r="AA62" i="16"/>
  <c r="Z62" i="16"/>
  <c r="Y62" i="16"/>
  <c r="K62" i="16"/>
  <c r="AF61" i="16"/>
  <c r="AE61" i="16"/>
  <c r="AD61" i="16"/>
  <c r="AC61" i="16"/>
  <c r="AB61" i="16"/>
  <c r="AA61" i="16"/>
  <c r="Z61" i="16"/>
  <c r="Y61" i="16"/>
  <c r="K61" i="16"/>
  <c r="AF60" i="16"/>
  <c r="AE60" i="16"/>
  <c r="AD60" i="16"/>
  <c r="AC60" i="16"/>
  <c r="AB60" i="16"/>
  <c r="AA60" i="16"/>
  <c r="Z60" i="16"/>
  <c r="Y60" i="16"/>
  <c r="K60" i="16"/>
  <c r="AF59" i="16"/>
  <c r="AE59" i="16"/>
  <c r="AD59" i="16"/>
  <c r="AC59" i="16"/>
  <c r="AB59" i="16"/>
  <c r="AA59" i="16"/>
  <c r="Z59" i="16"/>
  <c r="Y59" i="16"/>
  <c r="K59" i="16"/>
  <c r="AF58" i="16"/>
  <c r="AE58" i="16"/>
  <c r="AD58" i="16"/>
  <c r="AC58" i="16"/>
  <c r="AB58" i="16"/>
  <c r="AA58" i="16"/>
  <c r="Z58" i="16"/>
  <c r="Y58" i="16"/>
  <c r="K58" i="16"/>
  <c r="AF57" i="16"/>
  <c r="AE57" i="16"/>
  <c r="AD57" i="16"/>
  <c r="AC57" i="16"/>
  <c r="AB57" i="16"/>
  <c r="AA57" i="16"/>
  <c r="Z57" i="16"/>
  <c r="Y57" i="16"/>
  <c r="K57" i="16"/>
  <c r="AF56" i="16"/>
  <c r="AE56" i="16"/>
  <c r="AD56" i="16"/>
  <c r="AC56" i="16"/>
  <c r="AB56" i="16"/>
  <c r="AA56" i="16"/>
  <c r="Z56" i="16"/>
  <c r="Y56" i="16"/>
  <c r="K56" i="16"/>
  <c r="AF55" i="16"/>
  <c r="AE55" i="16"/>
  <c r="AD55" i="16"/>
  <c r="AC55" i="16"/>
  <c r="AB55" i="16"/>
  <c r="AA55" i="16"/>
  <c r="Z55" i="16"/>
  <c r="Y55" i="16"/>
  <c r="K55" i="16"/>
  <c r="AF54" i="16"/>
  <c r="AE54" i="16"/>
  <c r="AD54" i="16"/>
  <c r="AC54" i="16"/>
  <c r="AB54" i="16"/>
  <c r="AA54" i="16"/>
  <c r="Z54" i="16"/>
  <c r="Y54" i="16"/>
  <c r="K54" i="16"/>
  <c r="AF53" i="16"/>
  <c r="AE53" i="16"/>
  <c r="AD53" i="16"/>
  <c r="AC53" i="16"/>
  <c r="AB53" i="16"/>
  <c r="AA53" i="16"/>
  <c r="Z53" i="16"/>
  <c r="Y53" i="16"/>
  <c r="K53" i="16"/>
  <c r="AF52" i="16"/>
  <c r="AE52" i="16"/>
  <c r="AD52" i="16"/>
  <c r="AC52" i="16"/>
  <c r="AB52" i="16"/>
  <c r="AA52" i="16"/>
  <c r="Z52" i="16"/>
  <c r="Y52" i="16"/>
  <c r="K52" i="16"/>
  <c r="AF51" i="16"/>
  <c r="AE51" i="16"/>
  <c r="AD51" i="16"/>
  <c r="AC51" i="16"/>
  <c r="AB51" i="16"/>
  <c r="AA51" i="16"/>
  <c r="Z51" i="16"/>
  <c r="Y51" i="16"/>
  <c r="K51" i="16"/>
  <c r="AF50" i="16"/>
  <c r="AE50" i="16"/>
  <c r="AD50" i="16"/>
  <c r="AC50" i="16"/>
  <c r="AB50" i="16"/>
  <c r="AA50" i="16"/>
  <c r="Z50" i="16"/>
  <c r="Y50" i="16"/>
  <c r="K50" i="16"/>
  <c r="AF49" i="16"/>
  <c r="AE49" i="16"/>
  <c r="AD49" i="16"/>
  <c r="AC49" i="16"/>
  <c r="AB49" i="16"/>
  <c r="AA49" i="16"/>
  <c r="Z49" i="16"/>
  <c r="K49" i="16"/>
  <c r="Y47" i="16"/>
  <c r="N47" i="16"/>
  <c r="AJ9" i="8"/>
  <c r="AK9" i="8"/>
  <c r="AL9" i="8"/>
  <c r="AM9" i="8"/>
  <c r="AN9" i="8"/>
  <c r="AO9" i="8"/>
  <c r="AP9" i="8"/>
  <c r="AQ9" i="8"/>
  <c r="AR9" i="8"/>
  <c r="AS9" i="8"/>
  <c r="AT9" i="8"/>
  <c r="AU9" i="8"/>
  <c r="AV9" i="8"/>
  <c r="AW9" i="8"/>
  <c r="AX9" i="8"/>
  <c r="AY9" i="8"/>
  <c r="AK10" i="8"/>
  <c r="AL10" i="8"/>
  <c r="AM10" i="8"/>
  <c r="AN10" i="8"/>
  <c r="AO10" i="8"/>
  <c r="AP10" i="8"/>
  <c r="AQ10" i="8"/>
  <c r="AR10" i="8"/>
  <c r="AS10" i="8"/>
  <c r="AT10" i="8"/>
  <c r="AU10" i="8"/>
  <c r="AV10" i="8"/>
  <c r="AW10" i="8"/>
  <c r="AX10" i="8"/>
  <c r="AY10" i="8"/>
  <c r="AK11" i="8"/>
  <c r="AL11" i="8"/>
  <c r="AM11" i="8"/>
  <c r="AN11" i="8"/>
  <c r="AO11" i="8"/>
  <c r="AP11" i="8"/>
  <c r="AQ11" i="8"/>
  <c r="AR11" i="8"/>
  <c r="AS11" i="8"/>
  <c r="AT11" i="8"/>
  <c r="AU11" i="8"/>
  <c r="AV11" i="8"/>
  <c r="AW11" i="8"/>
  <c r="AX11" i="8"/>
  <c r="AY11" i="8"/>
  <c r="AK12" i="8"/>
  <c r="AL12" i="8"/>
  <c r="AM12" i="8"/>
  <c r="AN12" i="8"/>
  <c r="AO12" i="8"/>
  <c r="AP12" i="8"/>
  <c r="AQ12" i="8"/>
  <c r="AR12" i="8"/>
  <c r="AS12" i="8"/>
  <c r="AT12" i="8"/>
  <c r="AU12" i="8"/>
  <c r="AV12" i="8"/>
  <c r="AW12" i="8"/>
  <c r="AX12" i="8"/>
  <c r="AY12" i="8"/>
  <c r="AK13" i="8"/>
  <c r="AL13" i="8"/>
  <c r="AM13" i="8"/>
  <c r="AN13" i="8"/>
  <c r="AO13" i="8"/>
  <c r="AP13" i="8"/>
  <c r="AQ13" i="8"/>
  <c r="AR13" i="8"/>
  <c r="AS13" i="8"/>
  <c r="AT13" i="8"/>
  <c r="AU13" i="8"/>
  <c r="AV13" i="8"/>
  <c r="AW13" i="8"/>
  <c r="AX13" i="8"/>
  <c r="AY13" i="8"/>
  <c r="AK14" i="8"/>
  <c r="AL14" i="8"/>
  <c r="AM14" i="8"/>
  <c r="AN14" i="8"/>
  <c r="AO14" i="8"/>
  <c r="AP14" i="8"/>
  <c r="AQ14" i="8"/>
  <c r="AR14" i="8"/>
  <c r="AS14" i="8"/>
  <c r="AT14" i="8"/>
  <c r="AU14" i="8"/>
  <c r="AV14" i="8"/>
  <c r="AW14" i="8"/>
  <c r="AX14" i="8"/>
  <c r="AY14" i="8"/>
  <c r="AK15" i="8"/>
  <c r="AL15" i="8"/>
  <c r="AM15" i="8"/>
  <c r="AN15" i="8"/>
  <c r="AO15" i="8"/>
  <c r="AP15" i="8"/>
  <c r="AQ15" i="8"/>
  <c r="AR15" i="8"/>
  <c r="AS15" i="8"/>
  <c r="AT15" i="8"/>
  <c r="AU15" i="8"/>
  <c r="AV15" i="8"/>
  <c r="AW15" i="8"/>
  <c r="AX15" i="8"/>
  <c r="AY15" i="8"/>
  <c r="AK16" i="8"/>
  <c r="AL16" i="8"/>
  <c r="AM16" i="8"/>
  <c r="AN16" i="8"/>
  <c r="AO16" i="8"/>
  <c r="AP16" i="8"/>
  <c r="AQ16" i="8"/>
  <c r="AR16" i="8"/>
  <c r="AS16" i="8"/>
  <c r="AT16" i="8"/>
  <c r="AU16" i="8"/>
  <c r="AV16" i="8"/>
  <c r="AW16" i="8"/>
  <c r="AX16" i="8"/>
  <c r="AY16" i="8"/>
  <c r="AK17" i="8"/>
  <c r="AL17" i="8"/>
  <c r="AM17" i="8"/>
  <c r="AN17" i="8"/>
  <c r="AO17" i="8"/>
  <c r="AP17" i="8"/>
  <c r="AQ17" i="8"/>
  <c r="AR17" i="8"/>
  <c r="AS17" i="8"/>
  <c r="AT17" i="8"/>
  <c r="AU17" i="8"/>
  <c r="AV17" i="8"/>
  <c r="AW17" i="8"/>
  <c r="AX17" i="8"/>
  <c r="AY17" i="8"/>
  <c r="AK18" i="8"/>
  <c r="AL18" i="8"/>
  <c r="AM18" i="8"/>
  <c r="AN18" i="8"/>
  <c r="AO18" i="8"/>
  <c r="AP18" i="8"/>
  <c r="AQ18" i="8"/>
  <c r="AR18" i="8"/>
  <c r="AS18" i="8"/>
  <c r="AT18" i="8"/>
  <c r="AU18" i="8"/>
  <c r="AV18" i="8"/>
  <c r="AW18" i="8"/>
  <c r="AX18" i="8"/>
  <c r="AY18" i="8"/>
  <c r="AK19" i="8"/>
  <c r="AL19" i="8"/>
  <c r="AM19" i="8"/>
  <c r="AN19" i="8"/>
  <c r="AO19" i="8"/>
  <c r="AP19" i="8"/>
  <c r="AQ19" i="8"/>
  <c r="AR19" i="8"/>
  <c r="AS19" i="8"/>
  <c r="AT19" i="8"/>
  <c r="AU19" i="8"/>
  <c r="AV19" i="8"/>
  <c r="AW19" i="8"/>
  <c r="AX19" i="8"/>
  <c r="AY19" i="8"/>
  <c r="AK20" i="8"/>
  <c r="AL20" i="8"/>
  <c r="AM20" i="8"/>
  <c r="AN20" i="8"/>
  <c r="AO20" i="8"/>
  <c r="AP20" i="8"/>
  <c r="AQ20" i="8"/>
  <c r="AR20" i="8"/>
  <c r="AS20" i="8"/>
  <c r="AT20" i="8"/>
  <c r="AU20" i="8"/>
  <c r="AV20" i="8"/>
  <c r="AW20" i="8"/>
  <c r="AX20" i="8"/>
  <c r="AY20" i="8"/>
  <c r="AK21" i="8"/>
  <c r="AL21" i="8"/>
  <c r="AM21" i="8"/>
  <c r="AN21" i="8"/>
  <c r="AO21" i="8"/>
  <c r="AP21" i="8"/>
  <c r="AQ21" i="8"/>
  <c r="AR21" i="8"/>
  <c r="AS21" i="8"/>
  <c r="AT21" i="8"/>
  <c r="AU21" i="8"/>
  <c r="AV21" i="8"/>
  <c r="AW21" i="8"/>
  <c r="AX21" i="8"/>
  <c r="AY21" i="8"/>
  <c r="AK22" i="8"/>
  <c r="AL22" i="8"/>
  <c r="AM22" i="8"/>
  <c r="AN22" i="8"/>
  <c r="AO22" i="8"/>
  <c r="AP22" i="8"/>
  <c r="AQ22" i="8"/>
  <c r="AR22" i="8"/>
  <c r="AS22" i="8"/>
  <c r="AT22" i="8"/>
  <c r="AU22" i="8"/>
  <c r="AV22" i="8"/>
  <c r="AW22" i="8"/>
  <c r="AX22" i="8"/>
  <c r="AY22" i="8"/>
  <c r="AK23" i="8"/>
  <c r="AL23" i="8"/>
  <c r="AM23" i="8"/>
  <c r="AN23" i="8"/>
  <c r="AO23" i="8"/>
  <c r="AP23" i="8"/>
  <c r="AQ23" i="8"/>
  <c r="AR23" i="8"/>
  <c r="AS23" i="8"/>
  <c r="AT23" i="8"/>
  <c r="AU23" i="8"/>
  <c r="AV23" i="8"/>
  <c r="AW23" i="8"/>
  <c r="AX23" i="8"/>
  <c r="AY23" i="8"/>
  <c r="AK24" i="8"/>
  <c r="AL24" i="8"/>
  <c r="AM24" i="8"/>
  <c r="AN24" i="8"/>
  <c r="AO24" i="8"/>
  <c r="AP24" i="8"/>
  <c r="AQ24" i="8"/>
  <c r="AR24" i="8"/>
  <c r="AS24" i="8"/>
  <c r="AT24" i="8"/>
  <c r="AU24" i="8"/>
  <c r="AV24" i="8"/>
  <c r="AW24" i="8"/>
  <c r="AX24" i="8"/>
  <c r="AY24" i="8"/>
  <c r="AK25" i="8"/>
  <c r="AL25" i="8"/>
  <c r="AM25" i="8"/>
  <c r="AN25" i="8"/>
  <c r="AO25" i="8"/>
  <c r="AP25" i="8"/>
  <c r="AQ25" i="8"/>
  <c r="AR25" i="8"/>
  <c r="AS25" i="8"/>
  <c r="AT25" i="8"/>
  <c r="AU25" i="8"/>
  <c r="AV25" i="8"/>
  <c r="AW25" i="8"/>
  <c r="AX25" i="8"/>
  <c r="AY25" i="8"/>
  <c r="AK26" i="8"/>
  <c r="AL26" i="8"/>
  <c r="AM26" i="8"/>
  <c r="AN26" i="8"/>
  <c r="AO26" i="8"/>
  <c r="AP26" i="8"/>
  <c r="AQ26" i="8"/>
  <c r="AR26" i="8"/>
  <c r="AS26" i="8"/>
  <c r="AT26" i="8"/>
  <c r="AU26" i="8"/>
  <c r="AV26" i="8"/>
  <c r="AW26" i="8"/>
  <c r="AX26" i="8"/>
  <c r="AY26" i="8"/>
  <c r="AK27" i="8"/>
  <c r="AL27" i="8"/>
  <c r="AM27" i="8"/>
  <c r="AN27" i="8"/>
  <c r="AO27" i="8"/>
  <c r="AP27" i="8"/>
  <c r="AQ27" i="8"/>
  <c r="AR27" i="8"/>
  <c r="AS27" i="8"/>
  <c r="AT27" i="8"/>
  <c r="AU27" i="8"/>
  <c r="AV27" i="8"/>
  <c r="AW27" i="8"/>
  <c r="AX27" i="8"/>
  <c r="AY27" i="8"/>
  <c r="AK28" i="8"/>
  <c r="AL28" i="8"/>
  <c r="AM28" i="8"/>
  <c r="AN28" i="8"/>
  <c r="AO28" i="8"/>
  <c r="AP28" i="8"/>
  <c r="AQ28" i="8"/>
  <c r="AR28" i="8"/>
  <c r="AS28" i="8"/>
  <c r="AT28" i="8"/>
  <c r="AU28" i="8"/>
  <c r="AV28" i="8"/>
  <c r="AW28" i="8"/>
  <c r="AX28" i="8"/>
  <c r="AY28" i="8"/>
  <c r="AJ10" i="8"/>
  <c r="AJ11" i="8"/>
  <c r="AJ12" i="8"/>
  <c r="AJ13" i="8"/>
  <c r="AJ14" i="8"/>
  <c r="AJ15" i="8"/>
  <c r="AJ16" i="8"/>
  <c r="AJ17" i="8"/>
  <c r="AJ18" i="8"/>
  <c r="AJ20" i="8"/>
  <c r="AJ21" i="8"/>
  <c r="AJ22" i="8"/>
  <c r="AJ23" i="8"/>
  <c r="AJ24" i="8"/>
  <c r="AJ25" i="8"/>
  <c r="AJ26" i="8"/>
  <c r="AJ27" i="8"/>
  <c r="AJ28" i="8"/>
  <c r="AA416" i="16" l="1"/>
  <c r="AA424" i="16"/>
  <c r="AD420" i="16"/>
  <c r="AA417" i="16"/>
  <c r="AC418" i="16"/>
  <c r="AA425" i="16"/>
  <c r="AC414" i="16"/>
  <c r="AB419" i="16"/>
  <c r="AF422" i="16"/>
  <c r="AE421" i="16"/>
  <c r="AB421" i="16"/>
  <c r="AA414" i="16"/>
  <c r="AF418" i="16"/>
  <c r="Z420" i="16"/>
  <c r="AB422" i="16"/>
  <c r="AE425" i="16"/>
  <c r="AB415" i="16"/>
  <c r="AC420" i="16"/>
  <c r="AD416" i="16"/>
  <c r="Z428" i="16"/>
  <c r="AC423" i="16"/>
  <c r="AC416" i="16"/>
  <c r="AE419" i="16"/>
  <c r="AC415" i="16"/>
  <c r="AF413" i="16"/>
  <c r="AD417" i="16"/>
  <c r="J108" i="28"/>
  <c r="M108" i="28" s="1"/>
  <c r="F16" i="42" s="1"/>
  <c r="AE415" i="16"/>
  <c r="AD413" i="16"/>
  <c r="AE431" i="16"/>
  <c r="Z423" i="16"/>
  <c r="AA415" i="16"/>
  <c r="AC417" i="16"/>
  <c r="AD418" i="16"/>
  <c r="AD424" i="16"/>
  <c r="Z421" i="16"/>
  <c r="AF419" i="16"/>
  <c r="AC419" i="16"/>
  <c r="AD425" i="16"/>
  <c r="AB423" i="16"/>
  <c r="AE426" i="16"/>
  <c r="AC424" i="16"/>
  <c r="AF427" i="16"/>
  <c r="AD431" i="16"/>
  <c r="AA422" i="16"/>
  <c r="AE418" i="16"/>
  <c r="Z430" i="16"/>
  <c r="AF429" i="16"/>
  <c r="AD427" i="16"/>
  <c r="AE422" i="16"/>
  <c r="Y414" i="16"/>
  <c r="AC432" i="16"/>
  <c r="Y426" i="16"/>
  <c r="Y421" i="16"/>
  <c r="AE430" i="16"/>
  <c r="Y420" i="16"/>
  <c r="Y416" i="16"/>
  <c r="AD430" i="16"/>
  <c r="AF432" i="16"/>
  <c r="AB428" i="16"/>
  <c r="AB425" i="16"/>
  <c r="AB431" i="16"/>
  <c r="AB416" i="16"/>
  <c r="AD428" i="16"/>
  <c r="Y424" i="16"/>
  <c r="Z422" i="16"/>
  <c r="AF420" i="16"/>
  <c r="AE427" i="16"/>
  <c r="AC425" i="16"/>
  <c r="Z431" i="16"/>
  <c r="AB418" i="16"/>
  <c r="AB424" i="16"/>
  <c r="Y425" i="16"/>
  <c r="AF421" i="16"/>
  <c r="AC427" i="16"/>
  <c r="Z416" i="16"/>
  <c r="AA413" i="16"/>
  <c r="J53" i="2"/>
  <c r="B94" i="2"/>
  <c r="B115" i="2" s="1"/>
  <c r="J55" i="2"/>
  <c r="B96" i="2"/>
  <c r="B117" i="2" s="1"/>
  <c r="J59" i="2"/>
  <c r="J64" i="2"/>
  <c r="B105" i="2"/>
  <c r="J105" i="2" s="1"/>
  <c r="J52" i="2"/>
  <c r="B114" i="2"/>
  <c r="J56" i="2"/>
  <c r="B97" i="2"/>
  <c r="B118" i="2" s="1"/>
  <c r="J58" i="2"/>
  <c r="B99" i="2"/>
  <c r="B120" i="2" s="1"/>
  <c r="J63" i="2"/>
  <c r="B104" i="2"/>
  <c r="B125" i="2" s="1"/>
  <c r="B92" i="2"/>
  <c r="B113" i="2" s="1"/>
  <c r="J57" i="2"/>
  <c r="B98" i="2"/>
  <c r="B119" i="2" s="1"/>
  <c r="J61" i="2"/>
  <c r="B102" i="2"/>
  <c r="B123" i="2" s="1"/>
  <c r="J62" i="2"/>
  <c r="B103" i="2"/>
  <c r="B124" i="2" s="1"/>
  <c r="J54" i="2"/>
  <c r="B95" i="2"/>
  <c r="B116" i="2" s="1"/>
  <c r="J60" i="2"/>
  <c r="B101" i="2"/>
  <c r="B122" i="2" s="1"/>
  <c r="J65" i="2"/>
  <c r="B106" i="2"/>
  <c r="B127" i="2" s="1"/>
  <c r="J66" i="2"/>
  <c r="B107" i="2"/>
  <c r="B128" i="2" s="1"/>
  <c r="AD426" i="16"/>
  <c r="AC430" i="16"/>
  <c r="AF428" i="16"/>
  <c r="AF431" i="16"/>
  <c r="AF430" i="16"/>
  <c r="Y423" i="16"/>
  <c r="J51" i="2"/>
  <c r="B67" i="2"/>
  <c r="J8" i="1"/>
  <c r="AC429" i="16"/>
  <c r="AE413" i="16"/>
  <c r="AF426" i="16"/>
  <c r="V417" i="16"/>
  <c r="R433" i="16"/>
  <c r="AE416" i="16"/>
  <c r="Z426" i="16"/>
  <c r="V431" i="16"/>
  <c r="V426" i="16"/>
  <c r="V422" i="16"/>
  <c r="V418" i="16"/>
  <c r="V413" i="16"/>
  <c r="I156" i="1"/>
  <c r="I177" i="1" s="1"/>
  <c r="V424" i="16"/>
  <c r="V421" i="16"/>
  <c r="V429" i="16"/>
  <c r="P433" i="16"/>
  <c r="Y95" i="16"/>
  <c r="AC95" i="16"/>
  <c r="V423" i="16"/>
  <c r="V420" i="16"/>
  <c r="V416" i="16"/>
  <c r="V430" i="16"/>
  <c r="V419" i="16"/>
  <c r="V415" i="16"/>
  <c r="I170" i="28"/>
  <c r="I188" i="28"/>
  <c r="J188" i="28" s="1"/>
  <c r="I178" i="28"/>
  <c r="J178" i="28" s="1"/>
  <c r="J156" i="28"/>
  <c r="H170" i="28"/>
  <c r="I159" i="1"/>
  <c r="I180" i="1" s="1"/>
  <c r="V428" i="16"/>
  <c r="V425" i="16"/>
  <c r="V427" i="16"/>
  <c r="J129" i="28"/>
  <c r="J161" i="28"/>
  <c r="I161" i="1"/>
  <c r="I182" i="1" s="1"/>
  <c r="J162" i="28"/>
  <c r="J167" i="28"/>
  <c r="H187" i="28"/>
  <c r="J187" i="28" s="1"/>
  <c r="I181" i="28"/>
  <c r="J181" i="28" s="1"/>
  <c r="I183" i="28"/>
  <c r="J183" i="28" s="1"/>
  <c r="J157" i="28"/>
  <c r="H176" i="28"/>
  <c r="I180" i="28"/>
  <c r="J180" i="28" s="1"/>
  <c r="J160" i="28"/>
  <c r="K407" i="16"/>
  <c r="Q36" i="13" s="1"/>
  <c r="AA407" i="16"/>
  <c r="AE407" i="16"/>
  <c r="V95" i="16"/>
  <c r="O24" i="13" s="1"/>
  <c r="P24" i="13" s="1"/>
  <c r="AB95" i="16"/>
  <c r="AF95" i="16"/>
  <c r="Z121" i="16"/>
  <c r="AD121" i="16"/>
  <c r="V147" i="16"/>
  <c r="O26" i="13" s="1"/>
  <c r="P26" i="13" s="1"/>
  <c r="V199" i="16"/>
  <c r="O28" i="13" s="1"/>
  <c r="P28" i="13" s="1"/>
  <c r="Z225" i="16"/>
  <c r="AD225" i="16"/>
  <c r="V251" i="16"/>
  <c r="O30" i="13" s="1"/>
  <c r="P30" i="13" s="1"/>
  <c r="AB251" i="16"/>
  <c r="AF251" i="16"/>
  <c r="Z277" i="16"/>
  <c r="AD277" i="16"/>
  <c r="V303" i="16"/>
  <c r="O32" i="13" s="1"/>
  <c r="P32" i="13" s="1"/>
  <c r="AB303" i="16"/>
  <c r="AF303" i="16"/>
  <c r="Z329" i="16"/>
  <c r="AD329" i="16"/>
  <c r="V355" i="16"/>
  <c r="O34" i="13" s="1"/>
  <c r="P34" i="13" s="1"/>
  <c r="Z381" i="16"/>
  <c r="AD381" i="16"/>
  <c r="V407" i="16"/>
  <c r="O36" i="13" s="1"/>
  <c r="P36" i="13" s="1"/>
  <c r="AB407" i="16"/>
  <c r="AF407" i="16"/>
  <c r="B12" i="1"/>
  <c r="B54" i="1" s="1"/>
  <c r="J12" i="2"/>
  <c r="B18" i="1"/>
  <c r="B60" i="1" s="1"/>
  <c r="J18" i="2"/>
  <c r="B23" i="1"/>
  <c r="B65" i="1" s="1"/>
  <c r="J23" i="2"/>
  <c r="B24" i="1"/>
  <c r="B66" i="1" s="1"/>
  <c r="J24" i="2"/>
  <c r="B11" i="1"/>
  <c r="B53" i="1" s="1"/>
  <c r="J11" i="2"/>
  <c r="B13" i="1"/>
  <c r="B55" i="1" s="1"/>
  <c r="J13" i="2"/>
  <c r="B17" i="1"/>
  <c r="B59" i="1" s="1"/>
  <c r="J17" i="2"/>
  <c r="J22" i="2"/>
  <c r="B10" i="1"/>
  <c r="B52" i="1" s="1"/>
  <c r="J10" i="2"/>
  <c r="B14" i="1"/>
  <c r="B56" i="1" s="1"/>
  <c r="J14" i="2"/>
  <c r="B16" i="1"/>
  <c r="B58" i="1" s="1"/>
  <c r="J16" i="2"/>
  <c r="B21" i="1"/>
  <c r="B63" i="1" s="1"/>
  <c r="J21" i="2"/>
  <c r="B9" i="1"/>
  <c r="B51" i="1" s="1"/>
  <c r="J9" i="2"/>
  <c r="B15" i="1"/>
  <c r="B57" i="1" s="1"/>
  <c r="J15" i="2"/>
  <c r="B19" i="1"/>
  <c r="B61" i="1" s="1"/>
  <c r="J19" i="2"/>
  <c r="B20" i="1"/>
  <c r="B62" i="1" s="1"/>
  <c r="J20" i="2"/>
  <c r="I190" i="2"/>
  <c r="AB147" i="16"/>
  <c r="AF147" i="16"/>
  <c r="AE429" i="16"/>
  <c r="K416" i="16"/>
  <c r="Z69" i="16"/>
  <c r="AD69" i="16"/>
  <c r="K419" i="16"/>
  <c r="AG117" i="16"/>
  <c r="AG119" i="16"/>
  <c r="K147" i="16"/>
  <c r="Q26" i="13" s="1"/>
  <c r="AA147" i="16"/>
  <c r="AE147" i="16"/>
  <c r="AG128" i="16"/>
  <c r="AG130" i="16"/>
  <c r="AG132" i="16"/>
  <c r="AG134" i="16"/>
  <c r="AG136" i="16"/>
  <c r="AG138" i="16"/>
  <c r="AG140" i="16"/>
  <c r="AG142" i="16"/>
  <c r="AG144" i="16"/>
  <c r="AG146" i="16"/>
  <c r="Y173" i="16"/>
  <c r="AC173" i="16"/>
  <c r="AG155" i="16"/>
  <c r="AG157" i="16"/>
  <c r="AG159" i="16"/>
  <c r="AG161" i="16"/>
  <c r="AG163" i="16"/>
  <c r="AG165" i="16"/>
  <c r="AG167" i="16"/>
  <c r="AG169" i="16"/>
  <c r="AG171" i="16"/>
  <c r="AA199" i="16"/>
  <c r="AE199" i="16"/>
  <c r="AG180" i="16"/>
  <c r="AG182" i="16"/>
  <c r="AG184" i="16"/>
  <c r="AG186" i="16"/>
  <c r="AG188" i="16"/>
  <c r="AG190" i="16"/>
  <c r="AG192" i="16"/>
  <c r="AG194" i="16"/>
  <c r="Y225" i="16"/>
  <c r="AC225" i="16"/>
  <c r="AG207" i="16"/>
  <c r="AG209" i="16"/>
  <c r="AG211" i="16"/>
  <c r="AG213" i="16"/>
  <c r="AG215" i="16"/>
  <c r="AG217" i="16"/>
  <c r="N433" i="16"/>
  <c r="T433" i="16"/>
  <c r="AG219" i="16"/>
  <c r="AG221" i="16"/>
  <c r="AG223" i="16"/>
  <c r="AA251" i="16"/>
  <c r="AE251" i="16"/>
  <c r="AG232" i="16"/>
  <c r="AG234" i="16"/>
  <c r="AG236" i="16"/>
  <c r="AG238" i="16"/>
  <c r="AG240" i="16"/>
  <c r="AG242" i="16"/>
  <c r="AG244" i="16"/>
  <c r="AG246" i="16"/>
  <c r="AG248" i="16"/>
  <c r="AG250" i="16"/>
  <c r="Y277" i="16"/>
  <c r="AC277" i="16"/>
  <c r="AG259" i="16"/>
  <c r="AG261" i="16"/>
  <c r="AG263" i="16"/>
  <c r="AG265" i="16"/>
  <c r="AG267" i="16"/>
  <c r="AG269" i="16"/>
  <c r="AG271" i="16"/>
  <c r="AG273" i="16"/>
  <c r="AG275" i="16"/>
  <c r="AA303" i="16"/>
  <c r="AG286" i="16"/>
  <c r="AG288" i="16"/>
  <c r="AG290" i="16"/>
  <c r="AG292" i="16"/>
  <c r="AG294" i="16"/>
  <c r="AG296" i="16"/>
  <c r="AG298" i="16"/>
  <c r="AG300" i="16"/>
  <c r="AG302" i="16"/>
  <c r="Y329" i="16"/>
  <c r="AC329" i="16"/>
  <c r="AG311" i="16"/>
  <c r="AG313" i="16"/>
  <c r="AG315" i="16"/>
  <c r="AG317" i="16"/>
  <c r="AG319" i="16"/>
  <c r="AG321" i="16"/>
  <c r="AG323" i="16"/>
  <c r="AG325" i="16"/>
  <c r="AG327" i="16"/>
  <c r="K355" i="16"/>
  <c r="Q34" i="13" s="1"/>
  <c r="AA355" i="16"/>
  <c r="AE355" i="16"/>
  <c r="AG336" i="16"/>
  <c r="AG338" i="16"/>
  <c r="AG340" i="16"/>
  <c r="AG342" i="16"/>
  <c r="AG344" i="16"/>
  <c r="AG346" i="16"/>
  <c r="AG348" i="16"/>
  <c r="AG350" i="16"/>
  <c r="AG352" i="16"/>
  <c r="AG354" i="16"/>
  <c r="Y381" i="16"/>
  <c r="AC381" i="16"/>
  <c r="AG363" i="16"/>
  <c r="AG365" i="16"/>
  <c r="AG367" i="16"/>
  <c r="AG369" i="16"/>
  <c r="AG371" i="16"/>
  <c r="AG373" i="16"/>
  <c r="AG375" i="16"/>
  <c r="AG377" i="16"/>
  <c r="AG379" i="16"/>
  <c r="AG388" i="16"/>
  <c r="AG390" i="16"/>
  <c r="AG392" i="16"/>
  <c r="AG394" i="16"/>
  <c r="AG396" i="16"/>
  <c r="AG398" i="16"/>
  <c r="AG400" i="16"/>
  <c r="AG402" i="16"/>
  <c r="AG404" i="16"/>
  <c r="AG406" i="16"/>
  <c r="Q433" i="16"/>
  <c r="J433" i="16"/>
  <c r="AB355" i="16"/>
  <c r="AF355" i="16"/>
  <c r="J14" i="36"/>
  <c r="G25" i="36"/>
  <c r="H25" i="36"/>
  <c r="AF199" i="16"/>
  <c r="Z173" i="16"/>
  <c r="AD173" i="16"/>
  <c r="AA69" i="16"/>
  <c r="AE69" i="16"/>
  <c r="B22" i="1"/>
  <c r="B64" i="1" s="1"/>
  <c r="K303" i="16"/>
  <c r="Q32" i="13" s="1"/>
  <c r="AE303" i="16"/>
  <c r="AD414" i="16"/>
  <c r="AG284" i="16"/>
  <c r="E433" i="16"/>
  <c r="AE432" i="16"/>
  <c r="I433" i="16"/>
  <c r="AE428" i="16"/>
  <c r="AE414" i="16"/>
  <c r="Z427" i="16"/>
  <c r="Z414" i="16"/>
  <c r="Z432" i="16"/>
  <c r="Z429" i="16"/>
  <c r="K421" i="16"/>
  <c r="AA421" i="16"/>
  <c r="K426" i="16"/>
  <c r="AA431" i="16"/>
  <c r="AA427" i="16"/>
  <c r="AA423" i="16"/>
  <c r="AA428" i="16"/>
  <c r="AA429" i="16"/>
  <c r="AA432" i="16"/>
  <c r="AC431" i="16"/>
  <c r="AC426" i="16"/>
  <c r="K199" i="16"/>
  <c r="Q28" i="13" s="1"/>
  <c r="G433" i="16"/>
  <c r="K431" i="16"/>
  <c r="K418" i="16"/>
  <c r="K251" i="16"/>
  <c r="Q30" i="13" s="1"/>
  <c r="K420" i="16"/>
  <c r="Y427" i="16"/>
  <c r="Y428" i="16"/>
  <c r="AG198" i="16"/>
  <c r="AB199" i="16"/>
  <c r="K417" i="16"/>
  <c r="AB417" i="16"/>
  <c r="AB429" i="16"/>
  <c r="F433" i="16"/>
  <c r="AG196" i="16"/>
  <c r="K429" i="16"/>
  <c r="AB413" i="16"/>
  <c r="Y432" i="16"/>
  <c r="K432" i="16"/>
  <c r="Y418" i="16"/>
  <c r="Y419" i="16"/>
  <c r="K415" i="16"/>
  <c r="Y431" i="16"/>
  <c r="K422" i="16"/>
  <c r="K414" i="16"/>
  <c r="Y429" i="16"/>
  <c r="Y417" i="16"/>
  <c r="K424" i="16"/>
  <c r="Y413" i="16"/>
  <c r="K423" i="16"/>
  <c r="AG116" i="16"/>
  <c r="K430" i="16"/>
  <c r="K427" i="16"/>
  <c r="K428" i="16"/>
  <c r="D433" i="16"/>
  <c r="Z413" i="16"/>
  <c r="Y430" i="16"/>
  <c r="K425" i="16"/>
  <c r="Y422" i="16"/>
  <c r="Y415" i="16"/>
  <c r="K413" i="16"/>
  <c r="AF414" i="16"/>
  <c r="U433" i="16"/>
  <c r="AB414" i="16"/>
  <c r="O433" i="16"/>
  <c r="V414" i="16"/>
  <c r="H433" i="16"/>
  <c r="C433" i="16"/>
  <c r="V69" i="16"/>
  <c r="AF69" i="16"/>
  <c r="AD95" i="16"/>
  <c r="V121" i="16"/>
  <c r="O25" i="13" s="1"/>
  <c r="P25" i="13" s="1"/>
  <c r="AB121" i="16"/>
  <c r="AF121" i="16"/>
  <c r="AG118" i="16"/>
  <c r="AG120" i="16"/>
  <c r="Y147" i="16"/>
  <c r="AC147" i="16"/>
  <c r="AG129" i="16"/>
  <c r="AG131" i="16"/>
  <c r="AG133" i="16"/>
  <c r="AG135" i="16"/>
  <c r="AG137" i="16"/>
  <c r="AG139" i="16"/>
  <c r="AG141" i="16"/>
  <c r="AG143" i="16"/>
  <c r="AG145" i="16"/>
  <c r="K173" i="16"/>
  <c r="Q27" i="13" s="1"/>
  <c r="AA173" i="16"/>
  <c r="AE173" i="16"/>
  <c r="AG154" i="16"/>
  <c r="AG156" i="16"/>
  <c r="AG158" i="16"/>
  <c r="AG160" i="16"/>
  <c r="AG162" i="16"/>
  <c r="AG164" i="16"/>
  <c r="AG166" i="16"/>
  <c r="AG168" i="16"/>
  <c r="AG170" i="16"/>
  <c r="AG172" i="16"/>
  <c r="Y199" i="16"/>
  <c r="AC199" i="16"/>
  <c r="AG181" i="16"/>
  <c r="AG183" i="16"/>
  <c r="AG185" i="16"/>
  <c r="AG187" i="16"/>
  <c r="AG189" i="16"/>
  <c r="AG191" i="16"/>
  <c r="AG193" i="16"/>
  <c r="AG195" i="16"/>
  <c r="AG197" i="16"/>
  <c r="K225" i="16"/>
  <c r="Q29" i="13" s="1"/>
  <c r="AA225" i="16"/>
  <c r="AE225" i="16"/>
  <c r="AG206" i="16"/>
  <c r="AG208" i="16"/>
  <c r="AG210" i="16"/>
  <c r="AG212" i="16"/>
  <c r="AG214" i="16"/>
  <c r="AG216" i="16"/>
  <c r="AG218" i="16"/>
  <c r="AG220" i="16"/>
  <c r="AG222" i="16"/>
  <c r="AB69" i="16"/>
  <c r="Z95" i="16"/>
  <c r="Y69" i="16"/>
  <c r="AC69" i="16"/>
  <c r="AG51" i="16"/>
  <c r="AG53" i="16"/>
  <c r="AG55" i="16"/>
  <c r="AG57" i="16"/>
  <c r="AG59" i="16"/>
  <c r="AG61" i="16"/>
  <c r="AG63" i="16"/>
  <c r="AG65" i="16"/>
  <c r="AG66" i="16"/>
  <c r="K95" i="16"/>
  <c r="Q24" i="13" s="1"/>
  <c r="AA95" i="16"/>
  <c r="AE95" i="16"/>
  <c r="AG76" i="16"/>
  <c r="AG78" i="16"/>
  <c r="AG80" i="16"/>
  <c r="AG82" i="16"/>
  <c r="AG84" i="16"/>
  <c r="AG86" i="16"/>
  <c r="AG88" i="16"/>
  <c r="AG90" i="16"/>
  <c r="AG92" i="16"/>
  <c r="AG94" i="16"/>
  <c r="Y121" i="16"/>
  <c r="AC121" i="16"/>
  <c r="AG103" i="16"/>
  <c r="AG105" i="16"/>
  <c r="AG107" i="16"/>
  <c r="AG109" i="16"/>
  <c r="AG111" i="16"/>
  <c r="AG113" i="16"/>
  <c r="AG115" i="16"/>
  <c r="Z147" i="16"/>
  <c r="AD147" i="16"/>
  <c r="V173" i="16"/>
  <c r="O27" i="13" s="1"/>
  <c r="P27" i="13" s="1"/>
  <c r="AB173" i="16"/>
  <c r="AF173" i="16"/>
  <c r="Z199" i="16"/>
  <c r="AD199" i="16"/>
  <c r="V225" i="16"/>
  <c r="O29" i="13" s="1"/>
  <c r="P29" i="13" s="1"/>
  <c r="AB225" i="16"/>
  <c r="AF225" i="16"/>
  <c r="AG50" i="16"/>
  <c r="AG52" i="16"/>
  <c r="AG54" i="16"/>
  <c r="AG56" i="16"/>
  <c r="AG58" i="16"/>
  <c r="AG60" i="16"/>
  <c r="AG62" i="16"/>
  <c r="AG64" i="16"/>
  <c r="AG67" i="16"/>
  <c r="AG68" i="16"/>
  <c r="AG77" i="16"/>
  <c r="AG79" i="16"/>
  <c r="AG81" i="16"/>
  <c r="AG83" i="16"/>
  <c r="AG85" i="16"/>
  <c r="AG87" i="16"/>
  <c r="AG89" i="16"/>
  <c r="AG91" i="16"/>
  <c r="AG93" i="16"/>
  <c r="K121" i="16"/>
  <c r="Q25" i="13" s="1"/>
  <c r="AA121" i="16"/>
  <c r="AE121" i="16"/>
  <c r="AG102" i="16"/>
  <c r="AG104" i="16"/>
  <c r="AG106" i="16"/>
  <c r="AG108" i="16"/>
  <c r="AG110" i="16"/>
  <c r="AG112" i="16"/>
  <c r="AG114" i="16"/>
  <c r="Z251" i="16"/>
  <c r="AD251" i="16"/>
  <c r="V277" i="16"/>
  <c r="O31" i="13" s="1"/>
  <c r="P31" i="13" s="1"/>
  <c r="AB277" i="16"/>
  <c r="AF277" i="16"/>
  <c r="Z303" i="16"/>
  <c r="AD303" i="16"/>
  <c r="V329" i="16"/>
  <c r="O33" i="13" s="1"/>
  <c r="P33" i="13" s="1"/>
  <c r="AB329" i="16"/>
  <c r="AF329" i="16"/>
  <c r="Z355" i="16"/>
  <c r="AD355" i="16"/>
  <c r="V381" i="16"/>
  <c r="O35" i="13" s="1"/>
  <c r="P35" i="13" s="1"/>
  <c r="AB381" i="16"/>
  <c r="AF381" i="16"/>
  <c r="Z407" i="16"/>
  <c r="AD407" i="16"/>
  <c r="AB432" i="16"/>
  <c r="S433" i="16"/>
  <c r="AG224" i="16"/>
  <c r="Y251" i="16"/>
  <c r="AC251" i="16"/>
  <c r="AG233" i="16"/>
  <c r="AG235" i="16"/>
  <c r="AG237" i="16"/>
  <c r="AG239" i="16"/>
  <c r="AG241" i="16"/>
  <c r="AG243" i="16"/>
  <c r="AG245" i="16"/>
  <c r="AG247" i="16"/>
  <c r="AG249" i="16"/>
  <c r="K277" i="16"/>
  <c r="Q31" i="13" s="1"/>
  <c r="AA277" i="16"/>
  <c r="AE277" i="16"/>
  <c r="AG258" i="16"/>
  <c r="AG260" i="16"/>
  <c r="AG262" i="16"/>
  <c r="AG264" i="16"/>
  <c r="AG266" i="16"/>
  <c r="AG268" i="16"/>
  <c r="AG270" i="16"/>
  <c r="AG272" i="16"/>
  <c r="AG274" i="16"/>
  <c r="AG276" i="16"/>
  <c r="Y303" i="16"/>
  <c r="AC303" i="16"/>
  <c r="AG285" i="16"/>
  <c r="AG287" i="16"/>
  <c r="AG289" i="16"/>
  <c r="AG291" i="16"/>
  <c r="AG293" i="16"/>
  <c r="AG295" i="16"/>
  <c r="AG297" i="16"/>
  <c r="AG299" i="16"/>
  <c r="AG301" i="16"/>
  <c r="K329" i="16"/>
  <c r="Q33" i="13" s="1"/>
  <c r="AA329" i="16"/>
  <c r="AE329" i="16"/>
  <c r="AG310" i="16"/>
  <c r="AG312" i="16"/>
  <c r="AG314" i="16"/>
  <c r="AG316" i="16"/>
  <c r="AG318" i="16"/>
  <c r="AG320" i="16"/>
  <c r="AG322" i="16"/>
  <c r="AG324" i="16"/>
  <c r="AG326" i="16"/>
  <c r="AG328" i="16"/>
  <c r="Y355" i="16"/>
  <c r="AC355" i="16"/>
  <c r="AG337" i="16"/>
  <c r="AG339" i="16"/>
  <c r="AG341" i="16"/>
  <c r="AG343" i="16"/>
  <c r="AG345" i="16"/>
  <c r="AG347" i="16"/>
  <c r="AG349" i="16"/>
  <c r="AG351" i="16"/>
  <c r="AG353" i="16"/>
  <c r="K381" i="16"/>
  <c r="Q35" i="13" s="1"/>
  <c r="AA381" i="16"/>
  <c r="AE381" i="16"/>
  <c r="AG362" i="16"/>
  <c r="AG364" i="16"/>
  <c r="AG366" i="16"/>
  <c r="AG368" i="16"/>
  <c r="AG370" i="16"/>
  <c r="AG372" i="16"/>
  <c r="AG374" i="16"/>
  <c r="AG376" i="16"/>
  <c r="AG378" i="16"/>
  <c r="AG380" i="16"/>
  <c r="Y407" i="16"/>
  <c r="AC407" i="16"/>
  <c r="AG389" i="16"/>
  <c r="AG391" i="16"/>
  <c r="AG393" i="16"/>
  <c r="AG395" i="16"/>
  <c r="AG397" i="16"/>
  <c r="AG399" i="16"/>
  <c r="AG401" i="16"/>
  <c r="AG403" i="16"/>
  <c r="AG405" i="16"/>
  <c r="V432" i="16"/>
  <c r="AD432" i="16"/>
  <c r="AG387" i="16"/>
  <c r="AG361" i="16"/>
  <c r="AG335" i="16"/>
  <c r="AG309" i="16"/>
  <c r="AG283" i="16"/>
  <c r="AG257" i="16"/>
  <c r="AG231" i="16"/>
  <c r="AG205" i="16"/>
  <c r="AG179" i="16"/>
  <c r="AG153" i="16"/>
  <c r="AG127" i="16"/>
  <c r="AG101" i="16"/>
  <c r="AG75" i="16"/>
  <c r="AG49" i="16"/>
  <c r="A12" i="17"/>
  <c r="Y21" i="16"/>
  <c r="N21" i="16"/>
  <c r="U43" i="16"/>
  <c r="T43" i="16"/>
  <c r="S43" i="16"/>
  <c r="R43" i="16"/>
  <c r="Q43" i="16"/>
  <c r="P43" i="16"/>
  <c r="O43" i="16"/>
  <c r="N43" i="16"/>
  <c r="V42" i="16"/>
  <c r="N55" i="18" s="1"/>
  <c r="V40" i="16"/>
  <c r="N54" i="18" s="1"/>
  <c r="O54" i="18" s="1"/>
  <c r="V41" i="16"/>
  <c r="N53" i="18" s="1"/>
  <c r="O53" i="18" s="1"/>
  <c r="V39" i="16"/>
  <c r="N52" i="18" s="1"/>
  <c r="O52" i="18" s="1"/>
  <c r="V38" i="16"/>
  <c r="N51" i="18" s="1"/>
  <c r="V37" i="16"/>
  <c r="N50" i="18" s="1"/>
  <c r="V36" i="16"/>
  <c r="N49" i="18" s="1"/>
  <c r="O49" i="18" s="1"/>
  <c r="V35" i="16"/>
  <c r="N48" i="18" s="1"/>
  <c r="V34" i="16"/>
  <c r="N47" i="18" s="1"/>
  <c r="O47" i="18" s="1"/>
  <c r="V33" i="16"/>
  <c r="N46" i="18" s="1"/>
  <c r="O46" i="18" s="1"/>
  <c r="V32" i="16"/>
  <c r="N45" i="18" s="1"/>
  <c r="O45" i="18" s="1"/>
  <c r="V31" i="16"/>
  <c r="N44" i="18" s="1"/>
  <c r="O44" i="18" s="1"/>
  <c r="V30" i="16"/>
  <c r="N43" i="18" s="1"/>
  <c r="O43" i="18" s="1"/>
  <c r="V29" i="16"/>
  <c r="N42" i="18" s="1"/>
  <c r="O42" i="18" s="1"/>
  <c r="V28" i="16"/>
  <c r="N41" i="18" s="1"/>
  <c r="O41" i="18" s="1"/>
  <c r="V27" i="16"/>
  <c r="N40" i="18" s="1"/>
  <c r="O40" i="18" s="1"/>
  <c r="V26" i="16"/>
  <c r="N39" i="18" s="1"/>
  <c r="O39" i="18" s="1"/>
  <c r="V25" i="16"/>
  <c r="N38" i="18" s="1"/>
  <c r="O38" i="18" s="1"/>
  <c r="V24" i="16"/>
  <c r="N37" i="18" s="1"/>
  <c r="O37" i="18" s="1"/>
  <c r="V23" i="16"/>
  <c r="N36" i="18" s="1"/>
  <c r="K24" i="16"/>
  <c r="K25" i="16"/>
  <c r="K26" i="16"/>
  <c r="K27" i="16"/>
  <c r="K28" i="16"/>
  <c r="K29" i="16"/>
  <c r="K30" i="16"/>
  <c r="K31" i="16"/>
  <c r="K32" i="16"/>
  <c r="K33" i="16"/>
  <c r="K34" i="16"/>
  <c r="K35" i="16"/>
  <c r="K36" i="16"/>
  <c r="K37" i="16"/>
  <c r="K38" i="16"/>
  <c r="P52" i="18"/>
  <c r="K41" i="16"/>
  <c r="K40" i="16"/>
  <c r="K42" i="16"/>
  <c r="K23" i="16"/>
  <c r="D43" i="16"/>
  <c r="E43" i="16"/>
  <c r="F43" i="16"/>
  <c r="G43" i="16"/>
  <c r="H43" i="16"/>
  <c r="I43" i="16"/>
  <c r="J43" i="16"/>
  <c r="C43" i="16"/>
  <c r="AG415" i="16" l="1"/>
  <c r="E16" i="42"/>
  <c r="F18" i="42" s="1"/>
  <c r="AG419" i="16"/>
  <c r="J104" i="2"/>
  <c r="J102" i="2"/>
  <c r="J97" i="2"/>
  <c r="J98" i="2"/>
  <c r="AG420" i="16"/>
  <c r="J99" i="2"/>
  <c r="AG418" i="16"/>
  <c r="AG422" i="16"/>
  <c r="J107" i="2"/>
  <c r="J101" i="2"/>
  <c r="AG424" i="16"/>
  <c r="AG425" i="16"/>
  <c r="J103" i="2"/>
  <c r="J106" i="2"/>
  <c r="AG416" i="16"/>
  <c r="J96" i="2"/>
  <c r="J95" i="2"/>
  <c r="B126" i="2"/>
  <c r="R34" i="13"/>
  <c r="R25" i="13"/>
  <c r="AG423" i="16"/>
  <c r="J93" i="2"/>
  <c r="J94" i="2"/>
  <c r="J67" i="2"/>
  <c r="L67" i="1" s="1"/>
  <c r="P44" i="18"/>
  <c r="Q44" i="18" s="1"/>
  <c r="P51" i="18"/>
  <c r="P43" i="18"/>
  <c r="Q43" i="18" s="1"/>
  <c r="P48" i="18"/>
  <c r="P40" i="18"/>
  <c r="Q40" i="18" s="1"/>
  <c r="P55" i="18"/>
  <c r="P47" i="18"/>
  <c r="Q47" i="18" s="1"/>
  <c r="P39" i="18"/>
  <c r="P54" i="18"/>
  <c r="Q54" i="18" s="1"/>
  <c r="P50" i="18"/>
  <c r="P46" i="18"/>
  <c r="Q46" i="18" s="1"/>
  <c r="P42" i="18"/>
  <c r="Q42" i="18" s="1"/>
  <c r="P38" i="18"/>
  <c r="Q38" i="18" s="1"/>
  <c r="P53" i="18"/>
  <c r="Q53" i="18" s="1"/>
  <c r="P49" i="18"/>
  <c r="Q49" i="18" s="1"/>
  <c r="P45" i="18"/>
  <c r="Q45" i="18" s="1"/>
  <c r="P41" i="18"/>
  <c r="Q41" i="18" s="1"/>
  <c r="P37" i="18"/>
  <c r="P36" i="18"/>
  <c r="AG430" i="16"/>
  <c r="J19" i="1"/>
  <c r="J61" i="1"/>
  <c r="J22" i="1"/>
  <c r="J64" i="1"/>
  <c r="J20" i="1"/>
  <c r="J62" i="1"/>
  <c r="J21" i="1"/>
  <c r="J63" i="1"/>
  <c r="J11" i="1"/>
  <c r="J53" i="1"/>
  <c r="J12" i="1"/>
  <c r="J54" i="1"/>
  <c r="J24" i="1"/>
  <c r="J66" i="1"/>
  <c r="J9" i="1"/>
  <c r="J51" i="1"/>
  <c r="J10" i="1"/>
  <c r="J52" i="1"/>
  <c r="J13" i="1"/>
  <c r="J55" i="1"/>
  <c r="J18" i="1"/>
  <c r="J60" i="1"/>
  <c r="J50" i="1"/>
  <c r="J16" i="1"/>
  <c r="J58" i="1"/>
  <c r="J15" i="1"/>
  <c r="J57" i="1"/>
  <c r="J14" i="1"/>
  <c r="J56" i="1"/>
  <c r="J17" i="1"/>
  <c r="J59" i="1"/>
  <c r="J23" i="1"/>
  <c r="J65" i="1"/>
  <c r="O36" i="18"/>
  <c r="N56" i="18"/>
  <c r="AF433" i="16"/>
  <c r="R30" i="13"/>
  <c r="R36" i="13"/>
  <c r="R26" i="13"/>
  <c r="AG426" i="16"/>
  <c r="R28" i="13"/>
  <c r="R32" i="13"/>
  <c r="B105" i="1"/>
  <c r="J105" i="1" s="1"/>
  <c r="Q39" i="18"/>
  <c r="O51" i="18"/>
  <c r="Q52" i="18"/>
  <c r="O50" i="18"/>
  <c r="O48" i="18"/>
  <c r="R24" i="13"/>
  <c r="AG417" i="16"/>
  <c r="J170" i="28"/>
  <c r="M170" i="28" s="1"/>
  <c r="F15" i="42" s="1"/>
  <c r="E14" i="42" s="1"/>
  <c r="J176" i="28"/>
  <c r="J191" i="28" s="1"/>
  <c r="H191" i="28"/>
  <c r="I191" i="28"/>
  <c r="AG225" i="16"/>
  <c r="J25" i="2"/>
  <c r="R33" i="13"/>
  <c r="R31" i="13"/>
  <c r="R35" i="13"/>
  <c r="AG147" i="16"/>
  <c r="AG121" i="16"/>
  <c r="AG429" i="16"/>
  <c r="AG431" i="16"/>
  <c r="AC433" i="16"/>
  <c r="AE433" i="16"/>
  <c r="AG428" i="16"/>
  <c r="V433" i="16"/>
  <c r="R29" i="13"/>
  <c r="R27" i="13"/>
  <c r="AA433" i="16"/>
  <c r="AG427" i="16"/>
  <c r="J25" i="36"/>
  <c r="AG329" i="16"/>
  <c r="G87" i="36"/>
  <c r="J76" i="36"/>
  <c r="J87" i="36" s="1"/>
  <c r="H66" i="36"/>
  <c r="J55" i="36"/>
  <c r="J66" i="36" s="1"/>
  <c r="M66" i="36" s="1"/>
  <c r="G66" i="36"/>
  <c r="B104" i="1"/>
  <c r="B125" i="1" s="1"/>
  <c r="G156" i="2"/>
  <c r="G156" i="1" s="1"/>
  <c r="G177" i="1" s="1"/>
  <c r="B96" i="1"/>
  <c r="J96" i="1" s="1"/>
  <c r="F165" i="2"/>
  <c r="F165" i="1" s="1"/>
  <c r="F186" i="1" s="1"/>
  <c r="G163" i="2"/>
  <c r="G163" i="1" s="1"/>
  <c r="G184" i="1" s="1"/>
  <c r="G159" i="2"/>
  <c r="G159" i="1" s="1"/>
  <c r="G180" i="1" s="1"/>
  <c r="D163" i="2"/>
  <c r="D163" i="1" s="1"/>
  <c r="D184" i="1" s="1"/>
  <c r="D159" i="2"/>
  <c r="D159" i="1" s="1"/>
  <c r="D180" i="1" s="1"/>
  <c r="D165" i="2"/>
  <c r="D165" i="1" s="1"/>
  <c r="D186" i="1" s="1"/>
  <c r="C160" i="2"/>
  <c r="C160" i="1" s="1"/>
  <c r="C181" i="1" s="1"/>
  <c r="B95" i="1"/>
  <c r="J95" i="1" s="1"/>
  <c r="C164" i="2"/>
  <c r="C164" i="1" s="1"/>
  <c r="C185" i="1" s="1"/>
  <c r="G166" i="2"/>
  <c r="G166" i="1" s="1"/>
  <c r="G187" i="1" s="1"/>
  <c r="D158" i="2"/>
  <c r="D158" i="1" s="1"/>
  <c r="D179" i="1" s="1"/>
  <c r="F157" i="2"/>
  <c r="F157" i="1" s="1"/>
  <c r="F178" i="1" s="1"/>
  <c r="H156" i="2"/>
  <c r="H156" i="1" s="1"/>
  <c r="H177" i="1" s="1"/>
  <c r="Z433" i="16"/>
  <c r="B102" i="1"/>
  <c r="B123" i="1" s="1"/>
  <c r="AG42" i="16"/>
  <c r="G161" i="2"/>
  <c r="G161" i="1" s="1"/>
  <c r="G182" i="1" s="1"/>
  <c r="B101" i="1"/>
  <c r="J101" i="1" s="1"/>
  <c r="E166" i="2"/>
  <c r="E166" i="1" s="1"/>
  <c r="E187" i="1" s="1"/>
  <c r="H163" i="2"/>
  <c r="H163" i="1" s="1"/>
  <c r="H184" i="1" s="1"/>
  <c r="B94" i="1"/>
  <c r="B115" i="1" s="1"/>
  <c r="G160" i="2"/>
  <c r="G160" i="1" s="1"/>
  <c r="G181" i="1" s="1"/>
  <c r="E159" i="2"/>
  <c r="E159" i="1" s="1"/>
  <c r="E180" i="1" s="1"/>
  <c r="G164" i="2"/>
  <c r="G164" i="1" s="1"/>
  <c r="G185" i="1" s="1"/>
  <c r="C159" i="2"/>
  <c r="C159" i="1" s="1"/>
  <c r="C180" i="1" s="1"/>
  <c r="F158" i="2"/>
  <c r="F158" i="1" s="1"/>
  <c r="F179" i="1" s="1"/>
  <c r="C166" i="2"/>
  <c r="C166" i="1" s="1"/>
  <c r="C187" i="1" s="1"/>
  <c r="D156" i="2"/>
  <c r="D156" i="1" s="1"/>
  <c r="D177" i="1" s="1"/>
  <c r="H166" i="2"/>
  <c r="H166" i="1" s="1"/>
  <c r="H187" i="1" s="1"/>
  <c r="E164" i="2"/>
  <c r="E164" i="1" s="1"/>
  <c r="E185" i="1" s="1"/>
  <c r="B103" i="1"/>
  <c r="J103" i="1" s="1"/>
  <c r="H161" i="2"/>
  <c r="H161" i="1" s="1"/>
  <c r="H182" i="1" s="1"/>
  <c r="B98" i="1"/>
  <c r="B119" i="1" s="1"/>
  <c r="F156" i="2"/>
  <c r="F166" i="2"/>
  <c r="F166" i="1" s="1"/>
  <c r="F187" i="1" s="1"/>
  <c r="B99" i="1"/>
  <c r="J99" i="1" s="1"/>
  <c r="B97" i="1"/>
  <c r="J97" i="1" s="1"/>
  <c r="C156" i="2"/>
  <c r="C156" i="1" s="1"/>
  <c r="C177" i="1" s="1"/>
  <c r="H160" i="2"/>
  <c r="H160" i="1" s="1"/>
  <c r="H181" i="1" s="1"/>
  <c r="F159" i="2"/>
  <c r="F159" i="1" s="1"/>
  <c r="F180" i="1" s="1"/>
  <c r="AG421" i="16"/>
  <c r="AD43" i="16"/>
  <c r="AG35" i="16"/>
  <c r="AG30" i="16"/>
  <c r="AG38" i="16"/>
  <c r="AG36" i="16"/>
  <c r="AG32" i="16"/>
  <c r="AG31" i="16"/>
  <c r="AG27" i="16"/>
  <c r="AG26" i="16"/>
  <c r="AG34" i="16"/>
  <c r="AG39" i="16"/>
  <c r="AG28" i="16"/>
  <c r="K433" i="16"/>
  <c r="AG432" i="16"/>
  <c r="Y433" i="16"/>
  <c r="AB433" i="16"/>
  <c r="AG414" i="16"/>
  <c r="AG199" i="16"/>
  <c r="AG173" i="16"/>
  <c r="AG413" i="16"/>
  <c r="AG69" i="16"/>
  <c r="V43" i="16"/>
  <c r="O22" i="13" s="1"/>
  <c r="P22" i="13" s="1"/>
  <c r="AC43" i="16"/>
  <c r="AG24" i="16"/>
  <c r="B25" i="1"/>
  <c r="Y43" i="16"/>
  <c r="AG41" i="16"/>
  <c r="Z43" i="16"/>
  <c r="AG277" i="16"/>
  <c r="AG381" i="16"/>
  <c r="K43" i="16"/>
  <c r="AG23" i="16"/>
  <c r="AG40" i="16"/>
  <c r="AG37" i="16"/>
  <c r="AG33" i="16"/>
  <c r="AG29" i="16"/>
  <c r="AG25" i="16"/>
  <c r="AG95" i="16"/>
  <c r="AG303" i="16"/>
  <c r="AG407" i="16"/>
  <c r="AF43" i="16"/>
  <c r="AB43" i="16"/>
  <c r="AE43" i="16"/>
  <c r="AA43" i="16"/>
  <c r="AG251" i="16"/>
  <c r="AG355" i="16"/>
  <c r="AD433" i="16"/>
  <c r="A12" i="9"/>
  <c r="E18" i="42" l="1"/>
  <c r="L25" i="1"/>
  <c r="P6" i="1"/>
  <c r="B120" i="1"/>
  <c r="B126" i="1"/>
  <c r="B122" i="1"/>
  <c r="B116" i="1"/>
  <c r="J116" i="1" s="1"/>
  <c r="B124" i="1"/>
  <c r="J124" i="1" s="1"/>
  <c r="B117" i="1"/>
  <c r="J117" i="1" s="1"/>
  <c r="B118" i="1"/>
  <c r="Q36" i="18"/>
  <c r="P56" i="18"/>
  <c r="Q48" i="18"/>
  <c r="Q50" i="18"/>
  <c r="Q51" i="18"/>
  <c r="Q22" i="13"/>
  <c r="Q37" i="13" s="1"/>
  <c r="J25" i="1"/>
  <c r="B67" i="1"/>
  <c r="B196" i="1" s="1"/>
  <c r="J67" i="1"/>
  <c r="J196" i="1" s="1"/>
  <c r="M25" i="2"/>
  <c r="N6" i="2"/>
  <c r="N8" i="2" s="1"/>
  <c r="N9" i="2" s="1"/>
  <c r="P37" i="13"/>
  <c r="E15" i="42"/>
  <c r="F14" i="42" s="1"/>
  <c r="F23" i="42" s="1"/>
  <c r="O55" i="18"/>
  <c r="Q55" i="18" s="1"/>
  <c r="J119" i="1"/>
  <c r="J98" i="1"/>
  <c r="G165" i="2"/>
  <c r="G165" i="1" s="1"/>
  <c r="G186" i="1" s="1"/>
  <c r="B159" i="2"/>
  <c r="B180" i="2" s="1"/>
  <c r="J118" i="2"/>
  <c r="B160" i="2"/>
  <c r="B181" i="2" s="1"/>
  <c r="J119" i="2"/>
  <c r="F164" i="2"/>
  <c r="F164" i="1" s="1"/>
  <c r="F185" i="1" s="1"/>
  <c r="H164" i="2"/>
  <c r="H164" i="1" s="1"/>
  <c r="H185" i="1" s="1"/>
  <c r="D160" i="2"/>
  <c r="D160" i="1" s="1"/>
  <c r="D181" i="1" s="1"/>
  <c r="B156" i="2"/>
  <c r="B177" i="2" s="1"/>
  <c r="J115" i="2"/>
  <c r="F161" i="2"/>
  <c r="F161" i="1" s="1"/>
  <c r="F182" i="1" s="1"/>
  <c r="B164" i="2"/>
  <c r="B164" i="1" s="1"/>
  <c r="B185" i="1" s="1"/>
  <c r="J123" i="2"/>
  <c r="J125" i="1"/>
  <c r="J104" i="1"/>
  <c r="E161" i="2"/>
  <c r="E161" i="1" s="1"/>
  <c r="E182" i="1" s="1"/>
  <c r="J124" i="2"/>
  <c r="B165" i="2"/>
  <c r="B165" i="1" s="1"/>
  <c r="J123" i="1"/>
  <c r="J102" i="1"/>
  <c r="E165" i="2"/>
  <c r="E165" i="1" s="1"/>
  <c r="E186" i="1" s="1"/>
  <c r="G157" i="2"/>
  <c r="G157" i="1" s="1"/>
  <c r="G178" i="1" s="1"/>
  <c r="D164" i="2"/>
  <c r="D164" i="1" s="1"/>
  <c r="D185" i="1" s="1"/>
  <c r="H159" i="2"/>
  <c r="H159" i="1" s="1"/>
  <c r="H180" i="1" s="1"/>
  <c r="E156" i="2"/>
  <c r="E156" i="1" s="1"/>
  <c r="E177" i="1" s="1"/>
  <c r="E157" i="2"/>
  <c r="E157" i="1" s="1"/>
  <c r="E178" i="1" s="1"/>
  <c r="E160" i="2"/>
  <c r="E160" i="1" s="1"/>
  <c r="E181" i="1" s="1"/>
  <c r="B166" i="2"/>
  <c r="B187" i="2" s="1"/>
  <c r="J125" i="2"/>
  <c r="J115" i="1"/>
  <c r="J94" i="1"/>
  <c r="D161" i="2"/>
  <c r="D182" i="2" s="1"/>
  <c r="C161" i="2"/>
  <c r="C161" i="1" s="1"/>
  <c r="C182" i="1" s="1"/>
  <c r="B161" i="2"/>
  <c r="B182" i="2" s="1"/>
  <c r="J120" i="2"/>
  <c r="D157" i="2"/>
  <c r="D157" i="1" s="1"/>
  <c r="D178" i="1" s="1"/>
  <c r="C165" i="2"/>
  <c r="C165" i="1" s="1"/>
  <c r="C186" i="1" s="1"/>
  <c r="H165" i="2"/>
  <c r="H165" i="1" s="1"/>
  <c r="H186" i="1" s="1"/>
  <c r="C157" i="2"/>
  <c r="C178" i="2" s="1"/>
  <c r="D166" i="2"/>
  <c r="D166" i="1" s="1"/>
  <c r="D187" i="1" s="1"/>
  <c r="H157" i="2"/>
  <c r="H178" i="2" s="1"/>
  <c r="J116" i="2"/>
  <c r="B157" i="2"/>
  <c r="B157" i="1" s="1"/>
  <c r="F160" i="2"/>
  <c r="F160" i="1" s="1"/>
  <c r="F181" i="1" s="1"/>
  <c r="F163" i="2"/>
  <c r="F163" i="1" s="1"/>
  <c r="F184" i="1" s="1"/>
  <c r="E163" i="2"/>
  <c r="E163" i="1" s="1"/>
  <c r="E184" i="1" s="1"/>
  <c r="J122" i="2"/>
  <c r="B163" i="2"/>
  <c r="B184" i="2" s="1"/>
  <c r="C163" i="2"/>
  <c r="C163" i="1" s="1"/>
  <c r="C184" i="1" s="1"/>
  <c r="E158" i="2"/>
  <c r="E158" i="1" s="1"/>
  <c r="E179" i="1" s="1"/>
  <c r="C158" i="2"/>
  <c r="C179" i="2" s="1"/>
  <c r="H158" i="2"/>
  <c r="H158" i="1" s="1"/>
  <c r="H179" i="1" s="1"/>
  <c r="B158" i="2"/>
  <c r="J117" i="2"/>
  <c r="G158" i="2"/>
  <c r="G158" i="1" s="1"/>
  <c r="G179" i="1" s="1"/>
  <c r="G155" i="2"/>
  <c r="G155" i="1" s="1"/>
  <c r="G176" i="1" s="1"/>
  <c r="C155" i="2"/>
  <c r="F155" i="2"/>
  <c r="F176" i="2" s="1"/>
  <c r="E155" i="2"/>
  <c r="E155" i="1" s="1"/>
  <c r="E176" i="1" s="1"/>
  <c r="D155" i="2"/>
  <c r="D176" i="2" s="1"/>
  <c r="H155" i="2"/>
  <c r="H176" i="2" s="1"/>
  <c r="D179" i="2"/>
  <c r="J117" i="36"/>
  <c r="J128" i="36" s="1"/>
  <c r="M128" i="36" s="1"/>
  <c r="H87" i="36"/>
  <c r="F16" i="57"/>
  <c r="E16" i="57"/>
  <c r="G128" i="36"/>
  <c r="D180" i="2"/>
  <c r="G177" i="2"/>
  <c r="F187" i="2"/>
  <c r="E185" i="2"/>
  <c r="H187" i="2"/>
  <c r="G185" i="2"/>
  <c r="G181" i="2"/>
  <c r="G182" i="2"/>
  <c r="C181" i="2"/>
  <c r="D184" i="2"/>
  <c r="F186" i="2"/>
  <c r="C180" i="2"/>
  <c r="H181" i="2"/>
  <c r="H182" i="2"/>
  <c r="H184" i="2"/>
  <c r="H177" i="2"/>
  <c r="D186" i="2"/>
  <c r="D177" i="2"/>
  <c r="E180" i="2"/>
  <c r="F178" i="2"/>
  <c r="G187" i="2"/>
  <c r="G184" i="2"/>
  <c r="C187" i="2"/>
  <c r="F179" i="2"/>
  <c r="F180" i="2"/>
  <c r="C177" i="2"/>
  <c r="E187" i="2"/>
  <c r="C185" i="2"/>
  <c r="AG43" i="16"/>
  <c r="AG433" i="16"/>
  <c r="J120" i="1"/>
  <c r="J126" i="1"/>
  <c r="O37" i="13"/>
  <c r="Q37" i="18"/>
  <c r="G180" i="2"/>
  <c r="C72" i="2"/>
  <c r="C92" i="2" s="1"/>
  <c r="C113" i="2" s="1"/>
  <c r="C71" i="2"/>
  <c r="C91" i="2" s="1"/>
  <c r="C112" i="2" s="1"/>
  <c r="J198" i="1" l="1"/>
  <c r="C199" i="1"/>
  <c r="D199" i="1"/>
  <c r="E199" i="1"/>
  <c r="F199" i="1"/>
  <c r="G199" i="1"/>
  <c r="H199" i="1"/>
  <c r="I199" i="1"/>
  <c r="B199" i="1"/>
  <c r="B200" i="1" s="1"/>
  <c r="B201" i="1" s="1"/>
  <c r="J122" i="1"/>
  <c r="J118" i="1"/>
  <c r="B186" i="1"/>
  <c r="J186" i="1" s="1"/>
  <c r="B178" i="1"/>
  <c r="M67" i="1"/>
  <c r="P8" i="1"/>
  <c r="P9" i="1" s="1"/>
  <c r="M25" i="1"/>
  <c r="N25" i="1"/>
  <c r="E186" i="2"/>
  <c r="B161" i="1"/>
  <c r="B182" i="1" s="1"/>
  <c r="E182" i="2"/>
  <c r="D181" i="2"/>
  <c r="H179" i="2"/>
  <c r="H185" i="2"/>
  <c r="E179" i="2"/>
  <c r="C184" i="2"/>
  <c r="R22" i="13"/>
  <c r="R37" i="13" s="1"/>
  <c r="F185" i="2"/>
  <c r="G179" i="2"/>
  <c r="B159" i="1"/>
  <c r="G186" i="2"/>
  <c r="F182" i="2"/>
  <c r="D187" i="2"/>
  <c r="J187" i="2" s="1"/>
  <c r="D185" i="2"/>
  <c r="E23" i="42"/>
  <c r="D178" i="2"/>
  <c r="O56" i="18"/>
  <c r="D71" i="2"/>
  <c r="D91" i="2" s="1"/>
  <c r="D112" i="2" s="1"/>
  <c r="F181" i="2"/>
  <c r="Q56" i="18"/>
  <c r="E184" i="2"/>
  <c r="E181" i="2"/>
  <c r="J165" i="1"/>
  <c r="J157" i="2"/>
  <c r="J165" i="2"/>
  <c r="J164" i="2"/>
  <c r="J156" i="2"/>
  <c r="E177" i="2"/>
  <c r="B156" i="1"/>
  <c r="B177" i="1" s="1"/>
  <c r="E176" i="2"/>
  <c r="H186" i="2"/>
  <c r="G178" i="2"/>
  <c r="B185" i="2"/>
  <c r="H180" i="2"/>
  <c r="J180" i="2" s="1"/>
  <c r="F184" i="2"/>
  <c r="C182" i="2"/>
  <c r="G176" i="2"/>
  <c r="B186" i="2"/>
  <c r="C186" i="2"/>
  <c r="C158" i="1"/>
  <c r="C179" i="1" s="1"/>
  <c r="J163" i="2"/>
  <c r="H157" i="1"/>
  <c r="H178" i="1" s="1"/>
  <c r="C157" i="1"/>
  <c r="C178" i="1" s="1"/>
  <c r="J161" i="2"/>
  <c r="D161" i="1"/>
  <c r="D182" i="1" s="1"/>
  <c r="J159" i="2"/>
  <c r="J164" i="1"/>
  <c r="J160" i="2"/>
  <c r="E178" i="2"/>
  <c r="B178" i="2"/>
  <c r="J166" i="2"/>
  <c r="B166" i="1"/>
  <c r="B160" i="1"/>
  <c r="B163" i="1"/>
  <c r="J163" i="1" s="1"/>
  <c r="J158" i="2"/>
  <c r="B158" i="1"/>
  <c r="B179" i="1" s="1"/>
  <c r="B179" i="2"/>
  <c r="D155" i="1"/>
  <c r="D176" i="1" s="1"/>
  <c r="C155" i="1"/>
  <c r="C176" i="1" s="1"/>
  <c r="C176" i="2"/>
  <c r="H155" i="1"/>
  <c r="H176" i="1" s="1"/>
  <c r="F155" i="1"/>
  <c r="F176" i="1" s="1"/>
  <c r="D72" i="2"/>
  <c r="D92" i="2" s="1"/>
  <c r="D113" i="2" s="1"/>
  <c r="F177" i="2"/>
  <c r="F156" i="1"/>
  <c r="F177" i="1" s="1"/>
  <c r="F15" i="57"/>
  <c r="E14" i="57" s="1"/>
  <c r="E15" i="57"/>
  <c r="F14" i="57" s="1"/>
  <c r="E18" i="57"/>
  <c r="F18" i="57"/>
  <c r="G149" i="36"/>
  <c r="H149" i="36"/>
  <c r="H128" i="36"/>
  <c r="J185" i="1"/>
  <c r="H200" i="1" l="1"/>
  <c r="H201" i="1" s="1"/>
  <c r="D200" i="1"/>
  <c r="D201" i="1" s="1"/>
  <c r="I200" i="1"/>
  <c r="I201" i="1" s="1"/>
  <c r="C200" i="1"/>
  <c r="C201" i="1" s="1"/>
  <c r="E200" i="1"/>
  <c r="E201" i="1" s="1"/>
  <c r="G200" i="1"/>
  <c r="G201" i="1" s="1"/>
  <c r="F200" i="1"/>
  <c r="F201" i="1" s="1"/>
  <c r="B184" i="1"/>
  <c r="J184" i="1" s="1"/>
  <c r="J166" i="1"/>
  <c r="B187" i="1"/>
  <c r="J187" i="1" s="1"/>
  <c r="J160" i="1"/>
  <c r="B181" i="1"/>
  <c r="J181" i="1" s="1"/>
  <c r="B180" i="1"/>
  <c r="J180" i="1" s="1"/>
  <c r="J182" i="2"/>
  <c r="J181" i="2"/>
  <c r="J179" i="2"/>
  <c r="J184" i="2"/>
  <c r="J185" i="2"/>
  <c r="J159" i="1"/>
  <c r="C91" i="1"/>
  <c r="C112" i="1" s="1"/>
  <c r="J177" i="2"/>
  <c r="E71" i="2"/>
  <c r="E91" i="2" s="1"/>
  <c r="E112" i="2" s="1"/>
  <c r="J161" i="1"/>
  <c r="J158" i="1"/>
  <c r="J178" i="2"/>
  <c r="J157" i="1"/>
  <c r="J186" i="2"/>
  <c r="J178" i="1"/>
  <c r="J177" i="1"/>
  <c r="J156" i="1"/>
  <c r="C92" i="1"/>
  <c r="C113" i="1" s="1"/>
  <c r="E72" i="2"/>
  <c r="E92" i="2" s="1"/>
  <c r="E113" i="2" s="1"/>
  <c r="J138" i="36"/>
  <c r="J149" i="36" s="1"/>
  <c r="E23" i="57"/>
  <c r="F23" i="57"/>
  <c r="J182" i="1"/>
  <c r="J179" i="1"/>
  <c r="B93" i="1"/>
  <c r="J200" i="1" l="1"/>
  <c r="J201" i="1" s="1"/>
  <c r="F202" i="1" s="1"/>
  <c r="J93" i="1"/>
  <c r="B114" i="1"/>
  <c r="J114" i="1" s="1"/>
  <c r="D91" i="1"/>
  <c r="D112" i="1" s="1"/>
  <c r="F72" i="2"/>
  <c r="F92" i="2" s="1"/>
  <c r="F113" i="2" s="1"/>
  <c r="E92" i="1"/>
  <c r="E113" i="1" s="1"/>
  <c r="F71" i="2"/>
  <c r="F91" i="2" s="1"/>
  <c r="F112" i="2" s="1"/>
  <c r="D92" i="1"/>
  <c r="D113" i="1" s="1"/>
  <c r="B92" i="1"/>
  <c r="B113" i="1" s="1"/>
  <c r="B107" i="1"/>
  <c r="B106" i="1"/>
  <c r="B91" i="1"/>
  <c r="B112" i="1" s="1"/>
  <c r="J202" i="1" l="1"/>
  <c r="I202" i="1"/>
  <c r="H202" i="1"/>
  <c r="D202" i="1"/>
  <c r="B202" i="1"/>
  <c r="C202" i="1"/>
  <c r="E202" i="1"/>
  <c r="G202" i="1"/>
  <c r="J107" i="1"/>
  <c r="B128" i="1"/>
  <c r="J128" i="1" s="1"/>
  <c r="J106" i="1"/>
  <c r="B127" i="1"/>
  <c r="J127" i="1" s="1"/>
  <c r="G72" i="2"/>
  <c r="G92" i="2" s="1"/>
  <c r="G113" i="2" s="1"/>
  <c r="F92" i="1"/>
  <c r="F113" i="1" s="1"/>
  <c r="E91" i="1"/>
  <c r="E112" i="1" s="1"/>
  <c r="G71" i="2"/>
  <c r="G91" i="2" s="1"/>
  <c r="G112" i="2" s="1"/>
  <c r="F91" i="1" l="1"/>
  <c r="F112" i="1" s="1"/>
  <c r="H71" i="2"/>
  <c r="H91" i="2" s="1"/>
  <c r="H112" i="2" s="1"/>
  <c r="G153" i="2"/>
  <c r="H72" i="2"/>
  <c r="H92" i="2" s="1"/>
  <c r="H113" i="2" s="1"/>
  <c r="F154" i="2"/>
  <c r="F154" i="1" s="1"/>
  <c r="F175" i="1" s="1"/>
  <c r="H168" i="2"/>
  <c r="H168" i="1" s="1"/>
  <c r="H189" i="1" s="1"/>
  <c r="D168" i="2"/>
  <c r="D168" i="1" s="1"/>
  <c r="D189" i="1" s="1"/>
  <c r="E154" i="2"/>
  <c r="E154" i="1" s="1"/>
  <c r="E175" i="1" s="1"/>
  <c r="C154" i="2"/>
  <c r="C175" i="2" s="1"/>
  <c r="B153" i="2"/>
  <c r="C168" i="2"/>
  <c r="C168" i="1" s="1"/>
  <c r="C189" i="1" s="1"/>
  <c r="E167" i="2"/>
  <c r="E188" i="2" s="1"/>
  <c r="H167" i="2"/>
  <c r="H167" i="1" s="1"/>
  <c r="H188" i="1" s="1"/>
  <c r="E168" i="2"/>
  <c r="E168" i="1" s="1"/>
  <c r="E189" i="1" s="1"/>
  <c r="D154" i="2"/>
  <c r="D154" i="1" s="1"/>
  <c r="D175" i="1" s="1"/>
  <c r="G168" i="2"/>
  <c r="G168" i="1" s="1"/>
  <c r="G189" i="1" s="1"/>
  <c r="F168" i="2"/>
  <c r="F168" i="1" s="1"/>
  <c r="F189" i="1" s="1"/>
  <c r="G167" i="2"/>
  <c r="G167" i="1" s="1"/>
  <c r="G188" i="1" s="1"/>
  <c r="D167" i="2"/>
  <c r="D188" i="2" s="1"/>
  <c r="C167" i="2"/>
  <c r="C167" i="1" s="1"/>
  <c r="C188" i="1" s="1"/>
  <c r="F167" i="2"/>
  <c r="F188" i="2" s="1"/>
  <c r="D169" i="2"/>
  <c r="C169" i="2"/>
  <c r="E169" i="2"/>
  <c r="F169" i="2"/>
  <c r="F190" i="2" s="1"/>
  <c r="H169" i="2"/>
  <c r="H190" i="2" s="1"/>
  <c r="G169" i="2"/>
  <c r="G169" i="1" s="1"/>
  <c r="G190" i="1" s="1"/>
  <c r="B155" i="2"/>
  <c r="J155" i="2" s="1"/>
  <c r="J114" i="2"/>
  <c r="C153" i="2"/>
  <c r="E153" i="2"/>
  <c r="D153" i="2"/>
  <c r="F153" i="2"/>
  <c r="S8" i="6"/>
  <c r="T8" i="6" s="1"/>
  <c r="T21" i="6" s="1"/>
  <c r="S9" i="6"/>
  <c r="T9" i="6" s="1"/>
  <c r="W22" i="6" s="1"/>
  <c r="S10" i="6"/>
  <c r="T10" i="6" s="1"/>
  <c r="W23" i="6" s="1"/>
  <c r="S11" i="6"/>
  <c r="T11" i="6" s="1"/>
  <c r="X24" i="6" s="1"/>
  <c r="S12" i="6"/>
  <c r="T12" i="6" s="1"/>
  <c r="T25" i="6" s="1"/>
  <c r="S13" i="6"/>
  <c r="T13" i="6" s="1"/>
  <c r="X26" i="6" s="1"/>
  <c r="S14" i="6"/>
  <c r="T14" i="6" s="1"/>
  <c r="U27" i="6" s="1"/>
  <c r="S15" i="6"/>
  <c r="T15" i="6" s="1"/>
  <c r="T28" i="6" s="1"/>
  <c r="S16" i="6"/>
  <c r="T16" i="6" s="1"/>
  <c r="W29" i="6" s="1"/>
  <c r="S7" i="6"/>
  <c r="T7" i="6" s="1"/>
  <c r="V20" i="6" s="1"/>
  <c r="C5" i="6"/>
  <c r="E189" i="2" l="1"/>
  <c r="C189" i="2"/>
  <c r="G189" i="2"/>
  <c r="D189" i="2"/>
  <c r="H188" i="2"/>
  <c r="B153" i="1"/>
  <c r="B174" i="1" s="1"/>
  <c r="E175" i="2"/>
  <c r="G188" i="2"/>
  <c r="G190" i="2"/>
  <c r="G91" i="1"/>
  <c r="G112" i="1" s="1"/>
  <c r="F175" i="2"/>
  <c r="I71" i="2"/>
  <c r="I91" i="2" s="1"/>
  <c r="I112" i="2" s="1"/>
  <c r="J71" i="2"/>
  <c r="G92" i="1"/>
  <c r="G113" i="1" s="1"/>
  <c r="G154" i="2"/>
  <c r="G154" i="1" s="1"/>
  <c r="I72" i="2"/>
  <c r="I92" i="2" s="1"/>
  <c r="I113" i="2" s="1"/>
  <c r="J72" i="2"/>
  <c r="C188" i="2"/>
  <c r="C154" i="1"/>
  <c r="C175" i="1" s="1"/>
  <c r="D175" i="2"/>
  <c r="F189" i="2"/>
  <c r="F167" i="1"/>
  <c r="F188" i="1" s="1"/>
  <c r="D167" i="1"/>
  <c r="D188" i="1" s="1"/>
  <c r="E167" i="1"/>
  <c r="E188" i="1" s="1"/>
  <c r="B176" i="2"/>
  <c r="J176" i="2" s="1"/>
  <c r="C169" i="1"/>
  <c r="C190" i="1" s="1"/>
  <c r="F169" i="1"/>
  <c r="F190" i="1" s="1"/>
  <c r="C190" i="2"/>
  <c r="J126" i="2"/>
  <c r="B167" i="2"/>
  <c r="J167" i="2" s="1"/>
  <c r="D190" i="2"/>
  <c r="B168" i="2"/>
  <c r="J168" i="2" s="1"/>
  <c r="J127" i="2"/>
  <c r="B174" i="2"/>
  <c r="B154" i="2"/>
  <c r="E169" i="1"/>
  <c r="E190" i="1" s="1"/>
  <c r="J128" i="2"/>
  <c r="B169" i="2"/>
  <c r="J169" i="2" s="1"/>
  <c r="E190" i="2"/>
  <c r="H169" i="1"/>
  <c r="H190" i="1" s="1"/>
  <c r="D169" i="1"/>
  <c r="D190" i="1" s="1"/>
  <c r="B155" i="1"/>
  <c r="B176" i="1" s="1"/>
  <c r="C153" i="1"/>
  <c r="C174" i="1" s="1"/>
  <c r="G153" i="1"/>
  <c r="E153" i="1"/>
  <c r="E174" i="1" s="1"/>
  <c r="F153" i="1"/>
  <c r="F174" i="1" s="1"/>
  <c r="D153" i="1"/>
  <c r="D174" i="1" s="1"/>
  <c r="H189" i="2"/>
  <c r="C174" i="2"/>
  <c r="T22" i="6"/>
  <c r="U20" i="6"/>
  <c r="Y26" i="6"/>
  <c r="Y22" i="6"/>
  <c r="S20" i="6"/>
  <c r="S26" i="6"/>
  <c r="U22" i="6"/>
  <c r="Y20" i="6"/>
  <c r="W26" i="6"/>
  <c r="S22" i="6"/>
  <c r="X27" i="6"/>
  <c r="U23" i="6"/>
  <c r="W27" i="6"/>
  <c r="S23" i="6"/>
  <c r="X22" i="6"/>
  <c r="Y24" i="6"/>
  <c r="T27" i="6"/>
  <c r="W20" i="6"/>
  <c r="Y23" i="6"/>
  <c r="U26" i="6"/>
  <c r="V22" i="6"/>
  <c r="U24" i="6"/>
  <c r="W28" i="6"/>
  <c r="V23" i="6"/>
  <c r="V26" i="6"/>
  <c r="Y21" i="6"/>
  <c r="W21" i="6"/>
  <c r="S29" i="6"/>
  <c r="V29" i="6"/>
  <c r="X25" i="6"/>
  <c r="S21" i="6"/>
  <c r="V21" i="6"/>
  <c r="T24" i="6"/>
  <c r="S28" i="6"/>
  <c r="V28" i="6"/>
  <c r="Y29" i="6"/>
  <c r="U29" i="6"/>
  <c r="U25" i="6"/>
  <c r="Y25" i="6"/>
  <c r="U21" i="6"/>
  <c r="W24" i="6"/>
  <c r="S27" i="6"/>
  <c r="V27" i="6"/>
  <c r="Y28" i="6"/>
  <c r="U28" i="6"/>
  <c r="X29" i="6"/>
  <c r="T29" i="6"/>
  <c r="X23" i="6"/>
  <c r="T23" i="6"/>
  <c r="V25" i="6"/>
  <c r="T17" i="6"/>
  <c r="X21" i="6"/>
  <c r="S24" i="6"/>
  <c r="V24" i="6"/>
  <c r="Y27" i="6"/>
  <c r="X28" i="6"/>
  <c r="X20" i="6"/>
  <c r="T20" i="6"/>
  <c r="S25" i="6"/>
  <c r="W25" i="6"/>
  <c r="T26" i="6"/>
  <c r="S17" i="6"/>
  <c r="G175" i="1" l="1"/>
  <c r="G174" i="1"/>
  <c r="J91" i="2"/>
  <c r="B188" i="2"/>
  <c r="J188" i="2" s="1"/>
  <c r="G175" i="2"/>
  <c r="I92" i="1"/>
  <c r="I113" i="1" s="1"/>
  <c r="J92" i="2"/>
  <c r="H92" i="1"/>
  <c r="H113" i="1" s="1"/>
  <c r="I91" i="1"/>
  <c r="I112" i="1" s="1"/>
  <c r="H91" i="1"/>
  <c r="H112" i="1" s="1"/>
  <c r="B167" i="1"/>
  <c r="B168" i="1"/>
  <c r="B189" i="1" s="1"/>
  <c r="B190" i="2"/>
  <c r="J190" i="2" s="1"/>
  <c r="B154" i="1"/>
  <c r="B175" i="1" s="1"/>
  <c r="B169" i="1"/>
  <c r="B190" i="1" s="1"/>
  <c r="J155" i="1"/>
  <c r="J176" i="1"/>
  <c r="E174" i="2"/>
  <c r="B175" i="2"/>
  <c r="F174" i="2"/>
  <c r="B189" i="2"/>
  <c r="J189" i="2" s="1"/>
  <c r="D174" i="2"/>
  <c r="G174" i="2"/>
  <c r="Z26" i="6"/>
  <c r="Z22" i="6"/>
  <c r="X30" i="6"/>
  <c r="Z24" i="6"/>
  <c r="Z23" i="6"/>
  <c r="W30" i="6"/>
  <c r="Y30" i="6"/>
  <c r="U30" i="6"/>
  <c r="V30" i="6"/>
  <c r="Z29" i="6"/>
  <c r="Z25" i="6"/>
  <c r="Z21" i="6"/>
  <c r="T30" i="6"/>
  <c r="Z27" i="6"/>
  <c r="Z28" i="6"/>
  <c r="J167" i="1" l="1"/>
  <c r="B188" i="1"/>
  <c r="J188" i="1" s="1"/>
  <c r="J113" i="1"/>
  <c r="I154" i="2"/>
  <c r="I154" i="1" s="1"/>
  <c r="I175" i="1" s="1"/>
  <c r="J92" i="1"/>
  <c r="H154" i="2"/>
  <c r="H175" i="2" s="1"/>
  <c r="J113" i="2"/>
  <c r="H153" i="2"/>
  <c r="H174" i="2" s="1"/>
  <c r="J112" i="2"/>
  <c r="J91" i="1"/>
  <c r="I153" i="2"/>
  <c r="I174" i="2" s="1"/>
  <c r="J168" i="1"/>
  <c r="J189" i="1"/>
  <c r="J169" i="1"/>
  <c r="J190" i="1"/>
  <c r="C8" i="6"/>
  <c r="C21" i="6" s="1"/>
  <c r="L8" i="6" s="1"/>
  <c r="D8" i="6"/>
  <c r="D21" i="6" s="1"/>
  <c r="M8" i="6" s="1"/>
  <c r="E8" i="6"/>
  <c r="F8" i="6"/>
  <c r="G8" i="6"/>
  <c r="H8" i="6"/>
  <c r="C9" i="6"/>
  <c r="C22" i="6" s="1"/>
  <c r="L9" i="6" s="1"/>
  <c r="D9" i="6"/>
  <c r="D22" i="6" s="1"/>
  <c r="M9" i="6" s="1"/>
  <c r="E9" i="6"/>
  <c r="F9" i="6"/>
  <c r="G9" i="6"/>
  <c r="H9" i="6"/>
  <c r="C10" i="6"/>
  <c r="D10" i="6"/>
  <c r="E10" i="6"/>
  <c r="F10" i="6"/>
  <c r="G10" i="6"/>
  <c r="H10" i="6"/>
  <c r="C11" i="6"/>
  <c r="D11" i="6"/>
  <c r="E11" i="6"/>
  <c r="F11" i="6"/>
  <c r="G11" i="6"/>
  <c r="H11" i="6"/>
  <c r="C12" i="6"/>
  <c r="D12" i="6"/>
  <c r="E12" i="6"/>
  <c r="F12" i="6"/>
  <c r="G12" i="6"/>
  <c r="H12" i="6"/>
  <c r="C13" i="6"/>
  <c r="D13" i="6"/>
  <c r="E13" i="6"/>
  <c r="F13" i="6"/>
  <c r="G13" i="6"/>
  <c r="H13" i="6"/>
  <c r="C14" i="6"/>
  <c r="D14" i="6"/>
  <c r="E14" i="6"/>
  <c r="F14" i="6"/>
  <c r="G14" i="6"/>
  <c r="H14" i="6"/>
  <c r="C15" i="6"/>
  <c r="C28" i="6" s="1"/>
  <c r="L15" i="6" s="1"/>
  <c r="D15" i="6"/>
  <c r="D28" i="6" s="1"/>
  <c r="M15" i="6" s="1"/>
  <c r="E15" i="6"/>
  <c r="F15" i="6"/>
  <c r="G15" i="6"/>
  <c r="H15" i="6"/>
  <c r="C16" i="6"/>
  <c r="D16" i="6"/>
  <c r="D29" i="6" s="1"/>
  <c r="M16" i="6" s="1"/>
  <c r="E16" i="6"/>
  <c r="F16" i="6"/>
  <c r="G16" i="6"/>
  <c r="H16" i="6"/>
  <c r="E7" i="6"/>
  <c r="F7" i="6"/>
  <c r="G7" i="6"/>
  <c r="H7" i="6"/>
  <c r="D7" i="6"/>
  <c r="C7" i="6"/>
  <c r="B16" i="6"/>
  <c r="B15" i="6"/>
  <c r="B14" i="6"/>
  <c r="B13" i="6"/>
  <c r="B12" i="6"/>
  <c r="B11" i="6"/>
  <c r="B10" i="6"/>
  <c r="B9" i="6"/>
  <c r="B8" i="6"/>
  <c r="B7" i="6"/>
  <c r="J153" i="2" l="1"/>
  <c r="J112" i="1"/>
  <c r="H154" i="1"/>
  <c r="H175" i="1" s="1"/>
  <c r="J154" i="2"/>
  <c r="J174" i="2"/>
  <c r="I153" i="1"/>
  <c r="H153" i="1"/>
  <c r="H174" i="1" s="1"/>
  <c r="I175" i="2"/>
  <c r="J175" i="2" s="1"/>
  <c r="B21" i="6"/>
  <c r="K8" i="6" s="1"/>
  <c r="I8" i="6"/>
  <c r="B23" i="6"/>
  <c r="K10" i="6" s="1"/>
  <c r="B47" i="6" s="1"/>
  <c r="I10" i="6"/>
  <c r="B25" i="6"/>
  <c r="K12" i="6" s="1"/>
  <c r="I12" i="6"/>
  <c r="B29" i="6"/>
  <c r="K16" i="6" s="1"/>
  <c r="I16" i="6"/>
  <c r="D20" i="6"/>
  <c r="M7" i="6" s="1"/>
  <c r="G17" i="6"/>
  <c r="G20" i="6"/>
  <c r="G52" i="6"/>
  <c r="P7" i="6"/>
  <c r="E20" i="6"/>
  <c r="N7" i="6" s="1"/>
  <c r="E52" i="6" s="1"/>
  <c r="G29" i="6"/>
  <c r="P16" i="6" s="1"/>
  <c r="G59" i="6" s="1"/>
  <c r="E29" i="6"/>
  <c r="N16" i="6" s="1"/>
  <c r="E59" i="6" s="1"/>
  <c r="C29" i="6"/>
  <c r="L16" i="6" s="1"/>
  <c r="G28" i="6"/>
  <c r="P15" i="6" s="1"/>
  <c r="G58" i="6" s="1"/>
  <c r="E28" i="6"/>
  <c r="N15" i="6" s="1"/>
  <c r="E58" i="6" s="1"/>
  <c r="G27" i="6"/>
  <c r="P14" i="6" s="1"/>
  <c r="G39" i="6"/>
  <c r="G26" i="6"/>
  <c r="P13" i="6" s="1"/>
  <c r="G56" i="6" s="1"/>
  <c r="E26" i="6"/>
  <c r="N13" i="6" s="1"/>
  <c r="E56" i="6" s="1"/>
  <c r="C26" i="6"/>
  <c r="L13" i="6" s="1"/>
  <c r="G25" i="6"/>
  <c r="P12" i="6" s="1"/>
  <c r="G55" i="6" s="1"/>
  <c r="E25" i="6"/>
  <c r="N12" i="6" s="1"/>
  <c r="E55" i="6" s="1"/>
  <c r="C25" i="6"/>
  <c r="L12" i="6" s="1"/>
  <c r="G24" i="6"/>
  <c r="P11" i="6" s="1"/>
  <c r="G48" i="6" s="1"/>
  <c r="E24" i="6"/>
  <c r="N11" i="6" s="1"/>
  <c r="E48" i="6" s="1"/>
  <c r="C24" i="6"/>
  <c r="L11" i="6" s="1"/>
  <c r="C48" i="6" s="1"/>
  <c r="G23" i="6"/>
  <c r="P10" i="6" s="1"/>
  <c r="G47" i="6" s="1"/>
  <c r="E23" i="6"/>
  <c r="N10" i="6" s="1"/>
  <c r="E47" i="6" s="1"/>
  <c r="C23" i="6"/>
  <c r="L10" i="6" s="1"/>
  <c r="C47" i="6" s="1"/>
  <c r="G22" i="6"/>
  <c r="P9" i="6" s="1"/>
  <c r="G54" i="6" s="1"/>
  <c r="E22" i="6"/>
  <c r="N9" i="6" s="1"/>
  <c r="E54" i="6" s="1"/>
  <c r="G21" i="6"/>
  <c r="P8" i="6" s="1"/>
  <c r="G53" i="6" s="1"/>
  <c r="E21" i="6"/>
  <c r="N8" i="6" s="1"/>
  <c r="E53" i="6" s="1"/>
  <c r="B20" i="6"/>
  <c r="K7" i="6" s="1"/>
  <c r="I7" i="6"/>
  <c r="B22" i="6"/>
  <c r="K9" i="6" s="1"/>
  <c r="I9" i="6"/>
  <c r="B24" i="6"/>
  <c r="K11" i="6" s="1"/>
  <c r="B48" i="6" s="1"/>
  <c r="I11" i="6"/>
  <c r="B26" i="6"/>
  <c r="K13" i="6" s="1"/>
  <c r="I13" i="6"/>
  <c r="B28" i="6"/>
  <c r="K15" i="6" s="1"/>
  <c r="I15" i="6"/>
  <c r="C20" i="6"/>
  <c r="L7" i="6" s="1"/>
  <c r="H20" i="6"/>
  <c r="H52" i="6"/>
  <c r="Q7" i="6"/>
  <c r="H17" i="6"/>
  <c r="F20" i="6"/>
  <c r="O7" i="6" s="1"/>
  <c r="F52" i="6" s="1"/>
  <c r="H29" i="6"/>
  <c r="Q16" i="6" s="1"/>
  <c r="H59" i="6" s="1"/>
  <c r="F29" i="6"/>
  <c r="O16" i="6" s="1"/>
  <c r="F59" i="6" s="1"/>
  <c r="H28" i="6"/>
  <c r="Q15" i="6" s="1"/>
  <c r="H58" i="6" s="1"/>
  <c r="F28" i="6"/>
  <c r="O15" i="6" s="1"/>
  <c r="F58" i="6" s="1"/>
  <c r="H27" i="6"/>
  <c r="Q14" i="6" s="1"/>
  <c r="H39" i="6"/>
  <c r="H26" i="6"/>
  <c r="Q13" i="6" s="1"/>
  <c r="H56" i="6" s="1"/>
  <c r="F26" i="6"/>
  <c r="O13" i="6" s="1"/>
  <c r="F56" i="6" s="1"/>
  <c r="D26" i="6"/>
  <c r="M13" i="6" s="1"/>
  <c r="H25" i="6"/>
  <c r="Q12" i="6" s="1"/>
  <c r="H55" i="6" s="1"/>
  <c r="F25" i="6"/>
  <c r="O12" i="6" s="1"/>
  <c r="F55" i="6" s="1"/>
  <c r="D25" i="6"/>
  <c r="M12" i="6" s="1"/>
  <c r="H24" i="6"/>
  <c r="Q11" i="6" s="1"/>
  <c r="H48" i="6" s="1"/>
  <c r="F24" i="6"/>
  <c r="O11" i="6" s="1"/>
  <c r="F48" i="6" s="1"/>
  <c r="D24" i="6"/>
  <c r="M11" i="6" s="1"/>
  <c r="D48" i="6" s="1"/>
  <c r="H23" i="6"/>
  <c r="Q10" i="6" s="1"/>
  <c r="H47" i="6" s="1"/>
  <c r="F23" i="6"/>
  <c r="O10" i="6" s="1"/>
  <c r="F47" i="6" s="1"/>
  <c r="D23" i="6"/>
  <c r="M10" i="6" s="1"/>
  <c r="D47" i="6" s="1"/>
  <c r="H22" i="6"/>
  <c r="Q9" i="6" s="1"/>
  <c r="H54" i="6" s="1"/>
  <c r="F22" i="6"/>
  <c r="O9" i="6" s="1"/>
  <c r="F54" i="6" s="1"/>
  <c r="H21" i="6"/>
  <c r="Q8" i="6" s="1"/>
  <c r="H53" i="6" s="1"/>
  <c r="F21" i="6"/>
  <c r="O8" i="6" s="1"/>
  <c r="F53" i="6" s="1"/>
  <c r="F27" i="6"/>
  <c r="F17" i="6"/>
  <c r="F39" i="6"/>
  <c r="E27" i="6"/>
  <c r="E17" i="6"/>
  <c r="E39" i="6"/>
  <c r="D17" i="6"/>
  <c r="D27" i="6"/>
  <c r="M14" i="6" s="1"/>
  <c r="D39" i="6"/>
  <c r="C27" i="6"/>
  <c r="C39" i="6"/>
  <c r="C17" i="6"/>
  <c r="B39" i="6"/>
  <c r="B27" i="6"/>
  <c r="I14" i="6"/>
  <c r="B17" i="6"/>
  <c r="I174" i="1" l="1"/>
  <c r="J153" i="1"/>
  <c r="J175" i="1"/>
  <c r="J154" i="1"/>
  <c r="H57" i="6"/>
  <c r="H60" i="6" s="1"/>
  <c r="G57" i="6"/>
  <c r="G60" i="6" s="1"/>
  <c r="E30" i="6"/>
  <c r="E32" i="6" s="1"/>
  <c r="E38" i="6" s="1"/>
  <c r="E40" i="6" s="1"/>
  <c r="E42" i="6" s="1"/>
  <c r="E43" i="6" s="1"/>
  <c r="C30" i="6"/>
  <c r="C32" i="6" s="1"/>
  <c r="C38" i="6" s="1"/>
  <c r="C40" i="6" s="1"/>
  <c r="C42" i="6" s="1"/>
  <c r="C43" i="6" s="1"/>
  <c r="N14" i="6"/>
  <c r="E57" i="6" s="1"/>
  <c r="E60" i="6" s="1"/>
  <c r="H49" i="6"/>
  <c r="F49" i="6"/>
  <c r="F30" i="6"/>
  <c r="F32" i="6" s="1"/>
  <c r="F38" i="6" s="1"/>
  <c r="F40" i="6" s="1"/>
  <c r="F42" i="6" s="1"/>
  <c r="F43" i="6" s="1"/>
  <c r="E49" i="6"/>
  <c r="C49" i="6"/>
  <c r="D54" i="6"/>
  <c r="C54" i="6"/>
  <c r="B54" i="6"/>
  <c r="D53" i="6"/>
  <c r="B53" i="6"/>
  <c r="C53" i="6"/>
  <c r="L14" i="6"/>
  <c r="C57" i="6" s="1"/>
  <c r="D30" i="6"/>
  <c r="D32" i="6" s="1"/>
  <c r="D38" i="6" s="1"/>
  <c r="D40" i="6" s="1"/>
  <c r="D42" i="6" s="1"/>
  <c r="D43" i="6" s="1"/>
  <c r="O14" i="6"/>
  <c r="F57" i="6" s="1"/>
  <c r="F60" i="6" s="1"/>
  <c r="I28" i="6"/>
  <c r="I48" i="6"/>
  <c r="I24" i="6"/>
  <c r="I20" i="6"/>
  <c r="G49" i="6"/>
  <c r="G30" i="6"/>
  <c r="G32" i="6" s="1"/>
  <c r="G38" i="6" s="1"/>
  <c r="G40" i="6" s="1"/>
  <c r="G42" i="6" s="1"/>
  <c r="G43" i="6" s="1"/>
  <c r="I29" i="6"/>
  <c r="I23" i="6"/>
  <c r="I21" i="6"/>
  <c r="B52" i="6"/>
  <c r="D52" i="6"/>
  <c r="C52" i="6"/>
  <c r="I47" i="6"/>
  <c r="B49" i="6"/>
  <c r="D49" i="6"/>
  <c r="H30" i="6"/>
  <c r="H32" i="6" s="1"/>
  <c r="H38" i="6" s="1"/>
  <c r="H40" i="6" s="1"/>
  <c r="H42" i="6" s="1"/>
  <c r="H43" i="6" s="1"/>
  <c r="I26" i="6"/>
  <c r="I22" i="6"/>
  <c r="I25" i="6"/>
  <c r="I39" i="6"/>
  <c r="D57" i="6"/>
  <c r="I27" i="6"/>
  <c r="B30" i="6"/>
  <c r="B32" i="6" s="1"/>
  <c r="B38" i="6" s="1"/>
  <c r="I17" i="6"/>
  <c r="K14" i="6"/>
  <c r="B57" i="6" s="1"/>
  <c r="C55" i="6" l="1"/>
  <c r="J174" i="1"/>
  <c r="D55" i="6"/>
  <c r="C58" i="6"/>
  <c r="B56" i="6"/>
  <c r="D56" i="6"/>
  <c r="C56" i="6"/>
  <c r="B55" i="6"/>
  <c r="H62" i="6"/>
  <c r="H64" i="6" s="1"/>
  <c r="C59" i="6"/>
  <c r="B59" i="6"/>
  <c r="D59" i="6"/>
  <c r="G62" i="6"/>
  <c r="G64" i="6" s="1"/>
  <c r="F62" i="6"/>
  <c r="F64" i="6" s="1"/>
  <c r="D58" i="6"/>
  <c r="B58" i="6"/>
  <c r="E62" i="6"/>
  <c r="E64" i="6" s="1"/>
  <c r="I54" i="6"/>
  <c r="I30" i="6"/>
  <c r="I32" i="6" s="1"/>
  <c r="I49" i="6"/>
  <c r="I52" i="6"/>
  <c r="I53" i="6"/>
  <c r="B40" i="6"/>
  <c r="I40" i="6" s="1"/>
  <c r="I38" i="6"/>
  <c r="I57" i="6"/>
  <c r="I55" i="6" l="1"/>
  <c r="C60" i="6"/>
  <c r="C62" i="6" s="1"/>
  <c r="C64" i="6" s="1"/>
  <c r="I56" i="6"/>
  <c r="I59" i="6"/>
  <c r="B60" i="6"/>
  <c r="B62" i="6" s="1"/>
  <c r="D60" i="6"/>
  <c r="D62" i="6" s="1"/>
  <c r="D64" i="6" s="1"/>
  <c r="I58" i="6"/>
  <c r="I42" i="6"/>
  <c r="I43" i="6" s="1"/>
  <c r="C44" i="6" s="1"/>
  <c r="B42" i="6"/>
  <c r="B43" i="6" s="1"/>
  <c r="E19" i="23" l="1"/>
  <c r="D19" i="23"/>
  <c r="I60" i="6"/>
  <c r="I62" i="6" s="1"/>
  <c r="I64" i="6" s="1"/>
  <c r="H44" i="6"/>
  <c r="E44" i="6"/>
  <c r="D44" i="6"/>
  <c r="F44" i="6"/>
  <c r="G44" i="6"/>
  <c r="B64" i="6"/>
  <c r="B44" i="6"/>
  <c r="B25" i="2"/>
  <c r="I44" i="6" l="1"/>
  <c r="S30" i="6" l="1"/>
  <c r="Z20" i="6"/>
  <c r="Z30" i="6" s="1"/>
  <c r="E17" i="17"/>
  <c r="D12" i="17"/>
  <c r="D17" i="17" s="1"/>
  <c r="B80" i="2"/>
  <c r="B100" i="2" s="1"/>
  <c r="AJ19" i="8"/>
  <c r="D80" i="1"/>
  <c r="B121" i="2" l="1"/>
  <c r="B108" i="2"/>
  <c r="B100" i="1"/>
  <c r="C80" i="2"/>
  <c r="D80" i="2" l="1"/>
  <c r="C100" i="2"/>
  <c r="B108" i="1"/>
  <c r="B121" i="1"/>
  <c r="B162" i="2"/>
  <c r="B183" i="2" s="1"/>
  <c r="B129" i="2"/>
  <c r="B170" i="2" l="1"/>
  <c r="B162" i="1"/>
  <c r="B183" i="1" s="1"/>
  <c r="B129" i="1"/>
  <c r="C100" i="1"/>
  <c r="C108" i="2"/>
  <c r="C121" i="2"/>
  <c r="B191" i="2"/>
  <c r="E80" i="2"/>
  <c r="D100" i="2"/>
  <c r="B191" i="1" l="1"/>
  <c r="C108" i="1"/>
  <c r="C121" i="1"/>
  <c r="D108" i="2"/>
  <c r="D100" i="1"/>
  <c r="D121" i="2"/>
  <c r="E100" i="2"/>
  <c r="F80" i="2"/>
  <c r="B170" i="1"/>
  <c r="C162" i="2"/>
  <c r="C183" i="2" s="1"/>
  <c r="C129" i="2"/>
  <c r="D162" i="2" l="1"/>
  <c r="D183" i="2" s="1"/>
  <c r="D191" i="2" s="1"/>
  <c r="D129" i="2"/>
  <c r="C191" i="2"/>
  <c r="C129" i="1"/>
  <c r="F100" i="2"/>
  <c r="G80" i="2"/>
  <c r="D121" i="1"/>
  <c r="D108" i="1"/>
  <c r="C162" i="1"/>
  <c r="C170" i="2"/>
  <c r="E121" i="2"/>
  <c r="E108" i="2"/>
  <c r="E100" i="1"/>
  <c r="C170" i="1" l="1"/>
  <c r="H80" i="2"/>
  <c r="G100" i="2"/>
  <c r="C183" i="1"/>
  <c r="E108" i="1"/>
  <c r="E121" i="1"/>
  <c r="D129" i="1"/>
  <c r="E162" i="2"/>
  <c r="E183" i="2" s="1"/>
  <c r="E129" i="2"/>
  <c r="F108" i="2"/>
  <c r="F121" i="2"/>
  <c r="F100" i="1"/>
  <c r="D170" i="2"/>
  <c r="D162" i="1"/>
  <c r="D170" i="1" s="1"/>
  <c r="F162" i="2" l="1"/>
  <c r="F183" i="2" s="1"/>
  <c r="F191" i="2" s="1"/>
  <c r="F129" i="2"/>
  <c r="C191" i="1"/>
  <c r="H100" i="2"/>
  <c r="J80" i="2"/>
  <c r="I80" i="2"/>
  <c r="I100" i="2" s="1"/>
  <c r="D183" i="1"/>
  <c r="D191" i="1" s="1"/>
  <c r="G108" i="2"/>
  <c r="G100" i="1"/>
  <c r="G121" i="2"/>
  <c r="F121" i="1"/>
  <c r="F108" i="1"/>
  <c r="E129" i="1"/>
  <c r="E191" i="2"/>
  <c r="E170" i="2"/>
  <c r="E162" i="1"/>
  <c r="E170" i="1" s="1"/>
  <c r="H108" i="2" l="1"/>
  <c r="H100" i="1"/>
  <c r="H121" i="2"/>
  <c r="I100" i="1"/>
  <c r="I121" i="2"/>
  <c r="I108" i="2"/>
  <c r="G129" i="2"/>
  <c r="G162" i="2"/>
  <c r="G183" i="2" s="1"/>
  <c r="F129" i="1"/>
  <c r="G121" i="1"/>
  <c r="G108" i="1"/>
  <c r="E183" i="1"/>
  <c r="J100" i="2"/>
  <c r="J108" i="2" s="1"/>
  <c r="F170" i="2"/>
  <c r="F162" i="1"/>
  <c r="F170" i="1" s="1"/>
  <c r="G191" i="2" l="1"/>
  <c r="I121" i="1"/>
  <c r="I108" i="1"/>
  <c r="E191" i="1"/>
  <c r="G129" i="1"/>
  <c r="F183" i="1"/>
  <c r="F191" i="1" s="1"/>
  <c r="H162" i="2"/>
  <c r="H183" i="2" s="1"/>
  <c r="H191" i="2" s="1"/>
  <c r="H129" i="2"/>
  <c r="I129" i="2"/>
  <c r="I162" i="2"/>
  <c r="J121" i="2"/>
  <c r="J129" i="2" s="1"/>
  <c r="L129" i="1" s="1"/>
  <c r="H121" i="1"/>
  <c r="H108" i="1"/>
  <c r="J100" i="1"/>
  <c r="J108" i="1" s="1"/>
  <c r="G162" i="1"/>
  <c r="G170" i="1" s="1"/>
  <c r="G170" i="2"/>
  <c r="M108" i="2"/>
  <c r="L108" i="1"/>
  <c r="E16" i="9" l="1"/>
  <c r="F16" i="9"/>
  <c r="I162" i="1"/>
  <c r="I170" i="2"/>
  <c r="I183" i="2"/>
  <c r="I191" i="2" s="1"/>
  <c r="H170" i="2"/>
  <c r="H162" i="1"/>
  <c r="H170" i="1" s="1"/>
  <c r="I129" i="1"/>
  <c r="J162" i="2"/>
  <c r="J170" i="2" s="1"/>
  <c r="N170" i="1" s="1"/>
  <c r="M108" i="1"/>
  <c r="H129" i="1"/>
  <c r="J121" i="1"/>
  <c r="J129" i="1" s="1"/>
  <c r="M129" i="1" s="1"/>
  <c r="G183" i="1"/>
  <c r="J183" i="2" l="1"/>
  <c r="J191" i="2" s="1"/>
  <c r="M191" i="2" s="1"/>
  <c r="H183" i="1"/>
  <c r="H191" i="1" s="1"/>
  <c r="I170" i="1"/>
  <c r="J162" i="1"/>
  <c r="J170" i="1" s="1"/>
  <c r="F18" i="9"/>
  <c r="E18" i="9"/>
  <c r="M170" i="2"/>
  <c r="L170" i="1"/>
  <c r="G191" i="1"/>
  <c r="I183" i="1"/>
  <c r="I191" i="1" s="1"/>
  <c r="L191" i="1" l="1"/>
  <c r="O170" i="1"/>
  <c r="M170" i="1"/>
  <c r="L192" i="1"/>
  <c r="J183" i="1"/>
  <c r="J191" i="1" s="1"/>
  <c r="M192" i="1" l="1"/>
  <c r="J192" i="1"/>
  <c r="M191" i="1"/>
  <c r="B23" i="22"/>
  <c r="B25" i="22" s="1"/>
  <c r="D25" i="22" s="1"/>
  <c r="F15" i="9"/>
  <c r="E14" i="9" s="1"/>
  <c r="E15" i="9"/>
  <c r="F14" i="9" s="1"/>
  <c r="F23" i="9" l="1"/>
  <c r="M25" i="9" s="1"/>
  <c r="M27" i="9" s="1"/>
  <c r="E23" i="9"/>
  <c r="L25" i="9" s="1"/>
  <c r="L27"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N6" authorId="0" shapeId="0" xr:uid="{00000000-0006-0000-0300-000001000000}">
      <text>
        <r>
          <rPr>
            <b/>
            <sz val="8"/>
            <color indexed="81"/>
            <rFont val="Tahoma"/>
            <family val="2"/>
          </rPr>
          <t>Note:</t>
        </r>
        <r>
          <rPr>
            <sz val="8"/>
            <color indexed="81"/>
            <rFont val="Tahoma"/>
            <family val="2"/>
          </rPr>
          <t xml:space="preserve">
90+ Days</t>
        </r>
      </text>
    </comment>
  </commentList>
</comments>
</file>

<file path=xl/sharedStrings.xml><?xml version="1.0" encoding="utf-8"?>
<sst xmlns="http://schemas.openxmlformats.org/spreadsheetml/2006/main" count="21839" uniqueCount="1304">
  <si>
    <t>Total</t>
  </si>
  <si>
    <t>Worker's Comp.</t>
  </si>
  <si>
    <t>Self Pay</t>
  </si>
  <si>
    <t>PPOM</t>
  </si>
  <si>
    <t>Medicare</t>
  </si>
  <si>
    <t>Medicaid</t>
  </si>
  <si>
    <t>Commercial</t>
  </si>
  <si>
    <t>BCBS</t>
  </si>
  <si>
    <t>Auto</t>
  </si>
  <si>
    <t>361+ Days</t>
  </si>
  <si>
    <t>180-360 Days</t>
  </si>
  <si>
    <t>120-180 Days</t>
  </si>
  <si>
    <t>91-120 Days</t>
  </si>
  <si>
    <t>61-90 Days</t>
  </si>
  <si>
    <t>31-60 Days</t>
  </si>
  <si>
    <t>0-30 Days</t>
  </si>
  <si>
    <t>Payer</t>
  </si>
  <si>
    <t>Agility Health</t>
  </si>
  <si>
    <t>Insurance Reserve %</t>
  </si>
  <si>
    <t>Self Pay Reserve %</t>
  </si>
  <si>
    <t>Bad Debt Reserve</t>
  </si>
  <si>
    <t>Total Reserve</t>
  </si>
  <si>
    <t>Borrowing Base Exclusions</t>
  </si>
  <si>
    <t>Net Medicaid</t>
  </si>
  <si>
    <t>Net Medicare</t>
  </si>
  <si>
    <t xml:space="preserve">Net Available AR </t>
  </si>
  <si>
    <t>90 Day Net Exclusions</t>
  </si>
  <si>
    <t>Total Net Exclusions</t>
  </si>
  <si>
    <t>Total Net Governmental Exclusions</t>
  </si>
  <si>
    <t>United Healthcare</t>
  </si>
  <si>
    <t>Net Accounts Receivable</t>
  </si>
  <si>
    <t>AR Reserve Calculations</t>
  </si>
  <si>
    <t>Net Contractual AR</t>
  </si>
  <si>
    <t>Contractual Allowance Reserve</t>
  </si>
  <si>
    <t>Insurance Reserve</t>
  </si>
  <si>
    <t>Self Pay Reserve</t>
  </si>
  <si>
    <t>% of Total</t>
  </si>
  <si>
    <t>121-180 Days</t>
  </si>
  <si>
    <t>181-360 Days</t>
  </si>
  <si>
    <t>Difference</t>
  </si>
  <si>
    <t>Specialists in Sports and Orthopedic Rehabilitation, LLC</t>
  </si>
  <si>
    <t>1120-720-00</t>
  </si>
  <si>
    <t>Cofinity</t>
  </si>
  <si>
    <t>TriCare</t>
  </si>
  <si>
    <t>7/1/11 - 6/30/11 Service Date Reimbursement %</t>
  </si>
  <si>
    <t>1000-000-00</t>
  </si>
  <si>
    <t>Unposted money</t>
  </si>
  <si>
    <t>Tricare</t>
  </si>
  <si>
    <t>Original summary aging schedule:</t>
  </si>
  <si>
    <t>Attorney/Lien</t>
  </si>
  <si>
    <t>Federal Emp Prog</t>
  </si>
  <si>
    <t>Medicare Advantage</t>
  </si>
  <si>
    <t>Veterans Admin</t>
  </si>
  <si>
    <t xml:space="preserve"> </t>
  </si>
  <si>
    <t>Gross Accounts Receivable</t>
  </si>
  <si>
    <t>Reimbursement Rates</t>
  </si>
  <si>
    <t>Aggregate</t>
  </si>
  <si>
    <t>(INFORMATION ONLY)</t>
  </si>
  <si>
    <t>ACTIVE</t>
  </si>
  <si>
    <t>Bad Debt Rates</t>
  </si>
  <si>
    <t>Bad Debt Allowance</t>
  </si>
  <si>
    <t>GL Balance</t>
  </si>
  <si>
    <t>Difference (change in allowance)</t>
  </si>
  <si>
    <t>(Positive = Credit Allowance, Negative = Debit Allowance)</t>
  </si>
  <si>
    <t>Net Accounts Receivable (Pre-Bad Debt Allowance)</t>
  </si>
  <si>
    <t>Company</t>
  </si>
  <si>
    <t>Effective Month</t>
  </si>
  <si>
    <t>Reversing Entry?</t>
  </si>
  <si>
    <t>JOURNAL ENTRY FORM</t>
  </si>
  <si>
    <t>JE#</t>
  </si>
  <si>
    <t>DATE</t>
  </si>
  <si>
    <t>ACCT</t>
  </si>
  <si>
    <t>DESCRIPTION</t>
  </si>
  <si>
    <t>DEBIT</t>
  </si>
  <si>
    <t>CREDIT</t>
  </si>
  <si>
    <t>AR</t>
  </si>
  <si>
    <t>Bad Debt</t>
  </si>
  <si>
    <t>Contractual Reserve</t>
  </si>
  <si>
    <t>Contractual Allowances</t>
  </si>
  <si>
    <t>Bad Debt Write-Offs</t>
  </si>
  <si>
    <t>TOTAL</t>
  </si>
  <si>
    <t>COMMENTS:</t>
  </si>
  <si>
    <t>Preparer Initials:</t>
  </si>
  <si>
    <t>Reviewer Initials:</t>
  </si>
  <si>
    <t>Medical Records</t>
  </si>
  <si>
    <t>Priority Health</t>
  </si>
  <si>
    <t>Tricare/Champus</t>
  </si>
  <si>
    <t>Null</t>
  </si>
  <si>
    <t>Unknown Insurance</t>
  </si>
  <si>
    <t>Liability</t>
  </si>
  <si>
    <t>Error</t>
  </si>
  <si>
    <t>Change in Active Rates from Prior Rates Used</t>
  </si>
  <si>
    <t>Gross Accounts Receivable Agings</t>
  </si>
  <si>
    <t>121-150 Days</t>
  </si>
  <si>
    <t>151-180 Days</t>
  </si>
  <si>
    <t>Clinic Location:</t>
  </si>
  <si>
    <t>Date:</t>
  </si>
  <si>
    <t>Change in Active from Prior</t>
  </si>
  <si>
    <t>Clinic (Location)</t>
  </si>
  <si>
    <t>Procedure</t>
  </si>
  <si>
    <t>Insurance Adjustment</t>
  </si>
  <si>
    <t>Insurance Payment</t>
  </si>
  <si>
    <t>Patient Deposit</t>
  </si>
  <si>
    <t>Patient Payment</t>
  </si>
  <si>
    <t>Patient Adjustment</t>
  </si>
  <si>
    <t>Transfer In</t>
  </si>
  <si>
    <t>Transfer Out</t>
  </si>
  <si>
    <t>Insurance Refund</t>
  </si>
  <si>
    <t>Patient Refund</t>
  </si>
  <si>
    <t>Department</t>
  </si>
  <si>
    <t>Cash</t>
  </si>
  <si>
    <t>Accounts Receivable</t>
  </si>
  <si>
    <t>AR Aging</t>
  </si>
  <si>
    <t>Prior Balance</t>
  </si>
  <si>
    <t>Rolled</t>
  </si>
  <si>
    <t>Balance per</t>
  </si>
  <si>
    <t>Payor</t>
  </si>
  <si>
    <t>Clinic 3</t>
  </si>
  <si>
    <t>Clinic 4</t>
  </si>
  <si>
    <t>Clinic 5</t>
  </si>
  <si>
    <t>Clinic 6</t>
  </si>
  <si>
    <t>Clinic 7</t>
  </si>
  <si>
    <t>Clinic 8</t>
  </si>
  <si>
    <t>Clinic 9</t>
  </si>
  <si>
    <t>Clinic 10</t>
  </si>
  <si>
    <t>Clinic 11</t>
  </si>
  <si>
    <t>Clinic 12</t>
  </si>
  <si>
    <t>Clinic 13</t>
  </si>
  <si>
    <t>Clinic 14</t>
  </si>
  <si>
    <t>Clinic 15</t>
  </si>
  <si>
    <t>Instructions / Procedures / Approach</t>
  </si>
  <si>
    <t>Note: Any Reimbursement Rates that change more than 5.00% in either direction will be highlighted (either green for a positive change or red for a negative change).</t>
  </si>
  <si>
    <t>1. All Reimbursement Rate work is to be completed and updated via utilization of this tab.</t>
  </si>
  <si>
    <t>2. This tab feeds the individual clinic allowance and estimate models tabs.</t>
  </si>
  <si>
    <t>Understanding this tab</t>
  </si>
  <si>
    <t>Obtaining Reimbursement Rates</t>
  </si>
  <si>
    <t>3. This tab allows for up to 15 individual clinics to be included.  Any unused clinics columns should be hidden.</t>
  </si>
  <si>
    <t>4. The clinic identification at the top of each column should be either the individual clinic name or the department ID (from Great Plains).</t>
  </si>
  <si>
    <t>5. Any cells highlighted in gray are considered input cells.</t>
  </si>
  <si>
    <t>6. The purpose of this tab and analysis is to understanding and ensure an appropriate analysis of reimbursement rates and the potential impacts of any changes to reimbursement rates within the allowance models.</t>
  </si>
  <si>
    <t>1. From the AGILE System, the Allowed Amounts Analysis Summary Report should be run on a quarterly basis.</t>
  </si>
  <si>
    <t>2. For each clinic, the Allowed Amounts Analysis Summary Report should be run using the trailing twelve month period (example. At 12/31/2015, the report should cover the period of 1/1/2015 to 12/31/2015; at 3/31/2016, the report should cover the period of 4/1/2015 to 3/31/2016).</t>
  </si>
  <si>
    <t>3. A copy of each clinic's Allowed Amounts Analysis Summary Report should be saved and documented within each company's respective month-end folder.</t>
  </si>
  <si>
    <t>5. For any individual clinic locations that either do not have significant activity or have no activity in a specific payor category, the aggregate reimbursement rate for the company should be used.  If the aggregate reimbursement rate is used, the cell should be appropriately highlighted indicating the aggregate rate was used.</t>
  </si>
  <si>
    <t>1. All Gross Accounts Receivable Aging Information is to be input on this tab.</t>
  </si>
  <si>
    <t>3. This tab allows for up to 15 individual clinics to be included.  Any unused clinics should be hidden.</t>
  </si>
  <si>
    <t>Obtaining Gross Accounts Receivable Aging Information</t>
  </si>
  <si>
    <t>1. The information to be input should be taken directly from the AGILE accounts receivable agings available at the end of each month.  This information and it's set up is intended to allow for copy and pasting of information directly from the system agings into this tab.</t>
  </si>
  <si>
    <t>2. The accounts receivable agings from AGILE should be appropriate saved in the respective company's month-end folder.</t>
  </si>
  <si>
    <t>No</t>
  </si>
  <si>
    <t>Gross Revenue</t>
  </si>
  <si>
    <t>1125-720-00</t>
  </si>
  <si>
    <t>Gross Charges, Adjustmens, Refunds, Cash Receipts by Location</t>
  </si>
  <si>
    <t>1. All Monthly Transaction Summary Information is to be input on this tab.</t>
  </si>
  <si>
    <t>2. This tab feeds the individual clinic monthy revenue and cash entries tabs.</t>
  </si>
  <si>
    <t>4. The clinic identification should be either the individual clinic name or the department ID (from Great Plains).</t>
  </si>
  <si>
    <t>Obtaining Monthly Transaction Summary Information</t>
  </si>
  <si>
    <t>1. The information to be input should be taken directly from the AGILE transaction files available at the end of each month.  This information and it's set up is intended to allow for copy and pasting of information directly from the transaction summaries into this tab.</t>
  </si>
  <si>
    <t>2. The monthly transaction summary information from AGILE should be appropriately saved in the respective company's month-end folder.</t>
  </si>
  <si>
    <t>3. This tab also provides for a high-level roll forward of each clinic and the aggregate of the clinics from one period's accounts receivable aging to the next.  Any significant differences should be investigated.</t>
  </si>
  <si>
    <t>2. This tab does not feed any entry critical tabs.  It is primarily for information purposes.</t>
  </si>
  <si>
    <t>3. This tab breaks down the Monthly Transaction Information by Payor Category rather than via Location.</t>
  </si>
  <si>
    <t>4. Any cells highlighted in gray are considered input cells.</t>
  </si>
  <si>
    <t>3. In order to obtain the Monthly Transaction Summary Information by Payor Category, rather than via by Location, the following steps should be followed:</t>
  </si>
  <si>
    <t>a. Open the AGILE monthly data file.</t>
  </si>
  <si>
    <t>c. With the entire tab still highlighted, select "Insert" from the header menu and click on "Pivot Table"</t>
  </si>
  <si>
    <t>d. When the "Create Pivot Table" pop up box appears, clinic "OK"; this will create a new tab.</t>
  </si>
  <si>
    <t>e. On the new tab, check the following boxes from the "PivotTable Field List" (located at the right of the screen):</t>
  </si>
  <si>
    <t>i. FinancialTRXCategory</t>
  </si>
  <si>
    <t>ii. TotalTransactionAmount</t>
  </si>
  <si>
    <t>iii. TRXInsGroup</t>
  </si>
  <si>
    <t>f. Once clicked, each of these fields will populate and can also be found in the bottom right, within "Row Labels" field.  Each category needs to be moved to a different field.</t>
  </si>
  <si>
    <t>g. The FinancialTRX Category can be dragged to the Column Labels field.</t>
  </si>
  <si>
    <t>h. The TotalTransactionAmount Category can be dragged to the Values field.  Once moved, left click on the Category, click on Value Field Settings and select "SUM"</t>
  </si>
  <si>
    <t>i. The TRXInsGroup should remain in the Rows Labels field.</t>
  </si>
  <si>
    <t>j. This has now created the necessary Pivot Table and necessary information to populate this tab.</t>
  </si>
  <si>
    <t>3. This tab also provides for a high-level roll forward of each payor from one period's accounts receivable aging to the next.  Any significant differences should be investigated.</t>
  </si>
  <si>
    <t>Bad Debt Identification and Analysis</t>
  </si>
  <si>
    <t>Beyond Filing Limits</t>
  </si>
  <si>
    <t>Collection Agency - Allied</t>
  </si>
  <si>
    <t>Collection Agency - Allied Collections</t>
  </si>
  <si>
    <t>Credentialing</t>
  </si>
  <si>
    <t>Customer Satisfaction</t>
  </si>
  <si>
    <t>No Authorization</t>
  </si>
  <si>
    <t>Point of Service</t>
  </si>
  <si>
    <t>Sequestration - reduction in federal payment</t>
  </si>
  <si>
    <t>Small Balance</t>
  </si>
  <si>
    <t>253 - Sequestration - reduction in federal payment</t>
  </si>
  <si>
    <t>Charity Care</t>
  </si>
  <si>
    <t>Non-Covered Procedure</t>
  </si>
  <si>
    <t>Collection Agency - Americollect</t>
  </si>
  <si>
    <t>None</t>
  </si>
  <si>
    <t>96 - Non-covered charges</t>
  </si>
  <si>
    <t>39 - Services denied</t>
  </si>
  <si>
    <t>29 - The time limit for filing has expired.</t>
  </si>
  <si>
    <t>197 - Precertification/authorization/notification absent.</t>
  </si>
  <si>
    <t>198 - Precertification/authorization exceeded</t>
  </si>
  <si>
    <t>242 - Services not provided by network/primary care providers.</t>
  </si>
  <si>
    <t>243 - Services not authorized by network/primary care providers.</t>
  </si>
  <si>
    <t>Adjustment Type</t>
  </si>
  <si>
    <t>16 - Claim/service lacks information or has submission/billing errors</t>
  </si>
  <si>
    <t>226 - Information requested from the Billing/Rendering Provider was not provided or not provided timey or was insufficient/incomplete.</t>
  </si>
  <si>
    <t>15 - The authorization number is missing, invalid</t>
  </si>
  <si>
    <t>1100-xxx-xx</t>
  </si>
  <si>
    <t>4000-xxx-xx</t>
  </si>
  <si>
    <t>7500-xxx-xx</t>
  </si>
  <si>
    <t>1125-xxx-xx</t>
  </si>
  <si>
    <t>1120-xxx-xx</t>
  </si>
  <si>
    <t>4600-xxx-xx</t>
  </si>
  <si>
    <t>1. All Bad Debt Information is to be input on this tab.</t>
  </si>
  <si>
    <t>Obtaining Bad Debt Information</t>
  </si>
  <si>
    <t>2. The bad debt information from AGILE should be appropriately saved in the respective company's month-end folder.</t>
  </si>
  <si>
    <t>3. In order to obtain the Bad Debt Information by Location, the following steps should be followed:</t>
  </si>
  <si>
    <t>i. TRXLocation</t>
  </si>
  <si>
    <t>iii. AdjustmentType</t>
  </si>
  <si>
    <t>g. The TRXLocation Category can be dragged to the Column Labels field.</t>
  </si>
  <si>
    <t>i. The AdustmentType Category should remain in the Rows Labels field.  Within the "PivotTable Field List" left click on the Adjustment Type Category, Select only the adjustment types that appear in the detail below.</t>
  </si>
  <si>
    <t>3. This tab also provides for a high-level analysis of bad debt types by location.</t>
  </si>
  <si>
    <t>4. Adjustment Type categories should be evaluated and reviewed on at least a quarterly basis to verify whether any categories should be added to bad debt consideration.</t>
  </si>
  <si>
    <t>Credit Balance Identification and Analysis</t>
  </si>
  <si>
    <t>Patient Name</t>
  </si>
  <si>
    <t>Adjustment</t>
  </si>
  <si>
    <t>Deposit</t>
  </si>
  <si>
    <t>Deposit Transfer</t>
  </si>
  <si>
    <t>Grand Total</t>
  </si>
  <si>
    <t>$ on Deposit</t>
  </si>
  <si>
    <t>Total Credit Balances</t>
  </si>
  <si>
    <t>1. All Credit Balance Information is to be input on this tab.</t>
  </si>
  <si>
    <t>2. This tab feeds the Credit Balance Adjustment Calculation tab.</t>
  </si>
  <si>
    <t>3. The purpose of this tab is to consider the impact of credit balances within the allowance and estimate models.</t>
  </si>
  <si>
    <t>Obtaining Credit Balance Information</t>
  </si>
  <si>
    <t>2. The credit balance information from AGILE should be appropriately saved in the respective company's month-end folder.</t>
  </si>
  <si>
    <t>3. In order to obtain the Credit Balance Information, the following steps should be followed:</t>
  </si>
  <si>
    <t>i. PatName</t>
  </si>
  <si>
    <t>ii. Trxtype</t>
  </si>
  <si>
    <t>iii. AgingProcedureChargeTotal</t>
  </si>
  <si>
    <t>g. The trxtype Category can be dragged to the Column Labels field.</t>
  </si>
  <si>
    <t>h. The AgingProcedureChargeTotal Category can be dragged to the Values field.  Once moved, left click on the Category, click on Value Field Settings and select "SUM"</t>
  </si>
  <si>
    <t>i. The PatName Category should remain in the Rows Labels field.</t>
  </si>
  <si>
    <t>h. Copy and Paste the information into this tab.</t>
  </si>
  <si>
    <t>i. Drag the IF statements (located in columns I and J) down to the bottom of the data table.</t>
  </si>
  <si>
    <t>j. Sum both columns I and J.  Carry the totals to the Credit Balance Adjustment Calculation tab.</t>
  </si>
  <si>
    <t>Patient Credit Balances</t>
  </si>
  <si>
    <t>Reimbursement Rates Updated</t>
  </si>
  <si>
    <t>AR Agings Input from AGILE</t>
  </si>
  <si>
    <t>Preparer</t>
  </si>
  <si>
    <t>Reviewer</t>
  </si>
  <si>
    <t>Rollforward by Location Input from AGILE</t>
  </si>
  <si>
    <t>Supporting Reports Saved in Appropriate Month-End Folder</t>
  </si>
  <si>
    <t>Rollforward by Payor Input from AGILE</t>
  </si>
  <si>
    <t>Bad Debt Detail Input from AGILE</t>
  </si>
  <si>
    <t>Completed</t>
  </si>
  <si>
    <t>Date</t>
  </si>
  <si>
    <t>Revenue Entries Reviewed and Populated in Great Plains</t>
  </si>
  <si>
    <t>Cash Entries Reviewed and Populated in Great Plains</t>
  </si>
  <si>
    <t>Credit Balance Analysis Completed</t>
  </si>
  <si>
    <t>Credit Balance Entry Reviewed and Populated in Great Plains</t>
  </si>
  <si>
    <t>Summary Checklist</t>
  </si>
  <si>
    <t>1. All Prior Period Credit Balance Information is to be input on this tab.</t>
  </si>
  <si>
    <t>Total $ on Deposit</t>
  </si>
  <si>
    <t>Current Period</t>
  </si>
  <si>
    <t>Prior Period</t>
  </si>
  <si>
    <t>$ Change</t>
  </si>
  <si>
    <t>Adjusted Credit Balances</t>
  </si>
  <si>
    <t>Estimated Allowance</t>
  </si>
  <si>
    <t>Aggregate Adjustment Rate</t>
  </si>
  <si>
    <t>ACCOUNT</t>
  </si>
  <si>
    <t>December Revenue</t>
  </si>
  <si>
    <t>AR Reserve Calculations - Summary</t>
  </si>
  <si>
    <t>Company Name - Clinic</t>
  </si>
  <si>
    <t>6. When updating aging information for the current period, the prior period's information should copied and pasted into the columns M thru T.  This will allow for a comparison of any changes from prior period to the current period.</t>
  </si>
  <si>
    <t>7. When updating reimbursement rates for the Active Period, the former rates should be copied and pasted into the Prior Rates Used section.  This will allow for a comparison of any changes from Prior Rates Used to Active Rates.</t>
  </si>
  <si>
    <t>4. In order to obtain the aggregate reimbursement rate, run the Allowed Amounts Analysis Report, including all available sites for the company.  This report should also be saved within each company's respective month-end folder</t>
  </si>
  <si>
    <t>Gross Charges, Adjustments, Refunds, Cash Receipts by Payor Category</t>
  </si>
  <si>
    <t>2. This tab feeds the individual clinic monthly revenue entry tab.</t>
  </si>
  <si>
    <t>1. The information to be input should be taken directly from previous Credit Balance Analysis from the prior period.</t>
  </si>
  <si>
    <t>check figure (should be zero)</t>
  </si>
  <si>
    <t>1120-099-00</t>
  </si>
  <si>
    <t>1125-000-00</t>
  </si>
  <si>
    <t>Biocorrect-Agile</t>
  </si>
  <si>
    <t>Biocorrect-GP</t>
  </si>
  <si>
    <t>1120-000-00</t>
  </si>
  <si>
    <t>Biocorrect</t>
  </si>
  <si>
    <t>*includes wholesale accounts</t>
  </si>
  <si>
    <t>4025-099-00</t>
  </si>
  <si>
    <t>2205-000-00</t>
  </si>
  <si>
    <t>1100-000-00</t>
  </si>
  <si>
    <t>4000-099-00</t>
  </si>
  <si>
    <t>7500-099-00</t>
  </si>
  <si>
    <t>4600-099-00</t>
  </si>
  <si>
    <t xml:space="preserve">   *** Don't Use on this tab go to Company Summary for Input</t>
  </si>
  <si>
    <t>shipping</t>
  </si>
  <si>
    <t>sales tax</t>
  </si>
  <si>
    <t>Aaron Alsgaard</t>
  </si>
  <si>
    <t>Abigail Spears</t>
  </si>
  <si>
    <t>Adam Bartone</t>
  </si>
  <si>
    <t>Adam Bolthouse</t>
  </si>
  <si>
    <t>Adam Stehouwer</t>
  </si>
  <si>
    <t>Advent Physical Therapy</t>
  </si>
  <si>
    <t>Alberto Esnaola</t>
  </si>
  <si>
    <t>Alex Baird</t>
  </si>
  <si>
    <t>Alex Conley</t>
  </si>
  <si>
    <t>Alexander Enns</t>
  </si>
  <si>
    <t>Alison Zeerip</t>
  </si>
  <si>
    <t>Amanda Davids Mundt</t>
  </si>
  <si>
    <t>Amelia Gooch</t>
  </si>
  <si>
    <t>Ami Maglothin</t>
  </si>
  <si>
    <t>Amorelle Brewer</t>
  </si>
  <si>
    <t>Amy  Pikaart</t>
  </si>
  <si>
    <t>Amy Lubbers</t>
  </si>
  <si>
    <t>Amy Oonk</t>
  </si>
  <si>
    <t>Amy Yasick</t>
  </si>
  <si>
    <t>Andrea Job</t>
  </si>
  <si>
    <t>Andrew Bole</t>
  </si>
  <si>
    <t>Andrew Whitney</t>
  </si>
  <si>
    <t>Andris Junde</t>
  </si>
  <si>
    <t>Ann  Chisholm</t>
  </si>
  <si>
    <t>Ann Sandberg</t>
  </si>
  <si>
    <t>Anna Kathryn Feltes</t>
  </si>
  <si>
    <t>Anna Tatishvili</t>
  </si>
  <si>
    <t>Anne Carr</t>
  </si>
  <si>
    <t>Anne Risch</t>
  </si>
  <si>
    <t>Annika Hawley</t>
  </si>
  <si>
    <t>Arguster Daniels IV</t>
  </si>
  <si>
    <t>Arlene Rolph</t>
  </si>
  <si>
    <t>Audriana Steeby Hernandez</t>
  </si>
  <si>
    <t>Bambi Rinehart</t>
  </si>
  <si>
    <t>Barbara Bancroft</t>
  </si>
  <si>
    <t>Barbara Dahlman</t>
  </si>
  <si>
    <t>Barry  Roscoe</t>
  </si>
  <si>
    <t>Barry Eisenga</t>
  </si>
  <si>
    <t>Bart Merkel</t>
  </si>
  <si>
    <t>Baylee Sterling</t>
  </si>
  <si>
    <t>Beth McClelland</t>
  </si>
  <si>
    <t>Betty Walworth</t>
  </si>
  <si>
    <t>Beverly  Chesebro</t>
  </si>
  <si>
    <t>Bonnie Taylor</t>
  </si>
  <si>
    <t>Bradley Witt</t>
  </si>
  <si>
    <t>Brenda Bentley</t>
  </si>
  <si>
    <t>Brenda Vanbeek</t>
  </si>
  <si>
    <t>Brenden Bogema</t>
  </si>
  <si>
    <t>Brian Mulder</t>
  </si>
  <si>
    <t>Brian Picardat</t>
  </si>
  <si>
    <t>Brittany Boos</t>
  </si>
  <si>
    <t>Brittany Todd</t>
  </si>
  <si>
    <t>Brooks Johnson</t>
  </si>
  <si>
    <t>Bruce Brink</t>
  </si>
  <si>
    <t>Caleb Bohn</t>
  </si>
  <si>
    <t>Caleb Greene</t>
  </si>
  <si>
    <t>Calvin Bennett</t>
  </si>
  <si>
    <t>Cameron Smith</t>
  </si>
  <si>
    <t>Cami Duram</t>
  </si>
  <si>
    <t>Camilla Sleeman</t>
  </si>
  <si>
    <t>Carl Sones</t>
  </si>
  <si>
    <t>Carol Check</t>
  </si>
  <si>
    <t>Carolyn Calcutt</t>
  </si>
  <si>
    <t>Casey Turner</t>
  </si>
  <si>
    <t>Cassandra Karr</t>
  </si>
  <si>
    <t>Cathrine VanderWoude</t>
  </si>
  <si>
    <t>Chad Doornbos</t>
  </si>
  <si>
    <t>Charles Jacobson</t>
  </si>
  <si>
    <t>Charles Murray</t>
  </si>
  <si>
    <t>Charles Scott</t>
  </si>
  <si>
    <t>Charles Thielbar</t>
  </si>
  <si>
    <t>Charlotte Gabriel</t>
  </si>
  <si>
    <t>Chase Taylor</t>
  </si>
  <si>
    <t>Cheryl Brandsen</t>
  </si>
  <si>
    <t>Cheryl Dennis</t>
  </si>
  <si>
    <t>Chrijaun Carter</t>
  </si>
  <si>
    <t>Chris  Chappus</t>
  </si>
  <si>
    <t>Chris Denault</t>
  </si>
  <si>
    <t>Chris Mepyans</t>
  </si>
  <si>
    <t>Christena Morgan</t>
  </si>
  <si>
    <t>Christine Byrne</t>
  </si>
  <si>
    <t>Christine Foster</t>
  </si>
  <si>
    <t>Christine Frederick</t>
  </si>
  <si>
    <t>Christine Lauer</t>
  </si>
  <si>
    <t>Christine Romanosky</t>
  </si>
  <si>
    <t>Cindy Klinge</t>
  </si>
  <si>
    <t>Cindy Seaney</t>
  </si>
  <si>
    <t>Connor Boguth</t>
  </si>
  <si>
    <t>Corey Gouin</t>
  </si>
  <si>
    <t>Cori Carey</t>
  </si>
  <si>
    <t>Corrinne Erickson-Strand</t>
  </si>
  <si>
    <t>Courtney Bronkema</t>
  </si>
  <si>
    <t>Courtney Palcic</t>
  </si>
  <si>
    <t>Craig Baker</t>
  </si>
  <si>
    <t>Craig Malmstrom</t>
  </si>
  <si>
    <t>Curt Reppuhn</t>
  </si>
  <si>
    <t>Dana Walters</t>
  </si>
  <si>
    <t>Daniel  VanDyke</t>
  </si>
  <si>
    <t>Daniel Manino</t>
  </si>
  <si>
    <t>Danielle Patton</t>
  </si>
  <si>
    <t>Daria  Jurak</t>
  </si>
  <si>
    <t>David Boss</t>
  </si>
  <si>
    <t>David Douglas</t>
  </si>
  <si>
    <t>David Rundhaug</t>
  </si>
  <si>
    <t>David Soles</t>
  </si>
  <si>
    <t>Deanna Bolo</t>
  </si>
  <si>
    <t>Deanna Lude</t>
  </si>
  <si>
    <t>Debra  Hetcel</t>
  </si>
  <si>
    <t>Debra  Slykhouse</t>
  </si>
  <si>
    <t>Debra Lawson</t>
  </si>
  <si>
    <t>Debra Maddox</t>
  </si>
  <si>
    <t>Derek Cope</t>
  </si>
  <si>
    <t>Devon Beckett</t>
  </si>
  <si>
    <t>Diana Painter</t>
  </si>
  <si>
    <t>Diane Legate</t>
  </si>
  <si>
    <t>Doloris Buckley</t>
  </si>
  <si>
    <t>Dominez Burnett</t>
  </si>
  <si>
    <t>Donald  Doorn</t>
  </si>
  <si>
    <t>Donald Martines</t>
  </si>
  <si>
    <t>Donald Postma</t>
  </si>
  <si>
    <t>Donna  Butler</t>
  </si>
  <si>
    <t>Donna  Portenga</t>
  </si>
  <si>
    <t>Donna Gelderman</t>
  </si>
  <si>
    <t>Donna Siler</t>
  </si>
  <si>
    <t>Donna Smith</t>
  </si>
  <si>
    <t>Donnie Darby</t>
  </si>
  <si>
    <t>Doreen Sharp</t>
  </si>
  <si>
    <t>Doreen Wabsis</t>
  </si>
  <si>
    <t>Dorothy Glass</t>
  </si>
  <si>
    <t>Dorthea Hornacek</t>
  </si>
  <si>
    <t>Douglas Herington</t>
  </si>
  <si>
    <t>Edith Howland</t>
  </si>
  <si>
    <t>Eileen  Obrien</t>
  </si>
  <si>
    <t>Elizabeth Bluhm</t>
  </si>
  <si>
    <t>Elizabeth Kauffman</t>
  </si>
  <si>
    <t>Elizabeth Manurs</t>
  </si>
  <si>
    <t>Emilie Collins</t>
  </si>
  <si>
    <t>Emma Wenell</t>
  </si>
  <si>
    <t>Eric  Cook</t>
  </si>
  <si>
    <t>Erica Helewski</t>
  </si>
  <si>
    <t>Ester Moody</t>
  </si>
  <si>
    <t>Falecha Beveridge</t>
  </si>
  <si>
    <t>Frances Paxson</t>
  </si>
  <si>
    <t>Francine Anton</t>
  </si>
  <si>
    <t>Francyllen Smith</t>
  </si>
  <si>
    <t>Frank Carskadon</t>
  </si>
  <si>
    <t>Gale Lewis</t>
  </si>
  <si>
    <t>Galina Voskoboeva</t>
  </si>
  <si>
    <t>Gary Luchies</t>
  </si>
  <si>
    <t>Gary Merkey</t>
  </si>
  <si>
    <t>Gary Teskey</t>
  </si>
  <si>
    <t>George Norris</t>
  </si>
  <si>
    <t>Gerald Henderson</t>
  </si>
  <si>
    <t>Gerald Jibson</t>
  </si>
  <si>
    <t>Gertrude Hieftje</t>
  </si>
  <si>
    <t>Gina Bleich</t>
  </si>
  <si>
    <t>Glenn Bushouse</t>
  </si>
  <si>
    <t>Grace Stiles</t>
  </si>
  <si>
    <t>Greg Vanderlende</t>
  </si>
  <si>
    <t>Gregory  Carmouche</t>
  </si>
  <si>
    <t>Gregory Holmes</t>
  </si>
  <si>
    <t>Gretchen Walsh</t>
  </si>
  <si>
    <t>Gursharn Dosanjh</t>
  </si>
  <si>
    <t>Hallie McClelland</t>
  </si>
  <si>
    <t>Hannah Thiessen</t>
  </si>
  <si>
    <t>Harriet Sitron</t>
  </si>
  <si>
    <t>Hayden Nething</t>
  </si>
  <si>
    <t>Heath Meyer</t>
  </si>
  <si>
    <t>Heather  Chapin</t>
  </si>
  <si>
    <t>Heather Byrd</t>
  </si>
  <si>
    <t>Helen Schlitter</t>
  </si>
  <si>
    <t>Henry Hondorp</t>
  </si>
  <si>
    <t>Holly Rapin</t>
  </si>
  <si>
    <t>Issac Withrow</t>
  </si>
  <si>
    <t>Jack  Buchmann</t>
  </si>
  <si>
    <t>Jaclyn Kamp</t>
  </si>
  <si>
    <t>Jacqueline Fornetti</t>
  </si>
  <si>
    <t>Jakob Schmid</t>
  </si>
  <si>
    <t>James  Sykes</t>
  </si>
  <si>
    <t>James Flynn</t>
  </si>
  <si>
    <t>James Keller</t>
  </si>
  <si>
    <t>James McGahee</t>
  </si>
  <si>
    <t>James Smith</t>
  </si>
  <si>
    <t>James Uttecht</t>
  </si>
  <si>
    <t>Janet Brainard</t>
  </si>
  <si>
    <t>Janice Spear</t>
  </si>
  <si>
    <t>Janice Winters</t>
  </si>
  <si>
    <t>Jason Majerle</t>
  </si>
  <si>
    <t>Jason Murawski</t>
  </si>
  <si>
    <t>Jayne Schoenborn</t>
  </si>
  <si>
    <t>Jean Kubiszewski</t>
  </si>
  <si>
    <t>Jenna Houskamp</t>
  </si>
  <si>
    <t>Jenneth Wright</t>
  </si>
  <si>
    <t>Jennifer Conner</t>
  </si>
  <si>
    <t>Jennifer Hamm</t>
  </si>
  <si>
    <t>Jennifer Hazelton</t>
  </si>
  <si>
    <t>Jennifer Nye</t>
  </si>
  <si>
    <t>Jennifer VanderVeen</t>
  </si>
  <si>
    <t>Jeremy Ignatoski</t>
  </si>
  <si>
    <t>Jerry Kamerman</t>
  </si>
  <si>
    <t>Jessica Jasulaitis</t>
  </si>
  <si>
    <t>Jill Beckman</t>
  </si>
  <si>
    <t>Joal Bishop</t>
  </si>
  <si>
    <t>Joan Keith</t>
  </si>
  <si>
    <t>Joanne Nelson</t>
  </si>
  <si>
    <t>John Black</t>
  </si>
  <si>
    <t>John Fletcher</t>
  </si>
  <si>
    <t>John Risch</t>
  </si>
  <si>
    <t>John Sommerdyke</t>
  </si>
  <si>
    <t>Jon Vanderweide</t>
  </si>
  <si>
    <t>Jonathan Ransom</t>
  </si>
  <si>
    <t>Jordan Wiseman</t>
  </si>
  <si>
    <t>Judith Davis</t>
  </si>
  <si>
    <t>Judith Staal</t>
  </si>
  <si>
    <t>Judy Farnsworth</t>
  </si>
  <si>
    <t>Judy Huhn</t>
  </si>
  <si>
    <t>Judy Yonker</t>
  </si>
  <si>
    <t>Julia Russell</t>
  </si>
  <si>
    <t>Julie  Raith</t>
  </si>
  <si>
    <t>Julie Ledger</t>
  </si>
  <si>
    <t>Julie VanderKooi</t>
  </si>
  <si>
    <t>Justin Plowman</t>
  </si>
  <si>
    <t>Kai Chen Chang</t>
  </si>
  <si>
    <t>Karin Dekorver</t>
  </si>
  <si>
    <t>Karl French</t>
  </si>
  <si>
    <t>Karla Vogt</t>
  </si>
  <si>
    <t>Katherine Jauregui</t>
  </si>
  <si>
    <t>Kathleen Koert</t>
  </si>
  <si>
    <t>Kathryn Becker</t>
  </si>
  <si>
    <t>Kathryn Dykstra</t>
  </si>
  <si>
    <t>Kathy Wildt</t>
  </si>
  <si>
    <t>Keith Kouchnerkavich</t>
  </si>
  <si>
    <t>Kellie Gale Butto</t>
  </si>
  <si>
    <t>Kelly Cortez</t>
  </si>
  <si>
    <t>Kelly Peterson</t>
  </si>
  <si>
    <t>Kevin  Rapes</t>
  </si>
  <si>
    <t>Kevin Karafa</t>
  </si>
  <si>
    <t>Kim DeHaan</t>
  </si>
  <si>
    <t>Kimberly  Tobias</t>
  </si>
  <si>
    <t>Kimberly Jeschke</t>
  </si>
  <si>
    <t>Kittie Goucher</t>
  </si>
  <si>
    <t>Kristina Martin</t>
  </si>
  <si>
    <t>Kurt Freund</t>
  </si>
  <si>
    <t>Kylie Frizell</t>
  </si>
  <si>
    <t>Lara Minnear</t>
  </si>
  <si>
    <t>Larry Wetherbee</t>
  </si>
  <si>
    <t>Lauie Johnson</t>
  </si>
  <si>
    <t>Laura  Kooy</t>
  </si>
  <si>
    <t>Laura Gardner</t>
  </si>
  <si>
    <t>Lauren Barnikow</t>
  </si>
  <si>
    <t>Lauren Grode</t>
  </si>
  <si>
    <t>Lauren Snapper</t>
  </si>
  <si>
    <t>Leah Sliwinski</t>
  </si>
  <si>
    <t>Lee Pizana</t>
  </si>
  <si>
    <t>Lee Worthington</t>
  </si>
  <si>
    <t>Leland Briggs</t>
  </si>
  <si>
    <t>Levi VanderKolk</t>
  </si>
  <si>
    <t>Linda Andrejczak</t>
  </si>
  <si>
    <t>Linda Kelly</t>
  </si>
  <si>
    <t>Linda Roe</t>
  </si>
  <si>
    <t>Linda Wilcox</t>
  </si>
  <si>
    <t>Lindel  Hoff</t>
  </si>
  <si>
    <t>Lindsay Burdette</t>
  </si>
  <si>
    <t>Linnea Eastburg</t>
  </si>
  <si>
    <t>Lisa  Noorman</t>
  </si>
  <si>
    <t>Lisa Johnson</t>
  </si>
  <si>
    <t>Lisa Kissane</t>
  </si>
  <si>
    <t>Lisa Marzolino</t>
  </si>
  <si>
    <t>Lisa Tobin</t>
  </si>
  <si>
    <t>Lisha Brown</t>
  </si>
  <si>
    <t>Lonna Blair</t>
  </si>
  <si>
    <t>Loretta England</t>
  </si>
  <si>
    <t>Lori Adkins</t>
  </si>
  <si>
    <t>Lori Lebron</t>
  </si>
  <si>
    <t>Louis Sytsma</t>
  </si>
  <si>
    <t>Lucille Michael</t>
  </si>
  <si>
    <t>Lucinda Villa</t>
  </si>
  <si>
    <t>Luke Eastburg</t>
  </si>
  <si>
    <t>Luke Orvis</t>
  </si>
  <si>
    <t>Lynn Moomaw</t>
  </si>
  <si>
    <t>Maddison Bolam</t>
  </si>
  <si>
    <t>Madeline Shank</t>
  </si>
  <si>
    <t>Marc Noordeloos</t>
  </si>
  <si>
    <t>Marcia Hamersma</t>
  </si>
  <si>
    <t>Marek Janek</t>
  </si>
  <si>
    <t>Margaret Chojnowski</t>
  </si>
  <si>
    <t>Margaret Start</t>
  </si>
  <si>
    <t>Margaret Steketee</t>
  </si>
  <si>
    <t>Marianne Krupiczewicz</t>
  </si>
  <si>
    <t>Maribeth McFall</t>
  </si>
  <si>
    <t>Marie Delamater</t>
  </si>
  <si>
    <t>Mark Pyk</t>
  </si>
  <si>
    <t>Marlene Edge</t>
  </si>
  <si>
    <t>Marquita Bazany</t>
  </si>
  <si>
    <t>Martha Fisher</t>
  </si>
  <si>
    <t>Martino Bartoli</t>
  </si>
  <si>
    <t>Mary  Bernthal</t>
  </si>
  <si>
    <t>Mary  Deville</t>
  </si>
  <si>
    <t>Mary  Dewitt</t>
  </si>
  <si>
    <t>Mary  Johnson</t>
  </si>
  <si>
    <t>Mary  Nader</t>
  </si>
  <si>
    <t>Mary Ceton</t>
  </si>
  <si>
    <t>Mary Haverkamp</t>
  </si>
  <si>
    <t>Mary Hormann</t>
  </si>
  <si>
    <t>Mary Kuhn</t>
  </si>
  <si>
    <t>Mary Musto</t>
  </si>
  <si>
    <t>Mary Patrick</t>
  </si>
  <si>
    <t>Mathew Candella</t>
  </si>
  <si>
    <t>Matt Hipp</t>
  </si>
  <si>
    <t>Matthew French JR</t>
  </si>
  <si>
    <t>Maxine Hooper</t>
  </si>
  <si>
    <t>McKenzye Sterk</t>
  </si>
  <si>
    <t>Meggan Wolff</t>
  </si>
  <si>
    <t>Melanie Botting</t>
  </si>
  <si>
    <t>Melanie Konrad</t>
  </si>
  <si>
    <t>Melinda Hamstra</t>
  </si>
  <si>
    <t>Melissa Winterhalter</t>
  </si>
  <si>
    <t>Mellanie Zajac</t>
  </si>
  <si>
    <t>Melody Schlaack</t>
  </si>
  <si>
    <t>Merry Kim Meyers</t>
  </si>
  <si>
    <t>Michael  Piper</t>
  </si>
  <si>
    <t>Michael  Wiggers</t>
  </si>
  <si>
    <t>Michael Dean</t>
  </si>
  <si>
    <t>Michael Krueger</t>
  </si>
  <si>
    <t>Michael McIntosh</t>
  </si>
  <si>
    <t>Michael Ryan</t>
  </si>
  <si>
    <t>Michael Stewart</t>
  </si>
  <si>
    <t>Michael Swinger</t>
  </si>
  <si>
    <t>Michaele Charnley</t>
  </si>
  <si>
    <t>Michele Potter</t>
  </si>
  <si>
    <t>Michelle Bartosiewicz</t>
  </si>
  <si>
    <t>Michelle Freeland</t>
  </si>
  <si>
    <t>Michelle Gould</t>
  </si>
  <si>
    <t>Michelle Maner</t>
  </si>
  <si>
    <t>Miriam Shirley</t>
  </si>
  <si>
    <t>Monreau Devos</t>
  </si>
  <si>
    <t>Nancy  McCarthy</t>
  </si>
  <si>
    <t>Nancy Dorato</t>
  </si>
  <si>
    <t>Nancy Esnaola</t>
  </si>
  <si>
    <t>Nancy Hawley</t>
  </si>
  <si>
    <t>Nancy Kistler</t>
  </si>
  <si>
    <t>Nancy Scott</t>
  </si>
  <si>
    <t>Nate Elston</t>
  </si>
  <si>
    <t>Nathan McCormick</t>
  </si>
  <si>
    <t>Nicholas Carlesso</t>
  </si>
  <si>
    <t>Nicholas Little</t>
  </si>
  <si>
    <t>Nichole Lewis</t>
  </si>
  <si>
    <t>Noreen Hungerford</t>
  </si>
  <si>
    <t>Norman Maly</t>
  </si>
  <si>
    <t>Nyna Sykes</t>
  </si>
  <si>
    <t>Olivia Myers</t>
  </si>
  <si>
    <t>Paige Dodd</t>
  </si>
  <si>
    <t>Pamela Hardie</t>
  </si>
  <si>
    <t>Pamela Kaepplein</t>
  </si>
  <si>
    <t>Parris Korn</t>
  </si>
  <si>
    <t>Patric Zarkowski</t>
  </si>
  <si>
    <t>Patricia Bonsignore</t>
  </si>
  <si>
    <t>Patricia Deitz</t>
  </si>
  <si>
    <t>Patricia Hill</t>
  </si>
  <si>
    <t>Patricia Hoekman</t>
  </si>
  <si>
    <t>Patricia Rant</t>
  </si>
  <si>
    <t>Patrick Calhoun</t>
  </si>
  <si>
    <t>Paul Mason</t>
  </si>
  <si>
    <t>Paul Sorensen</t>
  </si>
  <si>
    <t>Paula  Tibbe</t>
  </si>
  <si>
    <t>Peter Schnell</t>
  </si>
  <si>
    <t>Phillip Afton</t>
  </si>
  <si>
    <t>Phyllis Persenaire</t>
  </si>
  <si>
    <t>Rachaelle Lubinski</t>
  </si>
  <si>
    <t>Ragan Smith</t>
  </si>
  <si>
    <t>Randy Commeret</t>
  </si>
  <si>
    <t>Randy Kooi</t>
  </si>
  <si>
    <t>Regina Fitzpatrick</t>
  </si>
  <si>
    <t>Reid Healey</t>
  </si>
  <si>
    <t>Rena Saltsman</t>
  </si>
  <si>
    <t>Rich Wolowski</t>
  </si>
  <si>
    <t>Richard Kohnke</t>
  </si>
  <si>
    <t>Richard Smith</t>
  </si>
  <si>
    <t>Robert  Kersman</t>
  </si>
  <si>
    <t>Robert Bell</t>
  </si>
  <si>
    <t>Robert Dewitz</t>
  </si>
  <si>
    <t>Robert Harwell</t>
  </si>
  <si>
    <t>Robert Herr</t>
  </si>
  <si>
    <t>Robert Heyboer</t>
  </si>
  <si>
    <t>Robert Johnson</t>
  </si>
  <si>
    <t>Robert Ludlow</t>
  </si>
  <si>
    <t>Robert Madden</t>
  </si>
  <si>
    <t>Robert Twork</t>
  </si>
  <si>
    <t>Robin Thomas</t>
  </si>
  <si>
    <t>Roger Haag</t>
  </si>
  <si>
    <t>Ronald Chester</t>
  </si>
  <si>
    <t>Ronald Mack</t>
  </si>
  <si>
    <t>Rosanne Chada</t>
  </si>
  <si>
    <t>Rosemary Bayne</t>
  </si>
  <si>
    <t>Ruth Decker</t>
  </si>
  <si>
    <t>Ryan Cummings</t>
  </si>
  <si>
    <t>Ryan Manser</t>
  </si>
  <si>
    <t>Ryan Silver</t>
  </si>
  <si>
    <t>Sara Boss</t>
  </si>
  <si>
    <t>Sara House</t>
  </si>
  <si>
    <t>Sara Majerle</t>
  </si>
  <si>
    <t>Sara Riker</t>
  </si>
  <si>
    <t>Sara Tichon</t>
  </si>
  <si>
    <t>Sarah Jackson</t>
  </si>
  <si>
    <t>Shannon Gamel</t>
  </si>
  <si>
    <t>Sharon Bayer</t>
  </si>
  <si>
    <t>Sharon Bolam</t>
  </si>
  <si>
    <t>Shawn Dolan</t>
  </si>
  <si>
    <t>Sheila Addison</t>
  </si>
  <si>
    <t>Sheila Gonnella</t>
  </si>
  <si>
    <t>Sheila Kipp</t>
  </si>
  <si>
    <t>Sheila McCormack</t>
  </si>
  <si>
    <t>Shelby Rathbun</t>
  </si>
  <si>
    <t>Sheryl OBrien</t>
  </si>
  <si>
    <t>Sheryl Vanderkolk</t>
  </si>
  <si>
    <t>Shirley Fry</t>
  </si>
  <si>
    <t>Shirley Wood</t>
  </si>
  <si>
    <t>Sierra  Albus</t>
  </si>
  <si>
    <t>Simone Heidrich</t>
  </si>
  <si>
    <t>Sophie Foltz</t>
  </si>
  <si>
    <t>Stacey Chess</t>
  </si>
  <si>
    <t>Stephanie Murray</t>
  </si>
  <si>
    <t>Stephen Ramus</t>
  </si>
  <si>
    <t>Steven  Davidson</t>
  </si>
  <si>
    <t>Steven  Zylstra</t>
  </si>
  <si>
    <t>Steven Brower</t>
  </si>
  <si>
    <t>Steven Coutre</t>
  </si>
  <si>
    <t>Steven Monroe</t>
  </si>
  <si>
    <t>Steven Wilson</t>
  </si>
  <si>
    <t>Stuart Becker</t>
  </si>
  <si>
    <t>Sue  Lampe</t>
  </si>
  <si>
    <t>Susan  Wright Miller</t>
  </si>
  <si>
    <t>Susan Ewing</t>
  </si>
  <si>
    <t>Susan Ross</t>
  </si>
  <si>
    <t>Suzan Bylsma</t>
  </si>
  <si>
    <t>Suzanne Johnson</t>
  </si>
  <si>
    <t>Ted Daniels</t>
  </si>
  <si>
    <t>Teresa Dye</t>
  </si>
  <si>
    <t>Teresa Norris</t>
  </si>
  <si>
    <t>Teresa Nummerdor</t>
  </si>
  <si>
    <t>Teresa Zweering</t>
  </si>
  <si>
    <t>Terri Castillo</t>
  </si>
  <si>
    <t>Theodore Anton</t>
  </si>
  <si>
    <t>Theresa McFarlane</t>
  </si>
  <si>
    <t>Thomas Dowd</t>
  </si>
  <si>
    <t>Thomas Kuiper</t>
  </si>
  <si>
    <t>Thomas Lehnen</t>
  </si>
  <si>
    <t>Thomas VanderWoude</t>
  </si>
  <si>
    <t>Timothy  Knoertzer</t>
  </si>
  <si>
    <t>Timothy DeJong</t>
  </si>
  <si>
    <t>Timothy Green</t>
  </si>
  <si>
    <t>Timothy Jones</t>
  </si>
  <si>
    <t>Timothy McKenzie</t>
  </si>
  <si>
    <t>Tirzah Wood</t>
  </si>
  <si>
    <t>Todd Baker</t>
  </si>
  <si>
    <t>Toni Verschueren</t>
  </si>
  <si>
    <t>Tonnie Smith</t>
  </si>
  <si>
    <t>Tristan Lowe</t>
  </si>
  <si>
    <t>Tsvetana Pironkova</t>
  </si>
  <si>
    <t>Tyler Johnson</t>
  </si>
  <si>
    <t>Valeria Solovieva</t>
  </si>
  <si>
    <t>Vania King</t>
  </si>
  <si>
    <t>Veronika Smyrnova</t>
  </si>
  <si>
    <t>Victoria Kibart</t>
  </si>
  <si>
    <t>Victoria Peabody</t>
  </si>
  <si>
    <t>Victoria Vuletich</t>
  </si>
  <si>
    <t>Vikki Kirk</t>
  </si>
  <si>
    <t>Violet Dado</t>
  </si>
  <si>
    <t>Ward Burns</t>
  </si>
  <si>
    <t>Wendy  Wilkins</t>
  </si>
  <si>
    <t>William Brady</t>
  </si>
  <si>
    <t>William Frederick</t>
  </si>
  <si>
    <t>William Hohmeyer</t>
  </si>
  <si>
    <t>William Pensyl</t>
  </si>
  <si>
    <t>William Rodgers</t>
  </si>
  <si>
    <t>Yolanda Jarvis</t>
  </si>
  <si>
    <t>Zach Harper</t>
  </si>
  <si>
    <t>Zachary Mchugh</t>
  </si>
  <si>
    <t>Zygfred Uzarski</t>
  </si>
  <si>
    <t>b. Highlight the entire "Age Data" tab.</t>
  </si>
  <si>
    <t>2227-000-00</t>
  </si>
  <si>
    <t>**EXCLUDED Biocorrect GP amounts, as amounts are already included in GP and does not impact revenue entry - TH</t>
  </si>
  <si>
    <t>**EXCLUDED Biocorrect GP amounts, as activity is not included in AGILE data input to the left</t>
  </si>
  <si>
    <t>@ 3/31/16</t>
  </si>
  <si>
    <t>b. Highlight the entire "BioC Fin Data" tab.</t>
  </si>
  <si>
    <t>Used Medicare Advantage %; confirmed with Rosemarie that amt would be similar</t>
  </si>
  <si>
    <t>Reimbursement % not included on Agile report; small amount of AR at 6/30/16 - pass on adjustment, review report w/ P.Sagan - THIT</t>
  </si>
  <si>
    <t>GRAND TOTAL</t>
  </si>
  <si>
    <t>Abigail Smith</t>
  </si>
  <si>
    <t>Alexandra Asselta</t>
  </si>
  <si>
    <t>Alexis Bournay</t>
  </si>
  <si>
    <t>Alice Dykman</t>
  </si>
  <si>
    <t>Alicia Phillips Hileski</t>
  </si>
  <si>
    <t>Allyson Heitger</t>
  </si>
  <si>
    <t>Alvin Palmbos</t>
  </si>
  <si>
    <t>Alyssa Green</t>
  </si>
  <si>
    <t>Amy Grant</t>
  </si>
  <si>
    <t>Amy Reynolds</t>
  </si>
  <si>
    <t>Amy Sprik</t>
  </si>
  <si>
    <t>Anna Asfour</t>
  </si>
  <si>
    <t>Annastasia Dewitt</t>
  </si>
  <si>
    <t>Annette Montminy</t>
  </si>
  <si>
    <t>Anthony Rizzon III</t>
  </si>
  <si>
    <t>Anthony Westenbarger</t>
  </si>
  <si>
    <t>April Mueller</t>
  </si>
  <si>
    <t>Arnold Malstrom</t>
  </si>
  <si>
    <t>Barbara  Davis</t>
  </si>
  <si>
    <t>Barbara Black</t>
  </si>
  <si>
    <t>Barbara Martini</t>
  </si>
  <si>
    <t>Barbara Rohwer</t>
  </si>
  <si>
    <t>Barbara Sliwinski</t>
  </si>
  <si>
    <t>Barbara Tolles</t>
  </si>
  <si>
    <t>Beth Ann Davidson</t>
  </si>
  <si>
    <t>Blake Scheer</t>
  </si>
  <si>
    <t>Breanne Lesnar</t>
  </si>
  <si>
    <t>Brooke Bellwood</t>
  </si>
  <si>
    <t>Bruce Schoenfeld</t>
  </si>
  <si>
    <t>Carol  Hallas</t>
  </si>
  <si>
    <t>Carol Griffin</t>
  </si>
  <si>
    <t>Carol Klipa</t>
  </si>
  <si>
    <t>Chad Pawlak</t>
  </si>
  <si>
    <t>Cheryl Lamport</t>
  </si>
  <si>
    <t>Chris  George</t>
  </si>
  <si>
    <t>Clara Shaver</t>
  </si>
  <si>
    <t>Cleire Schiesser</t>
  </si>
  <si>
    <t>Conni Gialanella</t>
  </si>
  <si>
    <t>Corrine Lifer</t>
  </si>
  <si>
    <t>Crystal Wrench</t>
  </si>
  <si>
    <t>Dale Hojnacki</t>
  </si>
  <si>
    <t>Dan Veen</t>
  </si>
  <si>
    <t>Daniel Hughes</t>
  </si>
  <si>
    <t>Danielle Sands</t>
  </si>
  <si>
    <t>Danka Kovinic</t>
  </si>
  <si>
    <t>Danya Franczek</t>
  </si>
  <si>
    <t>Darren Farmer</t>
  </si>
  <si>
    <t>David Lebeck</t>
  </si>
  <si>
    <t>Deanna Green</t>
  </si>
  <si>
    <t>Deborah Eldridge</t>
  </si>
  <si>
    <t>Delores Diekevers</t>
  </si>
  <si>
    <t>Denise Shelagowski</t>
  </si>
  <si>
    <t>Destiny Haywood</t>
  </si>
  <si>
    <t>Doreen Schultz</t>
  </si>
  <si>
    <t>Doug Sjoerdsma</t>
  </si>
  <si>
    <t>Drake Balma</t>
  </si>
  <si>
    <t>Edwin Lindberg</t>
  </si>
  <si>
    <t>Elizabeth Kuhle</t>
  </si>
  <si>
    <t>Elizabeth Mooy</t>
  </si>
  <si>
    <t>Elizabeth Russell</t>
  </si>
  <si>
    <t>Emma Althouse</t>
  </si>
  <si>
    <t>Eric Conerty</t>
  </si>
  <si>
    <t>Erica Darragh</t>
  </si>
  <si>
    <t>Eyan Hincka</t>
  </si>
  <si>
    <t>Gabrielle Maslowski</t>
  </si>
  <si>
    <t>Gail Boge</t>
  </si>
  <si>
    <t>Gail Spyke</t>
  </si>
  <si>
    <t>Gary Wickerham</t>
  </si>
  <si>
    <t>Genevieve Hykin</t>
  </si>
  <si>
    <t>Gerald Bobzien</t>
  </si>
  <si>
    <t>Gill Gray</t>
  </si>
  <si>
    <t>Glenn Green</t>
  </si>
  <si>
    <t>Glenn VanHook</t>
  </si>
  <si>
    <t>Gordon Medema</t>
  </si>
  <si>
    <t>Grace Gurley</t>
  </si>
  <si>
    <t>Greg Keely</t>
  </si>
  <si>
    <t>Hailey Reed</t>
  </si>
  <si>
    <t>Harold  Kuhn</t>
  </si>
  <si>
    <t>Harriet Sikkenga</t>
  </si>
  <si>
    <t>Harris  Durham</t>
  </si>
  <si>
    <t>Hebert Cooley</t>
  </si>
  <si>
    <t>Helen Durst</t>
  </si>
  <si>
    <t>Holly McRuer</t>
  </si>
  <si>
    <t>Iscss Darnell</t>
  </si>
  <si>
    <t>Izaiah Hincka</t>
  </si>
  <si>
    <t>Jacob Rickert</t>
  </si>
  <si>
    <t>Jacque Adair</t>
  </si>
  <si>
    <t>James Searls</t>
  </si>
  <si>
    <t>Jan Becker</t>
  </si>
  <si>
    <t>Jane Craven</t>
  </si>
  <si>
    <t>Janice Ledinsky</t>
  </si>
  <si>
    <t>Jared Mancha</t>
  </si>
  <si>
    <t>Jean Nielsen</t>
  </si>
  <si>
    <t>Jeff Commee</t>
  </si>
  <si>
    <t>Jeffrey Wing</t>
  </si>
  <si>
    <t>Jeffrey Wright</t>
  </si>
  <si>
    <t>Jennifer Onan</t>
  </si>
  <si>
    <t>Jennifer Pikaart</t>
  </si>
  <si>
    <t>Jeremy  Hafer</t>
  </si>
  <si>
    <t>Jeremy Bokhart</t>
  </si>
  <si>
    <t>Jeremy Bos</t>
  </si>
  <si>
    <t>Jessica  Kiekintveld</t>
  </si>
  <si>
    <t>Joan Moored</t>
  </si>
  <si>
    <t>Joan Opthoff</t>
  </si>
  <si>
    <t>Joanne  Walberer</t>
  </si>
  <si>
    <t>Joel Cairns</t>
  </si>
  <si>
    <t>John Nash</t>
  </si>
  <si>
    <t>John Pizzuti</t>
  </si>
  <si>
    <t>John Ressler</t>
  </si>
  <si>
    <t>John Robinson</t>
  </si>
  <si>
    <t>John Tinay</t>
  </si>
  <si>
    <t>Jonathan Crandall</t>
  </si>
  <si>
    <t>Joseph Stewart</t>
  </si>
  <si>
    <t>Joseph Zelenka</t>
  </si>
  <si>
    <t>Joshua Williams</t>
  </si>
  <si>
    <t>Joyce Wickerham</t>
  </si>
  <si>
    <t>Joyce Zanotti</t>
  </si>
  <si>
    <t>Judith Hershberger</t>
  </si>
  <si>
    <t>Julia Brandis</t>
  </si>
  <si>
    <t>Julia Reed</t>
  </si>
  <si>
    <t>Karen Bernard</t>
  </si>
  <si>
    <t>Karen Ford</t>
  </si>
  <si>
    <t>Karen Meyers</t>
  </si>
  <si>
    <t>Karen Watson</t>
  </si>
  <si>
    <t>Kari Stuart</t>
  </si>
  <si>
    <t>Katherine Cordes</t>
  </si>
  <si>
    <t>Kathryn Flohe</t>
  </si>
  <si>
    <t>Kathy Balkema</t>
  </si>
  <si>
    <t>Katrina  Parmelee Peters</t>
  </si>
  <si>
    <t>Kaylee  Smith</t>
  </si>
  <si>
    <t>Kelly Woods</t>
  </si>
  <si>
    <t>Kenneth Craigie</t>
  </si>
  <si>
    <t>Kent Lancaster</t>
  </si>
  <si>
    <t>Kevan Chapman</t>
  </si>
  <si>
    <t>Kim  Grant</t>
  </si>
  <si>
    <t>Kimberly Bradburn</t>
  </si>
  <si>
    <t>Kindra Garner</t>
  </si>
  <si>
    <t>Korynn Hincka</t>
  </si>
  <si>
    <t>Kristine Zweering</t>
  </si>
  <si>
    <t>Landin Greene</t>
  </si>
  <si>
    <t>Laura Perry</t>
  </si>
  <si>
    <t>Leah Purvis</t>
  </si>
  <si>
    <t>Lincoln Miller</t>
  </si>
  <si>
    <t>Linda Johnson</t>
  </si>
  <si>
    <t>Linda Kibbey</t>
  </si>
  <si>
    <t>Linda Wierenga</t>
  </si>
  <si>
    <t>Linda Wright</t>
  </si>
  <si>
    <t>Lisa  Thomas</t>
  </si>
  <si>
    <t>Lisa  Yeager</t>
  </si>
  <si>
    <t>Lisa Klaasen</t>
  </si>
  <si>
    <t>Loretta  Dandron</t>
  </si>
  <si>
    <t>Lori Einfeld</t>
  </si>
  <si>
    <t>Luke McMillan</t>
  </si>
  <si>
    <t>Lynn Nelson</t>
  </si>
  <si>
    <t>Mackenzie Zielinski</t>
  </si>
  <si>
    <t>Mallorie Stakenas</t>
  </si>
  <si>
    <t>Marcia Ficeli</t>
  </si>
  <si>
    <t>Marcia Tjapkes</t>
  </si>
  <si>
    <t>Marcia VandeGuchte</t>
  </si>
  <si>
    <t>Maren Uggen</t>
  </si>
  <si>
    <t>Maridene Klooster</t>
  </si>
  <si>
    <t>Mariona Heras Segura</t>
  </si>
  <si>
    <t>Marjorie Gage</t>
  </si>
  <si>
    <t>Marjorie Loughrin</t>
  </si>
  <si>
    <t>Mark Grevengoed</t>
  </si>
  <si>
    <t>Marlene Peterson Decio</t>
  </si>
  <si>
    <t>Mary Vinton</t>
  </si>
  <si>
    <t>Maryna Zanevska</t>
  </si>
  <si>
    <t>Matthew Engemann</t>
  </si>
  <si>
    <t>Matthew Tichon</t>
  </si>
  <si>
    <t>Maureen Pirozzo</t>
  </si>
  <si>
    <t>Megan Knuble</t>
  </si>
  <si>
    <t>Melanie Oudin</t>
  </si>
  <si>
    <t>Michael Gallagher</t>
  </si>
  <si>
    <t>Michael Walberer</t>
  </si>
  <si>
    <t>Michelle Dewitte</t>
  </si>
  <si>
    <t>Mittie Golding</t>
  </si>
  <si>
    <t>Monica Vandyke</t>
  </si>
  <si>
    <t>Muriel Walters</t>
  </si>
  <si>
    <t>Nathan House</t>
  </si>
  <si>
    <t>Paige Bragg</t>
  </si>
  <si>
    <t>Patricia Treman</t>
  </si>
  <si>
    <t>Paula  Kania</t>
  </si>
  <si>
    <t>Peter VanKempen</t>
  </si>
  <si>
    <t>Philip  Mulder</t>
  </si>
  <si>
    <t>Raegan Cox</t>
  </si>
  <si>
    <t>Raluca Olaru</t>
  </si>
  <si>
    <t>Randall Pritchard</t>
  </si>
  <si>
    <t>Reshma Rathod</t>
  </si>
  <si>
    <t>Richard Jackson</t>
  </si>
  <si>
    <t>Richard Ross</t>
  </si>
  <si>
    <t>Robert  Luce</t>
  </si>
  <si>
    <t>Robert  Norris</t>
  </si>
  <si>
    <t>Robert Patterson</t>
  </si>
  <si>
    <t>Robert Principe</t>
  </si>
  <si>
    <t>Robin Barton</t>
  </si>
  <si>
    <t>Rodney Anderson</t>
  </si>
  <si>
    <t>Roger Bartz</t>
  </si>
  <si>
    <t>Ronald Garner</t>
  </si>
  <si>
    <t>Rosalyn  Brozek</t>
  </si>
  <si>
    <t>Rose Jensen</t>
  </si>
  <si>
    <t>Ruth Hetherington</t>
  </si>
  <si>
    <t>Ryan Aron</t>
  </si>
  <si>
    <t>Ryan Medrano</t>
  </si>
  <si>
    <t>Ryann Jibson</t>
  </si>
  <si>
    <t>Sandi Winston</t>
  </si>
  <si>
    <t>Sharon Griswold</t>
  </si>
  <si>
    <t>Sherrill Meeuwsen</t>
  </si>
  <si>
    <t>Stephanie Schlueter</t>
  </si>
  <si>
    <t>Steve Roach</t>
  </si>
  <si>
    <t>Steve Thiel</t>
  </si>
  <si>
    <t>Steve Vissia</t>
  </si>
  <si>
    <t>Steven Cairns</t>
  </si>
  <si>
    <t>Summer Schuitema</t>
  </si>
  <si>
    <t>Susan Ginter</t>
  </si>
  <si>
    <t>Susan Korzinek</t>
  </si>
  <si>
    <t>Susan McGarry</t>
  </si>
  <si>
    <t>Tammy Ornelas</t>
  </si>
  <si>
    <t>Tassia Johnson</t>
  </si>
  <si>
    <t>Taylor Beals</t>
  </si>
  <si>
    <t>Teresa Gaudino</t>
  </si>
  <si>
    <t>Theresa Boyce</t>
  </si>
  <si>
    <t>Tracy  Bliven</t>
  </si>
  <si>
    <t>Tracy Patrick</t>
  </si>
  <si>
    <t>Travis Mulder</t>
  </si>
  <si>
    <t>Trent Schafer</t>
  </si>
  <si>
    <t>Valerie Sloan</t>
  </si>
  <si>
    <t>Victoria Malak</t>
  </si>
  <si>
    <t>Vince Vitale</t>
  </si>
  <si>
    <t>Ward Walters</t>
  </si>
  <si>
    <t>Wayne Chase Jr</t>
  </si>
  <si>
    <t>Wendy Whittle</t>
  </si>
  <si>
    <t>Whitney Hasty</t>
  </si>
  <si>
    <t>Whitney Mauer</t>
  </si>
  <si>
    <t>Willard Debraber</t>
  </si>
  <si>
    <t>Wuoi Mach</t>
  </si>
  <si>
    <t>Yvonne Oudhoff</t>
  </si>
  <si>
    <t>AMOUNT IS SMALL - PASS ON ADJUSTMENT - THIT</t>
  </si>
  <si>
    <t>**due to increase in 90+ self pay</t>
  </si>
  <si>
    <t>no amount for Medicaid on prior reports</t>
  </si>
  <si>
    <t>Used Commercial Percentage</t>
  </si>
  <si>
    <t>Great Plains AR Listing</t>
  </si>
  <si>
    <t>AGILE</t>
  </si>
  <si>
    <t>unexplained discrepancy</t>
  </si>
  <si>
    <t>Per General Ledger</t>
  </si>
  <si>
    <t>Column Labels</t>
  </si>
  <si>
    <t>Row Labels</t>
  </si>
  <si>
    <t>Yes</t>
  </si>
  <si>
    <t>Credit Balances</t>
  </si>
  <si>
    <t>Procedure Total</t>
  </si>
  <si>
    <t>WHOLESALE ACCOUNTS</t>
  </si>
  <si>
    <t>MEDICARE ADVANTAGE</t>
  </si>
  <si>
    <t>AgeTrxType</t>
  </si>
  <si>
    <t>CompanyID</t>
  </si>
  <si>
    <t>CompanyName</t>
  </si>
  <si>
    <t>AgingDate</t>
  </si>
  <si>
    <t>caseid</t>
  </si>
  <si>
    <t>appointmentid</t>
  </si>
  <si>
    <t>TransactionID</t>
  </si>
  <si>
    <t>IsTransactionDeleted</t>
  </si>
  <si>
    <t>AgedDays</t>
  </si>
  <si>
    <t>CPT</t>
  </si>
  <si>
    <t>RetailCharge</t>
  </si>
  <si>
    <t>TransactionAmount</t>
  </si>
  <si>
    <t>TransactionUnits</t>
  </si>
  <si>
    <t>InitialPatCharges</t>
  </si>
  <si>
    <t>ChildPatCharges</t>
  </si>
  <si>
    <t>PatVoucherPayments</t>
  </si>
  <si>
    <t>PatTransfers</t>
  </si>
  <si>
    <t>PatAdjustments</t>
  </si>
  <si>
    <t>PatAgeDate</t>
  </si>
  <si>
    <t>InitialPriCharges</t>
  </si>
  <si>
    <t>ChildPriCharges</t>
  </si>
  <si>
    <t>PriPaymentCount</t>
  </si>
  <si>
    <t>PriPayments</t>
  </si>
  <si>
    <t>PriAdjustments</t>
  </si>
  <si>
    <t>InitialSecCharges</t>
  </si>
  <si>
    <t>ChildSecCharges</t>
  </si>
  <si>
    <t>SecPaymentCount</t>
  </si>
  <si>
    <t>SecPayments</t>
  </si>
  <si>
    <t>SecAdjustments</t>
  </si>
  <si>
    <t>InitialTerCharges</t>
  </si>
  <si>
    <t>ChildTerCharges</t>
  </si>
  <si>
    <t>TerPaymentCount</t>
  </si>
  <si>
    <t>TerPayments</t>
  </si>
  <si>
    <t>TerAdjustments</t>
  </si>
  <si>
    <t>InitialUnknownCharges</t>
  </si>
  <si>
    <t>ChildUnknownCharges</t>
  </si>
  <si>
    <t>UnknownPayments</t>
  </si>
  <si>
    <t>UnknownPaymentCount</t>
  </si>
  <si>
    <t>UnknownAdjustments</t>
  </si>
  <si>
    <t>ARBalance</t>
  </si>
  <si>
    <t>CurrentPaymentProcessLookupID</t>
  </si>
  <si>
    <t>InsGroupPrimary</t>
  </si>
  <si>
    <t>InsGroupSecondary</t>
  </si>
  <si>
    <t>InsGroupTertiary</t>
  </si>
  <si>
    <t>InsPlanPrimary</t>
  </si>
  <si>
    <t>InsPlanSecondary</t>
  </si>
  <si>
    <t>InsPlanTertiary</t>
  </si>
  <si>
    <t>ARBalanceInsGroup</t>
  </si>
  <si>
    <t>ARBalanceInsPlan</t>
  </si>
  <si>
    <t>InsProcedureVoids</t>
  </si>
  <si>
    <t>PatProcedureVoids</t>
  </si>
  <si>
    <t>TransactionLocation</t>
  </si>
  <si>
    <t>AppointmentLocation</t>
  </si>
  <si>
    <t>AgeBucket</t>
  </si>
  <si>
    <t>AgeBucketOrder</t>
  </si>
  <si>
    <t xml:space="preserve">Biocorrect </t>
  </si>
  <si>
    <t>WORKERS COMPENSATION</t>
  </si>
  <si>
    <t>COMMERCIAL</t>
  </si>
  <si>
    <t>BLUE CROSS BLUE SHIELD</t>
  </si>
  <si>
    <t>PATIENT PAY</t>
  </si>
  <si>
    <t>UNITED HEALTHCARE</t>
  </si>
  <si>
    <t>Attorney/Liens</t>
  </si>
  <si>
    <t>Blue Cross Blue Shield</t>
  </si>
  <si>
    <t>*Federal*</t>
  </si>
  <si>
    <t>Patient Pay</t>
  </si>
  <si>
    <t>Veterans Affairs</t>
  </si>
  <si>
    <t>Workers Compensation</t>
  </si>
  <si>
    <t>Federal Employee Programs</t>
  </si>
  <si>
    <t>N</t>
  </si>
  <si>
    <t>15</t>
  </si>
  <si>
    <t>16</t>
  </si>
  <si>
    <t>197</t>
  </si>
  <si>
    <t>198</t>
  </si>
  <si>
    <t>226</t>
  </si>
  <si>
    <t>242</t>
  </si>
  <si>
    <t>243</t>
  </si>
  <si>
    <t>253</t>
  </si>
  <si>
    <t>29</t>
  </si>
  <si>
    <t>39</t>
  </si>
  <si>
    <t>96</t>
  </si>
  <si>
    <t>FinYear</t>
  </si>
  <si>
    <t>FinMonth</t>
  </si>
  <si>
    <t>CompanyId</t>
  </si>
  <si>
    <t>CaseLocation</t>
  </si>
  <si>
    <t>CaseId</t>
  </si>
  <si>
    <t>AppointmentId</t>
  </si>
  <si>
    <t>ApptLocation</t>
  </si>
  <si>
    <t>CashDepositID</t>
  </si>
  <si>
    <t>TransactionId</t>
  </si>
  <si>
    <t>TransactionTypeLookupId</t>
  </si>
  <si>
    <t>TransactionStatusLookupId</t>
  </si>
  <si>
    <t>PaymentProcessLookupId</t>
  </si>
  <si>
    <t>ParentTransactionId</t>
  </si>
  <si>
    <t>ParentTransactionDate</t>
  </si>
  <si>
    <t>TransactionTotal</t>
  </si>
  <si>
    <t>TransactionDate</t>
  </si>
  <si>
    <t>HistoryTypeLookupId</t>
  </si>
  <si>
    <t>HistoryType</t>
  </si>
  <si>
    <t>FinancialTrxCategory</t>
  </si>
  <si>
    <t>TrxInsuranceGroup</t>
  </si>
  <si>
    <t>InsuranceGroupPrimary</t>
  </si>
  <si>
    <t>InsuranceGroupSecondary</t>
  </si>
  <si>
    <t>InsuranceGroupTertiary</t>
  </si>
  <si>
    <t>ChargeBatchId</t>
  </si>
  <si>
    <t>Label</t>
  </si>
  <si>
    <t>DateSubmitted</t>
  </si>
  <si>
    <t>PaymentBatchId</t>
  </si>
  <si>
    <t>BatchName</t>
  </si>
  <si>
    <t>BatchClosedDate</t>
  </si>
  <si>
    <t>LinkedPmtBatchID</t>
  </si>
  <si>
    <t>LinkedPmtBatchName</t>
  </si>
  <si>
    <t>CaseLocationID</t>
  </si>
  <si>
    <t>ApptLocationID</t>
  </si>
  <si>
    <t>AdjustmentReasonCode</t>
  </si>
  <si>
    <t>PaymentMethod</t>
  </si>
  <si>
    <t>DepositLocation</t>
  </si>
  <si>
    <t>QueryStartDate</t>
  </si>
  <si>
    <t>QueryEndDate</t>
  </si>
  <si>
    <t>Insurance Charge Created</t>
  </si>
  <si>
    <t>Applied Deposit Funds</t>
  </si>
  <si>
    <t>N/A: CashTransfer</t>
  </si>
  <si>
    <t>Patient Charge Created</t>
  </si>
  <si>
    <t>InsurancePayment</t>
  </si>
  <si>
    <t>Transaction Voided</t>
  </si>
  <si>
    <t>InsuranceAdjustment</t>
  </si>
  <si>
    <t>PatientAdjustment</t>
  </si>
  <si>
    <t>Credit</t>
  </si>
  <si>
    <t>Check</t>
  </si>
  <si>
    <t>Bad Debt Y/N</t>
  </si>
  <si>
    <t>Veterans Administration</t>
  </si>
  <si>
    <t>PatientPayment</t>
  </si>
  <si>
    <t>Rebilled Primary</t>
  </si>
  <si>
    <t>N/A: Rebill Procedure</t>
  </si>
  <si>
    <t>Credit Balance Adjmnt</t>
  </si>
  <si>
    <t>Historical Percentage Used</t>
  </si>
  <si>
    <t>Gross accounts receivable per above</t>
  </si>
  <si>
    <t>Gross accounts receivable per GL</t>
  </si>
  <si>
    <t>difference</t>
  </si>
  <si>
    <t>allocation percentage</t>
  </si>
  <si>
    <t>difference allocated</t>
  </si>
  <si>
    <t>Gross accounts receivable aging</t>
  </si>
  <si>
    <t>Percentage of total</t>
  </si>
  <si>
    <t>do not book per sk</t>
  </si>
  <si>
    <t>Susan's TB or Balance Sheet</t>
  </si>
  <si>
    <t>Prior Rates</t>
  </si>
  <si>
    <t>March Revenue</t>
  </si>
  <si>
    <t>FEDERAL EMPLOYEE PROGRAMS</t>
  </si>
  <si>
    <t>AUTO</t>
  </si>
  <si>
    <t>adjusted for the BioCorrect Revenue Analysis - Intercompany sales</t>
  </si>
  <si>
    <t>Unknown*</t>
  </si>
  <si>
    <t>Reversed Deposit Payment</t>
  </si>
  <si>
    <t>L3020</t>
  </si>
  <si>
    <t>BCBSM PPO</t>
  </si>
  <si>
    <t>61 to 90</t>
  </si>
  <si>
    <t>L3010</t>
  </si>
  <si>
    <t>BCBS Out of State</t>
  </si>
  <si>
    <t>Forefoot post</t>
  </si>
  <si>
    <t>Tahoe Forest Therapy Services</t>
  </si>
  <si>
    <t>31 to 60</t>
  </si>
  <si>
    <t>SHIP:</t>
  </si>
  <si>
    <t>Mercy Sports Medicine &amp; Rehabilitation</t>
  </si>
  <si>
    <t>TS</t>
  </si>
  <si>
    <t>WTA</t>
  </si>
  <si>
    <t>EVA</t>
  </si>
  <si>
    <t xml:space="preserve"> 0  to 30</t>
  </si>
  <si>
    <t>Poly</t>
  </si>
  <si>
    <t>Double layer top cover</t>
  </si>
  <si>
    <t>361+</t>
  </si>
  <si>
    <t>Elevate Performance &amp; PT</t>
  </si>
  <si>
    <t>FS</t>
  </si>
  <si>
    <t>Metro Health Sports Medicine Center</t>
  </si>
  <si>
    <t>181 to 360</t>
  </si>
  <si>
    <t>121 to 150</t>
  </si>
  <si>
    <t>151 to 180</t>
  </si>
  <si>
    <t>91 to 120</t>
  </si>
  <si>
    <t>BCBS Messa</t>
  </si>
  <si>
    <t>Aetna</t>
  </si>
  <si>
    <t>TAX: HEEL LIFT</t>
  </si>
  <si>
    <t>OFFICE VISIT</t>
  </si>
  <si>
    <t>Aged Deposit Balance</t>
  </si>
  <si>
    <t>UHC United Healthcare Choice Plus</t>
  </si>
  <si>
    <t>TAX: Refurbished Orthotics</t>
  </si>
  <si>
    <t>Sum of ARBalance</t>
  </si>
  <si>
    <t>WHOLESALE ACCOUNTS Total</t>
  </si>
  <si>
    <t>Primary Payment</t>
  </si>
  <si>
    <t>Primary Adjustment</t>
  </si>
  <si>
    <t>Contractual</t>
  </si>
  <si>
    <t>Transfer to Patient</t>
  </si>
  <si>
    <t>N/A Procedure Transfer</t>
  </si>
  <si>
    <t>119</t>
  </si>
  <si>
    <t>Auto Batch</t>
  </si>
  <si>
    <t>L3040</t>
  </si>
  <si>
    <t>reflects July correction</t>
  </si>
  <si>
    <t>BCBS Medicare Plus Blue</t>
  </si>
  <si>
    <t>PRIORITY HEALTH</t>
  </si>
  <si>
    <t>Top Cover Replacement</t>
  </si>
  <si>
    <t>Single layer top cover</t>
  </si>
  <si>
    <t>Nobile Shoes</t>
  </si>
  <si>
    <t>Metatarsal Pad</t>
  </si>
  <si>
    <t>BCBS Federal</t>
  </si>
  <si>
    <t>Donegal Insurance Group WC</t>
  </si>
  <si>
    <t>Bottom cover</t>
  </si>
  <si>
    <t>BLUE CROSS BLUE SHIELD Total</t>
  </si>
  <si>
    <t>Heel lift</t>
  </si>
  <si>
    <t>BCBSM</t>
  </si>
  <si>
    <t>Yamamoto Chiropractic</t>
  </si>
  <si>
    <t>Reversed Transfer to Patient</t>
  </si>
  <si>
    <t>Leatherette top cover</t>
  </si>
  <si>
    <t>1st ray cut out/1st ray drop</t>
  </si>
  <si>
    <t>CCMSI WC</t>
  </si>
  <si>
    <t>ZZZ DNU Auto Owners CareWorks Auto</t>
  </si>
  <si>
    <t>(blank)</t>
  </si>
  <si>
    <t>(blank) Total</t>
  </si>
  <si>
    <t>RUSH</t>
  </si>
  <si>
    <t>TAX: Custom Orthotics</t>
  </si>
  <si>
    <t>TAX: footbed/insert modifications</t>
  </si>
  <si>
    <t>Rearfoot EVA or Poly heel post</t>
  </si>
  <si>
    <t>Kalamazoo Foot Surgery</t>
  </si>
  <si>
    <t>WORKERS COMPENSATION Total</t>
  </si>
  <si>
    <t>Physical Achievement Center</t>
  </si>
  <si>
    <t>Biocorrect credit balances are updated manually</t>
  </si>
  <si>
    <t>input from GP</t>
  </si>
  <si>
    <t>Reverse Morton's Extension</t>
  </si>
  <si>
    <t>Bartlesville Physical Therapy</t>
  </si>
  <si>
    <t>Good Life Therapy</t>
  </si>
  <si>
    <t xml:space="preserve">JE # </t>
  </si>
  <si>
    <t>Progressive Claims  Auto</t>
  </si>
  <si>
    <t>Morton's Extension</t>
  </si>
  <si>
    <t>Y</t>
  </si>
  <si>
    <t>PATIENT PAY Total</t>
  </si>
  <si>
    <t>10/1/2022-9/30/2023</t>
  </si>
  <si>
    <t>Comp One Administrators WC</t>
  </si>
  <si>
    <t>Secura WC</t>
  </si>
  <si>
    <t>Claim Choice Administrators</t>
  </si>
  <si>
    <t>PF Groove</t>
  </si>
  <si>
    <t>A5513</t>
  </si>
  <si>
    <t>MEDICARE</t>
  </si>
  <si>
    <t>Medicare DME</t>
  </si>
  <si>
    <t>L3332 heel lift</t>
  </si>
  <si>
    <t>Bristol West Ins Co  Auto</t>
  </si>
  <si>
    <t>08.30.2023 Aetna $209.86</t>
  </si>
  <si>
    <t>08/30/2023 BCBS $992.58</t>
  </si>
  <si>
    <t>08.30.2023 BCBS $264.68</t>
  </si>
  <si>
    <t>08.31.23 Waystar CC $409.56</t>
  </si>
  <si>
    <t>09.06.2023 BCBS $281.24</t>
  </si>
  <si>
    <t>09.07.23 Waystar CC $152.79</t>
  </si>
  <si>
    <t>09.20.2023 BCBS $562.46</t>
  </si>
  <si>
    <t>09.25.2023 KZOO foot $2895.00</t>
  </si>
  <si>
    <t>09.13.2023 BCBS $1167.24</t>
  </si>
  <si>
    <t>09.13.2023 BCBS $231.62</t>
  </si>
  <si>
    <t>09.13.2023 BCBS $330.86</t>
  </si>
  <si>
    <t>09.20.2023 BCBS $297.78</t>
  </si>
  <si>
    <t>09.20.2023 BCBS $231.62</t>
  </si>
  <si>
    <t>09.27.2023 BCBS $674.26</t>
  </si>
  <si>
    <t>09.19.2023 Mercy $2106.00</t>
  </si>
  <si>
    <t>09.25.2023 Nobile Shoes $1518.00</t>
  </si>
  <si>
    <t>09.24.23 Waystar CC $66.18</t>
  </si>
  <si>
    <t>09.21.2023 WTA $1014.00</t>
  </si>
  <si>
    <t>09.18.2023 Restore Motion $468.00</t>
  </si>
  <si>
    <t>09.20.2023 BCBS $661.72</t>
  </si>
  <si>
    <t>09.22.2023 BCBS $0</t>
  </si>
  <si>
    <t>Deposit Transfers</t>
  </si>
  <si>
    <t>09.15.23 Waystar CC $197.68</t>
  </si>
  <si>
    <t>09.27.2023 BCBS $699.46</t>
  </si>
  <si>
    <t>09.20.23 Waystar CC $66.16</t>
  </si>
  <si>
    <t>09.25.23 ASH $334.50</t>
  </si>
  <si>
    <t>09.25.23 Waystar CC $150</t>
  </si>
  <si>
    <t>September Revenue</t>
  </si>
  <si>
    <t>September Revenue-Actual</t>
  </si>
  <si>
    <t>IAJ000001770</t>
  </si>
  <si>
    <t>CMTRX00000971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</si>
</sst>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0.0%"/>
    <numFmt numFmtId="165" formatCode="_(* #,##0_);_(* \(#,##0\);_(* &quot;-&quot;??_);_(@_)"/>
    <numFmt numFmtId="166" formatCode="[$-409]mmm\-yy;@"/>
  </numFmts>
  <fonts count="24" x14ac:knownFonts="1">
    <font>
      <sz val="11"/>
      <color theme="1"/>
      <name val="Calibri"/>
      <family val="2"/>
      <scheme val="minor"/>
    </font>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b/>
      <sz val="14"/>
      <color theme="1"/>
      <name val="Calibri"/>
      <family val="2"/>
      <scheme val="minor"/>
    </font>
    <font>
      <sz val="12"/>
      <color theme="1"/>
      <name val="Calibri"/>
      <family val="2"/>
      <scheme val="minor"/>
    </font>
    <font>
      <sz val="10"/>
      <name val="Arial"/>
      <family val="2"/>
    </font>
    <font>
      <u val="singleAccounting"/>
      <sz val="11"/>
      <color theme="1"/>
      <name val="Calibri"/>
      <family val="2"/>
      <scheme val="minor"/>
    </font>
    <font>
      <sz val="11"/>
      <color rgb="FFFF0000"/>
      <name val="Calibri"/>
      <family val="2"/>
      <scheme val="minor"/>
    </font>
    <font>
      <b/>
      <sz val="10"/>
      <name val="Arial"/>
      <family val="2"/>
    </font>
    <font>
      <b/>
      <sz val="14"/>
      <name val="Arial"/>
      <family val="2"/>
    </font>
    <font>
      <b/>
      <i/>
      <sz val="10"/>
      <name val="Arial"/>
      <family val="2"/>
    </font>
    <font>
      <b/>
      <i/>
      <sz val="11"/>
      <color theme="1"/>
      <name val="Calibri"/>
      <family val="2"/>
      <scheme val="minor"/>
    </font>
    <font>
      <b/>
      <i/>
      <sz val="11"/>
      <color rgb="FFFF0000"/>
      <name val="Calibri"/>
      <family val="2"/>
      <scheme val="minor"/>
    </font>
    <font>
      <sz val="10"/>
      <color rgb="FFFF0000"/>
      <name val="Arial"/>
      <family val="2"/>
    </font>
    <font>
      <b/>
      <u/>
      <sz val="11"/>
      <color theme="1"/>
      <name val="Calibri"/>
      <family val="2"/>
      <scheme val="minor"/>
    </font>
    <font>
      <sz val="11"/>
      <name val="Calibri"/>
      <family val="2"/>
      <scheme val="minor"/>
    </font>
    <font>
      <i/>
      <sz val="11"/>
      <color rgb="FFFF0000"/>
      <name val="Calibri"/>
      <family val="2"/>
      <scheme val="minor"/>
    </font>
    <font>
      <b/>
      <sz val="11"/>
      <color rgb="FFFF0000"/>
      <name val="Calibri"/>
      <family val="2"/>
      <scheme val="minor"/>
    </font>
    <font>
      <i/>
      <sz val="11"/>
      <color rgb="FF0070C0"/>
      <name val="Calibri"/>
      <family val="2"/>
      <scheme val="minor"/>
    </font>
    <font>
      <sz val="11"/>
      <name val="Calibri"/>
      <family val="2"/>
    </font>
    <font>
      <b/>
      <sz val="11"/>
      <color rgb="FF0070C0"/>
      <name val="Calibri"/>
      <family val="2"/>
      <scheme val="minor"/>
    </font>
    <font>
      <sz val="8"/>
      <name val="Calibri"/>
      <family val="2"/>
      <scheme val="minor"/>
    </font>
  </fonts>
  <fills count="17">
    <fill>
      <patternFill patternType="none"/>
    </fill>
    <fill>
      <patternFill patternType="gray125"/>
    </fill>
    <fill>
      <patternFill patternType="solid">
        <fgColor theme="6" tint="0.59999389629810485"/>
        <bgColor indexed="64"/>
      </patternFill>
    </fill>
    <fill>
      <patternFill patternType="solid">
        <fgColor rgb="FFFFFF00"/>
        <bgColor indexed="64"/>
      </patternFill>
    </fill>
    <fill>
      <patternFill patternType="solid">
        <fgColor theme="0" tint="-0.249977111117893"/>
        <bgColor indexed="64"/>
      </patternFill>
    </fill>
    <fill>
      <patternFill patternType="solid">
        <fgColor theme="6"/>
        <bgColor indexed="64"/>
      </patternFill>
    </fill>
    <fill>
      <patternFill patternType="solid">
        <fgColor theme="3" tint="0.59999389629810485"/>
        <bgColor indexed="64"/>
      </patternFill>
    </fill>
    <fill>
      <patternFill patternType="solid">
        <fgColor theme="1"/>
        <bgColor indexed="64"/>
      </patternFill>
    </fill>
    <fill>
      <patternFill patternType="solid">
        <fgColor rgb="FFFFC000"/>
        <bgColor indexed="64"/>
      </patternFill>
    </fill>
    <fill>
      <patternFill patternType="solid">
        <fgColor theme="0" tint="-0.14999847407452621"/>
        <bgColor indexed="64"/>
      </patternFill>
    </fill>
    <fill>
      <patternFill patternType="solid">
        <fgColor rgb="FFFFFFCC"/>
        <bgColor indexed="64"/>
      </patternFill>
    </fill>
    <fill>
      <patternFill patternType="solid">
        <fgColor theme="5" tint="0.59999389629810485"/>
        <bgColor indexed="64"/>
      </patternFill>
    </fill>
    <fill>
      <patternFill patternType="solid">
        <fgColor theme="0"/>
        <bgColor indexed="64"/>
      </patternFill>
    </fill>
    <fill>
      <patternFill patternType="solid">
        <fgColor rgb="FF92D050"/>
        <bgColor indexed="64"/>
      </patternFill>
    </fill>
    <fill>
      <patternFill patternType="solid">
        <fgColor theme="7" tint="0.59999389629810485"/>
        <bgColor indexed="64"/>
      </patternFill>
    </fill>
    <fill>
      <patternFill patternType="solid">
        <fgColor theme="6" tint="0.39997558519241921"/>
        <bgColor indexed="64"/>
      </patternFill>
    </fill>
    <fill>
      <patternFill patternType="solid">
        <fgColor rgb="FFFFCCFF"/>
        <bgColor indexed="64"/>
      </patternFill>
    </fill>
  </fills>
  <borders count="27">
    <border>
      <left/>
      <right/>
      <top/>
      <bottom/>
      <diagonal/>
    </border>
    <border>
      <left/>
      <right/>
      <top/>
      <bottom style="thin">
        <color indexed="64"/>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medium">
        <color indexed="64"/>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medium">
        <color indexed="64"/>
      </bottom>
      <diagonal/>
    </border>
    <border>
      <left style="thin">
        <color indexed="64"/>
      </left>
      <right style="thin">
        <color indexed="64"/>
      </right>
      <top style="thin">
        <color indexed="64"/>
      </top>
      <bottom/>
      <diagonal/>
    </border>
    <border>
      <left/>
      <right/>
      <top style="thin">
        <color indexed="64"/>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diagonal/>
    </border>
    <border>
      <left style="medium">
        <color indexed="64"/>
      </left>
      <right/>
      <top style="thin">
        <color indexed="64"/>
      </top>
      <bottom style="double">
        <color indexed="64"/>
      </bottom>
      <diagonal/>
    </border>
    <border>
      <left style="medium">
        <color indexed="64"/>
      </left>
      <right/>
      <top/>
      <bottom style="medium">
        <color indexed="64"/>
      </bottom>
      <diagonal/>
    </border>
    <border>
      <left/>
      <right style="medium">
        <color indexed="64"/>
      </right>
      <top/>
      <bottom style="medium">
        <color indexed="64"/>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4" fontId="1" fillId="0" borderId="0" applyFont="0" applyFill="0" applyBorder="0" applyAlignment="0" applyProtection="0"/>
  </cellStyleXfs>
  <cellXfs count="199">
    <xf numFmtId="0" fontId="0" fillId="0" borderId="0" xfId="0"/>
    <xf numFmtId="0" fontId="2" fillId="0" borderId="0" xfId="0" applyFont="1"/>
    <xf numFmtId="43" fontId="0" fillId="0" borderId="0" xfId="1" applyFont="1"/>
    <xf numFmtId="43" fontId="0" fillId="0" borderId="1" xfId="1" applyFont="1" applyBorder="1"/>
    <xf numFmtId="0" fontId="2" fillId="0" borderId="0" xfId="0" applyFont="1" applyAlignment="1">
      <alignment horizontal="center"/>
    </xf>
    <xf numFmtId="0" fontId="2" fillId="0" borderId="1" xfId="0" applyFont="1" applyBorder="1" applyAlignment="1">
      <alignment horizontal="center"/>
    </xf>
    <xf numFmtId="9" fontId="7" fillId="0" borderId="0" xfId="2" applyFont="1" applyFill="1"/>
    <xf numFmtId="43" fontId="0" fillId="0" borderId="0" xfId="0" applyNumberFormat="1"/>
    <xf numFmtId="43" fontId="0" fillId="0" borderId="2" xfId="0" applyNumberFormat="1" applyBorder="1"/>
    <xf numFmtId="43" fontId="0" fillId="0" borderId="0" xfId="1" applyFont="1" applyBorder="1"/>
    <xf numFmtId="43" fontId="0" fillId="0" borderId="2" xfId="1" applyFont="1" applyBorder="1"/>
    <xf numFmtId="164" fontId="0" fillId="0" borderId="0" xfId="0" applyNumberFormat="1"/>
    <xf numFmtId="10" fontId="0" fillId="0" borderId="0" xfId="2" applyNumberFormat="1" applyFont="1" applyBorder="1"/>
    <xf numFmtId="10" fontId="0" fillId="0" borderId="0" xfId="0" applyNumberFormat="1"/>
    <xf numFmtId="9" fontId="7" fillId="0" borderId="2" xfId="2" applyFont="1" applyFill="1" applyBorder="1"/>
    <xf numFmtId="0" fontId="0" fillId="0" borderId="1" xfId="0" applyBorder="1"/>
    <xf numFmtId="165" fontId="8" fillId="0" borderId="0" xfId="0" applyNumberFormat="1" applyFont="1"/>
    <xf numFmtId="9" fontId="1" fillId="0" borderId="0" xfId="2" applyFont="1"/>
    <xf numFmtId="9" fontId="1" fillId="0" borderId="0" xfId="2" applyFont="1" applyFill="1"/>
    <xf numFmtId="43" fontId="0" fillId="0" borderId="0" xfId="1" applyFont="1" applyAlignment="1">
      <alignment horizontal="right"/>
    </xf>
    <xf numFmtId="43" fontId="8" fillId="2" borderId="0" xfId="1" applyFont="1" applyFill="1"/>
    <xf numFmtId="43" fontId="0" fillId="2" borderId="1" xfId="1" applyFont="1" applyFill="1" applyBorder="1"/>
    <xf numFmtId="0" fontId="0" fillId="2" borderId="0" xfId="0" applyFill="1"/>
    <xf numFmtId="0" fontId="0" fillId="0" borderId="0" xfId="0" applyAlignment="1">
      <alignment horizontal="right"/>
    </xf>
    <xf numFmtId="44" fontId="0" fillId="0" borderId="0" xfId="0" applyNumberFormat="1"/>
    <xf numFmtId="44" fontId="0" fillId="2" borderId="0" xfId="6" applyFont="1" applyFill="1"/>
    <xf numFmtId="43" fontId="0" fillId="2" borderId="0" xfId="1" applyFont="1" applyFill="1"/>
    <xf numFmtId="43" fontId="2" fillId="0" borderId="0" xfId="1" applyFont="1"/>
    <xf numFmtId="43" fontId="2" fillId="0" borderId="0" xfId="0" applyNumberFormat="1" applyFont="1"/>
    <xf numFmtId="43" fontId="0" fillId="0" borderId="1" xfId="0" applyNumberFormat="1" applyBorder="1"/>
    <xf numFmtId="43" fontId="8" fillId="0" borderId="0" xfId="1" applyFont="1"/>
    <xf numFmtId="0" fontId="9" fillId="0" borderId="0" xfId="0" applyFont="1"/>
    <xf numFmtId="43" fontId="0" fillId="0" borderId="0" xfId="1" applyFont="1" applyFill="1" applyBorder="1"/>
    <xf numFmtId="43" fontId="0" fillId="0" borderId="0" xfId="1" applyFont="1" applyFill="1"/>
    <xf numFmtId="10" fontId="0" fillId="0" borderId="0" xfId="2" applyNumberFormat="1" applyFont="1"/>
    <xf numFmtId="0" fontId="0" fillId="0" borderId="0" xfId="0" applyAlignment="1">
      <alignment horizontal="center"/>
    </xf>
    <xf numFmtId="10" fontId="0" fillId="0" borderId="0" xfId="1" applyNumberFormat="1" applyFont="1" applyBorder="1"/>
    <xf numFmtId="43" fontId="1" fillId="0" borderId="0" xfId="1" applyFont="1" applyFill="1" applyBorder="1" applyAlignment="1">
      <alignment horizontal="center"/>
    </xf>
    <xf numFmtId="43" fontId="1" fillId="0" borderId="1" xfId="1" applyFont="1" applyFill="1" applyBorder="1" applyAlignment="1">
      <alignment horizontal="center"/>
    </xf>
    <xf numFmtId="43" fontId="0" fillId="0" borderId="0" xfId="0" applyNumberFormat="1" applyAlignment="1">
      <alignment horizontal="center"/>
    </xf>
    <xf numFmtId="43" fontId="0" fillId="0" borderId="1" xfId="0" applyNumberFormat="1" applyBorder="1" applyAlignment="1">
      <alignment horizontal="center"/>
    </xf>
    <xf numFmtId="9" fontId="0" fillId="0" borderId="0" xfId="2" applyFont="1" applyFill="1" applyBorder="1" applyAlignment="1">
      <alignment horizontal="center"/>
    </xf>
    <xf numFmtId="0" fontId="0" fillId="0" borderId="1" xfId="0" applyBorder="1" applyAlignment="1">
      <alignment horizontal="center"/>
    </xf>
    <xf numFmtId="0" fontId="0" fillId="0" borderId="6" xfId="0" applyBorder="1" applyAlignment="1">
      <alignment horizontal="center"/>
    </xf>
    <xf numFmtId="0" fontId="10" fillId="0" borderId="0" xfId="0" applyFont="1"/>
    <xf numFmtId="17" fontId="0" fillId="0" borderId="6" xfId="0" applyNumberFormat="1" applyBorder="1" applyAlignment="1">
      <alignment horizontal="center"/>
    </xf>
    <xf numFmtId="0" fontId="11" fillId="0" borderId="0" xfId="0" applyFont="1"/>
    <xf numFmtId="0" fontId="7" fillId="0" borderId="6" xfId="0" applyFont="1" applyBorder="1"/>
    <xf numFmtId="14" fontId="10" fillId="0" borderId="7" xfId="0" applyNumberFormat="1" applyFont="1" applyBorder="1" applyAlignment="1">
      <alignment horizontal="center"/>
    </xf>
    <xf numFmtId="0" fontId="10" fillId="0" borderId="7" xfId="0" applyFont="1" applyBorder="1" applyAlignment="1">
      <alignment horizontal="center"/>
    </xf>
    <xf numFmtId="0" fontId="10" fillId="0" borderId="0" xfId="0" applyFont="1" applyAlignment="1">
      <alignment horizontal="center"/>
    </xf>
    <xf numFmtId="14" fontId="0" fillId="0" borderId="7" xfId="0" applyNumberFormat="1" applyBorder="1" applyAlignment="1">
      <alignment horizontal="center"/>
    </xf>
    <xf numFmtId="0" fontId="0" fillId="0" borderId="7" xfId="0" applyBorder="1" applyAlignment="1">
      <alignment horizontal="center"/>
    </xf>
    <xf numFmtId="0" fontId="0" fillId="0" borderId="7" xfId="0" applyBorder="1"/>
    <xf numFmtId="44" fontId="1" fillId="0" borderId="7" xfId="6" applyBorder="1"/>
    <xf numFmtId="43" fontId="7" fillId="0" borderId="0" xfId="4"/>
    <xf numFmtId="10" fontId="7" fillId="0" borderId="0" xfId="5" applyNumberFormat="1"/>
    <xf numFmtId="0" fontId="12" fillId="0" borderId="7" xfId="0" applyFont="1" applyBorder="1" applyAlignment="1">
      <alignment horizontal="left" indent="12"/>
    </xf>
    <xf numFmtId="44" fontId="10" fillId="0" borderId="7" xfId="6" applyFont="1" applyBorder="1"/>
    <xf numFmtId="0" fontId="0" fillId="0" borderId="1" xfId="0" applyBorder="1" applyAlignment="1">
      <alignment horizontal="left"/>
    </xf>
    <xf numFmtId="0" fontId="0" fillId="0" borderId="8" xfId="0" applyBorder="1" applyAlignment="1">
      <alignment horizontal="center"/>
    </xf>
    <xf numFmtId="0" fontId="0" fillId="0" borderId="8" xfId="0" applyBorder="1"/>
    <xf numFmtId="0" fontId="12" fillId="0" borderId="0" xfId="0" applyFont="1"/>
    <xf numFmtId="0" fontId="7" fillId="0" borderId="1" xfId="0" applyFont="1" applyBorder="1" applyAlignment="1">
      <alignment horizontal="center"/>
    </xf>
    <xf numFmtId="0" fontId="7" fillId="0" borderId="0" xfId="0" applyFont="1"/>
    <xf numFmtId="0" fontId="13" fillId="0" borderId="0" xfId="0" applyFont="1"/>
    <xf numFmtId="43" fontId="0" fillId="0" borderId="2" xfId="0" applyNumberFormat="1" applyBorder="1" applyAlignment="1">
      <alignment horizontal="center"/>
    </xf>
    <xf numFmtId="10" fontId="7" fillId="0" borderId="0" xfId="2" applyNumberFormat="1" applyFont="1" applyFill="1" applyBorder="1"/>
    <xf numFmtId="9" fontId="0" fillId="0" borderId="0" xfId="2" applyFont="1" applyFill="1" applyBorder="1"/>
    <xf numFmtId="0" fontId="0" fillId="6" borderId="9" xfId="0" applyFill="1" applyBorder="1"/>
    <xf numFmtId="43" fontId="0" fillId="0" borderId="10" xfId="1" applyFont="1" applyBorder="1"/>
    <xf numFmtId="0" fontId="13" fillId="0" borderId="0" xfId="0" applyFont="1" applyAlignment="1">
      <alignment horizontal="right"/>
    </xf>
    <xf numFmtId="0" fontId="14" fillId="0" borderId="0" xfId="0" applyFont="1" applyAlignment="1">
      <alignment horizontal="right"/>
    </xf>
    <xf numFmtId="10" fontId="15" fillId="0" borderId="0" xfId="2" applyNumberFormat="1" applyFont="1" applyFill="1" applyBorder="1"/>
    <xf numFmtId="0" fontId="2" fillId="0" borderId="10" xfId="0" applyFont="1" applyBorder="1" applyAlignment="1">
      <alignment horizontal="center"/>
    </xf>
    <xf numFmtId="0" fontId="2" fillId="0" borderId="2" xfId="0" applyFont="1" applyBorder="1" applyAlignment="1">
      <alignment horizontal="center"/>
    </xf>
    <xf numFmtId="0" fontId="0" fillId="0" borderId="2" xfId="0" applyBorder="1"/>
    <xf numFmtId="0" fontId="2" fillId="0" borderId="6" xfId="0" applyFont="1" applyBorder="1" applyAlignment="1">
      <alignment horizontal="center"/>
    </xf>
    <xf numFmtId="10" fontId="0" fillId="7" borderId="0" xfId="2" applyNumberFormat="1" applyFont="1" applyFill="1"/>
    <xf numFmtId="0" fontId="0" fillId="7" borderId="0" xfId="0" applyFill="1"/>
    <xf numFmtId="0" fontId="5" fillId="0" borderId="0" xfId="0" applyFont="1" applyAlignment="1">
      <alignment horizontal="center"/>
    </xf>
    <xf numFmtId="14" fontId="0" fillId="0" borderId="0" xfId="0" applyNumberFormat="1" applyAlignment="1">
      <alignment horizontal="center"/>
    </xf>
    <xf numFmtId="0" fontId="0" fillId="9" borderId="0" xfId="0" applyFill="1"/>
    <xf numFmtId="10" fontId="0" fillId="9" borderId="0" xfId="2" applyNumberFormat="1" applyFont="1" applyFill="1" applyBorder="1"/>
    <xf numFmtId="10" fontId="0" fillId="9" borderId="0" xfId="2" applyNumberFormat="1" applyFont="1" applyFill="1"/>
    <xf numFmtId="0" fontId="2" fillId="0" borderId="0" xfId="0" applyFont="1" applyAlignment="1">
      <alignment horizontal="left" indent="2"/>
    </xf>
    <xf numFmtId="0" fontId="13" fillId="0" borderId="0" xfId="0" applyFont="1" applyAlignment="1">
      <alignment horizontal="left" indent="2"/>
    </xf>
    <xf numFmtId="0" fontId="6" fillId="9" borderId="0" xfId="0" applyFont="1" applyFill="1" applyAlignment="1">
      <alignment horizontal="center"/>
    </xf>
    <xf numFmtId="0" fontId="0" fillId="0" borderId="0" xfId="0" applyAlignment="1">
      <alignment horizontal="left" indent="1"/>
    </xf>
    <xf numFmtId="0" fontId="13" fillId="0" borderId="0" xfId="0" applyFont="1" applyAlignment="1">
      <alignment horizontal="left"/>
    </xf>
    <xf numFmtId="44" fontId="1" fillId="9" borderId="7" xfId="6" applyFill="1" applyBorder="1"/>
    <xf numFmtId="43" fontId="0" fillId="9" borderId="0" xfId="1" applyFont="1" applyFill="1"/>
    <xf numFmtId="43" fontId="0" fillId="0" borderId="10" xfId="0" applyNumberFormat="1" applyBorder="1"/>
    <xf numFmtId="0" fontId="2" fillId="0" borderId="0" xfId="0" applyFont="1" applyAlignment="1">
      <alignment horizontal="left" indent="3"/>
    </xf>
    <xf numFmtId="0" fontId="2" fillId="0" borderId="0" xfId="0" applyFont="1" applyAlignment="1">
      <alignment horizontal="left" indent="5"/>
    </xf>
    <xf numFmtId="0" fontId="16" fillId="0" borderId="0" xfId="0" applyFont="1"/>
    <xf numFmtId="0" fontId="0" fillId="0" borderId="0" xfId="0" applyAlignment="1">
      <alignment wrapText="1"/>
    </xf>
    <xf numFmtId="0" fontId="0" fillId="0" borderId="12" xfId="0" applyBorder="1"/>
    <xf numFmtId="0" fontId="0" fillId="0" borderId="11" xfId="0" applyBorder="1"/>
    <xf numFmtId="0" fontId="0" fillId="0" borderId="0" xfId="0" applyAlignment="1">
      <alignment horizontal="left"/>
    </xf>
    <xf numFmtId="0" fontId="0" fillId="0" borderId="15" xfId="0" applyBorder="1" applyAlignment="1">
      <alignment horizontal="center"/>
    </xf>
    <xf numFmtId="0" fontId="2" fillId="9" borderId="16" xfId="0" applyFont="1" applyFill="1" applyBorder="1" applyAlignment="1">
      <alignment horizontal="center"/>
    </xf>
    <xf numFmtId="0" fontId="0" fillId="9" borderId="13" xfId="0" applyFill="1" applyBorder="1" applyAlignment="1">
      <alignment horizontal="center"/>
    </xf>
    <xf numFmtId="0" fontId="0" fillId="9" borderId="13" xfId="0" applyFill="1" applyBorder="1"/>
    <xf numFmtId="0" fontId="0" fillId="9" borderId="14" xfId="0" applyFill="1" applyBorder="1"/>
    <xf numFmtId="0" fontId="5" fillId="0" borderId="0" xfId="0" applyFont="1"/>
    <xf numFmtId="0" fontId="6" fillId="0" borderId="0" xfId="0" applyFont="1"/>
    <xf numFmtId="0" fontId="0" fillId="0" borderId="0" xfId="0" applyAlignment="1">
      <alignment horizontal="center" wrapText="1"/>
    </xf>
    <xf numFmtId="43" fontId="0" fillId="5" borderId="0" xfId="1" applyFont="1" applyFill="1"/>
    <xf numFmtId="0" fontId="9" fillId="0" borderId="0" xfId="0" applyFont="1" applyAlignment="1">
      <alignment horizontal="left"/>
    </xf>
    <xf numFmtId="0" fontId="18" fillId="0" borderId="0" xfId="0" applyFont="1"/>
    <xf numFmtId="166" fontId="0" fillId="0" borderId="6" xfId="0" applyNumberFormat="1" applyBorder="1" applyAlignment="1">
      <alignment horizontal="center"/>
    </xf>
    <xf numFmtId="43" fontId="1" fillId="0" borderId="2" xfId="1" applyFont="1" applyFill="1" applyBorder="1" applyAlignment="1">
      <alignment horizontal="center"/>
    </xf>
    <xf numFmtId="4" fontId="0" fillId="0" borderId="0" xfId="0" applyNumberFormat="1"/>
    <xf numFmtId="0" fontId="9" fillId="0" borderId="0" xfId="0" applyFont="1" applyAlignment="1">
      <alignment horizontal="center"/>
    </xf>
    <xf numFmtId="0" fontId="0" fillId="3" borderId="0" xfId="0" applyFill="1"/>
    <xf numFmtId="14" fontId="0" fillId="0" borderId="12" xfId="0" applyNumberFormat="1" applyBorder="1"/>
    <xf numFmtId="14" fontId="0" fillId="10" borderId="12" xfId="0" applyNumberFormat="1" applyFill="1" applyBorder="1"/>
    <xf numFmtId="10" fontId="0" fillId="3" borderId="0" xfId="2" applyNumberFormat="1" applyFont="1" applyFill="1"/>
    <xf numFmtId="0" fontId="0" fillId="11" borderId="0" xfId="0" applyFill="1"/>
    <xf numFmtId="43" fontId="2" fillId="0" borderId="17" xfId="1" applyFont="1" applyBorder="1"/>
    <xf numFmtId="0" fontId="19" fillId="0" borderId="0" xfId="0" applyFont="1"/>
    <xf numFmtId="0" fontId="20" fillId="0" borderId="0" xfId="0" applyFont="1"/>
    <xf numFmtId="43" fontId="20" fillId="0" borderId="0" xfId="0" applyNumberFormat="1" applyFont="1"/>
    <xf numFmtId="10" fontId="0" fillId="6" borderId="0" xfId="0" applyNumberFormat="1" applyFill="1"/>
    <xf numFmtId="0" fontId="0" fillId="12" borderId="18" xfId="0" applyFill="1" applyBorder="1"/>
    <xf numFmtId="0" fontId="0" fillId="12" borderId="19" xfId="0" applyFill="1" applyBorder="1"/>
    <xf numFmtId="0" fontId="0" fillId="12" borderId="20" xfId="0" applyFill="1" applyBorder="1"/>
    <xf numFmtId="43" fontId="0" fillId="12" borderId="21" xfId="0" applyNumberFormat="1" applyFill="1" applyBorder="1"/>
    <xf numFmtId="0" fontId="0" fillId="12" borderId="0" xfId="0" applyFill="1"/>
    <xf numFmtId="0" fontId="0" fillId="12" borderId="22" xfId="0" applyFill="1" applyBorder="1"/>
    <xf numFmtId="43" fontId="0" fillId="12" borderId="23" xfId="0" applyNumberFormat="1" applyFill="1" applyBorder="1"/>
    <xf numFmtId="43" fontId="0" fillId="12" borderId="21" xfId="2" applyNumberFormat="1" applyFont="1" applyFill="1" applyBorder="1"/>
    <xf numFmtId="43" fontId="0" fillId="12" borderId="24" xfId="1" applyFont="1" applyFill="1" applyBorder="1"/>
    <xf numFmtId="9" fontId="0" fillId="12" borderId="25" xfId="2" applyFont="1" applyFill="1" applyBorder="1"/>
    <xf numFmtId="0" fontId="0" fillId="12" borderId="6" xfId="0" applyFill="1" applyBorder="1"/>
    <xf numFmtId="0" fontId="0" fillId="12" borderId="26" xfId="0" applyFill="1" applyBorder="1"/>
    <xf numFmtId="39" fontId="0" fillId="0" borderId="0" xfId="0" applyNumberFormat="1"/>
    <xf numFmtId="0" fontId="0" fillId="3" borderId="6" xfId="0" applyFill="1" applyBorder="1" applyAlignment="1">
      <alignment horizontal="center"/>
    </xf>
    <xf numFmtId="43" fontId="0" fillId="0" borderId="1" xfId="1" applyFont="1" applyFill="1" applyBorder="1"/>
    <xf numFmtId="165" fontId="7" fillId="0" borderId="6" xfId="1" applyNumberFormat="1" applyFont="1" applyBorder="1"/>
    <xf numFmtId="43" fontId="0" fillId="12" borderId="21" xfId="1" applyFont="1" applyFill="1" applyBorder="1"/>
    <xf numFmtId="0" fontId="0" fillId="0" borderId="0" xfId="0" quotePrefix="1"/>
    <xf numFmtId="43" fontId="0" fillId="0" borderId="0" xfId="1" applyFont="1" applyFill="1" applyBorder="1" applyAlignment="1">
      <alignment horizontal="center"/>
    </xf>
    <xf numFmtId="0" fontId="0" fillId="3" borderId="7" xfId="0" applyFill="1" applyBorder="1"/>
    <xf numFmtId="10" fontId="0" fillId="0" borderId="0" xfId="2" applyNumberFormat="1" applyFont="1" applyFill="1" applyBorder="1" applyAlignment="1">
      <alignment horizontal="center"/>
    </xf>
    <xf numFmtId="43" fontId="1" fillId="0" borderId="0" xfId="1" applyFill="1" applyBorder="1"/>
    <xf numFmtId="0" fontId="0" fillId="15" borderId="0" xfId="0" applyFill="1"/>
    <xf numFmtId="10" fontId="0" fillId="15" borderId="0" xfId="2" applyNumberFormat="1" applyFont="1" applyFill="1"/>
    <xf numFmtId="43" fontId="1" fillId="0" borderId="0" xfId="1" applyFont="1" applyBorder="1"/>
    <xf numFmtId="0" fontId="0" fillId="8" borderId="0" xfId="0" applyFill="1"/>
    <xf numFmtId="0" fontId="0" fillId="0" borderId="17" xfId="0" applyBorder="1"/>
    <xf numFmtId="43" fontId="0" fillId="0" borderId="17" xfId="0" applyNumberFormat="1" applyBorder="1"/>
    <xf numFmtId="165" fontId="21" fillId="0" borderId="6" xfId="1" applyNumberFormat="1" applyFont="1" applyBorder="1"/>
    <xf numFmtId="9" fontId="0" fillId="0" borderId="0" xfId="2" applyFont="1"/>
    <xf numFmtId="0" fontId="0" fillId="16" borderId="0" xfId="0" applyFill="1"/>
    <xf numFmtId="10" fontId="22" fillId="0" borderId="0" xfId="2" applyNumberFormat="1" applyFont="1"/>
    <xf numFmtId="22" fontId="0" fillId="0" borderId="0" xfId="0" applyNumberFormat="1"/>
    <xf numFmtId="14" fontId="0" fillId="0" borderId="0" xfId="0" applyNumberFormat="1"/>
    <xf numFmtId="0" fontId="0" fillId="0" borderId="0" xfId="0" pivotButton="1"/>
    <xf numFmtId="10" fontId="0" fillId="15" borderId="0" xfId="2" applyNumberFormat="1" applyFont="1" applyFill="1" applyBorder="1"/>
    <xf numFmtId="44" fontId="1" fillId="16" borderId="7" xfId="6" applyFill="1" applyBorder="1"/>
    <xf numFmtId="43" fontId="7" fillId="0" borderId="6" xfId="1" applyFont="1" applyBorder="1"/>
    <xf numFmtId="0" fontId="0" fillId="0" borderId="0" xfId="0" quotePrefix="1" applyAlignment="1">
      <alignment wrapText="1"/>
    </xf>
    <xf numFmtId="43" fontId="0" fillId="0" borderId="0" xfId="1" pivotButton="1" applyFont="1"/>
    <xf numFmtId="0" fontId="0" fillId="0" borderId="0" xfId="1" applyNumberFormat="1" applyFont="1" applyFill="1" applyBorder="1"/>
    <xf numFmtId="0" fontId="0" fillId="0" borderId="0" xfId="1" applyNumberFormat="1" applyFont="1"/>
    <xf numFmtId="0" fontId="2" fillId="3" borderId="3" xfId="0" applyFont="1" applyFill="1" applyBorder="1" applyAlignment="1">
      <alignment horizontal="center"/>
    </xf>
    <xf numFmtId="0" fontId="2" fillId="3" borderId="4" xfId="0" applyFont="1" applyFill="1" applyBorder="1" applyAlignment="1">
      <alignment horizontal="center"/>
    </xf>
    <xf numFmtId="0" fontId="2" fillId="3" borderId="5" xfId="0" applyFont="1" applyFill="1" applyBorder="1" applyAlignment="1">
      <alignment horizontal="center"/>
    </xf>
    <xf numFmtId="0" fontId="2" fillId="4" borderId="3" xfId="0" applyFont="1" applyFill="1" applyBorder="1" applyAlignment="1">
      <alignment horizontal="center"/>
    </xf>
    <xf numFmtId="0" fontId="2" fillId="4" borderId="4" xfId="0" applyFont="1" applyFill="1" applyBorder="1" applyAlignment="1">
      <alignment horizontal="center"/>
    </xf>
    <xf numFmtId="0" fontId="2" fillId="4" borderId="5" xfId="0" applyFont="1" applyFill="1" applyBorder="1" applyAlignment="1">
      <alignment horizontal="center"/>
    </xf>
    <xf numFmtId="0" fontId="5" fillId="0" borderId="0" xfId="0" applyFont="1" applyAlignment="1">
      <alignment horizontal="center"/>
    </xf>
    <xf numFmtId="0" fontId="6" fillId="9" borderId="0" xfId="0" applyFont="1" applyFill="1" applyAlignment="1">
      <alignment horizontal="center"/>
    </xf>
    <xf numFmtId="0" fontId="0" fillId="0" borderId="0" xfId="0" applyAlignment="1">
      <alignment horizontal="center"/>
    </xf>
    <xf numFmtId="14" fontId="0" fillId="9" borderId="0" xfId="0" applyNumberFormat="1" applyFill="1" applyAlignment="1">
      <alignment horizontal="center"/>
    </xf>
    <xf numFmtId="0" fontId="2" fillId="13" borderId="3" xfId="0" applyFont="1" applyFill="1" applyBorder="1" applyAlignment="1">
      <alignment horizontal="center"/>
    </xf>
    <xf numFmtId="0" fontId="2" fillId="13" borderId="4" xfId="0" applyFont="1" applyFill="1" applyBorder="1" applyAlignment="1">
      <alignment horizontal="center"/>
    </xf>
    <xf numFmtId="0" fontId="2" fillId="13" borderId="5" xfId="0" applyFont="1" applyFill="1" applyBorder="1" applyAlignment="1">
      <alignment horizontal="center"/>
    </xf>
    <xf numFmtId="0" fontId="2" fillId="14" borderId="3" xfId="0" applyFont="1" applyFill="1" applyBorder="1" applyAlignment="1">
      <alignment horizontal="center"/>
    </xf>
    <xf numFmtId="0" fontId="2" fillId="14" borderId="4" xfId="0" applyFont="1" applyFill="1" applyBorder="1" applyAlignment="1">
      <alignment horizontal="center"/>
    </xf>
    <xf numFmtId="0" fontId="2" fillId="14" borderId="5" xfId="0" applyFont="1" applyFill="1" applyBorder="1" applyAlignment="1">
      <alignment horizontal="center"/>
    </xf>
    <xf numFmtId="43" fontId="0" fillId="0" borderId="0" xfId="0" applyNumberFormat="1" applyAlignment="1">
      <alignment horizontal="center" wrapText="1"/>
    </xf>
    <xf numFmtId="43" fontId="0" fillId="0" borderId="1" xfId="0" applyNumberFormat="1" applyBorder="1" applyAlignment="1">
      <alignment horizontal="center" wrapText="1"/>
    </xf>
    <xf numFmtId="0" fontId="2" fillId="0" borderId="0" xfId="0" applyFont="1" applyAlignment="1">
      <alignment horizontal="center"/>
    </xf>
    <xf numFmtId="0" fontId="2" fillId="0" borderId="0" xfId="0" applyFont="1" applyAlignment="1">
      <alignment horizontal="center" wrapText="1"/>
    </xf>
    <xf numFmtId="14" fontId="0" fillId="0" borderId="0" xfId="0" applyNumberFormat="1" applyAlignment="1">
      <alignment horizontal="center"/>
    </xf>
    <xf numFmtId="0" fontId="6" fillId="0" borderId="0" xfId="0" applyFont="1" applyAlignment="1">
      <alignment horizontal="center"/>
    </xf>
    <xf numFmtId="0" fontId="2" fillId="8" borderId="3" xfId="0" applyFont="1" applyFill="1" applyBorder="1" applyAlignment="1">
      <alignment horizontal="center"/>
    </xf>
    <xf numFmtId="0" fontId="2" fillId="8" borderId="4" xfId="0" applyFont="1" applyFill="1" applyBorder="1" applyAlignment="1">
      <alignment horizontal="center"/>
    </xf>
    <xf numFmtId="0" fontId="2" fillId="8" borderId="5" xfId="0" applyFont="1" applyFill="1" applyBorder="1" applyAlignment="1">
      <alignment horizontal="center"/>
    </xf>
    <xf numFmtId="0" fontId="0" fillId="9" borderId="0" xfId="0" applyFill="1" applyAlignment="1">
      <alignment horizontal="center"/>
    </xf>
    <xf numFmtId="14" fontId="17" fillId="0" borderId="0" xfId="0" applyNumberFormat="1" applyFont="1" applyAlignment="1">
      <alignment horizontal="center"/>
    </xf>
    <xf numFmtId="0" fontId="17" fillId="0" borderId="0" xfId="0" applyFont="1" applyAlignment="1">
      <alignment horizontal="center"/>
    </xf>
    <xf numFmtId="0" fontId="0" fillId="9" borderId="1" xfId="0" applyFill="1" applyBorder="1" applyAlignment="1">
      <alignment horizontal="center"/>
    </xf>
    <xf numFmtId="0" fontId="0" fillId="9" borderId="0" xfId="0" quotePrefix="1" applyFill="1" applyAlignment="1">
      <alignment horizontal="center"/>
    </xf>
    <xf numFmtId="43" fontId="0" fillId="0" borderId="0" xfId="1" applyFont="1" applyAlignment="1">
      <alignment horizontal="center"/>
    </xf>
    <xf numFmtId="165" fontId="0" fillId="0" borderId="0" xfId="1" applyNumberFormat="1" applyFont="1"/>
  </cellXfs>
  <cellStyles count="7">
    <cellStyle name="Comma" xfId="1" builtinId="3"/>
    <cellStyle name="Comma 2" xfId="4" xr:uid="{00000000-0005-0000-0000-000001000000}"/>
    <cellStyle name="Currency" xfId="6" builtinId="4"/>
    <cellStyle name="Normal" xfId="0" builtinId="0"/>
    <cellStyle name="Normal 2" xfId="3" xr:uid="{00000000-0005-0000-0000-000004000000}"/>
    <cellStyle name="Percent" xfId="2" builtinId="5"/>
    <cellStyle name="Percent 2" xfId="5" xr:uid="{00000000-0005-0000-0000-000006000000}"/>
  </cellStyles>
  <dxfs count="12">
    <dxf>
      <numFmt numFmtId="0" formatCode="Genera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19" formatCode="mm/dd/yy"/>
    </dxf>
  </dxfs>
  <tableStyles count="0" defaultTableStyle="TableStyleMedium9" defaultPivotStyle="PivotStyleLight16"/>
  <colors>
    <mruColors>
      <color rgb="FFFFCC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pivotCacheDefinition" Target="pivotCache/pivotCacheDefinition1.xml"/><Relationship Id="rId68"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29.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47625</xdr:colOff>
      <xdr:row>0</xdr:row>
      <xdr:rowOff>28575</xdr:rowOff>
    </xdr:from>
    <xdr:to>
      <xdr:col>3</xdr:col>
      <xdr:colOff>847725</xdr:colOff>
      <xdr:row>4</xdr:row>
      <xdr:rowOff>72280</xdr:rowOff>
    </xdr:to>
    <xdr:pic>
      <xdr:nvPicPr>
        <xdr:cNvPr id="2" name="Picture 1" descr="G:\Common\LOGOS\Agility.tif">
          <a:extLst>
            <a:ext uri="{FF2B5EF4-FFF2-40B4-BE49-F238E27FC236}">
              <a16:creationId xmlns:a16="http://schemas.microsoft.com/office/drawing/2014/main" id="{00000000-0008-0000-17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5076825" cy="824755"/>
        </a:xfrm>
        <a:prstGeom prst="rect">
          <a:avLst/>
        </a:prstGeom>
        <a:noFill/>
        <a:ln w="9525">
          <a:noFill/>
          <a:miter lim="800000"/>
          <a:headEnd/>
          <a:tailEnd/>
        </a:ln>
      </xdr:spPr>
    </xdr:pic>
    <xdr:clientData fLocksWithSheet="0"/>
  </xdr:twoCellAnchor>
</xdr:wsDr>
</file>

<file path=xl/drawings/drawing2.xml><?xml version="1.0" encoding="utf-8"?>
<xdr:wsDr xmlns:xdr="http://schemas.openxmlformats.org/drawingml/2006/spreadsheetDrawing" xmlns:a="http://schemas.openxmlformats.org/drawingml/2006/main">
  <xdr:twoCellAnchor>
    <xdr:from>
      <xdr:col>0</xdr:col>
      <xdr:colOff>47625</xdr:colOff>
      <xdr:row>0</xdr:row>
      <xdr:rowOff>28575</xdr:rowOff>
    </xdr:from>
    <xdr:to>
      <xdr:col>3</xdr:col>
      <xdr:colOff>847725</xdr:colOff>
      <xdr:row>4</xdr:row>
      <xdr:rowOff>72280</xdr:rowOff>
    </xdr:to>
    <xdr:pic>
      <xdr:nvPicPr>
        <xdr:cNvPr id="2" name="Picture 1" descr="G:\Common\LOGOS\Agility.tif">
          <a:extLst>
            <a:ext uri="{FF2B5EF4-FFF2-40B4-BE49-F238E27FC236}">
              <a16:creationId xmlns:a16="http://schemas.microsoft.com/office/drawing/2014/main" id="{2A752A8F-F4DC-48A8-9324-051790939A08}"/>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5076825" cy="824755"/>
        </a:xfrm>
        <a:prstGeom prst="rect">
          <a:avLst/>
        </a:prstGeom>
        <a:noFill/>
        <a:ln w="9525">
          <a:noFill/>
          <a:miter lim="800000"/>
          <a:headEnd/>
          <a:tailEnd/>
        </a:ln>
      </xdr:spPr>
    </xdr:pic>
    <xdr:clientData fLocksWithSheet="0"/>
  </xdr:twoCellAnchor>
</xdr:wsDr>
</file>

<file path=xl/drawings/drawing3.xml><?xml version="1.0" encoding="utf-8"?>
<xdr:wsDr xmlns:xdr="http://schemas.openxmlformats.org/drawingml/2006/spreadsheetDrawing" xmlns:a="http://schemas.openxmlformats.org/drawingml/2006/main">
  <xdr:twoCellAnchor>
    <xdr:from>
      <xdr:col>0</xdr:col>
      <xdr:colOff>47625</xdr:colOff>
      <xdr:row>0</xdr:row>
      <xdr:rowOff>28575</xdr:rowOff>
    </xdr:from>
    <xdr:to>
      <xdr:col>2</xdr:col>
      <xdr:colOff>0</xdr:colOff>
      <xdr:row>4</xdr:row>
      <xdr:rowOff>104775</xdr:rowOff>
    </xdr:to>
    <xdr:pic>
      <xdr:nvPicPr>
        <xdr:cNvPr id="2" name="Picture 1" descr="G:\Common\LOGOS\Agility.tif">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2124075" cy="857250"/>
        </a:xfrm>
        <a:prstGeom prst="rect">
          <a:avLst/>
        </a:prstGeom>
        <a:noFill/>
        <a:ln w="9525">
          <a:noFill/>
          <a:miter lim="800000"/>
          <a:headEnd/>
          <a:tailEnd/>
        </a:ln>
      </xdr:spPr>
    </xdr:pic>
    <xdr:clientData fLocksWithSheet="0"/>
  </xdr:twoCellAnchor>
</xdr:wsDr>
</file>

<file path=xl/drawings/drawing4.xml><?xml version="1.0" encoding="utf-8"?>
<xdr:wsDr xmlns:xdr="http://schemas.openxmlformats.org/drawingml/2006/spreadsheetDrawing" xmlns:a="http://schemas.openxmlformats.org/drawingml/2006/main">
  <xdr:twoCellAnchor>
    <xdr:from>
      <xdr:col>0</xdr:col>
      <xdr:colOff>47625</xdr:colOff>
      <xdr:row>0</xdr:row>
      <xdr:rowOff>28575</xdr:rowOff>
    </xdr:from>
    <xdr:to>
      <xdr:col>4</xdr:col>
      <xdr:colOff>0</xdr:colOff>
      <xdr:row>4</xdr:row>
      <xdr:rowOff>104775</xdr:rowOff>
    </xdr:to>
    <xdr:pic>
      <xdr:nvPicPr>
        <xdr:cNvPr id="2" name="Picture 1" descr="G:\Common\LOGOS\Agility.tif">
          <a:extLst>
            <a:ext uri="{FF2B5EF4-FFF2-40B4-BE49-F238E27FC236}">
              <a16:creationId xmlns:a16="http://schemas.microsoft.com/office/drawing/2014/main" id="{00000000-0008-0000-19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5276850" cy="857250"/>
        </a:xfrm>
        <a:prstGeom prst="rect">
          <a:avLst/>
        </a:prstGeom>
        <a:noFill/>
        <a:ln w="9525">
          <a:noFill/>
          <a:miter lim="800000"/>
          <a:headEnd/>
          <a:tailEnd/>
        </a:ln>
      </xdr:spPr>
    </xdr:pic>
    <xdr:clientData fLocksWithSheet="0"/>
  </xdr:twoCellAnchor>
</xdr:wsDr>
</file>

<file path=xl/drawings/drawing5.xml><?xml version="1.0" encoding="utf-8"?>
<xdr:wsDr xmlns:xdr="http://schemas.openxmlformats.org/drawingml/2006/spreadsheetDrawing" xmlns:a="http://schemas.openxmlformats.org/drawingml/2006/main">
  <xdr:twoCellAnchor>
    <xdr:from>
      <xdr:col>0</xdr:col>
      <xdr:colOff>47625</xdr:colOff>
      <xdr:row>0</xdr:row>
      <xdr:rowOff>28575</xdr:rowOff>
    </xdr:from>
    <xdr:to>
      <xdr:col>2</xdr:col>
      <xdr:colOff>0</xdr:colOff>
      <xdr:row>4</xdr:row>
      <xdr:rowOff>104775</xdr:rowOff>
    </xdr:to>
    <xdr:pic>
      <xdr:nvPicPr>
        <xdr:cNvPr id="2" name="Picture 1" descr="G:\Common\LOGOS\Agility.tif">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2247900" cy="857250"/>
        </a:xfrm>
        <a:prstGeom prst="rect">
          <a:avLst/>
        </a:prstGeom>
        <a:noFill/>
        <a:ln w="9525">
          <a:noFill/>
          <a:miter lim="800000"/>
          <a:headEnd/>
          <a:tailEnd/>
        </a:ln>
      </xdr:spPr>
    </xdr:pic>
    <xdr:clientData fLocksWithSheet="0"/>
  </xdr:twoCellAnchor>
</xdr:wsDr>
</file>

<file path=xl/drawings/drawing6.xml><?xml version="1.0" encoding="utf-8"?>
<xdr:wsDr xmlns:xdr="http://schemas.openxmlformats.org/drawingml/2006/spreadsheetDrawing" xmlns:a="http://schemas.openxmlformats.org/drawingml/2006/main">
  <xdr:twoCellAnchor>
    <xdr:from>
      <xdr:col>0</xdr:col>
      <xdr:colOff>47625</xdr:colOff>
      <xdr:row>0</xdr:row>
      <xdr:rowOff>28575</xdr:rowOff>
    </xdr:from>
    <xdr:to>
      <xdr:col>4</xdr:col>
      <xdr:colOff>0</xdr:colOff>
      <xdr:row>4</xdr:row>
      <xdr:rowOff>104775</xdr:rowOff>
    </xdr:to>
    <xdr:pic>
      <xdr:nvPicPr>
        <xdr:cNvPr id="2" name="Picture 1" descr="G:\Common\LOGOS\Agility.tif">
          <a:extLst>
            <a:ext uri="{FF2B5EF4-FFF2-40B4-BE49-F238E27FC236}">
              <a16:creationId xmlns:a16="http://schemas.microsoft.com/office/drawing/2014/main" id="{00000000-0008-0000-1B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5276850" cy="857250"/>
        </a:xfrm>
        <a:prstGeom prst="rect">
          <a:avLst/>
        </a:prstGeom>
        <a:noFill/>
        <a:ln w="9525">
          <a:noFill/>
          <a:miter lim="800000"/>
          <a:headEnd/>
          <a:tailEnd/>
        </a:ln>
      </xdr:spPr>
    </xdr:pic>
    <xdr:clientData fLocksWithSheet="0"/>
  </xdr:twoCellAnchor>
</xdr:wsDr>
</file>

<file path=xl/drawings/drawing7.xml><?xml version="1.0" encoding="utf-8"?>
<xdr:wsDr xmlns:xdr="http://schemas.openxmlformats.org/drawingml/2006/spreadsheetDrawing" xmlns:a="http://schemas.openxmlformats.org/drawingml/2006/main">
  <xdr:twoCellAnchor>
    <xdr:from>
      <xdr:col>0</xdr:col>
      <xdr:colOff>47625</xdr:colOff>
      <xdr:row>0</xdr:row>
      <xdr:rowOff>28575</xdr:rowOff>
    </xdr:from>
    <xdr:to>
      <xdr:col>2</xdr:col>
      <xdr:colOff>0</xdr:colOff>
      <xdr:row>4</xdr:row>
      <xdr:rowOff>104775</xdr:rowOff>
    </xdr:to>
    <xdr:pic>
      <xdr:nvPicPr>
        <xdr:cNvPr id="2" name="Picture 1" descr="G:\Common\LOGOS\Agility.tif">
          <a:extLst>
            <a:ext uri="{FF2B5EF4-FFF2-40B4-BE49-F238E27FC236}">
              <a16:creationId xmlns:a16="http://schemas.microsoft.com/office/drawing/2014/main" id="{00000000-0008-0000-1C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2247900" cy="857250"/>
        </a:xfrm>
        <a:prstGeom prst="rect">
          <a:avLst/>
        </a:prstGeom>
        <a:noFill/>
        <a:ln w="9525">
          <a:noFill/>
          <a:miter lim="800000"/>
          <a:headEnd/>
          <a:tailEnd/>
        </a:ln>
      </xdr:spPr>
    </xdr:pic>
    <xdr:clientData fLocksWithSheet="0"/>
  </xdr:twoCellAnchor>
</xdr:wsDr>
</file>

<file path=xl/drawings/drawing8.xml><?xml version="1.0" encoding="utf-8"?>
<xdr:wsDr xmlns:xdr="http://schemas.openxmlformats.org/drawingml/2006/spreadsheetDrawing" xmlns:a="http://schemas.openxmlformats.org/drawingml/2006/main">
  <xdr:twoCellAnchor>
    <xdr:from>
      <xdr:col>0</xdr:col>
      <xdr:colOff>47625</xdr:colOff>
      <xdr:row>0</xdr:row>
      <xdr:rowOff>28575</xdr:rowOff>
    </xdr:from>
    <xdr:to>
      <xdr:col>4</xdr:col>
      <xdr:colOff>0</xdr:colOff>
      <xdr:row>4</xdr:row>
      <xdr:rowOff>104775</xdr:rowOff>
    </xdr:to>
    <xdr:pic>
      <xdr:nvPicPr>
        <xdr:cNvPr id="2" name="Picture 1" descr="G:\Common\LOGOS\Agility.tif">
          <a:extLst>
            <a:ext uri="{FF2B5EF4-FFF2-40B4-BE49-F238E27FC236}">
              <a16:creationId xmlns:a16="http://schemas.microsoft.com/office/drawing/2014/main" id="{00000000-0008-0000-1D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5276850" cy="857250"/>
        </a:xfrm>
        <a:prstGeom prst="rect">
          <a:avLst/>
        </a:prstGeom>
        <a:noFill/>
        <a:ln w="9525">
          <a:noFill/>
          <a:miter lim="800000"/>
          <a:headEnd/>
          <a:tailEnd/>
        </a:ln>
      </xdr:spPr>
    </xdr:pic>
    <xdr:clientData fLocksWithSheet="0"/>
  </xdr:twoCellAnchor>
</xdr:wsDr>
</file>

<file path=xl/drawings/drawing9.xml><?xml version="1.0" encoding="utf-8"?>
<xdr:wsDr xmlns:xdr="http://schemas.openxmlformats.org/drawingml/2006/spreadsheetDrawing" xmlns:a="http://schemas.openxmlformats.org/drawingml/2006/main">
  <xdr:twoCellAnchor>
    <xdr:from>
      <xdr:col>0</xdr:col>
      <xdr:colOff>47625</xdr:colOff>
      <xdr:row>0</xdr:row>
      <xdr:rowOff>28575</xdr:rowOff>
    </xdr:from>
    <xdr:to>
      <xdr:col>2</xdr:col>
      <xdr:colOff>0</xdr:colOff>
      <xdr:row>4</xdr:row>
      <xdr:rowOff>104775</xdr:rowOff>
    </xdr:to>
    <xdr:pic>
      <xdr:nvPicPr>
        <xdr:cNvPr id="2" name="Picture 1" descr="G:\Common\LOGOS\Agility.tif">
          <a:extLst>
            <a:ext uri="{FF2B5EF4-FFF2-40B4-BE49-F238E27FC236}">
              <a16:creationId xmlns:a16="http://schemas.microsoft.com/office/drawing/2014/main" id="{00000000-0008-0000-1E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2247900" cy="857250"/>
        </a:xfrm>
        <a:prstGeom prst="rect">
          <a:avLst/>
        </a:prstGeom>
        <a:noFill/>
        <a:ln w="9525">
          <a:noFill/>
          <a:miter lim="800000"/>
          <a:headEnd/>
          <a:tailEnd/>
        </a:ln>
      </xdr:spPr>
    </xdr:pic>
    <xdr:clientData fLocksWithSheet="0"/>
  </xdr:twoCellAnchor>
</xdr:wsDr>
</file>

<file path=xl/drawings/drawing10.xml><?xml version="1.0" encoding="utf-8"?>
<xdr:wsDr xmlns:xdr="http://schemas.openxmlformats.org/drawingml/2006/spreadsheetDrawing" xmlns:a="http://schemas.openxmlformats.org/drawingml/2006/main">
  <xdr:twoCellAnchor>
    <xdr:from>
      <xdr:col>0</xdr:col>
      <xdr:colOff>47625</xdr:colOff>
      <xdr:row>0</xdr:row>
      <xdr:rowOff>28575</xdr:rowOff>
    </xdr:from>
    <xdr:to>
      <xdr:col>4</xdr:col>
      <xdr:colOff>0</xdr:colOff>
      <xdr:row>4</xdr:row>
      <xdr:rowOff>104775</xdr:rowOff>
    </xdr:to>
    <xdr:pic>
      <xdr:nvPicPr>
        <xdr:cNvPr id="2" name="Picture 1" descr="G:\Common\LOGOS\Agility.tif">
          <a:extLst>
            <a:ext uri="{FF2B5EF4-FFF2-40B4-BE49-F238E27FC236}">
              <a16:creationId xmlns:a16="http://schemas.microsoft.com/office/drawing/2014/main" id="{00000000-0008-0000-1F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5276850" cy="857250"/>
        </a:xfrm>
        <a:prstGeom prst="rect">
          <a:avLst/>
        </a:prstGeom>
        <a:noFill/>
        <a:ln w="9525">
          <a:noFill/>
          <a:miter lim="800000"/>
          <a:headEnd/>
          <a:tailEnd/>
        </a:ln>
      </xdr:spPr>
    </xdr:pic>
    <xdr:clientData fLocksWithSheet="0"/>
  </xdr:twoCellAnchor>
</xdr:wsDr>
</file>

<file path=xl/drawings/drawing11.xml><?xml version="1.0" encoding="utf-8"?>
<xdr:wsDr xmlns:xdr="http://schemas.openxmlformats.org/drawingml/2006/spreadsheetDrawing" xmlns:a="http://schemas.openxmlformats.org/drawingml/2006/main">
  <xdr:twoCellAnchor>
    <xdr:from>
      <xdr:col>0</xdr:col>
      <xdr:colOff>47625</xdr:colOff>
      <xdr:row>0</xdr:row>
      <xdr:rowOff>28575</xdr:rowOff>
    </xdr:from>
    <xdr:to>
      <xdr:col>2</xdr:col>
      <xdr:colOff>0</xdr:colOff>
      <xdr:row>4</xdr:row>
      <xdr:rowOff>104775</xdr:rowOff>
    </xdr:to>
    <xdr:pic>
      <xdr:nvPicPr>
        <xdr:cNvPr id="2" name="Picture 1" descr="G:\Common\LOGOS\Agility.tif">
          <a:extLst>
            <a:ext uri="{FF2B5EF4-FFF2-40B4-BE49-F238E27FC236}">
              <a16:creationId xmlns:a16="http://schemas.microsoft.com/office/drawing/2014/main" id="{00000000-0008-0000-20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2247900" cy="857250"/>
        </a:xfrm>
        <a:prstGeom prst="rect">
          <a:avLst/>
        </a:prstGeom>
        <a:noFill/>
        <a:ln w="9525">
          <a:noFill/>
          <a:miter lim="800000"/>
          <a:headEnd/>
          <a:tailEnd/>
        </a:ln>
      </xdr:spPr>
    </xdr:pic>
    <xdr:clientData fLocksWithSheet="0"/>
  </xdr:twoCellAnchor>
</xdr:wsDr>
</file>

<file path=xl/drawings/drawing12.xml><?xml version="1.0" encoding="utf-8"?>
<xdr:wsDr xmlns:xdr="http://schemas.openxmlformats.org/drawingml/2006/spreadsheetDrawing" xmlns:a="http://schemas.openxmlformats.org/drawingml/2006/main">
  <xdr:twoCellAnchor>
    <xdr:from>
      <xdr:col>0</xdr:col>
      <xdr:colOff>47625</xdr:colOff>
      <xdr:row>0</xdr:row>
      <xdr:rowOff>28575</xdr:rowOff>
    </xdr:from>
    <xdr:to>
      <xdr:col>4</xdr:col>
      <xdr:colOff>0</xdr:colOff>
      <xdr:row>4</xdr:row>
      <xdr:rowOff>104775</xdr:rowOff>
    </xdr:to>
    <xdr:pic>
      <xdr:nvPicPr>
        <xdr:cNvPr id="2" name="Picture 1" descr="G:\Common\LOGOS\Agility.tif">
          <a:extLst>
            <a:ext uri="{FF2B5EF4-FFF2-40B4-BE49-F238E27FC236}">
              <a16:creationId xmlns:a16="http://schemas.microsoft.com/office/drawing/2014/main" id="{00000000-0008-0000-21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5276850" cy="857250"/>
        </a:xfrm>
        <a:prstGeom prst="rect">
          <a:avLst/>
        </a:prstGeom>
        <a:noFill/>
        <a:ln w="9525">
          <a:noFill/>
          <a:miter lim="800000"/>
          <a:headEnd/>
          <a:tailEnd/>
        </a:ln>
      </xdr:spPr>
    </xdr:pic>
    <xdr:clientData fLocksWithSheet="0"/>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28575</xdr:rowOff>
    </xdr:from>
    <xdr:to>
      <xdr:col>2</xdr:col>
      <xdr:colOff>0</xdr:colOff>
      <xdr:row>4</xdr:row>
      <xdr:rowOff>104775</xdr:rowOff>
    </xdr:to>
    <xdr:pic>
      <xdr:nvPicPr>
        <xdr:cNvPr id="2" name="Picture 1" descr="G:\Common\LOGOS\Agility.tif">
          <a:extLst>
            <a:ext uri="{FF2B5EF4-FFF2-40B4-BE49-F238E27FC236}">
              <a16:creationId xmlns:a16="http://schemas.microsoft.com/office/drawing/2014/main" id="{00000000-0008-0000-2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2247900" cy="857250"/>
        </a:xfrm>
        <a:prstGeom prst="rect">
          <a:avLst/>
        </a:prstGeom>
        <a:noFill/>
        <a:ln w="9525">
          <a:noFill/>
          <a:miter lim="800000"/>
          <a:headEnd/>
          <a:tailEnd/>
        </a:ln>
      </xdr:spPr>
    </xdr:pic>
    <xdr:clientData fLocksWithSheet="0"/>
  </xdr:twoCellAnchor>
</xdr:wsDr>
</file>

<file path=xl/drawings/drawing14.xml><?xml version="1.0" encoding="utf-8"?>
<xdr:wsDr xmlns:xdr="http://schemas.openxmlformats.org/drawingml/2006/spreadsheetDrawing" xmlns:a="http://schemas.openxmlformats.org/drawingml/2006/main">
  <xdr:twoCellAnchor>
    <xdr:from>
      <xdr:col>0</xdr:col>
      <xdr:colOff>47625</xdr:colOff>
      <xdr:row>0</xdr:row>
      <xdr:rowOff>28575</xdr:rowOff>
    </xdr:from>
    <xdr:to>
      <xdr:col>4</xdr:col>
      <xdr:colOff>0</xdr:colOff>
      <xdr:row>4</xdr:row>
      <xdr:rowOff>104775</xdr:rowOff>
    </xdr:to>
    <xdr:pic>
      <xdr:nvPicPr>
        <xdr:cNvPr id="2" name="Picture 1" descr="G:\Common\LOGOS\Agility.tif">
          <a:extLst>
            <a:ext uri="{FF2B5EF4-FFF2-40B4-BE49-F238E27FC236}">
              <a16:creationId xmlns:a16="http://schemas.microsoft.com/office/drawing/2014/main" id="{00000000-0008-0000-23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5276850" cy="857250"/>
        </a:xfrm>
        <a:prstGeom prst="rect">
          <a:avLst/>
        </a:prstGeom>
        <a:noFill/>
        <a:ln w="9525">
          <a:noFill/>
          <a:miter lim="800000"/>
          <a:headEnd/>
          <a:tailEnd/>
        </a:ln>
      </xdr:spPr>
    </xdr:pic>
    <xdr:clientData fLocksWithSheet="0"/>
  </xdr:twoCellAnchor>
</xdr:wsDr>
</file>

<file path=xl/drawings/drawing15.xml><?xml version="1.0" encoding="utf-8"?>
<xdr:wsDr xmlns:xdr="http://schemas.openxmlformats.org/drawingml/2006/spreadsheetDrawing" xmlns:a="http://schemas.openxmlformats.org/drawingml/2006/main">
  <xdr:twoCellAnchor>
    <xdr:from>
      <xdr:col>0</xdr:col>
      <xdr:colOff>47625</xdr:colOff>
      <xdr:row>0</xdr:row>
      <xdr:rowOff>28575</xdr:rowOff>
    </xdr:from>
    <xdr:to>
      <xdr:col>2</xdr:col>
      <xdr:colOff>0</xdr:colOff>
      <xdr:row>4</xdr:row>
      <xdr:rowOff>104775</xdr:rowOff>
    </xdr:to>
    <xdr:pic>
      <xdr:nvPicPr>
        <xdr:cNvPr id="2" name="Picture 1" descr="G:\Common\LOGOS\Agility.tif">
          <a:extLst>
            <a:ext uri="{FF2B5EF4-FFF2-40B4-BE49-F238E27FC236}">
              <a16:creationId xmlns:a16="http://schemas.microsoft.com/office/drawing/2014/main" id="{00000000-0008-0000-24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2247900" cy="857250"/>
        </a:xfrm>
        <a:prstGeom prst="rect">
          <a:avLst/>
        </a:prstGeom>
        <a:noFill/>
        <a:ln w="9525">
          <a:noFill/>
          <a:miter lim="800000"/>
          <a:headEnd/>
          <a:tailEnd/>
        </a:ln>
      </xdr:spPr>
    </xdr:pic>
    <xdr:clientData fLocksWithSheet="0"/>
  </xdr:twoCellAnchor>
</xdr:wsDr>
</file>

<file path=xl/drawings/drawing16.xml><?xml version="1.0" encoding="utf-8"?>
<xdr:wsDr xmlns:xdr="http://schemas.openxmlformats.org/drawingml/2006/spreadsheetDrawing" xmlns:a="http://schemas.openxmlformats.org/drawingml/2006/main">
  <xdr:twoCellAnchor>
    <xdr:from>
      <xdr:col>0</xdr:col>
      <xdr:colOff>47625</xdr:colOff>
      <xdr:row>0</xdr:row>
      <xdr:rowOff>28575</xdr:rowOff>
    </xdr:from>
    <xdr:to>
      <xdr:col>4</xdr:col>
      <xdr:colOff>0</xdr:colOff>
      <xdr:row>4</xdr:row>
      <xdr:rowOff>104775</xdr:rowOff>
    </xdr:to>
    <xdr:pic>
      <xdr:nvPicPr>
        <xdr:cNvPr id="2" name="Picture 1" descr="G:\Common\LOGOS\Agility.tif">
          <a:extLst>
            <a:ext uri="{FF2B5EF4-FFF2-40B4-BE49-F238E27FC236}">
              <a16:creationId xmlns:a16="http://schemas.microsoft.com/office/drawing/2014/main" id="{00000000-0008-0000-25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5276850" cy="857250"/>
        </a:xfrm>
        <a:prstGeom prst="rect">
          <a:avLst/>
        </a:prstGeom>
        <a:noFill/>
        <a:ln w="9525">
          <a:noFill/>
          <a:miter lim="800000"/>
          <a:headEnd/>
          <a:tailEnd/>
        </a:ln>
      </xdr:spPr>
    </xdr:pic>
    <xdr:clientData fLocksWithSheet="0"/>
  </xdr:twoCellAnchor>
</xdr:wsDr>
</file>

<file path=xl/drawings/drawing17.xml><?xml version="1.0" encoding="utf-8"?>
<xdr:wsDr xmlns:xdr="http://schemas.openxmlformats.org/drawingml/2006/spreadsheetDrawing" xmlns:a="http://schemas.openxmlformats.org/drawingml/2006/main">
  <xdr:twoCellAnchor>
    <xdr:from>
      <xdr:col>0</xdr:col>
      <xdr:colOff>47625</xdr:colOff>
      <xdr:row>0</xdr:row>
      <xdr:rowOff>28575</xdr:rowOff>
    </xdr:from>
    <xdr:to>
      <xdr:col>2</xdr:col>
      <xdr:colOff>0</xdr:colOff>
      <xdr:row>4</xdr:row>
      <xdr:rowOff>104775</xdr:rowOff>
    </xdr:to>
    <xdr:pic>
      <xdr:nvPicPr>
        <xdr:cNvPr id="2" name="Picture 1" descr="G:\Common\LOGOS\Agility.tif">
          <a:extLst>
            <a:ext uri="{FF2B5EF4-FFF2-40B4-BE49-F238E27FC236}">
              <a16:creationId xmlns:a16="http://schemas.microsoft.com/office/drawing/2014/main" id="{00000000-0008-0000-26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2247900" cy="857250"/>
        </a:xfrm>
        <a:prstGeom prst="rect">
          <a:avLst/>
        </a:prstGeom>
        <a:noFill/>
        <a:ln w="9525">
          <a:noFill/>
          <a:miter lim="800000"/>
          <a:headEnd/>
          <a:tailEnd/>
        </a:ln>
      </xdr:spPr>
    </xdr:pic>
    <xdr:clientData fLocksWithSheet="0"/>
  </xdr:twoCellAnchor>
</xdr:wsDr>
</file>

<file path=xl/drawings/drawing18.xml><?xml version="1.0" encoding="utf-8"?>
<xdr:wsDr xmlns:xdr="http://schemas.openxmlformats.org/drawingml/2006/spreadsheetDrawing" xmlns:a="http://schemas.openxmlformats.org/drawingml/2006/main">
  <xdr:twoCellAnchor>
    <xdr:from>
      <xdr:col>0</xdr:col>
      <xdr:colOff>47625</xdr:colOff>
      <xdr:row>0</xdr:row>
      <xdr:rowOff>28575</xdr:rowOff>
    </xdr:from>
    <xdr:to>
      <xdr:col>4</xdr:col>
      <xdr:colOff>0</xdr:colOff>
      <xdr:row>4</xdr:row>
      <xdr:rowOff>104775</xdr:rowOff>
    </xdr:to>
    <xdr:pic>
      <xdr:nvPicPr>
        <xdr:cNvPr id="2" name="Picture 1" descr="G:\Common\LOGOS\Agility.tif">
          <a:extLst>
            <a:ext uri="{FF2B5EF4-FFF2-40B4-BE49-F238E27FC236}">
              <a16:creationId xmlns:a16="http://schemas.microsoft.com/office/drawing/2014/main" id="{00000000-0008-0000-27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5276850" cy="857250"/>
        </a:xfrm>
        <a:prstGeom prst="rect">
          <a:avLst/>
        </a:prstGeom>
        <a:noFill/>
        <a:ln w="9525">
          <a:noFill/>
          <a:miter lim="800000"/>
          <a:headEnd/>
          <a:tailEnd/>
        </a:ln>
      </xdr:spPr>
    </xdr:pic>
    <xdr:clientData fLocksWithSheet="0"/>
  </xdr:twoCellAnchor>
</xdr:wsDr>
</file>

<file path=xl/drawings/drawing19.xml><?xml version="1.0" encoding="utf-8"?>
<xdr:wsDr xmlns:xdr="http://schemas.openxmlformats.org/drawingml/2006/spreadsheetDrawing" xmlns:a="http://schemas.openxmlformats.org/drawingml/2006/main">
  <xdr:twoCellAnchor>
    <xdr:from>
      <xdr:col>0</xdr:col>
      <xdr:colOff>47625</xdr:colOff>
      <xdr:row>0</xdr:row>
      <xdr:rowOff>28575</xdr:rowOff>
    </xdr:from>
    <xdr:to>
      <xdr:col>2</xdr:col>
      <xdr:colOff>0</xdr:colOff>
      <xdr:row>4</xdr:row>
      <xdr:rowOff>104775</xdr:rowOff>
    </xdr:to>
    <xdr:pic>
      <xdr:nvPicPr>
        <xdr:cNvPr id="2" name="Picture 1" descr="G:\Common\LOGOS\Agility.tif">
          <a:extLst>
            <a:ext uri="{FF2B5EF4-FFF2-40B4-BE49-F238E27FC236}">
              <a16:creationId xmlns:a16="http://schemas.microsoft.com/office/drawing/2014/main" id="{00000000-0008-0000-28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2247900" cy="857250"/>
        </a:xfrm>
        <a:prstGeom prst="rect">
          <a:avLst/>
        </a:prstGeom>
        <a:noFill/>
        <a:ln w="9525">
          <a:noFill/>
          <a:miter lim="800000"/>
          <a:headEnd/>
          <a:tailEnd/>
        </a:ln>
      </xdr:spPr>
    </xdr:pic>
    <xdr:clientData fLocksWithSheet="0"/>
  </xdr:twoCellAnchor>
</xdr:wsDr>
</file>

<file path=xl/drawings/drawing20.xml><?xml version="1.0" encoding="utf-8"?>
<xdr:wsDr xmlns:xdr="http://schemas.openxmlformats.org/drawingml/2006/spreadsheetDrawing" xmlns:a="http://schemas.openxmlformats.org/drawingml/2006/main">
  <xdr:twoCellAnchor>
    <xdr:from>
      <xdr:col>0</xdr:col>
      <xdr:colOff>47625</xdr:colOff>
      <xdr:row>0</xdr:row>
      <xdr:rowOff>28575</xdr:rowOff>
    </xdr:from>
    <xdr:to>
      <xdr:col>4</xdr:col>
      <xdr:colOff>0</xdr:colOff>
      <xdr:row>4</xdr:row>
      <xdr:rowOff>104775</xdr:rowOff>
    </xdr:to>
    <xdr:pic>
      <xdr:nvPicPr>
        <xdr:cNvPr id="2" name="Picture 1" descr="G:\Common\LOGOS\Agility.tif">
          <a:extLst>
            <a:ext uri="{FF2B5EF4-FFF2-40B4-BE49-F238E27FC236}">
              <a16:creationId xmlns:a16="http://schemas.microsoft.com/office/drawing/2014/main" id="{00000000-0008-0000-29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5276850" cy="857250"/>
        </a:xfrm>
        <a:prstGeom prst="rect">
          <a:avLst/>
        </a:prstGeom>
        <a:noFill/>
        <a:ln w="9525">
          <a:noFill/>
          <a:miter lim="800000"/>
          <a:headEnd/>
          <a:tailEnd/>
        </a:ln>
      </xdr:spPr>
    </xdr:pic>
    <xdr:clientData fLocksWithSheet="0"/>
  </xdr:twoCellAnchor>
</xdr:wsDr>
</file>

<file path=xl/drawings/drawing21.xml><?xml version="1.0" encoding="utf-8"?>
<xdr:wsDr xmlns:xdr="http://schemas.openxmlformats.org/drawingml/2006/spreadsheetDrawing" xmlns:a="http://schemas.openxmlformats.org/drawingml/2006/main">
  <xdr:twoCellAnchor>
    <xdr:from>
      <xdr:col>0</xdr:col>
      <xdr:colOff>47625</xdr:colOff>
      <xdr:row>0</xdr:row>
      <xdr:rowOff>28575</xdr:rowOff>
    </xdr:from>
    <xdr:to>
      <xdr:col>2</xdr:col>
      <xdr:colOff>0</xdr:colOff>
      <xdr:row>4</xdr:row>
      <xdr:rowOff>104775</xdr:rowOff>
    </xdr:to>
    <xdr:pic>
      <xdr:nvPicPr>
        <xdr:cNvPr id="2" name="Picture 1" descr="G:\Common\LOGOS\Agility.tif">
          <a:extLst>
            <a:ext uri="{FF2B5EF4-FFF2-40B4-BE49-F238E27FC236}">
              <a16:creationId xmlns:a16="http://schemas.microsoft.com/office/drawing/2014/main" id="{00000000-0008-0000-2A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2247900" cy="857250"/>
        </a:xfrm>
        <a:prstGeom prst="rect">
          <a:avLst/>
        </a:prstGeom>
        <a:noFill/>
        <a:ln w="9525">
          <a:noFill/>
          <a:miter lim="800000"/>
          <a:headEnd/>
          <a:tailEnd/>
        </a:ln>
      </xdr:spPr>
    </xdr:pic>
    <xdr:clientData fLocksWithSheet="0"/>
  </xdr:twoCellAnchor>
</xdr:wsDr>
</file>

<file path=xl/drawings/drawing22.xml><?xml version="1.0" encoding="utf-8"?>
<xdr:wsDr xmlns:xdr="http://schemas.openxmlformats.org/drawingml/2006/spreadsheetDrawing" xmlns:a="http://schemas.openxmlformats.org/drawingml/2006/main">
  <xdr:twoCellAnchor>
    <xdr:from>
      <xdr:col>0</xdr:col>
      <xdr:colOff>47625</xdr:colOff>
      <xdr:row>0</xdr:row>
      <xdr:rowOff>28575</xdr:rowOff>
    </xdr:from>
    <xdr:to>
      <xdr:col>4</xdr:col>
      <xdr:colOff>0</xdr:colOff>
      <xdr:row>4</xdr:row>
      <xdr:rowOff>104775</xdr:rowOff>
    </xdr:to>
    <xdr:pic>
      <xdr:nvPicPr>
        <xdr:cNvPr id="2" name="Picture 1" descr="G:\Common\LOGOS\Agility.tif">
          <a:extLst>
            <a:ext uri="{FF2B5EF4-FFF2-40B4-BE49-F238E27FC236}">
              <a16:creationId xmlns:a16="http://schemas.microsoft.com/office/drawing/2014/main" id="{00000000-0008-0000-2B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5276850" cy="857250"/>
        </a:xfrm>
        <a:prstGeom prst="rect">
          <a:avLst/>
        </a:prstGeom>
        <a:noFill/>
        <a:ln w="9525">
          <a:noFill/>
          <a:miter lim="800000"/>
          <a:headEnd/>
          <a:tailEnd/>
        </a:ln>
      </xdr:spPr>
    </xdr:pic>
    <xdr:clientData fLocksWithSheet="0"/>
  </xdr:twoCellAnchor>
</xdr:wsDr>
</file>

<file path=xl/drawings/drawing23.xml><?xml version="1.0" encoding="utf-8"?>
<xdr:wsDr xmlns:xdr="http://schemas.openxmlformats.org/drawingml/2006/spreadsheetDrawing" xmlns:a="http://schemas.openxmlformats.org/drawingml/2006/main">
  <xdr:twoCellAnchor>
    <xdr:from>
      <xdr:col>0</xdr:col>
      <xdr:colOff>47625</xdr:colOff>
      <xdr:row>0</xdr:row>
      <xdr:rowOff>28575</xdr:rowOff>
    </xdr:from>
    <xdr:to>
      <xdr:col>2</xdr:col>
      <xdr:colOff>0</xdr:colOff>
      <xdr:row>4</xdr:row>
      <xdr:rowOff>104775</xdr:rowOff>
    </xdr:to>
    <xdr:pic>
      <xdr:nvPicPr>
        <xdr:cNvPr id="2" name="Picture 1" descr="G:\Common\LOGOS\Agility.t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2247900" cy="857250"/>
        </a:xfrm>
        <a:prstGeom prst="rect">
          <a:avLst/>
        </a:prstGeom>
        <a:noFill/>
        <a:ln w="9525">
          <a:noFill/>
          <a:miter lim="800000"/>
          <a:headEnd/>
          <a:tailEnd/>
        </a:ln>
      </xdr:spPr>
    </xdr:pic>
    <xdr:clientData fLocksWithSheet="0"/>
  </xdr:twoCellAnchor>
</xdr:wsDr>
</file>

<file path=xl/drawings/drawing24.xml><?xml version="1.0" encoding="utf-8"?>
<xdr:wsDr xmlns:xdr="http://schemas.openxmlformats.org/drawingml/2006/spreadsheetDrawing" xmlns:a="http://schemas.openxmlformats.org/drawingml/2006/main">
  <xdr:twoCellAnchor>
    <xdr:from>
      <xdr:col>0</xdr:col>
      <xdr:colOff>47625</xdr:colOff>
      <xdr:row>0</xdr:row>
      <xdr:rowOff>28575</xdr:rowOff>
    </xdr:from>
    <xdr:to>
      <xdr:col>4</xdr:col>
      <xdr:colOff>0</xdr:colOff>
      <xdr:row>4</xdr:row>
      <xdr:rowOff>104775</xdr:rowOff>
    </xdr:to>
    <xdr:pic>
      <xdr:nvPicPr>
        <xdr:cNvPr id="2" name="Picture 1" descr="G:\Common\LOGOS\Agility.tif">
          <a:extLst>
            <a:ext uri="{FF2B5EF4-FFF2-40B4-BE49-F238E27FC236}">
              <a16:creationId xmlns:a16="http://schemas.microsoft.com/office/drawing/2014/main" id="{00000000-0008-0000-2D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5276850" cy="857250"/>
        </a:xfrm>
        <a:prstGeom prst="rect">
          <a:avLst/>
        </a:prstGeom>
        <a:noFill/>
        <a:ln w="9525">
          <a:noFill/>
          <a:miter lim="800000"/>
          <a:headEnd/>
          <a:tailEnd/>
        </a:ln>
      </xdr:spPr>
    </xdr:pic>
    <xdr:clientData fLocksWithSheet="0"/>
  </xdr:twoCellAnchor>
</xdr:wsDr>
</file>

<file path=xl/drawings/drawing25.xml><?xml version="1.0" encoding="utf-8"?>
<xdr:wsDr xmlns:xdr="http://schemas.openxmlformats.org/drawingml/2006/spreadsheetDrawing" xmlns:a="http://schemas.openxmlformats.org/drawingml/2006/main">
  <xdr:twoCellAnchor>
    <xdr:from>
      <xdr:col>0</xdr:col>
      <xdr:colOff>47625</xdr:colOff>
      <xdr:row>0</xdr:row>
      <xdr:rowOff>28575</xdr:rowOff>
    </xdr:from>
    <xdr:to>
      <xdr:col>2</xdr:col>
      <xdr:colOff>0</xdr:colOff>
      <xdr:row>4</xdr:row>
      <xdr:rowOff>104775</xdr:rowOff>
    </xdr:to>
    <xdr:pic>
      <xdr:nvPicPr>
        <xdr:cNvPr id="2" name="Picture 1" descr="G:\Common\LOGOS\Agility.tif">
          <a:extLst>
            <a:ext uri="{FF2B5EF4-FFF2-40B4-BE49-F238E27FC236}">
              <a16:creationId xmlns:a16="http://schemas.microsoft.com/office/drawing/2014/main" id="{00000000-0008-0000-2E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2247900" cy="857250"/>
        </a:xfrm>
        <a:prstGeom prst="rect">
          <a:avLst/>
        </a:prstGeom>
        <a:noFill/>
        <a:ln w="9525">
          <a:noFill/>
          <a:miter lim="800000"/>
          <a:headEnd/>
          <a:tailEnd/>
        </a:ln>
      </xdr:spPr>
    </xdr:pic>
    <xdr:clientData fLocksWithSheet="0"/>
  </xdr:twoCellAnchor>
</xdr:wsDr>
</file>

<file path=xl/drawings/drawing26.xml><?xml version="1.0" encoding="utf-8"?>
<xdr:wsDr xmlns:xdr="http://schemas.openxmlformats.org/drawingml/2006/spreadsheetDrawing" xmlns:a="http://schemas.openxmlformats.org/drawingml/2006/main">
  <xdr:twoCellAnchor>
    <xdr:from>
      <xdr:col>0</xdr:col>
      <xdr:colOff>47625</xdr:colOff>
      <xdr:row>0</xdr:row>
      <xdr:rowOff>28575</xdr:rowOff>
    </xdr:from>
    <xdr:to>
      <xdr:col>4</xdr:col>
      <xdr:colOff>0</xdr:colOff>
      <xdr:row>4</xdr:row>
      <xdr:rowOff>104775</xdr:rowOff>
    </xdr:to>
    <xdr:pic>
      <xdr:nvPicPr>
        <xdr:cNvPr id="2" name="Picture 1" descr="G:\Common\LOGOS\Agility.tif">
          <a:extLst>
            <a:ext uri="{FF2B5EF4-FFF2-40B4-BE49-F238E27FC236}">
              <a16:creationId xmlns:a16="http://schemas.microsoft.com/office/drawing/2014/main" id="{00000000-0008-0000-2F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5276850" cy="857250"/>
        </a:xfrm>
        <a:prstGeom prst="rect">
          <a:avLst/>
        </a:prstGeom>
        <a:noFill/>
        <a:ln w="9525">
          <a:noFill/>
          <a:miter lim="800000"/>
          <a:headEnd/>
          <a:tailEnd/>
        </a:ln>
      </xdr:spPr>
    </xdr:pic>
    <xdr:clientData fLocksWithSheet="0"/>
  </xdr:twoCellAnchor>
</xdr:wsDr>
</file>

<file path=xl/drawings/drawing27.xml><?xml version="1.0" encoding="utf-8"?>
<xdr:wsDr xmlns:xdr="http://schemas.openxmlformats.org/drawingml/2006/spreadsheetDrawing" xmlns:a="http://schemas.openxmlformats.org/drawingml/2006/main">
  <xdr:twoCellAnchor>
    <xdr:from>
      <xdr:col>0</xdr:col>
      <xdr:colOff>47625</xdr:colOff>
      <xdr:row>0</xdr:row>
      <xdr:rowOff>28575</xdr:rowOff>
    </xdr:from>
    <xdr:to>
      <xdr:col>2</xdr:col>
      <xdr:colOff>0</xdr:colOff>
      <xdr:row>4</xdr:row>
      <xdr:rowOff>104775</xdr:rowOff>
    </xdr:to>
    <xdr:pic>
      <xdr:nvPicPr>
        <xdr:cNvPr id="2" name="Picture 1" descr="G:\Common\LOGOS\Agility.tif">
          <a:extLst>
            <a:ext uri="{FF2B5EF4-FFF2-40B4-BE49-F238E27FC236}">
              <a16:creationId xmlns:a16="http://schemas.microsoft.com/office/drawing/2014/main" id="{00000000-0008-0000-30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2247900" cy="857250"/>
        </a:xfrm>
        <a:prstGeom prst="rect">
          <a:avLst/>
        </a:prstGeom>
        <a:noFill/>
        <a:ln w="9525">
          <a:noFill/>
          <a:miter lim="800000"/>
          <a:headEnd/>
          <a:tailEnd/>
        </a:ln>
      </xdr:spPr>
    </xdr:pic>
    <xdr:clientData fLocksWithSheet="0"/>
  </xdr:twoCellAnchor>
</xdr:wsDr>
</file>

<file path=xl/drawings/drawing28.xml><?xml version="1.0" encoding="utf-8"?>
<xdr:wsDr xmlns:xdr="http://schemas.openxmlformats.org/drawingml/2006/spreadsheetDrawing" xmlns:a="http://schemas.openxmlformats.org/drawingml/2006/main">
  <xdr:twoCellAnchor>
    <xdr:from>
      <xdr:col>0</xdr:col>
      <xdr:colOff>47625</xdr:colOff>
      <xdr:row>0</xdr:row>
      <xdr:rowOff>28575</xdr:rowOff>
    </xdr:from>
    <xdr:to>
      <xdr:col>4</xdr:col>
      <xdr:colOff>0</xdr:colOff>
      <xdr:row>4</xdr:row>
      <xdr:rowOff>104775</xdr:rowOff>
    </xdr:to>
    <xdr:pic>
      <xdr:nvPicPr>
        <xdr:cNvPr id="2" name="Picture 1" descr="G:\Common\LOGOS\Agility.tif">
          <a:extLst>
            <a:ext uri="{FF2B5EF4-FFF2-40B4-BE49-F238E27FC236}">
              <a16:creationId xmlns:a16="http://schemas.microsoft.com/office/drawing/2014/main" id="{00000000-0008-0000-31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5276850" cy="857250"/>
        </a:xfrm>
        <a:prstGeom prst="rect">
          <a:avLst/>
        </a:prstGeom>
        <a:noFill/>
        <a:ln w="9525">
          <a:noFill/>
          <a:miter lim="800000"/>
          <a:headEnd/>
          <a:tailEnd/>
        </a:ln>
      </xdr:spPr>
    </xdr:pic>
    <xdr:clientData fLocksWithSheet="0"/>
  </xdr:twoCellAnchor>
</xdr:wsDr>
</file>

<file path=xl/drawings/drawing29.xml><?xml version="1.0" encoding="utf-8"?>
<xdr:wsDr xmlns:xdr="http://schemas.openxmlformats.org/drawingml/2006/spreadsheetDrawing" xmlns:a="http://schemas.openxmlformats.org/drawingml/2006/main">
  <xdr:twoCellAnchor>
    <xdr:from>
      <xdr:col>0</xdr:col>
      <xdr:colOff>47625</xdr:colOff>
      <xdr:row>0</xdr:row>
      <xdr:rowOff>28575</xdr:rowOff>
    </xdr:from>
    <xdr:to>
      <xdr:col>2</xdr:col>
      <xdr:colOff>0</xdr:colOff>
      <xdr:row>4</xdr:row>
      <xdr:rowOff>104775</xdr:rowOff>
    </xdr:to>
    <xdr:pic>
      <xdr:nvPicPr>
        <xdr:cNvPr id="2" name="Picture 1" descr="G:\Common\LOGOS\Agility.tif">
          <a:extLst>
            <a:ext uri="{FF2B5EF4-FFF2-40B4-BE49-F238E27FC236}">
              <a16:creationId xmlns:a16="http://schemas.microsoft.com/office/drawing/2014/main" id="{00000000-0008-0000-3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2247900" cy="857250"/>
        </a:xfrm>
        <a:prstGeom prst="rect">
          <a:avLst/>
        </a:prstGeom>
        <a:noFill/>
        <a:ln w="9525">
          <a:noFill/>
          <a:miter lim="800000"/>
          <a:headEnd/>
          <a:tailEnd/>
        </a:ln>
      </xdr:spPr>
    </xdr:pic>
    <xdr:clientData fLocksWithSheet="0"/>
  </xdr:twoCellAnchor>
</xdr:wsDr>
</file>

<file path=xl/drawings/drawing30.xml><?xml version="1.0" encoding="utf-8"?>
<xdr:wsDr xmlns:xdr="http://schemas.openxmlformats.org/drawingml/2006/spreadsheetDrawing" xmlns:a="http://schemas.openxmlformats.org/drawingml/2006/main">
  <xdr:twoCellAnchor>
    <xdr:from>
      <xdr:col>0</xdr:col>
      <xdr:colOff>47625</xdr:colOff>
      <xdr:row>0</xdr:row>
      <xdr:rowOff>28575</xdr:rowOff>
    </xdr:from>
    <xdr:to>
      <xdr:col>4</xdr:col>
      <xdr:colOff>0</xdr:colOff>
      <xdr:row>4</xdr:row>
      <xdr:rowOff>104775</xdr:rowOff>
    </xdr:to>
    <xdr:pic>
      <xdr:nvPicPr>
        <xdr:cNvPr id="2" name="Picture 1" descr="G:\Common\LOGOS\Agility.tif">
          <a:extLst>
            <a:ext uri="{FF2B5EF4-FFF2-40B4-BE49-F238E27FC236}">
              <a16:creationId xmlns:a16="http://schemas.microsoft.com/office/drawing/2014/main" id="{00000000-0008-0000-33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5276850" cy="857250"/>
        </a:xfrm>
        <a:prstGeom prst="rect">
          <a:avLst/>
        </a:prstGeom>
        <a:noFill/>
        <a:ln w="9525">
          <a:noFill/>
          <a:miter lim="800000"/>
          <a:headEnd/>
          <a:tailEnd/>
        </a:ln>
      </xdr:spPr>
    </xdr:pic>
    <xdr:clientData fLocksWithSheet="0"/>
  </xdr:twoCellAnchor>
</xdr:wsDr>
</file>

<file path=xl/drawings/drawing31.xml><?xml version="1.0" encoding="utf-8"?>
<xdr:wsDr xmlns:xdr="http://schemas.openxmlformats.org/drawingml/2006/spreadsheetDrawing" xmlns:a="http://schemas.openxmlformats.org/drawingml/2006/main">
  <xdr:twoCellAnchor>
    <xdr:from>
      <xdr:col>0</xdr:col>
      <xdr:colOff>47625</xdr:colOff>
      <xdr:row>0</xdr:row>
      <xdr:rowOff>28575</xdr:rowOff>
    </xdr:from>
    <xdr:to>
      <xdr:col>2</xdr:col>
      <xdr:colOff>0</xdr:colOff>
      <xdr:row>4</xdr:row>
      <xdr:rowOff>104775</xdr:rowOff>
    </xdr:to>
    <xdr:pic>
      <xdr:nvPicPr>
        <xdr:cNvPr id="2" name="Picture 1" descr="G:\Common\LOGOS\Agility.tif">
          <a:extLst>
            <a:ext uri="{FF2B5EF4-FFF2-40B4-BE49-F238E27FC236}">
              <a16:creationId xmlns:a16="http://schemas.microsoft.com/office/drawing/2014/main" id="{00000000-0008-0000-34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2247900" cy="857250"/>
        </a:xfrm>
        <a:prstGeom prst="rect">
          <a:avLst/>
        </a:prstGeom>
        <a:noFill/>
        <a:ln w="9525">
          <a:noFill/>
          <a:miter lim="800000"/>
          <a:headEnd/>
          <a:tailEnd/>
        </a:ln>
      </xdr:spPr>
    </xdr:pic>
    <xdr:clientData fLocksWithSheet="0"/>
  </xdr:twoCellAnchor>
</xdr:wsDr>
</file>

<file path=xl/drawings/drawing32.xml><?xml version="1.0" encoding="utf-8"?>
<xdr:wsDr xmlns:xdr="http://schemas.openxmlformats.org/drawingml/2006/spreadsheetDrawing" xmlns:a="http://schemas.openxmlformats.org/drawingml/2006/main">
  <xdr:twoCellAnchor>
    <xdr:from>
      <xdr:col>0</xdr:col>
      <xdr:colOff>47625</xdr:colOff>
      <xdr:row>0</xdr:row>
      <xdr:rowOff>28575</xdr:rowOff>
    </xdr:from>
    <xdr:to>
      <xdr:col>2</xdr:col>
      <xdr:colOff>0</xdr:colOff>
      <xdr:row>4</xdr:row>
      <xdr:rowOff>104775</xdr:rowOff>
    </xdr:to>
    <xdr:pic>
      <xdr:nvPicPr>
        <xdr:cNvPr id="2" name="Picture 1" descr="G:\Common\LOGOS\Agility.tif">
          <a:extLst>
            <a:ext uri="{FF2B5EF4-FFF2-40B4-BE49-F238E27FC236}">
              <a16:creationId xmlns:a16="http://schemas.microsoft.com/office/drawing/2014/main" id="{00000000-0008-0000-38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2124075" cy="857250"/>
        </a:xfrm>
        <a:prstGeom prst="rect">
          <a:avLst/>
        </a:prstGeom>
        <a:noFill/>
        <a:ln w="9525">
          <a:noFill/>
          <a:miter lim="800000"/>
          <a:headEnd/>
          <a:tailEnd/>
        </a:ln>
      </xdr:spPr>
    </xdr:pic>
    <xdr:clientData fLocksWithSheet="0"/>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Sep_BioCorrectAgileFinAgeData.xlsx"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ill Westers" refreshedDate="45202.694516087962" createdVersion="6" refreshedVersion="8" minRefreshableVersion="3" recordCount="508" xr:uid="{39C1A066-DFCE-4146-B356-2E57AE673096}">
  <cacheSource type="worksheet">
    <worksheetSource ref="A1:BC1048576" sheet="CurrentMonthAgingData" r:id="rId2"/>
  </cacheSource>
  <cacheFields count="55">
    <cacheField name="AgeTrxType" numFmtId="0">
      <sharedItems containsBlank="1" count="3">
        <s v="Procedure"/>
        <s v="Patient Deposit"/>
        <m/>
      </sharedItems>
    </cacheField>
    <cacheField name="CompanyID" numFmtId="0">
      <sharedItems containsString="0" containsBlank="1" containsNumber="1" containsInteger="1" minValue="17" maxValue="17"/>
    </cacheField>
    <cacheField name="CompanyName" numFmtId="0">
      <sharedItems containsBlank="1"/>
    </cacheField>
    <cacheField name="AgingDate" numFmtId="0">
      <sharedItems containsDate="1" containsString="0" containsBlank="1" containsMixedTypes="1" minDate="2023-09-30T00:00:00" maxDate="1899-12-31T20:51:04"/>
    </cacheField>
    <cacheField name="caseid" numFmtId="0">
      <sharedItems containsString="0" containsBlank="1" containsNumber="1" containsInteger="1" minValue="55979" maxValue="626219" count="2147">
        <n v="557266"/>
        <n v="623018"/>
        <n v="58439"/>
        <n v="609933"/>
        <n v="562091"/>
        <n v="245076"/>
        <n v="181538"/>
        <n v="624918"/>
        <n v="624679"/>
        <n v="625458"/>
        <n v="567032"/>
        <n v="620237"/>
        <n v="595991"/>
        <n v="620378"/>
        <n v="109895"/>
        <n v="432044"/>
        <n v="130205"/>
        <n v="621445"/>
        <n v="618342"/>
        <n v="614580"/>
        <n v="615545"/>
        <n v="613877"/>
        <n v="621896"/>
        <n v="605038"/>
        <n v="623622"/>
        <n v="623625"/>
        <n v="623676"/>
        <n v="621615"/>
        <n v="624867"/>
        <n v="508687"/>
        <n v="624463"/>
        <n v="470677"/>
        <n v="621688"/>
        <n v="621692"/>
        <n v="621449"/>
        <n v="615283"/>
        <n v="154892"/>
        <n v="610335"/>
        <n v="624642"/>
        <n v="456651"/>
        <n v="617337"/>
        <n v="617621"/>
        <n v="621697"/>
        <n v="621702"/>
        <n v="622662"/>
        <n v="617511"/>
        <n v="623681"/>
        <n v="622799"/>
        <n v="624781"/>
        <n v="621524"/>
        <n v="282257"/>
        <n v="568529"/>
        <n v="621703"/>
        <n v="115568"/>
        <n v="622670"/>
        <n v="420665"/>
        <n v="626219"/>
        <n v="624094"/>
        <n v="624425"/>
        <n v="430162"/>
        <n v="612222"/>
        <n v="276017"/>
        <n v="618218"/>
        <n v="615291"/>
        <n v="325681"/>
        <n v="611625"/>
        <n v="621828"/>
        <n v="621831"/>
        <n v="621652"/>
        <n v="624116"/>
        <n v="621883"/>
        <n v="618926"/>
        <n v="133659"/>
        <n v="554815"/>
        <n v="615001"/>
        <n v="120152"/>
        <n v="163699"/>
        <n v="618272"/>
        <n v="128407"/>
        <n v="155558"/>
        <n v="56191"/>
        <n v="249239"/>
        <n v="110445"/>
        <n v="390261"/>
        <n v="561617"/>
        <n v="582282"/>
        <n v="371654"/>
        <n v="336410"/>
        <n v="168399"/>
        <n v="328477"/>
        <n v="570282"/>
        <n v="580115"/>
        <n v="622658"/>
        <n v="91890"/>
        <n v="617865"/>
        <n v="90263"/>
        <n v="374342"/>
        <n v="574021"/>
        <n v="254568"/>
        <n v="614708"/>
        <n v="618069"/>
        <n v="577973"/>
        <n v="585635"/>
        <n v="449074"/>
        <n v="411885"/>
        <n v="159356"/>
        <n v="612057"/>
        <n v="521124"/>
        <n v="287010"/>
        <n v="126994"/>
        <n v="221743"/>
        <n v="167377"/>
        <n v="132103"/>
        <n v="126693"/>
        <n v="424766"/>
        <n v="324623"/>
        <n v="94832"/>
        <n v="466081"/>
        <n v="140200"/>
        <n v="65879"/>
        <n v="126681"/>
        <n v="115609"/>
        <n v="499939"/>
        <n v="230253"/>
        <n v="619493"/>
        <n v="595729"/>
        <n v="619013"/>
        <n v="620528"/>
        <n v="102362"/>
        <n v="624276"/>
        <n v="613182"/>
        <n v="607542"/>
        <n v="625508"/>
        <n v="375220"/>
        <n v="290994"/>
        <n v="323672"/>
        <n v="185309"/>
        <n v="507005"/>
        <n v="133308"/>
        <n v="278174"/>
        <n v="134768"/>
        <n v="63041"/>
        <n v="587958"/>
        <n v="182025"/>
        <n v="296073"/>
        <n v="494577"/>
        <n v="547805"/>
        <n v="214375"/>
        <n v="156769"/>
        <n v="57683"/>
        <n v="334531"/>
        <n v="552336"/>
        <n v="603316"/>
        <n v="371938"/>
        <n v="346034"/>
        <n v="605813"/>
        <n v="508903"/>
        <n v="417969"/>
        <n v="214976"/>
        <n v="505080"/>
        <n v="622657"/>
        <n v="607929"/>
        <n v="205253"/>
        <n v="208037"/>
        <n v="559449"/>
        <n v="545705"/>
        <n v="339208"/>
        <n v="330403"/>
        <n v="131589"/>
        <n v="130633"/>
        <n v="371318"/>
        <n v="336513"/>
        <n v="315892"/>
        <n v="135933"/>
        <n v="74076"/>
        <n v="593729"/>
        <n v="588288"/>
        <n v="408351"/>
        <n v="76450"/>
        <n v="623638"/>
        <n v="583228"/>
        <n v="613528"/>
        <n v="416663"/>
        <n v="578323"/>
        <n v="423730"/>
        <n v="513373"/>
        <n v="435463"/>
        <n v="152566"/>
        <n v="615836"/>
        <n v="569583"/>
        <n v="612096"/>
        <n v="113604"/>
        <n v="425731"/>
        <n v="570692"/>
        <n v="587360"/>
        <n v="619684"/>
        <n v="294165"/>
        <n v="619920"/>
        <n v="622663"/>
        <n v="244163"/>
        <n v="599622"/>
        <n v="375007"/>
        <n v="622093"/>
        <n v="87066"/>
        <n v="574345"/>
        <n v="376543"/>
        <n v="270048"/>
        <n v="624386"/>
        <n v="315270"/>
        <n v="129417"/>
        <n v="128020"/>
        <n v="559418"/>
        <n v="357172"/>
        <n v="78428"/>
        <n v="498757"/>
        <n v="66777"/>
        <n v="599233"/>
        <n v="376317"/>
        <n v="118518"/>
        <n v="624160"/>
        <n v="547791"/>
        <n v="607142"/>
        <n v="311952"/>
        <n v="242778"/>
        <n v="76672"/>
        <n v="545083"/>
        <n v="327458"/>
        <n v="251670"/>
        <n v="149160"/>
        <n v="612687"/>
        <n v="554736"/>
        <n v="310513"/>
        <n v="461173"/>
        <n v="327194"/>
        <n v="440789"/>
        <n v="377875"/>
        <n v="297815"/>
        <n v="571961"/>
        <n v="294908"/>
        <n v="228943"/>
        <n v="248398"/>
        <n v="97789"/>
        <n v="262026"/>
        <n v="607039"/>
        <m/>
        <n v="80827" u="1"/>
        <n v="387684" u="1"/>
        <n v="412441" u="1"/>
        <n v="461955" u="1"/>
        <n v="470208" u="1"/>
        <n v="69138" u="1"/>
        <n v="285910" u="1"/>
        <n v="232766" u="1"/>
        <n v="78766" u="1"/>
        <n v="382189" u="1"/>
        <n v="351931" u="1"/>
        <n v="409698" u="1"/>
        <n v="261651" u="1"/>
        <n v="316173" u="1"/>
        <n v="464716" u="1"/>
        <n v="245148" u="1"/>
        <n v="318928" u="1"/>
        <n v="459218" u="1"/>
        <n v="291425" u="1"/>
        <n v="382202" u="1"/>
        <n v="398707" u="1"/>
        <n v="409710" u="1"/>
        <n v="371200" u="1"/>
        <n v="371201" u="1"/>
        <n v="98026" u="1"/>
        <n v="288681" u="1"/>
        <n v="58056" u="1"/>
        <n v="274929" u="1"/>
        <n v="288684" u="1"/>
        <n v="464732" u="1"/>
        <n v="89087" u="1"/>
        <n v="450981" u="1"/>
        <n v="123472" u="1"/>
        <n v="417974" u="1"/>
        <n v="100779" u="1"/>
        <n v="420726" u="1"/>
        <n v="450985" u="1"/>
        <n v="324452" u="1"/>
        <n v="472995" u="1"/>
        <n v="442738" u="1"/>
        <n v="324457" u="1"/>
        <n v="321707" u="1"/>
        <n v="384978" u="1"/>
        <n v="83590" u="1"/>
        <n v="404234" u="1"/>
        <n v="384980" u="1"/>
        <n v="277703" u="1"/>
        <n v="288706" u="1"/>
        <n v="412491" u="1"/>
        <n v="406993" u="1"/>
        <n v="451005" u="1"/>
        <n v="470261" u="1"/>
        <n v="324476" u="1"/>
        <n v="75342" u="1"/>
        <n v="437261" u="1"/>
        <n v="69841" u="1"/>
        <n v="288722" u="1"/>
        <n v="415259" u="1"/>
        <n v="291476" u="1"/>
        <n v="335488" u="1"/>
        <n v="261681" u="1"/>
        <n v="365747" u="1"/>
        <n v="291477" u="1"/>
        <n v="324486" u="1"/>
        <n v="382252" u="1"/>
        <n v="420766" u="1"/>
        <n v="241053" u="1"/>
        <n v="302485" u="1"/>
        <n v="316240" u="1"/>
        <n v="321746" u="1"/>
        <n v="250684" u="1"/>
        <n v="429026" u="1"/>
        <n v="398769" u="1"/>
        <n v="203923" u="1"/>
        <n v="277739" u="1"/>
        <n v="302497" u="1"/>
        <n v="111108" u="1"/>
        <n v="442788" u="1"/>
        <n v="288747" u="1"/>
        <n v="269493" u="1"/>
        <n v="231435" u="1"/>
        <n v="321760" u="1"/>
        <n v="398781" u="1"/>
        <n v="214932" u="1"/>
        <n v="288753" u="1"/>
        <n v="288754" u="1"/>
        <n v="431793" u="1"/>
        <n v="459301" u="1"/>
        <n v="374029" u="1"/>
        <n v="418044" u="1"/>
        <n v="321768" u="1"/>
        <n v="249320" u="1"/>
        <n v="71914" u="1"/>
        <n v="407044" u="1"/>
        <n v="385039" u="1"/>
        <n v="214937" u="1"/>
        <n v="105612" u="1"/>
        <n v="324527" u="1"/>
        <n v="407050" u="1"/>
        <n v="73979" u="1"/>
        <n v="112490" u="1"/>
        <n v="445565" u="1"/>
        <n v="66416" u="1"/>
        <n v="445568" u="1"/>
        <n v="445569" u="1"/>
        <n v="442822" u="1"/>
        <n v="214946" u="1"/>
        <n v="56006" u="1"/>
        <n v="302543" u="1"/>
        <n v="73297" u="1"/>
        <n v="258965" u="1"/>
        <n v="283294" u="1"/>
        <n v="371319" u="1"/>
        <n v="371320" u="1"/>
        <n v="105620" u="1"/>
        <n v="236961" u="1"/>
        <n v="247964" u="1"/>
        <n v="144811" u="1"/>
        <n v="313556" u="1"/>
        <n v="119374" u="1"/>
        <n v="429088" u="1"/>
        <n v="283299" u="1"/>
        <n v="247966" u="1"/>
        <n v="144813" u="1"/>
        <n v="116625" u="1"/>
        <n v="352074" u="1"/>
        <n v="111124" u="1"/>
        <n v="396088" u="1"/>
        <n v="305317" u="1"/>
        <n v="398845" u="1"/>
        <n v="352085" u="1"/>
        <n v="407100" u="1"/>
        <n v="66427" u="1"/>
        <n v="407103" u="1"/>
        <n v="208090" u="1"/>
        <n v="330091" u="1"/>
        <n v="467631" u="1"/>
        <n v="252108" u="1"/>
        <n v="385114" u="1"/>
        <n v="407122" u="1"/>
        <n v="387870" u="1"/>
        <n v="85001" u="1"/>
        <n v="393378" u="1"/>
        <n v="56014" u="1"/>
        <n v="456649" u="1"/>
        <n v="264103" u="1"/>
        <n v="412645" u="1"/>
        <n v="412647" u="1"/>
        <n v="319127" u="1"/>
        <n v="310875" u="1"/>
        <n v="264113" u="1"/>
        <n v="97386" u="1"/>
        <n v="113203" u="1"/>
        <n v="324635" u="1"/>
        <n v="305380" u="1"/>
        <n v="302630" u="1"/>
        <n v="212243" u="1"/>
        <n v="65754" u="1"/>
        <n v="475934" u="1"/>
        <n v="302638" u="1"/>
        <n v="102204" u="1"/>
        <n v="453934" u="1"/>
        <n v="346655" u="1"/>
        <n v="429178" u="1"/>
        <n v="387917" u="1"/>
        <n v="77448" u="1"/>
        <n v="232881" u="1"/>
        <n v="239758" u="1"/>
        <n v="203999" u="1"/>
        <n v="371419" u="1"/>
        <n v="310906" u="1"/>
        <n v="357669" u="1"/>
        <n v="256267" u="1"/>
        <n v="71949" u="1"/>
        <n v="294404" u="1"/>
        <n v="470453" u="1"/>
        <n v="313661" u="1"/>
        <n v="387932" u="1"/>
        <n v="254894" u="1"/>
        <n v="470457" u="1"/>
        <n v="107023" u="1"/>
        <n v="169623" u="1"/>
        <n v="357679" u="1"/>
        <n v="57053" u="1"/>
        <n v="343929" u="1"/>
        <n v="269659" u="1"/>
        <n v="357683" u="1"/>
        <n v="341182" u="1"/>
        <n v="313675" u="1"/>
        <n v="445712" u="1"/>
        <n v="235646" u="1"/>
        <n v="341184" u="1"/>
        <n v="343938" u="1"/>
        <n v="313682" u="1"/>
        <n v="67829" u="1"/>
        <n v="431967" u="1"/>
        <n v="288933" u="1"/>
        <n v="423720" u="1"/>
        <n v="232905" u="1"/>
        <n v="431979" u="1"/>
        <n v="259040" u="1"/>
        <n v="246663" u="1"/>
        <n v="476001" u="1"/>
        <n v="269700" u="1"/>
        <n v="118038" u="1"/>
        <n v="71963" u="1"/>
        <n v="346723" u="1"/>
        <n v="343973" u="1"/>
        <n v="83654" u="1"/>
        <n v="283458" u="1"/>
        <n v="291711" u="1"/>
        <n v="286216" u="1"/>
        <n v="343982" u="1"/>
        <n v="291718" u="1"/>
        <n v="360490" u="1"/>
        <n v="91222" u="1"/>
        <n v="87096" u="1"/>
        <n v="310979" u="1"/>
        <n v="321984" u="1"/>
        <n v="476028" u="1"/>
        <n v="210918" u="1"/>
        <n v="437521" u="1"/>
        <n v="421017" u="1"/>
        <n v="294487" u="1"/>
        <n v="64627" u="1"/>
        <n v="264230" u="1"/>
        <n v="341254" u="1"/>
        <n v="476042" u="1"/>
        <n v="226055" u="1"/>
        <n v="294495" u="1"/>
        <n v="476047" u="1"/>
        <n v="238435" u="1"/>
        <n v="158664" u="1"/>
        <n v="226058" u="1"/>
        <n v="327510" u="1"/>
        <n v="245314" u="1"/>
        <n v="186175" u="1"/>
        <n v="476058" u="1"/>
        <n v="252195" u="1"/>
        <n v="327520" u="1"/>
        <n v="62567" u="1"/>
        <n v="440305" u="1"/>
        <n v="432053" u="1"/>
        <n v="168302" u="1"/>
        <n v="182057" u="1"/>
        <n v="291772" u="1"/>
        <n v="291773" u="1"/>
        <n v="421059" u="1"/>
        <n v="291774" u="1"/>
        <n v="286273" u="1"/>
        <n v="291775" u="1"/>
        <n v="168305" u="1"/>
        <n v="371548" u="1"/>
        <n v="305531" u="1"/>
        <n v="69230" u="1"/>
        <n v="302782" u="1"/>
        <n v="396309" u="1"/>
        <n v="89174" u="1"/>
        <n v="401814" u="1"/>
        <n v="72670" u="1"/>
        <n v="311041" u="1"/>
        <n v="249458" u="1"/>
        <n v="388065" u="1"/>
        <n v="311047" u="1"/>
        <n v="330307" u="1"/>
        <n v="286298" u="1"/>
        <n v="385331" u="1"/>
        <n v="363328" u="1"/>
        <n v="388085" u="1"/>
        <n v="286309" u="1"/>
        <n v="313818" u="1"/>
        <n v="311070" u="1"/>
        <n v="355082" u="1"/>
        <n v="401846" u="1"/>
        <n v="355086" u="1"/>
        <n v="327579" u="1"/>
        <n v="393597" u="1"/>
        <n v="382595" u="1"/>
        <n v="396349" u="1"/>
        <n v="385347" u="1"/>
        <n v="213716" u="1"/>
        <n v="61887" u="1"/>
        <n v="404604" u="1"/>
        <n v="445867" u="1"/>
        <n v="388103" u="1"/>
        <n v="393607" u="1"/>
        <n v="269824" u="1"/>
        <n v="401861" u="1"/>
        <n v="212346" u="1"/>
        <n v="385359" u="1"/>
        <n v="445876" u="1"/>
        <n v="399115" u="1"/>
        <n v="289086" u="1"/>
        <n v="388114" u="1"/>
        <n v="269833" u="1"/>
        <n v="399120" u="1"/>
        <n v="399121" u="1"/>
        <n v="456888" u="1"/>
        <n v="476144" u="1"/>
        <n v="269839" u="1"/>
        <n v="319353" u="1"/>
        <n v="275343" u="1"/>
        <n v="269842" u="1"/>
        <n v="404630" u="1"/>
        <n v="230234" u="1"/>
        <n v="313859" u="1"/>
        <n v="291854" u="1"/>
        <n v="261870" u="1"/>
        <n v="275350" u="1"/>
        <n v="355122" u="1"/>
        <n v="74063" u="1"/>
        <n v="291856" u="1"/>
        <n v="294607" u="1"/>
        <n v="294609" u="1"/>
        <n v="448651" u="1"/>
        <n v="212359" u="1"/>
        <n v="316616" u="1"/>
        <n v="388136" u="1"/>
        <n v="330371" u="1"/>
        <n v="316618" u="1"/>
        <n v="275357" u="1"/>
        <n v="190355" u="1"/>
        <n v="294615" u="1"/>
        <n v="275362" u="1"/>
        <n v="212363" u="1"/>
        <n v="327628" u="1"/>
        <n v="393646" u="1"/>
        <n v="415655" u="1"/>
        <n v="69941" u="1"/>
        <n v="291875" u="1"/>
        <n v="399155" u="1"/>
        <n v="311133" u="1"/>
        <n v="346893" u="1"/>
        <n v="63957" u="1"/>
        <n v="396408" u="1"/>
        <n v="311137" u="1"/>
        <n v="305638" u="1"/>
        <n v="401915" u="1"/>
        <n v="322144" u="1"/>
        <n v="443177" u="1"/>
        <n v="177988" u="1"/>
        <n v="252259" u="1"/>
        <n v="308393" u="1"/>
        <n v="146356" u="1"/>
        <n v="382664" u="1"/>
        <n v="233005" u="1"/>
        <n v="396419" u="1"/>
        <n v="401921" u="1"/>
        <n v="404672" u="1"/>
        <n v="237133" u="1"/>
        <n v="401925" u="1"/>
        <n v="122211" u="1"/>
        <n v="67884" u="1"/>
        <n v="401927" u="1"/>
        <n v="179369" u="1"/>
        <n v="230258" u="1"/>
        <n v="182120" u="1"/>
        <n v="123588" u="1"/>
        <n v="396432" u="1"/>
        <n v="443195" u="1"/>
        <n v="78889" u="1"/>
        <n v="401937" u="1"/>
        <n v="396436" u="1"/>
        <n v="78890" u="1"/>
        <n v="107773" u="1"/>
        <n v="275405" u="1"/>
        <n v="319418" u="1"/>
        <n v="193131" u="1"/>
        <n v="204137" u="1"/>
        <n v="190386" u="1"/>
        <n v="330438" u="1"/>
        <n v="259157" u="1"/>
        <n v="269927" u="1"/>
        <n v="259159" u="1"/>
        <n v="476234" u="1"/>
        <n v="437725" u="1"/>
        <n v="346953" u="1"/>
        <n v="246783" u="1"/>
        <n v="122222" u="1"/>
        <n v="462486" u="1"/>
        <n v="401970" u="1"/>
        <n v="349712" u="1"/>
        <n v="111221" u="1"/>
        <n v="186272" u="1"/>
        <n v="377224" u="1"/>
        <n v="462499" u="1"/>
        <n v="305708" u="1"/>
        <n v="245418" u="1"/>
        <n v="423999" u="1"/>
        <n v="399243" u="1"/>
        <n v="349733" u="1"/>
        <n v="407499" u="1"/>
        <n v="385494" u="1"/>
        <n v="457017" u="1"/>
        <n v="61218" u="1"/>
        <n v="355240" u="1"/>
        <n v="338736" u="1"/>
        <n v="286478" u="1"/>
        <n v="105041" u="1"/>
        <n v="360754" u="1"/>
        <n v="280983" u="1"/>
        <n v="476287" u="1"/>
        <n v="473538" u="1"/>
        <n v="297491" u="1"/>
        <n v="462536" u="1"/>
        <n v="426779" u="1"/>
        <n v="227555" u="1"/>
        <n v="336005" u="1"/>
        <n v="404775" u="1"/>
        <n v="336008" u="1"/>
        <n v="179419" u="1"/>
        <n v="404779" u="1"/>
        <n v="473550" u="1"/>
        <n v="344266" u="1"/>
        <n v="322261" u="1"/>
        <n v="179423" u="1"/>
        <n v="399286" u="1"/>
        <n v="440550" u="1"/>
        <n v="336022" u="1"/>
        <n v="355279" u="1"/>
        <n v="183553" u="1"/>
        <n v="457058" u="1"/>
        <n v="119490" u="1"/>
        <n v="231692" u="1"/>
        <n v="253698" u="1"/>
        <n v="239945" u="1"/>
        <n v="473566" u="1"/>
        <n v="341532" u="1"/>
        <n v="457064" u="1"/>
        <n v="294770" u="1"/>
        <n v="327780" u="1"/>
        <n v="415804" u="1"/>
        <n v="129807" u="1"/>
        <n v="57442" u="1"/>
        <n v="179432" u="1"/>
        <n v="248201" u="1"/>
        <n v="336037" u="1"/>
        <n v="344291" u="1"/>
        <n v="415811" u="1"/>
        <n v="344292" u="1"/>
        <n v="239951" u="1"/>
        <n v="338791" u="1"/>
        <n v="396557" u="1"/>
        <n v="253705" u="1"/>
        <n v="344294" u="1"/>
        <n v="122245" u="1"/>
        <n v="69981" u="1"/>
        <n v="338795" u="1"/>
        <n v="264525" u="1"/>
        <n v="253707" u="1"/>
        <n v="239954" u="1"/>
        <n v="473585" u="1"/>
        <n v="72733" u="1"/>
        <n v="121559" u="1"/>
        <n v="115370" u="1"/>
        <n v="468088" u="1"/>
        <n v="338804" u="1"/>
        <n v="413077" u="1"/>
        <n v="228956" u="1"/>
        <n v="338808" u="1"/>
        <n v="388325" u="1"/>
        <n v="440591" u="1"/>
        <n v="122250" u="1"/>
        <n v="352568" u="1"/>
        <n v="440593" u="1"/>
        <n v="253718" u="1"/>
        <n v="473605" u="1"/>
        <n v="79615" u="1"/>
        <n v="303065" u="1"/>
        <n v="297566" u="1"/>
        <n v="154696" u="1"/>
        <n v="341581" u="1"/>
        <n v="259226" u="1"/>
        <n v="330580" u="1"/>
        <n v="454364" u="1"/>
        <n v="319578" u="1"/>
        <n v="82369" u="1"/>
        <n v="289320" u="1"/>
        <n v="278318" u="1"/>
        <n v="404854" u="1"/>
        <n v="248227" u="1"/>
        <n v="223471" u="1"/>
        <n v="259231" u="1"/>
        <n v="162955" u="1"/>
        <n v="85122" u="1"/>
        <n v="248229" u="1"/>
        <n v="278327" u="1"/>
        <n v="308586" u="1"/>
        <n v="289331" u="1"/>
        <n v="173960" u="1"/>
        <n v="402115" u="1"/>
        <n v="223475" u="1"/>
        <n v="347102" u="1"/>
        <n v="219350" u="1"/>
        <n v="393867" u="1"/>
        <n v="349857" u="1"/>
        <n v="468144" u="1"/>
        <n v="286596" u="1"/>
        <n v="261992" u="1"/>
        <n v="227608" u="1"/>
        <n v="202852" u="1"/>
        <n v="429638" u="1"/>
        <n v="227610" u="1"/>
        <n v="275601" u="1"/>
        <n v="132711" u="1"/>
        <n v="402137" u="1"/>
        <n v="72751" u="1"/>
        <n v="286609" u="1"/>
        <n v="275608" u="1"/>
        <n v="234493" u="1"/>
        <n v="103699" u="1"/>
        <n v="202861" u="1"/>
        <n v="62268" u="1"/>
        <n v="70003" u="1"/>
        <n v="446164" u="1"/>
        <n v="426909" u="1"/>
        <n v="407655" u="1"/>
        <n v="83070" u="1"/>
        <n v="226246" u="1"/>
        <n v="283875" u="1"/>
        <n v="393908" u="1"/>
        <n v="308636" u="1"/>
        <n v="262009" u="1"/>
        <n v="157481" u="1"/>
        <n v="338897" u="1"/>
        <n v="393913" u="1"/>
        <n v="437928" u="1"/>
        <n v="347154" u="1"/>
        <n v="338902" u="1"/>
        <n v="355409" u="1"/>
        <n v="338907" u="1"/>
        <n v="90640" u="1"/>
        <n v="308652" u="1"/>
        <n v="262017" u="1"/>
        <n v="322414" u="1"/>
        <n v="473707" u="1"/>
        <n v="218010" u="1"/>
        <n v="249644" u="1"/>
        <n v="473711" u="1"/>
        <n v="294913" u="1"/>
        <n v="349928" u="1"/>
        <n v="120216" u="1"/>
        <n v="242772" u="1"/>
        <n v="127782" u="1"/>
        <n v="262030" u="1"/>
        <n v="336190" u="1"/>
        <n v="233151" u="1"/>
        <n v="305936" u="1"/>
        <n v="435225" u="1"/>
        <n v="303190" u="1"/>
        <n v="470986" u="1"/>
        <n v="473744" u="1"/>
        <n v="358215" u="1"/>
        <n v="421483" u="1"/>
        <n v="336214" u="1"/>
        <n v="198777" u="1"/>
        <n v="105096" u="1"/>
        <n v="319712" u="1"/>
        <n v="316962" u="1"/>
        <n v="327965" u="1"/>
        <n v="142389" u="1"/>
        <n v="252419" u="1"/>
        <n v="369229" u="1"/>
        <n v="476509" u="1"/>
        <n v="101660" u="1"/>
        <n v="369235" u="1"/>
        <n v="220792" u="1"/>
        <n v="59186" u="1"/>
        <n v="471020" u="1"/>
        <n v="388499" u="1"/>
        <n v="327984" u="1"/>
        <n v="341739" u="1"/>
        <n v="314235" u="1"/>
        <n v="116793" u="1"/>
        <n v="244178" u="1"/>
        <n v="322489" u="1"/>
        <n v="443522" u="1"/>
        <n v="322490" u="1"/>
        <n v="316990" u="1"/>
        <n v="473785" u="1"/>
        <n v="322494" u="1"/>
        <n v="314242" u="1"/>
        <n v="473787" u="1"/>
        <n v="215299" u="1"/>
        <n v="267482" u="1"/>
        <n v="476539" u="1"/>
        <n v="314246" u="1"/>
        <n v="322501" u="1"/>
        <n v="432531" u="1"/>
        <n v="185044" u="1"/>
        <n v="361013" u="1"/>
        <n v="297746" u="1"/>
        <n v="201550" u="1"/>
        <n v="443544" u="1"/>
        <n v="306008" u="1"/>
        <n v="257945" u="1"/>
        <n v="388536" u="1"/>
        <n v="421547" u="1"/>
        <n v="257950" u="1"/>
        <n v="449063" u="1"/>
        <n v="325280" u="1"/>
        <n v="319779" u="1"/>
        <n v="322538" u="1"/>
        <n v="388556" u="1"/>
        <n v="446322" u="1"/>
        <n v="319789" u="1"/>
        <n v="385807" u="1"/>
        <n v="139676" u="1"/>
        <n v="385810" u="1"/>
        <n v="366555" u="1"/>
        <n v="119558" u="1"/>
        <n v="130561" u="1"/>
        <n v="462833" u="1"/>
        <n v="69357" u="1"/>
        <n v="67294" u="1"/>
        <n v="388572" u="1"/>
        <n v="241461" u="1"/>
        <n v="267541" u="1"/>
        <n v="424335" u="1"/>
        <n v="249715" u="1"/>
        <n v="174070" u="1"/>
        <n v="446345" u="1"/>
        <n v="333565" u="1"/>
        <n v="451848" u="1"/>
        <n v="252468" u="1"/>
        <n v="95495" u="1"/>
        <n v="69363" u="1"/>
        <n v="103748" u="1"/>
        <n v="189205" u="1"/>
        <n v="405096" u="1"/>
        <n v="141068" u="1"/>
        <n v="405097" u="1"/>
        <n v="471120" u="1"/>
        <n v="405103" u="1"/>
        <n v="429861" u="1"/>
        <n v="89997" u="1"/>
        <n v="116817" u="1"/>
        <n v="446368" u="1"/>
        <n v="372098" u="1"/>
        <n v="372102" u="1"/>
        <n v="471129" u="1"/>
        <n v="319838" u="1"/>
        <n v="64014" u="1"/>
        <n v="238730" u="1"/>
        <n v="306091" u="1"/>
        <n v="204346" u="1"/>
        <n v="440883" u="1"/>
        <n v="103756" u="1"/>
        <n v="252489" u="1"/>
        <n v="107884" u="1"/>
        <n v="211232" u="1"/>
        <n v="394135" u="1"/>
        <n v="78315" u="1"/>
        <n v="394137" u="1"/>
        <n v="56797" u="1"/>
        <n v="339127" u="1"/>
        <n v="115453" u="1"/>
        <n v="438161" u="1"/>
        <n v="319879" u="1"/>
        <n v="330882" u="1"/>
        <n v="405155" u="1"/>
        <n v="407906" u="1"/>
        <n v="383150" u="1"/>
        <n v="432665" u="1"/>
        <n v="160354" u="1"/>
        <n v="80383" u="1"/>
        <n v="251130" u="1"/>
        <n v="262133" u="1"/>
        <n v="319888" u="1"/>
        <n v="454676" u="1"/>
        <n v="330893" u="1"/>
        <n v="363904" u="1"/>
        <n v="416175" u="1"/>
        <n v="330902" u="1"/>
        <n v="194746" u="1"/>
        <n v="220880" u="1"/>
        <n v="399676" u="1"/>
        <n v="394176" u="1"/>
        <n v="416182" u="1"/>
        <n v="374921" u="1"/>
        <n v="187873" u="1"/>
        <n v="127839" u="1"/>
        <n v="281401" u="1"/>
        <n v="229136" u="1"/>
        <n v="300657" u="1"/>
        <n v="399685" u="1"/>
        <n v="336419" u="1"/>
        <n v="399687" u="1"/>
        <n v="189252" u="1"/>
        <n v="281406" u="1"/>
        <n v="396940" u="1"/>
        <n v="248395" u="1"/>
        <n v="427199" u="1"/>
        <n v="281410" u="1"/>
        <n v="171377" u="1"/>
        <n v="344682" u="1"/>
        <n v="347433" u="1"/>
        <n v="454717" u="1"/>
        <n v="171380" u="1"/>
        <n v="300679" u="1"/>
        <n v="281424" u="1"/>
        <n v="465729" u="1"/>
        <n v="421718" u="1"/>
        <n v="306187" u="1"/>
        <n v="229151" u="1"/>
        <n v="341949" u="1"/>
        <n v="300688" u="1"/>
        <n v="328196" u="1"/>
        <n v="317197" u="1"/>
        <n v="94840" u="1"/>
        <n v="416225" u="1"/>
        <n v="394220" u="1"/>
        <n v="244285" u="1"/>
        <n v="65958" u="1"/>
        <n v="253913" u="1"/>
        <n v="303448" u="1"/>
        <n v="70772" u="1"/>
        <n v="399725" u="1"/>
        <n v="78337" u="1"/>
        <n v="306203" u="1"/>
        <n v="339214" u="1"/>
        <n v="394231" u="1"/>
        <n v="306210" u="1"/>
        <n v="306213" u="1"/>
        <n v="427246" u="1"/>
        <n v="241542" u="1"/>
        <n v="306216" u="1"/>
        <n v="383240" u="1"/>
        <n v="463013" u="1"/>
        <n v="306221" u="1"/>
        <n v="457513" u="1"/>
        <n v="383243" u="1"/>
        <n v="172778" u="1"/>
        <n v="361238" u="1"/>
        <n v="394247" u="1"/>
        <n v="427258" u="1"/>
        <n v="463021" u="1"/>
        <n v="300728" u="1"/>
        <n v="336490" u="1"/>
        <n v="300733" u="1"/>
        <n v="70781" u="1"/>
        <n v="358500" u="1"/>
        <n v="211296" u="1"/>
        <n v="303487" u="1"/>
        <n v="137026" u="1"/>
        <n v="297986" u="1"/>
        <n v="61626" u="1"/>
        <n v="68719" u="1"/>
        <n v="300738" u="1"/>
        <n v="471285" u="1"/>
        <n v="303491" u="1"/>
        <n v="388767" u="1"/>
        <n v="157661" u="1"/>
        <n v="273240" u="1"/>
        <n v="298000" u="1"/>
        <n v="303502" u="1"/>
        <n v="388776" u="1"/>
        <n v="148037" u="1"/>
        <n v="200303" u="1"/>
        <n v="463051" u="1"/>
        <n v="322764" u="1"/>
        <n v="320015" u="1"/>
        <n v="278754" u="1"/>
        <n v="344772" u="1"/>
        <n v="416294" u="1"/>
        <n v="118239" u="1"/>
        <n v="79041" u="1"/>
        <n v="336527" u="1"/>
        <n v="79042" u="1"/>
        <n v="267760" u="1"/>
        <n v="314523" u="1"/>
        <n v="372289" u="1"/>
        <n v="421804" u="1"/>
        <n v="369540" u="1"/>
        <n v="267766" u="1"/>
        <n v="446565" u="1"/>
        <n v="402554" u="1"/>
        <n v="424561" u="1"/>
        <n v="148050" u="1"/>
        <n v="137048" u="1"/>
        <n v="441071" u="1"/>
        <n v="449324" u="1"/>
        <n v="300784" u="1"/>
        <n v="391559" u="1"/>
        <n v="449326" u="1"/>
        <n v="397063" u="1"/>
        <n v="273280" u="1"/>
        <n v="397065" u="1"/>
        <n v="249833" u="1"/>
        <n v="298043" u="1"/>
        <n v="402574" u="1"/>
        <n v="273289" u="1"/>
        <n v="75611" u="1"/>
        <n v="298048" u="1"/>
        <n v="402577" u="1"/>
        <n v="474100" u="1"/>
        <n v="463098" u="1"/>
        <n v="435592" u="1"/>
        <n v="457599" u="1"/>
        <n v="245716" u="1"/>
        <n v="339318" u="1"/>
        <n v="471355" u="1"/>
        <n v="457605" u="1"/>
        <n v="471359" u="1"/>
        <n v="292561" u="1"/>
        <n v="421847" u="1"/>
        <n v="267806" u="1"/>
        <n v="185204" u="1"/>
        <n v="361333" u="1"/>
        <n v="192081" u="1"/>
        <n v="99685" u="1"/>
        <n v="267811" u="1"/>
        <n v="76305" u="1"/>
        <n v="278819" u="1"/>
        <n v="118942" u="1"/>
        <n v="219593" u="1"/>
        <n v="471374" u="1"/>
        <n v="255354" u="1"/>
        <n v="419111" u="1"/>
        <n v="309082" u="1"/>
        <n v="237475" u="1"/>
        <n v="77682" u="1"/>
        <n v="380602" u="1"/>
        <n v="78370" u="1"/>
        <n v="129947" u="1"/>
        <n v="452127" u="1"/>
        <n v="139827" u="1"/>
        <n v="278832" u="1"/>
        <n v="471385" u="1"/>
        <n v="165960" u="1"/>
        <n v="452132" u="1"/>
        <n v="380614" u="1"/>
        <n v="397119" u="1"/>
        <n v="139830" u="1"/>
        <n v="452136" u="1"/>
        <n v="402623" u="1"/>
        <n v="139833" u="1"/>
        <n v="391624" u="1"/>
        <n v="139834" u="1"/>
        <n v="438390" u="1"/>
        <n v="353121" u="1"/>
        <n v="460401" u="1"/>
        <n v="322864" u="1"/>
        <n v="372379" u="1"/>
        <n v="435647" u="1"/>
        <n v="416396" u="1"/>
        <n v="198982" u="1"/>
        <n v="284361" u="1"/>
        <n v="391650" u="1"/>
        <n v="179732" u="1"/>
        <n v="66003" u="1"/>
        <n v="421910" u="1"/>
        <n v="292625" u="1"/>
        <n v="465928" u="1"/>
        <n v="102452" u="1"/>
        <n v="292632" u="1"/>
        <n v="441174" u="1"/>
        <n v="391663" u="1"/>
        <n v="441177" u="1"/>
        <n v="292637" u="1"/>
        <n v="430176" u="1"/>
        <n v="339402" u="1"/>
        <n v="402670" u="1"/>
        <n v="68759" u="1"/>
        <n v="278893" u="1"/>
        <n v="474198" u="1"/>
        <n v="443940" u="1"/>
        <n v="58552" u="1"/>
        <n v="167368" u="1"/>
        <n v="68761" u="1"/>
        <n v="232014" u="1"/>
        <n v="449452" u="1"/>
        <n v="331172" u="1"/>
        <n v="383439" u="1"/>
        <n v="241647" u="1"/>
        <n v="344935" u="1"/>
        <n v="284420" u="1"/>
        <n v="262417" u="1"/>
        <n v="273420" u="1"/>
        <n v="241650" u="1"/>
        <n v="121719" u="1"/>
        <n v="438472" u="1"/>
        <n v="273428" u="1"/>
        <n v="241656" u="1"/>
        <n v="391716" u="1"/>
        <n v="331201" u="1"/>
        <n v="85275" u="1"/>
        <n v="361462" u="1"/>
        <n v="309198" u="1"/>
        <n v="167392" u="1"/>
        <n v="281698" u="1"/>
        <n v="241663" u="1"/>
        <n v="273447" u="1"/>
        <n v="388980" u="1"/>
        <n v="413738" u="1"/>
        <n v="241665" u="1"/>
        <n v="386231" u="1"/>
        <n v="383482" u="1"/>
        <n v="424745" u="1"/>
        <n v="388986" u="1"/>
        <n v="267955" u="1"/>
        <n v="58216" u="1"/>
        <n v="361482" u="1"/>
        <n v="79092" u="1"/>
        <n v="339480" u="1"/>
        <n v="408249" u="1"/>
        <n v="430255" u="1"/>
        <n v="287221" u="1"/>
        <n v="287222" u="1"/>
        <n v="146775" u="1"/>
        <n v="287227" u="1"/>
        <n v="416516" u="1"/>
        <n v="444025" u="1"/>
        <n v="69470" u="1"/>
        <n v="295490" u="1"/>
        <n v="153658" u="1"/>
        <n v="422025" u="1"/>
        <n v="424776" u="1"/>
        <n v="322999" u="1"/>
        <n v="249935" u="1"/>
        <n v="245810" u="1"/>
        <n v="80475" u="1"/>
        <n v="336759" u="1"/>
        <n v="172918" u="1"/>
        <n v="247189" u="1"/>
        <n v="194925" u="1"/>
        <n v="356019" u="1"/>
        <n v="203179" u="1"/>
        <n v="69474" u="1"/>
        <n v="336767" u="1"/>
        <n v="424793" u="1"/>
        <n v="391785" u="1"/>
        <n v="356026" u="1"/>
        <n v="345026" u="1"/>
        <n v="268008" u="1"/>
        <n v="320275" u="1"/>
        <n v="339531" u="1"/>
        <n v="331279" u="1"/>
        <n v="336782" u="1"/>
        <n v="339533" u="1"/>
        <n v="128619" u="1"/>
        <n v="386297" u="1"/>
        <n v="255452" u="1"/>
        <n v="144047" u="1"/>
        <n v="68791" u="1"/>
        <n v="284522" u="1"/>
        <n v="419310" u="1"/>
        <n v="262518" u="1"/>
        <n v="339539" u="1"/>
        <n v="466074" u="1"/>
        <n v="317535" u="1"/>
        <n v="183937" u="1"/>
        <n v="378055" u="1"/>
        <n v="259585" u="1"/>
        <n v="270786" u="1"/>
        <n v="386319" u="1"/>
        <n v="240334" u="1"/>
        <n v="457841" u="1"/>
        <n v="70172" u="1"/>
        <n v="284544" u="1"/>
        <n v="339561" u="1"/>
        <n v="320306" u="1"/>
        <n v="427586" u="1"/>
        <n v="287298" u="1"/>
        <n v="94242" u="1"/>
        <n v="258217" u="1"/>
        <n v="320309" u="1"/>
        <n v="457848" u="1"/>
        <n v="466102" u="1"/>
        <n v="320313" u="1"/>
        <n v="342319" u="1"/>
        <n v="446848" u="1"/>
        <n v="325816" u="1"/>
        <n v="430345" u="1"/>
        <n v="391835" u="1"/>
        <n v="438602" u="1"/>
        <n v="240344" u="1"/>
        <n v="298316" u="1"/>
        <n v="342329" u="1"/>
        <n v="149570" u="1"/>
        <n v="391844" u="1"/>
        <n v="342334" u="1"/>
        <n v="249976" u="1"/>
        <n v="389100" u="1"/>
        <n v="320332" u="1"/>
        <n v="56167" u="1"/>
        <n v="449624" u="1"/>
        <n v="342345" u="1"/>
        <n v="243105" u="1"/>
        <n v="212848" u="1"/>
        <n v="331350" u="1"/>
        <n v="258237" u="1"/>
        <n v="190844" u="1"/>
        <n v="334105" u="1"/>
        <n v="466143" u="1"/>
        <n v="161964" u="1"/>
        <n v="249989" u="1"/>
        <n v="56170" u="1"/>
        <n v="309359" u="1"/>
        <n v="77064" u="1"/>
        <n v="279103" u="1"/>
        <n v="386383" u="1"/>
        <n v="251369" u="1"/>
        <n v="397388" u="1"/>
        <n v="397391" u="1"/>
        <n v="279109" u="1"/>
        <n v="347878" u="1"/>
        <n v="397392" u="1"/>
        <n v="309371" u="1"/>
        <n v="389143" u="1"/>
        <n v="119016" u="1"/>
        <n v="358887" u="1"/>
        <n v="156474" u="1"/>
        <n v="422158" u="1"/>
        <n v="245876" u="1"/>
        <n v="309380" u="1"/>
        <n v="400155" u="1"/>
        <n v="303881" u="1"/>
        <n v="56174" u="1"/>
        <n v="433171" u="1"/>
        <n v="170236" u="1"/>
        <n v="113519" u="1"/>
        <n v="58238" u="1"/>
        <n v="471689" u="1"/>
        <n v="331401" u="1"/>
        <n v="334152" u="1"/>
        <n v="314897" u="1"/>
        <n v="471691" u="1"/>
        <n v="72260" u="1"/>
        <n v="309401" u="1"/>
        <n v="244512" u="1"/>
        <n v="144110" u="1"/>
        <n v="240388" u="1"/>
        <n v="204629" u="1"/>
        <n v="457950" u="1"/>
        <n v="237639" u="1"/>
        <n v="309412" u="1"/>
        <n v="334169" u="1"/>
        <n v="468957" u="1"/>
        <n v="350675" u="1"/>
        <n v="134488" u="1"/>
        <n v="119714" u="1"/>
        <n v="334172" u="1"/>
        <n v="347927" u="1"/>
        <n v="60304" u="1"/>
        <n v="419448" u="1"/>
        <n v="411198" u="1"/>
        <n v="419451" u="1"/>
        <n v="471716" u="1"/>
        <n v="250024" u="1"/>
        <n v="405701" u="1"/>
        <n v="468970" u="1"/>
        <n v="419457" u="1"/>
        <n v="258279" u="1"/>
        <n v="397453" u="1"/>
        <n v="200514" u="1"/>
        <n v="468974" u="1"/>
        <n v="258280" u="1"/>
        <n v="347942" u="1"/>
        <n v="416712" u="1"/>
        <n v="402959" u="1"/>
        <n v="309435" u="1"/>
        <n v="457976" u="1"/>
        <n v="156505" u="1"/>
        <n v="468981" u="1"/>
        <n v="174388" u="1"/>
        <n v="328698" u="1"/>
        <n v="298440" u="1"/>
        <n v="358957" u="1"/>
        <n v="435978" u="1"/>
        <n v="378214" u="1"/>
        <n v="468989" u="1"/>
        <n v="273686" u="1"/>
        <n v="115596" u="1"/>
        <n v="64434" u="1"/>
        <n v="463491" u="1"/>
        <n v="347961" u="1"/>
        <n v="361718" u="1"/>
        <n v="378223" u="1"/>
        <n v="59621" u="1"/>
        <n v="389227" u="1"/>
        <n v="79151" u="1"/>
        <n v="262698" u="1"/>
        <n v="455252" u="1"/>
        <n v="284706" u="1"/>
        <n v="135889" u="1"/>
        <n v="226665" u="1"/>
        <n v="252798" u="1"/>
        <n v="325975" u="1"/>
        <n v="247298" u="1"/>
        <n v="430506" u="1"/>
        <n v="230795" u="1"/>
        <n v="323230" u="1"/>
        <n v="145522" u="1"/>
        <n v="405753" u="1"/>
        <n v="474522" u="1"/>
        <n v="160652" u="1"/>
        <n v="471777" u="1"/>
        <n v="166157" u="1"/>
        <n v="80534" u="1"/>
        <n v="287482" u="1"/>
        <n v="314996" u="1"/>
        <n v="471789" u="1"/>
        <n v="315002" u="1"/>
        <n v="177168" u="1"/>
        <n v="199175" u="1"/>
        <n v="247314" u="1"/>
        <n v="247315" u="1"/>
        <n v="109422" u="1"/>
        <n v="56877" u="1"/>
        <n v="152416" u="1"/>
        <n v="317766" u="1"/>
        <n v="110112" u="1"/>
        <n v="345277" u="1"/>
        <n v="211562" u="1"/>
        <n v="298518" u="1"/>
        <n v="463563" u="1"/>
        <n v="345285" u="1"/>
        <n v="304025" u="1"/>
        <n v="317779" u="1"/>
        <n v="463571" u="1"/>
        <n v="469077" u="1"/>
        <n v="211571" u="1"/>
        <n v="153807" u="1"/>
        <n v="279284" u="1"/>
        <n v="458083" u="1"/>
        <n v="254210" u="1"/>
        <n v="284788" u="1"/>
        <n v="447087" u="1"/>
        <n v="284794" u="1"/>
        <n v="73675" u="1"/>
        <n v="206080" u="1"/>
        <n v="392083" u="1"/>
        <n v="361825" u="1"/>
        <n v="208832" u="1"/>
        <n v="56196" u="1"/>
        <n v="259722" u="1"/>
        <n v="262803" u="1"/>
        <n v="114938" u="1"/>
        <n v="414097" u="1"/>
        <n v="394842" u="1"/>
        <n v="455360" u="1"/>
        <n v="60667" u="1"/>
        <n v="392094" u="1"/>
        <n v="441611" u="1"/>
        <n v="243223" u="1"/>
        <n v="411357" u="1"/>
        <n v="276572" u="1"/>
        <n v="441617" u="1"/>
        <n v="436116" u="1"/>
        <n v="433367" u="1"/>
        <n v="301333" u="1"/>
        <n v="309586" u="1"/>
        <n v="452625" u="1"/>
        <n v="56199" u="1"/>
        <n v="348098" u="1"/>
        <n v="259735" u="1"/>
        <n v="326096" u="1"/>
        <n v="386613" u="1"/>
        <n v="301340" u="1"/>
        <n v="433377" u="1"/>
        <n v="331601" u="1"/>
        <n v="243233" u="1"/>
        <n v="112195" u="1"/>
        <n v="422380" u="1"/>
        <n v="331607" u="1"/>
        <n v="326106" u="1"/>
        <n v="345363" u="1"/>
        <n v="433388" u="1"/>
        <n v="229484" u="1"/>
        <n v="386627" u="1"/>
        <n v="279355" u="1"/>
        <n v="361878" u="1"/>
        <n v="458155" u="1"/>
        <n v="405892" u="1"/>
        <n v="208859" u="1"/>
        <n v="259749" u="1"/>
        <n v="433403" u="1"/>
        <n v="206110" u="1"/>
        <n v="309621" u="1"/>
        <n v="279363" u="1"/>
        <n v="244622" u="1"/>
        <n v="279365" u="1"/>
        <n v="386646" u="1"/>
        <n v="204738" u="1"/>
        <n v="279368" u="1"/>
        <n v="131844" u="1"/>
        <n v="458170" u="1"/>
        <n v="255629" u="1"/>
        <n v="458172" u="1"/>
        <n v="422413" u="1"/>
        <n v="141474" u="1"/>
        <n v="225372" u="1"/>
        <n v="236375" u="1"/>
        <n v="114955" u="1"/>
        <n v="309636" u="1"/>
        <n v="370153" u="1"/>
        <n v="326143" u="1"/>
        <n v="348149" u="1"/>
        <n v="408667" u="1"/>
        <n v="381162" u="1"/>
        <n v="326149" u="1"/>
        <n v="342654" u="1"/>
        <n v="108081" u="1"/>
        <n v="210250" u="1"/>
        <n v="57926" u="1"/>
        <n v="84701" u="1"/>
        <n v="125275" u="1"/>
        <n v="320657" u="1"/>
        <n v="149737" u="1"/>
        <n v="320661" u="1"/>
        <n v="197878" u="1"/>
        <n v="397684" u="1"/>
        <n v="408687" u="1"/>
        <n v="320667" u="1"/>
        <n v="474710" u="1"/>
        <n v="130092" u="1"/>
        <n v="372933" u="1"/>
        <n v="116339" u="1"/>
        <n v="361933" u="1"/>
        <n v="317928" u="1"/>
        <n v="131868" u="1"/>
        <n v="381196" u="1"/>
        <n v="73705" u="1"/>
        <n v="381202" u="1"/>
        <n v="152502" u="1"/>
        <n v="315185" u="1"/>
        <n v="386706" u="1"/>
        <n v="261159" u="1"/>
        <n v="86086" u="1"/>
        <n v="159383" u="1"/>
        <n v="339958" u="1"/>
        <n v="162139" u="1"/>
        <n v="383972" u="1"/>
        <n v="57589" u="1"/>
        <n v="188272" u="1"/>
        <n v="309705" u="1"/>
        <n v="444492" u="1"/>
        <n v="113598" u="1"/>
        <n v="197904" u="1"/>
        <n v="240543" u="1"/>
        <n v="315220" u="1"/>
        <n v="273959" u="1"/>
        <n v="295968" u="1"/>
        <n v="257051" u="1"/>
        <n v="276715" u="1"/>
        <n v="397749" u="1"/>
        <n v="400501" u="1"/>
        <n v="94348" u="1"/>
        <n v="239174" u="1"/>
        <n v="422511" u="1"/>
        <n v="395008" u="1"/>
        <n v="400510" u="1"/>
        <n v="271225" u="1"/>
        <n v="244679" u="1"/>
        <n v="273977" u="1"/>
        <n v="472032" u="1"/>
        <n v="447276" u="1"/>
        <n v="323494" u="1"/>
        <n v="279483" u="1"/>
        <n v="298741" u="1"/>
        <n v="171788" u="1"/>
        <n v="255686" u="1"/>
        <n v="331752" u="1"/>
        <n v="65159" u="1"/>
        <n v="323503" u="1"/>
        <n v="61721" u="1"/>
        <n v="295998" u="1"/>
        <n v="472046" u="1"/>
        <n v="214429" u="1"/>
        <n v="290499" u="1"/>
        <n v="271245" u="1"/>
        <n v="293253" u="1"/>
        <n v="367525" u="1"/>
        <n v="315261" u="1"/>
        <n v="298757" u="1"/>
        <n v="320765" u="1"/>
        <n v="323516" u="1"/>
        <n v="203432" u="1"/>
        <n v="217186" u="1"/>
        <n v="59660" u="1"/>
        <n v="326272" u="1"/>
        <n v="96421" u="1"/>
        <n v="293266" u="1"/>
        <n v="251573" u="1"/>
        <n v="430808" u="1"/>
        <n v="450064" u="1"/>
        <n v="149798" u="1"/>
        <n v="356539" u="1"/>
        <n v="244699" u="1"/>
        <n v="258453" u="1"/>
        <n v="323531" u="1"/>
        <n v="428061" u="1"/>
        <n v="400554" u="1"/>
        <n v="115680" u="1"/>
        <n v="181437" u="1"/>
        <n v="71669" u="1"/>
        <n v="381307" u="1"/>
        <n v="315293" u="1"/>
        <n v="74421" u="1"/>
        <n v="323546" u="1"/>
        <n v="359306" u="1"/>
        <n v="400568" u="1"/>
        <n v="331801" u="1"/>
        <n v="159436" u="1"/>
        <n v="469341" u="1"/>
        <n v="400574" u="1"/>
        <n v="362064" u="1"/>
        <n v="400578" u="1"/>
        <n v="331810" u="1"/>
        <n v="315310" u="1"/>
        <n v="263046" u="1"/>
        <n v="422593" u="1"/>
        <n v="210333" u="1"/>
        <n v="469359" u="1"/>
        <n v="422597" u="1"/>
        <n v="250221" u="1"/>
        <n v="315319" u="1"/>
        <n v="230966" u="1"/>
        <n v="285063" u="1"/>
        <n v="290565" u="1"/>
        <n v="290568" u="1"/>
        <n v="304322" u="1"/>
        <n v="290569" u="1"/>
        <n v="444611" u="1"/>
        <n v="400601" u="1"/>
        <n v="149824" u="1"/>
        <n v="315330" u="1"/>
        <n v="444617" u="1"/>
        <n v="181459" u="1"/>
        <n v="136072" u="1"/>
        <n v="472127" u="1"/>
        <n v="285084" u="1"/>
        <n v="466635" u="1"/>
        <n v="312595" u="1"/>
        <n v="400620" u="1"/>
        <n v="463888" u="1"/>
        <n v="68246" u="1"/>
        <n v="452889" u="1"/>
        <n v="331858" u="1"/>
        <n v="152587" u="1"/>
        <n v="472147" u="1"/>
        <n v="126701" u="1"/>
        <n v="400630" u="1"/>
        <n v="219983" u="1"/>
        <n v="452898" u="1"/>
        <n v="362125" u="1"/>
        <n v="422642" u="1"/>
        <n v="356625" u="1"/>
        <n v="87505" u="1"/>
        <n v="392389" u="1"/>
        <n v="403392" u="1"/>
        <n v="392390" u="1"/>
        <n v="159472" u="1"/>
        <n v="63799" u="1"/>
        <n v="411649" u="1"/>
        <n v="331878" u="1"/>
        <n v="107451" u="1"/>
        <n v="331884" u="1"/>
        <n v="215867" u="1"/>
        <n v="222745" u="1"/>
        <n v="149851" u="1"/>
        <n v="145725" u="1"/>
        <n v="159479" u="1"/>
        <n v="422664" u="1"/>
        <n v="134724" u="1"/>
        <n v="389664" u="1"/>
        <n v="210374" u="1"/>
        <n v="400672" u="1"/>
        <n v="450193" u="1"/>
        <n v="221382" u="1"/>
        <n v="342918" u="1"/>
        <n v="261271" u="1"/>
        <n v="263152" u="1"/>
        <n v="94395" u="1"/>
        <n v="282409" u="1"/>
        <n v="235142" u="1"/>
        <n v="384190" u="1"/>
        <n v="220014" u="1"/>
        <n v="301670" u="1"/>
        <n v="304421" u="1"/>
        <n v="384199" u="1"/>
        <n v="287926" u="1"/>
        <n v="389705" u="1"/>
        <n v="293429" u="1"/>
        <n v="392456" u="1"/>
        <n v="356697" u="1"/>
        <n v="141626" u="1"/>
        <n v="422718" u="1"/>
        <n v="293433" u="1"/>
        <n v="386959" u="1"/>
        <n v="226901" u="1"/>
        <n v="276933" u="1"/>
        <n v="392465" u="1"/>
        <n v="87525" u="1"/>
        <n v="226903" u="1"/>
        <n v="84775" u="1"/>
        <n v="381467" u="1"/>
        <n v="392471" u="1"/>
        <n v="206275" u="1"/>
        <n v="293445" u="1"/>
        <n v="320954" u="1"/>
        <n v="386972" u="1"/>
        <n v="386973" u="1"/>
        <n v="392476" u="1"/>
        <n v="95780" u="1"/>
        <n v="386976" u="1"/>
        <n v="261293" u="1"/>
        <n v="340214" u="1"/>
        <n v="400733" u="1"/>
        <n v="326464" u="1"/>
        <n v="263197" u="1"/>
        <n v="320963" u="1"/>
        <n v="375978" u="1"/>
        <n v="452999" u="1"/>
        <n v="469504" u="1"/>
        <n v="184276" u="1"/>
        <n v="202157" u="1"/>
        <n v="461257" u="1"/>
        <n v="261299" u="1"/>
        <n v="461259" u="1"/>
        <n v="342977" u="1"/>
        <n v="342979" u="1"/>
        <n v="156772" u="1"/>
        <n v="331977" u="1"/>
        <n v="78592" u="1"/>
        <n v="226918" u="1"/>
        <n v="466767" u="1"/>
        <n v="285219" u="1"/>
        <n v="210417" u="1"/>
        <n v="318236" u="1"/>
        <n v="389757" u="1"/>
        <n v="417267" u="1"/>
        <n v="417269" u="1"/>
        <n v="95789" u="1"/>
        <n v="124672" u="1"/>
        <n v="376011" u="1"/>
        <n v="425528" u="1"/>
        <n v="395272" u="1"/>
        <n v="332005" u="1"/>
        <n v="409026" u="1"/>
        <n v="222805" u="1"/>
        <n v="84789" u="1"/>
        <n v="118487" u="1"/>
        <n v="163668" u="1"/>
        <n v="244816" u="1"/>
        <n v="464053" u="1"/>
        <n v="323766" u="1"/>
        <n v="455806" u="1"/>
        <n v="102673" u="1"/>
        <n v="433804" u="1"/>
        <n v="312775" u="1"/>
        <n v="221442" u="1"/>
        <n v="417305" u="1"/>
        <n v="312779" u="1"/>
        <n v="417308" u="1"/>
        <n v="447569" u="1"/>
        <n v="118493" u="1"/>
        <n v="381552" u="1"/>
        <n v="90986" u="1"/>
        <n v="301785" u="1"/>
        <n v="282530" u="1"/>
        <n v="102678" u="1"/>
        <n v="282532" u="1"/>
        <n v="447577" u="1"/>
        <n v="301789" u="1"/>
        <n v="118496" u="1"/>
        <n v="422826" u="1"/>
        <n v="75172" u="1"/>
        <n v="274287" u="1"/>
        <n v="370564" u="1"/>
        <n v="472342" u="1"/>
        <n v="110245" u="1"/>
        <n v="444836" u="1"/>
        <n v="65197" u="1"/>
        <n v="282544" u="1"/>
        <n v="263289" u="1"/>
        <n v="461350" u="1"/>
        <n v="288054" u="1"/>
        <n v="105434" u="1"/>
        <n v="444850" u="1"/>
        <n v="420094" u="1"/>
        <n v="163696" u="1"/>
        <n v="158195" u="1"/>
        <n v="266054" u="1"/>
        <n v="411844" u="1"/>
        <n v="428351" u="1"/>
        <n v="143068" u="1"/>
        <n v="458612" u="1"/>
        <n v="417352" u="1"/>
        <n v="266061" u="1"/>
        <n v="362339" u="1"/>
        <n v="74492" u="1"/>
        <n v="126758" u="1"/>
        <n v="384354" u="1"/>
        <n v="122633" u="1"/>
        <n v="293586" u="1"/>
        <n v="312844" u="1"/>
        <n v="293590" u="1"/>
        <n v="409123" u="1"/>
        <n v="247610" u="1"/>
        <n v="250361" u="1"/>
        <n v="417377" u="1"/>
        <n v="154085" u="1"/>
        <n v="59014" u="1"/>
        <n v="169218" u="1"/>
        <n v="137586" u="1"/>
        <n v="398133" u="1"/>
        <n v="409136" u="1"/>
        <n v="411887" u="1"/>
        <n v="469654" u="1"/>
        <n v="130204" u="1"/>
        <n v="409142" u="1"/>
        <n v="450404" u="1"/>
        <n v="384389" u="1"/>
        <n v="250372" u="1"/>
        <n v="381641" u="1"/>
        <n v="62799" u="1"/>
        <n v="215989" u="1"/>
        <n v="74504" u="1"/>
        <n v="323878" u="1"/>
        <n v="420157" u="1"/>
        <n v="450416" u="1"/>
        <n v="250377" u="1"/>
        <n v="274370" u="1"/>
        <n v="362394" u="1"/>
        <n v="222871" u="1"/>
        <n v="99951" u="1"/>
        <n v="254507" u="1"/>
        <n v="263375" u="1"/>
        <n v="310139" u="1"/>
        <n v="121271" u="1"/>
        <n v="63833" u="1"/>
        <n v="263379" u="1"/>
        <n v="469686" u="1"/>
        <n v="411921" u="1"/>
        <n v="263385" u="1"/>
        <n v="249012" u="1"/>
        <n v="323907" u="1"/>
        <n v="246263" u="1"/>
        <n v="403682" u="1"/>
        <n v="246265" u="1"/>
        <n v="222884" u="1"/>
        <n v="329416" u="1"/>
        <n v="246267" u="1"/>
        <n v="145865" u="1"/>
        <n v="326667" u="1"/>
        <n v="326668" u="1"/>
        <n v="345924" u="1"/>
        <n v="103397" u="1"/>
        <n v="246269" u="1"/>
        <n v="64524" u="1"/>
        <n v="200883" u="1"/>
        <n v="246273" u="1"/>
        <n v="114403" u="1"/>
        <n v="77268" u="1"/>
        <n v="239398" u="1"/>
        <n v="211891" u="1"/>
        <n v="198138" u="1"/>
        <n v="345940" u="1"/>
        <n v="222895" u="1"/>
        <n v="293678" u="1"/>
        <n v="345943" u="1"/>
        <n v="403709" u="1"/>
        <n v="373451" u="1"/>
        <n v="310184" u="1"/>
        <n v="178885" u="1"/>
        <n v="220147" u="1"/>
        <n v="414715" u="1"/>
        <n v="389959" u="1"/>
        <n v="304689" u="1"/>
        <n v="220151" u="1"/>
        <n v="108906" u="1"/>
        <n v="251786" u="1"/>
        <n v="439482" u="1"/>
        <n v="258663" u="1"/>
        <n v="359713" u="1"/>
        <n v="111658" u="1"/>
        <n v="233908" u="1"/>
        <n v="285444" u="1"/>
        <n v="395475" u="1"/>
        <n v="359717" u="1"/>
        <n v="220156" u="1"/>
        <n v="285451" u="1"/>
        <n v="384479" u="1"/>
        <n v="406485" u="1"/>
        <n v="365224" u="1"/>
        <n v="406486" u="1"/>
        <n v="220159" u="1"/>
        <n v="381730" u="1"/>
        <n v="359725" u="1"/>
        <n v="285455" u="1"/>
        <n v="428494" u="1"/>
        <n v="345972" u="1"/>
        <n v="417494" u="1"/>
        <n v="220162" u="1"/>
        <n v="315718" u="1"/>
        <n v="384487" u="1"/>
        <n v="345980" u="1"/>
        <n v="392743" u="1"/>
        <n v="251799" u="1"/>
        <n v="461516" u="1"/>
        <n v="376243" u="1"/>
        <n v="326730" u="1"/>
        <n v="250426" u="1"/>
        <n v="329485" u="1"/>
        <n v="376248" u="1"/>
        <n v="409258" u="1"/>
        <n v="329487" u="1"/>
        <n v="132146" u="1"/>
        <n v="348746" u="1"/>
        <n v="414765" u="1"/>
        <n v="253182" u="1"/>
        <n v="337751" u="1"/>
        <n v="362508" u="1"/>
        <n v="414778" u="1"/>
        <n v="458790" u="1"/>
        <n v="235308" u="1"/>
        <n v="271740" u="1"/>
        <n v="251813" u="1"/>
        <n v="321255" u="1"/>
        <n v="467045" u="1"/>
        <n v="412033" u="1"/>
        <n v="78663" u="1"/>
        <n v="321266" u="1"/>
        <n v="240818" u="1"/>
        <n v="238070" u="1"/>
        <n v="467065" u="1"/>
        <n v="436808" u="1"/>
        <n v="425808" u="1"/>
        <n v="318531" u="1"/>
        <n v="354291" u="1"/>
        <n v="412058" u="1"/>
        <n v="359794" u="1"/>
        <n v="384552" u="1"/>
        <n v="450571" u="1"/>
        <n v="236700" u="1"/>
        <n v="467076" u="1"/>
        <n v="282781" u="1"/>
        <n v="384560" u="1"/>
        <n v="390065" u="1"/>
        <n v="373561" u="1"/>
        <n v="238081" u="1"/>
        <n v="236706" u="1"/>
        <n v="238082" u="1"/>
        <n v="254588" u="1"/>
        <n v="236709" u="1"/>
        <n v="351565" u="1"/>
        <n v="86928" u="1"/>
        <n v="445100" u="1"/>
        <n v="92432" u="1"/>
        <n v="288311" u="1"/>
        <n v="147318" u="1"/>
        <n v="269057" u="1"/>
        <n v="236718" u="1"/>
        <n v="76616" u="1"/>
        <n v="288315" u="1"/>
        <n v="332328" u="1"/>
        <n v="357088" u="1"/>
        <n v="227095" u="1"/>
        <n v="412107" u="1"/>
        <n v="227096" u="1"/>
        <n v="390103" u="1"/>
        <n v="406608" u="1"/>
        <n v="321335" u="1"/>
        <n v="56980" u="1"/>
        <n v="357097" u="1"/>
        <n v="134948" u="1"/>
        <n v="307584" u="1"/>
        <n v="313086" u="1"/>
        <n v="315837" u="1"/>
        <n v="456126" u="1"/>
        <n v="456128" u="1"/>
        <n v="412117" u="1"/>
        <n v="395613" u="1"/>
        <n v="412119" u="1"/>
        <n v="59388" u="1"/>
        <n v="475388" u="1"/>
        <n v="291088" u="1"/>
        <n v="392866" u="1"/>
        <n v="384614" u="1"/>
        <n v="291091" u="1"/>
        <n v="395620" u="1"/>
        <n v="216102" u="1"/>
        <n v="392871" u="1"/>
        <n v="56982" u="1"/>
        <n v="121323" u="1"/>
        <n v="291094" u="1"/>
        <n v="122699" u="1"/>
        <n v="70435" u="1"/>
        <n v="395627" u="1"/>
        <n v="384625" u="1"/>
        <n v="379124" u="1"/>
        <n v="105508" u="1"/>
        <n v="392880" u="1"/>
        <n v="439643" u="1"/>
        <n v="340617" u="1"/>
        <n v="261495" u="1"/>
        <n v="203730" u="1"/>
        <n v="475410" u="1"/>
        <n v="57328" u="1"/>
        <n v="150093" u="1"/>
        <n v="324121" u="1"/>
        <n v="271858" u="1"/>
        <n v="392892" u="1"/>
        <n v="140468" u="1"/>
        <n v="392897" u="1"/>
        <n v="285618" u="1"/>
        <n v="373644" u="1"/>
        <n v="398401" u="1"/>
        <n v="392900" u="1"/>
        <n v="324132" u="1"/>
        <n v="346138" u="1"/>
        <n v="346139" u="1"/>
        <n v="417662" u="1"/>
        <n v="392908" u="1"/>
        <n v="112393" u="1"/>
        <n v="458930" u="1"/>
        <n v="299388" u="1"/>
        <n v="469936" u="1"/>
        <n v="409422" u="1"/>
        <n v="425928" u="1"/>
        <n v="144608" u="1"/>
        <n v="250513" u="1"/>
        <n v="409429" u="1"/>
        <n v="357165" u="1"/>
        <n v="213379" u="1"/>
        <n v="387431" u="1"/>
        <n v="75951" u="1"/>
        <n v="318663" u="1"/>
        <n v="100708" u="1"/>
        <n v="456202" u="1"/>
        <n v="213385" u="1"/>
        <n v="68388" u="1"/>
        <n v="453459" u="1"/>
        <n v="216140" u="1"/>
        <n v="343434" u="1"/>
        <n v="213390" u="1"/>
        <n v="453465" u="1"/>
        <n v="456219" u="1"/>
        <n v="144624" u="1"/>
        <n v="453471" u="1"/>
        <n v="64557" u="1"/>
        <n v="257406" u="1"/>
        <n v="304935" u="1"/>
        <n v="420473" u="1"/>
        <n v="257411" u="1"/>
        <n v="387465" u="1"/>
        <n v="346206" u="1"/>
        <n v="108969" u="1"/>
        <n v="373714" u="1"/>
        <n v="288441" u="1"/>
        <n v="332454" u="1"/>
        <n v="58714" u="1"/>
        <n v="469997" u="1"/>
        <n v="346214" u="1"/>
        <n v="381974" u="1"/>
        <n v="458995" u="1"/>
        <n v="461746" u="1"/>
        <n v="324210" u="1"/>
        <n v="86278" u="1"/>
        <n v="357221" u="1"/>
        <n v="332466" u="1"/>
        <n v="236789" u="1"/>
        <n v="420493" u="1"/>
        <n v="99346" u="1"/>
        <n v="324220" u="1"/>
        <n v="373735" u="1"/>
        <n v="324222" u="1"/>
        <n v="130293" u="1"/>
        <n v="324227" u="1"/>
        <n v="56310" u="1"/>
        <n v="359989" u="1"/>
        <n v="192788" u="1"/>
        <n v="335240" u="1"/>
        <n v="406760" u="1"/>
        <n v="106228" u="1"/>
        <n v="280232" u="1"/>
        <n v="315992" u="1"/>
        <n v="387513" u="1"/>
        <n v="346253" u="1"/>
        <n v="304992" u="1"/>
        <n v="256061" u="1"/>
        <n v="304994" u="1"/>
        <n v="315997" u="1"/>
        <n v="475541" u="1"/>
        <n v="256062" u="1"/>
        <n v="236807" u="1"/>
        <n v="304996" u="1"/>
        <n v="304998" u="1"/>
        <n v="428782" u="1"/>
        <n v="398524" u="1"/>
        <n v="203801" u="1"/>
        <n v="76662" u="1"/>
        <n v="251940" u="1"/>
        <n v="354521" u="1"/>
        <n v="73225" u="1"/>
        <n v="354522" u="1"/>
        <n v="349022" u="1"/>
        <n v="313265" u="1"/>
        <n v="294010" u="1"/>
        <n v="318767" u="1"/>
        <n v="470060" u="1"/>
        <n v="470064" u="1"/>
        <n v="318773" u="1"/>
        <n v="346283" u="1"/>
        <n v="318776" u="1"/>
        <n v="335282" u="1"/>
        <n v="318779" u="1"/>
        <n v="310527" u="1"/>
        <n v="398554" u="1"/>
        <n v="318787" u="1"/>
        <n v="316037" u="1"/>
        <n v="420573" u="1"/>
        <n v="335301" u="1"/>
        <n v="453584" u="1"/>
        <n v="376566" u="1"/>
        <n v="318803" u="1"/>
        <n v="346311" u="1"/>
        <n v="461843" u="1"/>
        <n v="137808" u="1"/>
        <n v="346313" u="1"/>
        <n v="257466" u="1"/>
        <n v="58727" u="1"/>
        <n v="56664" u="1"/>
        <n v="154314" u="1"/>
        <n v="305056" u="1"/>
        <n v="390330" u="1"/>
        <n v="321563" u="1"/>
        <n v="327065" u="1"/>
        <n v="393083" u="1"/>
        <n v="109686" u="1"/>
        <n v="83554" u="1"/>
        <n v="335323" u="1"/>
        <n v="120002" u="1"/>
        <n v="113813" u="1"/>
        <n v="327072" u="1"/>
        <n v="158446" u="1"/>
        <n v="354580" u="1"/>
        <n v="119315" u="1"/>
        <n v="470113" u="1"/>
        <n v="431603" u="1"/>
        <n v="324325" u="1"/>
        <n v="398596" u="1"/>
        <n v="59417" u="1"/>
        <n v="119316" u="1"/>
        <n v="229969" u="1"/>
        <n v="431608" u="1"/>
        <n v="209339" u="1"/>
        <n v="55979" u="1"/>
        <n v="115191" u="1"/>
        <n v="194211" u="1"/>
        <n v="401353" u="1"/>
        <n v="67053" u="1"/>
        <n v="305078" u="1"/>
        <n v="470123" u="1"/>
        <n v="393107" u="1"/>
        <n v="191464" u="1"/>
        <n v="179086" u="1"/>
        <n v="398611" u="1"/>
        <n v="274828" u="1"/>
        <n v="194216" u="1"/>
        <n v="472884" u="1"/>
        <n v="412371" u="1"/>
        <n v="194220" u="1"/>
        <n v="136455" u="1"/>
        <n v="126199" u="1"/>
        <n v="232733" u="1"/>
        <n v="415138" u="1"/>
        <n v="423391" u="1"/>
        <n v="217610" u="1"/>
        <n v="420645" u="1"/>
        <n v="445402" u="1"/>
        <n v="58047" u="1"/>
        <n v="199734" u="1"/>
        <n v="445408" u="1"/>
        <n v="179104" u="1"/>
        <n v="415153" u="1"/>
        <n v="77380" u="1"/>
        <n v="291371" u="1"/>
        <n v="196986" u="1"/>
        <n v="87696" u="1"/>
        <n v="236873" u="1"/>
        <n v="390401" u="1"/>
        <n v="288624" u="1"/>
        <n v="420660" u="1"/>
        <n v="329886" u="1"/>
        <n v="269370" u="1"/>
        <n v="475678" u="1"/>
        <n v="390405" u="1"/>
        <n v="338143" u="1"/>
        <n v="415164" u="1"/>
        <n v="376658" u="1"/>
        <n v="64583" u="1"/>
        <n v="420672" u="1"/>
        <n v="445429" u="1"/>
        <n v="133727" u="1"/>
        <n v="360157" u="1"/>
        <n v="242383" u="1"/>
        <n v="269385" u="1"/>
        <n v="277643" u="1"/>
        <n v="118648" u="1"/>
      </sharedItems>
    </cacheField>
    <cacheField name="appointmentid" numFmtId="0">
      <sharedItems containsString="0" containsBlank="1" containsNumber="1" containsInteger="1" minValue="1731072" maxValue="10454296"/>
    </cacheField>
    <cacheField name="TransactionID" numFmtId="0">
      <sharedItems containsString="0" containsBlank="1" containsNumber="1" containsInteger="1" minValue="8475109" maxValue="54304554"/>
    </cacheField>
    <cacheField name="IsTransactionDeleted" numFmtId="0">
      <sharedItems containsBlank="1"/>
    </cacheField>
    <cacheField name="AgedDays" numFmtId="0">
      <sharedItems containsString="0" containsBlank="1" containsNumber="1" containsInteger="1" minValue="1" maxValue="2678"/>
    </cacheField>
    <cacheField name="CPT" numFmtId="0">
      <sharedItems containsBlank="1"/>
    </cacheField>
    <cacheField name="RetailCharge" numFmtId="0">
      <sharedItems containsString="0" containsBlank="1" containsNumber="1" minValue="0.01" maxValue="300"/>
    </cacheField>
    <cacheField name="TransactionAmount" numFmtId="0">
      <sharedItems containsString="0" containsBlank="1" containsNumber="1" minValue="0.01" maxValue="216"/>
    </cacheField>
    <cacheField name="TransactionUnits" numFmtId="0">
      <sharedItems containsString="0" containsBlank="1" containsNumber="1" containsInteger="1" minValue="1" maxValue="2"/>
    </cacheField>
    <cacheField name="InitialPatCharges" numFmtId="0">
      <sharedItems containsString="0" containsBlank="1" containsNumber="1" minValue="0" maxValue="300"/>
    </cacheField>
    <cacheField name="ChildPatCharges" numFmtId="0">
      <sharedItems containsString="0" containsBlank="1" containsNumber="1" minValue="0" maxValue="216"/>
    </cacheField>
    <cacheField name="PatVoucherPayments" numFmtId="0">
      <sharedItems containsString="0" containsBlank="1" containsNumber="1" minValue="-352.34" maxValue="200"/>
    </cacheField>
    <cacheField name="PatTransfers" numFmtId="0">
      <sharedItems containsString="0" containsBlank="1" containsNumber="1" minValue="0" maxValue="768"/>
    </cacheField>
    <cacheField name="PatAdjustments" numFmtId="0">
      <sharedItems containsString="0" containsBlank="1" containsNumber="1" minValue="0" maxValue="30"/>
    </cacheField>
    <cacheField name="PatAgeDate" numFmtId="0">
      <sharedItems containsNonDate="0" containsString="0" containsBlank="1"/>
    </cacheField>
    <cacheField name="InitialPriCharges" numFmtId="0">
      <sharedItems containsString="0" containsBlank="1" containsNumber="1" minValue="0" maxValue="300"/>
    </cacheField>
    <cacheField name="ChildPriCharges" numFmtId="0">
      <sharedItems containsString="0" containsBlank="1" containsNumber="1" containsInteger="1" minValue="0" maxValue="0"/>
    </cacheField>
    <cacheField name="PriPaymentCount" numFmtId="0">
      <sharedItems containsString="0" containsBlank="1" containsNumber="1" containsInteger="1" minValue="0" maxValue="3"/>
    </cacheField>
    <cacheField name="PriPayments" numFmtId="0">
      <sharedItems containsString="0" containsBlank="1" containsNumber="1" minValue="0" maxValue="234"/>
    </cacheField>
    <cacheField name="PriAdjustments" numFmtId="0">
      <sharedItems containsString="0" containsBlank="1" containsNumber="1" minValue="0" maxValue="96.5"/>
    </cacheField>
    <cacheField name="InitialSecCharges" numFmtId="0">
      <sharedItems containsString="0" containsBlank="1" containsNumber="1" containsInteger="1" minValue="0" maxValue="0"/>
    </cacheField>
    <cacheField name="ChildSecCharges" numFmtId="0">
      <sharedItems containsString="0" containsBlank="1" containsNumber="1" containsInteger="1" minValue="0" maxValue="216"/>
    </cacheField>
    <cacheField name="SecPaymentCount" numFmtId="0">
      <sharedItems containsString="0" containsBlank="1" containsNumber="1" containsInteger="1" minValue="0" maxValue="0"/>
    </cacheField>
    <cacheField name="SecPayments" numFmtId="0">
      <sharedItems containsString="0" containsBlank="1" containsNumber="1" containsInteger="1" minValue="0" maxValue="0"/>
    </cacheField>
    <cacheField name="SecAdjustments" numFmtId="0">
      <sharedItems containsString="0" containsBlank="1" containsNumber="1" containsInteger="1" minValue="0" maxValue="0"/>
    </cacheField>
    <cacheField name="InitialTerCharges" numFmtId="0">
      <sharedItems containsString="0" containsBlank="1" containsNumber="1" containsInteger="1" minValue="0" maxValue="0"/>
    </cacheField>
    <cacheField name="ChildTerCharges" numFmtId="0">
      <sharedItems containsString="0" containsBlank="1" containsNumber="1" containsInteger="1" minValue="0" maxValue="0"/>
    </cacheField>
    <cacheField name="TerPaymentCount" numFmtId="0">
      <sharedItems containsString="0" containsBlank="1" containsNumber="1" containsInteger="1" minValue="0" maxValue="0"/>
    </cacheField>
    <cacheField name="TerPayments" numFmtId="0">
      <sharedItems containsString="0" containsBlank="1" containsNumber="1" containsInteger="1" minValue="0" maxValue="0"/>
    </cacheField>
    <cacheField name="TerAdjustments" numFmtId="0">
      <sharedItems containsString="0" containsBlank="1" containsNumber="1" containsInteger="1" minValue="0" maxValue="0"/>
    </cacheField>
    <cacheField name="InitialUnknownCharges" numFmtId="0">
      <sharedItems containsString="0" containsBlank="1" containsNumber="1" minValue="0" maxValue="216"/>
    </cacheField>
    <cacheField name="ChildUnknownCharges" numFmtId="0">
      <sharedItems containsString="0" containsBlank="1" containsNumber="1" containsInteger="1" minValue="0" maxValue="0"/>
    </cacheField>
    <cacheField name="UnknownPayments" numFmtId="0">
      <sharedItems containsString="0" containsBlank="1" containsNumber="1" minValue="-159.33000000000001" maxValue="144.5"/>
    </cacheField>
    <cacheField name="UnknownPaymentCount" numFmtId="0">
      <sharedItems containsString="0" containsBlank="1" containsNumber="1" containsInteger="1" minValue="0" maxValue="2"/>
    </cacheField>
    <cacheField name="UnknownAdjustments" numFmtId="0">
      <sharedItems containsString="0" containsBlank="1" containsNumber="1" containsInteger="1" minValue="0" maxValue="71"/>
    </cacheField>
    <cacheField name="ARBalance" numFmtId="0">
      <sharedItems containsString="0" containsBlank="1" containsNumber="1" minValue="-749.14" maxValue="300"/>
    </cacheField>
    <cacheField name="CurrentPaymentProcessLookupID" numFmtId="0">
      <sharedItems containsNonDate="0" containsString="0" containsBlank="1"/>
    </cacheField>
    <cacheField name="InsGroupPrimary" numFmtId="0">
      <sharedItems containsBlank="1"/>
    </cacheField>
    <cacheField name="InsGroupSecondary" numFmtId="0">
      <sharedItems containsBlank="1"/>
    </cacheField>
    <cacheField name="InsGroupTertiary" numFmtId="0">
      <sharedItems containsNonDate="0" containsString="0" containsBlank="1"/>
    </cacheField>
    <cacheField name="InsPlanPrimary" numFmtId="0">
      <sharedItems containsBlank="1"/>
    </cacheField>
    <cacheField name="InsPlanSecondary" numFmtId="0">
      <sharedItems containsBlank="1"/>
    </cacheField>
    <cacheField name="InsPlanTertiary" numFmtId="0">
      <sharedItems containsNonDate="0" containsString="0" containsBlank="1"/>
    </cacheField>
    <cacheField name="ARBalanceInsGroup" numFmtId="0">
      <sharedItems containsBlank="1" count="14">
        <s v="PRIORITY HEALTH"/>
        <s v="WHOLESALE ACCOUNTS"/>
        <s v="WORKERS COMPENSATION"/>
        <m/>
        <s v="MEDICARE ADVANTAGE"/>
        <s v="BLUE CROSS BLUE SHIELD"/>
        <s v="AUTO"/>
        <s v="COMMERCIAL"/>
        <s v="MEDICARE"/>
        <s v="PATIENT PAY"/>
        <s v="UNITED HEALTHCARE" u="1"/>
        <s v="FEDERAL EMPLOYEE PROGRAMS" u="1"/>
        <s v="MEDICAID" u="1"/>
        <s v="TRICARE/CHAMPUS" u="1"/>
      </sharedItems>
    </cacheField>
    <cacheField name="ARBalanceInsPlan" numFmtId="0">
      <sharedItems containsBlank="1"/>
    </cacheField>
    <cacheField name="InsProcedureVoids" numFmtId="0">
      <sharedItems containsString="0" containsBlank="1" containsNumber="1" containsInteger="1" minValue="0" maxValue="0"/>
    </cacheField>
    <cacheField name="PatProcedureVoids" numFmtId="0">
      <sharedItems containsString="0" containsBlank="1" containsNumber="1" containsInteger="1" minValue="0" maxValue="150"/>
    </cacheField>
    <cacheField name="TransactionLocation" numFmtId="0">
      <sharedItems containsBlank="1"/>
    </cacheField>
    <cacheField name="AppointmentLocation" numFmtId="0">
      <sharedItems containsBlank="1"/>
    </cacheField>
    <cacheField name="AgeBucket" numFmtId="0">
      <sharedItems containsBlank="1" count="9">
        <s v="181 to 360"/>
        <s v=" 0  to 30"/>
        <s v="61 to 90"/>
        <s v="361+"/>
        <s v="31 to 60"/>
        <s v="151 to 180"/>
        <s v="121 to 150"/>
        <s v="91 to 120"/>
        <m/>
      </sharedItems>
    </cacheField>
    <cacheField name="AgeBucketOrder" numFmtId="0">
      <sharedItems containsString="0" containsBlank="1" containsNumber="1" containsInteger="1" minValue="1" maxValue="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8">
  <r>
    <x v="0"/>
    <n v="17"/>
    <s v="Biocorrect "/>
    <d v="2023-09-30T00:00:00"/>
    <x v="0"/>
    <n v="9124261"/>
    <n v="46485620"/>
    <b v="0"/>
    <n v="254"/>
    <s v="L3010"/>
    <n v="216"/>
    <n v="216"/>
    <n v="1"/>
    <n v="0"/>
    <n v="0"/>
    <n v="0"/>
    <n v="0"/>
    <n v="0"/>
    <m/>
    <n v="216"/>
    <n v="0"/>
    <n v="0"/>
    <n v="0"/>
    <n v="0"/>
    <n v="0"/>
    <n v="216"/>
    <n v="0"/>
    <n v="0"/>
    <n v="0"/>
    <n v="0"/>
    <n v="0"/>
    <n v="0"/>
    <n v="0"/>
    <n v="0"/>
    <n v="0"/>
    <n v="0"/>
    <n v="0"/>
    <n v="0"/>
    <n v="0"/>
    <n v="216"/>
    <m/>
    <s v="PRIORITY HEALTH"/>
    <s v="AUTO"/>
    <m/>
    <s v="Priority Health"/>
    <s v="ZZZ DNU Auto Owners CareWorks Auto"/>
    <m/>
    <x v="0"/>
    <s v="Priority Health"/>
    <n v="0"/>
    <n v="0"/>
    <s v="Biocorrect"/>
    <s v="Biocorrect"/>
    <x v="0"/>
    <n v="7"/>
  </r>
  <r>
    <x v="0"/>
    <n v="17"/>
    <s v="Biocorrect "/>
    <d v="2023-09-30T00:00:00"/>
    <x v="1"/>
    <n v="10389922"/>
    <n v="53908296"/>
    <b v="0"/>
    <n v="12"/>
    <s v="Metatarsal Pad"/>
    <n v="15"/>
    <n v="7.5"/>
    <n v="2"/>
    <n v="0"/>
    <n v="0"/>
    <n v="0"/>
    <n v="0"/>
    <n v="0"/>
    <m/>
    <n v="15"/>
    <n v="0"/>
    <n v="0"/>
    <n v="0"/>
    <n v="0"/>
    <n v="0"/>
    <n v="0"/>
    <n v="0"/>
    <n v="0"/>
    <n v="0"/>
    <n v="0"/>
    <n v="0"/>
    <n v="0"/>
    <n v="0"/>
    <n v="0"/>
    <n v="0"/>
    <n v="0"/>
    <n v="0"/>
    <n v="0"/>
    <n v="0"/>
    <n v="15"/>
    <m/>
    <s v="WHOLESALE ACCOUNTS"/>
    <m/>
    <m/>
    <s v="Nobile Shoes"/>
    <m/>
    <m/>
    <x v="1"/>
    <s v="Nobile Shoes"/>
    <n v="0"/>
    <n v="0"/>
    <s v="Biocorrect"/>
    <s v="Biocorrect"/>
    <x v="1"/>
    <n v="1"/>
  </r>
  <r>
    <x v="0"/>
    <n v="17"/>
    <s v="Biocorrect "/>
    <d v="2023-09-30T00:00:00"/>
    <x v="2"/>
    <n v="10414134"/>
    <n v="54016714"/>
    <b v="0"/>
    <n v="16"/>
    <s v="L3010"/>
    <n v="300"/>
    <n v="150"/>
    <n v="2"/>
    <n v="0"/>
    <n v="0"/>
    <n v="0"/>
    <n v="0"/>
    <n v="0"/>
    <m/>
    <n v="300"/>
    <n v="0"/>
    <n v="0"/>
    <n v="0"/>
    <n v="0"/>
    <n v="0"/>
    <n v="0"/>
    <n v="0"/>
    <n v="0"/>
    <n v="0"/>
    <n v="0"/>
    <n v="0"/>
    <n v="0"/>
    <n v="0"/>
    <n v="0"/>
    <n v="0"/>
    <n v="0"/>
    <n v="0"/>
    <n v="0"/>
    <n v="0"/>
    <n v="300"/>
    <m/>
    <s v="WORKERS COMPENSATION"/>
    <m/>
    <m/>
    <s v="Comp One Administrators WC"/>
    <m/>
    <m/>
    <x v="2"/>
    <s v="Comp One Administrators WC"/>
    <n v="0"/>
    <n v="0"/>
    <s v="Biocorrect"/>
    <s v="Biocorrect"/>
    <x v="1"/>
    <n v="1"/>
  </r>
  <r>
    <x v="0"/>
    <n v="17"/>
    <s v="Biocorrect "/>
    <d v="2023-09-30T00:00:00"/>
    <x v="2"/>
    <n v="10414134"/>
    <n v="54016723"/>
    <b v="0"/>
    <n v="16"/>
    <s v="L3010"/>
    <n v="300"/>
    <n v="150"/>
    <n v="2"/>
    <n v="0"/>
    <n v="0"/>
    <n v="0"/>
    <n v="0"/>
    <n v="0"/>
    <m/>
    <n v="300"/>
    <n v="0"/>
    <n v="0"/>
    <n v="0"/>
    <n v="0"/>
    <n v="0"/>
    <n v="0"/>
    <n v="0"/>
    <n v="0"/>
    <n v="0"/>
    <n v="0"/>
    <n v="0"/>
    <n v="0"/>
    <n v="0"/>
    <n v="0"/>
    <n v="0"/>
    <n v="0"/>
    <n v="0"/>
    <n v="0"/>
    <n v="0"/>
    <n v="300"/>
    <m/>
    <s v="WORKERS COMPENSATION"/>
    <m/>
    <m/>
    <s v="Comp One Administrators WC"/>
    <m/>
    <m/>
    <x v="2"/>
    <s v="Comp One Administrators WC"/>
    <n v="0"/>
    <n v="0"/>
    <s v="Biocorrect"/>
    <s v="Biocorrect"/>
    <x v="1"/>
    <n v="1"/>
  </r>
  <r>
    <x v="0"/>
    <n v="17"/>
    <s v="Biocorrect "/>
    <d v="2023-09-30T00:00:00"/>
    <x v="3"/>
    <n v="10138757"/>
    <n v="52363072"/>
    <b v="0"/>
    <n v="61"/>
    <s v="SHIP:"/>
    <n v="15"/>
    <n v="15"/>
    <n v="1"/>
    <n v="0"/>
    <n v="0"/>
    <n v="0"/>
    <n v="0"/>
    <n v="0"/>
    <m/>
    <n v="15"/>
    <n v="0"/>
    <n v="0"/>
    <n v="0"/>
    <n v="0"/>
    <n v="0"/>
    <n v="0"/>
    <n v="0"/>
    <n v="0"/>
    <n v="0"/>
    <n v="0"/>
    <n v="0"/>
    <n v="0"/>
    <n v="0"/>
    <n v="0"/>
    <n v="0"/>
    <n v="0"/>
    <n v="0"/>
    <n v="0"/>
    <n v="0"/>
    <n v="15"/>
    <m/>
    <s v="WHOLESALE ACCOUNTS"/>
    <m/>
    <m/>
    <s v="Bartlesville Physical Therapy"/>
    <m/>
    <m/>
    <x v="1"/>
    <s v="Bartlesville Physical Therapy"/>
    <n v="0"/>
    <n v="0"/>
    <s v="Biocorrect"/>
    <s v="Biocorrect"/>
    <x v="2"/>
    <n v="3"/>
  </r>
  <r>
    <x v="0"/>
    <n v="17"/>
    <s v="Biocorrect "/>
    <d v="2023-09-30T00:00:00"/>
    <x v="4"/>
    <n v="9221655"/>
    <n v="46813903"/>
    <b v="0"/>
    <n v="243"/>
    <s v="Metatarsal Pad"/>
    <n v="10"/>
    <n v="5"/>
    <n v="2"/>
    <n v="0"/>
    <n v="0"/>
    <n v="0"/>
    <n v="0"/>
    <n v="0"/>
    <m/>
    <n v="10"/>
    <n v="0"/>
    <n v="0"/>
    <n v="0"/>
    <n v="0"/>
    <n v="0"/>
    <n v="0"/>
    <n v="0"/>
    <n v="0"/>
    <n v="0"/>
    <n v="0"/>
    <n v="0"/>
    <n v="0"/>
    <n v="0"/>
    <n v="0"/>
    <n v="0"/>
    <n v="0"/>
    <n v="0"/>
    <n v="0"/>
    <n v="0"/>
    <n v="10"/>
    <m/>
    <s v="WHOLESALE ACCOUNTS"/>
    <m/>
    <m/>
    <s v="Yamamoto Chiropractic"/>
    <m/>
    <m/>
    <x v="1"/>
    <s v="Yamamoto Chiropractic"/>
    <n v="0"/>
    <n v="0"/>
    <s v="Biocorrect"/>
    <s v="Biocorrect"/>
    <x v="0"/>
    <n v="7"/>
  </r>
  <r>
    <x v="0"/>
    <n v="17"/>
    <s v="Biocorrect "/>
    <d v="2023-09-30T00:00:00"/>
    <x v="5"/>
    <n v="3503848"/>
    <n v="15663907"/>
    <b v="0"/>
    <n v="2007"/>
    <s v="SHIP:"/>
    <n v="15"/>
    <n v="15"/>
    <n v="1"/>
    <n v="0"/>
    <n v="0"/>
    <n v="0"/>
    <n v="0"/>
    <n v="0"/>
    <m/>
    <n v="15"/>
    <n v="0"/>
    <n v="1"/>
    <n v="234"/>
    <n v="0"/>
    <n v="0"/>
    <n v="0"/>
    <n v="0"/>
    <n v="0"/>
    <n v="0"/>
    <n v="0"/>
    <n v="0"/>
    <n v="0"/>
    <n v="0"/>
    <n v="0"/>
    <n v="0"/>
    <n v="0"/>
    <n v="0"/>
    <n v="0"/>
    <n v="0"/>
    <n v="-219"/>
    <m/>
    <s v="WHOLESALE ACCOUNTS"/>
    <m/>
    <m/>
    <s v="Metro Health Sports Medicine Center"/>
    <m/>
    <m/>
    <x v="1"/>
    <s v="Metro Health Sports Medicine Center"/>
    <n v="0"/>
    <n v="0"/>
    <s v="Biocorrect"/>
    <s v="Biocorrect"/>
    <x v="3"/>
    <n v="8"/>
  </r>
  <r>
    <x v="0"/>
    <n v="17"/>
    <s v="Biocorrect "/>
    <d v="2023-09-30T00:00:00"/>
    <x v="6"/>
    <n v="3519977"/>
    <n v="15745891"/>
    <b v="0"/>
    <n v="2005"/>
    <s v="FS"/>
    <n v="109.5"/>
    <n v="109.5"/>
    <n v="1"/>
    <n v="0"/>
    <n v="0"/>
    <n v="0"/>
    <n v="0"/>
    <n v="0"/>
    <m/>
    <n v="0"/>
    <n v="0"/>
    <n v="0"/>
    <n v="0"/>
    <n v="0"/>
    <n v="0"/>
    <n v="0"/>
    <n v="0"/>
    <n v="0"/>
    <n v="0"/>
    <n v="0"/>
    <n v="0"/>
    <n v="0"/>
    <n v="0"/>
    <n v="0"/>
    <n v="109.5"/>
    <n v="0"/>
    <n v="144.5"/>
    <n v="2"/>
    <n v="0"/>
    <n v="-35"/>
    <m/>
    <m/>
    <m/>
    <m/>
    <m/>
    <m/>
    <m/>
    <x v="3"/>
    <m/>
    <n v="0"/>
    <n v="0"/>
    <s v="Biocorrect"/>
    <s v="Biocorrect"/>
    <x v="3"/>
    <n v="8"/>
  </r>
  <r>
    <x v="0"/>
    <n v="17"/>
    <s v="Biocorrect "/>
    <d v="2023-09-30T00:00:00"/>
    <x v="4"/>
    <n v="9221655"/>
    <n v="46813902"/>
    <b v="0"/>
    <n v="243"/>
    <s v="Double layer top cover"/>
    <n v="20"/>
    <n v="10"/>
    <n v="2"/>
    <n v="0"/>
    <n v="0"/>
    <n v="0"/>
    <n v="0"/>
    <n v="0"/>
    <m/>
    <n v="20"/>
    <n v="0"/>
    <n v="0"/>
    <n v="0"/>
    <n v="0"/>
    <n v="0"/>
    <n v="0"/>
    <n v="0"/>
    <n v="0"/>
    <n v="0"/>
    <n v="0"/>
    <n v="0"/>
    <n v="0"/>
    <n v="0"/>
    <n v="0"/>
    <n v="0"/>
    <n v="0"/>
    <n v="0"/>
    <n v="0"/>
    <n v="0"/>
    <n v="20"/>
    <m/>
    <s v="WHOLESALE ACCOUNTS"/>
    <m/>
    <m/>
    <s v="Yamamoto Chiropractic"/>
    <m/>
    <m/>
    <x v="1"/>
    <s v="Yamamoto Chiropractic"/>
    <n v="0"/>
    <n v="0"/>
    <s v="Biocorrect"/>
    <s v="Biocorrect"/>
    <x v="0"/>
    <n v="7"/>
  </r>
  <r>
    <x v="0"/>
    <n v="17"/>
    <s v="Biocorrect "/>
    <d v="2023-09-30T00:00:00"/>
    <x v="7"/>
    <n v="10427374"/>
    <n v="54108320"/>
    <b v="0"/>
    <n v="5"/>
    <s v="Poly"/>
    <n v="85"/>
    <n v="85"/>
    <n v="1"/>
    <n v="0"/>
    <n v="0"/>
    <n v="0"/>
    <n v="0"/>
    <n v="0"/>
    <m/>
    <n v="85"/>
    <n v="0"/>
    <n v="0"/>
    <n v="0"/>
    <n v="0"/>
    <n v="0"/>
    <n v="0"/>
    <n v="0"/>
    <n v="0"/>
    <n v="0"/>
    <n v="0"/>
    <n v="0"/>
    <n v="0"/>
    <n v="0"/>
    <n v="0"/>
    <n v="0"/>
    <n v="0"/>
    <n v="0"/>
    <n v="0"/>
    <n v="0"/>
    <n v="85"/>
    <m/>
    <s v="WHOLESALE ACCOUNTS"/>
    <m/>
    <m/>
    <s v="Kalamazoo Foot Surgery"/>
    <m/>
    <m/>
    <x v="1"/>
    <s v="Kalamazoo Foot Surgery"/>
    <n v="0"/>
    <n v="0"/>
    <s v="Biocorrect"/>
    <s v="Biocorrect"/>
    <x v="1"/>
    <n v="1"/>
  </r>
  <r>
    <x v="0"/>
    <n v="17"/>
    <s v="Biocorrect "/>
    <d v="2023-09-30T00:00:00"/>
    <x v="8"/>
    <n v="10423341"/>
    <n v="54086569"/>
    <b v="0"/>
    <n v="8"/>
    <s v="Rearfoot EVA or Poly heel post"/>
    <n v="15"/>
    <n v="7.5"/>
    <n v="2"/>
    <n v="0"/>
    <n v="0"/>
    <n v="0"/>
    <n v="0"/>
    <n v="0"/>
    <m/>
    <n v="15"/>
    <n v="0"/>
    <n v="0"/>
    <n v="0"/>
    <n v="0"/>
    <n v="0"/>
    <n v="0"/>
    <n v="0"/>
    <n v="0"/>
    <n v="0"/>
    <n v="0"/>
    <n v="0"/>
    <n v="0"/>
    <n v="0"/>
    <n v="0"/>
    <n v="0"/>
    <n v="0"/>
    <n v="0"/>
    <n v="0"/>
    <n v="0"/>
    <n v="15"/>
    <m/>
    <s v="WHOLESALE ACCOUNTS"/>
    <m/>
    <m/>
    <s v="Kalamazoo Foot Surgery"/>
    <m/>
    <m/>
    <x v="1"/>
    <s v="Kalamazoo Foot Surgery"/>
    <n v="0"/>
    <n v="0"/>
    <s v="Biocorrect"/>
    <s v="Biocorrect"/>
    <x v="1"/>
    <n v="1"/>
  </r>
  <r>
    <x v="0"/>
    <n v="17"/>
    <s v="Biocorrect "/>
    <d v="2023-09-30T00:00:00"/>
    <x v="8"/>
    <n v="10423341"/>
    <n v="54086563"/>
    <b v="0"/>
    <n v="8"/>
    <s v="Poly"/>
    <n v="85"/>
    <n v="85"/>
    <n v="1"/>
    <n v="0"/>
    <n v="0"/>
    <n v="0"/>
    <n v="0"/>
    <n v="0"/>
    <m/>
    <n v="85"/>
    <n v="0"/>
    <n v="0"/>
    <n v="0"/>
    <n v="0"/>
    <n v="0"/>
    <n v="0"/>
    <n v="0"/>
    <n v="0"/>
    <n v="0"/>
    <n v="0"/>
    <n v="0"/>
    <n v="0"/>
    <n v="0"/>
    <n v="0"/>
    <n v="0"/>
    <n v="0"/>
    <n v="0"/>
    <n v="0"/>
    <n v="0"/>
    <n v="85"/>
    <m/>
    <s v="WHOLESALE ACCOUNTS"/>
    <m/>
    <m/>
    <s v="Kalamazoo Foot Surgery"/>
    <m/>
    <m/>
    <x v="1"/>
    <s v="Kalamazoo Foot Surgery"/>
    <n v="0"/>
    <n v="0"/>
    <s v="Biocorrect"/>
    <s v="Biocorrect"/>
    <x v="1"/>
    <n v="1"/>
  </r>
  <r>
    <x v="0"/>
    <n v="17"/>
    <s v="Biocorrect "/>
    <d v="2023-09-30T00:00:00"/>
    <x v="9"/>
    <n v="10437250"/>
    <n v="54178755"/>
    <b v="0"/>
    <n v="3"/>
    <s v="Leatherette top cover"/>
    <n v="25"/>
    <n v="12.5"/>
    <n v="2"/>
    <n v="0"/>
    <n v="0"/>
    <n v="0"/>
    <n v="0"/>
    <n v="0"/>
    <m/>
    <n v="25"/>
    <n v="0"/>
    <n v="0"/>
    <n v="0"/>
    <n v="0"/>
    <n v="0"/>
    <n v="0"/>
    <n v="0"/>
    <n v="0"/>
    <n v="0"/>
    <n v="0"/>
    <n v="0"/>
    <n v="0"/>
    <n v="0"/>
    <n v="0"/>
    <n v="0"/>
    <n v="0"/>
    <n v="0"/>
    <n v="0"/>
    <n v="0"/>
    <n v="25"/>
    <m/>
    <s v="WHOLESALE ACCOUNTS"/>
    <m/>
    <m/>
    <s v="Kalamazoo Foot Surgery"/>
    <m/>
    <m/>
    <x v="1"/>
    <s v="Kalamazoo Foot Surgery"/>
    <n v="0"/>
    <n v="0"/>
    <s v="Biocorrect"/>
    <s v="Biocorrect"/>
    <x v="1"/>
    <n v="1"/>
  </r>
  <r>
    <x v="0"/>
    <n v="17"/>
    <s v="Biocorrect "/>
    <d v="2023-09-30T00:00:00"/>
    <x v="10"/>
    <n v="9319024"/>
    <n v="47264235"/>
    <b v="0"/>
    <n v="225"/>
    <s v="Forefoot post"/>
    <n v="15"/>
    <n v="7.5"/>
    <n v="2"/>
    <n v="0"/>
    <n v="0"/>
    <n v="0"/>
    <n v="0"/>
    <n v="0"/>
    <m/>
    <n v="15"/>
    <n v="0"/>
    <n v="2"/>
    <n v="30"/>
    <n v="0"/>
    <n v="0"/>
    <n v="0"/>
    <n v="0"/>
    <n v="0"/>
    <n v="0"/>
    <n v="0"/>
    <n v="0"/>
    <n v="0"/>
    <n v="0"/>
    <n v="0"/>
    <n v="0"/>
    <n v="0"/>
    <n v="0"/>
    <n v="0"/>
    <n v="0"/>
    <n v="-15"/>
    <m/>
    <s v="WHOLESALE ACCOUNTS"/>
    <m/>
    <m/>
    <s v="Tahoe Forest Therapy Services"/>
    <m/>
    <m/>
    <x v="1"/>
    <s v="Tahoe Forest Therapy Services"/>
    <n v="0"/>
    <n v="0"/>
    <s v="Biocorrect"/>
    <s v="Biocorrect"/>
    <x v="0"/>
    <n v="7"/>
  </r>
  <r>
    <x v="0"/>
    <n v="17"/>
    <s v="Biocorrect "/>
    <d v="2023-09-30T00:00:00"/>
    <x v="10"/>
    <n v="9319024"/>
    <n v="47264239"/>
    <b v="0"/>
    <n v="225"/>
    <s v="SHIP:"/>
    <n v="15"/>
    <n v="15"/>
    <n v="1"/>
    <n v="0"/>
    <n v="0"/>
    <n v="0"/>
    <n v="0"/>
    <n v="0"/>
    <m/>
    <n v="15"/>
    <n v="0"/>
    <n v="2"/>
    <n v="30"/>
    <n v="0"/>
    <n v="0"/>
    <n v="0"/>
    <n v="0"/>
    <n v="0"/>
    <n v="0"/>
    <n v="0"/>
    <n v="0"/>
    <n v="0"/>
    <n v="0"/>
    <n v="0"/>
    <n v="0"/>
    <n v="0"/>
    <n v="0"/>
    <n v="0"/>
    <n v="0"/>
    <n v="-15"/>
    <m/>
    <s v="WHOLESALE ACCOUNTS"/>
    <m/>
    <m/>
    <s v="Tahoe Forest Therapy Services"/>
    <m/>
    <m/>
    <x v="1"/>
    <s v="Tahoe Forest Therapy Services"/>
    <n v="0"/>
    <n v="0"/>
    <s v="Biocorrect"/>
    <s v="Biocorrect"/>
    <x v="0"/>
    <n v="7"/>
  </r>
  <r>
    <x v="0"/>
    <n v="17"/>
    <s v="Biocorrect "/>
    <d v="2023-09-30T00:00:00"/>
    <x v="11"/>
    <n v="10336633"/>
    <n v="53563157"/>
    <b v="0"/>
    <n v="23"/>
    <s v="Rearfoot EVA or Poly heel post"/>
    <n v="15"/>
    <n v="7.5"/>
    <n v="2"/>
    <n v="0"/>
    <n v="0"/>
    <n v="0"/>
    <n v="0"/>
    <n v="0"/>
    <m/>
    <n v="15"/>
    <n v="0"/>
    <n v="0"/>
    <n v="0"/>
    <n v="0"/>
    <n v="0"/>
    <n v="0"/>
    <n v="0"/>
    <n v="0"/>
    <n v="0"/>
    <n v="0"/>
    <n v="0"/>
    <n v="0"/>
    <n v="0"/>
    <n v="0"/>
    <n v="0"/>
    <n v="0"/>
    <n v="0"/>
    <n v="0"/>
    <n v="0"/>
    <n v="15"/>
    <m/>
    <s v="WHOLESALE ACCOUNTS"/>
    <m/>
    <m/>
    <s v="Kalamazoo Foot Surgery"/>
    <m/>
    <m/>
    <x v="1"/>
    <s v="Kalamazoo Foot Surgery"/>
    <n v="0"/>
    <n v="0"/>
    <s v="Biocorrect"/>
    <s v="Biocorrect"/>
    <x v="1"/>
    <n v="1"/>
  </r>
  <r>
    <x v="0"/>
    <n v="17"/>
    <s v="Biocorrect "/>
    <d v="2023-09-30T00:00:00"/>
    <x v="11"/>
    <n v="10336633"/>
    <n v="53563323"/>
    <b v="0"/>
    <n v="23"/>
    <s v="Bottom cover"/>
    <n v="8"/>
    <n v="4"/>
    <n v="2"/>
    <n v="0"/>
    <n v="0"/>
    <n v="0"/>
    <n v="0"/>
    <n v="0"/>
    <m/>
    <n v="8"/>
    <n v="0"/>
    <n v="0"/>
    <n v="0"/>
    <n v="0"/>
    <n v="0"/>
    <n v="0"/>
    <n v="0"/>
    <n v="0"/>
    <n v="0"/>
    <n v="0"/>
    <n v="0"/>
    <n v="0"/>
    <n v="0"/>
    <n v="0"/>
    <n v="0"/>
    <n v="0"/>
    <n v="0"/>
    <n v="0"/>
    <n v="0"/>
    <n v="8"/>
    <m/>
    <s v="WHOLESALE ACCOUNTS"/>
    <m/>
    <m/>
    <s v="Kalamazoo Foot Surgery"/>
    <m/>
    <m/>
    <x v="1"/>
    <s v="Kalamazoo Foot Surgery"/>
    <n v="0"/>
    <n v="0"/>
    <s v="Biocorrect"/>
    <s v="Biocorrect"/>
    <x v="1"/>
    <n v="1"/>
  </r>
  <r>
    <x v="0"/>
    <n v="17"/>
    <s v="Biocorrect "/>
    <d v="2023-09-30T00:00:00"/>
    <x v="11"/>
    <n v="10336633"/>
    <n v="53563317"/>
    <b v="0"/>
    <n v="23"/>
    <s v="Single layer top cover"/>
    <n v="16"/>
    <n v="8"/>
    <n v="2"/>
    <n v="0"/>
    <n v="0"/>
    <n v="0"/>
    <n v="0"/>
    <n v="0"/>
    <m/>
    <n v="16"/>
    <n v="0"/>
    <n v="0"/>
    <n v="0"/>
    <n v="0"/>
    <n v="0"/>
    <n v="0"/>
    <n v="0"/>
    <n v="0"/>
    <n v="0"/>
    <n v="0"/>
    <n v="0"/>
    <n v="0"/>
    <n v="0"/>
    <n v="0"/>
    <n v="0"/>
    <n v="0"/>
    <n v="0"/>
    <n v="0"/>
    <n v="0"/>
    <n v="16"/>
    <m/>
    <s v="WHOLESALE ACCOUNTS"/>
    <m/>
    <m/>
    <s v="Kalamazoo Foot Surgery"/>
    <m/>
    <m/>
    <x v="1"/>
    <s v="Kalamazoo Foot Surgery"/>
    <n v="0"/>
    <n v="0"/>
    <s v="Biocorrect"/>
    <s v="Biocorrect"/>
    <x v="1"/>
    <n v="1"/>
  </r>
  <r>
    <x v="0"/>
    <n v="17"/>
    <s v="Biocorrect "/>
    <d v="2023-09-30T00:00:00"/>
    <x v="12"/>
    <n v="10349186"/>
    <n v="53662869"/>
    <b v="0"/>
    <n v="19"/>
    <s v="L3010"/>
    <n v="150"/>
    <n v="150"/>
    <n v="1"/>
    <n v="0"/>
    <n v="0"/>
    <n v="0"/>
    <n v="0"/>
    <n v="0"/>
    <m/>
    <n v="150"/>
    <n v="0"/>
    <n v="0"/>
    <n v="0"/>
    <n v="0"/>
    <n v="0"/>
    <n v="0"/>
    <n v="0"/>
    <n v="0"/>
    <n v="0"/>
    <n v="0"/>
    <n v="0"/>
    <n v="0"/>
    <n v="0"/>
    <n v="0"/>
    <n v="0"/>
    <n v="0"/>
    <n v="0"/>
    <n v="0"/>
    <n v="0"/>
    <n v="150"/>
    <m/>
    <s v="WORKERS COMPENSATION"/>
    <m/>
    <m/>
    <s v="Secura WC"/>
    <m/>
    <m/>
    <x v="2"/>
    <s v="Secura WC"/>
    <n v="0"/>
    <n v="0"/>
    <s v="Biocorrect"/>
    <s v="Biocorrect"/>
    <x v="1"/>
    <n v="1"/>
  </r>
  <r>
    <x v="0"/>
    <n v="17"/>
    <s v="Biocorrect "/>
    <d v="2023-09-30T00:00:00"/>
    <x v="13"/>
    <n v="10339688"/>
    <n v="53588888"/>
    <b v="0"/>
    <n v="23"/>
    <s v="Poly"/>
    <n v="85"/>
    <n v="85"/>
    <n v="1"/>
    <n v="0"/>
    <n v="0"/>
    <n v="0"/>
    <n v="0"/>
    <n v="0"/>
    <m/>
    <n v="85"/>
    <n v="0"/>
    <n v="0"/>
    <n v="0"/>
    <n v="0"/>
    <n v="0"/>
    <n v="0"/>
    <n v="0"/>
    <n v="0"/>
    <n v="0"/>
    <n v="0"/>
    <n v="0"/>
    <n v="0"/>
    <n v="0"/>
    <n v="0"/>
    <n v="0"/>
    <n v="0"/>
    <n v="0"/>
    <n v="0"/>
    <n v="0"/>
    <n v="85"/>
    <m/>
    <s v="WHOLESALE ACCOUNTS"/>
    <m/>
    <m/>
    <s v="Kalamazoo Foot Surgery"/>
    <m/>
    <m/>
    <x v="1"/>
    <s v="Kalamazoo Foot Surgery"/>
    <n v="0"/>
    <n v="0"/>
    <s v="Biocorrect"/>
    <s v="Biocorrect"/>
    <x v="1"/>
    <n v="1"/>
  </r>
  <r>
    <x v="0"/>
    <n v="17"/>
    <s v="Biocorrect "/>
    <d v="2023-09-30T00:00:00"/>
    <x v="14"/>
    <n v="10288385"/>
    <n v="53637181"/>
    <b v="0"/>
    <n v="22"/>
    <s v="L3010"/>
    <n v="216"/>
    <n v="216"/>
    <n v="1"/>
    <n v="0"/>
    <n v="0"/>
    <n v="0"/>
    <n v="0"/>
    <n v="0"/>
    <m/>
    <n v="216"/>
    <n v="0"/>
    <n v="0"/>
    <n v="0"/>
    <n v="0"/>
    <n v="0"/>
    <n v="0"/>
    <n v="0"/>
    <n v="0"/>
    <n v="0"/>
    <n v="0"/>
    <n v="0"/>
    <n v="0"/>
    <n v="0"/>
    <n v="0"/>
    <n v="0"/>
    <n v="0"/>
    <n v="0"/>
    <n v="0"/>
    <n v="0"/>
    <n v="216"/>
    <m/>
    <s v="MEDICARE ADVANTAGE"/>
    <m/>
    <m/>
    <s v="BCBS Medicare Plus Blue"/>
    <m/>
    <m/>
    <x v="4"/>
    <s v="BCBS Medicare Plus Blue"/>
    <n v="0"/>
    <n v="0"/>
    <s v="Biocorrect"/>
    <s v="Biocorrect"/>
    <x v="1"/>
    <n v="1"/>
  </r>
  <r>
    <x v="0"/>
    <n v="17"/>
    <s v="Biocorrect "/>
    <d v="2023-09-30T00:00:00"/>
    <x v="15"/>
    <n v="9076490"/>
    <n v="46078014"/>
    <b v="0"/>
    <n v="270"/>
    <s v="Poly"/>
    <n v="85"/>
    <n v="85"/>
    <n v="1"/>
    <n v="0"/>
    <n v="0"/>
    <n v="0"/>
    <n v="0"/>
    <n v="0"/>
    <m/>
    <n v="85"/>
    <n v="0"/>
    <n v="2"/>
    <n v="170"/>
    <n v="0"/>
    <n v="0"/>
    <n v="0"/>
    <n v="0"/>
    <n v="0"/>
    <n v="0"/>
    <n v="0"/>
    <n v="0"/>
    <n v="0"/>
    <n v="0"/>
    <n v="0"/>
    <n v="0"/>
    <n v="0"/>
    <n v="0"/>
    <n v="0"/>
    <n v="0"/>
    <n v="-85"/>
    <m/>
    <s v="WHOLESALE ACCOUNTS"/>
    <m/>
    <m/>
    <s v="Tahoe Forest Therapy Services"/>
    <m/>
    <m/>
    <x v="1"/>
    <s v="Tahoe Forest Therapy Services"/>
    <n v="0"/>
    <n v="0"/>
    <s v="Biocorrect"/>
    <s v="Biocorrect"/>
    <x v="0"/>
    <n v="7"/>
  </r>
  <r>
    <x v="0"/>
    <n v="17"/>
    <s v="Biocorrect "/>
    <d v="2023-09-30T00:00:00"/>
    <x v="16"/>
    <n v="1731072"/>
    <n v="8475109"/>
    <b v="0"/>
    <n v="2678"/>
    <s v="SHIP:"/>
    <n v="15"/>
    <n v="15"/>
    <n v="1"/>
    <n v="0"/>
    <n v="0"/>
    <n v="0"/>
    <n v="0"/>
    <n v="0"/>
    <m/>
    <n v="15"/>
    <n v="0"/>
    <n v="1"/>
    <n v="19"/>
    <n v="0"/>
    <n v="0"/>
    <n v="0"/>
    <n v="0"/>
    <n v="0"/>
    <n v="0"/>
    <n v="0"/>
    <n v="0"/>
    <n v="0"/>
    <n v="0"/>
    <n v="0"/>
    <n v="0"/>
    <n v="0"/>
    <n v="0"/>
    <n v="0"/>
    <n v="0"/>
    <n v="-4"/>
    <m/>
    <s v="WHOLESALE ACCOUNTS"/>
    <m/>
    <m/>
    <s v="Elevate Performance &amp; PT"/>
    <m/>
    <m/>
    <x v="1"/>
    <s v="Elevate Performance &amp; PT"/>
    <n v="0"/>
    <n v="0"/>
    <s v="Biocorrect"/>
    <s v="Biocorrect"/>
    <x v="3"/>
    <n v="8"/>
  </r>
  <r>
    <x v="0"/>
    <n v="17"/>
    <s v="Biocorrect "/>
    <d v="2023-09-30T00:00:00"/>
    <x v="17"/>
    <n v="10362200"/>
    <n v="53717348"/>
    <b v="0"/>
    <n v="18"/>
    <s v="Single layer top cover"/>
    <n v="16"/>
    <n v="8"/>
    <n v="2"/>
    <n v="0"/>
    <n v="0"/>
    <n v="0"/>
    <n v="0"/>
    <n v="0"/>
    <m/>
    <n v="16"/>
    <n v="0"/>
    <n v="0"/>
    <n v="0"/>
    <n v="0"/>
    <n v="0"/>
    <n v="0"/>
    <n v="0"/>
    <n v="0"/>
    <n v="0"/>
    <n v="0"/>
    <n v="0"/>
    <n v="0"/>
    <n v="0"/>
    <n v="0"/>
    <n v="0"/>
    <n v="0"/>
    <n v="0"/>
    <n v="0"/>
    <n v="0"/>
    <n v="16"/>
    <m/>
    <s v="WHOLESALE ACCOUNTS"/>
    <m/>
    <m/>
    <s v="Nobile Shoes"/>
    <m/>
    <m/>
    <x v="1"/>
    <s v="Nobile Shoes"/>
    <n v="0"/>
    <n v="0"/>
    <s v="Biocorrect"/>
    <s v="Biocorrect"/>
    <x v="1"/>
    <n v="1"/>
  </r>
  <r>
    <x v="0"/>
    <n v="17"/>
    <s v="Biocorrect "/>
    <d v="2023-09-30T00:00:00"/>
    <x v="17"/>
    <n v="10362200"/>
    <n v="53717387"/>
    <b v="0"/>
    <n v="18"/>
    <s v="SHIP:"/>
    <n v="15"/>
    <n v="15"/>
    <n v="1"/>
    <n v="0"/>
    <n v="0"/>
    <n v="0"/>
    <n v="0"/>
    <n v="0"/>
    <m/>
    <n v="15"/>
    <n v="0"/>
    <n v="0"/>
    <n v="0"/>
    <n v="0"/>
    <n v="0"/>
    <n v="0"/>
    <n v="0"/>
    <n v="0"/>
    <n v="0"/>
    <n v="0"/>
    <n v="0"/>
    <n v="0"/>
    <n v="0"/>
    <n v="0"/>
    <n v="0"/>
    <n v="0"/>
    <n v="0"/>
    <n v="0"/>
    <n v="0"/>
    <n v="15"/>
    <m/>
    <s v="WHOLESALE ACCOUNTS"/>
    <m/>
    <m/>
    <s v="Nobile Shoes"/>
    <m/>
    <m/>
    <x v="1"/>
    <s v="Nobile Shoes"/>
    <n v="0"/>
    <n v="0"/>
    <s v="Biocorrect"/>
    <s v="Biocorrect"/>
    <x v="1"/>
    <n v="1"/>
  </r>
  <r>
    <x v="0"/>
    <n v="17"/>
    <s v="Biocorrect "/>
    <d v="2023-09-30T00:00:00"/>
    <x v="18"/>
    <n v="10302920"/>
    <n v="53664401"/>
    <b v="0"/>
    <n v="22"/>
    <s v="L3010"/>
    <n v="216"/>
    <n v="216"/>
    <n v="1"/>
    <n v="0"/>
    <n v="0"/>
    <n v="0"/>
    <n v="0"/>
    <n v="0"/>
    <m/>
    <n v="216"/>
    <n v="0"/>
    <n v="0"/>
    <n v="0"/>
    <n v="0"/>
    <n v="0"/>
    <n v="0"/>
    <n v="0"/>
    <n v="0"/>
    <n v="0"/>
    <n v="0"/>
    <n v="0"/>
    <n v="0"/>
    <n v="0"/>
    <n v="0"/>
    <n v="0"/>
    <n v="0"/>
    <n v="0"/>
    <n v="0"/>
    <n v="0"/>
    <n v="216"/>
    <m/>
    <s v="BLUE CROSS BLUE SHIELD"/>
    <m/>
    <m/>
    <s v="BCBSM PPO"/>
    <m/>
    <m/>
    <x v="5"/>
    <s v="BCBSM PPO"/>
    <n v="0"/>
    <n v="0"/>
    <s v="Biocorrect"/>
    <s v="Biocorrect"/>
    <x v="1"/>
    <n v="1"/>
  </r>
  <r>
    <x v="0"/>
    <n v="17"/>
    <s v="Biocorrect "/>
    <d v="2023-09-30T00:00:00"/>
    <x v="19"/>
    <n v="10230675"/>
    <n v="52932483"/>
    <b v="0"/>
    <n v="44"/>
    <s v="L3010"/>
    <n v="216"/>
    <n v="216"/>
    <n v="1"/>
    <n v="0"/>
    <n v="0"/>
    <n v="0"/>
    <n v="0"/>
    <n v="0"/>
    <m/>
    <n v="216"/>
    <n v="0"/>
    <n v="0"/>
    <n v="0"/>
    <n v="0"/>
    <n v="0"/>
    <n v="0"/>
    <n v="0"/>
    <n v="0"/>
    <n v="0"/>
    <n v="0"/>
    <n v="0"/>
    <n v="0"/>
    <n v="0"/>
    <n v="0"/>
    <n v="0"/>
    <n v="0"/>
    <n v="0"/>
    <n v="0"/>
    <n v="0"/>
    <n v="216"/>
    <m/>
    <s v="BLUE CROSS BLUE SHIELD"/>
    <m/>
    <m/>
    <s v="BCBS Out of State"/>
    <m/>
    <m/>
    <x v="5"/>
    <s v="BCBS Out of State"/>
    <n v="0"/>
    <n v="0"/>
    <s v="Biocorrect"/>
    <s v="Biocorrect"/>
    <x v="4"/>
    <n v="2"/>
  </r>
  <r>
    <x v="0"/>
    <n v="17"/>
    <s v="Biocorrect "/>
    <d v="2023-09-30T00:00:00"/>
    <x v="20"/>
    <n v="10250265"/>
    <n v="52990506"/>
    <b v="0"/>
    <n v="43"/>
    <s v="L3010"/>
    <n v="109.5"/>
    <n v="109.5"/>
    <n v="1"/>
    <n v="0"/>
    <n v="0"/>
    <n v="0"/>
    <n v="0"/>
    <n v="0"/>
    <m/>
    <n v="109.5"/>
    <n v="0"/>
    <n v="0"/>
    <n v="0"/>
    <n v="0"/>
    <n v="0"/>
    <n v="0"/>
    <n v="0"/>
    <n v="0"/>
    <n v="0"/>
    <n v="0"/>
    <n v="0"/>
    <n v="0"/>
    <n v="0"/>
    <n v="0"/>
    <n v="0"/>
    <n v="0"/>
    <n v="0"/>
    <n v="0"/>
    <n v="0"/>
    <n v="109.5"/>
    <m/>
    <s v="WHOLESALE ACCOUNTS"/>
    <m/>
    <m/>
    <s v="Good Life Therapy"/>
    <m/>
    <m/>
    <x v="1"/>
    <s v="Good Life Therapy"/>
    <n v="0"/>
    <n v="0"/>
    <s v="Biocorrect"/>
    <s v="Biocorrect"/>
    <x v="4"/>
    <n v="2"/>
  </r>
  <r>
    <x v="0"/>
    <n v="17"/>
    <s v="Biocorrect "/>
    <d v="2023-09-30T00:00:00"/>
    <x v="21"/>
    <n v="10220420"/>
    <n v="53072303"/>
    <b v="0"/>
    <n v="39"/>
    <s v="L3010"/>
    <n v="216"/>
    <n v="216"/>
    <n v="1"/>
    <n v="0"/>
    <n v="0"/>
    <n v="0"/>
    <n v="0"/>
    <n v="0"/>
    <m/>
    <n v="216"/>
    <n v="0"/>
    <n v="0"/>
    <n v="0"/>
    <n v="0"/>
    <n v="0"/>
    <n v="0"/>
    <n v="0"/>
    <n v="0"/>
    <n v="0"/>
    <n v="0"/>
    <n v="0"/>
    <n v="0"/>
    <n v="0"/>
    <n v="0"/>
    <n v="0"/>
    <n v="0"/>
    <n v="0"/>
    <n v="0"/>
    <n v="0"/>
    <n v="216"/>
    <m/>
    <s v="BLUE CROSS BLUE SHIELD"/>
    <m/>
    <m/>
    <s v="BCBS Out of State"/>
    <m/>
    <m/>
    <x v="5"/>
    <s v="BCBS Out of State"/>
    <n v="0"/>
    <n v="0"/>
    <s v="Biocorrect"/>
    <s v="Biocorrect"/>
    <x v="4"/>
    <n v="2"/>
  </r>
  <r>
    <x v="0"/>
    <n v="17"/>
    <s v="Biocorrect "/>
    <d v="2023-09-30T00:00:00"/>
    <x v="22"/>
    <n v="10370554"/>
    <n v="53926889"/>
    <b v="0"/>
    <n v="11"/>
    <s v="L3020"/>
    <n v="216"/>
    <n v="216"/>
    <n v="1"/>
    <n v="0"/>
    <n v="0"/>
    <n v="0"/>
    <n v="0"/>
    <n v="0"/>
    <m/>
    <n v="216"/>
    <n v="0"/>
    <n v="0"/>
    <n v="0"/>
    <n v="0"/>
    <n v="0"/>
    <n v="0"/>
    <n v="0"/>
    <n v="0"/>
    <n v="0"/>
    <n v="0"/>
    <n v="0"/>
    <n v="0"/>
    <n v="0"/>
    <n v="0"/>
    <n v="0"/>
    <n v="0"/>
    <n v="0"/>
    <n v="0"/>
    <n v="0"/>
    <n v="216"/>
    <m/>
    <s v="BLUE CROSS BLUE SHIELD"/>
    <m/>
    <m/>
    <s v="BCBSM PPO"/>
    <m/>
    <m/>
    <x v="5"/>
    <s v="BCBSM PPO"/>
    <n v="0"/>
    <n v="0"/>
    <s v="Biocorrect"/>
    <s v="Biocorrect"/>
    <x v="1"/>
    <n v="1"/>
  </r>
  <r>
    <x v="0"/>
    <n v="17"/>
    <s v="Biocorrect "/>
    <d v="2023-09-30T00:00:00"/>
    <x v="22"/>
    <n v="10370554"/>
    <n v="53926890"/>
    <b v="0"/>
    <n v="11"/>
    <s v="L3020"/>
    <n v="216"/>
    <n v="216"/>
    <n v="1"/>
    <n v="0"/>
    <n v="0"/>
    <n v="0"/>
    <n v="0"/>
    <n v="0"/>
    <m/>
    <n v="216"/>
    <n v="0"/>
    <n v="0"/>
    <n v="0"/>
    <n v="0"/>
    <n v="0"/>
    <n v="0"/>
    <n v="0"/>
    <n v="0"/>
    <n v="0"/>
    <n v="0"/>
    <n v="0"/>
    <n v="0"/>
    <n v="0"/>
    <n v="0"/>
    <n v="0"/>
    <n v="0"/>
    <n v="0"/>
    <n v="0"/>
    <n v="0"/>
    <n v="216"/>
    <m/>
    <s v="BLUE CROSS BLUE SHIELD"/>
    <m/>
    <m/>
    <s v="BCBSM PPO"/>
    <m/>
    <m/>
    <x v="5"/>
    <s v="BCBSM PPO"/>
    <n v="0"/>
    <n v="0"/>
    <s v="Biocorrect"/>
    <s v="Biocorrect"/>
    <x v="1"/>
    <n v="1"/>
  </r>
  <r>
    <x v="0"/>
    <n v="17"/>
    <s v="Biocorrect "/>
    <d v="2023-09-30T00:00:00"/>
    <x v="23"/>
    <n v="10438271"/>
    <n v="54185629"/>
    <b v="0"/>
    <n v="5"/>
    <s v="TS"/>
    <n v="116"/>
    <n v="116"/>
    <n v="1"/>
    <n v="0"/>
    <n v="0"/>
    <n v="0"/>
    <n v="0"/>
    <n v="0"/>
    <m/>
    <n v="116"/>
    <n v="0"/>
    <n v="0"/>
    <n v="0"/>
    <n v="0"/>
    <n v="0"/>
    <n v="0"/>
    <n v="0"/>
    <n v="0"/>
    <n v="0"/>
    <n v="0"/>
    <n v="0"/>
    <n v="0"/>
    <n v="0"/>
    <n v="0"/>
    <n v="0"/>
    <n v="0"/>
    <n v="0"/>
    <n v="0"/>
    <n v="0"/>
    <n v="116"/>
    <m/>
    <s v="WHOLESALE ACCOUNTS"/>
    <m/>
    <m/>
    <s v="WTA"/>
    <m/>
    <m/>
    <x v="1"/>
    <s v="WTA"/>
    <n v="0"/>
    <n v="0"/>
    <s v="Biocorrect"/>
    <s v="Biocorrect"/>
    <x v="1"/>
    <n v="1"/>
  </r>
  <r>
    <x v="0"/>
    <n v="17"/>
    <s v="Biocorrect "/>
    <d v="2023-09-30T00:00:00"/>
    <x v="24"/>
    <n v="10402530"/>
    <n v="53963613"/>
    <b v="0"/>
    <n v="10"/>
    <s v="Poly"/>
    <n v="85"/>
    <n v="85"/>
    <n v="1"/>
    <n v="0"/>
    <n v="0"/>
    <n v="0"/>
    <n v="0"/>
    <n v="0"/>
    <m/>
    <n v="85"/>
    <n v="0"/>
    <n v="0"/>
    <n v="0"/>
    <n v="0"/>
    <n v="0"/>
    <n v="0"/>
    <n v="0"/>
    <n v="0"/>
    <n v="0"/>
    <n v="0"/>
    <n v="0"/>
    <n v="0"/>
    <n v="0"/>
    <n v="0"/>
    <n v="0"/>
    <n v="0"/>
    <n v="0"/>
    <n v="0"/>
    <n v="0"/>
    <n v="85"/>
    <m/>
    <s v="WHOLESALE ACCOUNTS"/>
    <m/>
    <m/>
    <s v="Kalamazoo Foot Surgery"/>
    <m/>
    <m/>
    <x v="1"/>
    <s v="Kalamazoo Foot Surgery"/>
    <n v="0"/>
    <n v="0"/>
    <s v="Biocorrect"/>
    <s v="Biocorrect"/>
    <x v="1"/>
    <n v="1"/>
  </r>
  <r>
    <x v="0"/>
    <n v="17"/>
    <s v="Biocorrect "/>
    <d v="2023-09-30T00:00:00"/>
    <x v="25"/>
    <n v="10402569"/>
    <n v="53963771"/>
    <b v="0"/>
    <n v="10"/>
    <s v="Bottom cover"/>
    <n v="8"/>
    <n v="4"/>
    <n v="2"/>
    <n v="0"/>
    <n v="0"/>
    <n v="0"/>
    <n v="0"/>
    <n v="0"/>
    <m/>
    <n v="8"/>
    <n v="0"/>
    <n v="0"/>
    <n v="0"/>
    <n v="0"/>
    <n v="0"/>
    <n v="0"/>
    <n v="0"/>
    <n v="0"/>
    <n v="0"/>
    <n v="0"/>
    <n v="0"/>
    <n v="0"/>
    <n v="0"/>
    <n v="0"/>
    <n v="0"/>
    <n v="0"/>
    <n v="0"/>
    <n v="0"/>
    <n v="0"/>
    <n v="8"/>
    <m/>
    <s v="WHOLESALE ACCOUNTS"/>
    <m/>
    <m/>
    <s v="Kalamazoo Foot Surgery"/>
    <m/>
    <m/>
    <x v="1"/>
    <s v="Kalamazoo Foot Surgery"/>
    <n v="0"/>
    <n v="0"/>
    <s v="Biocorrect"/>
    <s v="Biocorrect"/>
    <x v="1"/>
    <n v="1"/>
  </r>
  <r>
    <x v="0"/>
    <n v="17"/>
    <s v="Biocorrect "/>
    <d v="2023-09-30T00:00:00"/>
    <x v="1"/>
    <n v="10389922"/>
    <n v="53907967"/>
    <b v="0"/>
    <n v="12"/>
    <s v="EVA"/>
    <n v="85"/>
    <n v="85"/>
    <n v="1"/>
    <n v="0"/>
    <n v="0"/>
    <n v="0"/>
    <n v="0"/>
    <n v="0"/>
    <m/>
    <n v="85"/>
    <n v="0"/>
    <n v="0"/>
    <n v="0"/>
    <n v="0"/>
    <n v="0"/>
    <n v="0"/>
    <n v="0"/>
    <n v="0"/>
    <n v="0"/>
    <n v="0"/>
    <n v="0"/>
    <n v="0"/>
    <n v="0"/>
    <n v="0"/>
    <n v="0"/>
    <n v="0"/>
    <n v="0"/>
    <n v="0"/>
    <n v="0"/>
    <n v="85"/>
    <m/>
    <s v="WHOLESALE ACCOUNTS"/>
    <m/>
    <m/>
    <s v="Nobile Shoes"/>
    <m/>
    <m/>
    <x v="1"/>
    <s v="Nobile Shoes"/>
    <n v="0"/>
    <n v="0"/>
    <s v="Biocorrect"/>
    <s v="Biocorrect"/>
    <x v="1"/>
    <n v="1"/>
  </r>
  <r>
    <x v="0"/>
    <n v="17"/>
    <s v="Biocorrect "/>
    <d v="2023-09-30T00:00:00"/>
    <x v="1"/>
    <n v="10389922"/>
    <n v="53908290"/>
    <b v="0"/>
    <n v="12"/>
    <s v="Single layer top cover"/>
    <n v="16"/>
    <n v="8"/>
    <n v="2"/>
    <n v="0"/>
    <n v="0"/>
    <n v="0"/>
    <n v="0"/>
    <n v="0"/>
    <m/>
    <n v="16"/>
    <n v="0"/>
    <n v="0"/>
    <n v="0"/>
    <n v="0"/>
    <n v="0"/>
    <n v="0"/>
    <n v="0"/>
    <n v="0"/>
    <n v="0"/>
    <n v="0"/>
    <n v="0"/>
    <n v="0"/>
    <n v="0"/>
    <n v="0"/>
    <n v="0"/>
    <n v="0"/>
    <n v="0"/>
    <n v="0"/>
    <n v="0"/>
    <n v="16"/>
    <m/>
    <s v="WHOLESALE ACCOUNTS"/>
    <m/>
    <m/>
    <s v="Nobile Shoes"/>
    <m/>
    <m/>
    <x v="1"/>
    <s v="Nobile Shoes"/>
    <n v="0"/>
    <n v="0"/>
    <s v="Biocorrect"/>
    <s v="Biocorrect"/>
    <x v="1"/>
    <n v="1"/>
  </r>
  <r>
    <x v="0"/>
    <n v="17"/>
    <s v="Biocorrect "/>
    <d v="2023-09-30T00:00:00"/>
    <x v="26"/>
    <n v="10403072"/>
    <n v="53966629"/>
    <b v="0"/>
    <n v="10"/>
    <s v="Metatarsal Pad"/>
    <n v="15"/>
    <n v="7.5"/>
    <n v="2"/>
    <n v="0"/>
    <n v="0"/>
    <n v="0"/>
    <n v="0"/>
    <n v="0"/>
    <m/>
    <n v="15"/>
    <n v="0"/>
    <n v="0"/>
    <n v="0"/>
    <n v="0"/>
    <n v="0"/>
    <n v="0"/>
    <n v="0"/>
    <n v="0"/>
    <n v="0"/>
    <n v="0"/>
    <n v="0"/>
    <n v="0"/>
    <n v="0"/>
    <n v="0"/>
    <n v="0"/>
    <n v="0"/>
    <n v="0"/>
    <n v="0"/>
    <n v="0"/>
    <n v="15"/>
    <m/>
    <s v="WHOLESALE ACCOUNTS"/>
    <m/>
    <m/>
    <s v="Nobile Shoes"/>
    <m/>
    <m/>
    <x v="1"/>
    <s v="Nobile Shoes"/>
    <n v="0"/>
    <n v="0"/>
    <s v="Biocorrect"/>
    <s v="Biocorrect"/>
    <x v="1"/>
    <n v="1"/>
  </r>
  <r>
    <x v="0"/>
    <n v="17"/>
    <s v="Biocorrect "/>
    <d v="2023-09-30T00:00:00"/>
    <x v="27"/>
    <n v="10365756"/>
    <n v="54007810"/>
    <b v="0"/>
    <n v="9"/>
    <s v="L3010"/>
    <n v="216"/>
    <n v="216"/>
    <n v="1"/>
    <n v="0"/>
    <n v="0"/>
    <n v="0"/>
    <n v="0"/>
    <n v="0"/>
    <m/>
    <n v="216"/>
    <n v="0"/>
    <n v="0"/>
    <n v="0"/>
    <n v="0"/>
    <n v="0"/>
    <n v="0"/>
    <n v="0"/>
    <n v="0"/>
    <n v="0"/>
    <n v="0"/>
    <n v="0"/>
    <n v="0"/>
    <n v="0"/>
    <n v="0"/>
    <n v="0"/>
    <n v="0"/>
    <n v="0"/>
    <n v="0"/>
    <n v="0"/>
    <n v="216"/>
    <m/>
    <s v="BLUE CROSS BLUE SHIELD"/>
    <m/>
    <m/>
    <s v="BCBSM PPO"/>
    <m/>
    <m/>
    <x v="5"/>
    <s v="BCBSM PPO"/>
    <n v="0"/>
    <n v="0"/>
    <s v="Biocorrect"/>
    <s v="Biocorrect"/>
    <x v="1"/>
    <n v="1"/>
  </r>
  <r>
    <x v="0"/>
    <n v="17"/>
    <s v="Biocorrect "/>
    <d v="2023-09-30T00:00:00"/>
    <x v="28"/>
    <n v="10426711"/>
    <n v="54108264"/>
    <b v="0"/>
    <n v="5"/>
    <s v="L3010"/>
    <n v="216"/>
    <n v="216"/>
    <n v="1"/>
    <n v="0"/>
    <n v="0"/>
    <n v="0"/>
    <n v="0"/>
    <n v="0"/>
    <m/>
    <n v="216"/>
    <n v="0"/>
    <n v="0"/>
    <n v="0"/>
    <n v="0"/>
    <n v="0"/>
    <n v="0"/>
    <n v="0"/>
    <n v="0"/>
    <n v="0"/>
    <n v="0"/>
    <n v="0"/>
    <n v="0"/>
    <n v="0"/>
    <n v="0"/>
    <n v="0"/>
    <n v="0"/>
    <n v="0"/>
    <n v="0"/>
    <n v="0"/>
    <n v="216"/>
    <m/>
    <s v="BLUE CROSS BLUE SHIELD"/>
    <m/>
    <m/>
    <s v="BCBS Messa"/>
    <m/>
    <m/>
    <x v="5"/>
    <s v="BCBS Messa"/>
    <n v="0"/>
    <n v="0"/>
    <s v="Biocorrect"/>
    <s v="Biocorrect"/>
    <x v="1"/>
    <n v="1"/>
  </r>
  <r>
    <x v="0"/>
    <n v="17"/>
    <s v="Biocorrect "/>
    <d v="2023-09-30T00:00:00"/>
    <x v="29"/>
    <n v="10312820"/>
    <n v="54248946"/>
    <b v="0"/>
    <n v="30"/>
    <s v="L3020"/>
    <n v="150"/>
    <n v="150"/>
    <n v="1"/>
    <n v="0"/>
    <n v="0"/>
    <n v="0"/>
    <n v="0"/>
    <n v="0"/>
    <m/>
    <n v="150"/>
    <n v="0"/>
    <n v="0"/>
    <n v="0"/>
    <n v="0"/>
    <n v="0"/>
    <n v="0"/>
    <n v="0"/>
    <n v="0"/>
    <n v="0"/>
    <n v="0"/>
    <n v="0"/>
    <n v="0"/>
    <n v="0"/>
    <n v="0"/>
    <n v="0"/>
    <n v="0"/>
    <n v="0"/>
    <n v="0"/>
    <n v="0"/>
    <n v="150"/>
    <m/>
    <s v="BLUE CROSS BLUE SHIELD"/>
    <m/>
    <m/>
    <s v="BCBSM PPO"/>
    <m/>
    <m/>
    <x v="5"/>
    <s v="BCBSM PPO"/>
    <n v="0"/>
    <n v="0"/>
    <s v="Biocorrect"/>
    <s v="Biocorrect"/>
    <x v="1"/>
    <n v="1"/>
  </r>
  <r>
    <x v="0"/>
    <n v="17"/>
    <s v="Biocorrect "/>
    <d v="2023-09-30T00:00:00"/>
    <x v="9"/>
    <n v="10437250"/>
    <n v="54178732"/>
    <b v="0"/>
    <n v="3"/>
    <s v="Poly"/>
    <n v="85"/>
    <n v="85"/>
    <n v="1"/>
    <n v="0"/>
    <n v="0"/>
    <n v="0"/>
    <n v="0"/>
    <n v="0"/>
    <m/>
    <n v="85"/>
    <n v="0"/>
    <n v="0"/>
    <n v="0"/>
    <n v="0"/>
    <n v="0"/>
    <n v="0"/>
    <n v="0"/>
    <n v="0"/>
    <n v="0"/>
    <n v="0"/>
    <n v="0"/>
    <n v="0"/>
    <n v="0"/>
    <n v="0"/>
    <n v="0"/>
    <n v="0"/>
    <n v="0"/>
    <n v="0"/>
    <n v="0"/>
    <n v="85"/>
    <m/>
    <s v="WHOLESALE ACCOUNTS"/>
    <m/>
    <m/>
    <s v="Kalamazoo Foot Surgery"/>
    <m/>
    <m/>
    <x v="1"/>
    <s v="Kalamazoo Foot Surgery"/>
    <n v="0"/>
    <n v="0"/>
    <s v="Biocorrect"/>
    <s v="Biocorrect"/>
    <x v="1"/>
    <n v="1"/>
  </r>
  <r>
    <x v="0"/>
    <n v="17"/>
    <s v="Biocorrect "/>
    <d v="2023-09-30T00:00:00"/>
    <x v="30"/>
    <n v="10418379"/>
    <n v="54225383"/>
    <b v="0"/>
    <n v="2"/>
    <s v="L3010"/>
    <n v="216"/>
    <n v="216"/>
    <n v="1"/>
    <n v="0"/>
    <n v="0"/>
    <n v="0"/>
    <n v="0"/>
    <n v="0"/>
    <m/>
    <n v="0"/>
    <n v="0"/>
    <n v="0"/>
    <n v="0"/>
    <n v="0"/>
    <n v="0"/>
    <n v="0"/>
    <n v="0"/>
    <n v="0"/>
    <n v="0"/>
    <n v="0"/>
    <n v="0"/>
    <n v="0"/>
    <n v="0"/>
    <n v="0"/>
    <n v="216"/>
    <n v="0"/>
    <n v="0"/>
    <n v="0"/>
    <n v="0"/>
    <n v="216"/>
    <m/>
    <s v="BLUE CROSS BLUE SHIELD"/>
    <m/>
    <m/>
    <s v="BCBSM PPO"/>
    <m/>
    <m/>
    <x v="5"/>
    <s v="BCBSM PPO"/>
    <n v="0"/>
    <n v="0"/>
    <s v="Biocorrect"/>
    <s v="Biocorrect"/>
    <x v="1"/>
    <n v="1"/>
  </r>
  <r>
    <x v="0"/>
    <n v="17"/>
    <s v="Biocorrect "/>
    <d v="2023-09-30T00:00:00"/>
    <x v="31"/>
    <n v="9926074"/>
    <n v="52499301"/>
    <b v="0"/>
    <n v="82"/>
    <s v="L3010"/>
    <n v="150"/>
    <n v="150"/>
    <n v="1"/>
    <n v="0"/>
    <n v="0"/>
    <n v="0"/>
    <n v="0"/>
    <n v="0"/>
    <m/>
    <n v="150"/>
    <n v="0"/>
    <n v="0"/>
    <n v="0"/>
    <n v="0"/>
    <n v="0"/>
    <n v="0"/>
    <n v="0"/>
    <n v="0"/>
    <n v="0"/>
    <n v="0"/>
    <n v="0"/>
    <n v="0"/>
    <n v="0"/>
    <n v="0"/>
    <n v="0"/>
    <n v="0"/>
    <n v="0"/>
    <n v="0"/>
    <n v="0"/>
    <n v="150"/>
    <m/>
    <s v="WORKERS COMPENSATION"/>
    <m/>
    <m/>
    <s v="Donegal Insurance Group WC"/>
    <m/>
    <m/>
    <x v="2"/>
    <s v="Donegal Insurance Group WC"/>
    <n v="0"/>
    <n v="0"/>
    <s v="Biocorrect"/>
    <s v="Biocorrect"/>
    <x v="2"/>
    <n v="3"/>
  </r>
  <r>
    <x v="0"/>
    <n v="17"/>
    <s v="Biocorrect "/>
    <d v="2023-09-30T00:00:00"/>
    <x v="32"/>
    <n v="10367014"/>
    <n v="53757733"/>
    <b v="0"/>
    <n v="17"/>
    <s v="Poly"/>
    <n v="85"/>
    <n v="85"/>
    <n v="1"/>
    <n v="0"/>
    <n v="0"/>
    <n v="0"/>
    <n v="0"/>
    <n v="0"/>
    <m/>
    <n v="85"/>
    <n v="0"/>
    <n v="0"/>
    <n v="0"/>
    <n v="0"/>
    <n v="0"/>
    <n v="0"/>
    <n v="0"/>
    <n v="0"/>
    <n v="0"/>
    <n v="0"/>
    <n v="0"/>
    <n v="0"/>
    <n v="0"/>
    <n v="0"/>
    <n v="0"/>
    <n v="0"/>
    <n v="0"/>
    <n v="0"/>
    <n v="0"/>
    <n v="85"/>
    <m/>
    <s v="WHOLESALE ACCOUNTS"/>
    <m/>
    <m/>
    <s v="Kalamazoo Foot Surgery"/>
    <m/>
    <m/>
    <x v="1"/>
    <s v="Kalamazoo Foot Surgery"/>
    <n v="0"/>
    <n v="0"/>
    <s v="Biocorrect"/>
    <s v="Biocorrect"/>
    <x v="1"/>
    <n v="1"/>
  </r>
  <r>
    <x v="0"/>
    <n v="17"/>
    <s v="Biocorrect "/>
    <d v="2023-09-30T00:00:00"/>
    <x v="33"/>
    <n v="10367092"/>
    <n v="53757900"/>
    <b v="0"/>
    <n v="17"/>
    <s v="Leatherette top cover"/>
    <n v="25"/>
    <n v="12.5"/>
    <n v="2"/>
    <n v="0"/>
    <n v="0"/>
    <n v="0"/>
    <n v="0"/>
    <n v="0"/>
    <m/>
    <n v="25"/>
    <n v="0"/>
    <n v="0"/>
    <n v="0"/>
    <n v="0"/>
    <n v="0"/>
    <n v="0"/>
    <n v="0"/>
    <n v="0"/>
    <n v="0"/>
    <n v="0"/>
    <n v="0"/>
    <n v="0"/>
    <n v="0"/>
    <n v="0"/>
    <n v="0"/>
    <n v="0"/>
    <n v="0"/>
    <n v="0"/>
    <n v="0"/>
    <n v="25"/>
    <m/>
    <s v="WHOLESALE ACCOUNTS"/>
    <m/>
    <m/>
    <s v="Kalamazoo Foot Surgery"/>
    <m/>
    <m/>
    <x v="1"/>
    <s v="Kalamazoo Foot Surgery"/>
    <n v="0"/>
    <n v="0"/>
    <s v="Biocorrect"/>
    <s v="Biocorrect"/>
    <x v="1"/>
    <n v="1"/>
  </r>
  <r>
    <x v="0"/>
    <n v="17"/>
    <s v="Biocorrect "/>
    <d v="2023-09-30T00:00:00"/>
    <x v="17"/>
    <n v="10362200"/>
    <n v="53717338"/>
    <b v="0"/>
    <n v="18"/>
    <s v="EVA"/>
    <n v="85"/>
    <n v="85"/>
    <n v="1"/>
    <n v="0"/>
    <n v="0"/>
    <n v="0"/>
    <n v="0"/>
    <n v="0"/>
    <m/>
    <n v="85"/>
    <n v="0"/>
    <n v="0"/>
    <n v="0"/>
    <n v="0"/>
    <n v="0"/>
    <n v="0"/>
    <n v="0"/>
    <n v="0"/>
    <n v="0"/>
    <n v="0"/>
    <n v="0"/>
    <n v="0"/>
    <n v="0"/>
    <n v="0"/>
    <n v="0"/>
    <n v="0"/>
    <n v="0"/>
    <n v="0"/>
    <n v="0"/>
    <n v="85"/>
    <m/>
    <s v="WHOLESALE ACCOUNTS"/>
    <m/>
    <m/>
    <s v="Nobile Shoes"/>
    <m/>
    <m/>
    <x v="1"/>
    <s v="Nobile Shoes"/>
    <n v="0"/>
    <n v="0"/>
    <s v="Biocorrect"/>
    <s v="Biocorrect"/>
    <x v="1"/>
    <n v="1"/>
  </r>
  <r>
    <x v="0"/>
    <n v="17"/>
    <s v="Biocorrect "/>
    <d v="2023-09-30T00:00:00"/>
    <x v="17"/>
    <n v="10362200"/>
    <n v="53717377"/>
    <b v="0"/>
    <n v="18"/>
    <s v="Metatarsal Pad"/>
    <n v="15"/>
    <n v="7.5"/>
    <n v="2"/>
    <n v="0"/>
    <n v="0"/>
    <n v="0"/>
    <n v="0"/>
    <n v="0"/>
    <m/>
    <n v="15"/>
    <n v="0"/>
    <n v="0"/>
    <n v="0"/>
    <n v="0"/>
    <n v="0"/>
    <n v="0"/>
    <n v="0"/>
    <n v="0"/>
    <n v="0"/>
    <n v="0"/>
    <n v="0"/>
    <n v="0"/>
    <n v="0"/>
    <n v="0"/>
    <n v="0"/>
    <n v="0"/>
    <n v="0"/>
    <n v="0"/>
    <n v="0"/>
    <n v="15"/>
    <m/>
    <s v="WHOLESALE ACCOUNTS"/>
    <m/>
    <m/>
    <s v="Nobile Shoes"/>
    <m/>
    <m/>
    <x v="1"/>
    <s v="Nobile Shoes"/>
    <n v="0"/>
    <n v="0"/>
    <s v="Biocorrect"/>
    <s v="Biocorrect"/>
    <x v="1"/>
    <n v="1"/>
  </r>
  <r>
    <x v="0"/>
    <n v="17"/>
    <s v="Biocorrect "/>
    <d v="2023-09-30T00:00:00"/>
    <x v="34"/>
    <n v="10362310"/>
    <n v="53717692"/>
    <b v="0"/>
    <n v="18"/>
    <s v="Rearfoot EVA or Poly heel post"/>
    <n v="15"/>
    <n v="7.5"/>
    <n v="2"/>
    <n v="0"/>
    <n v="0"/>
    <n v="0"/>
    <n v="0"/>
    <n v="0"/>
    <m/>
    <n v="15"/>
    <n v="0"/>
    <n v="0"/>
    <n v="0"/>
    <n v="0"/>
    <n v="0"/>
    <n v="0"/>
    <n v="0"/>
    <n v="0"/>
    <n v="0"/>
    <n v="0"/>
    <n v="0"/>
    <n v="0"/>
    <n v="0"/>
    <n v="0"/>
    <n v="0"/>
    <n v="0"/>
    <n v="0"/>
    <n v="0"/>
    <n v="0"/>
    <n v="15"/>
    <m/>
    <s v="WHOLESALE ACCOUNTS"/>
    <m/>
    <m/>
    <s v="Nobile Shoes"/>
    <m/>
    <m/>
    <x v="1"/>
    <s v="Nobile Shoes"/>
    <n v="0"/>
    <n v="0"/>
    <s v="Biocorrect"/>
    <s v="Biocorrect"/>
    <x v="1"/>
    <n v="1"/>
  </r>
  <r>
    <x v="0"/>
    <n v="17"/>
    <s v="Biocorrect "/>
    <d v="2023-09-30T00:00:00"/>
    <x v="34"/>
    <n v="10362310"/>
    <n v="53717669"/>
    <b v="0"/>
    <n v="18"/>
    <s v="Single layer top cover"/>
    <n v="16"/>
    <n v="8"/>
    <n v="2"/>
    <n v="0"/>
    <n v="0"/>
    <n v="0"/>
    <n v="0"/>
    <n v="0"/>
    <m/>
    <n v="16"/>
    <n v="0"/>
    <n v="0"/>
    <n v="0"/>
    <n v="0"/>
    <n v="0"/>
    <n v="0"/>
    <n v="0"/>
    <n v="0"/>
    <n v="0"/>
    <n v="0"/>
    <n v="0"/>
    <n v="0"/>
    <n v="0"/>
    <n v="0"/>
    <n v="0"/>
    <n v="0"/>
    <n v="0"/>
    <n v="0"/>
    <n v="0"/>
    <n v="16"/>
    <m/>
    <s v="WHOLESALE ACCOUNTS"/>
    <m/>
    <m/>
    <s v="Nobile Shoes"/>
    <m/>
    <m/>
    <x v="1"/>
    <s v="Nobile Shoes"/>
    <n v="0"/>
    <n v="0"/>
    <s v="Biocorrect"/>
    <s v="Biocorrect"/>
    <x v="1"/>
    <n v="1"/>
  </r>
  <r>
    <x v="0"/>
    <n v="17"/>
    <s v="Biocorrect "/>
    <d v="2023-09-30T00:00:00"/>
    <x v="35"/>
    <n v="10244295"/>
    <n v="52963751"/>
    <b v="0"/>
    <n v="44"/>
    <s v="L3010"/>
    <n v="109.5"/>
    <n v="109.5"/>
    <n v="1"/>
    <n v="0"/>
    <n v="0"/>
    <n v="0"/>
    <n v="0"/>
    <n v="0"/>
    <m/>
    <n v="109.5"/>
    <n v="0"/>
    <n v="0"/>
    <n v="0"/>
    <n v="0"/>
    <n v="0"/>
    <n v="0"/>
    <n v="0"/>
    <n v="0"/>
    <n v="0"/>
    <n v="0"/>
    <n v="0"/>
    <n v="0"/>
    <n v="0"/>
    <n v="0"/>
    <n v="0"/>
    <n v="0"/>
    <n v="0"/>
    <n v="0"/>
    <n v="0"/>
    <n v="109.5"/>
    <m/>
    <s v="WHOLESALE ACCOUNTS"/>
    <m/>
    <m/>
    <s v="Mercy Sports Medicine &amp; Rehabilitation"/>
    <m/>
    <m/>
    <x v="1"/>
    <s v="Mercy Sports Medicine &amp; Rehabilitation"/>
    <n v="0"/>
    <n v="0"/>
    <s v="Biocorrect"/>
    <s v="Biocorrect"/>
    <x v="4"/>
    <n v="2"/>
  </r>
  <r>
    <x v="0"/>
    <n v="17"/>
    <s v="Biocorrect "/>
    <d v="2023-09-30T00:00:00"/>
    <x v="36"/>
    <n v="2105561"/>
    <n v="10461026"/>
    <b v="0"/>
    <n v="2525"/>
    <s v="SHIP:"/>
    <n v="15"/>
    <n v="15"/>
    <n v="1"/>
    <n v="0"/>
    <n v="0"/>
    <n v="0"/>
    <n v="0"/>
    <n v="0"/>
    <m/>
    <n v="15"/>
    <n v="0"/>
    <n v="1"/>
    <n v="30"/>
    <n v="0"/>
    <n v="0"/>
    <n v="0"/>
    <n v="0"/>
    <n v="0"/>
    <n v="0"/>
    <n v="0"/>
    <n v="0"/>
    <n v="0"/>
    <n v="0"/>
    <n v="0"/>
    <n v="0"/>
    <n v="0"/>
    <n v="0"/>
    <n v="0"/>
    <n v="0"/>
    <n v="-15"/>
    <m/>
    <s v="WHOLESALE ACCOUNTS"/>
    <m/>
    <m/>
    <s v="Elevate Performance &amp; PT"/>
    <m/>
    <m/>
    <x v="1"/>
    <s v="Elevate Performance &amp; PT"/>
    <n v="0"/>
    <n v="0"/>
    <s v="Biocorrect"/>
    <s v="Biocorrect"/>
    <x v="3"/>
    <n v="8"/>
  </r>
  <r>
    <x v="0"/>
    <n v="17"/>
    <s v="Biocorrect "/>
    <d v="2023-09-30T00:00:00"/>
    <x v="27"/>
    <n v="10365756"/>
    <n v="54007797"/>
    <b v="0"/>
    <n v="9"/>
    <s v="L3010"/>
    <n v="216"/>
    <n v="216"/>
    <n v="1"/>
    <n v="0"/>
    <n v="0"/>
    <n v="0"/>
    <n v="0"/>
    <n v="0"/>
    <m/>
    <n v="216"/>
    <n v="0"/>
    <n v="0"/>
    <n v="0"/>
    <n v="0"/>
    <n v="0"/>
    <n v="0"/>
    <n v="0"/>
    <n v="0"/>
    <n v="0"/>
    <n v="0"/>
    <n v="0"/>
    <n v="0"/>
    <n v="0"/>
    <n v="0"/>
    <n v="0"/>
    <n v="0"/>
    <n v="0"/>
    <n v="0"/>
    <n v="0"/>
    <n v="216"/>
    <m/>
    <s v="BLUE CROSS BLUE SHIELD"/>
    <m/>
    <m/>
    <s v="BCBSM PPO"/>
    <m/>
    <m/>
    <x v="5"/>
    <s v="BCBSM PPO"/>
    <n v="0"/>
    <n v="0"/>
    <s v="Biocorrect"/>
    <s v="Biocorrect"/>
    <x v="1"/>
    <n v="1"/>
  </r>
  <r>
    <x v="0"/>
    <n v="17"/>
    <s v="Biocorrect "/>
    <d v="2023-09-30T00:00:00"/>
    <x v="37"/>
    <n v="10145874"/>
    <n v="52398999"/>
    <b v="0"/>
    <n v="60"/>
    <s v="L3010"/>
    <n v="109.5"/>
    <n v="109.5"/>
    <n v="1"/>
    <n v="0"/>
    <n v="0"/>
    <n v="0"/>
    <n v="0"/>
    <n v="0"/>
    <m/>
    <n v="109.5"/>
    <n v="0"/>
    <n v="0"/>
    <n v="0"/>
    <n v="0"/>
    <n v="0"/>
    <n v="0"/>
    <n v="0"/>
    <n v="0"/>
    <n v="0"/>
    <n v="0"/>
    <n v="0"/>
    <n v="0"/>
    <n v="0"/>
    <n v="0"/>
    <n v="0"/>
    <n v="0"/>
    <n v="0"/>
    <n v="0"/>
    <n v="0"/>
    <n v="109.5"/>
    <m/>
    <s v="WHOLESALE ACCOUNTS"/>
    <m/>
    <m/>
    <s v="Physical Achievement Center"/>
    <m/>
    <m/>
    <x v="1"/>
    <s v="Physical Achievement Center"/>
    <n v="0"/>
    <n v="0"/>
    <s v="Biocorrect"/>
    <s v="Biocorrect"/>
    <x v="4"/>
    <n v="2"/>
  </r>
  <r>
    <x v="0"/>
    <n v="17"/>
    <s v="Biocorrect "/>
    <d v="2023-09-30T00:00:00"/>
    <x v="26"/>
    <n v="10403072"/>
    <n v="53966618"/>
    <b v="0"/>
    <n v="10"/>
    <s v="1st ray cut out/1st ray drop"/>
    <n v="10"/>
    <n v="5"/>
    <n v="2"/>
    <n v="0"/>
    <n v="0"/>
    <n v="0"/>
    <n v="0"/>
    <n v="0"/>
    <m/>
    <n v="10"/>
    <n v="0"/>
    <n v="0"/>
    <n v="0"/>
    <n v="0"/>
    <n v="0"/>
    <n v="0"/>
    <n v="0"/>
    <n v="0"/>
    <n v="0"/>
    <n v="0"/>
    <n v="0"/>
    <n v="0"/>
    <n v="0"/>
    <n v="0"/>
    <n v="0"/>
    <n v="0"/>
    <n v="0"/>
    <n v="0"/>
    <n v="0"/>
    <n v="10"/>
    <m/>
    <s v="WHOLESALE ACCOUNTS"/>
    <m/>
    <m/>
    <s v="Nobile Shoes"/>
    <m/>
    <m/>
    <x v="1"/>
    <s v="Nobile Shoes"/>
    <n v="0"/>
    <n v="0"/>
    <s v="Biocorrect"/>
    <s v="Biocorrect"/>
    <x v="1"/>
    <n v="1"/>
  </r>
  <r>
    <x v="0"/>
    <n v="17"/>
    <s v="Biocorrect "/>
    <d v="2023-09-30T00:00:00"/>
    <x v="26"/>
    <n v="10403072"/>
    <n v="53966625"/>
    <b v="0"/>
    <n v="10"/>
    <s v="Single layer top cover"/>
    <n v="16"/>
    <n v="8"/>
    <n v="2"/>
    <n v="0"/>
    <n v="0"/>
    <n v="0"/>
    <n v="0"/>
    <n v="0"/>
    <m/>
    <n v="16"/>
    <n v="0"/>
    <n v="0"/>
    <n v="0"/>
    <n v="0"/>
    <n v="0"/>
    <n v="0"/>
    <n v="0"/>
    <n v="0"/>
    <n v="0"/>
    <n v="0"/>
    <n v="0"/>
    <n v="0"/>
    <n v="0"/>
    <n v="0"/>
    <n v="0"/>
    <n v="0"/>
    <n v="0"/>
    <n v="0"/>
    <n v="0"/>
    <n v="16"/>
    <m/>
    <s v="WHOLESALE ACCOUNTS"/>
    <m/>
    <m/>
    <s v="Nobile Shoes"/>
    <m/>
    <m/>
    <x v="1"/>
    <s v="Nobile Shoes"/>
    <n v="0"/>
    <n v="0"/>
    <s v="Biocorrect"/>
    <s v="Biocorrect"/>
    <x v="1"/>
    <n v="1"/>
  </r>
  <r>
    <x v="0"/>
    <n v="17"/>
    <s v="Biocorrect "/>
    <d v="2023-09-30T00:00:00"/>
    <x v="38"/>
    <n v="10422498"/>
    <n v="54081856"/>
    <b v="0"/>
    <n v="5"/>
    <s v="SHIP:"/>
    <n v="15"/>
    <n v="15"/>
    <n v="1"/>
    <n v="0"/>
    <n v="0"/>
    <n v="0"/>
    <n v="0"/>
    <n v="0"/>
    <m/>
    <n v="15"/>
    <n v="0"/>
    <n v="0"/>
    <n v="0"/>
    <n v="0"/>
    <n v="0"/>
    <n v="0"/>
    <n v="0"/>
    <n v="0"/>
    <n v="0"/>
    <n v="0"/>
    <n v="0"/>
    <n v="0"/>
    <n v="0"/>
    <n v="0"/>
    <n v="0"/>
    <n v="0"/>
    <n v="0"/>
    <n v="0"/>
    <n v="0"/>
    <n v="15"/>
    <m/>
    <s v="WHOLESALE ACCOUNTS"/>
    <m/>
    <m/>
    <s v="Mercy Sports Medicine &amp; Rehabilitation"/>
    <m/>
    <m/>
    <x v="1"/>
    <s v="Mercy Sports Medicine &amp; Rehabilitation"/>
    <n v="0"/>
    <n v="0"/>
    <s v="Biocorrect"/>
    <s v="Biocorrect"/>
    <x v="1"/>
    <n v="1"/>
  </r>
  <r>
    <x v="0"/>
    <n v="17"/>
    <s v="Biocorrect "/>
    <d v="2023-09-30T00:00:00"/>
    <x v="39"/>
    <n v="10209824"/>
    <n v="53289644"/>
    <b v="0"/>
    <n v="36"/>
    <s v="L3020"/>
    <n v="216"/>
    <n v="216"/>
    <n v="1"/>
    <n v="0"/>
    <n v="0"/>
    <n v="0"/>
    <n v="0"/>
    <n v="0"/>
    <m/>
    <n v="216"/>
    <n v="0"/>
    <n v="0"/>
    <n v="0"/>
    <n v="0"/>
    <n v="0"/>
    <n v="0"/>
    <n v="0"/>
    <n v="0"/>
    <n v="0"/>
    <n v="0"/>
    <n v="0"/>
    <n v="0"/>
    <n v="0"/>
    <n v="0"/>
    <n v="0"/>
    <n v="0"/>
    <n v="0"/>
    <n v="0"/>
    <n v="0"/>
    <n v="216"/>
    <m/>
    <s v="AUTO"/>
    <m/>
    <m/>
    <s v="ZZZ DNU Auto Owners CareWorks Auto"/>
    <m/>
    <m/>
    <x v="6"/>
    <s v="ZZZ DNU Auto Owners CareWorks Auto"/>
    <n v="0"/>
    <n v="0"/>
    <s v="Biocorrect"/>
    <s v="Biocorrect"/>
    <x v="4"/>
    <n v="2"/>
  </r>
  <r>
    <x v="0"/>
    <n v="17"/>
    <s v="Biocorrect "/>
    <d v="2023-09-30T00:00:00"/>
    <x v="28"/>
    <n v="10426711"/>
    <n v="54108267"/>
    <b v="0"/>
    <n v="5"/>
    <s v="L3010"/>
    <n v="216"/>
    <n v="216"/>
    <n v="1"/>
    <n v="0"/>
    <n v="0"/>
    <n v="0"/>
    <n v="0"/>
    <n v="0"/>
    <m/>
    <n v="216"/>
    <n v="0"/>
    <n v="0"/>
    <n v="0"/>
    <n v="0"/>
    <n v="0"/>
    <n v="0"/>
    <n v="0"/>
    <n v="0"/>
    <n v="0"/>
    <n v="0"/>
    <n v="0"/>
    <n v="0"/>
    <n v="0"/>
    <n v="0"/>
    <n v="0"/>
    <n v="0"/>
    <n v="0"/>
    <n v="0"/>
    <n v="0"/>
    <n v="216"/>
    <m/>
    <s v="BLUE CROSS BLUE SHIELD"/>
    <m/>
    <m/>
    <s v="BCBS Messa"/>
    <m/>
    <m/>
    <x v="5"/>
    <s v="BCBS Messa"/>
    <n v="0"/>
    <n v="0"/>
    <s v="Biocorrect"/>
    <s v="Biocorrect"/>
    <x v="1"/>
    <n v="1"/>
  </r>
  <r>
    <x v="0"/>
    <n v="17"/>
    <s v="Biocorrect "/>
    <d v="2023-09-30T00:00:00"/>
    <x v="40"/>
    <n v="10405636"/>
    <n v="54051635"/>
    <b v="0"/>
    <n v="8"/>
    <s v="L3010"/>
    <n v="216"/>
    <n v="216"/>
    <n v="1"/>
    <n v="0"/>
    <n v="0"/>
    <n v="0"/>
    <n v="0"/>
    <n v="0"/>
    <m/>
    <n v="216"/>
    <n v="0"/>
    <n v="0"/>
    <n v="0"/>
    <n v="0"/>
    <n v="0"/>
    <n v="0"/>
    <n v="0"/>
    <n v="0"/>
    <n v="0"/>
    <n v="0"/>
    <n v="0"/>
    <n v="0"/>
    <n v="0"/>
    <n v="0"/>
    <n v="0"/>
    <n v="0"/>
    <n v="0"/>
    <n v="0"/>
    <n v="0"/>
    <n v="216"/>
    <m/>
    <s v="BLUE CROSS BLUE SHIELD"/>
    <m/>
    <m/>
    <s v="BCBS Out of State"/>
    <m/>
    <m/>
    <x v="5"/>
    <s v="BCBS Out of State"/>
    <n v="0"/>
    <n v="0"/>
    <s v="Biocorrect"/>
    <s v="Biocorrect"/>
    <x v="1"/>
    <n v="1"/>
  </r>
  <r>
    <x v="0"/>
    <n v="17"/>
    <s v="Biocorrect "/>
    <d v="2023-09-30T00:00:00"/>
    <x v="41"/>
    <n v="10371133"/>
    <n v="54052974"/>
    <b v="0"/>
    <n v="8"/>
    <s v="L3020"/>
    <n v="216"/>
    <n v="216"/>
    <n v="1"/>
    <n v="0"/>
    <n v="0"/>
    <n v="0"/>
    <n v="0"/>
    <n v="0"/>
    <m/>
    <n v="216"/>
    <n v="0"/>
    <n v="0"/>
    <n v="0"/>
    <n v="0"/>
    <n v="0"/>
    <n v="0"/>
    <n v="0"/>
    <n v="0"/>
    <n v="0"/>
    <n v="0"/>
    <n v="0"/>
    <n v="0"/>
    <n v="0"/>
    <n v="0"/>
    <n v="0"/>
    <n v="0"/>
    <n v="0"/>
    <n v="0"/>
    <n v="0"/>
    <n v="216"/>
    <m/>
    <s v="COMMERCIAL"/>
    <m/>
    <m/>
    <s v="Claim Choice Administrators"/>
    <m/>
    <m/>
    <x v="7"/>
    <s v="Claim Choice Administrators"/>
    <n v="0"/>
    <n v="0"/>
    <s v="Biocorrect"/>
    <s v="Biocorrect"/>
    <x v="1"/>
    <n v="1"/>
  </r>
  <r>
    <x v="0"/>
    <n v="17"/>
    <s v="Biocorrect "/>
    <d v="2023-09-30T00:00:00"/>
    <x v="37"/>
    <n v="10145874"/>
    <n v="52398989"/>
    <b v="0"/>
    <n v="60"/>
    <s v="L3010"/>
    <n v="109.5"/>
    <n v="109.5"/>
    <n v="1"/>
    <n v="0"/>
    <n v="0"/>
    <n v="0"/>
    <n v="0"/>
    <n v="0"/>
    <m/>
    <n v="109.5"/>
    <n v="0"/>
    <n v="0"/>
    <n v="0"/>
    <n v="0"/>
    <n v="0"/>
    <n v="0"/>
    <n v="0"/>
    <n v="0"/>
    <n v="0"/>
    <n v="0"/>
    <n v="0"/>
    <n v="0"/>
    <n v="0"/>
    <n v="0"/>
    <n v="0"/>
    <n v="0"/>
    <n v="0"/>
    <n v="0"/>
    <n v="0"/>
    <n v="109.5"/>
    <m/>
    <s v="WHOLESALE ACCOUNTS"/>
    <m/>
    <m/>
    <s v="Physical Achievement Center"/>
    <m/>
    <m/>
    <x v="1"/>
    <s v="Physical Achievement Center"/>
    <n v="0"/>
    <n v="0"/>
    <s v="Biocorrect"/>
    <s v="Biocorrect"/>
    <x v="4"/>
    <n v="2"/>
  </r>
  <r>
    <x v="0"/>
    <n v="17"/>
    <s v="Biocorrect "/>
    <d v="2023-09-30T00:00:00"/>
    <x v="23"/>
    <n v="10438271"/>
    <n v="54190247"/>
    <b v="0"/>
    <n v="5"/>
    <s v="FS"/>
    <n v="116"/>
    <n v="116"/>
    <n v="1"/>
    <n v="0"/>
    <n v="0"/>
    <n v="0"/>
    <n v="0"/>
    <n v="0"/>
    <m/>
    <n v="116"/>
    <n v="0"/>
    <n v="0"/>
    <n v="0"/>
    <n v="0"/>
    <n v="0"/>
    <n v="0"/>
    <n v="0"/>
    <n v="0"/>
    <n v="0"/>
    <n v="0"/>
    <n v="0"/>
    <n v="0"/>
    <n v="0"/>
    <n v="0"/>
    <n v="0"/>
    <n v="0"/>
    <n v="0"/>
    <n v="0"/>
    <n v="0"/>
    <n v="116"/>
    <m/>
    <s v="WHOLESALE ACCOUNTS"/>
    <m/>
    <m/>
    <s v="WTA"/>
    <m/>
    <m/>
    <x v="1"/>
    <s v="WTA"/>
    <n v="0"/>
    <n v="0"/>
    <s v="Biocorrect"/>
    <s v="Biocorrect"/>
    <x v="1"/>
    <n v="1"/>
  </r>
  <r>
    <x v="0"/>
    <n v="17"/>
    <s v="Biocorrect "/>
    <d v="2023-09-30T00:00:00"/>
    <x v="23"/>
    <n v="10438271"/>
    <n v="54190248"/>
    <b v="0"/>
    <n v="5"/>
    <s v="FS"/>
    <n v="116"/>
    <n v="116"/>
    <n v="1"/>
    <n v="0"/>
    <n v="0"/>
    <n v="0"/>
    <n v="0"/>
    <n v="0"/>
    <m/>
    <n v="116"/>
    <n v="0"/>
    <n v="0"/>
    <n v="0"/>
    <n v="0"/>
    <n v="0"/>
    <n v="0"/>
    <n v="0"/>
    <n v="0"/>
    <n v="0"/>
    <n v="0"/>
    <n v="0"/>
    <n v="0"/>
    <n v="0"/>
    <n v="0"/>
    <n v="0"/>
    <n v="0"/>
    <n v="0"/>
    <n v="0"/>
    <n v="0"/>
    <n v="116"/>
    <m/>
    <s v="WHOLESALE ACCOUNTS"/>
    <m/>
    <m/>
    <s v="WTA"/>
    <m/>
    <m/>
    <x v="1"/>
    <s v="WTA"/>
    <n v="0"/>
    <n v="0"/>
    <s v="Biocorrect"/>
    <s v="Biocorrect"/>
    <x v="1"/>
    <n v="1"/>
  </r>
  <r>
    <x v="0"/>
    <n v="17"/>
    <s v="Biocorrect "/>
    <d v="2023-09-30T00:00:00"/>
    <x v="11"/>
    <n v="10336633"/>
    <n v="53563149"/>
    <b v="0"/>
    <n v="23"/>
    <s v="Poly"/>
    <n v="85"/>
    <n v="85"/>
    <n v="1"/>
    <n v="0"/>
    <n v="0"/>
    <n v="0"/>
    <n v="0"/>
    <n v="0"/>
    <m/>
    <n v="85"/>
    <n v="0"/>
    <n v="0"/>
    <n v="0"/>
    <n v="0"/>
    <n v="0"/>
    <n v="0"/>
    <n v="0"/>
    <n v="0"/>
    <n v="0"/>
    <n v="0"/>
    <n v="0"/>
    <n v="0"/>
    <n v="0"/>
    <n v="0"/>
    <n v="0"/>
    <n v="0"/>
    <n v="0"/>
    <n v="0"/>
    <n v="0"/>
    <n v="85"/>
    <m/>
    <s v="WHOLESALE ACCOUNTS"/>
    <m/>
    <m/>
    <s v="Kalamazoo Foot Surgery"/>
    <m/>
    <m/>
    <x v="1"/>
    <s v="Kalamazoo Foot Surgery"/>
    <n v="0"/>
    <n v="0"/>
    <s v="Biocorrect"/>
    <s v="Biocorrect"/>
    <x v="1"/>
    <n v="1"/>
  </r>
  <r>
    <x v="0"/>
    <n v="17"/>
    <s v="Biocorrect "/>
    <d v="2023-09-30T00:00:00"/>
    <x v="32"/>
    <n v="10367014"/>
    <n v="53757740"/>
    <b v="0"/>
    <n v="17"/>
    <s v="Rearfoot EVA or Poly heel post"/>
    <n v="15"/>
    <n v="7.5"/>
    <n v="2"/>
    <n v="0"/>
    <n v="0"/>
    <n v="0"/>
    <n v="0"/>
    <n v="0"/>
    <m/>
    <n v="15"/>
    <n v="0"/>
    <n v="0"/>
    <n v="0"/>
    <n v="0"/>
    <n v="0"/>
    <n v="0"/>
    <n v="0"/>
    <n v="0"/>
    <n v="0"/>
    <n v="0"/>
    <n v="0"/>
    <n v="0"/>
    <n v="0"/>
    <n v="0"/>
    <n v="0"/>
    <n v="0"/>
    <n v="0"/>
    <n v="0"/>
    <n v="0"/>
    <n v="15"/>
    <m/>
    <s v="WHOLESALE ACCOUNTS"/>
    <m/>
    <m/>
    <s v="Kalamazoo Foot Surgery"/>
    <m/>
    <m/>
    <x v="1"/>
    <s v="Kalamazoo Foot Surgery"/>
    <n v="0"/>
    <n v="0"/>
    <s v="Biocorrect"/>
    <s v="Biocorrect"/>
    <x v="1"/>
    <n v="1"/>
  </r>
  <r>
    <x v="0"/>
    <n v="17"/>
    <s v="Biocorrect "/>
    <d v="2023-09-30T00:00:00"/>
    <x v="42"/>
    <n v="10367151"/>
    <n v="53757973"/>
    <b v="0"/>
    <n v="17"/>
    <s v="Poly"/>
    <n v="85"/>
    <n v="85"/>
    <n v="1"/>
    <n v="0"/>
    <n v="0"/>
    <n v="0"/>
    <n v="0"/>
    <n v="0"/>
    <m/>
    <n v="85"/>
    <n v="0"/>
    <n v="0"/>
    <n v="0"/>
    <n v="0"/>
    <n v="0"/>
    <n v="0"/>
    <n v="0"/>
    <n v="0"/>
    <n v="0"/>
    <n v="0"/>
    <n v="0"/>
    <n v="0"/>
    <n v="0"/>
    <n v="0"/>
    <n v="0"/>
    <n v="0"/>
    <n v="0"/>
    <n v="0"/>
    <n v="0"/>
    <n v="85"/>
    <m/>
    <s v="WHOLESALE ACCOUNTS"/>
    <m/>
    <m/>
    <s v="Kalamazoo Foot Surgery"/>
    <m/>
    <m/>
    <x v="1"/>
    <s v="Kalamazoo Foot Surgery"/>
    <n v="0"/>
    <n v="0"/>
    <s v="Biocorrect"/>
    <s v="Biocorrect"/>
    <x v="1"/>
    <n v="1"/>
  </r>
  <r>
    <x v="0"/>
    <n v="17"/>
    <s v="Biocorrect "/>
    <d v="2023-09-30T00:00:00"/>
    <x v="42"/>
    <n v="10367151"/>
    <n v="53757976"/>
    <b v="0"/>
    <n v="17"/>
    <s v="Rearfoot EVA or Poly heel post"/>
    <n v="15"/>
    <n v="7.5"/>
    <n v="2"/>
    <n v="0"/>
    <n v="0"/>
    <n v="0"/>
    <n v="0"/>
    <n v="0"/>
    <m/>
    <n v="15"/>
    <n v="0"/>
    <n v="0"/>
    <n v="0"/>
    <n v="0"/>
    <n v="0"/>
    <n v="0"/>
    <n v="0"/>
    <n v="0"/>
    <n v="0"/>
    <n v="0"/>
    <n v="0"/>
    <n v="0"/>
    <n v="0"/>
    <n v="0"/>
    <n v="0"/>
    <n v="0"/>
    <n v="0"/>
    <n v="0"/>
    <n v="0"/>
    <n v="15"/>
    <m/>
    <s v="WHOLESALE ACCOUNTS"/>
    <m/>
    <m/>
    <s v="Kalamazoo Foot Surgery"/>
    <m/>
    <m/>
    <x v="1"/>
    <s v="Kalamazoo Foot Surgery"/>
    <n v="0"/>
    <n v="0"/>
    <s v="Biocorrect"/>
    <s v="Biocorrect"/>
    <x v="1"/>
    <n v="1"/>
  </r>
  <r>
    <x v="0"/>
    <n v="17"/>
    <s v="Biocorrect "/>
    <d v="2023-09-30T00:00:00"/>
    <x v="43"/>
    <n v="10367213"/>
    <n v="53758060"/>
    <b v="0"/>
    <n v="17"/>
    <s v="Rearfoot EVA or Poly heel post"/>
    <n v="15"/>
    <n v="7.5"/>
    <n v="2"/>
    <n v="0"/>
    <n v="0"/>
    <n v="0"/>
    <n v="0"/>
    <n v="0"/>
    <m/>
    <n v="15"/>
    <n v="0"/>
    <n v="0"/>
    <n v="0"/>
    <n v="0"/>
    <n v="0"/>
    <n v="0"/>
    <n v="0"/>
    <n v="0"/>
    <n v="0"/>
    <n v="0"/>
    <n v="0"/>
    <n v="0"/>
    <n v="0"/>
    <n v="0"/>
    <n v="0"/>
    <n v="0"/>
    <n v="0"/>
    <n v="0"/>
    <n v="0"/>
    <n v="15"/>
    <m/>
    <s v="WHOLESALE ACCOUNTS"/>
    <m/>
    <m/>
    <s v="Kalamazoo Foot Surgery"/>
    <m/>
    <m/>
    <x v="1"/>
    <s v="Kalamazoo Foot Surgery"/>
    <n v="0"/>
    <n v="0"/>
    <s v="Biocorrect"/>
    <s v="Biocorrect"/>
    <x v="1"/>
    <n v="1"/>
  </r>
  <r>
    <x v="0"/>
    <n v="17"/>
    <s v="Biocorrect "/>
    <d v="2023-09-30T00:00:00"/>
    <x v="34"/>
    <n v="10362310"/>
    <n v="53717675"/>
    <b v="0"/>
    <n v="18"/>
    <s v="Metatarsal Pad"/>
    <n v="15"/>
    <n v="7.5"/>
    <n v="2"/>
    <n v="0"/>
    <n v="0"/>
    <n v="0"/>
    <n v="0"/>
    <n v="0"/>
    <m/>
    <n v="15"/>
    <n v="0"/>
    <n v="0"/>
    <n v="0"/>
    <n v="0"/>
    <n v="0"/>
    <n v="0"/>
    <n v="0"/>
    <n v="0"/>
    <n v="0"/>
    <n v="0"/>
    <n v="0"/>
    <n v="0"/>
    <n v="0"/>
    <n v="0"/>
    <n v="0"/>
    <n v="0"/>
    <n v="0"/>
    <n v="0"/>
    <n v="0"/>
    <n v="15"/>
    <m/>
    <s v="WHOLESALE ACCOUNTS"/>
    <m/>
    <m/>
    <s v="Nobile Shoes"/>
    <m/>
    <m/>
    <x v="1"/>
    <s v="Nobile Shoes"/>
    <n v="0"/>
    <n v="0"/>
    <s v="Biocorrect"/>
    <s v="Biocorrect"/>
    <x v="1"/>
    <n v="1"/>
  </r>
  <r>
    <x v="0"/>
    <n v="17"/>
    <s v="Biocorrect "/>
    <d v="2023-09-30T00:00:00"/>
    <x v="32"/>
    <n v="10367014"/>
    <n v="53757748"/>
    <b v="0"/>
    <n v="17"/>
    <s v="Single layer top cover"/>
    <n v="16"/>
    <n v="8"/>
    <n v="2"/>
    <n v="0"/>
    <n v="0"/>
    <n v="0"/>
    <n v="0"/>
    <n v="0"/>
    <m/>
    <n v="16"/>
    <n v="0"/>
    <n v="0"/>
    <n v="0"/>
    <n v="0"/>
    <n v="0"/>
    <n v="0"/>
    <n v="0"/>
    <n v="0"/>
    <n v="0"/>
    <n v="0"/>
    <n v="0"/>
    <n v="0"/>
    <n v="0"/>
    <n v="0"/>
    <n v="0"/>
    <n v="0"/>
    <n v="0"/>
    <n v="0"/>
    <n v="0"/>
    <n v="16"/>
    <m/>
    <s v="WHOLESALE ACCOUNTS"/>
    <m/>
    <m/>
    <s v="Kalamazoo Foot Surgery"/>
    <m/>
    <m/>
    <x v="1"/>
    <s v="Kalamazoo Foot Surgery"/>
    <n v="0"/>
    <n v="0"/>
    <s v="Biocorrect"/>
    <s v="Biocorrect"/>
    <x v="1"/>
    <n v="1"/>
  </r>
  <r>
    <x v="0"/>
    <n v="17"/>
    <s v="Biocorrect "/>
    <d v="2023-09-30T00:00:00"/>
    <x v="44"/>
    <n v="10384058"/>
    <n v="53862295"/>
    <b v="0"/>
    <n v="15"/>
    <s v="Bottom cover"/>
    <n v="8"/>
    <n v="4"/>
    <n v="2"/>
    <n v="0"/>
    <n v="0"/>
    <n v="0"/>
    <n v="0"/>
    <n v="0"/>
    <m/>
    <n v="8"/>
    <n v="0"/>
    <n v="0"/>
    <n v="0"/>
    <n v="0"/>
    <n v="0"/>
    <n v="0"/>
    <n v="0"/>
    <n v="0"/>
    <n v="0"/>
    <n v="0"/>
    <n v="0"/>
    <n v="0"/>
    <n v="0"/>
    <n v="0"/>
    <n v="0"/>
    <n v="0"/>
    <n v="0"/>
    <n v="0"/>
    <n v="0"/>
    <n v="8"/>
    <m/>
    <s v="WHOLESALE ACCOUNTS"/>
    <m/>
    <m/>
    <s v="Kalamazoo Foot Surgery"/>
    <m/>
    <m/>
    <x v="1"/>
    <s v="Kalamazoo Foot Surgery"/>
    <n v="0"/>
    <n v="0"/>
    <s v="Biocorrect"/>
    <s v="Biocorrect"/>
    <x v="1"/>
    <n v="1"/>
  </r>
  <r>
    <x v="0"/>
    <n v="17"/>
    <s v="Biocorrect "/>
    <d v="2023-09-30T00:00:00"/>
    <x v="24"/>
    <n v="10402530"/>
    <n v="53963786"/>
    <b v="0"/>
    <n v="10"/>
    <s v="Bottom cover"/>
    <n v="8"/>
    <n v="4"/>
    <n v="2"/>
    <n v="0"/>
    <n v="0"/>
    <n v="0"/>
    <n v="0"/>
    <n v="0"/>
    <m/>
    <n v="8"/>
    <n v="0"/>
    <n v="0"/>
    <n v="0"/>
    <n v="0"/>
    <n v="0"/>
    <n v="0"/>
    <n v="0"/>
    <n v="0"/>
    <n v="0"/>
    <n v="0"/>
    <n v="0"/>
    <n v="0"/>
    <n v="0"/>
    <n v="0"/>
    <n v="0"/>
    <n v="0"/>
    <n v="0"/>
    <n v="0"/>
    <n v="0"/>
    <n v="8"/>
    <m/>
    <s v="WHOLESALE ACCOUNTS"/>
    <m/>
    <m/>
    <s v="Kalamazoo Foot Surgery"/>
    <m/>
    <m/>
    <x v="1"/>
    <s v="Kalamazoo Foot Surgery"/>
    <n v="0"/>
    <n v="0"/>
    <s v="Biocorrect"/>
    <s v="Biocorrect"/>
    <x v="1"/>
    <n v="1"/>
  </r>
  <r>
    <x v="0"/>
    <n v="17"/>
    <s v="Biocorrect "/>
    <d v="2023-09-30T00:00:00"/>
    <x v="23"/>
    <n v="10438271"/>
    <n v="54185635"/>
    <b v="0"/>
    <n v="5"/>
    <s v="TS"/>
    <n v="116"/>
    <n v="116"/>
    <n v="1"/>
    <n v="0"/>
    <n v="0"/>
    <n v="0"/>
    <n v="0"/>
    <n v="0"/>
    <m/>
    <n v="116"/>
    <n v="0"/>
    <n v="0"/>
    <n v="0"/>
    <n v="0"/>
    <n v="0"/>
    <n v="0"/>
    <n v="0"/>
    <n v="0"/>
    <n v="0"/>
    <n v="0"/>
    <n v="0"/>
    <n v="0"/>
    <n v="0"/>
    <n v="0"/>
    <n v="0"/>
    <n v="0"/>
    <n v="0"/>
    <n v="0"/>
    <n v="0"/>
    <n v="116"/>
    <m/>
    <s v="WHOLESALE ACCOUNTS"/>
    <m/>
    <m/>
    <s v="WTA"/>
    <m/>
    <m/>
    <x v="1"/>
    <s v="WTA"/>
    <n v="0"/>
    <n v="0"/>
    <s v="Biocorrect"/>
    <s v="Biocorrect"/>
    <x v="1"/>
    <n v="1"/>
  </r>
  <r>
    <x v="0"/>
    <n v="17"/>
    <s v="Biocorrect "/>
    <d v="2023-09-30T00:00:00"/>
    <x v="44"/>
    <n v="10384058"/>
    <n v="53862283"/>
    <b v="0"/>
    <n v="15"/>
    <s v="Rearfoot EVA or Poly heel post"/>
    <n v="15"/>
    <n v="7.5"/>
    <n v="2"/>
    <n v="0"/>
    <n v="0"/>
    <n v="0"/>
    <n v="0"/>
    <n v="0"/>
    <m/>
    <n v="15"/>
    <n v="0"/>
    <n v="0"/>
    <n v="0"/>
    <n v="0"/>
    <n v="0"/>
    <n v="0"/>
    <n v="0"/>
    <n v="0"/>
    <n v="0"/>
    <n v="0"/>
    <n v="0"/>
    <n v="0"/>
    <n v="0"/>
    <n v="0"/>
    <n v="0"/>
    <n v="0"/>
    <n v="0"/>
    <n v="0"/>
    <n v="0"/>
    <n v="15"/>
    <m/>
    <s v="WHOLESALE ACCOUNTS"/>
    <m/>
    <m/>
    <s v="Kalamazoo Foot Surgery"/>
    <m/>
    <m/>
    <x v="1"/>
    <s v="Kalamazoo Foot Surgery"/>
    <n v="0"/>
    <n v="0"/>
    <s v="Biocorrect"/>
    <s v="Biocorrect"/>
    <x v="1"/>
    <n v="1"/>
  </r>
  <r>
    <x v="0"/>
    <n v="17"/>
    <s v="Biocorrect "/>
    <d v="2023-09-30T00:00:00"/>
    <x v="45"/>
    <n v="10286974"/>
    <n v="53406534"/>
    <b v="0"/>
    <n v="30"/>
    <s v="L3010"/>
    <n v="216"/>
    <n v="216"/>
    <n v="1"/>
    <n v="0"/>
    <n v="0"/>
    <n v="0"/>
    <n v="0"/>
    <n v="0"/>
    <m/>
    <n v="0"/>
    <n v="0"/>
    <n v="0"/>
    <n v="0"/>
    <n v="0"/>
    <n v="0"/>
    <n v="0"/>
    <n v="0"/>
    <n v="0"/>
    <n v="0"/>
    <n v="0"/>
    <n v="0"/>
    <n v="0"/>
    <n v="0"/>
    <n v="0"/>
    <n v="216"/>
    <n v="0"/>
    <n v="0"/>
    <n v="0"/>
    <n v="0"/>
    <n v="216"/>
    <m/>
    <s v="BLUE CROSS BLUE SHIELD"/>
    <m/>
    <m/>
    <s v="BCBSM PPO"/>
    <m/>
    <m/>
    <x v="5"/>
    <s v="BCBSM PPO"/>
    <n v="0"/>
    <n v="0"/>
    <s v="Biocorrect"/>
    <s v="Biocorrect"/>
    <x v="1"/>
    <n v="1"/>
  </r>
  <r>
    <x v="0"/>
    <n v="17"/>
    <s v="Biocorrect "/>
    <d v="2023-09-30T00:00:00"/>
    <x v="46"/>
    <n v="10403222"/>
    <n v="53967487"/>
    <b v="0"/>
    <n v="10"/>
    <s v="EVA"/>
    <n v="85"/>
    <n v="85"/>
    <n v="1"/>
    <n v="0"/>
    <n v="0"/>
    <n v="0"/>
    <n v="0"/>
    <n v="0"/>
    <m/>
    <n v="85"/>
    <n v="0"/>
    <n v="0"/>
    <n v="0"/>
    <n v="0"/>
    <n v="0"/>
    <n v="0"/>
    <n v="0"/>
    <n v="0"/>
    <n v="0"/>
    <n v="0"/>
    <n v="0"/>
    <n v="0"/>
    <n v="0"/>
    <n v="0"/>
    <n v="0"/>
    <n v="0"/>
    <n v="0"/>
    <n v="0"/>
    <n v="0"/>
    <n v="85"/>
    <m/>
    <s v="WHOLESALE ACCOUNTS"/>
    <m/>
    <m/>
    <s v="Nobile Shoes"/>
    <m/>
    <m/>
    <x v="1"/>
    <s v="Nobile Shoes"/>
    <n v="0"/>
    <n v="0"/>
    <s v="Biocorrect"/>
    <s v="Biocorrect"/>
    <x v="1"/>
    <n v="1"/>
  </r>
  <r>
    <x v="0"/>
    <n v="17"/>
    <s v="Biocorrect "/>
    <d v="2023-09-30T00:00:00"/>
    <x v="47"/>
    <n v="10386531"/>
    <n v="54037067"/>
    <b v="0"/>
    <n v="8"/>
    <s v="L3010"/>
    <n v="216"/>
    <n v="216"/>
    <n v="1"/>
    <n v="0"/>
    <n v="0"/>
    <n v="0"/>
    <n v="0"/>
    <n v="0"/>
    <m/>
    <n v="216"/>
    <n v="0"/>
    <n v="0"/>
    <n v="0"/>
    <n v="0"/>
    <n v="0"/>
    <n v="0"/>
    <n v="0"/>
    <n v="0"/>
    <n v="0"/>
    <n v="0"/>
    <n v="0"/>
    <n v="0"/>
    <n v="0"/>
    <n v="0"/>
    <n v="0"/>
    <n v="0"/>
    <n v="0"/>
    <n v="0"/>
    <n v="0"/>
    <n v="216"/>
    <m/>
    <s v="BLUE CROSS BLUE SHIELD"/>
    <m/>
    <m/>
    <s v="BCBS Out of State"/>
    <m/>
    <m/>
    <x v="5"/>
    <s v="BCBS Out of State"/>
    <n v="0"/>
    <n v="0"/>
    <s v="Biocorrect"/>
    <s v="Biocorrect"/>
    <x v="1"/>
    <n v="1"/>
  </r>
  <r>
    <x v="0"/>
    <n v="17"/>
    <s v="Biocorrect "/>
    <d v="2023-09-30T00:00:00"/>
    <x v="0"/>
    <n v="9124261"/>
    <n v="46485614"/>
    <b v="0"/>
    <n v="254"/>
    <s v="L3010"/>
    <n v="216"/>
    <n v="216"/>
    <n v="1"/>
    <n v="0"/>
    <n v="0"/>
    <n v="0"/>
    <n v="0"/>
    <n v="0"/>
    <m/>
    <n v="216"/>
    <n v="0"/>
    <n v="0"/>
    <n v="0"/>
    <n v="0"/>
    <n v="0"/>
    <n v="216"/>
    <n v="0"/>
    <n v="0"/>
    <n v="0"/>
    <n v="0"/>
    <n v="0"/>
    <n v="0"/>
    <n v="0"/>
    <n v="0"/>
    <n v="0"/>
    <n v="0"/>
    <n v="0"/>
    <n v="0"/>
    <n v="0"/>
    <n v="216"/>
    <m/>
    <s v="PRIORITY HEALTH"/>
    <s v="AUTO"/>
    <m/>
    <s v="Priority Health"/>
    <s v="ZZZ DNU Auto Owners CareWorks Auto"/>
    <m/>
    <x v="0"/>
    <s v="Priority Health"/>
    <n v="0"/>
    <n v="0"/>
    <s v="Biocorrect"/>
    <s v="Biocorrect"/>
    <x v="0"/>
    <n v="7"/>
  </r>
  <r>
    <x v="0"/>
    <n v="17"/>
    <s v="Biocorrect "/>
    <d v="2023-09-30T00:00:00"/>
    <x v="26"/>
    <n v="10403072"/>
    <n v="53966614"/>
    <b v="0"/>
    <n v="10"/>
    <s v="Poly"/>
    <n v="85"/>
    <n v="85"/>
    <n v="1"/>
    <n v="0"/>
    <n v="0"/>
    <n v="0"/>
    <n v="0"/>
    <n v="0"/>
    <m/>
    <n v="85"/>
    <n v="0"/>
    <n v="0"/>
    <n v="0"/>
    <n v="0"/>
    <n v="0"/>
    <n v="0"/>
    <n v="0"/>
    <n v="0"/>
    <n v="0"/>
    <n v="0"/>
    <n v="0"/>
    <n v="0"/>
    <n v="0"/>
    <n v="0"/>
    <n v="0"/>
    <n v="0"/>
    <n v="0"/>
    <n v="0"/>
    <n v="0"/>
    <n v="85"/>
    <m/>
    <s v="WHOLESALE ACCOUNTS"/>
    <m/>
    <m/>
    <s v="Nobile Shoes"/>
    <m/>
    <m/>
    <x v="1"/>
    <s v="Nobile Shoes"/>
    <n v="0"/>
    <n v="0"/>
    <s v="Biocorrect"/>
    <s v="Biocorrect"/>
    <x v="1"/>
    <n v="1"/>
  </r>
  <r>
    <x v="0"/>
    <n v="17"/>
    <s v="Biocorrect "/>
    <d v="2023-09-30T00:00:00"/>
    <x v="31"/>
    <n v="9926074"/>
    <n v="52499307"/>
    <b v="0"/>
    <n v="82"/>
    <s v="L3010"/>
    <n v="150"/>
    <n v="150"/>
    <n v="1"/>
    <n v="0"/>
    <n v="0"/>
    <n v="0"/>
    <n v="0"/>
    <n v="0"/>
    <m/>
    <n v="150"/>
    <n v="0"/>
    <n v="0"/>
    <n v="0"/>
    <n v="0"/>
    <n v="0"/>
    <n v="0"/>
    <n v="0"/>
    <n v="0"/>
    <n v="0"/>
    <n v="0"/>
    <n v="0"/>
    <n v="0"/>
    <n v="0"/>
    <n v="0"/>
    <n v="0"/>
    <n v="0"/>
    <n v="0"/>
    <n v="0"/>
    <n v="0"/>
    <n v="150"/>
    <m/>
    <s v="WORKERS COMPENSATION"/>
    <m/>
    <m/>
    <s v="Donegal Insurance Group WC"/>
    <m/>
    <m/>
    <x v="2"/>
    <s v="Donegal Insurance Group WC"/>
    <n v="0"/>
    <n v="0"/>
    <s v="Biocorrect"/>
    <s v="Biocorrect"/>
    <x v="2"/>
    <n v="3"/>
  </r>
  <r>
    <x v="0"/>
    <n v="17"/>
    <s v="Biocorrect "/>
    <d v="2023-09-30T00:00:00"/>
    <x v="48"/>
    <n v="10425164"/>
    <n v="54099553"/>
    <b v="0"/>
    <n v="5"/>
    <s v="Poly"/>
    <n v="85"/>
    <n v="85"/>
    <n v="1"/>
    <n v="0"/>
    <n v="0"/>
    <n v="0"/>
    <n v="0"/>
    <n v="0"/>
    <m/>
    <n v="85"/>
    <n v="0"/>
    <n v="0"/>
    <n v="0"/>
    <n v="0"/>
    <n v="0"/>
    <n v="0"/>
    <n v="0"/>
    <n v="0"/>
    <n v="0"/>
    <n v="0"/>
    <n v="0"/>
    <n v="0"/>
    <n v="0"/>
    <n v="0"/>
    <n v="0"/>
    <n v="0"/>
    <n v="0"/>
    <n v="0"/>
    <n v="0"/>
    <n v="85"/>
    <m/>
    <s v="WHOLESALE ACCOUNTS"/>
    <m/>
    <m/>
    <s v="Kalamazoo Foot Surgery"/>
    <m/>
    <m/>
    <x v="1"/>
    <s v="Kalamazoo Foot Surgery"/>
    <n v="0"/>
    <n v="0"/>
    <s v="Biocorrect"/>
    <s v="Biocorrect"/>
    <x v="1"/>
    <n v="1"/>
  </r>
  <r>
    <x v="0"/>
    <n v="17"/>
    <s v="Biocorrect "/>
    <d v="2023-09-30T00:00:00"/>
    <x v="48"/>
    <n v="10425164"/>
    <n v="54099579"/>
    <b v="0"/>
    <n v="5"/>
    <s v="Rearfoot EVA or Poly heel post"/>
    <n v="15"/>
    <n v="7.5"/>
    <n v="2"/>
    <n v="0"/>
    <n v="0"/>
    <n v="0"/>
    <n v="0"/>
    <n v="0"/>
    <m/>
    <n v="15"/>
    <n v="0"/>
    <n v="0"/>
    <n v="0"/>
    <n v="0"/>
    <n v="0"/>
    <n v="0"/>
    <n v="0"/>
    <n v="0"/>
    <n v="0"/>
    <n v="0"/>
    <n v="0"/>
    <n v="0"/>
    <n v="0"/>
    <n v="0"/>
    <n v="0"/>
    <n v="0"/>
    <n v="0"/>
    <n v="0"/>
    <n v="0"/>
    <n v="15"/>
    <m/>
    <s v="WHOLESALE ACCOUNTS"/>
    <m/>
    <m/>
    <s v="Kalamazoo Foot Surgery"/>
    <m/>
    <m/>
    <x v="1"/>
    <s v="Kalamazoo Foot Surgery"/>
    <n v="0"/>
    <n v="0"/>
    <s v="Biocorrect"/>
    <s v="Biocorrect"/>
    <x v="1"/>
    <n v="1"/>
  </r>
  <r>
    <x v="0"/>
    <n v="17"/>
    <s v="Biocorrect "/>
    <d v="2023-09-30T00:00:00"/>
    <x v="48"/>
    <n v="10425164"/>
    <n v="54099625"/>
    <b v="0"/>
    <n v="5"/>
    <s v="Single layer top cover"/>
    <n v="16"/>
    <n v="8"/>
    <n v="2"/>
    <n v="0"/>
    <n v="0"/>
    <n v="0"/>
    <n v="0"/>
    <n v="0"/>
    <m/>
    <n v="16"/>
    <n v="0"/>
    <n v="0"/>
    <n v="0"/>
    <n v="0"/>
    <n v="0"/>
    <n v="0"/>
    <n v="0"/>
    <n v="0"/>
    <n v="0"/>
    <n v="0"/>
    <n v="0"/>
    <n v="0"/>
    <n v="0"/>
    <n v="0"/>
    <n v="0"/>
    <n v="0"/>
    <n v="0"/>
    <n v="0"/>
    <n v="0"/>
    <n v="16"/>
    <m/>
    <s v="WHOLESALE ACCOUNTS"/>
    <m/>
    <m/>
    <s v="Kalamazoo Foot Surgery"/>
    <m/>
    <m/>
    <x v="1"/>
    <s v="Kalamazoo Foot Surgery"/>
    <n v="0"/>
    <n v="0"/>
    <s v="Biocorrect"/>
    <s v="Biocorrect"/>
    <x v="1"/>
    <n v="1"/>
  </r>
  <r>
    <x v="0"/>
    <n v="17"/>
    <s v="Biocorrect "/>
    <d v="2023-09-30T00:00:00"/>
    <x v="48"/>
    <n v="10425164"/>
    <n v="54099669"/>
    <b v="0"/>
    <n v="5"/>
    <s v="Bottom cover"/>
    <n v="8"/>
    <n v="4"/>
    <n v="2"/>
    <n v="0"/>
    <n v="0"/>
    <n v="0"/>
    <n v="0"/>
    <n v="0"/>
    <m/>
    <n v="8"/>
    <n v="0"/>
    <n v="0"/>
    <n v="0"/>
    <n v="0"/>
    <n v="0"/>
    <n v="0"/>
    <n v="0"/>
    <n v="0"/>
    <n v="0"/>
    <n v="0"/>
    <n v="0"/>
    <n v="0"/>
    <n v="0"/>
    <n v="0"/>
    <n v="0"/>
    <n v="0"/>
    <n v="0"/>
    <n v="0"/>
    <n v="0"/>
    <n v="8"/>
    <m/>
    <s v="WHOLESALE ACCOUNTS"/>
    <m/>
    <m/>
    <s v="Kalamazoo Foot Surgery"/>
    <m/>
    <m/>
    <x v="1"/>
    <s v="Kalamazoo Foot Surgery"/>
    <n v="0"/>
    <n v="0"/>
    <s v="Biocorrect"/>
    <s v="Biocorrect"/>
    <x v="1"/>
    <n v="1"/>
  </r>
  <r>
    <x v="0"/>
    <n v="17"/>
    <s v="Biocorrect "/>
    <d v="2023-09-30T00:00:00"/>
    <x v="4"/>
    <n v="9221655"/>
    <n v="46813919"/>
    <b v="0"/>
    <n v="243"/>
    <s v="Bottom cover"/>
    <n v="8"/>
    <n v="4"/>
    <n v="2"/>
    <n v="0"/>
    <n v="0"/>
    <n v="0"/>
    <n v="0"/>
    <n v="0"/>
    <m/>
    <n v="8"/>
    <n v="0"/>
    <n v="0"/>
    <n v="0"/>
    <n v="0"/>
    <n v="0"/>
    <n v="0"/>
    <n v="0"/>
    <n v="0"/>
    <n v="0"/>
    <n v="0"/>
    <n v="0"/>
    <n v="0"/>
    <n v="0"/>
    <n v="0"/>
    <n v="0"/>
    <n v="0"/>
    <n v="0"/>
    <n v="0"/>
    <n v="0"/>
    <n v="8"/>
    <m/>
    <s v="WHOLESALE ACCOUNTS"/>
    <m/>
    <m/>
    <s v="Yamamoto Chiropractic"/>
    <m/>
    <m/>
    <x v="1"/>
    <s v="Yamamoto Chiropractic"/>
    <n v="0"/>
    <n v="0"/>
    <s v="Biocorrect"/>
    <s v="Biocorrect"/>
    <x v="0"/>
    <n v="7"/>
  </r>
  <r>
    <x v="0"/>
    <n v="17"/>
    <s v="Biocorrect "/>
    <d v="2023-09-30T00:00:00"/>
    <x v="4"/>
    <n v="9221655"/>
    <n v="46814037"/>
    <b v="0"/>
    <n v="243"/>
    <s v="SHIP:"/>
    <n v="15"/>
    <n v="15"/>
    <n v="1"/>
    <n v="0"/>
    <n v="0"/>
    <n v="0"/>
    <n v="0"/>
    <n v="0"/>
    <m/>
    <n v="15"/>
    <n v="0"/>
    <n v="0"/>
    <n v="0"/>
    <n v="0"/>
    <n v="0"/>
    <n v="0"/>
    <n v="0"/>
    <n v="0"/>
    <n v="0"/>
    <n v="0"/>
    <n v="0"/>
    <n v="0"/>
    <n v="0"/>
    <n v="0"/>
    <n v="0"/>
    <n v="0"/>
    <n v="0"/>
    <n v="0"/>
    <n v="0"/>
    <n v="15"/>
    <m/>
    <s v="WHOLESALE ACCOUNTS"/>
    <m/>
    <m/>
    <s v="Yamamoto Chiropractic"/>
    <m/>
    <m/>
    <x v="1"/>
    <s v="Yamamoto Chiropractic"/>
    <n v="0"/>
    <n v="0"/>
    <s v="Biocorrect"/>
    <s v="Biocorrect"/>
    <x v="0"/>
    <n v="7"/>
  </r>
  <r>
    <x v="0"/>
    <n v="17"/>
    <s v="Biocorrect "/>
    <d v="2023-09-30T00:00:00"/>
    <x v="49"/>
    <n v="10374535"/>
    <n v="54153937"/>
    <b v="0"/>
    <n v="4"/>
    <s v="L3010"/>
    <n v="216"/>
    <n v="216"/>
    <n v="1"/>
    <n v="0"/>
    <n v="0"/>
    <n v="0"/>
    <n v="0"/>
    <n v="0"/>
    <m/>
    <n v="216"/>
    <n v="0"/>
    <n v="0"/>
    <n v="0"/>
    <n v="0"/>
    <n v="0"/>
    <n v="0"/>
    <n v="0"/>
    <n v="0"/>
    <n v="0"/>
    <n v="0"/>
    <n v="0"/>
    <n v="0"/>
    <n v="0"/>
    <n v="0"/>
    <n v="0"/>
    <n v="0"/>
    <n v="0"/>
    <n v="0"/>
    <n v="0"/>
    <n v="216"/>
    <m/>
    <s v="BLUE CROSS BLUE SHIELD"/>
    <m/>
    <m/>
    <s v="BCBSM PPO"/>
    <m/>
    <m/>
    <x v="5"/>
    <s v="BCBSM PPO"/>
    <n v="0"/>
    <n v="0"/>
    <s v="Biocorrect"/>
    <s v="Biocorrect"/>
    <x v="1"/>
    <n v="1"/>
  </r>
  <r>
    <x v="0"/>
    <n v="17"/>
    <s v="Biocorrect "/>
    <d v="2023-09-30T00:00:00"/>
    <x v="49"/>
    <n v="10374535"/>
    <n v="54153938"/>
    <b v="0"/>
    <n v="4"/>
    <s v="L3010"/>
    <n v="216"/>
    <n v="216"/>
    <n v="1"/>
    <n v="0"/>
    <n v="0"/>
    <n v="0"/>
    <n v="0"/>
    <n v="0"/>
    <m/>
    <n v="216"/>
    <n v="0"/>
    <n v="0"/>
    <n v="0"/>
    <n v="0"/>
    <n v="0"/>
    <n v="0"/>
    <n v="0"/>
    <n v="0"/>
    <n v="0"/>
    <n v="0"/>
    <n v="0"/>
    <n v="0"/>
    <n v="0"/>
    <n v="0"/>
    <n v="0"/>
    <n v="0"/>
    <n v="0"/>
    <n v="0"/>
    <n v="0"/>
    <n v="216"/>
    <m/>
    <s v="BLUE CROSS BLUE SHIELD"/>
    <m/>
    <m/>
    <s v="BCBSM PPO"/>
    <m/>
    <m/>
    <x v="5"/>
    <s v="BCBSM PPO"/>
    <n v="0"/>
    <n v="0"/>
    <s v="Biocorrect"/>
    <s v="Biocorrect"/>
    <x v="1"/>
    <n v="1"/>
  </r>
  <r>
    <x v="0"/>
    <n v="17"/>
    <s v="Biocorrect "/>
    <d v="2023-09-30T00:00:00"/>
    <x v="50"/>
    <n v="9350831"/>
    <n v="47440393"/>
    <b v="0"/>
    <n v="219"/>
    <s v="Forefoot post"/>
    <n v="15"/>
    <n v="7.5"/>
    <n v="2"/>
    <n v="0"/>
    <n v="0"/>
    <n v="0"/>
    <n v="0"/>
    <n v="0"/>
    <m/>
    <n v="15"/>
    <n v="0"/>
    <n v="2"/>
    <n v="30"/>
    <n v="0"/>
    <n v="0"/>
    <n v="0"/>
    <n v="0"/>
    <n v="0"/>
    <n v="0"/>
    <n v="0"/>
    <n v="0"/>
    <n v="0"/>
    <n v="0"/>
    <n v="0"/>
    <n v="0"/>
    <n v="0"/>
    <n v="0"/>
    <n v="0"/>
    <n v="0"/>
    <n v="-15"/>
    <m/>
    <s v="WHOLESALE ACCOUNTS"/>
    <m/>
    <m/>
    <s v="Tahoe Forest Therapy Services"/>
    <m/>
    <m/>
    <x v="1"/>
    <s v="Tahoe Forest Therapy Services"/>
    <n v="0"/>
    <n v="0"/>
    <s v="Biocorrect"/>
    <s v="Biocorrect"/>
    <x v="0"/>
    <n v="7"/>
  </r>
  <r>
    <x v="0"/>
    <n v="17"/>
    <s v="Biocorrect "/>
    <d v="2023-09-30T00:00:00"/>
    <x v="50"/>
    <n v="9350831"/>
    <n v="47440395"/>
    <b v="0"/>
    <n v="219"/>
    <s v="SHIP:"/>
    <n v="15"/>
    <n v="15"/>
    <n v="1"/>
    <n v="0"/>
    <n v="0"/>
    <n v="0"/>
    <n v="0"/>
    <n v="0"/>
    <m/>
    <n v="15"/>
    <n v="0"/>
    <n v="2"/>
    <n v="30"/>
    <n v="0"/>
    <n v="0"/>
    <n v="0"/>
    <n v="0"/>
    <n v="0"/>
    <n v="0"/>
    <n v="0"/>
    <n v="0"/>
    <n v="0"/>
    <n v="0"/>
    <n v="0"/>
    <n v="0"/>
    <n v="0"/>
    <n v="0"/>
    <n v="0"/>
    <n v="0"/>
    <n v="-15"/>
    <m/>
    <s v="WHOLESALE ACCOUNTS"/>
    <m/>
    <m/>
    <s v="Tahoe Forest Therapy Services"/>
    <m/>
    <m/>
    <x v="1"/>
    <s v="Tahoe Forest Therapy Services"/>
    <n v="0"/>
    <n v="0"/>
    <s v="Biocorrect"/>
    <s v="Biocorrect"/>
    <x v="0"/>
    <n v="7"/>
  </r>
  <r>
    <x v="0"/>
    <n v="17"/>
    <s v="Biocorrect "/>
    <d v="2023-09-30T00:00:00"/>
    <x v="51"/>
    <n v="9350807"/>
    <n v="47439905"/>
    <b v="0"/>
    <n v="219"/>
    <s v="EVA"/>
    <n v="85"/>
    <n v="85"/>
    <n v="1"/>
    <n v="0"/>
    <n v="0"/>
    <n v="0"/>
    <n v="0"/>
    <n v="0"/>
    <m/>
    <n v="85"/>
    <n v="0"/>
    <n v="2"/>
    <n v="170"/>
    <n v="0"/>
    <n v="0"/>
    <n v="0"/>
    <n v="0"/>
    <n v="0"/>
    <n v="0"/>
    <n v="0"/>
    <n v="0"/>
    <n v="0"/>
    <n v="0"/>
    <n v="0"/>
    <n v="0"/>
    <n v="0"/>
    <n v="0"/>
    <n v="0"/>
    <n v="0"/>
    <n v="-85"/>
    <m/>
    <s v="WHOLESALE ACCOUNTS"/>
    <m/>
    <m/>
    <s v="Tahoe Forest Therapy Services"/>
    <m/>
    <m/>
    <x v="1"/>
    <s v="Tahoe Forest Therapy Services"/>
    <n v="0"/>
    <n v="0"/>
    <s v="Biocorrect"/>
    <s v="Biocorrect"/>
    <x v="0"/>
    <n v="7"/>
  </r>
  <r>
    <x v="0"/>
    <n v="17"/>
    <s v="Biocorrect "/>
    <d v="2023-09-30T00:00:00"/>
    <x v="52"/>
    <n v="10367247"/>
    <n v="53758473"/>
    <b v="0"/>
    <n v="17"/>
    <s v="Rearfoot EVA or Poly heel post"/>
    <n v="15"/>
    <n v="7.5"/>
    <n v="2"/>
    <n v="0"/>
    <n v="0"/>
    <n v="0"/>
    <n v="0"/>
    <n v="0"/>
    <m/>
    <n v="15"/>
    <n v="0"/>
    <n v="0"/>
    <n v="0"/>
    <n v="0"/>
    <n v="0"/>
    <n v="0"/>
    <n v="0"/>
    <n v="0"/>
    <n v="0"/>
    <n v="0"/>
    <n v="0"/>
    <n v="0"/>
    <n v="0"/>
    <n v="0"/>
    <n v="0"/>
    <n v="0"/>
    <n v="0"/>
    <n v="0"/>
    <n v="0"/>
    <n v="15"/>
    <m/>
    <s v="WHOLESALE ACCOUNTS"/>
    <m/>
    <m/>
    <s v="Kalamazoo Foot Surgery"/>
    <m/>
    <m/>
    <x v="1"/>
    <s v="Kalamazoo Foot Surgery"/>
    <n v="0"/>
    <n v="0"/>
    <s v="Biocorrect"/>
    <s v="Biocorrect"/>
    <x v="1"/>
    <n v="1"/>
  </r>
  <r>
    <x v="0"/>
    <n v="17"/>
    <s v="Biocorrect "/>
    <d v="2023-09-30T00:00:00"/>
    <x v="52"/>
    <n v="10367247"/>
    <n v="53758498"/>
    <b v="0"/>
    <n v="17"/>
    <s v="Bottom cover"/>
    <n v="8"/>
    <n v="4"/>
    <n v="2"/>
    <n v="0"/>
    <n v="0"/>
    <n v="0"/>
    <n v="0"/>
    <n v="0"/>
    <m/>
    <n v="8"/>
    <n v="0"/>
    <n v="0"/>
    <n v="0"/>
    <n v="0"/>
    <n v="0"/>
    <n v="0"/>
    <n v="0"/>
    <n v="0"/>
    <n v="0"/>
    <n v="0"/>
    <n v="0"/>
    <n v="0"/>
    <n v="0"/>
    <n v="0"/>
    <n v="0"/>
    <n v="0"/>
    <n v="0"/>
    <n v="0"/>
    <n v="0"/>
    <n v="8"/>
    <m/>
    <s v="WHOLESALE ACCOUNTS"/>
    <m/>
    <m/>
    <s v="Kalamazoo Foot Surgery"/>
    <m/>
    <m/>
    <x v="1"/>
    <s v="Kalamazoo Foot Surgery"/>
    <n v="0"/>
    <n v="0"/>
    <s v="Biocorrect"/>
    <s v="Biocorrect"/>
    <x v="1"/>
    <n v="1"/>
  </r>
  <r>
    <x v="0"/>
    <n v="17"/>
    <s v="Biocorrect "/>
    <d v="2023-09-30T00:00:00"/>
    <x v="34"/>
    <n v="10362310"/>
    <n v="53717668"/>
    <b v="0"/>
    <n v="18"/>
    <s v="EVA"/>
    <n v="85"/>
    <n v="85"/>
    <n v="1"/>
    <n v="0"/>
    <n v="0"/>
    <n v="0"/>
    <n v="0"/>
    <n v="0"/>
    <m/>
    <n v="85"/>
    <n v="0"/>
    <n v="0"/>
    <n v="0"/>
    <n v="0"/>
    <n v="0"/>
    <n v="0"/>
    <n v="0"/>
    <n v="0"/>
    <n v="0"/>
    <n v="0"/>
    <n v="0"/>
    <n v="0"/>
    <n v="0"/>
    <n v="0"/>
    <n v="0"/>
    <n v="0"/>
    <n v="0"/>
    <n v="0"/>
    <n v="0"/>
    <n v="85"/>
    <m/>
    <s v="WHOLESALE ACCOUNTS"/>
    <m/>
    <m/>
    <s v="Nobile Shoes"/>
    <m/>
    <m/>
    <x v="1"/>
    <s v="Nobile Shoes"/>
    <n v="0"/>
    <n v="0"/>
    <s v="Biocorrect"/>
    <s v="Biocorrect"/>
    <x v="1"/>
    <n v="1"/>
  </r>
  <r>
    <x v="0"/>
    <n v="17"/>
    <s v="Biocorrect "/>
    <d v="2023-09-30T00:00:00"/>
    <x v="34"/>
    <n v="10362310"/>
    <n v="53717694"/>
    <b v="0"/>
    <n v="18"/>
    <s v="SHIP:"/>
    <n v="15"/>
    <n v="15"/>
    <n v="1"/>
    <n v="0"/>
    <n v="0"/>
    <n v="0"/>
    <n v="0"/>
    <n v="0"/>
    <m/>
    <n v="15"/>
    <n v="0"/>
    <n v="0"/>
    <n v="0"/>
    <n v="0"/>
    <n v="0"/>
    <n v="0"/>
    <n v="0"/>
    <n v="0"/>
    <n v="0"/>
    <n v="0"/>
    <n v="0"/>
    <n v="0"/>
    <n v="0"/>
    <n v="0"/>
    <n v="0"/>
    <n v="0"/>
    <n v="0"/>
    <n v="0"/>
    <n v="0"/>
    <n v="15"/>
    <m/>
    <s v="WHOLESALE ACCOUNTS"/>
    <m/>
    <m/>
    <s v="Nobile Shoes"/>
    <m/>
    <m/>
    <x v="1"/>
    <s v="Nobile Shoes"/>
    <n v="0"/>
    <n v="0"/>
    <s v="Biocorrect"/>
    <s v="Biocorrect"/>
    <x v="1"/>
    <n v="1"/>
  </r>
  <r>
    <x v="0"/>
    <n v="17"/>
    <s v="Biocorrect "/>
    <d v="2023-09-30T00:00:00"/>
    <x v="17"/>
    <n v="10362200"/>
    <n v="53717349"/>
    <b v="0"/>
    <n v="18"/>
    <s v="1st ray cut out/1st ray drop"/>
    <n v="10"/>
    <n v="5"/>
    <n v="2"/>
    <n v="0"/>
    <n v="0"/>
    <n v="0"/>
    <n v="0"/>
    <n v="0"/>
    <m/>
    <n v="10"/>
    <n v="0"/>
    <n v="0"/>
    <n v="0"/>
    <n v="0"/>
    <n v="0"/>
    <n v="0"/>
    <n v="0"/>
    <n v="0"/>
    <n v="0"/>
    <n v="0"/>
    <n v="0"/>
    <n v="0"/>
    <n v="0"/>
    <n v="0"/>
    <n v="0"/>
    <n v="0"/>
    <n v="0"/>
    <n v="0"/>
    <n v="0"/>
    <n v="10"/>
    <m/>
    <s v="WHOLESALE ACCOUNTS"/>
    <m/>
    <m/>
    <s v="Nobile Shoes"/>
    <m/>
    <m/>
    <x v="1"/>
    <s v="Nobile Shoes"/>
    <n v="0"/>
    <n v="0"/>
    <s v="Biocorrect"/>
    <s v="Biocorrect"/>
    <x v="1"/>
    <n v="1"/>
  </r>
  <r>
    <x v="0"/>
    <n v="17"/>
    <s v="Biocorrect "/>
    <d v="2023-09-30T00:00:00"/>
    <x v="33"/>
    <n v="10367092"/>
    <n v="53757869"/>
    <b v="0"/>
    <n v="17"/>
    <s v="Poly"/>
    <n v="85"/>
    <n v="85"/>
    <n v="1"/>
    <n v="0"/>
    <n v="0"/>
    <n v="0"/>
    <n v="0"/>
    <n v="0"/>
    <m/>
    <n v="85"/>
    <n v="0"/>
    <n v="0"/>
    <n v="0"/>
    <n v="0"/>
    <n v="0"/>
    <n v="0"/>
    <n v="0"/>
    <n v="0"/>
    <n v="0"/>
    <n v="0"/>
    <n v="0"/>
    <n v="0"/>
    <n v="0"/>
    <n v="0"/>
    <n v="0"/>
    <n v="0"/>
    <n v="0"/>
    <n v="0"/>
    <n v="0"/>
    <n v="85"/>
    <m/>
    <s v="WHOLESALE ACCOUNTS"/>
    <m/>
    <m/>
    <s v="Kalamazoo Foot Surgery"/>
    <m/>
    <m/>
    <x v="1"/>
    <s v="Kalamazoo Foot Surgery"/>
    <n v="0"/>
    <n v="0"/>
    <s v="Biocorrect"/>
    <s v="Biocorrect"/>
    <x v="1"/>
    <n v="1"/>
  </r>
  <r>
    <x v="0"/>
    <n v="17"/>
    <s v="Biocorrect "/>
    <d v="2023-09-30T00:00:00"/>
    <x v="33"/>
    <n v="10367092"/>
    <n v="53757872"/>
    <b v="0"/>
    <n v="17"/>
    <s v="Rearfoot EVA or Poly heel post"/>
    <n v="15"/>
    <n v="7.5"/>
    <n v="2"/>
    <n v="0"/>
    <n v="0"/>
    <n v="0"/>
    <n v="0"/>
    <n v="0"/>
    <m/>
    <n v="15"/>
    <n v="0"/>
    <n v="0"/>
    <n v="0"/>
    <n v="0"/>
    <n v="0"/>
    <n v="0"/>
    <n v="0"/>
    <n v="0"/>
    <n v="0"/>
    <n v="0"/>
    <n v="0"/>
    <n v="0"/>
    <n v="0"/>
    <n v="0"/>
    <n v="0"/>
    <n v="0"/>
    <n v="0"/>
    <n v="0"/>
    <n v="0"/>
    <n v="15"/>
    <m/>
    <s v="WHOLESALE ACCOUNTS"/>
    <m/>
    <m/>
    <s v="Kalamazoo Foot Surgery"/>
    <m/>
    <m/>
    <x v="1"/>
    <s v="Kalamazoo Foot Surgery"/>
    <n v="0"/>
    <n v="0"/>
    <s v="Biocorrect"/>
    <s v="Biocorrect"/>
    <x v="1"/>
    <n v="1"/>
  </r>
  <r>
    <x v="0"/>
    <n v="17"/>
    <s v="Biocorrect "/>
    <d v="2023-09-30T00:00:00"/>
    <x v="42"/>
    <n v="10367151"/>
    <n v="53757981"/>
    <b v="0"/>
    <n v="17"/>
    <s v="Leatherette top cover"/>
    <n v="25"/>
    <n v="12.5"/>
    <n v="2"/>
    <n v="0"/>
    <n v="0"/>
    <n v="0"/>
    <n v="0"/>
    <n v="0"/>
    <m/>
    <n v="25"/>
    <n v="0"/>
    <n v="0"/>
    <n v="0"/>
    <n v="0"/>
    <n v="0"/>
    <n v="0"/>
    <n v="0"/>
    <n v="0"/>
    <n v="0"/>
    <n v="0"/>
    <n v="0"/>
    <n v="0"/>
    <n v="0"/>
    <n v="0"/>
    <n v="0"/>
    <n v="0"/>
    <n v="0"/>
    <n v="0"/>
    <n v="0"/>
    <n v="25"/>
    <m/>
    <s v="WHOLESALE ACCOUNTS"/>
    <m/>
    <m/>
    <s v="Kalamazoo Foot Surgery"/>
    <m/>
    <m/>
    <x v="1"/>
    <s v="Kalamazoo Foot Surgery"/>
    <n v="0"/>
    <n v="0"/>
    <s v="Biocorrect"/>
    <s v="Biocorrect"/>
    <x v="1"/>
    <n v="1"/>
  </r>
  <r>
    <x v="0"/>
    <n v="17"/>
    <s v="Biocorrect "/>
    <d v="2023-09-30T00:00:00"/>
    <x v="53"/>
    <n v="10366700"/>
    <n v="53861376"/>
    <b v="0"/>
    <n v="15"/>
    <s v="L3020"/>
    <n v="216"/>
    <n v="216"/>
    <n v="1"/>
    <n v="0"/>
    <n v="0"/>
    <n v="0"/>
    <n v="0"/>
    <n v="0"/>
    <m/>
    <n v="216"/>
    <n v="0"/>
    <n v="0"/>
    <n v="0"/>
    <n v="0"/>
    <n v="0"/>
    <n v="0"/>
    <n v="0"/>
    <n v="0"/>
    <n v="0"/>
    <n v="0"/>
    <n v="0"/>
    <n v="0"/>
    <n v="0"/>
    <n v="0"/>
    <n v="0"/>
    <n v="0"/>
    <n v="0"/>
    <n v="0"/>
    <n v="0"/>
    <n v="216"/>
    <m/>
    <s v="BLUE CROSS BLUE SHIELD"/>
    <m/>
    <m/>
    <s v="BCBSM PPO"/>
    <m/>
    <m/>
    <x v="5"/>
    <s v="BCBSM PPO"/>
    <n v="0"/>
    <n v="0"/>
    <s v="Biocorrect"/>
    <s v="Biocorrect"/>
    <x v="1"/>
    <n v="1"/>
  </r>
  <r>
    <x v="0"/>
    <n v="17"/>
    <s v="Biocorrect "/>
    <d v="2023-09-30T00:00:00"/>
    <x v="54"/>
    <n v="10384138"/>
    <n v="53862457"/>
    <b v="0"/>
    <n v="15"/>
    <s v="Single layer top cover"/>
    <n v="16"/>
    <n v="8"/>
    <n v="2"/>
    <n v="0"/>
    <n v="0"/>
    <n v="0"/>
    <n v="0"/>
    <n v="0"/>
    <m/>
    <n v="16"/>
    <n v="0"/>
    <n v="0"/>
    <n v="0"/>
    <n v="0"/>
    <n v="0"/>
    <n v="0"/>
    <n v="0"/>
    <n v="0"/>
    <n v="0"/>
    <n v="0"/>
    <n v="0"/>
    <n v="0"/>
    <n v="0"/>
    <n v="0"/>
    <n v="0"/>
    <n v="0"/>
    <n v="0"/>
    <n v="0"/>
    <n v="0"/>
    <n v="16"/>
    <m/>
    <s v="WHOLESALE ACCOUNTS"/>
    <m/>
    <m/>
    <s v="Kalamazoo Foot Surgery"/>
    <m/>
    <m/>
    <x v="1"/>
    <s v="Kalamazoo Foot Surgery"/>
    <n v="0"/>
    <n v="0"/>
    <s v="Biocorrect"/>
    <s v="Biocorrect"/>
    <x v="1"/>
    <n v="1"/>
  </r>
  <r>
    <x v="0"/>
    <n v="17"/>
    <s v="Biocorrect "/>
    <d v="2023-09-30T00:00:00"/>
    <x v="24"/>
    <n v="10402530"/>
    <n v="53963620"/>
    <b v="0"/>
    <n v="10"/>
    <s v="Rearfoot EVA or Poly heel post"/>
    <n v="15"/>
    <n v="7.5"/>
    <n v="2"/>
    <n v="0"/>
    <n v="0"/>
    <n v="0"/>
    <n v="0"/>
    <n v="0"/>
    <m/>
    <n v="15"/>
    <n v="0"/>
    <n v="0"/>
    <n v="0"/>
    <n v="0"/>
    <n v="0"/>
    <n v="0"/>
    <n v="0"/>
    <n v="0"/>
    <n v="0"/>
    <n v="0"/>
    <n v="0"/>
    <n v="0"/>
    <n v="0"/>
    <n v="0"/>
    <n v="0"/>
    <n v="0"/>
    <n v="0"/>
    <n v="0"/>
    <n v="0"/>
    <n v="15"/>
    <m/>
    <s v="WHOLESALE ACCOUNTS"/>
    <m/>
    <m/>
    <s v="Kalamazoo Foot Surgery"/>
    <m/>
    <m/>
    <x v="1"/>
    <s v="Kalamazoo Foot Surgery"/>
    <n v="0"/>
    <n v="0"/>
    <s v="Biocorrect"/>
    <s v="Biocorrect"/>
    <x v="1"/>
    <n v="1"/>
  </r>
  <r>
    <x v="0"/>
    <n v="17"/>
    <s v="Biocorrect "/>
    <d v="2023-09-30T00:00:00"/>
    <x v="24"/>
    <n v="10402530"/>
    <n v="53963621"/>
    <b v="0"/>
    <n v="10"/>
    <s v="Single layer top cover"/>
    <n v="16"/>
    <n v="8"/>
    <n v="2"/>
    <n v="0"/>
    <n v="0"/>
    <n v="0"/>
    <n v="0"/>
    <n v="0"/>
    <m/>
    <n v="16"/>
    <n v="0"/>
    <n v="0"/>
    <n v="0"/>
    <n v="0"/>
    <n v="0"/>
    <n v="0"/>
    <n v="0"/>
    <n v="0"/>
    <n v="0"/>
    <n v="0"/>
    <n v="0"/>
    <n v="0"/>
    <n v="0"/>
    <n v="0"/>
    <n v="0"/>
    <n v="0"/>
    <n v="0"/>
    <n v="0"/>
    <n v="0"/>
    <n v="16"/>
    <m/>
    <s v="WHOLESALE ACCOUNTS"/>
    <m/>
    <m/>
    <s v="Kalamazoo Foot Surgery"/>
    <m/>
    <m/>
    <x v="1"/>
    <s v="Kalamazoo Foot Surgery"/>
    <n v="0"/>
    <n v="0"/>
    <s v="Biocorrect"/>
    <s v="Biocorrect"/>
    <x v="1"/>
    <n v="1"/>
  </r>
  <r>
    <x v="0"/>
    <n v="17"/>
    <s v="Biocorrect "/>
    <d v="2023-09-30T00:00:00"/>
    <x v="24"/>
    <n v="10402530"/>
    <n v="53963652"/>
    <b v="0"/>
    <n v="10"/>
    <s v="Metatarsal Pad"/>
    <n v="15"/>
    <n v="7.5"/>
    <n v="2"/>
    <n v="0"/>
    <n v="0"/>
    <n v="0"/>
    <n v="0"/>
    <n v="0"/>
    <m/>
    <n v="15"/>
    <n v="0"/>
    <n v="0"/>
    <n v="0"/>
    <n v="0"/>
    <n v="0"/>
    <n v="0"/>
    <n v="0"/>
    <n v="0"/>
    <n v="0"/>
    <n v="0"/>
    <n v="0"/>
    <n v="0"/>
    <n v="0"/>
    <n v="0"/>
    <n v="0"/>
    <n v="0"/>
    <n v="0"/>
    <n v="0"/>
    <n v="0"/>
    <n v="15"/>
    <m/>
    <s v="WHOLESALE ACCOUNTS"/>
    <m/>
    <m/>
    <s v="Kalamazoo Foot Surgery"/>
    <m/>
    <m/>
    <x v="1"/>
    <s v="Kalamazoo Foot Surgery"/>
    <n v="0"/>
    <n v="0"/>
    <s v="Biocorrect"/>
    <s v="Biocorrect"/>
    <x v="1"/>
    <n v="1"/>
  </r>
  <r>
    <x v="0"/>
    <n v="17"/>
    <s v="Biocorrect "/>
    <d v="2023-09-30T00:00:00"/>
    <x v="25"/>
    <n v="10402569"/>
    <n v="53963750"/>
    <b v="0"/>
    <n v="10"/>
    <s v="Poly"/>
    <n v="85"/>
    <n v="85"/>
    <n v="1"/>
    <n v="0"/>
    <n v="0"/>
    <n v="0"/>
    <n v="0"/>
    <n v="0"/>
    <m/>
    <n v="85"/>
    <n v="0"/>
    <n v="0"/>
    <n v="0"/>
    <n v="0"/>
    <n v="0"/>
    <n v="0"/>
    <n v="0"/>
    <n v="0"/>
    <n v="0"/>
    <n v="0"/>
    <n v="0"/>
    <n v="0"/>
    <n v="0"/>
    <n v="0"/>
    <n v="0"/>
    <n v="0"/>
    <n v="0"/>
    <n v="0"/>
    <n v="0"/>
    <n v="85"/>
    <m/>
    <s v="WHOLESALE ACCOUNTS"/>
    <m/>
    <m/>
    <s v="Kalamazoo Foot Surgery"/>
    <m/>
    <m/>
    <x v="1"/>
    <s v="Kalamazoo Foot Surgery"/>
    <n v="0"/>
    <n v="0"/>
    <s v="Biocorrect"/>
    <s v="Biocorrect"/>
    <x v="1"/>
    <n v="1"/>
  </r>
  <r>
    <x v="0"/>
    <n v="17"/>
    <s v="Biocorrect "/>
    <d v="2023-09-30T00:00:00"/>
    <x v="25"/>
    <n v="10402569"/>
    <n v="53963755"/>
    <b v="0"/>
    <n v="10"/>
    <s v="PF Groove"/>
    <n v="10"/>
    <n v="5"/>
    <n v="2"/>
    <n v="0"/>
    <n v="0"/>
    <n v="0"/>
    <n v="0"/>
    <n v="0"/>
    <m/>
    <n v="10"/>
    <n v="0"/>
    <n v="0"/>
    <n v="0"/>
    <n v="0"/>
    <n v="0"/>
    <n v="0"/>
    <n v="0"/>
    <n v="0"/>
    <n v="0"/>
    <n v="0"/>
    <n v="0"/>
    <n v="0"/>
    <n v="0"/>
    <n v="0"/>
    <n v="0"/>
    <n v="0"/>
    <n v="0"/>
    <n v="0"/>
    <n v="0"/>
    <n v="10"/>
    <m/>
    <s v="WHOLESALE ACCOUNTS"/>
    <m/>
    <m/>
    <s v="Kalamazoo Foot Surgery"/>
    <m/>
    <m/>
    <x v="1"/>
    <s v="Kalamazoo Foot Surgery"/>
    <n v="0"/>
    <n v="0"/>
    <s v="Biocorrect"/>
    <s v="Biocorrect"/>
    <x v="1"/>
    <n v="1"/>
  </r>
  <r>
    <x v="0"/>
    <n v="17"/>
    <s v="Biocorrect "/>
    <d v="2023-09-30T00:00:00"/>
    <x v="46"/>
    <n v="10403222"/>
    <n v="53977411"/>
    <b v="0"/>
    <n v="10"/>
    <s v="1st ray cut out/1st ray drop"/>
    <n v="10"/>
    <n v="5"/>
    <n v="2"/>
    <n v="0"/>
    <n v="0"/>
    <n v="0"/>
    <n v="0"/>
    <n v="0"/>
    <m/>
    <n v="10"/>
    <n v="0"/>
    <n v="0"/>
    <n v="0"/>
    <n v="0"/>
    <n v="0"/>
    <n v="0"/>
    <n v="0"/>
    <n v="0"/>
    <n v="0"/>
    <n v="0"/>
    <n v="0"/>
    <n v="0"/>
    <n v="0"/>
    <n v="0"/>
    <n v="0"/>
    <n v="0"/>
    <n v="0"/>
    <n v="0"/>
    <n v="0"/>
    <n v="10"/>
    <m/>
    <s v="WHOLESALE ACCOUNTS"/>
    <m/>
    <m/>
    <s v="Nobile Shoes"/>
    <m/>
    <m/>
    <x v="1"/>
    <s v="Nobile Shoes"/>
    <n v="0"/>
    <n v="0"/>
    <s v="Biocorrect"/>
    <s v="Biocorrect"/>
    <x v="1"/>
    <n v="1"/>
  </r>
  <r>
    <x v="0"/>
    <n v="17"/>
    <s v="Biocorrect "/>
    <d v="2023-09-30T00:00:00"/>
    <x v="55"/>
    <n v="6453523"/>
    <n v="32273219"/>
    <b v="0"/>
    <n v="934"/>
    <s v="L3010"/>
    <n v="109.5"/>
    <n v="109.5"/>
    <n v="1"/>
    <n v="0"/>
    <n v="0"/>
    <n v="0"/>
    <n v="0"/>
    <n v="0"/>
    <m/>
    <n v="109.5"/>
    <n v="0"/>
    <n v="1"/>
    <n v="110"/>
    <n v="0"/>
    <n v="0"/>
    <n v="0"/>
    <n v="0"/>
    <n v="0"/>
    <n v="0"/>
    <n v="0"/>
    <n v="0"/>
    <n v="0"/>
    <n v="0"/>
    <n v="0"/>
    <n v="0"/>
    <n v="0"/>
    <n v="0"/>
    <n v="0"/>
    <n v="0"/>
    <n v="-0.5"/>
    <m/>
    <s v="WHOLESALE ACCOUNTS"/>
    <m/>
    <m/>
    <s v="Mercy Sports Medicine &amp; Rehabilitation"/>
    <m/>
    <m/>
    <x v="1"/>
    <s v="Mercy Sports Medicine &amp; Rehabilitation"/>
    <n v="0"/>
    <n v="0"/>
    <s v="Biocorrect"/>
    <s v="Biocorrect"/>
    <x v="3"/>
    <n v="8"/>
  </r>
  <r>
    <x v="0"/>
    <n v="17"/>
    <s v="Biocorrect "/>
    <d v="2023-09-30T00:00:00"/>
    <x v="29"/>
    <n v="10312820"/>
    <n v="54248942"/>
    <b v="0"/>
    <n v="30"/>
    <s v="L3020"/>
    <n v="150"/>
    <n v="150"/>
    <n v="1"/>
    <n v="0"/>
    <n v="0"/>
    <n v="0"/>
    <n v="0"/>
    <n v="0"/>
    <m/>
    <n v="150"/>
    <n v="0"/>
    <n v="0"/>
    <n v="0"/>
    <n v="0"/>
    <n v="0"/>
    <n v="0"/>
    <n v="0"/>
    <n v="0"/>
    <n v="0"/>
    <n v="0"/>
    <n v="0"/>
    <n v="0"/>
    <n v="0"/>
    <n v="0"/>
    <n v="0"/>
    <n v="0"/>
    <n v="0"/>
    <n v="0"/>
    <n v="0"/>
    <n v="150"/>
    <m/>
    <s v="BLUE CROSS BLUE SHIELD"/>
    <m/>
    <m/>
    <s v="BCBSM PPO"/>
    <m/>
    <m/>
    <x v="5"/>
    <s v="BCBSM PPO"/>
    <n v="0"/>
    <n v="0"/>
    <s v="Biocorrect"/>
    <s v="Biocorrect"/>
    <x v="1"/>
    <n v="1"/>
  </r>
  <r>
    <x v="0"/>
    <n v="17"/>
    <s v="Biocorrect "/>
    <d v="2023-09-30T00:00:00"/>
    <x v="56"/>
    <n v="10454296"/>
    <n v="54285515"/>
    <b v="0"/>
    <n v="1"/>
    <s v="1st ray cut out/1st ray drop"/>
    <n v="10"/>
    <n v="5"/>
    <n v="2"/>
    <n v="0"/>
    <n v="0"/>
    <n v="0"/>
    <n v="0"/>
    <n v="0"/>
    <m/>
    <n v="10"/>
    <n v="0"/>
    <n v="0"/>
    <n v="0"/>
    <n v="0"/>
    <n v="0"/>
    <n v="0"/>
    <n v="0"/>
    <n v="0"/>
    <n v="0"/>
    <n v="0"/>
    <n v="0"/>
    <n v="0"/>
    <n v="0"/>
    <n v="0"/>
    <n v="0"/>
    <n v="0"/>
    <n v="0"/>
    <n v="0"/>
    <n v="0"/>
    <n v="10"/>
    <m/>
    <s v="WHOLESALE ACCOUNTS"/>
    <m/>
    <m/>
    <s v="Nobile Shoes"/>
    <m/>
    <m/>
    <x v="1"/>
    <s v="Nobile Shoes"/>
    <n v="0"/>
    <n v="0"/>
    <s v="Biocorrect"/>
    <s v="Biocorrect"/>
    <x v="1"/>
    <n v="1"/>
  </r>
  <r>
    <x v="0"/>
    <n v="17"/>
    <s v="Biocorrect "/>
    <d v="2023-09-30T00:00:00"/>
    <x v="56"/>
    <n v="10454296"/>
    <n v="54285569"/>
    <b v="0"/>
    <n v="1"/>
    <s v="Single layer top cover"/>
    <n v="16"/>
    <n v="8"/>
    <n v="2"/>
    <n v="0"/>
    <n v="0"/>
    <n v="0"/>
    <n v="0"/>
    <n v="0"/>
    <m/>
    <n v="16"/>
    <n v="0"/>
    <n v="0"/>
    <n v="0"/>
    <n v="0"/>
    <n v="0"/>
    <n v="0"/>
    <n v="0"/>
    <n v="0"/>
    <n v="0"/>
    <n v="0"/>
    <n v="0"/>
    <n v="0"/>
    <n v="0"/>
    <n v="0"/>
    <n v="0"/>
    <n v="0"/>
    <n v="0"/>
    <n v="0"/>
    <n v="0"/>
    <n v="16"/>
    <m/>
    <s v="WHOLESALE ACCOUNTS"/>
    <m/>
    <m/>
    <s v="Nobile Shoes"/>
    <m/>
    <m/>
    <x v="1"/>
    <s v="Nobile Shoes"/>
    <n v="0"/>
    <n v="0"/>
    <s v="Biocorrect"/>
    <s v="Biocorrect"/>
    <x v="1"/>
    <n v="1"/>
  </r>
  <r>
    <x v="0"/>
    <n v="17"/>
    <s v="Biocorrect "/>
    <d v="2023-09-30T00:00:00"/>
    <x v="46"/>
    <n v="10403222"/>
    <n v="53977412"/>
    <b v="0"/>
    <n v="10"/>
    <s v="Metatarsal Pad"/>
    <n v="15"/>
    <n v="7.5"/>
    <n v="2"/>
    <n v="0"/>
    <n v="0"/>
    <n v="0"/>
    <n v="0"/>
    <n v="0"/>
    <m/>
    <n v="15"/>
    <n v="0"/>
    <n v="0"/>
    <n v="0"/>
    <n v="0"/>
    <n v="0"/>
    <n v="0"/>
    <n v="0"/>
    <n v="0"/>
    <n v="0"/>
    <n v="0"/>
    <n v="0"/>
    <n v="0"/>
    <n v="0"/>
    <n v="0"/>
    <n v="0"/>
    <n v="0"/>
    <n v="0"/>
    <n v="0"/>
    <n v="0"/>
    <n v="15"/>
    <m/>
    <s v="WHOLESALE ACCOUNTS"/>
    <m/>
    <m/>
    <s v="Nobile Shoes"/>
    <m/>
    <m/>
    <x v="1"/>
    <s v="Nobile Shoes"/>
    <n v="0"/>
    <n v="0"/>
    <s v="Biocorrect"/>
    <s v="Biocorrect"/>
    <x v="1"/>
    <n v="1"/>
  </r>
  <r>
    <x v="0"/>
    <n v="17"/>
    <s v="Biocorrect "/>
    <d v="2023-09-30T00:00:00"/>
    <x v="57"/>
    <n v="10411263"/>
    <n v="53997175"/>
    <b v="0"/>
    <n v="15"/>
    <s v="TS"/>
    <n v="121.5"/>
    <n v="121.5"/>
    <n v="1"/>
    <n v="0"/>
    <n v="0"/>
    <n v="0"/>
    <n v="0"/>
    <n v="0"/>
    <m/>
    <n v="121.5"/>
    <n v="0"/>
    <n v="0"/>
    <n v="0"/>
    <n v="0"/>
    <n v="0"/>
    <n v="0"/>
    <n v="0"/>
    <n v="0"/>
    <n v="0"/>
    <n v="0"/>
    <n v="0"/>
    <n v="0"/>
    <n v="0"/>
    <n v="0"/>
    <n v="0"/>
    <n v="0"/>
    <n v="0"/>
    <n v="0"/>
    <n v="0"/>
    <n v="121.5"/>
    <m/>
    <s v="WHOLESALE ACCOUNTS"/>
    <m/>
    <m/>
    <s v="WTA"/>
    <m/>
    <m/>
    <x v="1"/>
    <s v="WTA"/>
    <n v="0"/>
    <n v="0"/>
    <s v="Biocorrect"/>
    <s v="Biocorrect"/>
    <x v="1"/>
    <n v="1"/>
  </r>
  <r>
    <x v="0"/>
    <n v="17"/>
    <s v="Biocorrect "/>
    <d v="2023-09-30T00:00:00"/>
    <x v="58"/>
    <n v="10417817"/>
    <n v="54042133"/>
    <b v="0"/>
    <n v="8"/>
    <s v="Single layer top cover"/>
    <n v="16"/>
    <n v="8"/>
    <n v="2"/>
    <n v="0"/>
    <n v="0"/>
    <n v="0"/>
    <n v="0"/>
    <n v="0"/>
    <m/>
    <n v="16"/>
    <n v="0"/>
    <n v="0"/>
    <n v="0"/>
    <n v="0"/>
    <n v="0"/>
    <n v="0"/>
    <n v="0"/>
    <n v="0"/>
    <n v="0"/>
    <n v="0"/>
    <n v="0"/>
    <n v="0"/>
    <n v="0"/>
    <n v="0"/>
    <n v="0"/>
    <n v="0"/>
    <n v="0"/>
    <n v="0"/>
    <n v="0"/>
    <n v="16"/>
    <m/>
    <s v="WHOLESALE ACCOUNTS"/>
    <m/>
    <m/>
    <s v="Kalamazoo Foot Surgery"/>
    <m/>
    <m/>
    <x v="1"/>
    <s v="Kalamazoo Foot Surgery"/>
    <n v="0"/>
    <n v="0"/>
    <s v="Biocorrect"/>
    <s v="Biocorrect"/>
    <x v="1"/>
    <n v="1"/>
  </r>
  <r>
    <x v="0"/>
    <n v="17"/>
    <s v="Biocorrect "/>
    <d v="2023-09-30T00:00:00"/>
    <x v="59"/>
    <n v="10382986"/>
    <n v="54016934"/>
    <b v="0"/>
    <n v="9"/>
    <s v="L3010"/>
    <n v="216"/>
    <n v="216"/>
    <n v="1"/>
    <n v="0"/>
    <n v="0"/>
    <n v="0"/>
    <n v="0"/>
    <n v="0"/>
    <m/>
    <n v="0"/>
    <n v="0"/>
    <n v="0"/>
    <n v="0"/>
    <n v="0"/>
    <n v="0"/>
    <n v="0"/>
    <n v="0"/>
    <n v="0"/>
    <n v="0"/>
    <n v="0"/>
    <n v="0"/>
    <n v="0"/>
    <n v="0"/>
    <n v="0"/>
    <n v="216"/>
    <n v="0"/>
    <n v="0"/>
    <n v="0"/>
    <n v="0"/>
    <n v="216"/>
    <m/>
    <s v="BLUE CROSS BLUE SHIELD"/>
    <m/>
    <m/>
    <s v="BCBSM PPO"/>
    <m/>
    <m/>
    <x v="5"/>
    <s v="BCBSM PPO"/>
    <n v="0"/>
    <n v="0"/>
    <s v="Biocorrect"/>
    <s v="Biocorrect"/>
    <x v="1"/>
    <n v="1"/>
  </r>
  <r>
    <x v="0"/>
    <n v="17"/>
    <s v="Biocorrect "/>
    <d v="2023-09-30T00:00:00"/>
    <x v="59"/>
    <n v="10382986"/>
    <n v="54016937"/>
    <b v="0"/>
    <n v="9"/>
    <s v="L3010"/>
    <n v="216"/>
    <n v="216"/>
    <n v="1"/>
    <n v="0"/>
    <n v="0"/>
    <n v="0"/>
    <n v="0"/>
    <n v="0"/>
    <m/>
    <n v="0"/>
    <n v="0"/>
    <n v="0"/>
    <n v="0"/>
    <n v="0"/>
    <n v="0"/>
    <n v="0"/>
    <n v="0"/>
    <n v="0"/>
    <n v="0"/>
    <n v="0"/>
    <n v="0"/>
    <n v="0"/>
    <n v="0"/>
    <n v="0"/>
    <n v="216"/>
    <n v="0"/>
    <n v="0"/>
    <n v="0"/>
    <n v="0"/>
    <n v="216"/>
    <m/>
    <s v="BLUE CROSS BLUE SHIELD"/>
    <m/>
    <m/>
    <s v="BCBSM PPO"/>
    <m/>
    <m/>
    <x v="5"/>
    <s v="BCBSM PPO"/>
    <n v="0"/>
    <n v="0"/>
    <s v="Biocorrect"/>
    <s v="Biocorrect"/>
    <x v="1"/>
    <n v="1"/>
  </r>
  <r>
    <x v="0"/>
    <n v="17"/>
    <s v="Biocorrect "/>
    <d v="2023-09-30T00:00:00"/>
    <x v="60"/>
    <n v="10178481"/>
    <n v="52695066"/>
    <b v="0"/>
    <n v="51"/>
    <s v="L3010"/>
    <n v="216"/>
    <n v="216"/>
    <n v="1"/>
    <n v="0"/>
    <n v="0"/>
    <n v="0"/>
    <n v="0"/>
    <n v="0"/>
    <m/>
    <n v="216"/>
    <n v="0"/>
    <n v="0"/>
    <n v="0"/>
    <n v="0"/>
    <n v="0"/>
    <n v="0"/>
    <n v="0"/>
    <n v="0"/>
    <n v="0"/>
    <n v="0"/>
    <n v="0"/>
    <n v="0"/>
    <n v="0"/>
    <n v="0"/>
    <n v="0"/>
    <n v="0"/>
    <n v="0"/>
    <n v="0"/>
    <n v="0"/>
    <n v="216"/>
    <m/>
    <s v="BLUE CROSS BLUE SHIELD"/>
    <m/>
    <m/>
    <s v="BCBSM PPO"/>
    <m/>
    <m/>
    <x v="5"/>
    <s v="BCBSM PPO"/>
    <n v="0"/>
    <n v="0"/>
    <s v="Biocorrect"/>
    <s v="Biocorrect"/>
    <x v="4"/>
    <n v="2"/>
  </r>
  <r>
    <x v="0"/>
    <n v="17"/>
    <s v="Biocorrect "/>
    <d v="2023-09-30T00:00:00"/>
    <x v="61"/>
    <n v="10322056"/>
    <n v="53628017"/>
    <b v="0"/>
    <n v="23"/>
    <s v="A5513"/>
    <n v="216"/>
    <n v="216"/>
    <n v="1"/>
    <n v="0"/>
    <n v="0"/>
    <n v="0"/>
    <n v="0"/>
    <n v="0"/>
    <m/>
    <n v="216"/>
    <n v="0"/>
    <n v="0"/>
    <n v="0"/>
    <n v="0"/>
    <n v="0"/>
    <n v="0"/>
    <n v="0"/>
    <n v="0"/>
    <n v="0"/>
    <n v="0"/>
    <n v="0"/>
    <n v="0"/>
    <n v="0"/>
    <n v="0"/>
    <n v="0"/>
    <n v="0"/>
    <n v="0"/>
    <n v="0"/>
    <n v="0"/>
    <n v="216"/>
    <m/>
    <s v="MEDICARE"/>
    <m/>
    <m/>
    <s v="Medicare DME"/>
    <m/>
    <m/>
    <x v="8"/>
    <s v="Medicare DME"/>
    <n v="0"/>
    <n v="0"/>
    <s v="Biocorrect"/>
    <s v="Biocorrect"/>
    <x v="1"/>
    <n v="1"/>
  </r>
  <r>
    <x v="0"/>
    <n v="17"/>
    <s v="Biocorrect "/>
    <d v="2023-09-30T00:00:00"/>
    <x v="33"/>
    <n v="10367092"/>
    <n v="53757889"/>
    <b v="0"/>
    <n v="17"/>
    <s v="Single layer top cover"/>
    <n v="16"/>
    <n v="8"/>
    <n v="2"/>
    <n v="0"/>
    <n v="0"/>
    <n v="0"/>
    <n v="0"/>
    <n v="0"/>
    <m/>
    <n v="16"/>
    <n v="0"/>
    <n v="0"/>
    <n v="0"/>
    <n v="0"/>
    <n v="0"/>
    <n v="0"/>
    <n v="0"/>
    <n v="0"/>
    <n v="0"/>
    <n v="0"/>
    <n v="0"/>
    <n v="0"/>
    <n v="0"/>
    <n v="0"/>
    <n v="0"/>
    <n v="0"/>
    <n v="0"/>
    <n v="0"/>
    <n v="0"/>
    <n v="16"/>
    <m/>
    <s v="WHOLESALE ACCOUNTS"/>
    <m/>
    <m/>
    <s v="Kalamazoo Foot Surgery"/>
    <m/>
    <m/>
    <x v="1"/>
    <s v="Kalamazoo Foot Surgery"/>
    <n v="0"/>
    <n v="0"/>
    <s v="Biocorrect"/>
    <s v="Biocorrect"/>
    <x v="1"/>
    <n v="1"/>
  </r>
  <r>
    <x v="0"/>
    <n v="17"/>
    <s v="Biocorrect "/>
    <d v="2023-09-30T00:00:00"/>
    <x v="33"/>
    <n v="10367092"/>
    <n v="53757902"/>
    <b v="0"/>
    <n v="17"/>
    <s v="Metatarsal Pad"/>
    <n v="15"/>
    <n v="7.5"/>
    <n v="2"/>
    <n v="0"/>
    <n v="0"/>
    <n v="0"/>
    <n v="0"/>
    <n v="0"/>
    <m/>
    <n v="15"/>
    <n v="0"/>
    <n v="0"/>
    <n v="0"/>
    <n v="0"/>
    <n v="0"/>
    <n v="0"/>
    <n v="0"/>
    <n v="0"/>
    <n v="0"/>
    <n v="0"/>
    <n v="0"/>
    <n v="0"/>
    <n v="0"/>
    <n v="0"/>
    <n v="0"/>
    <n v="0"/>
    <n v="0"/>
    <n v="0"/>
    <n v="0"/>
    <n v="15"/>
    <m/>
    <s v="WHOLESALE ACCOUNTS"/>
    <m/>
    <m/>
    <s v="Kalamazoo Foot Surgery"/>
    <m/>
    <m/>
    <x v="1"/>
    <s v="Kalamazoo Foot Surgery"/>
    <n v="0"/>
    <n v="0"/>
    <s v="Biocorrect"/>
    <s v="Biocorrect"/>
    <x v="1"/>
    <n v="1"/>
  </r>
  <r>
    <x v="0"/>
    <n v="17"/>
    <s v="Biocorrect "/>
    <d v="2023-09-30T00:00:00"/>
    <x v="43"/>
    <n v="10367213"/>
    <n v="53758061"/>
    <b v="0"/>
    <n v="17"/>
    <s v="Leatherette top cover"/>
    <n v="25"/>
    <n v="12.5"/>
    <n v="2"/>
    <n v="0"/>
    <n v="0"/>
    <n v="0"/>
    <n v="0"/>
    <n v="0"/>
    <m/>
    <n v="25"/>
    <n v="0"/>
    <n v="0"/>
    <n v="0"/>
    <n v="0"/>
    <n v="0"/>
    <n v="0"/>
    <n v="0"/>
    <n v="0"/>
    <n v="0"/>
    <n v="0"/>
    <n v="0"/>
    <n v="0"/>
    <n v="0"/>
    <n v="0"/>
    <n v="0"/>
    <n v="0"/>
    <n v="0"/>
    <n v="0"/>
    <n v="0"/>
    <n v="25"/>
    <m/>
    <s v="WHOLESALE ACCOUNTS"/>
    <m/>
    <m/>
    <s v="Kalamazoo Foot Surgery"/>
    <m/>
    <m/>
    <x v="1"/>
    <s v="Kalamazoo Foot Surgery"/>
    <n v="0"/>
    <n v="0"/>
    <s v="Biocorrect"/>
    <s v="Biocorrect"/>
    <x v="1"/>
    <n v="1"/>
  </r>
  <r>
    <x v="0"/>
    <n v="17"/>
    <s v="Biocorrect "/>
    <d v="2023-09-30T00:00:00"/>
    <x v="52"/>
    <n v="10367247"/>
    <n v="53758493"/>
    <b v="0"/>
    <n v="17"/>
    <s v="Double layer top cover"/>
    <n v="20"/>
    <n v="10"/>
    <n v="2"/>
    <n v="0"/>
    <n v="0"/>
    <n v="0"/>
    <n v="0"/>
    <n v="0"/>
    <m/>
    <n v="20"/>
    <n v="0"/>
    <n v="0"/>
    <n v="0"/>
    <n v="0"/>
    <n v="0"/>
    <n v="0"/>
    <n v="0"/>
    <n v="0"/>
    <n v="0"/>
    <n v="0"/>
    <n v="0"/>
    <n v="0"/>
    <n v="0"/>
    <n v="0"/>
    <n v="0"/>
    <n v="0"/>
    <n v="0"/>
    <n v="0"/>
    <n v="0"/>
    <n v="20"/>
    <m/>
    <s v="WHOLESALE ACCOUNTS"/>
    <m/>
    <m/>
    <s v="Kalamazoo Foot Surgery"/>
    <m/>
    <m/>
    <x v="1"/>
    <s v="Kalamazoo Foot Surgery"/>
    <n v="0"/>
    <n v="0"/>
    <s v="Biocorrect"/>
    <s v="Biocorrect"/>
    <x v="1"/>
    <n v="1"/>
  </r>
  <r>
    <x v="0"/>
    <n v="17"/>
    <s v="Biocorrect "/>
    <d v="2023-09-30T00:00:00"/>
    <x v="62"/>
    <n v="10315349"/>
    <n v="53553783"/>
    <b v="0"/>
    <n v="23"/>
    <s v="L3010"/>
    <n v="216"/>
    <n v="216"/>
    <n v="1"/>
    <n v="0"/>
    <n v="0"/>
    <n v="0"/>
    <n v="0"/>
    <n v="0"/>
    <m/>
    <n v="0"/>
    <n v="0"/>
    <n v="0"/>
    <n v="0"/>
    <n v="0"/>
    <n v="0"/>
    <n v="0"/>
    <n v="0"/>
    <n v="0"/>
    <n v="0"/>
    <n v="0"/>
    <n v="0"/>
    <n v="0"/>
    <n v="0"/>
    <n v="0"/>
    <n v="216"/>
    <n v="0"/>
    <n v="0"/>
    <n v="0"/>
    <n v="0"/>
    <n v="216"/>
    <m/>
    <s v="BLUE CROSS BLUE SHIELD"/>
    <m/>
    <m/>
    <s v="BCBS Out of State"/>
    <m/>
    <m/>
    <x v="5"/>
    <s v="BCBS Out of State"/>
    <n v="0"/>
    <n v="0"/>
    <s v="Biocorrect"/>
    <s v="Biocorrect"/>
    <x v="1"/>
    <n v="1"/>
  </r>
  <r>
    <x v="0"/>
    <n v="17"/>
    <s v="Biocorrect "/>
    <d v="2023-09-30T00:00:00"/>
    <x v="44"/>
    <n v="10384058"/>
    <n v="53862282"/>
    <b v="0"/>
    <n v="15"/>
    <s v="Poly"/>
    <n v="85"/>
    <n v="85"/>
    <n v="1"/>
    <n v="0"/>
    <n v="0"/>
    <n v="0"/>
    <n v="0"/>
    <n v="0"/>
    <m/>
    <n v="85"/>
    <n v="0"/>
    <n v="0"/>
    <n v="0"/>
    <n v="0"/>
    <n v="0"/>
    <n v="0"/>
    <n v="0"/>
    <n v="0"/>
    <n v="0"/>
    <n v="0"/>
    <n v="0"/>
    <n v="0"/>
    <n v="0"/>
    <n v="0"/>
    <n v="0"/>
    <n v="0"/>
    <n v="0"/>
    <n v="0"/>
    <n v="0"/>
    <n v="85"/>
    <m/>
    <s v="WHOLESALE ACCOUNTS"/>
    <m/>
    <m/>
    <s v="Kalamazoo Foot Surgery"/>
    <m/>
    <m/>
    <x v="1"/>
    <s v="Kalamazoo Foot Surgery"/>
    <n v="0"/>
    <n v="0"/>
    <s v="Biocorrect"/>
    <s v="Biocorrect"/>
    <x v="1"/>
    <n v="1"/>
  </r>
  <r>
    <x v="0"/>
    <n v="17"/>
    <s v="Biocorrect "/>
    <d v="2023-09-30T00:00:00"/>
    <x v="44"/>
    <n v="10384058"/>
    <n v="53862287"/>
    <b v="0"/>
    <n v="15"/>
    <s v="Single layer top cover"/>
    <n v="16"/>
    <n v="8"/>
    <n v="2"/>
    <n v="0"/>
    <n v="0"/>
    <n v="0"/>
    <n v="0"/>
    <n v="0"/>
    <m/>
    <n v="16"/>
    <n v="0"/>
    <n v="0"/>
    <n v="0"/>
    <n v="0"/>
    <n v="0"/>
    <n v="0"/>
    <n v="0"/>
    <n v="0"/>
    <n v="0"/>
    <n v="0"/>
    <n v="0"/>
    <n v="0"/>
    <n v="0"/>
    <n v="0"/>
    <n v="0"/>
    <n v="0"/>
    <n v="0"/>
    <n v="0"/>
    <n v="0"/>
    <n v="16"/>
    <m/>
    <s v="WHOLESALE ACCOUNTS"/>
    <m/>
    <m/>
    <s v="Kalamazoo Foot Surgery"/>
    <m/>
    <m/>
    <x v="1"/>
    <s v="Kalamazoo Foot Surgery"/>
    <n v="0"/>
    <n v="0"/>
    <s v="Biocorrect"/>
    <s v="Biocorrect"/>
    <x v="1"/>
    <n v="1"/>
  </r>
  <r>
    <x v="0"/>
    <n v="17"/>
    <s v="Biocorrect "/>
    <d v="2023-09-30T00:00:00"/>
    <x v="54"/>
    <n v="10384138"/>
    <n v="53862445"/>
    <b v="0"/>
    <n v="15"/>
    <s v="Poly"/>
    <n v="85"/>
    <n v="85"/>
    <n v="1"/>
    <n v="0"/>
    <n v="0"/>
    <n v="0"/>
    <n v="0"/>
    <n v="0"/>
    <m/>
    <n v="85"/>
    <n v="0"/>
    <n v="0"/>
    <n v="0"/>
    <n v="0"/>
    <n v="0"/>
    <n v="0"/>
    <n v="0"/>
    <n v="0"/>
    <n v="0"/>
    <n v="0"/>
    <n v="0"/>
    <n v="0"/>
    <n v="0"/>
    <n v="0"/>
    <n v="0"/>
    <n v="0"/>
    <n v="0"/>
    <n v="0"/>
    <n v="0"/>
    <n v="85"/>
    <m/>
    <s v="WHOLESALE ACCOUNTS"/>
    <m/>
    <m/>
    <s v="Kalamazoo Foot Surgery"/>
    <m/>
    <m/>
    <x v="1"/>
    <s v="Kalamazoo Foot Surgery"/>
    <n v="0"/>
    <n v="0"/>
    <s v="Biocorrect"/>
    <s v="Biocorrect"/>
    <x v="1"/>
    <n v="1"/>
  </r>
  <r>
    <x v="0"/>
    <n v="17"/>
    <s v="Biocorrect "/>
    <d v="2023-09-30T00:00:00"/>
    <x v="63"/>
    <n v="10244373"/>
    <n v="52963855"/>
    <b v="0"/>
    <n v="44"/>
    <s v="L3010"/>
    <n v="109.5"/>
    <n v="109.5"/>
    <n v="1"/>
    <n v="0"/>
    <n v="0"/>
    <n v="0"/>
    <n v="0"/>
    <n v="0"/>
    <m/>
    <n v="109.5"/>
    <n v="0"/>
    <n v="0"/>
    <n v="0"/>
    <n v="0"/>
    <n v="0"/>
    <n v="0"/>
    <n v="0"/>
    <n v="0"/>
    <n v="0"/>
    <n v="0"/>
    <n v="0"/>
    <n v="0"/>
    <n v="0"/>
    <n v="0"/>
    <n v="0"/>
    <n v="0"/>
    <n v="0"/>
    <n v="0"/>
    <n v="0"/>
    <n v="109.5"/>
    <m/>
    <s v="WHOLESALE ACCOUNTS"/>
    <m/>
    <m/>
    <s v="Mercy Sports Medicine &amp; Rehabilitation"/>
    <m/>
    <m/>
    <x v="1"/>
    <s v="Mercy Sports Medicine &amp; Rehabilitation"/>
    <n v="0"/>
    <n v="0"/>
    <s v="Biocorrect"/>
    <s v="Biocorrect"/>
    <x v="4"/>
    <n v="2"/>
  </r>
  <r>
    <x v="0"/>
    <n v="17"/>
    <s v="Biocorrect "/>
    <d v="2023-09-30T00:00:00"/>
    <x v="15"/>
    <n v="9076490"/>
    <n v="46078019"/>
    <b v="0"/>
    <n v="270"/>
    <s v="Forefoot post"/>
    <n v="15"/>
    <n v="7.5"/>
    <n v="2"/>
    <n v="0"/>
    <n v="0"/>
    <n v="0"/>
    <n v="0"/>
    <n v="0"/>
    <m/>
    <n v="15"/>
    <n v="0"/>
    <n v="2"/>
    <n v="30"/>
    <n v="0"/>
    <n v="0"/>
    <n v="0"/>
    <n v="0"/>
    <n v="0"/>
    <n v="0"/>
    <n v="0"/>
    <n v="0"/>
    <n v="0"/>
    <n v="0"/>
    <n v="0"/>
    <n v="0"/>
    <n v="0"/>
    <n v="0"/>
    <n v="0"/>
    <n v="0"/>
    <n v="-15"/>
    <m/>
    <s v="WHOLESALE ACCOUNTS"/>
    <m/>
    <m/>
    <s v="Tahoe Forest Therapy Services"/>
    <m/>
    <m/>
    <x v="1"/>
    <s v="Tahoe Forest Therapy Services"/>
    <n v="0"/>
    <n v="0"/>
    <s v="Biocorrect"/>
    <s v="Biocorrect"/>
    <x v="0"/>
    <n v="7"/>
  </r>
  <r>
    <x v="0"/>
    <n v="17"/>
    <s v="Biocorrect "/>
    <d v="2023-09-30T00:00:00"/>
    <x v="15"/>
    <n v="9076490"/>
    <n v="46078021"/>
    <b v="0"/>
    <n v="270"/>
    <s v="SHIP:"/>
    <n v="15"/>
    <n v="15"/>
    <n v="1"/>
    <n v="0"/>
    <n v="0"/>
    <n v="0"/>
    <n v="0"/>
    <n v="0"/>
    <m/>
    <n v="15"/>
    <n v="0"/>
    <n v="2"/>
    <n v="30"/>
    <n v="0"/>
    <n v="0"/>
    <n v="0"/>
    <n v="0"/>
    <n v="0"/>
    <n v="0"/>
    <n v="0"/>
    <n v="0"/>
    <n v="0"/>
    <n v="0"/>
    <n v="0"/>
    <n v="0"/>
    <n v="0"/>
    <n v="0"/>
    <n v="0"/>
    <n v="0"/>
    <n v="-15"/>
    <m/>
    <s v="WHOLESALE ACCOUNTS"/>
    <m/>
    <m/>
    <s v="Tahoe Forest Therapy Services"/>
    <m/>
    <m/>
    <x v="1"/>
    <s v="Tahoe Forest Therapy Services"/>
    <n v="0"/>
    <n v="0"/>
    <s v="Biocorrect"/>
    <s v="Biocorrect"/>
    <x v="0"/>
    <n v="7"/>
  </r>
  <r>
    <x v="0"/>
    <n v="17"/>
    <s v="Biocorrect "/>
    <d v="2023-09-30T00:00:00"/>
    <x v="25"/>
    <n v="10402569"/>
    <n v="53963760"/>
    <b v="0"/>
    <n v="10"/>
    <s v="Rearfoot EVA or Poly heel post"/>
    <n v="15"/>
    <n v="7.5"/>
    <n v="2"/>
    <n v="0"/>
    <n v="0"/>
    <n v="0"/>
    <n v="0"/>
    <n v="0"/>
    <m/>
    <n v="15"/>
    <n v="0"/>
    <n v="0"/>
    <n v="0"/>
    <n v="0"/>
    <n v="0"/>
    <n v="0"/>
    <n v="0"/>
    <n v="0"/>
    <n v="0"/>
    <n v="0"/>
    <n v="0"/>
    <n v="0"/>
    <n v="0"/>
    <n v="0"/>
    <n v="0"/>
    <n v="0"/>
    <n v="0"/>
    <n v="0"/>
    <n v="0"/>
    <n v="15"/>
    <m/>
    <s v="WHOLESALE ACCOUNTS"/>
    <m/>
    <m/>
    <s v="Kalamazoo Foot Surgery"/>
    <m/>
    <m/>
    <x v="1"/>
    <s v="Kalamazoo Foot Surgery"/>
    <n v="0"/>
    <n v="0"/>
    <s v="Biocorrect"/>
    <s v="Biocorrect"/>
    <x v="1"/>
    <n v="1"/>
  </r>
  <r>
    <x v="0"/>
    <n v="17"/>
    <s v="Biocorrect "/>
    <d v="2023-09-30T00:00:00"/>
    <x v="25"/>
    <n v="10402569"/>
    <n v="53963764"/>
    <b v="0"/>
    <n v="10"/>
    <s v="Single layer top cover"/>
    <n v="16"/>
    <n v="8"/>
    <n v="2"/>
    <n v="0"/>
    <n v="0"/>
    <n v="0"/>
    <n v="0"/>
    <n v="0"/>
    <m/>
    <n v="16"/>
    <n v="0"/>
    <n v="0"/>
    <n v="0"/>
    <n v="0"/>
    <n v="0"/>
    <n v="0"/>
    <n v="0"/>
    <n v="0"/>
    <n v="0"/>
    <n v="0"/>
    <n v="0"/>
    <n v="0"/>
    <n v="0"/>
    <n v="0"/>
    <n v="0"/>
    <n v="0"/>
    <n v="0"/>
    <n v="0"/>
    <n v="0"/>
    <n v="16"/>
    <m/>
    <s v="WHOLESALE ACCOUNTS"/>
    <m/>
    <m/>
    <s v="Kalamazoo Foot Surgery"/>
    <m/>
    <m/>
    <x v="1"/>
    <s v="Kalamazoo Foot Surgery"/>
    <n v="0"/>
    <n v="0"/>
    <s v="Biocorrect"/>
    <s v="Biocorrect"/>
    <x v="1"/>
    <n v="1"/>
  </r>
  <r>
    <x v="0"/>
    <n v="17"/>
    <s v="Biocorrect "/>
    <d v="2023-09-30T00:00:00"/>
    <x v="57"/>
    <n v="10411263"/>
    <n v="53997178"/>
    <b v="0"/>
    <n v="15"/>
    <s v="TS"/>
    <n v="121.5"/>
    <n v="121.5"/>
    <n v="1"/>
    <n v="0"/>
    <n v="0"/>
    <n v="0"/>
    <n v="0"/>
    <n v="0"/>
    <m/>
    <n v="121.5"/>
    <n v="0"/>
    <n v="0"/>
    <n v="0"/>
    <n v="0"/>
    <n v="0"/>
    <n v="0"/>
    <n v="0"/>
    <n v="0"/>
    <n v="0"/>
    <n v="0"/>
    <n v="0"/>
    <n v="0"/>
    <n v="0"/>
    <n v="0"/>
    <n v="0"/>
    <n v="0"/>
    <n v="0"/>
    <n v="0"/>
    <n v="0"/>
    <n v="121.5"/>
    <m/>
    <s v="WHOLESALE ACCOUNTS"/>
    <m/>
    <m/>
    <s v="WTA"/>
    <m/>
    <m/>
    <x v="1"/>
    <s v="WTA"/>
    <n v="0"/>
    <n v="0"/>
    <s v="Biocorrect"/>
    <s v="Biocorrect"/>
    <x v="1"/>
    <n v="1"/>
  </r>
  <r>
    <x v="0"/>
    <n v="17"/>
    <s v="Biocorrect "/>
    <d v="2023-09-30T00:00:00"/>
    <x v="1"/>
    <n v="10389922"/>
    <n v="53907971"/>
    <b v="0"/>
    <n v="12"/>
    <s v="Rearfoot EVA or Poly heel post"/>
    <n v="15"/>
    <n v="7.5"/>
    <n v="2"/>
    <n v="0"/>
    <n v="0"/>
    <n v="0"/>
    <n v="0"/>
    <n v="0"/>
    <m/>
    <n v="15"/>
    <n v="0"/>
    <n v="0"/>
    <n v="0"/>
    <n v="0"/>
    <n v="0"/>
    <n v="0"/>
    <n v="0"/>
    <n v="0"/>
    <n v="0"/>
    <n v="0"/>
    <n v="0"/>
    <n v="0"/>
    <n v="0"/>
    <n v="0"/>
    <n v="0"/>
    <n v="0"/>
    <n v="0"/>
    <n v="0"/>
    <n v="0"/>
    <n v="15"/>
    <m/>
    <s v="WHOLESALE ACCOUNTS"/>
    <m/>
    <m/>
    <s v="Nobile Shoes"/>
    <m/>
    <m/>
    <x v="1"/>
    <s v="Nobile Shoes"/>
    <n v="0"/>
    <n v="0"/>
    <s v="Biocorrect"/>
    <s v="Biocorrect"/>
    <x v="1"/>
    <n v="1"/>
  </r>
  <r>
    <x v="0"/>
    <n v="17"/>
    <s v="Biocorrect "/>
    <d v="2023-09-30T00:00:00"/>
    <x v="58"/>
    <n v="10417817"/>
    <n v="54042137"/>
    <b v="0"/>
    <n v="8"/>
    <s v="Bottom cover"/>
    <n v="8"/>
    <n v="4"/>
    <n v="2"/>
    <n v="0"/>
    <n v="0"/>
    <n v="0"/>
    <n v="0"/>
    <n v="0"/>
    <m/>
    <n v="8"/>
    <n v="0"/>
    <n v="0"/>
    <n v="0"/>
    <n v="0"/>
    <n v="0"/>
    <n v="0"/>
    <n v="0"/>
    <n v="0"/>
    <n v="0"/>
    <n v="0"/>
    <n v="0"/>
    <n v="0"/>
    <n v="0"/>
    <n v="0"/>
    <n v="0"/>
    <n v="0"/>
    <n v="0"/>
    <n v="0"/>
    <n v="0"/>
    <n v="8"/>
    <m/>
    <s v="WHOLESALE ACCOUNTS"/>
    <m/>
    <m/>
    <s v="Kalamazoo Foot Surgery"/>
    <m/>
    <m/>
    <x v="1"/>
    <s v="Kalamazoo Foot Surgery"/>
    <n v="0"/>
    <n v="0"/>
    <s v="Biocorrect"/>
    <s v="Biocorrect"/>
    <x v="1"/>
    <n v="1"/>
  </r>
  <r>
    <x v="0"/>
    <n v="17"/>
    <s v="Biocorrect "/>
    <d v="2023-09-30T00:00:00"/>
    <x v="64"/>
    <n v="8803104"/>
    <n v="44640637"/>
    <b v="0"/>
    <n v="331"/>
    <s v="L3010"/>
    <n v="150"/>
    <n v="150"/>
    <n v="1"/>
    <n v="0"/>
    <n v="14.22"/>
    <n v="0"/>
    <n v="14.22"/>
    <n v="0"/>
    <m/>
    <n v="150"/>
    <n v="0"/>
    <n v="2"/>
    <n v="142.16"/>
    <n v="7.84"/>
    <n v="0"/>
    <n v="0"/>
    <n v="0"/>
    <n v="0"/>
    <n v="0"/>
    <n v="0"/>
    <n v="0"/>
    <n v="0"/>
    <n v="0"/>
    <n v="0"/>
    <n v="0"/>
    <n v="0"/>
    <n v="0"/>
    <n v="0"/>
    <n v="0"/>
    <n v="-14.22"/>
    <m/>
    <s v="BLUE CROSS BLUE SHIELD"/>
    <m/>
    <m/>
    <s v="BCBSM PPO"/>
    <m/>
    <m/>
    <x v="5"/>
    <s v="BCBSM PPO"/>
    <n v="0"/>
    <n v="0"/>
    <s v="Biocorrect"/>
    <s v="Biocorrect"/>
    <x v="0"/>
    <n v="7"/>
  </r>
  <r>
    <x v="0"/>
    <n v="17"/>
    <s v="Biocorrect "/>
    <d v="2023-09-30T00:00:00"/>
    <x v="37"/>
    <n v="10145874"/>
    <n v="52399002"/>
    <b v="0"/>
    <n v="60"/>
    <s v="SHIP:"/>
    <n v="15"/>
    <n v="15"/>
    <n v="1"/>
    <n v="0"/>
    <n v="0"/>
    <n v="0"/>
    <n v="0"/>
    <n v="0"/>
    <m/>
    <n v="15"/>
    <n v="0"/>
    <n v="0"/>
    <n v="0"/>
    <n v="0"/>
    <n v="0"/>
    <n v="0"/>
    <n v="0"/>
    <n v="0"/>
    <n v="0"/>
    <n v="0"/>
    <n v="0"/>
    <n v="0"/>
    <n v="0"/>
    <n v="0"/>
    <n v="0"/>
    <n v="0"/>
    <n v="0"/>
    <n v="0"/>
    <n v="0"/>
    <n v="15"/>
    <m/>
    <s v="WHOLESALE ACCOUNTS"/>
    <m/>
    <m/>
    <s v="Physical Achievement Center"/>
    <m/>
    <m/>
    <x v="1"/>
    <s v="Physical Achievement Center"/>
    <n v="0"/>
    <n v="0"/>
    <s v="Biocorrect"/>
    <s v="Biocorrect"/>
    <x v="4"/>
    <n v="2"/>
  </r>
  <r>
    <x v="0"/>
    <n v="17"/>
    <s v="Biocorrect "/>
    <d v="2023-09-30T00:00:00"/>
    <x v="56"/>
    <n v="10454296"/>
    <n v="54285532"/>
    <b v="0"/>
    <n v="1"/>
    <s v="L3332 heel lift"/>
    <n v="6"/>
    <n v="6"/>
    <n v="1"/>
    <n v="0"/>
    <n v="0"/>
    <n v="0"/>
    <n v="0"/>
    <n v="0"/>
    <m/>
    <n v="6"/>
    <n v="0"/>
    <n v="0"/>
    <n v="0"/>
    <n v="0"/>
    <n v="0"/>
    <n v="0"/>
    <n v="0"/>
    <n v="0"/>
    <n v="0"/>
    <n v="0"/>
    <n v="0"/>
    <n v="0"/>
    <n v="0"/>
    <n v="0"/>
    <n v="0"/>
    <n v="0"/>
    <n v="0"/>
    <n v="0"/>
    <n v="0"/>
    <n v="6"/>
    <m/>
    <s v="WHOLESALE ACCOUNTS"/>
    <m/>
    <m/>
    <s v="Nobile Shoes"/>
    <m/>
    <m/>
    <x v="1"/>
    <s v="Nobile Shoes"/>
    <n v="0"/>
    <n v="0"/>
    <s v="Biocorrect"/>
    <s v="Biocorrect"/>
    <x v="1"/>
    <n v="1"/>
  </r>
  <r>
    <x v="0"/>
    <n v="17"/>
    <s v="Biocorrect "/>
    <d v="2023-09-30T00:00:00"/>
    <x v="56"/>
    <n v="10454296"/>
    <n v="54285570"/>
    <b v="0"/>
    <n v="1"/>
    <s v="SHIP:"/>
    <n v="15"/>
    <n v="15"/>
    <n v="1"/>
    <n v="0"/>
    <n v="0"/>
    <n v="0"/>
    <n v="0"/>
    <n v="0"/>
    <m/>
    <n v="15"/>
    <n v="0"/>
    <n v="0"/>
    <n v="0"/>
    <n v="0"/>
    <n v="0"/>
    <n v="0"/>
    <n v="0"/>
    <n v="0"/>
    <n v="0"/>
    <n v="0"/>
    <n v="0"/>
    <n v="0"/>
    <n v="0"/>
    <n v="0"/>
    <n v="0"/>
    <n v="0"/>
    <n v="0"/>
    <n v="0"/>
    <n v="0"/>
    <n v="15"/>
    <m/>
    <s v="WHOLESALE ACCOUNTS"/>
    <m/>
    <m/>
    <s v="Nobile Shoes"/>
    <m/>
    <m/>
    <x v="1"/>
    <s v="Nobile Shoes"/>
    <n v="0"/>
    <n v="0"/>
    <s v="Biocorrect"/>
    <s v="Biocorrect"/>
    <x v="1"/>
    <n v="1"/>
  </r>
  <r>
    <x v="0"/>
    <n v="17"/>
    <s v="Biocorrect "/>
    <d v="2023-09-30T00:00:00"/>
    <x v="13"/>
    <n v="10339688"/>
    <n v="53588950"/>
    <b v="0"/>
    <n v="23"/>
    <s v="Leatherette top cover"/>
    <n v="25"/>
    <n v="12.5"/>
    <n v="2"/>
    <n v="0"/>
    <n v="0"/>
    <n v="0"/>
    <n v="0"/>
    <n v="0"/>
    <m/>
    <n v="25"/>
    <n v="0"/>
    <n v="0"/>
    <n v="0"/>
    <n v="0"/>
    <n v="0"/>
    <n v="0"/>
    <n v="0"/>
    <n v="0"/>
    <n v="0"/>
    <n v="0"/>
    <n v="0"/>
    <n v="0"/>
    <n v="0"/>
    <n v="0"/>
    <n v="0"/>
    <n v="0"/>
    <n v="0"/>
    <n v="0"/>
    <n v="0"/>
    <n v="25"/>
    <m/>
    <s v="WHOLESALE ACCOUNTS"/>
    <m/>
    <m/>
    <s v="Kalamazoo Foot Surgery"/>
    <m/>
    <m/>
    <x v="1"/>
    <s v="Kalamazoo Foot Surgery"/>
    <n v="0"/>
    <n v="0"/>
    <s v="Biocorrect"/>
    <s v="Biocorrect"/>
    <x v="1"/>
    <n v="1"/>
  </r>
  <r>
    <x v="0"/>
    <n v="17"/>
    <s v="Biocorrect "/>
    <d v="2023-09-30T00:00:00"/>
    <x v="18"/>
    <n v="10302920"/>
    <n v="53664398"/>
    <b v="0"/>
    <n v="22"/>
    <s v="L3010"/>
    <n v="216"/>
    <n v="216"/>
    <n v="1"/>
    <n v="0"/>
    <n v="0"/>
    <n v="0"/>
    <n v="0"/>
    <n v="0"/>
    <m/>
    <n v="216"/>
    <n v="0"/>
    <n v="0"/>
    <n v="0"/>
    <n v="0"/>
    <n v="0"/>
    <n v="0"/>
    <n v="0"/>
    <n v="0"/>
    <n v="0"/>
    <n v="0"/>
    <n v="0"/>
    <n v="0"/>
    <n v="0"/>
    <n v="0"/>
    <n v="0"/>
    <n v="0"/>
    <n v="0"/>
    <n v="0"/>
    <n v="0"/>
    <n v="216"/>
    <m/>
    <s v="BLUE CROSS BLUE SHIELD"/>
    <m/>
    <m/>
    <s v="BCBSM PPO"/>
    <m/>
    <m/>
    <x v="5"/>
    <s v="BCBSM PPO"/>
    <n v="0"/>
    <n v="0"/>
    <s v="Biocorrect"/>
    <s v="Biocorrect"/>
    <x v="1"/>
    <n v="1"/>
  </r>
  <r>
    <x v="0"/>
    <n v="17"/>
    <s v="Biocorrect "/>
    <d v="2023-09-30T00:00:00"/>
    <x v="65"/>
    <n v="10167647"/>
    <n v="52761564"/>
    <b v="0"/>
    <n v="50"/>
    <s v="L3010"/>
    <n v="216"/>
    <n v="216"/>
    <n v="1"/>
    <n v="0"/>
    <n v="0"/>
    <n v="0"/>
    <n v="0"/>
    <n v="0"/>
    <m/>
    <n v="216"/>
    <n v="0"/>
    <n v="0"/>
    <n v="0"/>
    <n v="0"/>
    <n v="0"/>
    <n v="0"/>
    <n v="0"/>
    <n v="0"/>
    <n v="0"/>
    <n v="0"/>
    <n v="0"/>
    <n v="0"/>
    <n v="0"/>
    <n v="0"/>
    <n v="0"/>
    <n v="0"/>
    <n v="0"/>
    <n v="0"/>
    <n v="0"/>
    <n v="216"/>
    <m/>
    <s v="AUTO"/>
    <m/>
    <m/>
    <s v="Progressive Claims  Auto"/>
    <m/>
    <m/>
    <x v="6"/>
    <s v="Progressive Claims  Auto"/>
    <n v="0"/>
    <n v="0"/>
    <s v="Biocorrect"/>
    <s v="Biocorrect"/>
    <x v="4"/>
    <n v="2"/>
  </r>
  <r>
    <x v="0"/>
    <n v="17"/>
    <s v="Biocorrect "/>
    <d v="2023-09-30T00:00:00"/>
    <x v="43"/>
    <n v="10367213"/>
    <n v="53758053"/>
    <b v="0"/>
    <n v="17"/>
    <s v="Poly"/>
    <n v="85"/>
    <n v="85"/>
    <n v="1"/>
    <n v="0"/>
    <n v="0"/>
    <n v="0"/>
    <n v="0"/>
    <n v="0"/>
    <m/>
    <n v="85"/>
    <n v="0"/>
    <n v="0"/>
    <n v="0"/>
    <n v="0"/>
    <n v="0"/>
    <n v="0"/>
    <n v="0"/>
    <n v="0"/>
    <n v="0"/>
    <n v="0"/>
    <n v="0"/>
    <n v="0"/>
    <n v="0"/>
    <n v="0"/>
    <n v="0"/>
    <n v="0"/>
    <n v="0"/>
    <n v="0"/>
    <n v="0"/>
    <n v="85"/>
    <m/>
    <s v="WHOLESALE ACCOUNTS"/>
    <m/>
    <m/>
    <s v="Kalamazoo Foot Surgery"/>
    <m/>
    <m/>
    <x v="1"/>
    <s v="Kalamazoo Foot Surgery"/>
    <n v="0"/>
    <n v="0"/>
    <s v="Biocorrect"/>
    <s v="Biocorrect"/>
    <x v="1"/>
    <n v="1"/>
  </r>
  <r>
    <x v="0"/>
    <n v="17"/>
    <s v="Biocorrect "/>
    <d v="2023-09-30T00:00:00"/>
    <x v="52"/>
    <n v="10367247"/>
    <n v="53758437"/>
    <b v="0"/>
    <n v="17"/>
    <s v="Poly"/>
    <n v="85"/>
    <n v="85"/>
    <n v="1"/>
    <n v="0"/>
    <n v="0"/>
    <n v="0"/>
    <n v="0"/>
    <n v="0"/>
    <m/>
    <n v="85"/>
    <n v="0"/>
    <n v="0"/>
    <n v="0"/>
    <n v="0"/>
    <n v="0"/>
    <n v="0"/>
    <n v="0"/>
    <n v="0"/>
    <n v="0"/>
    <n v="0"/>
    <n v="0"/>
    <n v="0"/>
    <n v="0"/>
    <n v="0"/>
    <n v="0"/>
    <n v="0"/>
    <n v="0"/>
    <n v="0"/>
    <n v="0"/>
    <n v="85"/>
    <m/>
    <s v="WHOLESALE ACCOUNTS"/>
    <m/>
    <m/>
    <s v="Kalamazoo Foot Surgery"/>
    <m/>
    <m/>
    <x v="1"/>
    <s v="Kalamazoo Foot Surgery"/>
    <n v="0"/>
    <n v="0"/>
    <s v="Biocorrect"/>
    <s v="Biocorrect"/>
    <x v="1"/>
    <n v="1"/>
  </r>
  <r>
    <x v="0"/>
    <n v="17"/>
    <s v="Biocorrect "/>
    <d v="2023-09-30T00:00:00"/>
    <x v="66"/>
    <n v="10369131"/>
    <n v="53769453"/>
    <b v="0"/>
    <n v="19"/>
    <s v="1st ray cut out/1st ray drop"/>
    <n v="10"/>
    <n v="5"/>
    <n v="2"/>
    <n v="0"/>
    <n v="0"/>
    <n v="0"/>
    <n v="0"/>
    <n v="0"/>
    <m/>
    <n v="10"/>
    <n v="0"/>
    <n v="0"/>
    <n v="0"/>
    <n v="0"/>
    <n v="0"/>
    <n v="0"/>
    <n v="0"/>
    <n v="0"/>
    <n v="0"/>
    <n v="0"/>
    <n v="0"/>
    <n v="0"/>
    <n v="0"/>
    <n v="0"/>
    <n v="0"/>
    <n v="0"/>
    <n v="0"/>
    <n v="0"/>
    <n v="0"/>
    <n v="10"/>
    <m/>
    <s v="WHOLESALE ACCOUNTS"/>
    <m/>
    <m/>
    <s v="Nobile Shoes"/>
    <m/>
    <m/>
    <x v="1"/>
    <s v="Nobile Shoes"/>
    <n v="0"/>
    <n v="0"/>
    <s v="Biocorrect"/>
    <s v="Biocorrect"/>
    <x v="1"/>
    <n v="1"/>
  </r>
  <r>
    <x v="0"/>
    <n v="17"/>
    <s v="Biocorrect "/>
    <d v="2023-09-30T00:00:00"/>
    <x v="67"/>
    <n v="10369215"/>
    <n v="53769593"/>
    <b v="0"/>
    <n v="19"/>
    <s v="Metatarsal Pad"/>
    <n v="15"/>
    <n v="7.5"/>
    <n v="2"/>
    <n v="0"/>
    <n v="0"/>
    <n v="0"/>
    <n v="0"/>
    <n v="0"/>
    <m/>
    <n v="15"/>
    <n v="0"/>
    <n v="0"/>
    <n v="0"/>
    <n v="0"/>
    <n v="0"/>
    <n v="0"/>
    <n v="0"/>
    <n v="0"/>
    <n v="0"/>
    <n v="0"/>
    <n v="0"/>
    <n v="0"/>
    <n v="0"/>
    <n v="0"/>
    <n v="0"/>
    <n v="0"/>
    <n v="0"/>
    <n v="0"/>
    <n v="0"/>
    <n v="15"/>
    <m/>
    <s v="WHOLESALE ACCOUNTS"/>
    <m/>
    <m/>
    <s v="Nobile Shoes"/>
    <m/>
    <m/>
    <x v="1"/>
    <s v="Nobile Shoes"/>
    <n v="0"/>
    <n v="0"/>
    <s v="Biocorrect"/>
    <s v="Biocorrect"/>
    <x v="1"/>
    <n v="1"/>
  </r>
  <r>
    <x v="0"/>
    <n v="17"/>
    <s v="Biocorrect "/>
    <d v="2023-09-30T00:00:00"/>
    <x v="31"/>
    <n v="9926074"/>
    <n v="51715821"/>
    <b v="0"/>
    <n v="82"/>
    <s v="L3010"/>
    <n v="216"/>
    <n v="216"/>
    <n v="1"/>
    <n v="0"/>
    <n v="0"/>
    <n v="0"/>
    <n v="0"/>
    <n v="0"/>
    <m/>
    <n v="216"/>
    <n v="0"/>
    <n v="0"/>
    <n v="0"/>
    <n v="0"/>
    <n v="0"/>
    <n v="0"/>
    <n v="0"/>
    <n v="0"/>
    <n v="0"/>
    <n v="0"/>
    <n v="0"/>
    <n v="0"/>
    <n v="0"/>
    <n v="0"/>
    <n v="0"/>
    <n v="0"/>
    <n v="0"/>
    <n v="0"/>
    <n v="0"/>
    <n v="216"/>
    <m/>
    <s v="WORKERS COMPENSATION"/>
    <m/>
    <m/>
    <s v="Donegal Insurance Group WC"/>
    <m/>
    <m/>
    <x v="2"/>
    <s v="Donegal Insurance Group WC"/>
    <n v="0"/>
    <n v="0"/>
    <s v="Biocorrect"/>
    <s v="Biocorrect"/>
    <x v="2"/>
    <n v="3"/>
  </r>
  <r>
    <x v="0"/>
    <n v="17"/>
    <s v="Biocorrect "/>
    <d v="2023-09-30T00:00:00"/>
    <x v="31"/>
    <n v="9926074"/>
    <n v="51715824"/>
    <b v="0"/>
    <n v="82"/>
    <s v="L3010"/>
    <n v="216"/>
    <n v="216"/>
    <n v="1"/>
    <n v="0"/>
    <n v="0"/>
    <n v="0"/>
    <n v="0"/>
    <n v="0"/>
    <m/>
    <n v="216"/>
    <n v="0"/>
    <n v="0"/>
    <n v="0"/>
    <n v="0"/>
    <n v="0"/>
    <n v="0"/>
    <n v="0"/>
    <n v="0"/>
    <n v="0"/>
    <n v="0"/>
    <n v="0"/>
    <n v="0"/>
    <n v="0"/>
    <n v="0"/>
    <n v="0"/>
    <n v="0"/>
    <n v="0"/>
    <n v="0"/>
    <n v="0"/>
    <n v="216"/>
    <m/>
    <s v="WORKERS COMPENSATION"/>
    <m/>
    <m/>
    <s v="Donegal Insurance Group WC"/>
    <m/>
    <m/>
    <x v="2"/>
    <s v="Donegal Insurance Group WC"/>
    <n v="0"/>
    <n v="0"/>
    <s v="Biocorrect"/>
    <s v="Biocorrect"/>
    <x v="2"/>
    <n v="3"/>
  </r>
  <r>
    <x v="0"/>
    <n v="17"/>
    <s v="Biocorrect "/>
    <d v="2023-09-30T00:00:00"/>
    <x v="14"/>
    <n v="10288385"/>
    <n v="53637182"/>
    <b v="0"/>
    <n v="22"/>
    <s v="L3010"/>
    <n v="216"/>
    <n v="216"/>
    <n v="1"/>
    <n v="0"/>
    <n v="0"/>
    <n v="0"/>
    <n v="0"/>
    <n v="0"/>
    <m/>
    <n v="216"/>
    <n v="0"/>
    <n v="0"/>
    <n v="0"/>
    <n v="0"/>
    <n v="0"/>
    <n v="0"/>
    <n v="0"/>
    <n v="0"/>
    <n v="0"/>
    <n v="0"/>
    <n v="0"/>
    <n v="0"/>
    <n v="0"/>
    <n v="0"/>
    <n v="0"/>
    <n v="0"/>
    <n v="0"/>
    <n v="0"/>
    <n v="0"/>
    <n v="216"/>
    <m/>
    <s v="MEDICARE ADVANTAGE"/>
    <m/>
    <m/>
    <s v="BCBS Medicare Plus Blue"/>
    <m/>
    <m/>
    <x v="4"/>
    <s v="BCBS Medicare Plus Blue"/>
    <n v="0"/>
    <n v="0"/>
    <s v="Biocorrect"/>
    <s v="Biocorrect"/>
    <x v="1"/>
    <n v="1"/>
  </r>
  <r>
    <x v="0"/>
    <n v="17"/>
    <s v="Biocorrect "/>
    <d v="2023-09-30T00:00:00"/>
    <x v="66"/>
    <n v="10369131"/>
    <n v="53769463"/>
    <b v="0"/>
    <n v="19"/>
    <s v="Single layer top cover"/>
    <n v="16"/>
    <n v="8"/>
    <n v="2"/>
    <n v="0"/>
    <n v="0"/>
    <n v="0"/>
    <n v="0"/>
    <n v="0"/>
    <m/>
    <n v="16"/>
    <n v="0"/>
    <n v="0"/>
    <n v="0"/>
    <n v="0"/>
    <n v="0"/>
    <n v="0"/>
    <n v="0"/>
    <n v="0"/>
    <n v="0"/>
    <n v="0"/>
    <n v="0"/>
    <n v="0"/>
    <n v="0"/>
    <n v="0"/>
    <n v="0"/>
    <n v="0"/>
    <n v="0"/>
    <n v="0"/>
    <n v="0"/>
    <n v="16"/>
    <m/>
    <s v="WHOLESALE ACCOUNTS"/>
    <m/>
    <m/>
    <s v="Nobile Shoes"/>
    <m/>
    <m/>
    <x v="1"/>
    <s v="Nobile Shoes"/>
    <n v="0"/>
    <n v="0"/>
    <s v="Biocorrect"/>
    <s v="Biocorrect"/>
    <x v="1"/>
    <n v="1"/>
  </r>
  <r>
    <x v="0"/>
    <n v="17"/>
    <s v="Biocorrect "/>
    <d v="2023-09-30T00:00:00"/>
    <x v="67"/>
    <n v="10369215"/>
    <n v="53769598"/>
    <b v="0"/>
    <n v="19"/>
    <s v="Single layer top cover"/>
    <n v="16"/>
    <n v="8"/>
    <n v="2"/>
    <n v="0"/>
    <n v="0"/>
    <n v="0"/>
    <n v="0"/>
    <n v="0"/>
    <m/>
    <n v="16"/>
    <n v="0"/>
    <n v="0"/>
    <n v="0"/>
    <n v="0"/>
    <n v="0"/>
    <n v="0"/>
    <n v="0"/>
    <n v="0"/>
    <n v="0"/>
    <n v="0"/>
    <n v="0"/>
    <n v="0"/>
    <n v="0"/>
    <n v="0"/>
    <n v="0"/>
    <n v="0"/>
    <n v="0"/>
    <n v="0"/>
    <n v="0"/>
    <n v="16"/>
    <m/>
    <s v="WHOLESALE ACCOUNTS"/>
    <m/>
    <m/>
    <s v="Nobile Shoes"/>
    <m/>
    <m/>
    <x v="1"/>
    <s v="Nobile Shoes"/>
    <n v="0"/>
    <n v="0"/>
    <s v="Biocorrect"/>
    <s v="Biocorrect"/>
    <x v="1"/>
    <n v="1"/>
  </r>
  <r>
    <x v="0"/>
    <n v="17"/>
    <s v="Biocorrect "/>
    <d v="2023-09-30T00:00:00"/>
    <x v="67"/>
    <n v="10369215"/>
    <n v="53769603"/>
    <b v="0"/>
    <n v="19"/>
    <s v="Morton's Extension"/>
    <n v="7.5"/>
    <n v="7.5"/>
    <n v="1"/>
    <n v="0"/>
    <n v="0"/>
    <n v="0"/>
    <n v="0"/>
    <n v="0"/>
    <m/>
    <n v="7.5"/>
    <n v="0"/>
    <n v="0"/>
    <n v="0"/>
    <n v="0"/>
    <n v="0"/>
    <n v="0"/>
    <n v="0"/>
    <n v="0"/>
    <n v="0"/>
    <n v="0"/>
    <n v="0"/>
    <n v="0"/>
    <n v="0"/>
    <n v="0"/>
    <n v="0"/>
    <n v="0"/>
    <n v="0"/>
    <n v="0"/>
    <n v="0"/>
    <n v="7.5"/>
    <m/>
    <s v="WHOLESALE ACCOUNTS"/>
    <m/>
    <m/>
    <s v="Nobile Shoes"/>
    <m/>
    <m/>
    <x v="1"/>
    <s v="Nobile Shoes"/>
    <n v="0"/>
    <n v="0"/>
    <s v="Biocorrect"/>
    <s v="Biocorrect"/>
    <x v="1"/>
    <n v="1"/>
  </r>
  <r>
    <x v="0"/>
    <n v="17"/>
    <s v="Biocorrect "/>
    <d v="2023-09-30T00:00:00"/>
    <x v="67"/>
    <n v="10369215"/>
    <n v="53769605"/>
    <b v="0"/>
    <n v="19"/>
    <s v="SHIP:"/>
    <n v="15"/>
    <n v="15"/>
    <n v="1"/>
    <n v="0"/>
    <n v="0"/>
    <n v="0"/>
    <n v="0"/>
    <n v="0"/>
    <m/>
    <n v="15"/>
    <n v="0"/>
    <n v="0"/>
    <n v="0"/>
    <n v="0"/>
    <n v="0"/>
    <n v="0"/>
    <n v="0"/>
    <n v="0"/>
    <n v="0"/>
    <n v="0"/>
    <n v="0"/>
    <n v="0"/>
    <n v="0"/>
    <n v="0"/>
    <n v="0"/>
    <n v="0"/>
    <n v="0"/>
    <n v="0"/>
    <n v="0"/>
    <n v="15"/>
    <m/>
    <s v="WHOLESALE ACCOUNTS"/>
    <m/>
    <m/>
    <s v="Nobile Shoes"/>
    <m/>
    <m/>
    <x v="1"/>
    <s v="Nobile Shoes"/>
    <n v="0"/>
    <n v="0"/>
    <s v="Biocorrect"/>
    <s v="Biocorrect"/>
    <x v="1"/>
    <n v="1"/>
  </r>
  <r>
    <x v="0"/>
    <n v="17"/>
    <s v="Biocorrect "/>
    <d v="2023-09-30T00:00:00"/>
    <x v="20"/>
    <n v="10250265"/>
    <n v="52990499"/>
    <b v="0"/>
    <n v="43"/>
    <s v="L3020"/>
    <n v="109.5"/>
    <n v="109.5"/>
    <n v="1"/>
    <n v="0"/>
    <n v="0"/>
    <n v="0"/>
    <n v="0"/>
    <n v="0"/>
    <m/>
    <n v="109.5"/>
    <n v="0"/>
    <n v="0"/>
    <n v="0"/>
    <n v="0"/>
    <n v="0"/>
    <n v="0"/>
    <n v="0"/>
    <n v="0"/>
    <n v="0"/>
    <n v="0"/>
    <n v="0"/>
    <n v="0"/>
    <n v="0"/>
    <n v="0"/>
    <n v="0"/>
    <n v="0"/>
    <n v="0"/>
    <n v="0"/>
    <n v="0"/>
    <n v="109.5"/>
    <m/>
    <s v="WHOLESALE ACCOUNTS"/>
    <m/>
    <m/>
    <s v="Good Life Therapy"/>
    <m/>
    <m/>
    <x v="1"/>
    <s v="Good Life Therapy"/>
    <n v="0"/>
    <n v="0"/>
    <s v="Biocorrect"/>
    <s v="Biocorrect"/>
    <x v="4"/>
    <n v="2"/>
  </r>
  <r>
    <x v="0"/>
    <n v="17"/>
    <s v="Biocorrect "/>
    <d v="2023-09-30T00:00:00"/>
    <x v="20"/>
    <n v="10250265"/>
    <n v="52990715"/>
    <b v="0"/>
    <n v="43"/>
    <s v="SHIP:"/>
    <n v="8.5"/>
    <n v="8.5"/>
    <n v="1"/>
    <n v="0"/>
    <n v="0"/>
    <n v="0"/>
    <n v="0"/>
    <n v="0"/>
    <m/>
    <n v="8.5"/>
    <n v="0"/>
    <n v="0"/>
    <n v="0"/>
    <n v="0"/>
    <n v="0"/>
    <n v="0"/>
    <n v="0"/>
    <n v="0"/>
    <n v="0"/>
    <n v="0"/>
    <n v="0"/>
    <n v="0"/>
    <n v="0"/>
    <n v="0"/>
    <n v="0"/>
    <n v="0"/>
    <n v="0"/>
    <n v="0"/>
    <n v="0"/>
    <n v="8.5"/>
    <m/>
    <s v="WHOLESALE ACCOUNTS"/>
    <m/>
    <m/>
    <s v="Good Life Therapy"/>
    <m/>
    <m/>
    <x v="1"/>
    <s v="Good Life Therapy"/>
    <n v="0"/>
    <n v="0"/>
    <s v="Biocorrect"/>
    <s v="Biocorrect"/>
    <x v="4"/>
    <n v="2"/>
  </r>
  <r>
    <x v="0"/>
    <n v="17"/>
    <s v="Biocorrect "/>
    <d v="2023-09-30T00:00:00"/>
    <x v="7"/>
    <n v="10427374"/>
    <n v="54108332"/>
    <b v="0"/>
    <n v="5"/>
    <s v="Bottom cover"/>
    <n v="8"/>
    <n v="4"/>
    <n v="2"/>
    <n v="0"/>
    <n v="0"/>
    <n v="0"/>
    <n v="0"/>
    <n v="0"/>
    <m/>
    <n v="8"/>
    <n v="0"/>
    <n v="0"/>
    <n v="0"/>
    <n v="0"/>
    <n v="0"/>
    <n v="0"/>
    <n v="0"/>
    <n v="0"/>
    <n v="0"/>
    <n v="0"/>
    <n v="0"/>
    <n v="0"/>
    <n v="0"/>
    <n v="0"/>
    <n v="0"/>
    <n v="0"/>
    <n v="0"/>
    <n v="0"/>
    <n v="0"/>
    <n v="8"/>
    <m/>
    <s v="WHOLESALE ACCOUNTS"/>
    <m/>
    <m/>
    <s v="Kalamazoo Foot Surgery"/>
    <m/>
    <m/>
    <x v="1"/>
    <s v="Kalamazoo Foot Surgery"/>
    <n v="0"/>
    <n v="0"/>
    <s v="Biocorrect"/>
    <s v="Biocorrect"/>
    <x v="1"/>
    <n v="1"/>
  </r>
  <r>
    <x v="0"/>
    <n v="17"/>
    <s v="Biocorrect "/>
    <d v="2023-09-30T00:00:00"/>
    <x v="3"/>
    <n v="10138757"/>
    <n v="52363071"/>
    <b v="0"/>
    <n v="61"/>
    <s v="L3010"/>
    <n v="109.5"/>
    <n v="109.5"/>
    <n v="1"/>
    <n v="0"/>
    <n v="0"/>
    <n v="0"/>
    <n v="0"/>
    <n v="0"/>
    <m/>
    <n v="109.5"/>
    <n v="0"/>
    <n v="0"/>
    <n v="0"/>
    <n v="0"/>
    <n v="0"/>
    <n v="0"/>
    <n v="0"/>
    <n v="0"/>
    <n v="0"/>
    <n v="0"/>
    <n v="0"/>
    <n v="0"/>
    <n v="0"/>
    <n v="0"/>
    <n v="0"/>
    <n v="0"/>
    <n v="0"/>
    <n v="0"/>
    <n v="0"/>
    <n v="109.5"/>
    <m/>
    <s v="WHOLESALE ACCOUNTS"/>
    <m/>
    <m/>
    <s v="Bartlesville Physical Therapy"/>
    <m/>
    <m/>
    <x v="1"/>
    <s v="Bartlesville Physical Therapy"/>
    <n v="0"/>
    <n v="0"/>
    <s v="Biocorrect"/>
    <s v="Biocorrect"/>
    <x v="2"/>
    <n v="3"/>
  </r>
  <r>
    <x v="0"/>
    <n v="17"/>
    <s v="Biocorrect "/>
    <d v="2023-09-30T00:00:00"/>
    <x v="56"/>
    <n v="10454296"/>
    <n v="54285513"/>
    <b v="0"/>
    <n v="1"/>
    <s v="EVA"/>
    <n v="85"/>
    <n v="85"/>
    <n v="1"/>
    <n v="0"/>
    <n v="0"/>
    <n v="0"/>
    <n v="0"/>
    <n v="0"/>
    <m/>
    <n v="85"/>
    <n v="0"/>
    <n v="0"/>
    <n v="0"/>
    <n v="0"/>
    <n v="0"/>
    <n v="0"/>
    <n v="0"/>
    <n v="0"/>
    <n v="0"/>
    <n v="0"/>
    <n v="0"/>
    <n v="0"/>
    <n v="0"/>
    <n v="0"/>
    <n v="0"/>
    <n v="0"/>
    <n v="0"/>
    <n v="0"/>
    <n v="0"/>
    <n v="85"/>
    <m/>
    <s v="WHOLESALE ACCOUNTS"/>
    <m/>
    <m/>
    <s v="Nobile Shoes"/>
    <m/>
    <m/>
    <x v="1"/>
    <s v="Nobile Shoes"/>
    <n v="0"/>
    <n v="0"/>
    <s v="Biocorrect"/>
    <s v="Biocorrect"/>
    <x v="1"/>
    <n v="1"/>
  </r>
  <r>
    <x v="0"/>
    <n v="17"/>
    <s v="Biocorrect "/>
    <d v="2023-09-30T00:00:00"/>
    <x v="56"/>
    <n v="10454296"/>
    <n v="54285524"/>
    <b v="0"/>
    <n v="1"/>
    <s v="Metatarsal Pad"/>
    <n v="15"/>
    <n v="7.5"/>
    <n v="2"/>
    <n v="0"/>
    <n v="0"/>
    <n v="0"/>
    <n v="0"/>
    <n v="0"/>
    <m/>
    <n v="15"/>
    <n v="0"/>
    <n v="0"/>
    <n v="0"/>
    <n v="0"/>
    <n v="0"/>
    <n v="0"/>
    <n v="0"/>
    <n v="0"/>
    <n v="0"/>
    <n v="0"/>
    <n v="0"/>
    <n v="0"/>
    <n v="0"/>
    <n v="0"/>
    <n v="0"/>
    <n v="0"/>
    <n v="0"/>
    <n v="0"/>
    <n v="0"/>
    <n v="15"/>
    <m/>
    <s v="WHOLESALE ACCOUNTS"/>
    <m/>
    <m/>
    <s v="Nobile Shoes"/>
    <m/>
    <m/>
    <x v="1"/>
    <s v="Nobile Shoes"/>
    <n v="0"/>
    <n v="0"/>
    <s v="Biocorrect"/>
    <s v="Biocorrect"/>
    <x v="1"/>
    <n v="1"/>
  </r>
  <r>
    <x v="0"/>
    <n v="17"/>
    <s v="Biocorrect "/>
    <d v="2023-09-30T00:00:00"/>
    <x v="47"/>
    <n v="10386531"/>
    <n v="54037061"/>
    <b v="0"/>
    <n v="8"/>
    <s v="L3010"/>
    <n v="216"/>
    <n v="216"/>
    <n v="1"/>
    <n v="0"/>
    <n v="0"/>
    <n v="0"/>
    <n v="0"/>
    <n v="0"/>
    <m/>
    <n v="216"/>
    <n v="0"/>
    <n v="0"/>
    <n v="0"/>
    <n v="0"/>
    <n v="0"/>
    <n v="0"/>
    <n v="0"/>
    <n v="0"/>
    <n v="0"/>
    <n v="0"/>
    <n v="0"/>
    <n v="0"/>
    <n v="0"/>
    <n v="0"/>
    <n v="0"/>
    <n v="0"/>
    <n v="0"/>
    <n v="0"/>
    <n v="0"/>
    <n v="216"/>
    <m/>
    <s v="BLUE CROSS BLUE SHIELD"/>
    <m/>
    <m/>
    <s v="BCBS Out of State"/>
    <m/>
    <m/>
    <x v="5"/>
    <s v="BCBS Out of State"/>
    <n v="0"/>
    <n v="0"/>
    <s v="Biocorrect"/>
    <s v="Biocorrect"/>
    <x v="1"/>
    <n v="1"/>
  </r>
  <r>
    <x v="0"/>
    <n v="17"/>
    <s v="Biocorrect "/>
    <d v="2023-09-30T00:00:00"/>
    <x v="68"/>
    <n v="10366267"/>
    <n v="54031166"/>
    <b v="0"/>
    <n v="9"/>
    <s v="L3010"/>
    <n v="216"/>
    <n v="216"/>
    <n v="1"/>
    <n v="0"/>
    <n v="0"/>
    <n v="0"/>
    <n v="0"/>
    <n v="0"/>
    <m/>
    <n v="216"/>
    <n v="0"/>
    <n v="0"/>
    <n v="0"/>
    <n v="0"/>
    <n v="0"/>
    <n v="0"/>
    <n v="0"/>
    <n v="0"/>
    <n v="0"/>
    <n v="0"/>
    <n v="0"/>
    <n v="0"/>
    <n v="0"/>
    <n v="0"/>
    <n v="0"/>
    <n v="0"/>
    <n v="0"/>
    <n v="0"/>
    <n v="0"/>
    <n v="216"/>
    <m/>
    <s v="BLUE CROSS BLUE SHIELD"/>
    <m/>
    <m/>
    <s v="BCBS Out of State"/>
    <m/>
    <m/>
    <x v="5"/>
    <s v="BCBS Out of State"/>
    <n v="0"/>
    <n v="0"/>
    <s v="Biocorrect"/>
    <s v="Biocorrect"/>
    <x v="1"/>
    <n v="1"/>
  </r>
  <r>
    <x v="0"/>
    <n v="17"/>
    <s v="Biocorrect "/>
    <d v="2023-09-30T00:00:00"/>
    <x v="68"/>
    <n v="10366267"/>
    <n v="54031168"/>
    <b v="0"/>
    <n v="9"/>
    <s v="L3010"/>
    <n v="216"/>
    <n v="216"/>
    <n v="1"/>
    <n v="0"/>
    <n v="0"/>
    <n v="0"/>
    <n v="0"/>
    <n v="0"/>
    <m/>
    <n v="216"/>
    <n v="0"/>
    <n v="0"/>
    <n v="0"/>
    <n v="0"/>
    <n v="0"/>
    <n v="0"/>
    <n v="0"/>
    <n v="0"/>
    <n v="0"/>
    <n v="0"/>
    <n v="0"/>
    <n v="0"/>
    <n v="0"/>
    <n v="0"/>
    <n v="0"/>
    <n v="0"/>
    <n v="0"/>
    <n v="0"/>
    <n v="0"/>
    <n v="216"/>
    <m/>
    <s v="BLUE CROSS BLUE SHIELD"/>
    <m/>
    <m/>
    <s v="BCBS Out of State"/>
    <m/>
    <m/>
    <x v="5"/>
    <s v="BCBS Out of State"/>
    <n v="0"/>
    <n v="0"/>
    <s v="Biocorrect"/>
    <s v="Biocorrect"/>
    <x v="1"/>
    <n v="1"/>
  </r>
  <r>
    <x v="0"/>
    <n v="17"/>
    <s v="Biocorrect "/>
    <d v="2023-09-30T00:00:00"/>
    <x v="35"/>
    <n v="10244295"/>
    <n v="53304784"/>
    <b v="0"/>
    <n v="44"/>
    <s v="SHIP:"/>
    <n v="15"/>
    <n v="15"/>
    <n v="1"/>
    <n v="0"/>
    <n v="0"/>
    <n v="0"/>
    <n v="0"/>
    <n v="0"/>
    <m/>
    <n v="15"/>
    <n v="0"/>
    <n v="0"/>
    <n v="0"/>
    <n v="0"/>
    <n v="0"/>
    <n v="0"/>
    <n v="0"/>
    <n v="0"/>
    <n v="0"/>
    <n v="0"/>
    <n v="0"/>
    <n v="0"/>
    <n v="0"/>
    <n v="0"/>
    <n v="0"/>
    <n v="0"/>
    <n v="0"/>
    <n v="0"/>
    <n v="0"/>
    <n v="15"/>
    <m/>
    <s v="WHOLESALE ACCOUNTS"/>
    <m/>
    <m/>
    <s v="Mercy Sports Medicine &amp; Rehabilitation"/>
    <m/>
    <m/>
    <x v="1"/>
    <s v="Mercy Sports Medicine &amp; Rehabilitation"/>
    <n v="0"/>
    <n v="0"/>
    <s v="Biocorrect"/>
    <s v="Biocorrect"/>
    <x v="4"/>
    <n v="2"/>
  </r>
  <r>
    <x v="0"/>
    <n v="17"/>
    <s v="Biocorrect "/>
    <d v="2023-09-30T00:00:00"/>
    <x v="63"/>
    <n v="10244373"/>
    <n v="53304809"/>
    <b v="0"/>
    <n v="44"/>
    <s v="L3010"/>
    <n v="109.5"/>
    <n v="109.5"/>
    <n v="1"/>
    <n v="0"/>
    <n v="0"/>
    <n v="0"/>
    <n v="0"/>
    <n v="0"/>
    <m/>
    <n v="109.5"/>
    <n v="0"/>
    <n v="0"/>
    <n v="0"/>
    <n v="0"/>
    <n v="0"/>
    <n v="0"/>
    <n v="0"/>
    <n v="0"/>
    <n v="0"/>
    <n v="0"/>
    <n v="0"/>
    <n v="0"/>
    <n v="0"/>
    <n v="0"/>
    <n v="0"/>
    <n v="0"/>
    <n v="0"/>
    <n v="0"/>
    <n v="0"/>
    <n v="109.5"/>
    <m/>
    <s v="WHOLESALE ACCOUNTS"/>
    <m/>
    <m/>
    <s v="Mercy Sports Medicine &amp; Rehabilitation"/>
    <m/>
    <m/>
    <x v="1"/>
    <s v="Mercy Sports Medicine &amp; Rehabilitation"/>
    <n v="0"/>
    <n v="0"/>
    <s v="Biocorrect"/>
    <s v="Biocorrect"/>
    <x v="4"/>
    <n v="2"/>
  </r>
  <r>
    <x v="0"/>
    <n v="17"/>
    <s v="Biocorrect "/>
    <d v="2023-09-30T00:00:00"/>
    <x v="3"/>
    <n v="10138757"/>
    <n v="52363062"/>
    <b v="0"/>
    <n v="61"/>
    <s v="L3010"/>
    <n v="109.5"/>
    <n v="109.5"/>
    <n v="1"/>
    <n v="0"/>
    <n v="0"/>
    <n v="0"/>
    <n v="0"/>
    <n v="0"/>
    <m/>
    <n v="109.5"/>
    <n v="0"/>
    <n v="0"/>
    <n v="0"/>
    <n v="0"/>
    <n v="0"/>
    <n v="0"/>
    <n v="0"/>
    <n v="0"/>
    <n v="0"/>
    <n v="0"/>
    <n v="0"/>
    <n v="0"/>
    <n v="0"/>
    <n v="0"/>
    <n v="0"/>
    <n v="0"/>
    <n v="0"/>
    <n v="0"/>
    <n v="0"/>
    <n v="109.5"/>
    <m/>
    <s v="WHOLESALE ACCOUNTS"/>
    <m/>
    <m/>
    <s v="Bartlesville Physical Therapy"/>
    <m/>
    <m/>
    <x v="1"/>
    <s v="Bartlesville Physical Therapy"/>
    <n v="0"/>
    <n v="0"/>
    <s v="Biocorrect"/>
    <s v="Biocorrect"/>
    <x v="2"/>
    <n v="3"/>
  </r>
  <r>
    <x v="0"/>
    <n v="17"/>
    <s v="Biocorrect "/>
    <d v="2023-09-30T00:00:00"/>
    <x v="58"/>
    <n v="10417817"/>
    <n v="54042125"/>
    <b v="0"/>
    <n v="8"/>
    <s v="Poly"/>
    <n v="85"/>
    <n v="85"/>
    <n v="1"/>
    <n v="0"/>
    <n v="0"/>
    <n v="0"/>
    <n v="0"/>
    <n v="0"/>
    <m/>
    <n v="85"/>
    <n v="0"/>
    <n v="0"/>
    <n v="0"/>
    <n v="0"/>
    <n v="0"/>
    <n v="0"/>
    <n v="0"/>
    <n v="0"/>
    <n v="0"/>
    <n v="0"/>
    <n v="0"/>
    <n v="0"/>
    <n v="0"/>
    <n v="0"/>
    <n v="0"/>
    <n v="0"/>
    <n v="0"/>
    <n v="0"/>
    <n v="0"/>
    <n v="85"/>
    <m/>
    <s v="WHOLESALE ACCOUNTS"/>
    <m/>
    <m/>
    <s v="Kalamazoo Foot Surgery"/>
    <m/>
    <m/>
    <x v="1"/>
    <s v="Kalamazoo Foot Surgery"/>
    <n v="0"/>
    <n v="0"/>
    <s v="Biocorrect"/>
    <s v="Biocorrect"/>
    <x v="1"/>
    <n v="1"/>
  </r>
  <r>
    <x v="0"/>
    <n v="17"/>
    <s v="Biocorrect "/>
    <d v="2023-09-30T00:00:00"/>
    <x v="58"/>
    <n v="10417817"/>
    <n v="54042129"/>
    <b v="0"/>
    <n v="8"/>
    <s v="Rearfoot EVA or Poly heel post"/>
    <n v="15"/>
    <n v="7.5"/>
    <n v="2"/>
    <n v="0"/>
    <n v="0"/>
    <n v="0"/>
    <n v="0"/>
    <n v="0"/>
    <m/>
    <n v="15"/>
    <n v="0"/>
    <n v="0"/>
    <n v="0"/>
    <n v="0"/>
    <n v="0"/>
    <n v="0"/>
    <n v="0"/>
    <n v="0"/>
    <n v="0"/>
    <n v="0"/>
    <n v="0"/>
    <n v="0"/>
    <n v="0"/>
    <n v="0"/>
    <n v="0"/>
    <n v="0"/>
    <n v="0"/>
    <n v="0"/>
    <n v="0"/>
    <n v="15"/>
    <m/>
    <s v="WHOLESALE ACCOUNTS"/>
    <m/>
    <m/>
    <s v="Kalamazoo Foot Surgery"/>
    <m/>
    <m/>
    <x v="1"/>
    <s v="Kalamazoo Foot Surgery"/>
    <n v="0"/>
    <n v="0"/>
    <s v="Biocorrect"/>
    <s v="Biocorrect"/>
    <x v="1"/>
    <n v="1"/>
  </r>
  <r>
    <x v="0"/>
    <n v="17"/>
    <s v="Biocorrect "/>
    <d v="2023-09-30T00:00:00"/>
    <x v="69"/>
    <n v="10411744"/>
    <n v="54059364"/>
    <b v="0"/>
    <n v="8"/>
    <s v="L3010"/>
    <n v="216"/>
    <n v="216"/>
    <n v="1"/>
    <n v="0"/>
    <n v="0"/>
    <n v="0"/>
    <n v="0"/>
    <n v="0"/>
    <m/>
    <n v="216"/>
    <n v="0"/>
    <n v="0"/>
    <n v="0"/>
    <n v="0"/>
    <n v="0"/>
    <n v="0"/>
    <n v="0"/>
    <n v="0"/>
    <n v="0"/>
    <n v="0"/>
    <n v="0"/>
    <n v="0"/>
    <n v="0"/>
    <n v="0"/>
    <n v="0"/>
    <n v="0"/>
    <n v="0"/>
    <n v="0"/>
    <n v="0"/>
    <n v="216"/>
    <m/>
    <s v="BLUE CROSS BLUE SHIELD"/>
    <m/>
    <m/>
    <s v="BCBSM PPO"/>
    <m/>
    <m/>
    <x v="5"/>
    <s v="BCBSM PPO"/>
    <n v="0"/>
    <n v="0"/>
    <s v="Biocorrect"/>
    <s v="Biocorrect"/>
    <x v="1"/>
    <n v="1"/>
  </r>
  <r>
    <x v="0"/>
    <n v="17"/>
    <s v="Biocorrect "/>
    <d v="2023-09-30T00:00:00"/>
    <x v="69"/>
    <n v="10411744"/>
    <n v="54059365"/>
    <b v="0"/>
    <n v="8"/>
    <s v="L3010"/>
    <n v="216"/>
    <n v="216"/>
    <n v="1"/>
    <n v="0"/>
    <n v="0"/>
    <n v="0"/>
    <n v="0"/>
    <n v="0"/>
    <m/>
    <n v="216"/>
    <n v="0"/>
    <n v="0"/>
    <n v="0"/>
    <n v="0"/>
    <n v="0"/>
    <n v="0"/>
    <n v="0"/>
    <n v="0"/>
    <n v="0"/>
    <n v="0"/>
    <n v="0"/>
    <n v="0"/>
    <n v="0"/>
    <n v="0"/>
    <n v="0"/>
    <n v="0"/>
    <n v="0"/>
    <n v="0"/>
    <n v="0"/>
    <n v="216"/>
    <m/>
    <s v="BLUE CROSS BLUE SHIELD"/>
    <m/>
    <m/>
    <s v="BCBSM PPO"/>
    <m/>
    <m/>
    <x v="5"/>
    <s v="BCBSM PPO"/>
    <n v="0"/>
    <n v="0"/>
    <s v="Biocorrect"/>
    <s v="Biocorrect"/>
    <x v="1"/>
    <n v="1"/>
  </r>
  <r>
    <x v="0"/>
    <n v="17"/>
    <s v="Biocorrect "/>
    <d v="2023-09-30T00:00:00"/>
    <x v="63"/>
    <n v="10244373"/>
    <n v="53304812"/>
    <b v="0"/>
    <n v="44"/>
    <s v="SHIP:"/>
    <n v="15"/>
    <n v="15"/>
    <n v="1"/>
    <n v="0"/>
    <n v="0"/>
    <n v="0"/>
    <n v="0"/>
    <n v="0"/>
    <m/>
    <n v="15"/>
    <n v="0"/>
    <n v="0"/>
    <n v="0"/>
    <n v="0"/>
    <n v="0"/>
    <n v="0"/>
    <n v="0"/>
    <n v="0"/>
    <n v="0"/>
    <n v="0"/>
    <n v="0"/>
    <n v="0"/>
    <n v="0"/>
    <n v="0"/>
    <n v="0"/>
    <n v="0"/>
    <n v="0"/>
    <n v="0"/>
    <n v="0"/>
    <n v="15"/>
    <m/>
    <s v="WHOLESALE ACCOUNTS"/>
    <m/>
    <m/>
    <s v="Mercy Sports Medicine &amp; Rehabilitation"/>
    <m/>
    <m/>
    <x v="1"/>
    <s v="Mercy Sports Medicine &amp; Rehabilitation"/>
    <n v="0"/>
    <n v="0"/>
    <s v="Biocorrect"/>
    <s v="Biocorrect"/>
    <x v="4"/>
    <n v="2"/>
  </r>
  <r>
    <x v="0"/>
    <n v="17"/>
    <s v="Biocorrect "/>
    <d v="2023-09-30T00:00:00"/>
    <x v="35"/>
    <n v="10244295"/>
    <n v="53304065"/>
    <b v="0"/>
    <n v="44"/>
    <s v="L3010"/>
    <n v="109.5"/>
    <n v="109.5"/>
    <n v="1"/>
    <n v="0"/>
    <n v="0"/>
    <n v="0"/>
    <n v="0"/>
    <n v="0"/>
    <m/>
    <n v="109.5"/>
    <n v="0"/>
    <n v="0"/>
    <n v="0"/>
    <n v="0"/>
    <n v="0"/>
    <n v="0"/>
    <n v="0"/>
    <n v="0"/>
    <n v="0"/>
    <n v="0"/>
    <n v="0"/>
    <n v="0"/>
    <n v="0"/>
    <n v="0"/>
    <n v="0"/>
    <n v="0"/>
    <n v="0"/>
    <n v="0"/>
    <n v="0"/>
    <n v="109.5"/>
    <m/>
    <s v="WHOLESALE ACCOUNTS"/>
    <m/>
    <m/>
    <s v="Mercy Sports Medicine &amp; Rehabilitation"/>
    <m/>
    <m/>
    <x v="1"/>
    <s v="Mercy Sports Medicine &amp; Rehabilitation"/>
    <n v="0"/>
    <n v="0"/>
    <s v="Biocorrect"/>
    <s v="Biocorrect"/>
    <x v="4"/>
    <n v="2"/>
  </r>
  <r>
    <x v="0"/>
    <n v="17"/>
    <s v="Biocorrect "/>
    <d v="2023-09-30T00:00:00"/>
    <x v="13"/>
    <n v="10339688"/>
    <n v="53588927"/>
    <b v="0"/>
    <n v="23"/>
    <s v="Rearfoot EVA or Poly heel post"/>
    <n v="15"/>
    <n v="7.5"/>
    <n v="2"/>
    <n v="0"/>
    <n v="0"/>
    <n v="0"/>
    <n v="0"/>
    <n v="0"/>
    <m/>
    <n v="15"/>
    <n v="0"/>
    <n v="0"/>
    <n v="0"/>
    <n v="0"/>
    <n v="0"/>
    <n v="0"/>
    <n v="0"/>
    <n v="0"/>
    <n v="0"/>
    <n v="0"/>
    <n v="0"/>
    <n v="0"/>
    <n v="0"/>
    <n v="0"/>
    <n v="0"/>
    <n v="0"/>
    <n v="0"/>
    <n v="0"/>
    <n v="0"/>
    <n v="15"/>
    <m/>
    <s v="WHOLESALE ACCOUNTS"/>
    <m/>
    <m/>
    <s v="Kalamazoo Foot Surgery"/>
    <m/>
    <m/>
    <x v="1"/>
    <s v="Kalamazoo Foot Surgery"/>
    <n v="0"/>
    <n v="0"/>
    <s v="Biocorrect"/>
    <s v="Biocorrect"/>
    <x v="1"/>
    <n v="1"/>
  </r>
  <r>
    <x v="0"/>
    <n v="17"/>
    <s v="Biocorrect "/>
    <d v="2023-09-30T00:00:00"/>
    <x v="13"/>
    <n v="10339688"/>
    <n v="53588961"/>
    <b v="0"/>
    <n v="23"/>
    <s v="Reverse Morton's Extension"/>
    <n v="15"/>
    <n v="7.5"/>
    <n v="2"/>
    <n v="0"/>
    <n v="0"/>
    <n v="0"/>
    <n v="0"/>
    <n v="0"/>
    <m/>
    <n v="15"/>
    <n v="0"/>
    <n v="0"/>
    <n v="0"/>
    <n v="0"/>
    <n v="0"/>
    <n v="0"/>
    <n v="0"/>
    <n v="0"/>
    <n v="0"/>
    <n v="0"/>
    <n v="0"/>
    <n v="0"/>
    <n v="0"/>
    <n v="0"/>
    <n v="0"/>
    <n v="0"/>
    <n v="0"/>
    <n v="0"/>
    <n v="0"/>
    <n v="15"/>
    <m/>
    <s v="WHOLESALE ACCOUNTS"/>
    <m/>
    <m/>
    <s v="Kalamazoo Foot Surgery"/>
    <m/>
    <m/>
    <x v="1"/>
    <s v="Kalamazoo Foot Surgery"/>
    <n v="0"/>
    <n v="0"/>
    <s v="Biocorrect"/>
    <s v="Biocorrect"/>
    <x v="1"/>
    <n v="1"/>
  </r>
  <r>
    <x v="0"/>
    <n v="17"/>
    <s v="Biocorrect "/>
    <d v="2023-09-30T00:00:00"/>
    <x v="61"/>
    <n v="10322056"/>
    <n v="53628024"/>
    <b v="0"/>
    <n v="23"/>
    <s v="A5513"/>
    <n v="216"/>
    <n v="216"/>
    <n v="1"/>
    <n v="0"/>
    <n v="0"/>
    <n v="0"/>
    <n v="0"/>
    <n v="0"/>
    <m/>
    <n v="216"/>
    <n v="0"/>
    <n v="0"/>
    <n v="0"/>
    <n v="0"/>
    <n v="0"/>
    <n v="0"/>
    <n v="0"/>
    <n v="0"/>
    <n v="0"/>
    <n v="0"/>
    <n v="0"/>
    <n v="0"/>
    <n v="0"/>
    <n v="0"/>
    <n v="0"/>
    <n v="0"/>
    <n v="0"/>
    <n v="0"/>
    <n v="0"/>
    <n v="216"/>
    <m/>
    <s v="MEDICARE"/>
    <m/>
    <m/>
    <s v="Medicare DME"/>
    <m/>
    <m/>
    <x v="8"/>
    <s v="Medicare DME"/>
    <n v="0"/>
    <n v="0"/>
    <s v="Biocorrect"/>
    <s v="Biocorrect"/>
    <x v="1"/>
    <n v="1"/>
  </r>
  <r>
    <x v="0"/>
    <n v="17"/>
    <s v="Biocorrect "/>
    <d v="2023-09-30T00:00:00"/>
    <x v="12"/>
    <n v="10349186"/>
    <n v="53662877"/>
    <b v="0"/>
    <n v="19"/>
    <s v="L3010"/>
    <n v="150"/>
    <n v="150"/>
    <n v="1"/>
    <n v="0"/>
    <n v="0"/>
    <n v="0"/>
    <n v="0"/>
    <n v="0"/>
    <m/>
    <n v="150"/>
    <n v="0"/>
    <n v="0"/>
    <n v="0"/>
    <n v="0"/>
    <n v="0"/>
    <n v="0"/>
    <n v="0"/>
    <n v="0"/>
    <n v="0"/>
    <n v="0"/>
    <n v="0"/>
    <n v="0"/>
    <n v="0"/>
    <n v="0"/>
    <n v="0"/>
    <n v="0"/>
    <n v="0"/>
    <n v="0"/>
    <n v="0"/>
    <n v="150"/>
    <m/>
    <s v="WORKERS COMPENSATION"/>
    <m/>
    <m/>
    <s v="Secura WC"/>
    <m/>
    <m/>
    <x v="2"/>
    <s v="Secura WC"/>
    <n v="0"/>
    <n v="0"/>
    <s v="Biocorrect"/>
    <s v="Biocorrect"/>
    <x v="1"/>
    <n v="1"/>
  </r>
  <r>
    <x v="0"/>
    <n v="17"/>
    <s v="Biocorrect "/>
    <d v="2023-09-30T00:00:00"/>
    <x v="34"/>
    <n v="10362310"/>
    <n v="53717674"/>
    <b v="0"/>
    <n v="18"/>
    <s v="1st ray cut out/1st ray drop"/>
    <n v="10"/>
    <n v="5"/>
    <n v="2"/>
    <n v="0"/>
    <n v="0"/>
    <n v="0"/>
    <n v="0"/>
    <n v="0"/>
    <m/>
    <n v="10"/>
    <n v="0"/>
    <n v="0"/>
    <n v="0"/>
    <n v="0"/>
    <n v="0"/>
    <n v="0"/>
    <n v="0"/>
    <n v="0"/>
    <n v="0"/>
    <n v="0"/>
    <n v="0"/>
    <n v="0"/>
    <n v="0"/>
    <n v="0"/>
    <n v="0"/>
    <n v="0"/>
    <n v="0"/>
    <n v="0"/>
    <n v="0"/>
    <n v="10"/>
    <m/>
    <s v="WHOLESALE ACCOUNTS"/>
    <m/>
    <m/>
    <s v="Nobile Shoes"/>
    <m/>
    <m/>
    <x v="1"/>
    <s v="Nobile Shoes"/>
    <n v="0"/>
    <n v="0"/>
    <s v="Biocorrect"/>
    <s v="Biocorrect"/>
    <x v="1"/>
    <n v="1"/>
  </r>
  <r>
    <x v="0"/>
    <n v="17"/>
    <s v="Biocorrect "/>
    <d v="2023-09-30T00:00:00"/>
    <x v="62"/>
    <n v="10315349"/>
    <n v="53553796"/>
    <b v="0"/>
    <n v="23"/>
    <s v="L3010"/>
    <n v="216"/>
    <n v="216"/>
    <n v="1"/>
    <n v="0"/>
    <n v="0"/>
    <n v="0"/>
    <n v="0"/>
    <n v="0"/>
    <m/>
    <n v="0"/>
    <n v="0"/>
    <n v="0"/>
    <n v="0"/>
    <n v="0"/>
    <n v="0"/>
    <n v="0"/>
    <n v="0"/>
    <n v="0"/>
    <n v="0"/>
    <n v="0"/>
    <n v="0"/>
    <n v="0"/>
    <n v="0"/>
    <n v="0"/>
    <n v="216"/>
    <n v="0"/>
    <n v="0"/>
    <n v="0"/>
    <n v="0"/>
    <n v="216"/>
    <m/>
    <s v="BLUE CROSS BLUE SHIELD"/>
    <m/>
    <m/>
    <s v="BCBS Out of State"/>
    <m/>
    <m/>
    <x v="5"/>
    <s v="BCBS Out of State"/>
    <n v="0"/>
    <n v="0"/>
    <s v="Biocorrect"/>
    <s v="Biocorrect"/>
    <x v="1"/>
    <n v="1"/>
  </r>
  <r>
    <x v="0"/>
    <n v="17"/>
    <s v="Biocorrect "/>
    <d v="2023-09-30T00:00:00"/>
    <x v="19"/>
    <n v="10230675"/>
    <n v="52932482"/>
    <b v="0"/>
    <n v="44"/>
    <s v="L3010"/>
    <n v="216"/>
    <n v="216"/>
    <n v="1"/>
    <n v="0"/>
    <n v="0"/>
    <n v="0"/>
    <n v="0"/>
    <n v="0"/>
    <m/>
    <n v="216"/>
    <n v="0"/>
    <n v="0"/>
    <n v="0"/>
    <n v="0"/>
    <n v="0"/>
    <n v="0"/>
    <n v="0"/>
    <n v="0"/>
    <n v="0"/>
    <n v="0"/>
    <n v="0"/>
    <n v="0"/>
    <n v="0"/>
    <n v="0"/>
    <n v="0"/>
    <n v="0"/>
    <n v="0"/>
    <n v="0"/>
    <n v="0"/>
    <n v="216"/>
    <m/>
    <s v="BLUE CROSS BLUE SHIELD"/>
    <m/>
    <m/>
    <s v="BCBS Out of State"/>
    <m/>
    <m/>
    <x v="5"/>
    <s v="BCBS Out of State"/>
    <n v="0"/>
    <n v="0"/>
    <s v="Biocorrect"/>
    <s v="Biocorrect"/>
    <x v="4"/>
    <n v="2"/>
  </r>
  <r>
    <x v="0"/>
    <n v="17"/>
    <s v="Biocorrect "/>
    <d v="2023-09-30T00:00:00"/>
    <x v="36"/>
    <n v="2105561"/>
    <n v="10115492"/>
    <b v="0"/>
    <n v="2525"/>
    <s v="FS"/>
    <n v="104.5"/>
    <n v="104.5"/>
    <n v="1"/>
    <n v="0"/>
    <n v="0"/>
    <n v="0"/>
    <n v="0"/>
    <n v="0"/>
    <m/>
    <n v="104.5"/>
    <n v="0"/>
    <n v="2"/>
    <n v="209"/>
    <n v="0"/>
    <n v="0"/>
    <n v="0"/>
    <n v="0"/>
    <n v="0"/>
    <n v="0"/>
    <n v="0"/>
    <n v="0"/>
    <n v="0"/>
    <n v="0"/>
    <n v="0"/>
    <n v="0"/>
    <n v="0"/>
    <n v="0"/>
    <n v="0"/>
    <n v="0"/>
    <n v="-104.5"/>
    <m/>
    <s v="WHOLESALE ACCOUNTS"/>
    <m/>
    <m/>
    <s v="Elevate Performance &amp; PT"/>
    <m/>
    <m/>
    <x v="1"/>
    <s v="Elevate Performance &amp; PT"/>
    <n v="0"/>
    <n v="0"/>
    <s v="Biocorrect"/>
    <s v="Biocorrect"/>
    <x v="3"/>
    <n v="8"/>
  </r>
  <r>
    <x v="0"/>
    <n v="17"/>
    <s v="Biocorrect "/>
    <d v="2023-09-30T00:00:00"/>
    <x v="36"/>
    <n v="2105561"/>
    <n v="10115493"/>
    <b v="0"/>
    <n v="2525"/>
    <s v="FS"/>
    <n v="104.5"/>
    <n v="104.5"/>
    <n v="1"/>
    <n v="0"/>
    <n v="0"/>
    <n v="0"/>
    <n v="0"/>
    <n v="0"/>
    <m/>
    <n v="104.5"/>
    <n v="0"/>
    <n v="2"/>
    <n v="209"/>
    <n v="0"/>
    <n v="0"/>
    <n v="0"/>
    <n v="0"/>
    <n v="0"/>
    <n v="0"/>
    <n v="0"/>
    <n v="0"/>
    <n v="0"/>
    <n v="0"/>
    <n v="0"/>
    <n v="0"/>
    <n v="0"/>
    <n v="0"/>
    <n v="0"/>
    <n v="0"/>
    <n v="-104.5"/>
    <m/>
    <s v="WHOLESALE ACCOUNTS"/>
    <m/>
    <m/>
    <s v="Elevate Performance &amp; PT"/>
    <m/>
    <m/>
    <x v="1"/>
    <s v="Elevate Performance &amp; PT"/>
    <n v="0"/>
    <n v="0"/>
    <s v="Biocorrect"/>
    <s v="Biocorrect"/>
    <x v="3"/>
    <n v="8"/>
  </r>
  <r>
    <x v="0"/>
    <n v="17"/>
    <s v="Biocorrect "/>
    <d v="2023-09-30T00:00:00"/>
    <x v="66"/>
    <n v="10369131"/>
    <n v="53769449"/>
    <b v="0"/>
    <n v="19"/>
    <s v="EVA"/>
    <n v="85"/>
    <n v="85"/>
    <n v="1"/>
    <n v="0"/>
    <n v="0"/>
    <n v="0"/>
    <n v="0"/>
    <n v="0"/>
    <m/>
    <n v="85"/>
    <n v="0"/>
    <n v="0"/>
    <n v="0"/>
    <n v="0"/>
    <n v="0"/>
    <n v="0"/>
    <n v="0"/>
    <n v="0"/>
    <n v="0"/>
    <n v="0"/>
    <n v="0"/>
    <n v="0"/>
    <n v="0"/>
    <n v="0"/>
    <n v="0"/>
    <n v="0"/>
    <n v="0"/>
    <n v="0"/>
    <n v="0"/>
    <n v="85"/>
    <m/>
    <s v="WHOLESALE ACCOUNTS"/>
    <m/>
    <m/>
    <s v="Nobile Shoes"/>
    <m/>
    <m/>
    <x v="1"/>
    <s v="Nobile Shoes"/>
    <n v="0"/>
    <n v="0"/>
    <s v="Biocorrect"/>
    <s v="Biocorrect"/>
    <x v="1"/>
    <n v="1"/>
  </r>
  <r>
    <x v="0"/>
    <n v="17"/>
    <s v="Biocorrect "/>
    <d v="2023-09-30T00:00:00"/>
    <x v="66"/>
    <n v="10369131"/>
    <n v="53769460"/>
    <b v="0"/>
    <n v="19"/>
    <s v="Metatarsal Pad"/>
    <n v="15"/>
    <n v="7.5"/>
    <n v="2"/>
    <n v="0"/>
    <n v="0"/>
    <n v="0"/>
    <n v="0"/>
    <n v="0"/>
    <m/>
    <n v="15"/>
    <n v="0"/>
    <n v="0"/>
    <n v="0"/>
    <n v="0"/>
    <n v="0"/>
    <n v="0"/>
    <n v="0"/>
    <n v="0"/>
    <n v="0"/>
    <n v="0"/>
    <n v="0"/>
    <n v="0"/>
    <n v="0"/>
    <n v="0"/>
    <n v="0"/>
    <n v="0"/>
    <n v="0"/>
    <n v="0"/>
    <n v="0"/>
    <n v="15"/>
    <m/>
    <s v="WHOLESALE ACCOUNTS"/>
    <m/>
    <m/>
    <s v="Nobile Shoes"/>
    <m/>
    <m/>
    <x v="1"/>
    <s v="Nobile Shoes"/>
    <n v="0"/>
    <n v="0"/>
    <s v="Biocorrect"/>
    <s v="Biocorrect"/>
    <x v="1"/>
    <n v="1"/>
  </r>
  <r>
    <x v="0"/>
    <n v="17"/>
    <s v="Biocorrect "/>
    <d v="2023-09-30T00:00:00"/>
    <x v="66"/>
    <n v="10369131"/>
    <n v="53769464"/>
    <b v="0"/>
    <n v="19"/>
    <s v="SHIP:"/>
    <n v="15"/>
    <n v="15"/>
    <n v="1"/>
    <n v="0"/>
    <n v="0"/>
    <n v="0"/>
    <n v="0"/>
    <n v="0"/>
    <m/>
    <n v="15"/>
    <n v="0"/>
    <n v="0"/>
    <n v="0"/>
    <n v="0"/>
    <n v="0"/>
    <n v="0"/>
    <n v="0"/>
    <n v="0"/>
    <n v="0"/>
    <n v="0"/>
    <n v="0"/>
    <n v="0"/>
    <n v="0"/>
    <n v="0"/>
    <n v="0"/>
    <n v="0"/>
    <n v="0"/>
    <n v="0"/>
    <n v="0"/>
    <n v="15"/>
    <m/>
    <s v="WHOLESALE ACCOUNTS"/>
    <m/>
    <m/>
    <s v="Nobile Shoes"/>
    <m/>
    <m/>
    <x v="1"/>
    <s v="Nobile Shoes"/>
    <n v="0"/>
    <n v="0"/>
    <s v="Biocorrect"/>
    <s v="Biocorrect"/>
    <x v="1"/>
    <n v="1"/>
  </r>
  <r>
    <x v="0"/>
    <n v="17"/>
    <s v="Biocorrect "/>
    <d v="2023-09-30T00:00:00"/>
    <x v="67"/>
    <n v="10369215"/>
    <n v="53769584"/>
    <b v="0"/>
    <n v="19"/>
    <s v="EVA"/>
    <n v="85"/>
    <n v="85"/>
    <n v="1"/>
    <n v="0"/>
    <n v="0"/>
    <n v="0"/>
    <n v="0"/>
    <n v="0"/>
    <m/>
    <n v="85"/>
    <n v="0"/>
    <n v="0"/>
    <n v="0"/>
    <n v="0"/>
    <n v="0"/>
    <n v="0"/>
    <n v="0"/>
    <n v="0"/>
    <n v="0"/>
    <n v="0"/>
    <n v="0"/>
    <n v="0"/>
    <n v="0"/>
    <n v="0"/>
    <n v="0"/>
    <n v="0"/>
    <n v="0"/>
    <n v="0"/>
    <n v="0"/>
    <n v="85"/>
    <m/>
    <s v="WHOLESALE ACCOUNTS"/>
    <m/>
    <m/>
    <s v="Nobile Shoes"/>
    <m/>
    <m/>
    <x v="1"/>
    <s v="Nobile Shoes"/>
    <n v="0"/>
    <n v="0"/>
    <s v="Biocorrect"/>
    <s v="Biocorrect"/>
    <x v="1"/>
    <n v="1"/>
  </r>
  <r>
    <x v="0"/>
    <n v="17"/>
    <s v="Biocorrect "/>
    <d v="2023-09-30T00:00:00"/>
    <x v="67"/>
    <n v="10369215"/>
    <n v="53769585"/>
    <b v="0"/>
    <n v="19"/>
    <s v="1st ray cut out/1st ray drop"/>
    <n v="10"/>
    <n v="5"/>
    <n v="2"/>
    <n v="0"/>
    <n v="0"/>
    <n v="0"/>
    <n v="0"/>
    <n v="0"/>
    <m/>
    <n v="10"/>
    <n v="0"/>
    <n v="0"/>
    <n v="0"/>
    <n v="0"/>
    <n v="0"/>
    <n v="0"/>
    <n v="0"/>
    <n v="0"/>
    <n v="0"/>
    <n v="0"/>
    <n v="0"/>
    <n v="0"/>
    <n v="0"/>
    <n v="0"/>
    <n v="0"/>
    <n v="0"/>
    <n v="0"/>
    <n v="0"/>
    <n v="0"/>
    <n v="10"/>
    <m/>
    <s v="WHOLESALE ACCOUNTS"/>
    <m/>
    <m/>
    <s v="Nobile Shoes"/>
    <m/>
    <m/>
    <x v="1"/>
    <s v="Nobile Shoes"/>
    <n v="0"/>
    <n v="0"/>
    <s v="Biocorrect"/>
    <s v="Biocorrect"/>
    <x v="1"/>
    <n v="1"/>
  </r>
  <r>
    <x v="0"/>
    <n v="17"/>
    <s v="Biocorrect "/>
    <d v="2023-09-30T00:00:00"/>
    <x v="32"/>
    <n v="10367014"/>
    <n v="53757761"/>
    <b v="0"/>
    <n v="17"/>
    <s v="Bottom cover"/>
    <n v="8"/>
    <n v="4"/>
    <n v="2"/>
    <n v="0"/>
    <n v="0"/>
    <n v="0"/>
    <n v="0"/>
    <n v="0"/>
    <m/>
    <n v="8"/>
    <n v="0"/>
    <n v="0"/>
    <n v="0"/>
    <n v="0"/>
    <n v="0"/>
    <n v="0"/>
    <n v="0"/>
    <n v="0"/>
    <n v="0"/>
    <n v="0"/>
    <n v="0"/>
    <n v="0"/>
    <n v="0"/>
    <n v="0"/>
    <n v="0"/>
    <n v="0"/>
    <n v="0"/>
    <n v="0"/>
    <n v="0"/>
    <n v="8"/>
    <m/>
    <s v="WHOLESALE ACCOUNTS"/>
    <m/>
    <m/>
    <s v="Kalamazoo Foot Surgery"/>
    <m/>
    <m/>
    <x v="1"/>
    <s v="Kalamazoo Foot Surgery"/>
    <n v="0"/>
    <n v="0"/>
    <s v="Biocorrect"/>
    <s v="Biocorrect"/>
    <x v="1"/>
    <n v="1"/>
  </r>
  <r>
    <x v="0"/>
    <n v="17"/>
    <s v="Biocorrect "/>
    <d v="2023-09-30T00:00:00"/>
    <x v="70"/>
    <n v="10370312"/>
    <n v="53861796"/>
    <b v="0"/>
    <n v="15"/>
    <s v="L3010"/>
    <n v="216"/>
    <n v="216"/>
    <n v="1"/>
    <n v="0"/>
    <n v="0"/>
    <n v="0"/>
    <n v="0"/>
    <n v="0"/>
    <m/>
    <n v="216"/>
    <n v="0"/>
    <n v="0"/>
    <n v="0"/>
    <n v="0"/>
    <n v="0"/>
    <n v="0"/>
    <n v="0"/>
    <n v="0"/>
    <n v="0"/>
    <n v="0"/>
    <n v="0"/>
    <n v="0"/>
    <n v="0"/>
    <n v="0"/>
    <n v="0"/>
    <n v="0"/>
    <n v="0"/>
    <n v="0"/>
    <n v="0"/>
    <n v="216"/>
    <m/>
    <s v="AUTO"/>
    <m/>
    <m/>
    <s v="Bristol West Ins Co  Auto"/>
    <m/>
    <m/>
    <x v="6"/>
    <s v="Bristol West Ins Co  Auto"/>
    <n v="0"/>
    <n v="0"/>
    <s v="Biocorrect"/>
    <s v="Biocorrect"/>
    <x v="1"/>
    <n v="1"/>
  </r>
  <r>
    <x v="0"/>
    <n v="17"/>
    <s v="Biocorrect "/>
    <d v="2023-09-30T00:00:00"/>
    <x v="70"/>
    <n v="10370312"/>
    <n v="53861797"/>
    <b v="0"/>
    <n v="15"/>
    <s v="L3010"/>
    <n v="216"/>
    <n v="216"/>
    <n v="1"/>
    <n v="0"/>
    <n v="0"/>
    <n v="0"/>
    <n v="0"/>
    <n v="0"/>
    <m/>
    <n v="216"/>
    <n v="0"/>
    <n v="0"/>
    <n v="0"/>
    <n v="0"/>
    <n v="0"/>
    <n v="0"/>
    <n v="0"/>
    <n v="0"/>
    <n v="0"/>
    <n v="0"/>
    <n v="0"/>
    <n v="0"/>
    <n v="0"/>
    <n v="0"/>
    <n v="0"/>
    <n v="0"/>
    <n v="0"/>
    <n v="0"/>
    <n v="0"/>
    <n v="216"/>
    <m/>
    <s v="AUTO"/>
    <m/>
    <m/>
    <s v="Bristol West Ins Co  Auto"/>
    <m/>
    <m/>
    <x v="6"/>
    <s v="Bristol West Ins Co  Auto"/>
    <n v="0"/>
    <n v="0"/>
    <s v="Biocorrect"/>
    <s v="Biocorrect"/>
    <x v="1"/>
    <n v="1"/>
  </r>
  <r>
    <x v="0"/>
    <n v="17"/>
    <s v="Biocorrect "/>
    <d v="2023-09-30T00:00:00"/>
    <x v="15"/>
    <n v="9076490"/>
    <n v="46078018"/>
    <b v="0"/>
    <n v="270"/>
    <s v="Double layer top cover"/>
    <n v="20"/>
    <n v="10"/>
    <n v="2"/>
    <n v="0"/>
    <n v="0"/>
    <n v="0"/>
    <n v="0"/>
    <n v="0"/>
    <m/>
    <n v="20"/>
    <n v="0"/>
    <n v="2"/>
    <n v="40"/>
    <n v="0"/>
    <n v="0"/>
    <n v="0"/>
    <n v="0"/>
    <n v="0"/>
    <n v="0"/>
    <n v="0"/>
    <n v="0"/>
    <n v="0"/>
    <n v="0"/>
    <n v="0"/>
    <n v="0"/>
    <n v="0"/>
    <n v="0"/>
    <n v="0"/>
    <n v="0"/>
    <n v="-20"/>
    <m/>
    <s v="WHOLESALE ACCOUNTS"/>
    <m/>
    <m/>
    <s v="Tahoe Forest Therapy Services"/>
    <m/>
    <m/>
    <x v="1"/>
    <s v="Tahoe Forest Therapy Services"/>
    <n v="0"/>
    <n v="0"/>
    <s v="Biocorrect"/>
    <s v="Biocorrect"/>
    <x v="0"/>
    <n v="7"/>
  </r>
  <r>
    <x v="0"/>
    <n v="17"/>
    <s v="Biocorrect "/>
    <d v="2023-09-30T00:00:00"/>
    <x v="15"/>
    <n v="9076490"/>
    <n v="46078020"/>
    <b v="0"/>
    <n v="270"/>
    <s v="Heel lift"/>
    <n v="10"/>
    <n v="5"/>
    <n v="2"/>
    <n v="0"/>
    <n v="0"/>
    <n v="0"/>
    <n v="0"/>
    <n v="0"/>
    <m/>
    <n v="10"/>
    <n v="0"/>
    <n v="2"/>
    <n v="20"/>
    <n v="0"/>
    <n v="0"/>
    <n v="0"/>
    <n v="0"/>
    <n v="0"/>
    <n v="0"/>
    <n v="0"/>
    <n v="0"/>
    <n v="0"/>
    <n v="0"/>
    <n v="0"/>
    <n v="0"/>
    <n v="0"/>
    <n v="0"/>
    <n v="0"/>
    <n v="0"/>
    <n v="-10"/>
    <m/>
    <s v="WHOLESALE ACCOUNTS"/>
    <m/>
    <m/>
    <s v="Tahoe Forest Therapy Services"/>
    <m/>
    <m/>
    <x v="1"/>
    <s v="Tahoe Forest Therapy Services"/>
    <n v="0"/>
    <n v="0"/>
    <s v="Biocorrect"/>
    <s v="Biocorrect"/>
    <x v="0"/>
    <n v="7"/>
  </r>
  <r>
    <x v="0"/>
    <n v="17"/>
    <s v="Biocorrect "/>
    <d v="2023-09-30T00:00:00"/>
    <x v="46"/>
    <n v="10403222"/>
    <n v="53977424"/>
    <b v="0"/>
    <n v="10"/>
    <s v="Single layer top cover"/>
    <n v="16"/>
    <n v="8"/>
    <n v="2"/>
    <n v="0"/>
    <n v="0"/>
    <n v="0"/>
    <n v="0"/>
    <n v="0"/>
    <m/>
    <n v="16"/>
    <n v="0"/>
    <n v="0"/>
    <n v="0"/>
    <n v="0"/>
    <n v="0"/>
    <n v="0"/>
    <n v="0"/>
    <n v="0"/>
    <n v="0"/>
    <n v="0"/>
    <n v="0"/>
    <n v="0"/>
    <n v="0"/>
    <n v="0"/>
    <n v="0"/>
    <n v="0"/>
    <n v="0"/>
    <n v="0"/>
    <n v="0"/>
    <n v="16"/>
    <m/>
    <s v="WHOLESALE ACCOUNTS"/>
    <m/>
    <m/>
    <s v="Nobile Shoes"/>
    <m/>
    <m/>
    <x v="1"/>
    <s v="Nobile Shoes"/>
    <n v="0"/>
    <n v="0"/>
    <s v="Biocorrect"/>
    <s v="Biocorrect"/>
    <x v="1"/>
    <n v="1"/>
  </r>
  <r>
    <x v="0"/>
    <n v="17"/>
    <s v="Biocorrect "/>
    <d v="2023-09-30T00:00:00"/>
    <x v="71"/>
    <n v="10315254"/>
    <n v="54035671"/>
    <b v="0"/>
    <n v="12"/>
    <s v="L3010"/>
    <n v="216"/>
    <n v="216"/>
    <n v="1"/>
    <n v="0"/>
    <n v="0"/>
    <n v="0"/>
    <n v="0"/>
    <n v="0"/>
    <m/>
    <n v="216"/>
    <n v="0"/>
    <n v="0"/>
    <n v="0"/>
    <n v="0"/>
    <n v="0"/>
    <n v="0"/>
    <n v="0"/>
    <n v="0"/>
    <n v="0"/>
    <n v="0"/>
    <n v="0"/>
    <n v="0"/>
    <n v="0"/>
    <n v="0"/>
    <n v="0"/>
    <n v="0"/>
    <n v="0"/>
    <n v="0"/>
    <n v="0"/>
    <n v="216"/>
    <m/>
    <s v="BLUE CROSS BLUE SHIELD"/>
    <m/>
    <m/>
    <s v="BCBS Out of State"/>
    <m/>
    <m/>
    <x v="5"/>
    <s v="BCBS Out of State"/>
    <n v="0"/>
    <n v="0"/>
    <s v="Biocorrect"/>
    <s v="Biocorrect"/>
    <x v="1"/>
    <n v="1"/>
  </r>
  <r>
    <x v="0"/>
    <n v="17"/>
    <s v="Biocorrect "/>
    <d v="2023-09-30T00:00:00"/>
    <x v="71"/>
    <n v="10315254"/>
    <n v="54035675"/>
    <b v="0"/>
    <n v="12"/>
    <s v="L3010"/>
    <n v="216"/>
    <n v="216"/>
    <n v="1"/>
    <n v="0"/>
    <n v="0"/>
    <n v="0"/>
    <n v="0"/>
    <n v="0"/>
    <m/>
    <n v="216"/>
    <n v="0"/>
    <n v="0"/>
    <n v="0"/>
    <n v="0"/>
    <n v="0"/>
    <n v="0"/>
    <n v="0"/>
    <n v="0"/>
    <n v="0"/>
    <n v="0"/>
    <n v="0"/>
    <n v="0"/>
    <n v="0"/>
    <n v="0"/>
    <n v="0"/>
    <n v="0"/>
    <n v="0"/>
    <n v="0"/>
    <n v="0"/>
    <n v="216"/>
    <m/>
    <s v="BLUE CROSS BLUE SHIELD"/>
    <m/>
    <m/>
    <s v="BCBS Out of State"/>
    <m/>
    <m/>
    <x v="5"/>
    <s v="BCBS Out of State"/>
    <n v="0"/>
    <n v="0"/>
    <s v="Biocorrect"/>
    <s v="Biocorrect"/>
    <x v="1"/>
    <n v="1"/>
  </r>
  <r>
    <x v="0"/>
    <n v="17"/>
    <s v="Biocorrect "/>
    <d v="2023-09-30T00:00:00"/>
    <x v="21"/>
    <n v="10220420"/>
    <n v="53072302"/>
    <b v="0"/>
    <n v="39"/>
    <s v="L3010"/>
    <n v="216"/>
    <n v="216"/>
    <n v="1"/>
    <n v="0"/>
    <n v="0"/>
    <n v="0"/>
    <n v="0"/>
    <n v="0"/>
    <m/>
    <n v="216"/>
    <n v="0"/>
    <n v="0"/>
    <n v="0"/>
    <n v="0"/>
    <n v="0"/>
    <n v="0"/>
    <n v="0"/>
    <n v="0"/>
    <n v="0"/>
    <n v="0"/>
    <n v="0"/>
    <n v="0"/>
    <n v="0"/>
    <n v="0"/>
    <n v="0"/>
    <n v="0"/>
    <n v="0"/>
    <n v="0"/>
    <n v="0"/>
    <n v="216"/>
    <m/>
    <s v="BLUE CROSS BLUE SHIELD"/>
    <m/>
    <m/>
    <s v="BCBS Out of State"/>
    <m/>
    <m/>
    <x v="5"/>
    <s v="BCBS Out of State"/>
    <n v="0"/>
    <n v="0"/>
    <s v="Biocorrect"/>
    <s v="Biocorrect"/>
    <x v="4"/>
    <n v="2"/>
  </r>
  <r>
    <x v="0"/>
    <n v="17"/>
    <s v="Biocorrect "/>
    <d v="2023-09-30T00:00:00"/>
    <x v="8"/>
    <n v="10423341"/>
    <n v="54086575"/>
    <b v="0"/>
    <n v="8"/>
    <s v="Single layer top cover"/>
    <n v="16"/>
    <n v="8"/>
    <n v="2"/>
    <n v="0"/>
    <n v="0"/>
    <n v="0"/>
    <n v="0"/>
    <n v="0"/>
    <m/>
    <n v="16"/>
    <n v="0"/>
    <n v="0"/>
    <n v="0"/>
    <n v="0"/>
    <n v="0"/>
    <n v="0"/>
    <n v="0"/>
    <n v="0"/>
    <n v="0"/>
    <n v="0"/>
    <n v="0"/>
    <n v="0"/>
    <n v="0"/>
    <n v="0"/>
    <n v="0"/>
    <n v="0"/>
    <n v="0"/>
    <n v="0"/>
    <n v="0"/>
    <n v="16"/>
    <m/>
    <s v="WHOLESALE ACCOUNTS"/>
    <m/>
    <m/>
    <s v="Kalamazoo Foot Surgery"/>
    <m/>
    <m/>
    <x v="1"/>
    <s v="Kalamazoo Foot Surgery"/>
    <n v="0"/>
    <n v="0"/>
    <s v="Biocorrect"/>
    <s v="Biocorrect"/>
    <x v="1"/>
    <n v="1"/>
  </r>
  <r>
    <x v="0"/>
    <n v="17"/>
    <s v="Biocorrect "/>
    <d v="2023-09-30T00:00:00"/>
    <x v="8"/>
    <n v="10423341"/>
    <n v="54086581"/>
    <b v="0"/>
    <n v="8"/>
    <s v="Bottom cover"/>
    <n v="8"/>
    <n v="4"/>
    <n v="2"/>
    <n v="0"/>
    <n v="0"/>
    <n v="0"/>
    <n v="0"/>
    <n v="0"/>
    <m/>
    <n v="8"/>
    <n v="0"/>
    <n v="0"/>
    <n v="0"/>
    <n v="0"/>
    <n v="0"/>
    <n v="0"/>
    <n v="0"/>
    <n v="0"/>
    <n v="0"/>
    <n v="0"/>
    <n v="0"/>
    <n v="0"/>
    <n v="0"/>
    <n v="0"/>
    <n v="0"/>
    <n v="0"/>
    <n v="0"/>
    <n v="0"/>
    <n v="0"/>
    <n v="8"/>
    <m/>
    <s v="WHOLESALE ACCOUNTS"/>
    <m/>
    <m/>
    <s v="Kalamazoo Foot Surgery"/>
    <m/>
    <m/>
    <x v="1"/>
    <s v="Kalamazoo Foot Surgery"/>
    <n v="0"/>
    <n v="0"/>
    <s v="Biocorrect"/>
    <s v="Biocorrect"/>
    <x v="1"/>
    <n v="1"/>
  </r>
  <r>
    <x v="0"/>
    <n v="17"/>
    <s v="Biocorrect "/>
    <d v="2023-09-30T00:00:00"/>
    <x v="40"/>
    <n v="10405636"/>
    <n v="54051630"/>
    <b v="0"/>
    <n v="8"/>
    <s v="L3010"/>
    <n v="216"/>
    <n v="216"/>
    <n v="1"/>
    <n v="0"/>
    <n v="0"/>
    <n v="0"/>
    <n v="0"/>
    <n v="0"/>
    <m/>
    <n v="216"/>
    <n v="0"/>
    <n v="0"/>
    <n v="0"/>
    <n v="0"/>
    <n v="0"/>
    <n v="0"/>
    <n v="0"/>
    <n v="0"/>
    <n v="0"/>
    <n v="0"/>
    <n v="0"/>
    <n v="0"/>
    <n v="0"/>
    <n v="0"/>
    <n v="0"/>
    <n v="0"/>
    <n v="0"/>
    <n v="0"/>
    <n v="0"/>
    <n v="216"/>
    <m/>
    <s v="BLUE CROSS BLUE SHIELD"/>
    <m/>
    <m/>
    <s v="BCBS Out of State"/>
    <m/>
    <m/>
    <x v="5"/>
    <s v="BCBS Out of State"/>
    <n v="0"/>
    <n v="0"/>
    <s v="Biocorrect"/>
    <s v="Biocorrect"/>
    <x v="1"/>
    <n v="1"/>
  </r>
  <r>
    <x v="0"/>
    <n v="17"/>
    <s v="Biocorrect "/>
    <d v="2023-09-30T00:00:00"/>
    <x v="41"/>
    <n v="10371133"/>
    <n v="54052973"/>
    <b v="0"/>
    <n v="8"/>
    <s v="L3020"/>
    <n v="216"/>
    <n v="216"/>
    <n v="1"/>
    <n v="0"/>
    <n v="0"/>
    <n v="0"/>
    <n v="0"/>
    <n v="0"/>
    <m/>
    <n v="216"/>
    <n v="0"/>
    <n v="0"/>
    <n v="0"/>
    <n v="0"/>
    <n v="0"/>
    <n v="0"/>
    <n v="0"/>
    <n v="0"/>
    <n v="0"/>
    <n v="0"/>
    <n v="0"/>
    <n v="0"/>
    <n v="0"/>
    <n v="0"/>
    <n v="0"/>
    <n v="0"/>
    <n v="0"/>
    <n v="0"/>
    <n v="0"/>
    <n v="216"/>
    <m/>
    <s v="COMMERCIAL"/>
    <m/>
    <m/>
    <s v="Claim Choice Administrators"/>
    <m/>
    <m/>
    <x v="7"/>
    <s v="Claim Choice Administrators"/>
    <n v="0"/>
    <n v="0"/>
    <s v="Biocorrect"/>
    <s v="Biocorrect"/>
    <x v="1"/>
    <n v="1"/>
  </r>
  <r>
    <x v="0"/>
    <n v="17"/>
    <s v="Biocorrect "/>
    <d v="2023-09-30T00:00:00"/>
    <x v="53"/>
    <n v="10366700"/>
    <n v="53861377"/>
    <b v="0"/>
    <n v="15"/>
    <s v="L3020"/>
    <n v="216"/>
    <n v="216"/>
    <n v="1"/>
    <n v="0"/>
    <n v="0"/>
    <n v="0"/>
    <n v="0"/>
    <n v="0"/>
    <m/>
    <n v="216"/>
    <n v="0"/>
    <n v="0"/>
    <n v="0"/>
    <n v="0"/>
    <n v="0"/>
    <n v="0"/>
    <n v="0"/>
    <n v="0"/>
    <n v="0"/>
    <n v="0"/>
    <n v="0"/>
    <n v="0"/>
    <n v="0"/>
    <n v="0"/>
    <n v="0"/>
    <n v="0"/>
    <n v="0"/>
    <n v="0"/>
    <n v="0"/>
    <n v="216"/>
    <m/>
    <s v="BLUE CROSS BLUE SHIELD"/>
    <m/>
    <m/>
    <s v="BCBSM PPO"/>
    <m/>
    <m/>
    <x v="5"/>
    <s v="BCBSM PPO"/>
    <n v="0"/>
    <n v="0"/>
    <s v="Biocorrect"/>
    <s v="Biocorrect"/>
    <x v="1"/>
    <n v="1"/>
  </r>
  <r>
    <x v="0"/>
    <n v="17"/>
    <s v="Biocorrect "/>
    <d v="2023-09-30T00:00:00"/>
    <x v="72"/>
    <n v="1781164"/>
    <n v="13872657"/>
    <b v="0"/>
    <n v="2657"/>
    <s v="L3020"/>
    <n v="109.5"/>
    <n v="109.5"/>
    <n v="1"/>
    <n v="0"/>
    <n v="0"/>
    <n v="0"/>
    <n v="0"/>
    <n v="0"/>
    <m/>
    <n v="109.5"/>
    <n v="0"/>
    <n v="2"/>
    <n v="219"/>
    <n v="0"/>
    <n v="0"/>
    <n v="0"/>
    <n v="0"/>
    <n v="0"/>
    <n v="0"/>
    <n v="0"/>
    <n v="0"/>
    <n v="0"/>
    <n v="0"/>
    <n v="0"/>
    <n v="0"/>
    <n v="0"/>
    <n v="0"/>
    <n v="0"/>
    <n v="0"/>
    <n v="-109.5"/>
    <m/>
    <s v="WHOLESALE ACCOUNTS"/>
    <m/>
    <m/>
    <s v="Mercy Sports Medicine &amp; Rehabilitation"/>
    <m/>
    <m/>
    <x v="1"/>
    <s v="Mercy Sports Medicine &amp; Rehabilitation"/>
    <n v="0"/>
    <n v="0"/>
    <s v="Biocorrect"/>
    <s v="Biocorrect"/>
    <x v="3"/>
    <n v="8"/>
  </r>
  <r>
    <x v="0"/>
    <n v="17"/>
    <s v="Biocorrect "/>
    <d v="2023-09-30T00:00:00"/>
    <x v="72"/>
    <n v="1781164"/>
    <n v="13872658"/>
    <b v="0"/>
    <n v="2657"/>
    <s v="RUSH"/>
    <n v="25"/>
    <n v="25"/>
    <n v="1"/>
    <n v="0"/>
    <n v="0"/>
    <n v="0"/>
    <n v="0"/>
    <n v="0"/>
    <m/>
    <n v="25"/>
    <n v="0"/>
    <n v="2"/>
    <n v="50"/>
    <n v="0"/>
    <n v="0"/>
    <n v="0"/>
    <n v="0"/>
    <n v="0"/>
    <n v="0"/>
    <n v="0"/>
    <n v="0"/>
    <n v="0"/>
    <n v="0"/>
    <n v="0"/>
    <n v="0"/>
    <n v="0"/>
    <n v="0"/>
    <n v="0"/>
    <n v="0"/>
    <n v="-25"/>
    <m/>
    <s v="WHOLESALE ACCOUNTS"/>
    <m/>
    <m/>
    <s v="Mercy Sports Medicine &amp; Rehabilitation"/>
    <m/>
    <m/>
    <x v="1"/>
    <s v="Mercy Sports Medicine &amp; Rehabilitation"/>
    <n v="0"/>
    <n v="0"/>
    <s v="Biocorrect"/>
    <s v="Biocorrect"/>
    <x v="3"/>
    <n v="8"/>
  </r>
  <r>
    <x v="0"/>
    <n v="17"/>
    <s v="Biocorrect "/>
    <d v="2023-09-30T00:00:00"/>
    <x v="72"/>
    <n v="1781164"/>
    <n v="13872653"/>
    <b v="0"/>
    <n v="2657"/>
    <s v="L3020"/>
    <n v="109.5"/>
    <n v="109.5"/>
    <n v="1"/>
    <n v="0"/>
    <n v="0"/>
    <n v="0"/>
    <n v="0"/>
    <n v="0"/>
    <m/>
    <n v="109.5"/>
    <n v="0"/>
    <n v="2"/>
    <n v="219"/>
    <n v="0"/>
    <n v="0"/>
    <n v="0"/>
    <n v="0"/>
    <n v="0"/>
    <n v="0"/>
    <n v="0"/>
    <n v="0"/>
    <n v="0"/>
    <n v="0"/>
    <n v="0"/>
    <n v="0"/>
    <n v="0"/>
    <n v="0"/>
    <n v="0"/>
    <n v="0"/>
    <n v="-109.5"/>
    <m/>
    <s v="WHOLESALE ACCOUNTS"/>
    <m/>
    <m/>
    <s v="Mercy Sports Medicine &amp; Rehabilitation"/>
    <m/>
    <m/>
    <x v="1"/>
    <s v="Mercy Sports Medicine &amp; Rehabilitation"/>
    <n v="0"/>
    <n v="0"/>
    <s v="Biocorrect"/>
    <s v="Biocorrect"/>
    <x v="3"/>
    <n v="8"/>
  </r>
  <r>
    <x v="0"/>
    <n v="17"/>
    <s v="Biocorrect "/>
    <d v="2023-09-30T00:00:00"/>
    <x v="4"/>
    <n v="9221655"/>
    <n v="46730464"/>
    <b v="0"/>
    <n v="243"/>
    <s v="EVA"/>
    <n v="85"/>
    <n v="85"/>
    <n v="1"/>
    <n v="0"/>
    <n v="0"/>
    <n v="0"/>
    <n v="0"/>
    <n v="0"/>
    <m/>
    <n v="85"/>
    <n v="0"/>
    <n v="0"/>
    <n v="0"/>
    <n v="0"/>
    <n v="0"/>
    <n v="0"/>
    <n v="0"/>
    <n v="0"/>
    <n v="0"/>
    <n v="0"/>
    <n v="0"/>
    <n v="0"/>
    <n v="0"/>
    <n v="0"/>
    <n v="0"/>
    <n v="0"/>
    <n v="0"/>
    <n v="0"/>
    <n v="0"/>
    <n v="85"/>
    <m/>
    <s v="WHOLESALE ACCOUNTS"/>
    <m/>
    <m/>
    <s v="Yamamoto Chiropractic"/>
    <m/>
    <m/>
    <x v="1"/>
    <s v="Yamamoto Chiropractic"/>
    <n v="0"/>
    <n v="0"/>
    <s v="Biocorrect"/>
    <s v="Biocorrect"/>
    <x v="0"/>
    <n v="7"/>
  </r>
  <r>
    <x v="0"/>
    <n v="17"/>
    <s v="Biocorrect "/>
    <d v="2023-09-30T00:00:00"/>
    <x v="64"/>
    <n v="8803104"/>
    <n v="44640539"/>
    <b v="0"/>
    <n v="331"/>
    <s v="L3010"/>
    <n v="150"/>
    <n v="150"/>
    <n v="1"/>
    <n v="0"/>
    <n v="14.22"/>
    <n v="0"/>
    <n v="14.22"/>
    <n v="0"/>
    <m/>
    <n v="150"/>
    <n v="0"/>
    <n v="2"/>
    <n v="142.16"/>
    <n v="7.84"/>
    <n v="0"/>
    <n v="0"/>
    <n v="0"/>
    <n v="0"/>
    <n v="0"/>
    <n v="0"/>
    <n v="0"/>
    <n v="0"/>
    <n v="0"/>
    <n v="0"/>
    <n v="0"/>
    <n v="0"/>
    <n v="0"/>
    <n v="0"/>
    <n v="0"/>
    <n v="-14.22"/>
    <m/>
    <s v="BLUE CROSS BLUE SHIELD"/>
    <m/>
    <m/>
    <s v="BCBSM PPO"/>
    <m/>
    <m/>
    <x v="5"/>
    <s v="BCBSM PPO"/>
    <n v="0"/>
    <n v="0"/>
    <s v="Biocorrect"/>
    <s v="Biocorrect"/>
    <x v="0"/>
    <n v="7"/>
  </r>
  <r>
    <x v="0"/>
    <n v="17"/>
    <s v="Biocorrect "/>
    <d v="2023-09-30T00:00:00"/>
    <x v="39"/>
    <n v="10209824"/>
    <n v="53289654"/>
    <b v="0"/>
    <n v="36"/>
    <s v="L3010"/>
    <n v="216"/>
    <n v="216"/>
    <n v="1"/>
    <n v="0"/>
    <n v="0"/>
    <n v="0"/>
    <n v="0"/>
    <n v="0"/>
    <m/>
    <n v="216"/>
    <n v="0"/>
    <n v="0"/>
    <n v="0"/>
    <n v="0"/>
    <n v="0"/>
    <n v="0"/>
    <n v="0"/>
    <n v="0"/>
    <n v="0"/>
    <n v="0"/>
    <n v="0"/>
    <n v="0"/>
    <n v="0"/>
    <n v="0"/>
    <n v="0"/>
    <n v="0"/>
    <n v="0"/>
    <n v="0"/>
    <n v="0"/>
    <n v="216"/>
    <m/>
    <s v="AUTO"/>
    <m/>
    <m/>
    <s v="ZZZ DNU Auto Owners CareWorks Auto"/>
    <m/>
    <m/>
    <x v="6"/>
    <s v="ZZZ DNU Auto Owners CareWorks Auto"/>
    <n v="0"/>
    <n v="0"/>
    <s v="Biocorrect"/>
    <s v="Biocorrect"/>
    <x v="4"/>
    <n v="2"/>
  </r>
  <r>
    <x v="0"/>
    <n v="17"/>
    <s v="Biocorrect "/>
    <d v="2023-09-30T00:00:00"/>
    <x v="7"/>
    <n v="10427374"/>
    <n v="54108327"/>
    <b v="0"/>
    <n v="5"/>
    <s v="Rearfoot EVA or Poly heel post"/>
    <n v="15"/>
    <n v="7.5"/>
    <n v="2"/>
    <n v="0"/>
    <n v="0"/>
    <n v="0"/>
    <n v="0"/>
    <n v="0"/>
    <m/>
    <n v="15"/>
    <n v="0"/>
    <n v="0"/>
    <n v="0"/>
    <n v="0"/>
    <n v="0"/>
    <n v="0"/>
    <n v="0"/>
    <n v="0"/>
    <n v="0"/>
    <n v="0"/>
    <n v="0"/>
    <n v="0"/>
    <n v="0"/>
    <n v="0"/>
    <n v="0"/>
    <n v="0"/>
    <n v="0"/>
    <n v="0"/>
    <n v="0"/>
    <n v="15"/>
    <m/>
    <s v="WHOLESALE ACCOUNTS"/>
    <m/>
    <m/>
    <s v="Kalamazoo Foot Surgery"/>
    <m/>
    <m/>
    <x v="1"/>
    <s v="Kalamazoo Foot Surgery"/>
    <n v="0"/>
    <n v="0"/>
    <s v="Biocorrect"/>
    <s v="Biocorrect"/>
    <x v="1"/>
    <n v="1"/>
  </r>
  <r>
    <x v="0"/>
    <n v="17"/>
    <s v="Biocorrect "/>
    <d v="2023-09-30T00:00:00"/>
    <x v="7"/>
    <n v="10427374"/>
    <n v="54108331"/>
    <b v="0"/>
    <n v="5"/>
    <s v="Single layer top cover"/>
    <n v="16"/>
    <n v="8"/>
    <n v="2"/>
    <n v="0"/>
    <n v="0"/>
    <n v="0"/>
    <n v="0"/>
    <n v="0"/>
    <m/>
    <n v="16"/>
    <n v="0"/>
    <n v="0"/>
    <n v="0"/>
    <n v="0"/>
    <n v="0"/>
    <n v="0"/>
    <n v="0"/>
    <n v="0"/>
    <n v="0"/>
    <n v="0"/>
    <n v="0"/>
    <n v="0"/>
    <n v="0"/>
    <n v="0"/>
    <n v="0"/>
    <n v="0"/>
    <n v="0"/>
    <n v="0"/>
    <n v="0"/>
    <n v="16"/>
    <m/>
    <s v="WHOLESALE ACCOUNTS"/>
    <m/>
    <m/>
    <s v="Kalamazoo Foot Surgery"/>
    <m/>
    <m/>
    <x v="1"/>
    <s v="Kalamazoo Foot Surgery"/>
    <n v="0"/>
    <n v="0"/>
    <s v="Biocorrect"/>
    <s v="Biocorrect"/>
    <x v="1"/>
    <n v="1"/>
  </r>
  <r>
    <x v="0"/>
    <n v="17"/>
    <s v="Biocorrect "/>
    <d v="2023-09-30T00:00:00"/>
    <x v="10"/>
    <n v="9319024"/>
    <n v="47264218"/>
    <b v="0"/>
    <n v="225"/>
    <s v="EVA"/>
    <n v="85"/>
    <n v="85"/>
    <n v="1"/>
    <n v="0"/>
    <n v="0"/>
    <n v="0"/>
    <n v="0"/>
    <n v="0"/>
    <m/>
    <n v="85"/>
    <n v="0"/>
    <n v="2"/>
    <n v="170"/>
    <n v="0"/>
    <n v="0"/>
    <n v="0"/>
    <n v="0"/>
    <n v="0"/>
    <n v="0"/>
    <n v="0"/>
    <n v="0"/>
    <n v="0"/>
    <n v="0"/>
    <n v="0"/>
    <n v="0"/>
    <n v="0"/>
    <n v="0"/>
    <n v="0"/>
    <n v="0"/>
    <n v="-85"/>
    <m/>
    <s v="WHOLESALE ACCOUNTS"/>
    <m/>
    <m/>
    <s v="Tahoe Forest Therapy Services"/>
    <m/>
    <m/>
    <x v="1"/>
    <s v="Tahoe Forest Therapy Services"/>
    <n v="0"/>
    <n v="0"/>
    <s v="Biocorrect"/>
    <s v="Biocorrect"/>
    <x v="0"/>
    <n v="7"/>
  </r>
  <r>
    <x v="0"/>
    <n v="17"/>
    <s v="Biocorrect "/>
    <d v="2023-09-30T00:00:00"/>
    <x v="45"/>
    <n v="10286974"/>
    <n v="53406527"/>
    <b v="0"/>
    <n v="30"/>
    <s v="L3010"/>
    <n v="216"/>
    <n v="216"/>
    <n v="1"/>
    <n v="0"/>
    <n v="0"/>
    <n v="0"/>
    <n v="0"/>
    <n v="0"/>
    <m/>
    <n v="0"/>
    <n v="0"/>
    <n v="0"/>
    <n v="0"/>
    <n v="0"/>
    <n v="0"/>
    <n v="0"/>
    <n v="0"/>
    <n v="0"/>
    <n v="0"/>
    <n v="0"/>
    <n v="0"/>
    <n v="0"/>
    <n v="0"/>
    <n v="0"/>
    <n v="216"/>
    <n v="0"/>
    <n v="0"/>
    <n v="0"/>
    <n v="0"/>
    <n v="216"/>
    <m/>
    <s v="BLUE CROSS BLUE SHIELD"/>
    <m/>
    <m/>
    <s v="BCBSM PPO"/>
    <m/>
    <m/>
    <x v="5"/>
    <s v="BCBSM PPO"/>
    <n v="0"/>
    <n v="0"/>
    <s v="Biocorrect"/>
    <s v="Biocorrect"/>
    <x v="1"/>
    <n v="1"/>
  </r>
  <r>
    <x v="0"/>
    <n v="17"/>
    <s v="Biocorrect "/>
    <d v="2023-09-30T00:00:00"/>
    <x v="30"/>
    <n v="10418379"/>
    <n v="54225382"/>
    <b v="0"/>
    <n v="2"/>
    <s v="L3010"/>
    <n v="216"/>
    <n v="216"/>
    <n v="1"/>
    <n v="0"/>
    <n v="0"/>
    <n v="0"/>
    <n v="0"/>
    <n v="0"/>
    <m/>
    <n v="0"/>
    <n v="0"/>
    <n v="0"/>
    <n v="0"/>
    <n v="0"/>
    <n v="0"/>
    <n v="0"/>
    <n v="0"/>
    <n v="0"/>
    <n v="0"/>
    <n v="0"/>
    <n v="0"/>
    <n v="0"/>
    <n v="0"/>
    <n v="0"/>
    <n v="216"/>
    <n v="0"/>
    <n v="0"/>
    <n v="0"/>
    <n v="0"/>
    <n v="216"/>
    <m/>
    <s v="BLUE CROSS BLUE SHIELD"/>
    <m/>
    <m/>
    <s v="BCBSM PPO"/>
    <m/>
    <m/>
    <x v="5"/>
    <s v="BCBSM PPO"/>
    <n v="0"/>
    <n v="0"/>
    <s v="Biocorrect"/>
    <s v="Biocorrect"/>
    <x v="1"/>
    <n v="1"/>
  </r>
  <r>
    <x v="0"/>
    <n v="17"/>
    <s v="Biocorrect "/>
    <d v="2023-09-30T00:00:00"/>
    <x v="9"/>
    <n v="10437250"/>
    <n v="54178749"/>
    <b v="0"/>
    <n v="3"/>
    <s v="Rearfoot EVA or Poly heel post"/>
    <n v="15"/>
    <n v="7.5"/>
    <n v="2"/>
    <n v="0"/>
    <n v="0"/>
    <n v="0"/>
    <n v="0"/>
    <n v="0"/>
    <m/>
    <n v="15"/>
    <n v="0"/>
    <n v="0"/>
    <n v="0"/>
    <n v="0"/>
    <n v="0"/>
    <n v="0"/>
    <n v="0"/>
    <n v="0"/>
    <n v="0"/>
    <n v="0"/>
    <n v="0"/>
    <n v="0"/>
    <n v="0"/>
    <n v="0"/>
    <n v="0"/>
    <n v="0"/>
    <n v="0"/>
    <n v="0"/>
    <n v="0"/>
    <n v="15"/>
    <m/>
    <s v="WHOLESALE ACCOUNTS"/>
    <m/>
    <m/>
    <s v="Kalamazoo Foot Surgery"/>
    <m/>
    <m/>
    <x v="1"/>
    <s v="Kalamazoo Foot Surgery"/>
    <n v="0"/>
    <n v="0"/>
    <s v="Biocorrect"/>
    <s v="Biocorrect"/>
    <x v="1"/>
    <n v="1"/>
  </r>
  <r>
    <x v="0"/>
    <n v="17"/>
    <s v="Biocorrect "/>
    <d v="2023-09-30T00:00:00"/>
    <x v="9"/>
    <n v="10437250"/>
    <n v="54178758"/>
    <b v="0"/>
    <n v="3"/>
    <s v="Single layer top cover"/>
    <n v="16"/>
    <n v="8"/>
    <n v="2"/>
    <n v="0"/>
    <n v="0"/>
    <n v="0"/>
    <n v="0"/>
    <n v="0"/>
    <m/>
    <n v="16"/>
    <n v="0"/>
    <n v="0"/>
    <n v="0"/>
    <n v="0"/>
    <n v="0"/>
    <n v="0"/>
    <n v="0"/>
    <n v="0"/>
    <n v="0"/>
    <n v="0"/>
    <n v="0"/>
    <n v="0"/>
    <n v="0"/>
    <n v="0"/>
    <n v="0"/>
    <n v="0"/>
    <n v="0"/>
    <n v="0"/>
    <n v="0"/>
    <n v="16"/>
    <m/>
    <s v="WHOLESALE ACCOUNTS"/>
    <m/>
    <m/>
    <s v="Kalamazoo Foot Surgery"/>
    <m/>
    <m/>
    <x v="1"/>
    <s v="Kalamazoo Foot Surgery"/>
    <n v="0"/>
    <n v="0"/>
    <s v="Biocorrect"/>
    <s v="Biocorrect"/>
    <x v="1"/>
    <n v="1"/>
  </r>
  <r>
    <x v="0"/>
    <n v="17"/>
    <s v="Biocorrect "/>
    <d v="2023-09-30T00:00:00"/>
    <x v="73"/>
    <n v="9056904"/>
    <n v="46153436"/>
    <b v="0"/>
    <n v="268"/>
    <s v="L3020"/>
    <n v="216"/>
    <n v="216"/>
    <n v="1"/>
    <n v="0"/>
    <n v="0"/>
    <n v="0"/>
    <n v="0"/>
    <n v="0"/>
    <m/>
    <n v="216"/>
    <n v="0"/>
    <n v="1"/>
    <n v="119.5"/>
    <n v="96.5"/>
    <n v="0"/>
    <n v="0"/>
    <n v="0"/>
    <n v="0"/>
    <n v="0"/>
    <n v="0"/>
    <n v="0"/>
    <n v="0"/>
    <n v="0"/>
    <n v="0"/>
    <n v="0"/>
    <n v="0"/>
    <n v="0"/>
    <n v="0"/>
    <n v="71"/>
    <n v="-71"/>
    <m/>
    <s v="WORKERS COMPENSATION"/>
    <m/>
    <m/>
    <s v="CCMSI WC"/>
    <m/>
    <m/>
    <x v="2"/>
    <s v="CCMSI WC"/>
    <n v="0"/>
    <n v="0"/>
    <s v="Biocorrect"/>
    <s v="Biocorrect"/>
    <x v="0"/>
    <n v="7"/>
  </r>
  <r>
    <x v="0"/>
    <n v="17"/>
    <s v="Biocorrect "/>
    <d v="2023-09-30T00:00:00"/>
    <x v="10"/>
    <n v="9319024"/>
    <n v="47264225"/>
    <b v="0"/>
    <n v="225"/>
    <s v="Double layer top cover"/>
    <n v="20"/>
    <n v="10"/>
    <n v="2"/>
    <n v="0"/>
    <n v="0"/>
    <n v="0"/>
    <n v="0"/>
    <n v="0"/>
    <m/>
    <n v="20"/>
    <n v="0"/>
    <n v="2"/>
    <n v="40"/>
    <n v="0"/>
    <n v="0"/>
    <n v="0"/>
    <n v="0"/>
    <n v="0"/>
    <n v="0"/>
    <n v="0"/>
    <n v="0"/>
    <n v="0"/>
    <n v="0"/>
    <n v="0"/>
    <n v="0"/>
    <n v="0"/>
    <n v="0"/>
    <n v="0"/>
    <n v="0"/>
    <n v="-20"/>
    <m/>
    <s v="WHOLESALE ACCOUNTS"/>
    <m/>
    <m/>
    <s v="Tahoe Forest Therapy Services"/>
    <m/>
    <m/>
    <x v="1"/>
    <s v="Tahoe Forest Therapy Services"/>
    <n v="0"/>
    <n v="0"/>
    <s v="Biocorrect"/>
    <s v="Biocorrect"/>
    <x v="0"/>
    <n v="7"/>
  </r>
  <r>
    <x v="0"/>
    <n v="17"/>
    <s v="Biocorrect "/>
    <d v="2023-09-30T00:00:00"/>
    <x v="65"/>
    <n v="10167647"/>
    <n v="52761567"/>
    <b v="0"/>
    <n v="50"/>
    <s v="L3010"/>
    <n v="216"/>
    <n v="216"/>
    <n v="1"/>
    <n v="0"/>
    <n v="0"/>
    <n v="0"/>
    <n v="0"/>
    <n v="0"/>
    <m/>
    <n v="216"/>
    <n v="0"/>
    <n v="0"/>
    <n v="0"/>
    <n v="0"/>
    <n v="0"/>
    <n v="0"/>
    <n v="0"/>
    <n v="0"/>
    <n v="0"/>
    <n v="0"/>
    <n v="0"/>
    <n v="0"/>
    <n v="0"/>
    <n v="0"/>
    <n v="0"/>
    <n v="0"/>
    <n v="0"/>
    <n v="0"/>
    <n v="0"/>
    <n v="216"/>
    <m/>
    <s v="AUTO"/>
    <m/>
    <m/>
    <s v="Progressive Claims  Auto"/>
    <m/>
    <m/>
    <x v="6"/>
    <s v="Progressive Claims  Auto"/>
    <n v="0"/>
    <n v="0"/>
    <s v="Biocorrect"/>
    <s v="Biocorrect"/>
    <x v="4"/>
    <n v="2"/>
  </r>
  <r>
    <x v="0"/>
    <n v="17"/>
    <s v="Biocorrect "/>
    <d v="2023-09-30T00:00:00"/>
    <x v="50"/>
    <n v="9350831"/>
    <n v="47439985"/>
    <b v="0"/>
    <n v="219"/>
    <s v="Poly"/>
    <n v="85"/>
    <n v="85"/>
    <n v="1"/>
    <n v="0"/>
    <n v="0"/>
    <n v="0"/>
    <n v="0"/>
    <n v="0"/>
    <m/>
    <n v="85"/>
    <n v="0"/>
    <n v="2"/>
    <n v="170"/>
    <n v="0"/>
    <n v="0"/>
    <n v="0"/>
    <n v="0"/>
    <n v="0"/>
    <n v="0"/>
    <n v="0"/>
    <n v="0"/>
    <n v="0"/>
    <n v="0"/>
    <n v="0"/>
    <n v="0"/>
    <n v="0"/>
    <n v="0"/>
    <n v="0"/>
    <n v="0"/>
    <n v="-85"/>
    <m/>
    <s v="WHOLESALE ACCOUNTS"/>
    <m/>
    <m/>
    <s v="Tahoe Forest Therapy Services"/>
    <m/>
    <m/>
    <x v="1"/>
    <s v="Tahoe Forest Therapy Services"/>
    <n v="0"/>
    <n v="0"/>
    <s v="Biocorrect"/>
    <s v="Biocorrect"/>
    <x v="0"/>
    <n v="7"/>
  </r>
  <r>
    <x v="0"/>
    <n v="17"/>
    <s v="Biocorrect "/>
    <d v="2023-09-30T00:00:00"/>
    <x v="51"/>
    <n v="9350807"/>
    <n v="47439913"/>
    <b v="0"/>
    <n v="219"/>
    <s v="Double layer top cover"/>
    <n v="20"/>
    <n v="10"/>
    <n v="2"/>
    <n v="0"/>
    <n v="0"/>
    <n v="0"/>
    <n v="0"/>
    <n v="0"/>
    <m/>
    <n v="20"/>
    <n v="0"/>
    <n v="2"/>
    <n v="40"/>
    <n v="0"/>
    <n v="0"/>
    <n v="0"/>
    <n v="0"/>
    <n v="0"/>
    <n v="0"/>
    <n v="0"/>
    <n v="0"/>
    <n v="0"/>
    <n v="0"/>
    <n v="0"/>
    <n v="0"/>
    <n v="0"/>
    <n v="0"/>
    <n v="0"/>
    <n v="0"/>
    <n v="-20"/>
    <m/>
    <s v="WHOLESALE ACCOUNTS"/>
    <m/>
    <m/>
    <s v="Tahoe Forest Therapy Services"/>
    <m/>
    <m/>
    <x v="1"/>
    <s v="Tahoe Forest Therapy Services"/>
    <n v="0"/>
    <n v="0"/>
    <s v="Biocorrect"/>
    <s v="Biocorrect"/>
    <x v="0"/>
    <n v="7"/>
  </r>
  <r>
    <x v="0"/>
    <n v="17"/>
    <s v="Biocorrect "/>
    <d v="2023-09-30T00:00:00"/>
    <x v="51"/>
    <n v="9350807"/>
    <n v="47439917"/>
    <b v="0"/>
    <n v="219"/>
    <s v="Forefoot post"/>
    <n v="15"/>
    <n v="7.5"/>
    <n v="2"/>
    <n v="0"/>
    <n v="0"/>
    <n v="0"/>
    <n v="0"/>
    <n v="0"/>
    <m/>
    <n v="15"/>
    <n v="0"/>
    <n v="2"/>
    <n v="30"/>
    <n v="0"/>
    <n v="0"/>
    <n v="0"/>
    <n v="0"/>
    <n v="0"/>
    <n v="0"/>
    <n v="0"/>
    <n v="0"/>
    <n v="0"/>
    <n v="0"/>
    <n v="0"/>
    <n v="0"/>
    <n v="0"/>
    <n v="0"/>
    <n v="0"/>
    <n v="0"/>
    <n v="-15"/>
    <m/>
    <s v="WHOLESALE ACCOUNTS"/>
    <m/>
    <m/>
    <s v="Tahoe Forest Therapy Services"/>
    <m/>
    <m/>
    <x v="1"/>
    <s v="Tahoe Forest Therapy Services"/>
    <n v="0"/>
    <n v="0"/>
    <s v="Biocorrect"/>
    <s v="Biocorrect"/>
    <x v="0"/>
    <n v="7"/>
  </r>
  <r>
    <x v="0"/>
    <n v="17"/>
    <s v="Biocorrect "/>
    <d v="2023-09-30T00:00:00"/>
    <x v="51"/>
    <n v="9350807"/>
    <n v="47439944"/>
    <b v="0"/>
    <n v="219"/>
    <s v="SHIP:"/>
    <n v="15"/>
    <n v="15"/>
    <n v="1"/>
    <n v="0"/>
    <n v="0"/>
    <n v="0"/>
    <n v="0"/>
    <n v="0"/>
    <m/>
    <n v="15"/>
    <n v="0"/>
    <n v="2"/>
    <n v="30"/>
    <n v="0"/>
    <n v="0"/>
    <n v="0"/>
    <n v="0"/>
    <n v="0"/>
    <n v="0"/>
    <n v="0"/>
    <n v="0"/>
    <n v="0"/>
    <n v="0"/>
    <n v="0"/>
    <n v="0"/>
    <n v="0"/>
    <n v="0"/>
    <n v="0"/>
    <n v="0"/>
    <n v="-15"/>
    <m/>
    <s v="WHOLESALE ACCOUNTS"/>
    <m/>
    <m/>
    <s v="Tahoe Forest Therapy Services"/>
    <m/>
    <m/>
    <x v="1"/>
    <s v="Tahoe Forest Therapy Services"/>
    <n v="0"/>
    <n v="0"/>
    <s v="Biocorrect"/>
    <s v="Biocorrect"/>
    <x v="0"/>
    <n v="7"/>
  </r>
  <r>
    <x v="0"/>
    <n v="17"/>
    <s v="Biocorrect "/>
    <d v="2023-09-30T00:00:00"/>
    <x v="50"/>
    <n v="9350831"/>
    <n v="47440338"/>
    <b v="0"/>
    <n v="219"/>
    <s v="Double layer top cover"/>
    <n v="20"/>
    <n v="10"/>
    <n v="2"/>
    <n v="0"/>
    <n v="0"/>
    <n v="0"/>
    <n v="0"/>
    <n v="0"/>
    <m/>
    <n v="20"/>
    <n v="0"/>
    <n v="2"/>
    <n v="40"/>
    <n v="0"/>
    <n v="0"/>
    <n v="0"/>
    <n v="0"/>
    <n v="0"/>
    <n v="0"/>
    <n v="0"/>
    <n v="0"/>
    <n v="0"/>
    <n v="0"/>
    <n v="0"/>
    <n v="0"/>
    <n v="0"/>
    <n v="0"/>
    <n v="0"/>
    <n v="0"/>
    <n v="-20"/>
    <m/>
    <s v="WHOLESALE ACCOUNTS"/>
    <m/>
    <m/>
    <s v="Tahoe Forest Therapy Services"/>
    <m/>
    <m/>
    <x v="1"/>
    <s v="Tahoe Forest Therapy Services"/>
    <n v="0"/>
    <n v="0"/>
    <s v="Biocorrect"/>
    <s v="Biocorrect"/>
    <x v="0"/>
    <n v="7"/>
  </r>
  <r>
    <x v="0"/>
    <n v="17"/>
    <s v="Biocorrect "/>
    <d v="2023-09-30T00:00:00"/>
    <x v="73"/>
    <n v="9056904"/>
    <n v="46153440"/>
    <b v="0"/>
    <n v="268"/>
    <s v="L3020"/>
    <n v="216"/>
    <n v="216"/>
    <n v="1"/>
    <n v="0"/>
    <n v="0"/>
    <n v="0"/>
    <n v="0"/>
    <n v="0"/>
    <m/>
    <n v="216"/>
    <n v="0"/>
    <n v="1"/>
    <n v="119.5"/>
    <n v="96.5"/>
    <n v="0"/>
    <n v="0"/>
    <n v="0"/>
    <n v="0"/>
    <n v="0"/>
    <n v="0"/>
    <n v="0"/>
    <n v="0"/>
    <n v="0"/>
    <n v="0"/>
    <n v="0"/>
    <n v="0"/>
    <n v="0"/>
    <n v="0"/>
    <n v="71"/>
    <n v="-71"/>
    <m/>
    <s v="WORKERS COMPENSATION"/>
    <m/>
    <m/>
    <s v="CCMSI WC"/>
    <m/>
    <m/>
    <x v="2"/>
    <s v="CCMSI WC"/>
    <n v="0"/>
    <n v="0"/>
    <s v="Biocorrect"/>
    <s v="Biocorrect"/>
    <x v="0"/>
    <n v="7"/>
  </r>
  <r>
    <x v="0"/>
    <n v="17"/>
    <s v="Biocorrect "/>
    <d v="2023-09-30T00:00:00"/>
    <x v="1"/>
    <n v="10389922"/>
    <n v="53908295"/>
    <b v="0"/>
    <n v="12"/>
    <s v="1st ray cut out/1st ray drop"/>
    <n v="10"/>
    <n v="5"/>
    <n v="2"/>
    <n v="0"/>
    <n v="0"/>
    <n v="0"/>
    <n v="0"/>
    <n v="0"/>
    <m/>
    <n v="10"/>
    <n v="0"/>
    <n v="0"/>
    <n v="0"/>
    <n v="0"/>
    <n v="0"/>
    <n v="0"/>
    <n v="0"/>
    <n v="0"/>
    <n v="0"/>
    <n v="0"/>
    <n v="0"/>
    <n v="0"/>
    <n v="0"/>
    <n v="0"/>
    <n v="0"/>
    <n v="0"/>
    <n v="0"/>
    <n v="0"/>
    <n v="0"/>
    <n v="10"/>
    <m/>
    <s v="WHOLESALE ACCOUNTS"/>
    <m/>
    <m/>
    <s v="Nobile Shoes"/>
    <m/>
    <m/>
    <x v="1"/>
    <s v="Nobile Shoes"/>
    <n v="0"/>
    <n v="0"/>
    <s v="Biocorrect"/>
    <s v="Biocorrect"/>
    <x v="1"/>
    <n v="1"/>
  </r>
  <r>
    <x v="0"/>
    <n v="17"/>
    <s v="Biocorrect "/>
    <d v="2023-09-30T00:00:00"/>
    <x v="1"/>
    <n v="10389922"/>
    <n v="53908309"/>
    <b v="0"/>
    <n v="12"/>
    <s v="SHIP:"/>
    <n v="15"/>
    <n v="15"/>
    <n v="1"/>
    <n v="0"/>
    <n v="0"/>
    <n v="0"/>
    <n v="0"/>
    <n v="0"/>
    <m/>
    <n v="15"/>
    <n v="0"/>
    <n v="0"/>
    <n v="0"/>
    <n v="0"/>
    <n v="0"/>
    <n v="0"/>
    <n v="0"/>
    <n v="0"/>
    <n v="0"/>
    <n v="0"/>
    <n v="0"/>
    <n v="0"/>
    <n v="0"/>
    <n v="0"/>
    <n v="0"/>
    <n v="0"/>
    <n v="0"/>
    <n v="0"/>
    <n v="0"/>
    <n v="15"/>
    <m/>
    <s v="WHOLESALE ACCOUNTS"/>
    <m/>
    <m/>
    <s v="Nobile Shoes"/>
    <m/>
    <m/>
    <x v="1"/>
    <s v="Nobile Shoes"/>
    <n v="0"/>
    <n v="0"/>
    <s v="Biocorrect"/>
    <s v="Biocorrect"/>
    <x v="1"/>
    <n v="1"/>
  </r>
  <r>
    <x v="0"/>
    <n v="17"/>
    <s v="Biocorrect "/>
    <d v="2023-09-30T00:00:00"/>
    <x v="38"/>
    <n v="10422498"/>
    <n v="54081853"/>
    <b v="0"/>
    <n v="5"/>
    <s v="L3010"/>
    <n v="109.5"/>
    <n v="109.5"/>
    <n v="1"/>
    <n v="0"/>
    <n v="0"/>
    <n v="0"/>
    <n v="0"/>
    <n v="0"/>
    <m/>
    <n v="109.5"/>
    <n v="0"/>
    <n v="0"/>
    <n v="0"/>
    <n v="0"/>
    <n v="0"/>
    <n v="0"/>
    <n v="0"/>
    <n v="0"/>
    <n v="0"/>
    <n v="0"/>
    <n v="0"/>
    <n v="0"/>
    <n v="0"/>
    <n v="0"/>
    <n v="0"/>
    <n v="0"/>
    <n v="0"/>
    <n v="0"/>
    <n v="0"/>
    <n v="109.5"/>
    <m/>
    <s v="WHOLESALE ACCOUNTS"/>
    <m/>
    <m/>
    <s v="Mercy Sports Medicine &amp; Rehabilitation"/>
    <m/>
    <m/>
    <x v="1"/>
    <s v="Mercy Sports Medicine &amp; Rehabilitation"/>
    <n v="0"/>
    <n v="0"/>
    <s v="Biocorrect"/>
    <s v="Biocorrect"/>
    <x v="1"/>
    <n v="1"/>
  </r>
  <r>
    <x v="0"/>
    <n v="17"/>
    <s v="Biocorrect "/>
    <d v="2023-09-30T00:00:00"/>
    <x v="38"/>
    <n v="10422498"/>
    <n v="54081854"/>
    <b v="0"/>
    <n v="5"/>
    <s v="L3010"/>
    <n v="109.5"/>
    <n v="109.5"/>
    <n v="1"/>
    <n v="0"/>
    <n v="0"/>
    <n v="0"/>
    <n v="0"/>
    <n v="0"/>
    <m/>
    <n v="109.5"/>
    <n v="0"/>
    <n v="0"/>
    <n v="0"/>
    <n v="0"/>
    <n v="0"/>
    <n v="0"/>
    <n v="0"/>
    <n v="0"/>
    <n v="0"/>
    <n v="0"/>
    <n v="0"/>
    <n v="0"/>
    <n v="0"/>
    <n v="0"/>
    <n v="0"/>
    <n v="0"/>
    <n v="0"/>
    <n v="0"/>
    <n v="0"/>
    <n v="109.5"/>
    <m/>
    <s v="WHOLESALE ACCOUNTS"/>
    <m/>
    <m/>
    <s v="Mercy Sports Medicine &amp; Rehabilitation"/>
    <m/>
    <m/>
    <x v="1"/>
    <s v="Mercy Sports Medicine &amp; Rehabilitation"/>
    <n v="0"/>
    <n v="0"/>
    <s v="Biocorrect"/>
    <s v="Biocorrect"/>
    <x v="1"/>
    <n v="1"/>
  </r>
  <r>
    <x v="0"/>
    <n v="17"/>
    <s v="Biocorrect "/>
    <d v="2023-09-30T00:00:00"/>
    <x v="54"/>
    <n v="10384138"/>
    <n v="53862452"/>
    <b v="0"/>
    <n v="15"/>
    <s v="Rearfoot EVA or Poly heel post"/>
    <n v="15"/>
    <n v="7.5"/>
    <n v="2"/>
    <n v="0"/>
    <n v="0"/>
    <n v="0"/>
    <n v="0"/>
    <n v="0"/>
    <m/>
    <n v="15"/>
    <n v="0"/>
    <n v="0"/>
    <n v="0"/>
    <n v="0"/>
    <n v="0"/>
    <n v="0"/>
    <n v="0"/>
    <n v="0"/>
    <n v="0"/>
    <n v="0"/>
    <n v="0"/>
    <n v="0"/>
    <n v="0"/>
    <n v="0"/>
    <n v="0"/>
    <n v="0"/>
    <n v="0"/>
    <n v="0"/>
    <n v="0"/>
    <n v="15"/>
    <m/>
    <s v="WHOLESALE ACCOUNTS"/>
    <m/>
    <m/>
    <s v="Kalamazoo Foot Surgery"/>
    <m/>
    <m/>
    <x v="1"/>
    <s v="Kalamazoo Foot Surgery"/>
    <n v="0"/>
    <n v="0"/>
    <s v="Biocorrect"/>
    <s v="Biocorrect"/>
    <x v="1"/>
    <n v="1"/>
  </r>
  <r>
    <x v="0"/>
    <n v="17"/>
    <s v="Biocorrect "/>
    <d v="2023-09-30T00:00:00"/>
    <x v="26"/>
    <n v="10403072"/>
    <n v="54304520"/>
    <b v="0"/>
    <n v="10"/>
    <s v="SHIP:"/>
    <n v="15"/>
    <n v="15"/>
    <n v="1"/>
    <n v="0"/>
    <n v="0"/>
    <n v="0"/>
    <n v="0"/>
    <n v="0"/>
    <m/>
    <n v="15"/>
    <n v="0"/>
    <n v="0"/>
    <n v="0"/>
    <n v="0"/>
    <n v="0"/>
    <n v="0"/>
    <n v="0"/>
    <n v="0"/>
    <n v="0"/>
    <n v="0"/>
    <n v="0"/>
    <n v="0"/>
    <n v="0"/>
    <n v="0"/>
    <n v="0"/>
    <n v="0"/>
    <n v="0"/>
    <n v="0"/>
    <n v="0"/>
    <n v="15"/>
    <m/>
    <s v="WHOLESALE ACCOUNTS"/>
    <m/>
    <m/>
    <s v="Nobile Shoes"/>
    <m/>
    <m/>
    <x v="1"/>
    <s v="Nobile Shoes"/>
    <n v="0"/>
    <n v="0"/>
    <s v="Biocorrect"/>
    <s v="Biocorrect"/>
    <x v="1"/>
    <n v="1"/>
  </r>
  <r>
    <x v="0"/>
    <n v="17"/>
    <s v="Biocorrect "/>
    <d v="2023-09-30T00:00:00"/>
    <x v="46"/>
    <n v="10403222"/>
    <n v="54304547"/>
    <b v="0"/>
    <n v="10"/>
    <s v="Rearfoot EVA or Poly heel post"/>
    <n v="15"/>
    <n v="7.5"/>
    <n v="2"/>
    <n v="0"/>
    <n v="0"/>
    <n v="0"/>
    <n v="0"/>
    <n v="0"/>
    <m/>
    <n v="15"/>
    <n v="0"/>
    <n v="0"/>
    <n v="0"/>
    <n v="0"/>
    <n v="0"/>
    <n v="0"/>
    <n v="0"/>
    <n v="0"/>
    <n v="0"/>
    <n v="0"/>
    <n v="0"/>
    <n v="0"/>
    <n v="0"/>
    <n v="0"/>
    <n v="0"/>
    <n v="0"/>
    <n v="0"/>
    <n v="0"/>
    <n v="0"/>
    <n v="15"/>
    <m/>
    <s v="WHOLESALE ACCOUNTS"/>
    <m/>
    <m/>
    <s v="Nobile Shoes"/>
    <m/>
    <m/>
    <x v="1"/>
    <s v="Nobile Shoes"/>
    <n v="0"/>
    <n v="0"/>
    <s v="Biocorrect"/>
    <s v="Biocorrect"/>
    <x v="1"/>
    <n v="1"/>
  </r>
  <r>
    <x v="0"/>
    <n v="17"/>
    <s v="Biocorrect "/>
    <d v="2023-09-30T00:00:00"/>
    <x v="46"/>
    <n v="10403222"/>
    <n v="54304554"/>
    <b v="0"/>
    <n v="10"/>
    <s v="SHIP:"/>
    <n v="15"/>
    <n v="15"/>
    <n v="1"/>
    <n v="0"/>
    <n v="0"/>
    <n v="0"/>
    <n v="0"/>
    <n v="0"/>
    <m/>
    <n v="15"/>
    <n v="0"/>
    <n v="0"/>
    <n v="0"/>
    <n v="0"/>
    <n v="0"/>
    <n v="0"/>
    <n v="0"/>
    <n v="0"/>
    <n v="0"/>
    <n v="0"/>
    <n v="0"/>
    <n v="0"/>
    <n v="0"/>
    <n v="0"/>
    <n v="0"/>
    <n v="0"/>
    <n v="0"/>
    <n v="0"/>
    <n v="0"/>
    <n v="15"/>
    <m/>
    <s v="WHOLESALE ACCOUNTS"/>
    <m/>
    <m/>
    <s v="Nobile Shoes"/>
    <m/>
    <m/>
    <x v="1"/>
    <s v="Nobile Shoes"/>
    <n v="0"/>
    <n v="0"/>
    <s v="Biocorrect"/>
    <s v="Biocorrect"/>
    <x v="1"/>
    <n v="1"/>
  </r>
  <r>
    <x v="0"/>
    <n v="17"/>
    <s v="Biocorrect "/>
    <d v="2023-09-30T00:00:00"/>
    <x v="74"/>
    <n v="10239264"/>
    <n v="53011840"/>
    <b v="0"/>
    <n v="40"/>
    <s v="L3010"/>
    <n v="216"/>
    <n v="216"/>
    <n v="1"/>
    <n v="0"/>
    <n v="165.43"/>
    <n v="0"/>
    <n v="0"/>
    <n v="0"/>
    <m/>
    <n v="216"/>
    <n v="0"/>
    <n v="0"/>
    <n v="0"/>
    <n v="50.57"/>
    <n v="0"/>
    <n v="0"/>
    <n v="0"/>
    <n v="0"/>
    <n v="0"/>
    <n v="0"/>
    <n v="0"/>
    <n v="0"/>
    <n v="0"/>
    <n v="0"/>
    <n v="0"/>
    <n v="0"/>
    <n v="0"/>
    <n v="0"/>
    <n v="0"/>
    <n v="165.43"/>
    <m/>
    <s v="BLUE CROSS BLUE SHIELD"/>
    <m/>
    <m/>
    <s v="BCBSM PPO"/>
    <m/>
    <m/>
    <x v="9"/>
    <s v="PATIENT PAY"/>
    <n v="0"/>
    <n v="0"/>
    <s v="Biocorrect"/>
    <s v="Biocorrect"/>
    <x v="4"/>
    <n v="2"/>
  </r>
  <r>
    <x v="0"/>
    <n v="17"/>
    <s v="Biocorrect "/>
    <d v="2023-09-30T00:00:00"/>
    <x v="75"/>
    <n v="5731341"/>
    <n v="28791397"/>
    <b v="0"/>
    <n v="1151"/>
    <s v="L3020"/>
    <n v="216"/>
    <n v="216"/>
    <n v="1"/>
    <n v="0"/>
    <n v="216"/>
    <n v="166"/>
    <n v="16"/>
    <n v="0"/>
    <m/>
    <n v="216"/>
    <n v="0"/>
    <n v="0"/>
    <n v="0"/>
    <n v="0"/>
    <n v="0"/>
    <n v="0"/>
    <n v="0"/>
    <n v="0"/>
    <n v="0"/>
    <n v="0"/>
    <n v="0"/>
    <n v="0"/>
    <n v="0"/>
    <n v="0"/>
    <n v="0"/>
    <n v="0"/>
    <n v="0"/>
    <n v="0"/>
    <n v="0"/>
    <n v="34"/>
    <m/>
    <s v="COMMERCIAL"/>
    <m/>
    <m/>
    <s v="Aetna"/>
    <m/>
    <m/>
    <x v="9"/>
    <s v="PATIENT PAY"/>
    <n v="0"/>
    <n v="0"/>
    <s v="Biocorrect"/>
    <s v="Biocorrect"/>
    <x v="3"/>
    <n v="8"/>
  </r>
  <r>
    <x v="0"/>
    <n v="17"/>
    <s v="Biocorrect "/>
    <d v="2023-09-30T00:00:00"/>
    <x v="76"/>
    <n v="10416468"/>
    <n v="54107253"/>
    <b v="0"/>
    <n v="5"/>
    <s v="L3010"/>
    <n v="150"/>
    <n v="150"/>
    <n v="1"/>
    <n v="150"/>
    <n v="0"/>
    <n v="0"/>
    <n v="0"/>
    <n v="0"/>
    <m/>
    <n v="0"/>
    <n v="0"/>
    <n v="0"/>
    <n v="0"/>
    <n v="0"/>
    <n v="0"/>
    <n v="0"/>
    <n v="0"/>
    <n v="0"/>
    <n v="0"/>
    <n v="0"/>
    <n v="0"/>
    <n v="0"/>
    <n v="0"/>
    <n v="0"/>
    <n v="0"/>
    <n v="0"/>
    <n v="0"/>
    <n v="0"/>
    <n v="0"/>
    <n v="150"/>
    <m/>
    <m/>
    <m/>
    <m/>
    <m/>
    <m/>
    <m/>
    <x v="9"/>
    <s v="PATIENT PAY"/>
    <n v="0"/>
    <n v="0"/>
    <s v="Biocorrect"/>
    <s v="Biocorrect"/>
    <x v="1"/>
    <n v="1"/>
  </r>
  <r>
    <x v="0"/>
    <n v="17"/>
    <s v="Biocorrect "/>
    <d v="2023-09-30T00:00:00"/>
    <x v="77"/>
    <n v="10301540"/>
    <n v="53432756"/>
    <b v="0"/>
    <n v="29"/>
    <s v="L3010"/>
    <n v="216"/>
    <n v="216"/>
    <n v="1"/>
    <n v="0"/>
    <n v="49.62"/>
    <n v="0"/>
    <n v="99.24"/>
    <n v="0"/>
    <m/>
    <n v="216"/>
    <n v="0"/>
    <n v="1"/>
    <n v="115.81"/>
    <n v="50.57"/>
    <n v="0"/>
    <n v="0"/>
    <n v="0"/>
    <n v="0"/>
    <n v="0"/>
    <n v="0"/>
    <n v="0"/>
    <n v="0"/>
    <n v="0"/>
    <n v="0"/>
    <n v="0"/>
    <n v="0"/>
    <n v="0"/>
    <n v="0"/>
    <n v="0"/>
    <n v="-49.62"/>
    <m/>
    <s v="FEDERAL EMPLOYEE PROGRAMS"/>
    <m/>
    <m/>
    <s v="BCBS Federal"/>
    <m/>
    <m/>
    <x v="9"/>
    <s v="PATIENT PAY"/>
    <n v="0"/>
    <n v="0"/>
    <s v="Biocorrect"/>
    <s v="Biocorrect"/>
    <x v="1"/>
    <n v="1"/>
  </r>
  <r>
    <x v="0"/>
    <n v="17"/>
    <s v="Biocorrect "/>
    <d v="2023-09-30T00:00:00"/>
    <x v="77"/>
    <n v="10301540"/>
    <n v="53432766"/>
    <b v="0"/>
    <n v="29"/>
    <s v="L3010"/>
    <n v="216"/>
    <n v="216"/>
    <n v="1"/>
    <n v="0"/>
    <n v="49.62"/>
    <n v="0"/>
    <n v="0"/>
    <n v="0"/>
    <m/>
    <n v="216"/>
    <n v="0"/>
    <n v="1"/>
    <n v="115.81"/>
    <n v="50.57"/>
    <n v="0"/>
    <n v="0"/>
    <n v="0"/>
    <n v="0"/>
    <n v="0"/>
    <n v="0"/>
    <n v="0"/>
    <n v="0"/>
    <n v="0"/>
    <n v="0"/>
    <n v="0"/>
    <n v="0"/>
    <n v="0"/>
    <n v="0"/>
    <n v="0"/>
    <n v="49.62"/>
    <m/>
    <s v="FEDERAL EMPLOYEE PROGRAMS"/>
    <m/>
    <m/>
    <s v="BCBS Federal"/>
    <m/>
    <m/>
    <x v="9"/>
    <s v="PATIENT PAY"/>
    <n v="0"/>
    <n v="0"/>
    <s v="Biocorrect"/>
    <s v="Biocorrect"/>
    <x v="1"/>
    <n v="1"/>
  </r>
  <r>
    <x v="1"/>
    <n v="17"/>
    <s v="Biocorrect "/>
    <d v="2023-09-30T00:00:00"/>
    <x v="78"/>
    <m/>
    <m/>
    <b v="0"/>
    <n v="1"/>
    <s v="Aged Deposit Balance"/>
    <m/>
    <m/>
    <m/>
    <m/>
    <m/>
    <m/>
    <m/>
    <m/>
    <m/>
    <m/>
    <m/>
    <m/>
    <m/>
    <m/>
    <m/>
    <m/>
    <m/>
    <m/>
    <m/>
    <m/>
    <m/>
    <m/>
    <m/>
    <m/>
    <m/>
    <m/>
    <m/>
    <m/>
    <m/>
    <n v="-0.03"/>
    <m/>
    <m/>
    <m/>
    <m/>
    <m/>
    <m/>
    <m/>
    <x v="9"/>
    <s v="PATIENT PAY"/>
    <m/>
    <m/>
    <m/>
    <s v="Biocorrect"/>
    <x v="1"/>
    <n v="1"/>
  </r>
  <r>
    <x v="0"/>
    <n v="17"/>
    <s v="Biocorrect "/>
    <d v="2023-09-30T00:00:00"/>
    <x v="79"/>
    <n v="10213979"/>
    <n v="53605357"/>
    <b v="0"/>
    <n v="36"/>
    <s v="L3020"/>
    <n v="150"/>
    <n v="150"/>
    <n v="1"/>
    <n v="150"/>
    <n v="0"/>
    <n v="0"/>
    <n v="0"/>
    <n v="0"/>
    <m/>
    <n v="0"/>
    <n v="0"/>
    <n v="0"/>
    <n v="0"/>
    <n v="0"/>
    <n v="0"/>
    <n v="0"/>
    <n v="0"/>
    <n v="0"/>
    <n v="0"/>
    <n v="0"/>
    <n v="0"/>
    <n v="0"/>
    <n v="0"/>
    <n v="0"/>
    <n v="0"/>
    <n v="0"/>
    <n v="0"/>
    <n v="0"/>
    <n v="0"/>
    <n v="150"/>
    <m/>
    <m/>
    <m/>
    <m/>
    <m/>
    <m/>
    <m/>
    <x v="9"/>
    <s v="PATIENT PAY"/>
    <n v="0"/>
    <n v="0"/>
    <s v="Biocorrect"/>
    <s v="Biocorrect"/>
    <x v="4"/>
    <n v="2"/>
  </r>
  <r>
    <x v="1"/>
    <n v="17"/>
    <s v="Biocorrect "/>
    <d v="2023-09-30T00:00:00"/>
    <x v="80"/>
    <m/>
    <m/>
    <b v="0"/>
    <n v="1"/>
    <s v="Aged Deposit Balance"/>
    <m/>
    <m/>
    <m/>
    <m/>
    <m/>
    <m/>
    <m/>
    <m/>
    <m/>
    <m/>
    <m/>
    <m/>
    <m/>
    <m/>
    <m/>
    <m/>
    <m/>
    <m/>
    <m/>
    <m/>
    <m/>
    <m/>
    <m/>
    <m/>
    <m/>
    <m/>
    <m/>
    <m/>
    <m/>
    <n v="-26.28"/>
    <m/>
    <m/>
    <m/>
    <m/>
    <m/>
    <m/>
    <m/>
    <x v="9"/>
    <s v="PATIENT PAY"/>
    <m/>
    <m/>
    <m/>
    <s v="Biocorrect"/>
    <x v="1"/>
    <n v="1"/>
  </r>
  <r>
    <x v="1"/>
    <n v="17"/>
    <s v="Biocorrect "/>
    <d v="2023-09-30T00:00:00"/>
    <x v="81"/>
    <m/>
    <m/>
    <b v="0"/>
    <n v="1"/>
    <s v="Aged Deposit Balance"/>
    <m/>
    <m/>
    <m/>
    <m/>
    <m/>
    <m/>
    <m/>
    <m/>
    <m/>
    <m/>
    <m/>
    <m/>
    <m/>
    <m/>
    <m/>
    <m/>
    <m/>
    <m/>
    <m/>
    <m/>
    <m/>
    <m/>
    <m/>
    <m/>
    <m/>
    <m/>
    <m/>
    <m/>
    <m/>
    <n v="-18"/>
    <m/>
    <m/>
    <m/>
    <m/>
    <m/>
    <m/>
    <m/>
    <x v="9"/>
    <s v="PATIENT PAY"/>
    <m/>
    <m/>
    <m/>
    <s v="Biocorrect"/>
    <x v="1"/>
    <n v="1"/>
  </r>
  <r>
    <x v="0"/>
    <n v="17"/>
    <s v="Biocorrect "/>
    <d v="2023-09-30T00:00:00"/>
    <x v="82"/>
    <n v="4479457"/>
    <n v="20533800"/>
    <b v="0"/>
    <n v="1647"/>
    <s v="L3020"/>
    <n v="0.01"/>
    <n v="0.01"/>
    <n v="1"/>
    <n v="0.01"/>
    <n v="0"/>
    <n v="0"/>
    <n v="0"/>
    <n v="0.02"/>
    <m/>
    <n v="0"/>
    <n v="0"/>
    <n v="0"/>
    <n v="0"/>
    <n v="0"/>
    <n v="0"/>
    <n v="0"/>
    <n v="0"/>
    <n v="0"/>
    <n v="0"/>
    <n v="0"/>
    <n v="0"/>
    <n v="0"/>
    <n v="0"/>
    <n v="0"/>
    <n v="0"/>
    <n v="0"/>
    <n v="0"/>
    <n v="0"/>
    <n v="0"/>
    <n v="-0.01"/>
    <m/>
    <m/>
    <m/>
    <m/>
    <m/>
    <m/>
    <m/>
    <x v="9"/>
    <s v="PATIENT PAY"/>
    <n v="0"/>
    <n v="0"/>
    <s v="Biocorrect"/>
    <s v="Biocorrect"/>
    <x v="3"/>
    <n v="8"/>
  </r>
  <r>
    <x v="0"/>
    <n v="17"/>
    <s v="Biocorrect "/>
    <d v="2023-09-30T00:00:00"/>
    <x v="83"/>
    <n v="10332505"/>
    <n v="53671748"/>
    <b v="0"/>
    <n v="19"/>
    <s v="L3010"/>
    <n v="216"/>
    <n v="216"/>
    <n v="1"/>
    <n v="216"/>
    <n v="0"/>
    <n v="0"/>
    <n v="441"/>
    <n v="0"/>
    <m/>
    <n v="0"/>
    <n v="0"/>
    <n v="0"/>
    <n v="0"/>
    <n v="0"/>
    <n v="0"/>
    <n v="0"/>
    <n v="0"/>
    <n v="0"/>
    <n v="0"/>
    <n v="0"/>
    <n v="0"/>
    <n v="0"/>
    <n v="0"/>
    <n v="0"/>
    <n v="0"/>
    <n v="0"/>
    <n v="0"/>
    <n v="0"/>
    <n v="0"/>
    <n v="-225"/>
    <m/>
    <m/>
    <m/>
    <m/>
    <m/>
    <m/>
    <m/>
    <x v="9"/>
    <s v="PATIENT PAY"/>
    <n v="0"/>
    <n v="0"/>
    <s v="Biocorrect"/>
    <s v="Biocorrect"/>
    <x v="1"/>
    <n v="1"/>
  </r>
  <r>
    <x v="0"/>
    <n v="17"/>
    <s v="Biocorrect "/>
    <d v="2023-09-30T00:00:00"/>
    <x v="83"/>
    <n v="10332505"/>
    <n v="53671751"/>
    <b v="0"/>
    <n v="19"/>
    <s v="TAX: Custom Orthotics"/>
    <n v="18"/>
    <n v="18"/>
    <n v="1"/>
    <n v="18"/>
    <n v="0"/>
    <n v="0"/>
    <n v="0"/>
    <n v="0"/>
    <m/>
    <n v="0"/>
    <n v="0"/>
    <n v="0"/>
    <n v="0"/>
    <n v="0"/>
    <n v="0"/>
    <n v="0"/>
    <n v="0"/>
    <n v="0"/>
    <n v="0"/>
    <n v="0"/>
    <n v="0"/>
    <n v="0"/>
    <n v="0"/>
    <n v="0"/>
    <n v="0"/>
    <n v="0"/>
    <n v="0"/>
    <n v="0"/>
    <n v="0"/>
    <n v="18"/>
    <m/>
    <m/>
    <m/>
    <m/>
    <m/>
    <m/>
    <m/>
    <x v="9"/>
    <s v="PATIENT PAY"/>
    <n v="0"/>
    <n v="0"/>
    <s v="Biocorrect"/>
    <s v="Biocorrect"/>
    <x v="1"/>
    <n v="1"/>
  </r>
  <r>
    <x v="1"/>
    <n v="17"/>
    <s v="Biocorrect "/>
    <d v="2023-09-30T00:00:00"/>
    <x v="84"/>
    <m/>
    <m/>
    <b v="0"/>
    <n v="1"/>
    <s v="Aged Deposit Balance"/>
    <m/>
    <m/>
    <m/>
    <m/>
    <m/>
    <m/>
    <m/>
    <m/>
    <m/>
    <m/>
    <m/>
    <m/>
    <m/>
    <m/>
    <m/>
    <m/>
    <m/>
    <m/>
    <m/>
    <m/>
    <m/>
    <m/>
    <m/>
    <m/>
    <m/>
    <m/>
    <m/>
    <m/>
    <m/>
    <n v="-290"/>
    <m/>
    <s v="BLUE CROSS BLUE SHIELD"/>
    <m/>
    <m/>
    <m/>
    <m/>
    <m/>
    <x v="9"/>
    <s v="PATIENT PAY"/>
    <m/>
    <m/>
    <m/>
    <s v="Biocorrect"/>
    <x v="1"/>
    <n v="1"/>
  </r>
  <r>
    <x v="1"/>
    <n v="17"/>
    <s v="Biocorrect "/>
    <d v="2023-09-30T00:00:00"/>
    <x v="85"/>
    <m/>
    <m/>
    <b v="0"/>
    <n v="1"/>
    <s v="Aged Deposit Balance"/>
    <m/>
    <m/>
    <m/>
    <m/>
    <m/>
    <m/>
    <m/>
    <m/>
    <m/>
    <m/>
    <m/>
    <m/>
    <m/>
    <m/>
    <m/>
    <m/>
    <m/>
    <m/>
    <m/>
    <m/>
    <m/>
    <m/>
    <m/>
    <m/>
    <m/>
    <m/>
    <m/>
    <m/>
    <m/>
    <n v="-0.09"/>
    <m/>
    <s v="BLUE CROSS BLUE SHIELD"/>
    <m/>
    <m/>
    <m/>
    <m/>
    <m/>
    <x v="9"/>
    <s v="PATIENT PAY"/>
    <m/>
    <m/>
    <m/>
    <s v="Biocorrect"/>
    <x v="1"/>
    <n v="1"/>
  </r>
  <r>
    <x v="1"/>
    <n v="17"/>
    <s v="Biocorrect "/>
    <d v="2023-09-30T00:00:00"/>
    <x v="86"/>
    <m/>
    <m/>
    <b v="0"/>
    <n v="1"/>
    <s v="Aged Deposit Balance"/>
    <m/>
    <m/>
    <m/>
    <m/>
    <m/>
    <m/>
    <m/>
    <m/>
    <m/>
    <m/>
    <m/>
    <m/>
    <m/>
    <m/>
    <m/>
    <m/>
    <m/>
    <m/>
    <m/>
    <m/>
    <m/>
    <m/>
    <m/>
    <m/>
    <m/>
    <m/>
    <m/>
    <m/>
    <m/>
    <n v="-66"/>
    <m/>
    <s v="BLUE CROSS BLUE SHIELD"/>
    <m/>
    <m/>
    <m/>
    <m/>
    <m/>
    <x v="9"/>
    <s v="PATIENT PAY"/>
    <m/>
    <m/>
    <m/>
    <s v="Biocorrect"/>
    <x v="1"/>
    <n v="1"/>
  </r>
  <r>
    <x v="1"/>
    <n v="17"/>
    <s v="Biocorrect "/>
    <d v="2023-09-30T00:00:00"/>
    <x v="87"/>
    <m/>
    <m/>
    <b v="0"/>
    <n v="1"/>
    <s v="Aged Deposit Balance"/>
    <m/>
    <m/>
    <m/>
    <m/>
    <m/>
    <m/>
    <m/>
    <m/>
    <m/>
    <m/>
    <m/>
    <m/>
    <m/>
    <m/>
    <m/>
    <m/>
    <m/>
    <m/>
    <m/>
    <m/>
    <m/>
    <m/>
    <m/>
    <m/>
    <m/>
    <m/>
    <m/>
    <m/>
    <m/>
    <n v="-32"/>
    <m/>
    <m/>
    <m/>
    <m/>
    <m/>
    <m/>
    <m/>
    <x v="9"/>
    <s v="PATIENT PAY"/>
    <m/>
    <m/>
    <m/>
    <s v="Biocorrect"/>
    <x v="1"/>
    <n v="1"/>
  </r>
  <r>
    <x v="1"/>
    <n v="17"/>
    <s v="Biocorrect "/>
    <d v="2023-09-30T00:00:00"/>
    <x v="88"/>
    <m/>
    <m/>
    <b v="0"/>
    <n v="1"/>
    <s v="Aged Deposit Balance"/>
    <m/>
    <m/>
    <m/>
    <m/>
    <m/>
    <m/>
    <m/>
    <m/>
    <m/>
    <m/>
    <m/>
    <m/>
    <m/>
    <m/>
    <m/>
    <m/>
    <m/>
    <m/>
    <m/>
    <m/>
    <m/>
    <m/>
    <m/>
    <m/>
    <m/>
    <m/>
    <m/>
    <m/>
    <m/>
    <n v="-18"/>
    <m/>
    <m/>
    <m/>
    <m/>
    <m/>
    <m/>
    <m/>
    <x v="9"/>
    <s v="PATIENT PAY"/>
    <m/>
    <m/>
    <m/>
    <s v="Biocorrect"/>
    <x v="1"/>
    <n v="1"/>
  </r>
  <r>
    <x v="0"/>
    <n v="17"/>
    <s v="Biocorrect "/>
    <d v="2023-09-30T00:00:00"/>
    <x v="89"/>
    <n v="10003725"/>
    <n v="51590408"/>
    <b v="0"/>
    <n v="86"/>
    <s v="L3010"/>
    <n v="216"/>
    <n v="216"/>
    <n v="1"/>
    <n v="0"/>
    <n v="165.43"/>
    <n v="0"/>
    <n v="0"/>
    <n v="0"/>
    <m/>
    <n v="216"/>
    <n v="0"/>
    <n v="0"/>
    <n v="0"/>
    <n v="50.57"/>
    <n v="0"/>
    <n v="0"/>
    <n v="0"/>
    <n v="0"/>
    <n v="0"/>
    <n v="0"/>
    <n v="0"/>
    <n v="0"/>
    <n v="0"/>
    <n v="0"/>
    <n v="0"/>
    <n v="0"/>
    <n v="0"/>
    <n v="0"/>
    <n v="0"/>
    <n v="165.43"/>
    <m/>
    <s v="BLUE CROSS BLUE SHIELD"/>
    <m/>
    <m/>
    <s v="BCBSM PPO"/>
    <m/>
    <m/>
    <x v="9"/>
    <s v="PATIENT PAY"/>
    <n v="0"/>
    <n v="0"/>
    <s v="Biocorrect"/>
    <s v="Biocorrect"/>
    <x v="2"/>
    <n v="3"/>
  </r>
  <r>
    <x v="0"/>
    <n v="17"/>
    <s v="Biocorrect "/>
    <d v="2023-09-30T00:00:00"/>
    <x v="83"/>
    <n v="10332505"/>
    <n v="53671750"/>
    <b v="0"/>
    <n v="19"/>
    <s v="L3010"/>
    <n v="216"/>
    <n v="216"/>
    <n v="1"/>
    <n v="216"/>
    <n v="0"/>
    <n v="0"/>
    <n v="9"/>
    <n v="0"/>
    <m/>
    <n v="0"/>
    <n v="0"/>
    <n v="0"/>
    <n v="0"/>
    <n v="0"/>
    <n v="0"/>
    <n v="0"/>
    <n v="0"/>
    <n v="0"/>
    <n v="0"/>
    <n v="0"/>
    <n v="0"/>
    <n v="0"/>
    <n v="0"/>
    <n v="0"/>
    <n v="0"/>
    <n v="0"/>
    <n v="0"/>
    <n v="0"/>
    <n v="0"/>
    <n v="207"/>
    <m/>
    <m/>
    <m/>
    <m/>
    <m/>
    <m/>
    <m/>
    <x v="9"/>
    <s v="PATIENT PAY"/>
    <n v="0"/>
    <n v="0"/>
    <s v="Biocorrect"/>
    <s v="Biocorrect"/>
    <x v="1"/>
    <n v="1"/>
  </r>
  <r>
    <x v="0"/>
    <n v="17"/>
    <s v="Biocorrect "/>
    <d v="2023-09-30T00:00:00"/>
    <x v="90"/>
    <n v="9388004"/>
    <n v="47847013"/>
    <b v="0"/>
    <n v="205"/>
    <s v="L3010"/>
    <n v="216"/>
    <n v="216"/>
    <n v="1"/>
    <n v="0"/>
    <n v="165.43"/>
    <n v="165.25"/>
    <n v="0"/>
    <n v="0"/>
    <m/>
    <n v="216"/>
    <n v="0"/>
    <n v="0"/>
    <n v="0"/>
    <n v="50.57"/>
    <n v="0"/>
    <n v="0"/>
    <n v="0"/>
    <n v="0"/>
    <n v="0"/>
    <n v="0"/>
    <n v="0"/>
    <n v="0"/>
    <n v="0"/>
    <n v="0"/>
    <n v="0"/>
    <n v="0"/>
    <n v="0"/>
    <n v="0"/>
    <n v="0"/>
    <n v="0.18"/>
    <m/>
    <s v="BLUE CROSS BLUE SHIELD"/>
    <m/>
    <m/>
    <s v="BCBSM PPO"/>
    <m/>
    <m/>
    <x v="9"/>
    <s v="PATIENT PAY"/>
    <n v="0"/>
    <n v="0"/>
    <s v="Biocorrect"/>
    <s v="Biocorrect"/>
    <x v="0"/>
    <n v="7"/>
  </r>
  <r>
    <x v="0"/>
    <n v="17"/>
    <s v="Biocorrect "/>
    <d v="2023-09-30T00:00:00"/>
    <x v="91"/>
    <n v="9583109"/>
    <n v="49180573"/>
    <b v="0"/>
    <n v="163"/>
    <s v="L3010"/>
    <n v="216"/>
    <n v="216"/>
    <n v="1"/>
    <n v="0"/>
    <n v="49.63"/>
    <n v="0"/>
    <n v="0"/>
    <n v="0"/>
    <m/>
    <n v="216"/>
    <n v="0"/>
    <n v="1"/>
    <n v="115.8"/>
    <n v="50.57"/>
    <n v="0"/>
    <n v="0"/>
    <n v="0"/>
    <n v="0"/>
    <n v="0"/>
    <n v="0"/>
    <n v="0"/>
    <n v="0"/>
    <n v="0"/>
    <n v="0"/>
    <n v="0"/>
    <n v="0"/>
    <n v="0"/>
    <n v="0"/>
    <n v="0"/>
    <n v="49.63"/>
    <m/>
    <s v="BLUE CROSS BLUE SHIELD"/>
    <m/>
    <m/>
    <s v="BCBS Out of State"/>
    <m/>
    <m/>
    <x v="9"/>
    <s v="PATIENT PAY"/>
    <n v="0"/>
    <n v="0"/>
    <s v="Biocorrect"/>
    <s v="Biocorrect"/>
    <x v="5"/>
    <n v="6"/>
  </r>
  <r>
    <x v="0"/>
    <n v="17"/>
    <s v="Biocorrect "/>
    <d v="2023-09-30T00:00:00"/>
    <x v="92"/>
    <n v="10383978"/>
    <n v="54063652"/>
    <b v="0"/>
    <n v="8"/>
    <s v="L3010"/>
    <n v="216"/>
    <n v="216"/>
    <n v="1"/>
    <n v="216"/>
    <n v="0"/>
    <n v="0"/>
    <n v="9"/>
    <n v="0"/>
    <m/>
    <n v="0"/>
    <n v="0"/>
    <n v="0"/>
    <n v="0"/>
    <n v="0"/>
    <n v="0"/>
    <n v="0"/>
    <n v="0"/>
    <n v="0"/>
    <n v="0"/>
    <n v="0"/>
    <n v="0"/>
    <n v="0"/>
    <n v="0"/>
    <n v="0"/>
    <n v="0"/>
    <n v="0"/>
    <n v="0"/>
    <n v="0"/>
    <n v="0"/>
    <n v="207"/>
    <m/>
    <m/>
    <m/>
    <m/>
    <m/>
    <m/>
    <m/>
    <x v="9"/>
    <s v="PATIENT PAY"/>
    <n v="0"/>
    <n v="0"/>
    <s v="Biocorrect"/>
    <s v="Biocorrect"/>
    <x v="1"/>
    <n v="1"/>
  </r>
  <r>
    <x v="0"/>
    <n v="17"/>
    <s v="Biocorrect "/>
    <d v="2023-09-30T00:00:00"/>
    <x v="92"/>
    <n v="10383978"/>
    <n v="54063657"/>
    <b v="0"/>
    <n v="8"/>
    <s v="TAX: Custom Orthotics"/>
    <n v="18"/>
    <n v="18"/>
    <n v="1"/>
    <n v="18"/>
    <n v="0"/>
    <n v="0"/>
    <n v="0"/>
    <n v="0"/>
    <m/>
    <n v="0"/>
    <n v="0"/>
    <n v="0"/>
    <n v="0"/>
    <n v="0"/>
    <n v="0"/>
    <n v="0"/>
    <n v="0"/>
    <n v="0"/>
    <n v="0"/>
    <n v="0"/>
    <n v="0"/>
    <n v="0"/>
    <n v="0"/>
    <n v="0"/>
    <n v="0"/>
    <n v="0"/>
    <n v="0"/>
    <n v="0"/>
    <n v="0"/>
    <n v="18"/>
    <m/>
    <m/>
    <m/>
    <m/>
    <m/>
    <m/>
    <m/>
    <x v="9"/>
    <s v="PATIENT PAY"/>
    <n v="0"/>
    <n v="0"/>
    <s v="Biocorrect"/>
    <s v="Biocorrect"/>
    <x v="1"/>
    <n v="1"/>
  </r>
  <r>
    <x v="0"/>
    <n v="17"/>
    <s v="Biocorrect "/>
    <d v="2023-09-30T00:00:00"/>
    <x v="93"/>
    <n v="10289038"/>
    <n v="53259727"/>
    <b v="0"/>
    <n v="33"/>
    <s v="TAX: Custom Orthotics"/>
    <n v="18"/>
    <n v="18"/>
    <n v="1"/>
    <n v="18"/>
    <n v="0"/>
    <n v="0"/>
    <n v="0"/>
    <n v="0"/>
    <m/>
    <n v="0"/>
    <n v="0"/>
    <n v="0"/>
    <n v="0"/>
    <n v="0"/>
    <n v="0"/>
    <n v="0"/>
    <n v="0"/>
    <n v="0"/>
    <n v="0"/>
    <n v="0"/>
    <n v="0"/>
    <n v="0"/>
    <n v="0"/>
    <n v="0"/>
    <n v="0"/>
    <n v="0"/>
    <n v="0"/>
    <n v="0"/>
    <n v="0"/>
    <n v="18"/>
    <m/>
    <m/>
    <m/>
    <m/>
    <m/>
    <m/>
    <m/>
    <x v="9"/>
    <s v="PATIENT PAY"/>
    <n v="0"/>
    <n v="0"/>
    <s v="Biocorrect"/>
    <s v="Biocorrect"/>
    <x v="4"/>
    <n v="2"/>
  </r>
  <r>
    <x v="0"/>
    <n v="17"/>
    <s v="Biocorrect "/>
    <d v="2023-09-30T00:00:00"/>
    <x v="94"/>
    <n v="10293954"/>
    <n v="53305401"/>
    <b v="0"/>
    <n v="32"/>
    <s v="L3010"/>
    <n v="216"/>
    <n v="216"/>
    <n v="1"/>
    <n v="0"/>
    <n v="216"/>
    <n v="0"/>
    <n v="0"/>
    <n v="0"/>
    <m/>
    <n v="216"/>
    <n v="0"/>
    <n v="0"/>
    <n v="0"/>
    <n v="0"/>
    <n v="0"/>
    <n v="0"/>
    <n v="0"/>
    <n v="0"/>
    <n v="0"/>
    <n v="0"/>
    <n v="0"/>
    <n v="0"/>
    <n v="0"/>
    <n v="0"/>
    <n v="0"/>
    <n v="0"/>
    <n v="0"/>
    <n v="0"/>
    <n v="0"/>
    <n v="216"/>
    <m/>
    <s v="BLUE CROSS BLUE SHIELD"/>
    <m/>
    <m/>
    <s v="BCBS Out of State"/>
    <m/>
    <m/>
    <x v="9"/>
    <s v="PATIENT PAY"/>
    <n v="0"/>
    <n v="0"/>
    <s v="Biocorrect"/>
    <s v="Biocorrect"/>
    <x v="4"/>
    <n v="2"/>
  </r>
  <r>
    <x v="0"/>
    <n v="17"/>
    <s v="Biocorrect "/>
    <d v="2023-09-30T00:00:00"/>
    <x v="95"/>
    <n v="5643401"/>
    <n v="28173903"/>
    <b v="0"/>
    <n v="1201"/>
    <s v="TAX: footbed/insert modifications"/>
    <n v="1.5"/>
    <n v="1.5"/>
    <n v="1"/>
    <n v="1.5"/>
    <n v="0"/>
    <n v="0"/>
    <n v="3"/>
    <n v="0"/>
    <m/>
    <n v="0"/>
    <n v="0"/>
    <n v="0"/>
    <n v="0"/>
    <n v="0"/>
    <n v="0"/>
    <n v="0"/>
    <n v="0"/>
    <n v="0"/>
    <n v="0"/>
    <n v="0"/>
    <n v="0"/>
    <n v="0"/>
    <n v="0"/>
    <n v="0"/>
    <n v="0"/>
    <n v="0"/>
    <n v="0"/>
    <n v="0"/>
    <n v="0"/>
    <n v="-1.5"/>
    <m/>
    <m/>
    <m/>
    <m/>
    <m/>
    <m/>
    <m/>
    <x v="9"/>
    <s v="PATIENT PAY"/>
    <n v="0"/>
    <n v="0"/>
    <s v="Biocorrect"/>
    <s v="Biocorrect"/>
    <x v="3"/>
    <n v="8"/>
  </r>
  <r>
    <x v="0"/>
    <n v="17"/>
    <s v="Biocorrect "/>
    <d v="2023-09-30T00:00:00"/>
    <x v="96"/>
    <n v="5608579"/>
    <n v="27967306"/>
    <b v="0"/>
    <n v="1221"/>
    <s v="L3020"/>
    <n v="216"/>
    <n v="216"/>
    <n v="1"/>
    <n v="216"/>
    <n v="0"/>
    <n v="0"/>
    <n v="432"/>
    <n v="0"/>
    <m/>
    <n v="0"/>
    <n v="0"/>
    <n v="0"/>
    <n v="0"/>
    <n v="0"/>
    <n v="0"/>
    <n v="0"/>
    <n v="0"/>
    <n v="0"/>
    <n v="0"/>
    <n v="0"/>
    <n v="0"/>
    <n v="0"/>
    <n v="0"/>
    <n v="0"/>
    <n v="0"/>
    <n v="0"/>
    <n v="0"/>
    <n v="0"/>
    <n v="0"/>
    <n v="-216"/>
    <m/>
    <m/>
    <m/>
    <m/>
    <m/>
    <m/>
    <m/>
    <x v="9"/>
    <s v="PATIENT PAY"/>
    <n v="0"/>
    <n v="0"/>
    <s v="Biocorrect"/>
    <s v="Biocorrect"/>
    <x v="3"/>
    <n v="8"/>
  </r>
  <r>
    <x v="0"/>
    <n v="17"/>
    <s v="Biocorrect "/>
    <d v="2023-09-30T00:00:00"/>
    <x v="96"/>
    <n v="5608579"/>
    <n v="27967308"/>
    <b v="0"/>
    <n v="1221"/>
    <s v="TAX: Custom Orthotics"/>
    <n v="18"/>
    <n v="18"/>
    <n v="1"/>
    <n v="18"/>
    <n v="0"/>
    <n v="0"/>
    <n v="0"/>
    <n v="0"/>
    <m/>
    <n v="0"/>
    <n v="0"/>
    <n v="0"/>
    <n v="0"/>
    <n v="0"/>
    <n v="0"/>
    <n v="0"/>
    <n v="0"/>
    <n v="0"/>
    <n v="0"/>
    <n v="0"/>
    <n v="0"/>
    <n v="0"/>
    <n v="0"/>
    <n v="0"/>
    <n v="0"/>
    <n v="0"/>
    <n v="0"/>
    <n v="0"/>
    <n v="0"/>
    <n v="18"/>
    <m/>
    <m/>
    <m/>
    <m/>
    <m/>
    <m/>
    <m/>
    <x v="9"/>
    <s v="PATIENT PAY"/>
    <n v="0"/>
    <n v="0"/>
    <s v="Biocorrect"/>
    <s v="Biocorrect"/>
    <x v="3"/>
    <n v="8"/>
  </r>
  <r>
    <x v="0"/>
    <n v="17"/>
    <s v="Biocorrect "/>
    <d v="2023-09-30T00:00:00"/>
    <x v="97"/>
    <n v="9459800"/>
    <n v="48258546"/>
    <b v="0"/>
    <n v="192"/>
    <s v="TAX: Custom Orthotics"/>
    <n v="16.2"/>
    <n v="16.2"/>
    <n v="1"/>
    <n v="16.2"/>
    <n v="0"/>
    <n v="0"/>
    <n v="1.2"/>
    <n v="0"/>
    <m/>
    <n v="0"/>
    <n v="0"/>
    <n v="0"/>
    <n v="0"/>
    <n v="0"/>
    <n v="0"/>
    <n v="0"/>
    <n v="0"/>
    <n v="0"/>
    <n v="0"/>
    <n v="0"/>
    <n v="0"/>
    <n v="0"/>
    <n v="0"/>
    <n v="0"/>
    <n v="0"/>
    <n v="0"/>
    <n v="0"/>
    <n v="0"/>
    <n v="0"/>
    <n v="15"/>
    <m/>
    <m/>
    <m/>
    <m/>
    <m/>
    <m/>
    <m/>
    <x v="9"/>
    <s v="PATIENT PAY"/>
    <n v="0"/>
    <n v="0"/>
    <s v="Biocorrect"/>
    <s v="Biocorrect"/>
    <x v="0"/>
    <n v="7"/>
  </r>
  <r>
    <x v="0"/>
    <n v="17"/>
    <s v="Biocorrect "/>
    <d v="2023-09-30T00:00:00"/>
    <x v="97"/>
    <n v="9459800"/>
    <n v="48258544"/>
    <b v="0"/>
    <n v="192"/>
    <s v="L3010"/>
    <n v="201"/>
    <n v="201"/>
    <n v="1"/>
    <n v="201"/>
    <n v="0"/>
    <n v="0"/>
    <n v="216"/>
    <n v="0"/>
    <m/>
    <n v="0"/>
    <n v="0"/>
    <n v="0"/>
    <n v="0"/>
    <n v="0"/>
    <n v="0"/>
    <n v="0"/>
    <n v="0"/>
    <n v="0"/>
    <n v="0"/>
    <n v="0"/>
    <n v="0"/>
    <n v="0"/>
    <n v="0"/>
    <n v="0"/>
    <n v="0"/>
    <n v="0"/>
    <n v="0"/>
    <n v="0"/>
    <n v="0"/>
    <n v="-15"/>
    <m/>
    <m/>
    <m/>
    <m/>
    <m/>
    <m/>
    <m/>
    <x v="9"/>
    <s v="PATIENT PAY"/>
    <n v="0"/>
    <n v="0"/>
    <s v="Biocorrect"/>
    <s v="Biocorrect"/>
    <x v="0"/>
    <n v="7"/>
  </r>
  <r>
    <x v="0"/>
    <n v="17"/>
    <s v="Biocorrect "/>
    <d v="2023-09-30T00:00:00"/>
    <x v="98"/>
    <n v="9549994"/>
    <n v="49560051"/>
    <b v="0"/>
    <n v="151"/>
    <s v="L3020"/>
    <n v="186"/>
    <n v="186"/>
    <n v="1"/>
    <n v="186"/>
    <n v="0"/>
    <n v="0"/>
    <n v="170.4"/>
    <n v="0"/>
    <m/>
    <n v="0"/>
    <n v="0"/>
    <n v="0"/>
    <n v="0"/>
    <n v="0"/>
    <n v="0"/>
    <n v="0"/>
    <n v="0"/>
    <n v="0"/>
    <n v="0"/>
    <n v="0"/>
    <n v="0"/>
    <n v="0"/>
    <n v="0"/>
    <n v="0"/>
    <n v="0"/>
    <n v="0"/>
    <n v="0"/>
    <n v="0"/>
    <n v="0"/>
    <n v="15.6"/>
    <m/>
    <m/>
    <m/>
    <m/>
    <m/>
    <m/>
    <m/>
    <x v="9"/>
    <s v="PATIENT PAY"/>
    <n v="0"/>
    <n v="0"/>
    <s v="Biocorrect"/>
    <s v="Biocorrect"/>
    <x v="5"/>
    <n v="6"/>
  </r>
  <r>
    <x v="0"/>
    <n v="17"/>
    <s v="Biocorrect "/>
    <d v="2023-09-30T00:00:00"/>
    <x v="98"/>
    <n v="9549994"/>
    <n v="49560042"/>
    <b v="0"/>
    <n v="151"/>
    <s v="L3020"/>
    <n v="186"/>
    <n v="186"/>
    <n v="1"/>
    <n v="186"/>
    <n v="0"/>
    <n v="0"/>
    <n v="216"/>
    <n v="0"/>
    <m/>
    <n v="0"/>
    <n v="0"/>
    <n v="0"/>
    <n v="0"/>
    <n v="0"/>
    <n v="0"/>
    <n v="0"/>
    <n v="0"/>
    <n v="0"/>
    <n v="0"/>
    <n v="0"/>
    <n v="0"/>
    <n v="0"/>
    <n v="0"/>
    <n v="0"/>
    <n v="0"/>
    <n v="0"/>
    <n v="0"/>
    <n v="0"/>
    <n v="0"/>
    <n v="-30"/>
    <m/>
    <m/>
    <m/>
    <m/>
    <m/>
    <m/>
    <m/>
    <x v="9"/>
    <s v="PATIENT PAY"/>
    <n v="0"/>
    <n v="0"/>
    <s v="Biocorrect"/>
    <s v="Biocorrect"/>
    <x v="5"/>
    <n v="6"/>
  </r>
  <r>
    <x v="0"/>
    <n v="17"/>
    <s v="Biocorrect "/>
    <d v="2023-09-30T00:00:00"/>
    <x v="98"/>
    <n v="9549994"/>
    <n v="49560052"/>
    <b v="0"/>
    <n v="151"/>
    <s v="TAX: Custom Orthotics"/>
    <n v="14.4"/>
    <n v="14.4"/>
    <n v="1"/>
    <n v="14.4"/>
    <n v="0"/>
    <n v="0"/>
    <n v="0"/>
    <n v="0"/>
    <m/>
    <n v="0"/>
    <n v="0"/>
    <n v="0"/>
    <n v="0"/>
    <n v="0"/>
    <n v="0"/>
    <n v="0"/>
    <n v="0"/>
    <n v="0"/>
    <n v="0"/>
    <n v="0"/>
    <n v="0"/>
    <n v="0"/>
    <n v="0"/>
    <n v="0"/>
    <n v="0"/>
    <n v="0"/>
    <n v="0"/>
    <n v="0"/>
    <n v="0"/>
    <n v="14.4"/>
    <m/>
    <m/>
    <m/>
    <m/>
    <m/>
    <m/>
    <m/>
    <x v="9"/>
    <s v="PATIENT PAY"/>
    <n v="0"/>
    <n v="0"/>
    <s v="Biocorrect"/>
    <s v="Biocorrect"/>
    <x v="5"/>
    <n v="6"/>
  </r>
  <r>
    <x v="0"/>
    <n v="17"/>
    <s v="Biocorrect "/>
    <d v="2023-09-30T00:00:00"/>
    <x v="99"/>
    <n v="10232768"/>
    <n v="53137657"/>
    <b v="0"/>
    <n v="37"/>
    <s v="L3020"/>
    <n v="216"/>
    <n v="216"/>
    <n v="1"/>
    <n v="216"/>
    <n v="0"/>
    <n v="0"/>
    <n v="0"/>
    <n v="0"/>
    <m/>
    <n v="0"/>
    <n v="0"/>
    <n v="0"/>
    <n v="0"/>
    <n v="0"/>
    <n v="0"/>
    <n v="0"/>
    <n v="0"/>
    <n v="0"/>
    <n v="0"/>
    <n v="0"/>
    <n v="0"/>
    <n v="0"/>
    <n v="0"/>
    <n v="0"/>
    <n v="0"/>
    <n v="0"/>
    <n v="0"/>
    <n v="0"/>
    <n v="0"/>
    <n v="216"/>
    <m/>
    <m/>
    <m/>
    <m/>
    <m/>
    <m/>
    <m/>
    <x v="9"/>
    <s v="PATIENT PAY"/>
    <n v="0"/>
    <n v="0"/>
    <s v="Biocorrect"/>
    <s v="Biocorrect"/>
    <x v="4"/>
    <n v="2"/>
  </r>
  <r>
    <x v="0"/>
    <n v="17"/>
    <s v="Biocorrect "/>
    <d v="2023-09-30T00:00:00"/>
    <x v="100"/>
    <n v="10297269"/>
    <n v="53386005"/>
    <b v="0"/>
    <n v="30"/>
    <s v="L3010"/>
    <n v="216"/>
    <n v="216"/>
    <n v="1"/>
    <n v="216"/>
    <n v="0"/>
    <n v="0"/>
    <n v="9"/>
    <n v="0"/>
    <m/>
    <n v="0"/>
    <n v="0"/>
    <n v="0"/>
    <n v="0"/>
    <n v="0"/>
    <n v="0"/>
    <n v="0"/>
    <n v="0"/>
    <n v="0"/>
    <n v="0"/>
    <n v="0"/>
    <n v="0"/>
    <n v="0"/>
    <n v="0"/>
    <n v="0"/>
    <n v="0"/>
    <n v="0"/>
    <n v="0"/>
    <n v="0"/>
    <n v="0"/>
    <n v="207"/>
    <m/>
    <m/>
    <m/>
    <m/>
    <m/>
    <m/>
    <m/>
    <x v="9"/>
    <s v="PATIENT PAY"/>
    <n v="0"/>
    <n v="0"/>
    <s v="Biocorrect"/>
    <s v="Biocorrect"/>
    <x v="1"/>
    <n v="1"/>
  </r>
  <r>
    <x v="0"/>
    <n v="17"/>
    <s v="Biocorrect "/>
    <d v="2023-09-30T00:00:00"/>
    <x v="100"/>
    <n v="10297269"/>
    <n v="53386014"/>
    <b v="0"/>
    <n v="30"/>
    <s v="TAX: Custom Orthotics"/>
    <n v="18"/>
    <n v="18"/>
    <n v="1"/>
    <n v="18"/>
    <n v="0"/>
    <n v="0"/>
    <n v="0"/>
    <n v="0"/>
    <m/>
    <n v="0"/>
    <n v="0"/>
    <n v="0"/>
    <n v="0"/>
    <n v="0"/>
    <n v="0"/>
    <n v="0"/>
    <n v="0"/>
    <n v="0"/>
    <n v="0"/>
    <n v="0"/>
    <n v="0"/>
    <n v="0"/>
    <n v="0"/>
    <n v="0"/>
    <n v="0"/>
    <n v="0"/>
    <n v="0"/>
    <n v="0"/>
    <n v="0"/>
    <n v="18"/>
    <m/>
    <m/>
    <m/>
    <m/>
    <m/>
    <m/>
    <m/>
    <x v="9"/>
    <s v="PATIENT PAY"/>
    <n v="0"/>
    <n v="0"/>
    <s v="Biocorrect"/>
    <s v="Biocorrect"/>
    <x v="1"/>
    <n v="1"/>
  </r>
  <r>
    <x v="0"/>
    <n v="17"/>
    <s v="Biocorrect "/>
    <d v="2023-09-30T00:00:00"/>
    <x v="101"/>
    <n v="9540066"/>
    <n v="48716395"/>
    <b v="0"/>
    <n v="177"/>
    <s v="L3020"/>
    <n v="216"/>
    <n v="216"/>
    <n v="1"/>
    <n v="0"/>
    <n v="204.78"/>
    <n v="0"/>
    <n v="0"/>
    <n v="0"/>
    <m/>
    <n v="216"/>
    <n v="0"/>
    <n v="0"/>
    <n v="0"/>
    <n v="11.22"/>
    <n v="0"/>
    <n v="0"/>
    <n v="0"/>
    <n v="0"/>
    <n v="0"/>
    <n v="0"/>
    <n v="0"/>
    <n v="0"/>
    <n v="0"/>
    <n v="0"/>
    <n v="0"/>
    <n v="0"/>
    <n v="0"/>
    <n v="0"/>
    <n v="0"/>
    <n v="204.78"/>
    <m/>
    <s v="BLUE CROSS BLUE SHIELD"/>
    <m/>
    <m/>
    <s v="BCBSM PPO"/>
    <m/>
    <m/>
    <x v="9"/>
    <s v="PATIENT PAY"/>
    <n v="0"/>
    <n v="0"/>
    <s v="Biocorrect"/>
    <s v="Biocorrect"/>
    <x v="5"/>
    <n v="6"/>
  </r>
  <r>
    <x v="0"/>
    <n v="17"/>
    <s v="Biocorrect "/>
    <d v="2023-09-30T00:00:00"/>
    <x v="101"/>
    <n v="9540066"/>
    <n v="48716404"/>
    <b v="0"/>
    <n v="177"/>
    <s v="L3020"/>
    <n v="216"/>
    <n v="216"/>
    <n v="1"/>
    <n v="0"/>
    <n v="105.6"/>
    <n v="0"/>
    <n v="0"/>
    <n v="0"/>
    <m/>
    <n v="216"/>
    <n v="0"/>
    <n v="1"/>
    <n v="99.18"/>
    <n v="11.22"/>
    <n v="0"/>
    <n v="0"/>
    <n v="0"/>
    <n v="0"/>
    <n v="0"/>
    <n v="0"/>
    <n v="0"/>
    <n v="0"/>
    <n v="0"/>
    <n v="0"/>
    <n v="0"/>
    <n v="0"/>
    <n v="0"/>
    <n v="0"/>
    <n v="0"/>
    <n v="105.6"/>
    <m/>
    <s v="BLUE CROSS BLUE SHIELD"/>
    <m/>
    <m/>
    <s v="BCBSM PPO"/>
    <m/>
    <m/>
    <x v="9"/>
    <s v="PATIENT PAY"/>
    <n v="0"/>
    <n v="0"/>
    <s v="Biocorrect"/>
    <s v="Biocorrect"/>
    <x v="5"/>
    <n v="6"/>
  </r>
  <r>
    <x v="0"/>
    <n v="17"/>
    <s v="Biocorrect "/>
    <d v="2023-09-30T00:00:00"/>
    <x v="102"/>
    <n v="9700531"/>
    <n v="49941502"/>
    <b v="0"/>
    <n v="138"/>
    <s v="L3010"/>
    <n v="216"/>
    <n v="216"/>
    <n v="1"/>
    <n v="0"/>
    <n v="165.43"/>
    <n v="0"/>
    <n v="0"/>
    <n v="0"/>
    <m/>
    <n v="216"/>
    <n v="0"/>
    <n v="0"/>
    <n v="0"/>
    <n v="50.57"/>
    <n v="0"/>
    <n v="0"/>
    <n v="0"/>
    <n v="0"/>
    <n v="0"/>
    <n v="0"/>
    <n v="0"/>
    <n v="0"/>
    <n v="0"/>
    <n v="0"/>
    <n v="0"/>
    <n v="0"/>
    <n v="0"/>
    <n v="0"/>
    <n v="0"/>
    <n v="165.43"/>
    <m/>
    <s v="BLUE CROSS BLUE SHIELD"/>
    <m/>
    <m/>
    <s v="BCBSM PPO"/>
    <m/>
    <m/>
    <x v="9"/>
    <s v="PATIENT PAY"/>
    <n v="0"/>
    <n v="0"/>
    <s v="Biocorrect"/>
    <s v="Biocorrect"/>
    <x v="6"/>
    <n v="5"/>
  </r>
  <r>
    <x v="0"/>
    <n v="17"/>
    <s v="Biocorrect "/>
    <d v="2023-09-30T00:00:00"/>
    <x v="103"/>
    <n v="9985326"/>
    <n v="51726545"/>
    <b v="0"/>
    <n v="82"/>
    <s v="TAX: Custom Orthotics"/>
    <n v="18"/>
    <n v="18"/>
    <n v="1"/>
    <n v="18"/>
    <n v="0"/>
    <n v="0"/>
    <n v="0"/>
    <n v="0"/>
    <m/>
    <n v="0"/>
    <n v="0"/>
    <n v="0"/>
    <n v="0"/>
    <n v="0"/>
    <n v="0"/>
    <n v="0"/>
    <n v="0"/>
    <n v="0"/>
    <n v="0"/>
    <n v="0"/>
    <n v="0"/>
    <n v="0"/>
    <n v="0"/>
    <n v="0"/>
    <n v="0"/>
    <n v="0"/>
    <n v="0"/>
    <n v="0"/>
    <n v="0"/>
    <n v="18"/>
    <m/>
    <m/>
    <m/>
    <m/>
    <m/>
    <m/>
    <m/>
    <x v="9"/>
    <s v="PATIENT PAY"/>
    <n v="0"/>
    <n v="0"/>
    <s v="Biocorrect"/>
    <s v="Biocorrect"/>
    <x v="2"/>
    <n v="3"/>
  </r>
  <r>
    <x v="0"/>
    <n v="17"/>
    <s v="Biocorrect "/>
    <d v="2023-09-30T00:00:00"/>
    <x v="104"/>
    <n v="6299067"/>
    <n v="31555368"/>
    <b v="0"/>
    <n v="975"/>
    <s v="L3020"/>
    <n v="216"/>
    <n v="216"/>
    <n v="1"/>
    <n v="0"/>
    <n v="216"/>
    <n v="0"/>
    <n v="0"/>
    <n v="0"/>
    <m/>
    <n v="216"/>
    <n v="0"/>
    <n v="3"/>
    <n v="159.33000000000001"/>
    <n v="0"/>
    <n v="0"/>
    <n v="0"/>
    <n v="0"/>
    <n v="0"/>
    <n v="0"/>
    <n v="0"/>
    <n v="0"/>
    <n v="0"/>
    <n v="0"/>
    <n v="0"/>
    <n v="0"/>
    <n v="0"/>
    <n v="-159.33000000000001"/>
    <n v="1"/>
    <n v="0"/>
    <n v="216"/>
    <m/>
    <s v="MEDICARE ADVANTAGE"/>
    <m/>
    <m/>
    <s v="BCBS Medicare Plus Blue"/>
    <m/>
    <m/>
    <x v="9"/>
    <s v="PATIENT PAY"/>
    <n v="0"/>
    <n v="0"/>
    <s v="Biocorrect"/>
    <s v="Biocorrect"/>
    <x v="3"/>
    <n v="8"/>
  </r>
  <r>
    <x v="1"/>
    <n v="17"/>
    <s v="Biocorrect "/>
    <d v="2023-09-30T00:00:00"/>
    <x v="105"/>
    <m/>
    <m/>
    <b v="0"/>
    <n v="1"/>
    <s v="Aged Deposit Balance"/>
    <m/>
    <m/>
    <m/>
    <m/>
    <m/>
    <m/>
    <m/>
    <m/>
    <m/>
    <m/>
    <m/>
    <m/>
    <m/>
    <m/>
    <m/>
    <m/>
    <m/>
    <m/>
    <m/>
    <m/>
    <m/>
    <m/>
    <m/>
    <m/>
    <m/>
    <m/>
    <m/>
    <m/>
    <m/>
    <n v="-20.5"/>
    <m/>
    <m/>
    <m/>
    <m/>
    <m/>
    <m/>
    <m/>
    <x v="9"/>
    <s v="PATIENT PAY"/>
    <m/>
    <m/>
    <m/>
    <s v="Biocorrect"/>
    <x v="1"/>
    <n v="1"/>
  </r>
  <r>
    <x v="0"/>
    <n v="17"/>
    <s v="Biocorrect "/>
    <d v="2023-09-30T00:00:00"/>
    <x v="106"/>
    <n v="10175203"/>
    <n v="52612035"/>
    <b v="0"/>
    <n v="53"/>
    <s v="L3010"/>
    <n v="216"/>
    <n v="216"/>
    <n v="1"/>
    <n v="0"/>
    <n v="16.54"/>
    <n v="0"/>
    <n v="0"/>
    <n v="0"/>
    <m/>
    <n v="216"/>
    <n v="0"/>
    <n v="1"/>
    <n v="148.88999999999999"/>
    <n v="50.57"/>
    <n v="0"/>
    <n v="0"/>
    <n v="0"/>
    <n v="0"/>
    <n v="0"/>
    <n v="0"/>
    <n v="0"/>
    <n v="0"/>
    <n v="0"/>
    <n v="0"/>
    <n v="0"/>
    <n v="0"/>
    <n v="0"/>
    <n v="0"/>
    <n v="0"/>
    <n v="16.54"/>
    <m/>
    <s v="BLUE CROSS BLUE SHIELD"/>
    <m/>
    <m/>
    <s v="BCBSM PPO"/>
    <m/>
    <m/>
    <x v="9"/>
    <s v="PATIENT PAY"/>
    <n v="0"/>
    <n v="0"/>
    <s v="Biocorrect"/>
    <s v="Biocorrect"/>
    <x v="4"/>
    <n v="2"/>
  </r>
  <r>
    <x v="1"/>
    <n v="17"/>
    <s v="Biocorrect "/>
    <d v="2023-09-30T00:00:00"/>
    <x v="107"/>
    <m/>
    <m/>
    <b v="0"/>
    <n v="1"/>
    <s v="Aged Deposit Balance"/>
    <m/>
    <m/>
    <m/>
    <m/>
    <m/>
    <m/>
    <m/>
    <m/>
    <m/>
    <m/>
    <m/>
    <m/>
    <m/>
    <m/>
    <m/>
    <m/>
    <m/>
    <m/>
    <m/>
    <m/>
    <m/>
    <m/>
    <m/>
    <m/>
    <m/>
    <m/>
    <m/>
    <m/>
    <m/>
    <n v="-84"/>
    <m/>
    <m/>
    <m/>
    <m/>
    <m/>
    <m/>
    <m/>
    <x v="9"/>
    <s v="PATIENT PAY"/>
    <m/>
    <m/>
    <m/>
    <s v="Biocorrect"/>
    <x v="1"/>
    <n v="1"/>
  </r>
  <r>
    <x v="1"/>
    <n v="17"/>
    <s v="Biocorrect "/>
    <d v="2023-09-30T00:00:00"/>
    <x v="108"/>
    <m/>
    <m/>
    <b v="0"/>
    <n v="1"/>
    <s v="Aged Deposit Balance"/>
    <m/>
    <m/>
    <m/>
    <m/>
    <m/>
    <m/>
    <m/>
    <m/>
    <m/>
    <m/>
    <m/>
    <m/>
    <m/>
    <m/>
    <m/>
    <m/>
    <m/>
    <m/>
    <m/>
    <m/>
    <m/>
    <m/>
    <m/>
    <m/>
    <m/>
    <m/>
    <m/>
    <m/>
    <m/>
    <n v="-5.68"/>
    <m/>
    <m/>
    <m/>
    <m/>
    <m/>
    <m/>
    <m/>
    <x v="9"/>
    <s v="PATIENT PAY"/>
    <m/>
    <m/>
    <m/>
    <s v="Biocorrect"/>
    <x v="1"/>
    <n v="1"/>
  </r>
  <r>
    <x v="1"/>
    <n v="17"/>
    <s v="Biocorrect "/>
    <d v="2023-09-30T00:00:00"/>
    <x v="109"/>
    <m/>
    <m/>
    <b v="0"/>
    <n v="1"/>
    <s v="Aged Deposit Balance"/>
    <m/>
    <m/>
    <m/>
    <m/>
    <m/>
    <m/>
    <m/>
    <m/>
    <m/>
    <m/>
    <m/>
    <m/>
    <m/>
    <m/>
    <m/>
    <m/>
    <m/>
    <m/>
    <m/>
    <m/>
    <m/>
    <m/>
    <m/>
    <m/>
    <m/>
    <m/>
    <m/>
    <m/>
    <m/>
    <n v="-43.5"/>
    <m/>
    <m/>
    <m/>
    <m/>
    <m/>
    <m/>
    <m/>
    <x v="9"/>
    <s v="PATIENT PAY"/>
    <m/>
    <m/>
    <m/>
    <s v="Biocorrect"/>
    <x v="1"/>
    <n v="1"/>
  </r>
  <r>
    <x v="1"/>
    <n v="17"/>
    <s v="Biocorrect "/>
    <d v="2023-09-30T00:00:00"/>
    <x v="110"/>
    <m/>
    <m/>
    <b v="0"/>
    <n v="1"/>
    <s v="Aged Deposit Balance"/>
    <m/>
    <m/>
    <m/>
    <m/>
    <m/>
    <m/>
    <m/>
    <m/>
    <m/>
    <m/>
    <m/>
    <m/>
    <m/>
    <m/>
    <m/>
    <m/>
    <m/>
    <m/>
    <m/>
    <m/>
    <m/>
    <m/>
    <m/>
    <m/>
    <m/>
    <m/>
    <m/>
    <m/>
    <m/>
    <n v="-222.56"/>
    <m/>
    <m/>
    <m/>
    <m/>
    <m/>
    <m/>
    <m/>
    <x v="9"/>
    <s v="PATIENT PAY"/>
    <m/>
    <m/>
    <m/>
    <s v="Biocorrect"/>
    <x v="1"/>
    <n v="1"/>
  </r>
  <r>
    <x v="1"/>
    <n v="17"/>
    <s v="Biocorrect "/>
    <d v="2023-09-30T00:00:00"/>
    <x v="111"/>
    <m/>
    <m/>
    <b v="0"/>
    <n v="1"/>
    <s v="Aged Deposit Balance"/>
    <m/>
    <m/>
    <m/>
    <m/>
    <m/>
    <m/>
    <m/>
    <m/>
    <m/>
    <m/>
    <m/>
    <m/>
    <m/>
    <m/>
    <m/>
    <m/>
    <m/>
    <m/>
    <m/>
    <m/>
    <m/>
    <m/>
    <m/>
    <m/>
    <m/>
    <m/>
    <m/>
    <m/>
    <m/>
    <n v="-5.68"/>
    <m/>
    <m/>
    <m/>
    <m/>
    <m/>
    <m/>
    <m/>
    <x v="9"/>
    <s v="PATIENT PAY"/>
    <m/>
    <m/>
    <m/>
    <s v="Biocorrect"/>
    <x v="1"/>
    <n v="1"/>
  </r>
  <r>
    <x v="1"/>
    <n v="17"/>
    <s v="Biocorrect "/>
    <d v="2023-09-30T00:00:00"/>
    <x v="112"/>
    <m/>
    <m/>
    <b v="0"/>
    <n v="1"/>
    <s v="Aged Deposit Balance"/>
    <m/>
    <m/>
    <m/>
    <m/>
    <m/>
    <m/>
    <m/>
    <m/>
    <m/>
    <m/>
    <m/>
    <m/>
    <m/>
    <m/>
    <m/>
    <m/>
    <m/>
    <m/>
    <m/>
    <m/>
    <m/>
    <m/>
    <m/>
    <m/>
    <m/>
    <m/>
    <m/>
    <m/>
    <m/>
    <n v="-390"/>
    <m/>
    <m/>
    <m/>
    <m/>
    <m/>
    <m/>
    <m/>
    <x v="9"/>
    <s v="PATIENT PAY"/>
    <m/>
    <m/>
    <m/>
    <s v="Biocorrect"/>
    <x v="1"/>
    <n v="1"/>
  </r>
  <r>
    <x v="1"/>
    <n v="17"/>
    <s v="Biocorrect "/>
    <d v="2023-09-30T00:00:00"/>
    <x v="113"/>
    <m/>
    <m/>
    <b v="0"/>
    <n v="1"/>
    <s v="Aged Deposit Balance"/>
    <m/>
    <m/>
    <m/>
    <m/>
    <m/>
    <m/>
    <m/>
    <m/>
    <m/>
    <m/>
    <m/>
    <m/>
    <m/>
    <m/>
    <m/>
    <m/>
    <m/>
    <m/>
    <m/>
    <m/>
    <m/>
    <m/>
    <m/>
    <m/>
    <m/>
    <m/>
    <m/>
    <m/>
    <m/>
    <n v="-14.4"/>
    <m/>
    <m/>
    <m/>
    <m/>
    <m/>
    <m/>
    <m/>
    <x v="9"/>
    <s v="PATIENT PAY"/>
    <m/>
    <m/>
    <m/>
    <s v="Biocorrect"/>
    <x v="1"/>
    <n v="1"/>
  </r>
  <r>
    <x v="1"/>
    <n v="17"/>
    <s v="Biocorrect "/>
    <d v="2023-09-30T00:00:00"/>
    <x v="114"/>
    <m/>
    <m/>
    <b v="0"/>
    <n v="1"/>
    <s v="Aged Deposit Balance"/>
    <m/>
    <m/>
    <m/>
    <m/>
    <m/>
    <m/>
    <m/>
    <m/>
    <m/>
    <m/>
    <m/>
    <m/>
    <m/>
    <m/>
    <m/>
    <m/>
    <m/>
    <m/>
    <m/>
    <m/>
    <m/>
    <m/>
    <m/>
    <m/>
    <m/>
    <m/>
    <m/>
    <m/>
    <m/>
    <n v="-2"/>
    <m/>
    <m/>
    <m/>
    <m/>
    <m/>
    <m/>
    <m/>
    <x v="9"/>
    <s v="PATIENT PAY"/>
    <m/>
    <m/>
    <m/>
    <s v="Biocorrect"/>
    <x v="1"/>
    <n v="1"/>
  </r>
  <r>
    <x v="1"/>
    <n v="17"/>
    <s v="Biocorrect "/>
    <d v="2023-09-30T00:00:00"/>
    <x v="115"/>
    <m/>
    <m/>
    <b v="0"/>
    <n v="1"/>
    <s v="Aged Deposit Balance"/>
    <m/>
    <m/>
    <m/>
    <m/>
    <m/>
    <m/>
    <m/>
    <m/>
    <m/>
    <m/>
    <m/>
    <m/>
    <m/>
    <m/>
    <m/>
    <m/>
    <m/>
    <m/>
    <m/>
    <m/>
    <m/>
    <m/>
    <m/>
    <m/>
    <m/>
    <m/>
    <m/>
    <m/>
    <m/>
    <n v="-313.8"/>
    <m/>
    <m/>
    <m/>
    <m/>
    <m/>
    <m/>
    <m/>
    <x v="9"/>
    <s v="PATIENT PAY"/>
    <m/>
    <m/>
    <m/>
    <s v="Biocorrect"/>
    <x v="1"/>
    <n v="1"/>
  </r>
  <r>
    <x v="1"/>
    <n v="17"/>
    <s v="Biocorrect "/>
    <d v="2023-09-30T00:00:00"/>
    <x v="116"/>
    <m/>
    <m/>
    <b v="0"/>
    <n v="1"/>
    <s v="Aged Deposit Balance"/>
    <m/>
    <m/>
    <m/>
    <m/>
    <m/>
    <m/>
    <m/>
    <m/>
    <m/>
    <m/>
    <m/>
    <m/>
    <m/>
    <m/>
    <m/>
    <m/>
    <m/>
    <m/>
    <m/>
    <m/>
    <m/>
    <m/>
    <m/>
    <m/>
    <m/>
    <m/>
    <m/>
    <m/>
    <m/>
    <n v="-3.6"/>
    <m/>
    <m/>
    <m/>
    <m/>
    <m/>
    <m/>
    <m/>
    <x v="9"/>
    <s v="PATIENT PAY"/>
    <m/>
    <m/>
    <m/>
    <s v="Biocorrect"/>
    <x v="1"/>
    <n v="1"/>
  </r>
  <r>
    <x v="1"/>
    <n v="17"/>
    <s v="Biocorrect "/>
    <d v="2023-09-30T00:00:00"/>
    <x v="117"/>
    <m/>
    <m/>
    <b v="0"/>
    <n v="1"/>
    <s v="Aged Deposit Balance"/>
    <m/>
    <m/>
    <m/>
    <m/>
    <m/>
    <m/>
    <m/>
    <m/>
    <m/>
    <m/>
    <m/>
    <m/>
    <m/>
    <m/>
    <m/>
    <m/>
    <m/>
    <m/>
    <m/>
    <m/>
    <m/>
    <m/>
    <m/>
    <m/>
    <m/>
    <m/>
    <m/>
    <m/>
    <m/>
    <n v="-36"/>
    <m/>
    <m/>
    <m/>
    <m/>
    <m/>
    <m/>
    <m/>
    <x v="9"/>
    <s v="PATIENT PAY"/>
    <m/>
    <m/>
    <m/>
    <s v="Biocorrect"/>
    <x v="1"/>
    <n v="1"/>
  </r>
  <r>
    <x v="1"/>
    <n v="17"/>
    <s v="Biocorrect "/>
    <d v="2023-09-30T00:00:00"/>
    <x v="118"/>
    <m/>
    <m/>
    <b v="0"/>
    <n v="1"/>
    <s v="Aged Deposit Balance"/>
    <m/>
    <m/>
    <m/>
    <m/>
    <m/>
    <m/>
    <m/>
    <m/>
    <m/>
    <m/>
    <m/>
    <m/>
    <m/>
    <m/>
    <m/>
    <m/>
    <m/>
    <m/>
    <m/>
    <m/>
    <m/>
    <m/>
    <m/>
    <m/>
    <m/>
    <m/>
    <m/>
    <m/>
    <m/>
    <n v="-142"/>
    <m/>
    <m/>
    <m/>
    <m/>
    <m/>
    <m/>
    <m/>
    <x v="9"/>
    <s v="PATIENT PAY"/>
    <m/>
    <m/>
    <m/>
    <s v="Biocorrect"/>
    <x v="1"/>
    <n v="1"/>
  </r>
  <r>
    <x v="0"/>
    <n v="17"/>
    <s v="Biocorrect "/>
    <d v="2023-09-30T00:00:00"/>
    <x v="104"/>
    <n v="6299067"/>
    <n v="31555363"/>
    <b v="0"/>
    <n v="975"/>
    <s v="L3020"/>
    <n v="216"/>
    <n v="216"/>
    <n v="1"/>
    <n v="0"/>
    <n v="216"/>
    <n v="-352.34"/>
    <n v="432"/>
    <n v="0"/>
    <m/>
    <n v="216"/>
    <n v="0"/>
    <n v="3"/>
    <n v="159.33000000000001"/>
    <n v="0"/>
    <n v="0"/>
    <n v="0"/>
    <n v="0"/>
    <n v="0"/>
    <n v="0"/>
    <n v="0"/>
    <n v="0"/>
    <n v="0"/>
    <n v="0"/>
    <n v="0"/>
    <n v="0"/>
    <n v="0"/>
    <n v="-159.33000000000001"/>
    <n v="1"/>
    <n v="0"/>
    <n v="136.34"/>
    <m/>
    <s v="MEDICARE ADVANTAGE"/>
    <m/>
    <m/>
    <s v="BCBS Medicare Plus Blue"/>
    <m/>
    <m/>
    <x v="9"/>
    <s v="PATIENT PAY"/>
    <n v="0"/>
    <n v="0"/>
    <s v="Biocorrect"/>
    <s v="Biocorrect"/>
    <x v="3"/>
    <n v="8"/>
  </r>
  <r>
    <x v="1"/>
    <n v="17"/>
    <s v="Biocorrect "/>
    <d v="2023-09-30T00:00:00"/>
    <x v="119"/>
    <m/>
    <m/>
    <b v="0"/>
    <n v="1"/>
    <s v="Aged Deposit Balance"/>
    <m/>
    <m/>
    <m/>
    <m/>
    <m/>
    <m/>
    <m/>
    <m/>
    <m/>
    <m/>
    <m/>
    <m/>
    <m/>
    <m/>
    <m/>
    <m/>
    <m/>
    <m/>
    <m/>
    <m/>
    <m/>
    <m/>
    <m/>
    <m/>
    <m/>
    <m/>
    <m/>
    <m/>
    <m/>
    <n v="-0.06"/>
    <m/>
    <m/>
    <m/>
    <m/>
    <m/>
    <m/>
    <m/>
    <x v="9"/>
    <s v="PATIENT PAY"/>
    <m/>
    <m/>
    <m/>
    <s v="Biocorrect"/>
    <x v="1"/>
    <n v="1"/>
  </r>
  <r>
    <x v="1"/>
    <n v="17"/>
    <s v="Biocorrect "/>
    <d v="2023-09-30T00:00:00"/>
    <x v="120"/>
    <m/>
    <m/>
    <b v="0"/>
    <n v="1"/>
    <s v="Aged Deposit Balance"/>
    <m/>
    <m/>
    <m/>
    <m/>
    <m/>
    <m/>
    <m/>
    <m/>
    <m/>
    <m/>
    <m/>
    <m/>
    <m/>
    <m/>
    <m/>
    <m/>
    <m/>
    <m/>
    <m/>
    <m/>
    <m/>
    <m/>
    <m/>
    <m/>
    <m/>
    <m/>
    <m/>
    <m/>
    <m/>
    <n v="-1.84"/>
    <m/>
    <m/>
    <m/>
    <m/>
    <m/>
    <m/>
    <m/>
    <x v="9"/>
    <s v="PATIENT PAY"/>
    <m/>
    <m/>
    <m/>
    <s v="Biocorrect"/>
    <x v="1"/>
    <n v="1"/>
  </r>
  <r>
    <x v="1"/>
    <n v="17"/>
    <s v="Biocorrect "/>
    <d v="2023-09-30T00:00:00"/>
    <x v="121"/>
    <m/>
    <m/>
    <b v="0"/>
    <n v="1"/>
    <s v="Aged Deposit Balance"/>
    <m/>
    <m/>
    <m/>
    <m/>
    <m/>
    <m/>
    <m/>
    <m/>
    <m/>
    <m/>
    <m/>
    <m/>
    <m/>
    <m/>
    <m/>
    <m/>
    <m/>
    <m/>
    <m/>
    <m/>
    <m/>
    <m/>
    <m/>
    <m/>
    <m/>
    <m/>
    <m/>
    <m/>
    <m/>
    <n v="-10"/>
    <m/>
    <m/>
    <m/>
    <m/>
    <m/>
    <m/>
    <m/>
    <x v="9"/>
    <s v="PATIENT PAY"/>
    <m/>
    <m/>
    <m/>
    <s v="Biocorrect"/>
    <x v="1"/>
    <n v="1"/>
  </r>
  <r>
    <x v="1"/>
    <n v="17"/>
    <s v="Biocorrect "/>
    <d v="2023-09-30T00:00:00"/>
    <x v="122"/>
    <m/>
    <m/>
    <b v="0"/>
    <n v="1"/>
    <s v="Aged Deposit Balance"/>
    <m/>
    <m/>
    <m/>
    <m/>
    <m/>
    <m/>
    <m/>
    <m/>
    <m/>
    <m/>
    <m/>
    <m/>
    <m/>
    <m/>
    <m/>
    <m/>
    <m/>
    <m/>
    <m/>
    <m/>
    <m/>
    <m/>
    <m/>
    <m/>
    <m/>
    <m/>
    <m/>
    <m/>
    <m/>
    <n v="-5.68"/>
    <m/>
    <m/>
    <m/>
    <m/>
    <m/>
    <m/>
    <m/>
    <x v="9"/>
    <s v="PATIENT PAY"/>
    <m/>
    <m/>
    <m/>
    <s v="Biocorrect"/>
    <x v="1"/>
    <n v="1"/>
  </r>
  <r>
    <x v="1"/>
    <n v="17"/>
    <s v="Biocorrect "/>
    <d v="2023-09-30T00:00:00"/>
    <x v="123"/>
    <m/>
    <m/>
    <b v="0"/>
    <n v="1"/>
    <s v="Aged Deposit Balance"/>
    <m/>
    <m/>
    <m/>
    <m/>
    <m/>
    <m/>
    <m/>
    <m/>
    <m/>
    <m/>
    <m/>
    <m/>
    <m/>
    <m/>
    <m/>
    <m/>
    <m/>
    <m/>
    <m/>
    <m/>
    <m/>
    <m/>
    <m/>
    <m/>
    <m/>
    <m/>
    <m/>
    <m/>
    <m/>
    <n v="-66"/>
    <m/>
    <m/>
    <m/>
    <m/>
    <m/>
    <m/>
    <m/>
    <x v="9"/>
    <s v="PATIENT PAY"/>
    <m/>
    <m/>
    <m/>
    <s v="Biocorrect"/>
    <x v="1"/>
    <n v="1"/>
  </r>
  <r>
    <x v="0"/>
    <n v="17"/>
    <s v="Biocorrect "/>
    <d v="2023-09-30T00:00:00"/>
    <x v="124"/>
    <n v="10324633"/>
    <n v="53666186"/>
    <b v="0"/>
    <n v="19"/>
    <s v="L3010"/>
    <n v="216"/>
    <n v="216"/>
    <n v="1"/>
    <n v="0"/>
    <n v="16.54"/>
    <n v="0"/>
    <n v="0"/>
    <n v="0"/>
    <m/>
    <n v="216"/>
    <n v="0"/>
    <n v="1"/>
    <n v="148.88999999999999"/>
    <n v="50.57"/>
    <n v="0"/>
    <n v="0"/>
    <n v="0"/>
    <n v="0"/>
    <n v="0"/>
    <n v="0"/>
    <n v="0"/>
    <n v="0"/>
    <n v="0"/>
    <n v="0"/>
    <n v="0"/>
    <n v="0"/>
    <n v="0"/>
    <n v="0"/>
    <n v="0"/>
    <n v="16.54"/>
    <m/>
    <s v="BLUE CROSS BLUE SHIELD"/>
    <m/>
    <m/>
    <s v="BCBSM PPO"/>
    <m/>
    <m/>
    <x v="9"/>
    <s v="PATIENT PAY"/>
    <n v="0"/>
    <n v="0"/>
    <s v="Biocorrect"/>
    <s v="Biocorrect"/>
    <x v="1"/>
    <n v="1"/>
  </r>
  <r>
    <x v="0"/>
    <n v="17"/>
    <s v="Biocorrect "/>
    <d v="2023-09-30T00:00:00"/>
    <x v="125"/>
    <n v="9907440"/>
    <n v="51053362"/>
    <b v="0"/>
    <n v="103"/>
    <s v="L3010"/>
    <n v="216"/>
    <n v="216"/>
    <n v="1"/>
    <n v="216"/>
    <n v="0"/>
    <n v="0"/>
    <n v="1"/>
    <n v="0"/>
    <m/>
    <n v="0"/>
    <n v="0"/>
    <n v="0"/>
    <n v="0"/>
    <n v="0"/>
    <n v="0"/>
    <n v="0"/>
    <n v="0"/>
    <n v="0"/>
    <n v="0"/>
    <n v="0"/>
    <n v="0"/>
    <n v="0"/>
    <n v="0"/>
    <n v="0"/>
    <n v="0"/>
    <n v="0"/>
    <n v="0"/>
    <n v="0"/>
    <n v="0"/>
    <n v="215"/>
    <m/>
    <m/>
    <m/>
    <m/>
    <m/>
    <m/>
    <m/>
    <x v="9"/>
    <s v="PATIENT PAY"/>
    <n v="0"/>
    <n v="0"/>
    <s v="Biocorrect"/>
    <s v="Biocorrect"/>
    <x v="7"/>
    <n v="4"/>
  </r>
  <r>
    <x v="0"/>
    <n v="17"/>
    <s v="Biocorrect "/>
    <d v="2023-09-30T00:00:00"/>
    <x v="126"/>
    <n v="10316468"/>
    <n v="53626758"/>
    <b v="0"/>
    <n v="22"/>
    <s v="L3020"/>
    <n v="216"/>
    <n v="216"/>
    <n v="1"/>
    <n v="216"/>
    <n v="0"/>
    <n v="0"/>
    <n v="175"/>
    <n v="0"/>
    <m/>
    <n v="0"/>
    <n v="0"/>
    <n v="0"/>
    <n v="0"/>
    <n v="0"/>
    <n v="0"/>
    <n v="0"/>
    <n v="0"/>
    <n v="0"/>
    <n v="0"/>
    <n v="0"/>
    <n v="0"/>
    <n v="0"/>
    <n v="0"/>
    <n v="0"/>
    <n v="0"/>
    <n v="0"/>
    <n v="0"/>
    <n v="0"/>
    <n v="0"/>
    <n v="41"/>
    <m/>
    <m/>
    <m/>
    <m/>
    <m/>
    <m/>
    <m/>
    <x v="9"/>
    <s v="PATIENT PAY"/>
    <n v="0"/>
    <n v="0"/>
    <s v="Biocorrect"/>
    <s v="Biocorrect"/>
    <x v="1"/>
    <n v="1"/>
  </r>
  <r>
    <x v="0"/>
    <n v="17"/>
    <s v="Biocorrect "/>
    <d v="2023-09-30T00:00:00"/>
    <x v="127"/>
    <n v="10343235"/>
    <n v="53707464"/>
    <b v="0"/>
    <n v="18"/>
    <s v="L3020"/>
    <n v="216"/>
    <n v="216"/>
    <n v="1"/>
    <n v="216"/>
    <n v="0"/>
    <n v="0"/>
    <n v="9"/>
    <n v="0"/>
    <m/>
    <n v="0"/>
    <n v="0"/>
    <n v="0"/>
    <n v="0"/>
    <n v="0"/>
    <n v="0"/>
    <n v="0"/>
    <n v="0"/>
    <n v="0"/>
    <n v="0"/>
    <n v="0"/>
    <n v="0"/>
    <n v="0"/>
    <n v="0"/>
    <n v="0"/>
    <n v="0"/>
    <n v="0"/>
    <n v="0"/>
    <n v="0"/>
    <n v="0"/>
    <n v="207"/>
    <m/>
    <m/>
    <m/>
    <m/>
    <m/>
    <m/>
    <m/>
    <x v="9"/>
    <s v="PATIENT PAY"/>
    <n v="0"/>
    <n v="0"/>
    <s v="Biocorrect"/>
    <s v="Biocorrect"/>
    <x v="1"/>
    <n v="1"/>
  </r>
  <r>
    <x v="0"/>
    <n v="17"/>
    <s v="Biocorrect "/>
    <d v="2023-09-30T00:00:00"/>
    <x v="128"/>
    <n v="10380877"/>
    <n v="53996749"/>
    <b v="0"/>
    <n v="9"/>
    <s v="TAX: Custom Orthotics"/>
    <n v="18"/>
    <n v="18"/>
    <n v="1"/>
    <n v="18"/>
    <n v="0"/>
    <n v="0"/>
    <n v="0"/>
    <n v="0"/>
    <m/>
    <n v="0"/>
    <n v="0"/>
    <n v="0"/>
    <n v="0"/>
    <n v="0"/>
    <n v="0"/>
    <n v="0"/>
    <n v="0"/>
    <n v="0"/>
    <n v="0"/>
    <n v="0"/>
    <n v="0"/>
    <n v="0"/>
    <n v="0"/>
    <n v="0"/>
    <n v="0"/>
    <n v="0"/>
    <n v="0"/>
    <n v="0"/>
    <n v="0"/>
    <n v="18"/>
    <m/>
    <m/>
    <m/>
    <m/>
    <m/>
    <m/>
    <m/>
    <x v="9"/>
    <s v="PATIENT PAY"/>
    <n v="0"/>
    <n v="0"/>
    <s v="Biocorrect"/>
    <s v="Biocorrect"/>
    <x v="1"/>
    <n v="1"/>
  </r>
  <r>
    <x v="0"/>
    <n v="17"/>
    <s v="Biocorrect "/>
    <d v="2023-09-30T00:00:00"/>
    <x v="128"/>
    <n v="10380877"/>
    <n v="53996745"/>
    <b v="0"/>
    <n v="9"/>
    <s v="L3020"/>
    <n v="216"/>
    <n v="216"/>
    <n v="1"/>
    <n v="216"/>
    <n v="0"/>
    <n v="0"/>
    <n v="0"/>
    <n v="0"/>
    <m/>
    <n v="0"/>
    <n v="0"/>
    <n v="0"/>
    <n v="0"/>
    <n v="0"/>
    <n v="0"/>
    <n v="0"/>
    <n v="0"/>
    <n v="0"/>
    <n v="0"/>
    <n v="0"/>
    <n v="0"/>
    <n v="0"/>
    <n v="0"/>
    <n v="0"/>
    <n v="0"/>
    <n v="0"/>
    <n v="0"/>
    <n v="0"/>
    <n v="0"/>
    <n v="216"/>
    <m/>
    <m/>
    <m/>
    <m/>
    <m/>
    <m/>
    <m/>
    <x v="9"/>
    <s v="PATIENT PAY"/>
    <n v="0"/>
    <n v="0"/>
    <s v="Biocorrect"/>
    <s v="Biocorrect"/>
    <x v="1"/>
    <n v="1"/>
  </r>
  <r>
    <x v="0"/>
    <n v="17"/>
    <s v="Biocorrect "/>
    <d v="2023-09-30T00:00:00"/>
    <x v="129"/>
    <n v="10414410"/>
    <n v="54106378"/>
    <b v="0"/>
    <n v="5"/>
    <s v="L3010"/>
    <n v="216"/>
    <n v="216"/>
    <n v="1"/>
    <n v="216"/>
    <n v="0"/>
    <n v="0"/>
    <n v="0"/>
    <n v="0"/>
    <m/>
    <n v="0"/>
    <n v="0"/>
    <n v="0"/>
    <n v="0"/>
    <n v="0"/>
    <n v="0"/>
    <n v="0"/>
    <n v="0"/>
    <n v="0"/>
    <n v="0"/>
    <n v="0"/>
    <n v="0"/>
    <n v="0"/>
    <n v="0"/>
    <n v="0"/>
    <n v="0"/>
    <n v="0"/>
    <n v="0"/>
    <n v="0"/>
    <n v="0"/>
    <n v="216"/>
    <m/>
    <m/>
    <m/>
    <m/>
    <m/>
    <m/>
    <m/>
    <x v="9"/>
    <s v="PATIENT PAY"/>
    <n v="0"/>
    <n v="0"/>
    <s v="Biocorrect"/>
    <s v="Biocorrect"/>
    <x v="1"/>
    <n v="1"/>
  </r>
  <r>
    <x v="0"/>
    <n v="17"/>
    <s v="Biocorrect "/>
    <d v="2023-09-30T00:00:00"/>
    <x v="129"/>
    <n v="10414410"/>
    <n v="54106385"/>
    <b v="0"/>
    <n v="5"/>
    <s v="L3010"/>
    <n v="216"/>
    <n v="216"/>
    <n v="1"/>
    <n v="216"/>
    <n v="0"/>
    <n v="0"/>
    <n v="0"/>
    <n v="0"/>
    <m/>
    <n v="0"/>
    <n v="0"/>
    <n v="0"/>
    <n v="0"/>
    <n v="0"/>
    <n v="0"/>
    <n v="0"/>
    <n v="0"/>
    <n v="0"/>
    <n v="0"/>
    <n v="0"/>
    <n v="0"/>
    <n v="0"/>
    <n v="0"/>
    <n v="0"/>
    <n v="0"/>
    <n v="0"/>
    <n v="0"/>
    <n v="0"/>
    <n v="0"/>
    <n v="216"/>
    <m/>
    <m/>
    <m/>
    <m/>
    <m/>
    <m/>
    <m/>
    <x v="9"/>
    <s v="PATIENT PAY"/>
    <n v="0"/>
    <n v="0"/>
    <s v="Biocorrect"/>
    <s v="Biocorrect"/>
    <x v="1"/>
    <n v="1"/>
  </r>
  <r>
    <x v="0"/>
    <n v="17"/>
    <s v="Biocorrect "/>
    <d v="2023-09-30T00:00:00"/>
    <x v="130"/>
    <n v="10202379"/>
    <n v="53927978"/>
    <b v="0"/>
    <n v="50"/>
    <s v="L3010"/>
    <n v="216"/>
    <n v="216"/>
    <n v="1"/>
    <n v="216"/>
    <n v="0"/>
    <n v="0"/>
    <n v="0"/>
    <n v="0"/>
    <m/>
    <n v="0"/>
    <n v="0"/>
    <n v="0"/>
    <n v="0"/>
    <n v="0"/>
    <n v="0"/>
    <n v="0"/>
    <n v="0"/>
    <n v="0"/>
    <n v="0"/>
    <n v="0"/>
    <n v="0"/>
    <n v="0"/>
    <n v="0"/>
    <n v="0"/>
    <n v="0"/>
    <n v="0"/>
    <n v="0"/>
    <n v="0"/>
    <n v="0"/>
    <n v="216"/>
    <m/>
    <m/>
    <m/>
    <m/>
    <m/>
    <m/>
    <m/>
    <x v="9"/>
    <s v="PATIENT PAY"/>
    <n v="0"/>
    <n v="0"/>
    <s v="Biocorrect"/>
    <s v="Biocorrect"/>
    <x v="4"/>
    <n v="2"/>
  </r>
  <r>
    <x v="0"/>
    <n v="17"/>
    <s v="Biocorrect "/>
    <d v="2023-09-30T00:00:00"/>
    <x v="75"/>
    <n v="9446019"/>
    <n v="48060932"/>
    <b v="0"/>
    <n v="198"/>
    <s v="OFFICE VISIT"/>
    <n v="66"/>
    <n v="66"/>
    <n v="1"/>
    <n v="66"/>
    <n v="0"/>
    <n v="0"/>
    <n v="0"/>
    <n v="0"/>
    <m/>
    <n v="0"/>
    <n v="0"/>
    <n v="0"/>
    <n v="0"/>
    <n v="0"/>
    <n v="0"/>
    <n v="0"/>
    <n v="0"/>
    <n v="0"/>
    <n v="0"/>
    <n v="0"/>
    <n v="0"/>
    <n v="0"/>
    <n v="0"/>
    <n v="0"/>
    <n v="0"/>
    <n v="0"/>
    <n v="0"/>
    <n v="0"/>
    <n v="0"/>
    <n v="66"/>
    <m/>
    <m/>
    <m/>
    <m/>
    <m/>
    <m/>
    <m/>
    <x v="9"/>
    <s v="PATIENT PAY"/>
    <n v="0"/>
    <n v="0"/>
    <s v="Biocorrect"/>
    <s v="Biocorrect"/>
    <x v="0"/>
    <n v="7"/>
  </r>
  <r>
    <x v="0"/>
    <n v="17"/>
    <s v="Biocorrect "/>
    <d v="2023-09-30T00:00:00"/>
    <x v="131"/>
    <n v="10092566"/>
    <n v="52322462"/>
    <b v="0"/>
    <n v="64"/>
    <s v="L3010"/>
    <n v="216"/>
    <n v="216"/>
    <n v="1"/>
    <n v="216"/>
    <n v="0"/>
    <n v="0"/>
    <n v="450"/>
    <n v="0"/>
    <m/>
    <n v="0"/>
    <n v="0"/>
    <n v="0"/>
    <n v="0"/>
    <n v="0"/>
    <n v="0"/>
    <n v="0"/>
    <n v="0"/>
    <n v="0"/>
    <n v="0"/>
    <n v="0"/>
    <n v="0"/>
    <n v="0"/>
    <n v="0"/>
    <n v="0"/>
    <n v="0"/>
    <n v="0"/>
    <n v="0"/>
    <n v="0"/>
    <n v="0"/>
    <n v="-234"/>
    <m/>
    <m/>
    <m/>
    <m/>
    <m/>
    <m/>
    <m/>
    <x v="9"/>
    <s v="PATIENT PAY"/>
    <n v="0"/>
    <n v="0"/>
    <s v="Biocorrect"/>
    <s v="Biocorrect"/>
    <x v="2"/>
    <n v="3"/>
  </r>
  <r>
    <x v="0"/>
    <n v="17"/>
    <s v="Biocorrect "/>
    <d v="2023-09-30T00:00:00"/>
    <x v="132"/>
    <n v="10438192"/>
    <n v="54286088"/>
    <b v="0"/>
    <n v="1"/>
    <s v="L3010"/>
    <n v="216"/>
    <n v="216"/>
    <n v="1"/>
    <n v="216"/>
    <n v="0"/>
    <n v="0"/>
    <n v="0"/>
    <n v="0"/>
    <m/>
    <n v="0"/>
    <n v="0"/>
    <n v="0"/>
    <n v="0"/>
    <n v="0"/>
    <n v="0"/>
    <n v="0"/>
    <n v="0"/>
    <n v="0"/>
    <n v="0"/>
    <n v="0"/>
    <n v="0"/>
    <n v="0"/>
    <n v="0"/>
    <n v="0"/>
    <n v="0"/>
    <n v="0"/>
    <n v="0"/>
    <n v="0"/>
    <n v="0"/>
    <n v="216"/>
    <m/>
    <m/>
    <m/>
    <m/>
    <m/>
    <m/>
    <m/>
    <x v="9"/>
    <s v="PATIENT PAY"/>
    <n v="0"/>
    <n v="0"/>
    <s v="Biocorrect"/>
    <s v="Biocorrect"/>
    <x v="1"/>
    <n v="1"/>
  </r>
  <r>
    <x v="0"/>
    <n v="17"/>
    <s v="Biocorrect "/>
    <d v="2023-09-30T00:00:00"/>
    <x v="133"/>
    <n v="5624683"/>
    <n v="28006724"/>
    <b v="0"/>
    <n v="1219"/>
    <s v="L3020"/>
    <n v="216"/>
    <n v="216"/>
    <n v="1"/>
    <n v="216"/>
    <n v="0"/>
    <n v="0"/>
    <n v="16"/>
    <n v="0"/>
    <m/>
    <n v="0"/>
    <n v="0"/>
    <n v="0"/>
    <n v="0"/>
    <n v="0"/>
    <n v="0"/>
    <n v="0"/>
    <n v="0"/>
    <n v="0"/>
    <n v="0"/>
    <n v="0"/>
    <n v="0"/>
    <n v="0"/>
    <n v="0"/>
    <n v="0"/>
    <n v="0"/>
    <n v="0"/>
    <n v="0"/>
    <n v="0"/>
    <n v="0"/>
    <n v="200"/>
    <m/>
    <m/>
    <m/>
    <m/>
    <m/>
    <m/>
    <m/>
    <x v="9"/>
    <s v="PATIENT PAY"/>
    <n v="0"/>
    <n v="0"/>
    <s v="Biocorrect"/>
    <s v="Biocorrect"/>
    <x v="3"/>
    <n v="8"/>
  </r>
  <r>
    <x v="0"/>
    <n v="17"/>
    <s v="Biocorrect "/>
    <d v="2023-09-30T00:00:00"/>
    <x v="134"/>
    <n v="5628463"/>
    <n v="27988362"/>
    <b v="0"/>
    <n v="1220"/>
    <s v="L3010"/>
    <n v="150"/>
    <n v="150"/>
    <n v="1"/>
    <n v="150"/>
    <n v="0"/>
    <n v="0"/>
    <n v="150.4"/>
    <n v="0"/>
    <m/>
    <n v="0"/>
    <n v="0"/>
    <n v="0"/>
    <n v="0"/>
    <n v="0"/>
    <n v="0"/>
    <n v="0"/>
    <n v="0"/>
    <n v="0"/>
    <n v="0"/>
    <n v="0"/>
    <n v="0"/>
    <n v="0"/>
    <n v="0"/>
    <n v="0"/>
    <n v="0"/>
    <n v="0"/>
    <n v="0"/>
    <n v="0"/>
    <n v="0"/>
    <n v="-0.4"/>
    <m/>
    <m/>
    <m/>
    <m/>
    <m/>
    <m/>
    <m/>
    <x v="9"/>
    <s v="PATIENT PAY"/>
    <n v="0"/>
    <n v="0"/>
    <s v="Biocorrect"/>
    <s v="Biocorrect"/>
    <x v="3"/>
    <n v="8"/>
  </r>
  <r>
    <x v="0"/>
    <n v="17"/>
    <s v="Biocorrect "/>
    <d v="2023-09-30T00:00:00"/>
    <x v="133"/>
    <n v="5624683"/>
    <n v="28006719"/>
    <b v="0"/>
    <n v="1219"/>
    <s v="L3020"/>
    <n v="216"/>
    <n v="216"/>
    <n v="1"/>
    <n v="216"/>
    <n v="0"/>
    <n v="0"/>
    <n v="416"/>
    <n v="0"/>
    <m/>
    <n v="0"/>
    <n v="0"/>
    <n v="0"/>
    <n v="0"/>
    <n v="0"/>
    <n v="0"/>
    <n v="0"/>
    <n v="0"/>
    <n v="0"/>
    <n v="0"/>
    <n v="0"/>
    <n v="0"/>
    <n v="0"/>
    <n v="0"/>
    <n v="0"/>
    <n v="0"/>
    <n v="0"/>
    <n v="0"/>
    <n v="0"/>
    <n v="0"/>
    <n v="-200"/>
    <m/>
    <m/>
    <m/>
    <m/>
    <m/>
    <m/>
    <m/>
    <x v="9"/>
    <s v="PATIENT PAY"/>
    <n v="0"/>
    <n v="0"/>
    <s v="Biocorrect"/>
    <s v="Biocorrect"/>
    <x v="3"/>
    <n v="8"/>
  </r>
  <r>
    <x v="0"/>
    <n v="17"/>
    <s v="Biocorrect "/>
    <d v="2023-09-30T00:00:00"/>
    <x v="79"/>
    <n v="10213979"/>
    <n v="53293967"/>
    <b v="0"/>
    <n v="36"/>
    <s v="TAX: Custom Orthotics"/>
    <n v="18"/>
    <n v="18"/>
    <n v="1"/>
    <n v="18"/>
    <n v="0"/>
    <n v="0"/>
    <n v="0"/>
    <n v="0"/>
    <m/>
    <n v="0"/>
    <n v="0"/>
    <n v="0"/>
    <n v="0"/>
    <n v="0"/>
    <n v="0"/>
    <n v="0"/>
    <n v="0"/>
    <n v="0"/>
    <n v="0"/>
    <n v="0"/>
    <n v="0"/>
    <n v="0"/>
    <n v="0"/>
    <n v="0"/>
    <n v="0"/>
    <n v="0"/>
    <n v="0"/>
    <n v="0"/>
    <n v="0"/>
    <n v="18"/>
    <m/>
    <m/>
    <m/>
    <m/>
    <m/>
    <m/>
    <m/>
    <x v="9"/>
    <s v="PATIENT PAY"/>
    <n v="0"/>
    <n v="0"/>
    <s v="Biocorrect"/>
    <s v="Biocorrect"/>
    <x v="4"/>
    <n v="2"/>
  </r>
  <r>
    <x v="0"/>
    <n v="17"/>
    <s v="Biocorrect "/>
    <d v="2023-09-30T00:00:00"/>
    <x v="79"/>
    <n v="10213979"/>
    <n v="53293962"/>
    <b v="0"/>
    <n v="36"/>
    <s v="L3020"/>
    <n v="216"/>
    <n v="216"/>
    <n v="1"/>
    <n v="216"/>
    <n v="0"/>
    <n v="0"/>
    <n v="768"/>
    <n v="0"/>
    <m/>
    <n v="0"/>
    <n v="0"/>
    <n v="0"/>
    <n v="0"/>
    <n v="0"/>
    <n v="0"/>
    <n v="0"/>
    <n v="0"/>
    <n v="0"/>
    <n v="0"/>
    <n v="0"/>
    <n v="0"/>
    <n v="0"/>
    <n v="0"/>
    <n v="0"/>
    <n v="0"/>
    <n v="0"/>
    <n v="0"/>
    <n v="0"/>
    <n v="0"/>
    <n v="-552"/>
    <m/>
    <m/>
    <m/>
    <m/>
    <m/>
    <m/>
    <m/>
    <x v="9"/>
    <s v="PATIENT PAY"/>
    <n v="0"/>
    <n v="0"/>
    <s v="Biocorrect"/>
    <s v="Biocorrect"/>
    <x v="4"/>
    <n v="2"/>
  </r>
  <r>
    <x v="0"/>
    <n v="17"/>
    <s v="Biocorrect "/>
    <d v="2023-09-30T00:00:00"/>
    <x v="135"/>
    <n v="4836795"/>
    <n v="22933096"/>
    <b v="0"/>
    <n v="1510"/>
    <s v="L3020"/>
    <n v="216"/>
    <n v="216"/>
    <n v="1"/>
    <n v="0"/>
    <n v="216"/>
    <n v="0"/>
    <n v="0"/>
    <n v="0"/>
    <m/>
    <n v="216"/>
    <n v="0"/>
    <n v="0"/>
    <n v="0"/>
    <n v="0"/>
    <n v="0"/>
    <n v="0"/>
    <n v="0"/>
    <n v="0"/>
    <n v="0"/>
    <n v="0"/>
    <n v="0"/>
    <n v="0"/>
    <n v="0"/>
    <n v="0"/>
    <n v="0"/>
    <n v="0"/>
    <n v="0"/>
    <n v="0"/>
    <n v="0"/>
    <n v="216"/>
    <m/>
    <s v="COMMERCIAL"/>
    <m/>
    <m/>
    <s v="Aetna"/>
    <m/>
    <m/>
    <x v="9"/>
    <s v="PATIENT PAY"/>
    <n v="0"/>
    <n v="0"/>
    <s v="Biocorrect"/>
    <s v="Biocorrect"/>
    <x v="3"/>
    <n v="8"/>
  </r>
  <r>
    <x v="0"/>
    <n v="17"/>
    <s v="Biocorrect "/>
    <d v="2023-09-30T00:00:00"/>
    <x v="135"/>
    <n v="4836795"/>
    <n v="22933095"/>
    <b v="0"/>
    <n v="1510"/>
    <s v="L3020"/>
    <n v="216"/>
    <n v="216"/>
    <n v="1"/>
    <n v="0"/>
    <n v="216"/>
    <n v="0"/>
    <n v="432"/>
    <n v="0"/>
    <m/>
    <n v="216"/>
    <n v="0"/>
    <n v="0"/>
    <n v="0"/>
    <n v="0"/>
    <n v="0"/>
    <n v="0"/>
    <n v="0"/>
    <n v="0"/>
    <n v="0"/>
    <n v="0"/>
    <n v="0"/>
    <n v="0"/>
    <n v="0"/>
    <n v="0"/>
    <n v="0"/>
    <n v="0"/>
    <n v="0"/>
    <n v="0"/>
    <n v="0"/>
    <n v="-216"/>
    <m/>
    <s v="COMMERCIAL"/>
    <m/>
    <m/>
    <s v="Aetna"/>
    <m/>
    <m/>
    <x v="9"/>
    <s v="PATIENT PAY"/>
    <n v="0"/>
    <n v="0"/>
    <s v="Biocorrect"/>
    <s v="Biocorrect"/>
    <x v="3"/>
    <n v="8"/>
  </r>
  <r>
    <x v="0"/>
    <n v="17"/>
    <s v="Biocorrect "/>
    <d v="2023-09-30T00:00:00"/>
    <x v="93"/>
    <n v="10289038"/>
    <n v="53259721"/>
    <b v="0"/>
    <n v="33"/>
    <s v="L3020"/>
    <n v="150"/>
    <n v="150"/>
    <n v="1"/>
    <n v="150"/>
    <n v="0"/>
    <n v="0"/>
    <n v="0"/>
    <n v="0"/>
    <m/>
    <n v="0"/>
    <n v="0"/>
    <n v="0"/>
    <n v="0"/>
    <n v="0"/>
    <n v="0"/>
    <n v="0"/>
    <n v="0"/>
    <n v="0"/>
    <n v="0"/>
    <n v="0"/>
    <n v="0"/>
    <n v="0"/>
    <n v="0"/>
    <n v="0"/>
    <n v="0"/>
    <n v="0"/>
    <n v="0"/>
    <n v="0"/>
    <n v="0"/>
    <n v="150"/>
    <m/>
    <m/>
    <m/>
    <m/>
    <m/>
    <m/>
    <m/>
    <x v="9"/>
    <s v="PATIENT PAY"/>
    <n v="0"/>
    <n v="0"/>
    <s v="Biocorrect"/>
    <s v="Biocorrect"/>
    <x v="4"/>
    <n v="2"/>
  </r>
  <r>
    <x v="0"/>
    <n v="17"/>
    <s v="Biocorrect "/>
    <d v="2023-09-30T00:00:00"/>
    <x v="89"/>
    <n v="10003725"/>
    <n v="51590407"/>
    <b v="0"/>
    <n v="86"/>
    <s v="L3010"/>
    <n v="216"/>
    <n v="216"/>
    <n v="1"/>
    <n v="0"/>
    <n v="165.43"/>
    <n v="0"/>
    <n v="0"/>
    <n v="0"/>
    <m/>
    <n v="216"/>
    <n v="0"/>
    <n v="0"/>
    <n v="0"/>
    <n v="50.57"/>
    <n v="0"/>
    <n v="0"/>
    <n v="0"/>
    <n v="0"/>
    <n v="0"/>
    <n v="0"/>
    <n v="0"/>
    <n v="0"/>
    <n v="0"/>
    <n v="0"/>
    <n v="0"/>
    <n v="0"/>
    <n v="0"/>
    <n v="0"/>
    <n v="0"/>
    <n v="165.43"/>
    <m/>
    <s v="BLUE CROSS BLUE SHIELD"/>
    <m/>
    <m/>
    <s v="BCBSM PPO"/>
    <m/>
    <m/>
    <x v="9"/>
    <s v="PATIENT PAY"/>
    <n v="0"/>
    <n v="0"/>
    <s v="Biocorrect"/>
    <s v="Biocorrect"/>
    <x v="2"/>
    <n v="3"/>
  </r>
  <r>
    <x v="0"/>
    <n v="17"/>
    <s v="Biocorrect "/>
    <d v="2023-09-30T00:00:00"/>
    <x v="136"/>
    <n v="7826913"/>
    <n v="39333264"/>
    <b v="0"/>
    <n v="550"/>
    <s v="L3020"/>
    <n v="186"/>
    <n v="186"/>
    <n v="1"/>
    <n v="186"/>
    <n v="0"/>
    <n v="0"/>
    <n v="156"/>
    <n v="0"/>
    <m/>
    <n v="0"/>
    <n v="0"/>
    <n v="0"/>
    <n v="0"/>
    <n v="0"/>
    <n v="0"/>
    <n v="0"/>
    <n v="0"/>
    <n v="0"/>
    <n v="0"/>
    <n v="0"/>
    <n v="0"/>
    <n v="0"/>
    <n v="0"/>
    <n v="0"/>
    <n v="0"/>
    <n v="0"/>
    <n v="0"/>
    <n v="0"/>
    <n v="0"/>
    <n v="30"/>
    <m/>
    <m/>
    <m/>
    <m/>
    <m/>
    <m/>
    <m/>
    <x v="9"/>
    <s v="PATIENT PAY"/>
    <n v="0"/>
    <n v="0"/>
    <s v="Biocorrect"/>
    <s v="Biocorrect"/>
    <x v="3"/>
    <n v="8"/>
  </r>
  <r>
    <x v="1"/>
    <n v="17"/>
    <s v="Biocorrect "/>
    <d v="2023-09-30T00:00:00"/>
    <x v="137"/>
    <m/>
    <m/>
    <b v="0"/>
    <n v="1"/>
    <s v="Aged Deposit Balance"/>
    <m/>
    <m/>
    <m/>
    <m/>
    <m/>
    <m/>
    <m/>
    <m/>
    <m/>
    <m/>
    <m/>
    <m/>
    <m/>
    <m/>
    <m/>
    <m/>
    <m/>
    <m/>
    <m/>
    <m/>
    <m/>
    <m/>
    <m/>
    <m/>
    <m/>
    <m/>
    <m/>
    <m/>
    <m/>
    <n v="-331"/>
    <m/>
    <m/>
    <m/>
    <m/>
    <m/>
    <m/>
    <m/>
    <x v="9"/>
    <s v="PATIENT PAY"/>
    <m/>
    <m/>
    <m/>
    <s v="Biocorrect"/>
    <x v="1"/>
    <n v="1"/>
  </r>
  <r>
    <x v="1"/>
    <n v="17"/>
    <s v="Biocorrect "/>
    <d v="2023-09-30T00:00:00"/>
    <x v="138"/>
    <m/>
    <m/>
    <b v="0"/>
    <n v="1"/>
    <s v="Aged Deposit Balance"/>
    <m/>
    <m/>
    <m/>
    <m/>
    <m/>
    <m/>
    <m/>
    <m/>
    <m/>
    <m/>
    <m/>
    <m/>
    <m/>
    <m/>
    <m/>
    <m/>
    <m/>
    <m/>
    <m/>
    <m/>
    <m/>
    <m/>
    <m/>
    <m/>
    <m/>
    <m/>
    <m/>
    <m/>
    <m/>
    <n v="-142"/>
    <m/>
    <m/>
    <m/>
    <m/>
    <m/>
    <m/>
    <m/>
    <x v="9"/>
    <s v="PATIENT PAY"/>
    <m/>
    <m/>
    <m/>
    <s v="Biocorrect"/>
    <x v="1"/>
    <n v="1"/>
  </r>
  <r>
    <x v="1"/>
    <n v="17"/>
    <s v="Biocorrect "/>
    <d v="2023-09-30T00:00:00"/>
    <x v="139"/>
    <m/>
    <m/>
    <b v="0"/>
    <n v="1"/>
    <s v="Aged Deposit Balance"/>
    <m/>
    <m/>
    <m/>
    <m/>
    <m/>
    <m/>
    <m/>
    <m/>
    <m/>
    <m/>
    <m/>
    <m/>
    <m/>
    <m/>
    <m/>
    <m/>
    <m/>
    <m/>
    <m/>
    <m/>
    <m/>
    <m/>
    <m/>
    <m/>
    <m/>
    <m/>
    <m/>
    <m/>
    <m/>
    <n v="-3.9"/>
    <m/>
    <m/>
    <m/>
    <m/>
    <m/>
    <m/>
    <m/>
    <x v="9"/>
    <s v="PATIENT PAY"/>
    <m/>
    <m/>
    <m/>
    <s v="Biocorrect"/>
    <x v="1"/>
    <n v="1"/>
  </r>
  <r>
    <x v="1"/>
    <n v="17"/>
    <s v="Biocorrect "/>
    <d v="2023-09-30T00:00:00"/>
    <x v="140"/>
    <m/>
    <m/>
    <b v="0"/>
    <n v="1"/>
    <s v="Aged Deposit Balance"/>
    <m/>
    <m/>
    <m/>
    <m/>
    <m/>
    <m/>
    <m/>
    <m/>
    <m/>
    <m/>
    <m/>
    <m/>
    <m/>
    <m/>
    <m/>
    <m/>
    <m/>
    <m/>
    <m/>
    <m/>
    <m/>
    <m/>
    <m/>
    <m/>
    <m/>
    <m/>
    <m/>
    <m/>
    <m/>
    <n v="-2"/>
    <m/>
    <m/>
    <m/>
    <m/>
    <m/>
    <m/>
    <m/>
    <x v="9"/>
    <s v="PATIENT PAY"/>
    <m/>
    <m/>
    <m/>
    <s v="Biocorrect"/>
    <x v="1"/>
    <n v="1"/>
  </r>
  <r>
    <x v="1"/>
    <n v="17"/>
    <s v="Biocorrect "/>
    <d v="2023-09-30T00:00:00"/>
    <x v="141"/>
    <m/>
    <m/>
    <b v="0"/>
    <n v="1"/>
    <s v="Aged Deposit Balance"/>
    <m/>
    <m/>
    <m/>
    <m/>
    <m/>
    <m/>
    <m/>
    <m/>
    <m/>
    <m/>
    <m/>
    <m/>
    <m/>
    <m/>
    <m/>
    <m/>
    <m/>
    <m/>
    <m/>
    <m/>
    <m/>
    <m/>
    <m/>
    <m/>
    <m/>
    <m/>
    <m/>
    <m/>
    <m/>
    <n v="-18"/>
    <m/>
    <m/>
    <m/>
    <m/>
    <m/>
    <m/>
    <m/>
    <x v="9"/>
    <s v="PATIENT PAY"/>
    <m/>
    <m/>
    <m/>
    <s v="Biocorrect"/>
    <x v="1"/>
    <n v="1"/>
  </r>
  <r>
    <x v="0"/>
    <n v="17"/>
    <s v="Biocorrect "/>
    <d v="2023-09-30T00:00:00"/>
    <x v="142"/>
    <n v="9740941"/>
    <n v="50240735"/>
    <b v="0"/>
    <n v="131"/>
    <s v="L3010"/>
    <n v="216"/>
    <n v="216"/>
    <n v="1"/>
    <n v="0"/>
    <n v="33.090000000000003"/>
    <n v="0"/>
    <n v="0"/>
    <n v="0"/>
    <m/>
    <n v="216"/>
    <n v="0"/>
    <n v="1"/>
    <n v="132.34"/>
    <n v="50.57"/>
    <n v="0"/>
    <n v="0"/>
    <n v="0"/>
    <n v="0"/>
    <n v="0"/>
    <n v="0"/>
    <n v="0"/>
    <n v="0"/>
    <n v="0"/>
    <n v="0"/>
    <n v="0"/>
    <n v="0"/>
    <n v="0"/>
    <n v="0"/>
    <n v="0"/>
    <n v="33.090000000000003"/>
    <m/>
    <s v="BLUE CROSS BLUE SHIELD"/>
    <m/>
    <m/>
    <s v="BCBSM PPO"/>
    <m/>
    <m/>
    <x v="9"/>
    <s v="PATIENT PAY"/>
    <n v="0"/>
    <n v="0"/>
    <s v="Biocorrect"/>
    <s v="Biocorrect"/>
    <x v="6"/>
    <n v="5"/>
  </r>
  <r>
    <x v="1"/>
    <n v="17"/>
    <s v="Biocorrect "/>
    <d v="2023-09-30T00:00:00"/>
    <x v="143"/>
    <m/>
    <m/>
    <b v="0"/>
    <n v="1"/>
    <s v="Aged Deposit Balance"/>
    <m/>
    <m/>
    <m/>
    <m/>
    <m/>
    <m/>
    <m/>
    <m/>
    <m/>
    <m/>
    <m/>
    <m/>
    <m/>
    <m/>
    <m/>
    <m/>
    <m/>
    <m/>
    <m/>
    <m/>
    <m/>
    <m/>
    <m/>
    <m/>
    <m/>
    <m/>
    <m/>
    <m/>
    <m/>
    <n v="-317.72000000000003"/>
    <m/>
    <m/>
    <m/>
    <m/>
    <m/>
    <m/>
    <m/>
    <x v="9"/>
    <s v="PATIENT PAY"/>
    <m/>
    <m/>
    <m/>
    <s v="Biocorrect"/>
    <x v="1"/>
    <n v="1"/>
  </r>
  <r>
    <x v="0"/>
    <n v="17"/>
    <s v="Biocorrect "/>
    <d v="2023-09-30T00:00:00"/>
    <x v="144"/>
    <n v="4265765"/>
    <n v="19352710"/>
    <b v="0"/>
    <n v="1730"/>
    <s v="L3020"/>
    <n v="216"/>
    <n v="216"/>
    <n v="1"/>
    <n v="0"/>
    <n v="216"/>
    <n v="0"/>
    <n v="432"/>
    <n v="0"/>
    <m/>
    <n v="216"/>
    <n v="0"/>
    <n v="0"/>
    <n v="0"/>
    <n v="0"/>
    <n v="0"/>
    <n v="0"/>
    <n v="0"/>
    <n v="0"/>
    <n v="0"/>
    <n v="0"/>
    <n v="0"/>
    <n v="0"/>
    <n v="0"/>
    <n v="0"/>
    <n v="0"/>
    <n v="0"/>
    <n v="0"/>
    <n v="0"/>
    <n v="0"/>
    <n v="-216"/>
    <m/>
    <s v="BLUE CROSS BLUE SHIELD"/>
    <m/>
    <m/>
    <s v="BCBSM PPO"/>
    <m/>
    <m/>
    <x v="9"/>
    <s v="PATIENT PAY"/>
    <n v="0"/>
    <n v="0"/>
    <s v="Biocorrect"/>
    <s v="Biocorrect"/>
    <x v="3"/>
    <n v="8"/>
  </r>
  <r>
    <x v="1"/>
    <n v="17"/>
    <s v="Biocorrect "/>
    <d v="2023-09-30T00:00:00"/>
    <x v="145"/>
    <m/>
    <m/>
    <b v="0"/>
    <n v="1"/>
    <s v="Aged Deposit Balance"/>
    <m/>
    <m/>
    <m/>
    <m/>
    <m/>
    <m/>
    <m/>
    <m/>
    <m/>
    <m/>
    <m/>
    <m/>
    <m/>
    <m/>
    <m/>
    <m/>
    <m/>
    <m/>
    <m/>
    <m/>
    <m/>
    <m/>
    <m/>
    <m/>
    <m/>
    <m/>
    <m/>
    <m/>
    <m/>
    <n v="-1.5"/>
    <m/>
    <m/>
    <m/>
    <m/>
    <m/>
    <m/>
    <m/>
    <x v="9"/>
    <s v="PATIENT PAY"/>
    <m/>
    <m/>
    <m/>
    <s v="Biocorrect"/>
    <x v="1"/>
    <n v="1"/>
  </r>
  <r>
    <x v="0"/>
    <n v="17"/>
    <s v="Biocorrect "/>
    <d v="2023-09-30T00:00:00"/>
    <x v="146"/>
    <n v="8875102"/>
    <n v="45337512"/>
    <b v="0"/>
    <n v="299"/>
    <s v="L3010"/>
    <n v="216"/>
    <n v="216"/>
    <n v="1"/>
    <n v="216"/>
    <n v="0"/>
    <n v="0"/>
    <n v="174"/>
    <n v="0"/>
    <m/>
    <n v="0"/>
    <n v="0"/>
    <n v="0"/>
    <n v="0"/>
    <n v="0"/>
    <n v="0"/>
    <n v="0"/>
    <n v="0"/>
    <n v="0"/>
    <n v="0"/>
    <n v="0"/>
    <n v="0"/>
    <n v="0"/>
    <n v="0"/>
    <n v="0"/>
    <n v="0"/>
    <n v="0"/>
    <n v="0"/>
    <n v="0"/>
    <n v="0"/>
    <n v="42"/>
    <m/>
    <m/>
    <m/>
    <m/>
    <m/>
    <m/>
    <m/>
    <x v="9"/>
    <s v="PATIENT PAY"/>
    <n v="0"/>
    <n v="0"/>
    <s v="Biocorrect"/>
    <s v="Biocorrect"/>
    <x v="0"/>
    <n v="7"/>
  </r>
  <r>
    <x v="1"/>
    <n v="17"/>
    <s v="Biocorrect "/>
    <d v="2023-09-30T00:00:00"/>
    <x v="147"/>
    <m/>
    <m/>
    <b v="0"/>
    <n v="1"/>
    <s v="Aged Deposit Balance"/>
    <m/>
    <m/>
    <m/>
    <m/>
    <m/>
    <m/>
    <m/>
    <m/>
    <m/>
    <m/>
    <m/>
    <m/>
    <m/>
    <m/>
    <m/>
    <m/>
    <m/>
    <m/>
    <m/>
    <m/>
    <m/>
    <m/>
    <m/>
    <m/>
    <m/>
    <m/>
    <m/>
    <m/>
    <m/>
    <n v="-3.6"/>
    <m/>
    <s v="BLUE CROSS BLUE SHIELD"/>
    <m/>
    <m/>
    <m/>
    <m/>
    <m/>
    <x v="9"/>
    <s v="PATIENT PAY"/>
    <m/>
    <m/>
    <m/>
    <s v="Biocorrect"/>
    <x v="1"/>
    <n v="1"/>
  </r>
  <r>
    <x v="0"/>
    <n v="17"/>
    <s v="Biocorrect "/>
    <d v="2023-09-30T00:00:00"/>
    <x v="148"/>
    <n v="9284186"/>
    <n v="47178197"/>
    <b v="0"/>
    <n v="228"/>
    <s v="L3020"/>
    <n v="216"/>
    <n v="216"/>
    <n v="1"/>
    <n v="0"/>
    <n v="91.06"/>
    <n v="0"/>
    <n v="0"/>
    <n v="0"/>
    <m/>
    <n v="216"/>
    <n v="0"/>
    <n v="2"/>
    <n v="53.94"/>
    <n v="71"/>
    <n v="0"/>
    <n v="0"/>
    <n v="0"/>
    <n v="0"/>
    <n v="0"/>
    <n v="0"/>
    <n v="0"/>
    <n v="0"/>
    <n v="0"/>
    <n v="0"/>
    <n v="0"/>
    <n v="0"/>
    <n v="0"/>
    <n v="0"/>
    <n v="0"/>
    <n v="91.06"/>
    <m/>
    <s v="BLUE CROSS BLUE SHIELD"/>
    <m/>
    <m/>
    <s v="BCBSM PPO"/>
    <m/>
    <m/>
    <x v="9"/>
    <s v="PATIENT PAY"/>
    <n v="0"/>
    <n v="0"/>
    <s v="Biocorrect"/>
    <s v="Biocorrect"/>
    <x v="0"/>
    <n v="7"/>
  </r>
  <r>
    <x v="1"/>
    <n v="17"/>
    <s v="Biocorrect "/>
    <d v="2023-09-30T00:00:00"/>
    <x v="149"/>
    <m/>
    <m/>
    <b v="0"/>
    <n v="1"/>
    <s v="Aged Deposit Balance"/>
    <m/>
    <m/>
    <m/>
    <m/>
    <m/>
    <m/>
    <m/>
    <m/>
    <m/>
    <m/>
    <m/>
    <m/>
    <m/>
    <m/>
    <m/>
    <m/>
    <m/>
    <m/>
    <m/>
    <m/>
    <m/>
    <m/>
    <m/>
    <m/>
    <m/>
    <m/>
    <m/>
    <m/>
    <m/>
    <n v="-191.34"/>
    <m/>
    <m/>
    <m/>
    <m/>
    <m/>
    <m/>
    <m/>
    <x v="9"/>
    <s v="PATIENT PAY"/>
    <m/>
    <m/>
    <m/>
    <s v="Biocorrect"/>
    <x v="1"/>
    <n v="1"/>
  </r>
  <r>
    <x v="1"/>
    <n v="17"/>
    <s v="Biocorrect "/>
    <d v="2023-09-30T00:00:00"/>
    <x v="150"/>
    <m/>
    <m/>
    <b v="0"/>
    <n v="1"/>
    <s v="Aged Deposit Balance"/>
    <m/>
    <m/>
    <m/>
    <m/>
    <m/>
    <m/>
    <m/>
    <m/>
    <m/>
    <m/>
    <m/>
    <m/>
    <m/>
    <m/>
    <m/>
    <m/>
    <m/>
    <m/>
    <m/>
    <m/>
    <m/>
    <m/>
    <m/>
    <m/>
    <m/>
    <m/>
    <m/>
    <m/>
    <m/>
    <n v="-5.68"/>
    <m/>
    <m/>
    <m/>
    <m/>
    <m/>
    <m/>
    <m/>
    <x v="9"/>
    <s v="PATIENT PAY"/>
    <m/>
    <m/>
    <m/>
    <s v="Biocorrect"/>
    <x v="1"/>
    <n v="1"/>
  </r>
  <r>
    <x v="0"/>
    <n v="17"/>
    <s v="Biocorrect "/>
    <d v="2023-09-30T00:00:00"/>
    <x v="151"/>
    <n v="8989589"/>
    <n v="45657146"/>
    <b v="0"/>
    <n v="288"/>
    <s v="L3040"/>
    <n v="69"/>
    <n v="69"/>
    <n v="1"/>
    <n v="69"/>
    <n v="0"/>
    <n v="0"/>
    <n v="0"/>
    <n v="0"/>
    <m/>
    <n v="0"/>
    <n v="0"/>
    <n v="0"/>
    <n v="0"/>
    <n v="0"/>
    <n v="0"/>
    <n v="0"/>
    <n v="0"/>
    <n v="0"/>
    <n v="0"/>
    <n v="0"/>
    <n v="0"/>
    <n v="0"/>
    <n v="0"/>
    <n v="0"/>
    <n v="0"/>
    <n v="0"/>
    <n v="0"/>
    <n v="0"/>
    <n v="0"/>
    <n v="69"/>
    <m/>
    <m/>
    <m/>
    <m/>
    <m/>
    <m/>
    <m/>
    <x v="9"/>
    <s v="PATIENT PAY"/>
    <n v="0"/>
    <n v="0"/>
    <s v="Biocorrect"/>
    <s v="Biocorrect"/>
    <x v="0"/>
    <n v="7"/>
  </r>
  <r>
    <x v="0"/>
    <n v="17"/>
    <s v="Biocorrect "/>
    <d v="2023-09-30T00:00:00"/>
    <x v="60"/>
    <n v="10178481"/>
    <n v="52695065"/>
    <b v="0"/>
    <n v="51"/>
    <s v="L3010"/>
    <n v="216"/>
    <n v="216"/>
    <n v="1"/>
    <n v="0"/>
    <n v="165.43"/>
    <n v="0"/>
    <n v="0"/>
    <n v="0"/>
    <m/>
    <n v="216"/>
    <n v="0"/>
    <n v="0"/>
    <n v="0"/>
    <n v="50.57"/>
    <n v="0"/>
    <n v="0"/>
    <n v="0"/>
    <n v="0"/>
    <n v="0"/>
    <n v="0"/>
    <n v="0"/>
    <n v="0"/>
    <n v="0"/>
    <n v="0"/>
    <n v="0"/>
    <n v="0"/>
    <n v="0"/>
    <n v="0"/>
    <n v="0"/>
    <n v="165.43"/>
    <m/>
    <s v="BLUE CROSS BLUE SHIELD"/>
    <m/>
    <m/>
    <s v="BCBSM PPO"/>
    <m/>
    <m/>
    <x v="9"/>
    <s v="PATIENT PAY"/>
    <n v="0"/>
    <n v="0"/>
    <s v="Biocorrect"/>
    <s v="Biocorrect"/>
    <x v="4"/>
    <n v="2"/>
  </r>
  <r>
    <x v="0"/>
    <n v="17"/>
    <s v="Biocorrect "/>
    <d v="2023-09-30T00:00:00"/>
    <x v="142"/>
    <n v="9740941"/>
    <n v="50240730"/>
    <b v="0"/>
    <n v="131"/>
    <s v="L3010"/>
    <n v="216"/>
    <n v="216"/>
    <n v="1"/>
    <n v="0"/>
    <n v="33.090000000000003"/>
    <n v="0"/>
    <n v="0"/>
    <n v="0"/>
    <m/>
    <n v="216"/>
    <n v="0"/>
    <n v="1"/>
    <n v="132.34"/>
    <n v="50.57"/>
    <n v="0"/>
    <n v="0"/>
    <n v="0"/>
    <n v="0"/>
    <n v="0"/>
    <n v="0"/>
    <n v="0"/>
    <n v="0"/>
    <n v="0"/>
    <n v="0"/>
    <n v="0"/>
    <n v="0"/>
    <n v="0"/>
    <n v="0"/>
    <n v="0"/>
    <n v="33.090000000000003"/>
    <m/>
    <s v="BLUE CROSS BLUE SHIELD"/>
    <m/>
    <m/>
    <s v="BCBSM PPO"/>
    <m/>
    <m/>
    <x v="9"/>
    <s v="PATIENT PAY"/>
    <n v="0"/>
    <n v="0"/>
    <s v="Biocorrect"/>
    <s v="Biocorrect"/>
    <x v="6"/>
    <n v="5"/>
  </r>
  <r>
    <x v="0"/>
    <n v="17"/>
    <s v="Biocorrect "/>
    <d v="2023-09-30T00:00:00"/>
    <x v="152"/>
    <n v="10033747"/>
    <n v="51922557"/>
    <b v="0"/>
    <n v="75"/>
    <s v="L3010"/>
    <n v="216"/>
    <n v="216"/>
    <n v="1"/>
    <n v="216"/>
    <n v="0"/>
    <n v="0"/>
    <n v="0"/>
    <n v="0"/>
    <m/>
    <n v="0"/>
    <n v="0"/>
    <n v="0"/>
    <n v="0"/>
    <n v="0"/>
    <n v="0"/>
    <n v="0"/>
    <n v="0"/>
    <n v="0"/>
    <n v="0"/>
    <n v="0"/>
    <n v="0"/>
    <n v="0"/>
    <n v="0"/>
    <n v="0"/>
    <n v="0"/>
    <n v="0"/>
    <n v="0"/>
    <n v="0"/>
    <n v="0"/>
    <n v="216"/>
    <m/>
    <m/>
    <m/>
    <m/>
    <m/>
    <m/>
    <m/>
    <x v="9"/>
    <s v="PATIENT PAY"/>
    <n v="0"/>
    <n v="0"/>
    <s v="Biocorrect"/>
    <s v="Biocorrect"/>
    <x v="2"/>
    <n v="3"/>
  </r>
  <r>
    <x v="0"/>
    <n v="17"/>
    <s v="Biocorrect "/>
    <d v="2023-09-30T00:00:00"/>
    <x v="153"/>
    <n v="10216669"/>
    <n v="52966151"/>
    <b v="0"/>
    <n v="43"/>
    <s v="L3020"/>
    <n v="216"/>
    <n v="216"/>
    <n v="1"/>
    <n v="0"/>
    <n v="204.78"/>
    <n v="0"/>
    <n v="0"/>
    <n v="0"/>
    <m/>
    <n v="216"/>
    <n v="0"/>
    <n v="0"/>
    <n v="0"/>
    <n v="11.22"/>
    <n v="0"/>
    <n v="0"/>
    <n v="0"/>
    <n v="0"/>
    <n v="0"/>
    <n v="0"/>
    <n v="0"/>
    <n v="0"/>
    <n v="0"/>
    <n v="0"/>
    <n v="0"/>
    <n v="0"/>
    <n v="0"/>
    <n v="0"/>
    <n v="0"/>
    <n v="204.78"/>
    <m/>
    <s v="BLUE CROSS BLUE SHIELD"/>
    <m/>
    <m/>
    <s v="BCBSM PPO"/>
    <m/>
    <m/>
    <x v="9"/>
    <s v="PATIENT PAY"/>
    <n v="0"/>
    <n v="0"/>
    <s v="Biocorrect"/>
    <s v="Biocorrect"/>
    <x v="4"/>
    <n v="2"/>
  </r>
  <r>
    <x v="0"/>
    <n v="17"/>
    <s v="Biocorrect "/>
    <d v="2023-09-30T00:00:00"/>
    <x v="154"/>
    <n v="10088941"/>
    <n v="52067351"/>
    <b v="0"/>
    <n v="71"/>
    <s v="L3020"/>
    <n v="150"/>
    <n v="150"/>
    <n v="1"/>
    <n v="150"/>
    <n v="0"/>
    <n v="0"/>
    <n v="330.5"/>
    <n v="0"/>
    <m/>
    <n v="0"/>
    <n v="0"/>
    <n v="0"/>
    <n v="0"/>
    <n v="0"/>
    <n v="0"/>
    <n v="0"/>
    <n v="0"/>
    <n v="0"/>
    <n v="0"/>
    <n v="0"/>
    <n v="0"/>
    <n v="0"/>
    <n v="0"/>
    <n v="0"/>
    <n v="0"/>
    <n v="0"/>
    <n v="0"/>
    <n v="0"/>
    <n v="0"/>
    <n v="-180.5"/>
    <m/>
    <m/>
    <m/>
    <m/>
    <m/>
    <m/>
    <m/>
    <x v="9"/>
    <s v="PATIENT PAY"/>
    <n v="0"/>
    <n v="0"/>
    <s v="Biocorrect"/>
    <s v="Biocorrect"/>
    <x v="2"/>
    <n v="3"/>
  </r>
  <r>
    <x v="0"/>
    <n v="17"/>
    <s v="Biocorrect "/>
    <d v="2023-09-30T00:00:00"/>
    <x v="154"/>
    <n v="10088941"/>
    <n v="52067428"/>
    <b v="0"/>
    <n v="71"/>
    <s v="SHIP:"/>
    <n v="12.5"/>
    <n v="12.5"/>
    <n v="1"/>
    <n v="12.5"/>
    <n v="0"/>
    <n v="0"/>
    <n v="0"/>
    <n v="0"/>
    <m/>
    <n v="0"/>
    <n v="0"/>
    <n v="0"/>
    <n v="0"/>
    <n v="0"/>
    <n v="0"/>
    <n v="0"/>
    <n v="0"/>
    <n v="0"/>
    <n v="0"/>
    <n v="0"/>
    <n v="0"/>
    <n v="0"/>
    <n v="0"/>
    <n v="0"/>
    <n v="0"/>
    <n v="0"/>
    <n v="0"/>
    <n v="0"/>
    <n v="0"/>
    <n v="12.5"/>
    <m/>
    <m/>
    <m/>
    <m/>
    <m/>
    <m/>
    <m/>
    <x v="9"/>
    <s v="PATIENT PAY"/>
    <n v="0"/>
    <n v="0"/>
    <s v="Biocorrect"/>
    <s v="Biocorrect"/>
    <x v="2"/>
    <n v="3"/>
  </r>
  <r>
    <x v="0"/>
    <n v="17"/>
    <s v="Biocorrect "/>
    <d v="2023-09-30T00:00:00"/>
    <x v="155"/>
    <n v="10077725"/>
    <n v="52085600"/>
    <b v="0"/>
    <n v="71"/>
    <s v="L3010"/>
    <n v="216"/>
    <n v="216"/>
    <n v="1"/>
    <n v="0"/>
    <n v="216"/>
    <n v="0"/>
    <n v="100"/>
    <n v="0"/>
    <m/>
    <n v="216"/>
    <n v="0"/>
    <n v="0"/>
    <n v="0"/>
    <n v="0"/>
    <n v="0"/>
    <n v="0"/>
    <n v="0"/>
    <n v="0"/>
    <n v="0"/>
    <n v="0"/>
    <n v="0"/>
    <n v="0"/>
    <n v="0"/>
    <n v="0"/>
    <n v="0"/>
    <n v="0"/>
    <n v="0"/>
    <n v="0"/>
    <n v="0"/>
    <n v="116"/>
    <m/>
    <s v="BLUE CROSS BLUE SHIELD"/>
    <m/>
    <m/>
    <s v="BCBSM PPO"/>
    <m/>
    <m/>
    <x v="9"/>
    <s v="PATIENT PAY"/>
    <n v="0"/>
    <n v="0"/>
    <s v="Biocorrect"/>
    <s v="Biocorrect"/>
    <x v="2"/>
    <n v="3"/>
  </r>
  <r>
    <x v="0"/>
    <n v="17"/>
    <s v="Biocorrect "/>
    <d v="2023-09-30T00:00:00"/>
    <x v="76"/>
    <n v="10416468"/>
    <n v="54107245"/>
    <b v="0"/>
    <n v="5"/>
    <s v="L3010"/>
    <n v="216"/>
    <n v="216"/>
    <n v="1"/>
    <n v="216"/>
    <n v="0"/>
    <n v="0"/>
    <n v="200"/>
    <n v="0"/>
    <m/>
    <n v="0"/>
    <n v="0"/>
    <n v="0"/>
    <n v="0"/>
    <n v="0"/>
    <n v="0"/>
    <n v="0"/>
    <n v="0"/>
    <n v="0"/>
    <n v="0"/>
    <n v="0"/>
    <n v="0"/>
    <n v="0"/>
    <n v="0"/>
    <n v="0"/>
    <n v="0"/>
    <n v="0"/>
    <n v="0"/>
    <n v="0"/>
    <n v="0"/>
    <n v="16"/>
    <m/>
    <m/>
    <m/>
    <m/>
    <m/>
    <m/>
    <m/>
    <x v="9"/>
    <s v="PATIENT PAY"/>
    <n v="0"/>
    <n v="0"/>
    <s v="Biocorrect"/>
    <s v="Biocorrect"/>
    <x v="1"/>
    <n v="1"/>
  </r>
  <r>
    <x v="0"/>
    <n v="17"/>
    <s v="Biocorrect "/>
    <d v="2023-09-30T00:00:00"/>
    <x v="76"/>
    <n v="10416468"/>
    <n v="54107247"/>
    <b v="0"/>
    <n v="5"/>
    <s v="L3010"/>
    <n v="216"/>
    <n v="216"/>
    <n v="1"/>
    <n v="216"/>
    <n v="0"/>
    <n v="0"/>
    <n v="0"/>
    <n v="0"/>
    <m/>
    <n v="0"/>
    <n v="0"/>
    <n v="0"/>
    <n v="0"/>
    <n v="0"/>
    <n v="0"/>
    <n v="0"/>
    <n v="0"/>
    <n v="0"/>
    <n v="0"/>
    <n v="0"/>
    <n v="0"/>
    <n v="0"/>
    <n v="0"/>
    <n v="0"/>
    <n v="0"/>
    <n v="0"/>
    <n v="0"/>
    <n v="0"/>
    <n v="0"/>
    <n v="216"/>
    <m/>
    <m/>
    <m/>
    <m/>
    <m/>
    <m/>
    <m/>
    <x v="9"/>
    <s v="PATIENT PAY"/>
    <n v="0"/>
    <n v="0"/>
    <s v="Biocorrect"/>
    <s v="Biocorrect"/>
    <x v="1"/>
    <n v="1"/>
  </r>
  <r>
    <x v="0"/>
    <n v="17"/>
    <s v="Biocorrect "/>
    <d v="2023-09-30T00:00:00"/>
    <x v="156"/>
    <n v="8130451"/>
    <n v="41264803"/>
    <b v="0"/>
    <n v="467"/>
    <s v="L3010"/>
    <n v="216"/>
    <n v="216"/>
    <n v="1"/>
    <n v="0"/>
    <n v="142.16"/>
    <n v="40"/>
    <n v="100"/>
    <n v="0"/>
    <m/>
    <n v="216"/>
    <n v="0"/>
    <n v="0"/>
    <n v="0"/>
    <n v="73.84"/>
    <n v="0"/>
    <n v="0"/>
    <n v="0"/>
    <n v="0"/>
    <n v="0"/>
    <n v="0"/>
    <n v="0"/>
    <n v="0"/>
    <n v="0"/>
    <n v="0"/>
    <n v="0"/>
    <n v="0"/>
    <n v="0"/>
    <n v="0"/>
    <n v="0"/>
    <n v="2.16"/>
    <m/>
    <s v="BLUE CROSS BLUE SHIELD"/>
    <m/>
    <m/>
    <s v="BCBSM PPO"/>
    <m/>
    <m/>
    <x v="9"/>
    <s v="PATIENT PAY"/>
    <n v="0"/>
    <n v="0"/>
    <s v="Biocorrect"/>
    <s v="Biocorrect"/>
    <x v="3"/>
    <n v="8"/>
  </r>
  <r>
    <x v="0"/>
    <n v="17"/>
    <s v="Biocorrect "/>
    <d v="2023-09-30T00:00:00"/>
    <x v="156"/>
    <n v="8130451"/>
    <n v="41264806"/>
    <b v="0"/>
    <n v="467"/>
    <s v="L3010"/>
    <n v="216"/>
    <n v="216"/>
    <n v="1"/>
    <n v="0"/>
    <n v="142.16"/>
    <n v="0"/>
    <n v="0"/>
    <n v="0"/>
    <m/>
    <n v="216"/>
    <n v="0"/>
    <n v="0"/>
    <n v="0"/>
    <n v="73.84"/>
    <n v="0"/>
    <n v="0"/>
    <n v="0"/>
    <n v="0"/>
    <n v="0"/>
    <n v="0"/>
    <n v="0"/>
    <n v="0"/>
    <n v="0"/>
    <n v="0"/>
    <n v="0"/>
    <n v="0"/>
    <n v="0"/>
    <n v="0"/>
    <n v="0"/>
    <n v="142.16"/>
    <m/>
    <s v="BLUE CROSS BLUE SHIELD"/>
    <m/>
    <m/>
    <s v="BCBSM PPO"/>
    <m/>
    <m/>
    <x v="9"/>
    <s v="PATIENT PAY"/>
    <n v="0"/>
    <n v="0"/>
    <s v="Biocorrect"/>
    <s v="Biocorrect"/>
    <x v="3"/>
    <n v="8"/>
  </r>
  <r>
    <x v="0"/>
    <n v="17"/>
    <s v="Biocorrect "/>
    <d v="2023-09-30T00:00:00"/>
    <x v="157"/>
    <n v="10368582"/>
    <n v="53861855"/>
    <b v="0"/>
    <n v="15"/>
    <s v="L3020"/>
    <n v="216"/>
    <n v="216"/>
    <n v="1"/>
    <n v="216"/>
    <n v="0"/>
    <n v="0"/>
    <n v="450"/>
    <n v="0"/>
    <m/>
    <n v="0"/>
    <n v="0"/>
    <n v="0"/>
    <n v="0"/>
    <n v="0"/>
    <n v="0"/>
    <n v="0"/>
    <n v="0"/>
    <n v="0"/>
    <n v="0"/>
    <n v="0"/>
    <n v="0"/>
    <n v="0"/>
    <n v="0"/>
    <n v="0"/>
    <n v="0"/>
    <n v="0"/>
    <n v="0"/>
    <n v="0"/>
    <n v="0"/>
    <n v="-234"/>
    <m/>
    <m/>
    <m/>
    <m/>
    <m/>
    <m/>
    <m/>
    <x v="9"/>
    <s v="PATIENT PAY"/>
    <n v="0"/>
    <n v="0"/>
    <s v="Biocorrect"/>
    <s v="Biocorrect"/>
    <x v="1"/>
    <n v="1"/>
  </r>
  <r>
    <x v="0"/>
    <n v="17"/>
    <s v="Biocorrect "/>
    <d v="2023-09-30T00:00:00"/>
    <x v="157"/>
    <n v="10368582"/>
    <n v="53861856"/>
    <b v="0"/>
    <n v="15"/>
    <s v="L3020"/>
    <n v="216"/>
    <n v="216"/>
    <n v="1"/>
    <n v="216"/>
    <n v="0"/>
    <n v="0"/>
    <n v="0"/>
    <n v="0"/>
    <m/>
    <n v="0"/>
    <n v="0"/>
    <n v="0"/>
    <n v="0"/>
    <n v="0"/>
    <n v="0"/>
    <n v="0"/>
    <n v="0"/>
    <n v="0"/>
    <n v="0"/>
    <n v="0"/>
    <n v="0"/>
    <n v="0"/>
    <n v="0"/>
    <n v="0"/>
    <n v="0"/>
    <n v="0"/>
    <n v="0"/>
    <n v="0"/>
    <n v="0"/>
    <n v="216"/>
    <m/>
    <m/>
    <m/>
    <m/>
    <m/>
    <m/>
    <m/>
    <x v="9"/>
    <s v="PATIENT PAY"/>
    <n v="0"/>
    <n v="0"/>
    <s v="Biocorrect"/>
    <s v="Biocorrect"/>
    <x v="1"/>
    <n v="1"/>
  </r>
  <r>
    <x v="0"/>
    <n v="17"/>
    <s v="Biocorrect "/>
    <d v="2023-09-30T00:00:00"/>
    <x v="158"/>
    <n v="10264737"/>
    <n v="53105385"/>
    <b v="0"/>
    <n v="38"/>
    <s v="L3020"/>
    <n v="150"/>
    <n v="150"/>
    <n v="1"/>
    <n v="150"/>
    <n v="0"/>
    <n v="0"/>
    <n v="200"/>
    <n v="0"/>
    <m/>
    <n v="0"/>
    <n v="0"/>
    <n v="0"/>
    <n v="0"/>
    <n v="0"/>
    <n v="0"/>
    <n v="0"/>
    <n v="0"/>
    <n v="0"/>
    <n v="0"/>
    <n v="0"/>
    <n v="0"/>
    <n v="0"/>
    <n v="0"/>
    <n v="0"/>
    <n v="0"/>
    <n v="0"/>
    <n v="0"/>
    <n v="0"/>
    <n v="0"/>
    <n v="-50"/>
    <m/>
    <m/>
    <m/>
    <m/>
    <m/>
    <m/>
    <m/>
    <x v="9"/>
    <s v="PATIENT PAY"/>
    <n v="0"/>
    <n v="0"/>
    <s v="Biocorrect"/>
    <s v="Biocorrect"/>
    <x v="4"/>
    <n v="2"/>
  </r>
  <r>
    <x v="0"/>
    <n v="17"/>
    <s v="Biocorrect "/>
    <d v="2023-09-30T00:00:00"/>
    <x v="158"/>
    <n v="10264737"/>
    <n v="53105390"/>
    <b v="0"/>
    <n v="38"/>
    <s v="TAX: Custom Orthotics"/>
    <n v="18"/>
    <n v="18"/>
    <n v="1"/>
    <n v="18"/>
    <n v="0"/>
    <n v="0"/>
    <n v="0"/>
    <n v="0"/>
    <m/>
    <n v="0"/>
    <n v="0"/>
    <n v="0"/>
    <n v="0"/>
    <n v="0"/>
    <n v="0"/>
    <n v="0"/>
    <n v="0"/>
    <n v="0"/>
    <n v="0"/>
    <n v="0"/>
    <n v="0"/>
    <n v="0"/>
    <n v="0"/>
    <n v="0"/>
    <n v="0"/>
    <n v="0"/>
    <n v="0"/>
    <n v="0"/>
    <n v="0"/>
    <n v="18"/>
    <m/>
    <m/>
    <m/>
    <m/>
    <m/>
    <m/>
    <m/>
    <x v="9"/>
    <s v="PATIENT PAY"/>
    <n v="0"/>
    <n v="0"/>
    <s v="Biocorrect"/>
    <s v="Biocorrect"/>
    <x v="4"/>
    <n v="2"/>
  </r>
  <r>
    <x v="0"/>
    <n v="17"/>
    <s v="Biocorrect "/>
    <d v="2023-09-30T00:00:00"/>
    <x v="159"/>
    <n v="8054253"/>
    <n v="41209543"/>
    <b v="0"/>
    <n v="467"/>
    <s v="L3010"/>
    <n v="216"/>
    <n v="216"/>
    <n v="1"/>
    <n v="216"/>
    <n v="0"/>
    <n v="0"/>
    <n v="432"/>
    <n v="0"/>
    <m/>
    <n v="0"/>
    <n v="0"/>
    <n v="0"/>
    <n v="0"/>
    <n v="0"/>
    <n v="0"/>
    <n v="0"/>
    <n v="0"/>
    <n v="0"/>
    <n v="0"/>
    <n v="0"/>
    <n v="0"/>
    <n v="0"/>
    <n v="0"/>
    <n v="0"/>
    <n v="0"/>
    <n v="0"/>
    <n v="0"/>
    <n v="0"/>
    <n v="0"/>
    <n v="-216"/>
    <m/>
    <m/>
    <m/>
    <m/>
    <m/>
    <m/>
    <m/>
    <x v="9"/>
    <s v="PATIENT PAY"/>
    <n v="0"/>
    <n v="0"/>
    <s v="Biocorrect"/>
    <s v="Biocorrect"/>
    <x v="3"/>
    <n v="8"/>
  </r>
  <r>
    <x v="0"/>
    <n v="17"/>
    <s v="Biocorrect "/>
    <d v="2023-09-30T00:00:00"/>
    <x v="130"/>
    <n v="10202379"/>
    <n v="53927974"/>
    <b v="0"/>
    <n v="50"/>
    <s v="L3010"/>
    <n v="216"/>
    <n v="216"/>
    <n v="1"/>
    <n v="216"/>
    <n v="0"/>
    <n v="0"/>
    <n v="0"/>
    <n v="0"/>
    <m/>
    <n v="0"/>
    <n v="0"/>
    <n v="0"/>
    <n v="0"/>
    <n v="0"/>
    <n v="0"/>
    <n v="0"/>
    <n v="0"/>
    <n v="0"/>
    <n v="0"/>
    <n v="0"/>
    <n v="0"/>
    <n v="0"/>
    <n v="0"/>
    <n v="0"/>
    <n v="0"/>
    <n v="0"/>
    <n v="0"/>
    <n v="0"/>
    <n v="0"/>
    <n v="216"/>
    <m/>
    <m/>
    <m/>
    <m/>
    <m/>
    <m/>
    <m/>
    <x v="9"/>
    <s v="PATIENT PAY"/>
    <n v="0"/>
    <n v="0"/>
    <s v="Biocorrect"/>
    <s v="Biocorrect"/>
    <x v="4"/>
    <n v="2"/>
  </r>
  <r>
    <x v="0"/>
    <n v="17"/>
    <s v="Biocorrect "/>
    <d v="2023-09-30T00:00:00"/>
    <x v="160"/>
    <n v="10383975"/>
    <n v="54063594"/>
    <b v="0"/>
    <n v="8"/>
    <s v="L3020"/>
    <n v="216"/>
    <n v="216"/>
    <n v="1"/>
    <n v="216"/>
    <n v="0"/>
    <n v="0"/>
    <n v="9"/>
    <n v="0"/>
    <m/>
    <n v="0"/>
    <n v="0"/>
    <n v="0"/>
    <n v="0"/>
    <n v="0"/>
    <n v="0"/>
    <n v="0"/>
    <n v="0"/>
    <n v="0"/>
    <n v="0"/>
    <n v="0"/>
    <n v="0"/>
    <n v="0"/>
    <n v="0"/>
    <n v="0"/>
    <n v="0"/>
    <n v="0"/>
    <n v="0"/>
    <n v="0"/>
    <n v="0"/>
    <n v="207"/>
    <m/>
    <m/>
    <m/>
    <m/>
    <m/>
    <m/>
    <m/>
    <x v="9"/>
    <s v="PATIENT PAY"/>
    <n v="0"/>
    <n v="0"/>
    <s v="Biocorrect"/>
    <s v="Biocorrect"/>
    <x v="1"/>
    <n v="1"/>
  </r>
  <r>
    <x v="0"/>
    <n v="17"/>
    <s v="Biocorrect "/>
    <d v="2023-09-30T00:00:00"/>
    <x v="160"/>
    <n v="10383975"/>
    <n v="54063595"/>
    <b v="0"/>
    <n v="8"/>
    <s v="TAX: Custom Orthotics"/>
    <n v="18"/>
    <n v="18"/>
    <n v="1"/>
    <n v="18"/>
    <n v="0"/>
    <n v="0"/>
    <n v="0"/>
    <n v="0"/>
    <m/>
    <n v="0"/>
    <n v="0"/>
    <n v="0"/>
    <n v="0"/>
    <n v="0"/>
    <n v="0"/>
    <n v="0"/>
    <n v="0"/>
    <n v="0"/>
    <n v="0"/>
    <n v="0"/>
    <n v="0"/>
    <n v="0"/>
    <n v="0"/>
    <n v="0"/>
    <n v="0"/>
    <n v="0"/>
    <n v="0"/>
    <n v="0"/>
    <n v="0"/>
    <n v="18"/>
    <m/>
    <m/>
    <m/>
    <m/>
    <m/>
    <m/>
    <m/>
    <x v="9"/>
    <s v="PATIENT PAY"/>
    <n v="0"/>
    <n v="0"/>
    <s v="Biocorrect"/>
    <s v="Biocorrect"/>
    <x v="1"/>
    <n v="1"/>
  </r>
  <r>
    <x v="0"/>
    <n v="17"/>
    <s v="Biocorrect "/>
    <d v="2023-09-30T00:00:00"/>
    <x v="161"/>
    <n v="10433684"/>
    <n v="54144160"/>
    <b v="0"/>
    <n v="4"/>
    <s v="L3010"/>
    <n v="150"/>
    <n v="150"/>
    <n v="1"/>
    <n v="150"/>
    <n v="0"/>
    <n v="0"/>
    <n v="0"/>
    <n v="0"/>
    <m/>
    <n v="0"/>
    <n v="0"/>
    <n v="0"/>
    <n v="0"/>
    <n v="0"/>
    <n v="0"/>
    <n v="0"/>
    <n v="0"/>
    <n v="0"/>
    <n v="0"/>
    <n v="0"/>
    <n v="0"/>
    <n v="0"/>
    <n v="0"/>
    <n v="0"/>
    <n v="0"/>
    <n v="0"/>
    <n v="0"/>
    <n v="0"/>
    <n v="0"/>
    <n v="150"/>
    <m/>
    <m/>
    <m/>
    <m/>
    <m/>
    <m/>
    <m/>
    <x v="9"/>
    <s v="PATIENT PAY"/>
    <n v="0"/>
    <n v="0"/>
    <s v="Biocorrect"/>
    <s v="Biocorrect"/>
    <x v="1"/>
    <n v="1"/>
  </r>
  <r>
    <x v="0"/>
    <n v="17"/>
    <s v="Biocorrect "/>
    <d v="2023-09-30T00:00:00"/>
    <x v="162"/>
    <n v="3967063"/>
    <n v="17697615"/>
    <b v="0"/>
    <n v="1837"/>
    <s v="L3020"/>
    <n v="150"/>
    <n v="150"/>
    <n v="1"/>
    <n v="150"/>
    <n v="0"/>
    <n v="0"/>
    <n v="0"/>
    <n v="30"/>
    <m/>
    <n v="0"/>
    <n v="0"/>
    <n v="0"/>
    <n v="0"/>
    <n v="0"/>
    <n v="0"/>
    <n v="0"/>
    <n v="0"/>
    <n v="0"/>
    <n v="0"/>
    <n v="0"/>
    <n v="0"/>
    <n v="0"/>
    <n v="0"/>
    <n v="0"/>
    <n v="0"/>
    <n v="0"/>
    <n v="0"/>
    <n v="0"/>
    <n v="0"/>
    <n v="-30"/>
    <m/>
    <m/>
    <m/>
    <m/>
    <m/>
    <m/>
    <m/>
    <x v="9"/>
    <s v="PATIENT PAY"/>
    <n v="0"/>
    <n v="150"/>
    <s v="Biocorrect"/>
    <s v="Biocorrect"/>
    <x v="3"/>
    <n v="8"/>
  </r>
  <r>
    <x v="0"/>
    <n v="17"/>
    <s v="Biocorrect "/>
    <d v="2023-09-30T00:00:00"/>
    <x v="163"/>
    <n v="10245853"/>
    <n v="53400522"/>
    <b v="0"/>
    <n v="30"/>
    <s v="TAX: Custom Orthotics"/>
    <n v="36"/>
    <n v="36"/>
    <n v="1"/>
    <n v="36"/>
    <n v="0"/>
    <n v="0"/>
    <n v="0"/>
    <n v="0"/>
    <m/>
    <n v="0"/>
    <n v="0"/>
    <n v="0"/>
    <n v="0"/>
    <n v="0"/>
    <n v="0"/>
    <n v="0"/>
    <n v="0"/>
    <n v="0"/>
    <n v="0"/>
    <n v="0"/>
    <n v="0"/>
    <n v="0"/>
    <n v="0"/>
    <n v="0"/>
    <n v="0"/>
    <n v="0"/>
    <n v="0"/>
    <n v="0"/>
    <n v="0"/>
    <n v="36"/>
    <m/>
    <m/>
    <m/>
    <m/>
    <m/>
    <m/>
    <m/>
    <x v="9"/>
    <s v="PATIENT PAY"/>
    <n v="0"/>
    <n v="0"/>
    <s v="Biocorrect"/>
    <s v="Biocorrect"/>
    <x v="1"/>
    <n v="1"/>
  </r>
  <r>
    <x v="1"/>
    <n v="17"/>
    <s v="Biocorrect "/>
    <d v="2023-09-30T00:00:00"/>
    <x v="164"/>
    <m/>
    <m/>
    <b v="0"/>
    <n v="1"/>
    <s v="Aged Deposit Balance"/>
    <m/>
    <m/>
    <m/>
    <m/>
    <m/>
    <m/>
    <m/>
    <m/>
    <m/>
    <m/>
    <m/>
    <m/>
    <m/>
    <m/>
    <m/>
    <m/>
    <m/>
    <m/>
    <m/>
    <m/>
    <m/>
    <m/>
    <m/>
    <m/>
    <m/>
    <m/>
    <m/>
    <m/>
    <m/>
    <n v="-145"/>
    <m/>
    <s v="BLUE CROSS BLUE SHIELD"/>
    <m/>
    <m/>
    <m/>
    <m/>
    <m/>
    <x v="9"/>
    <s v="PATIENT PAY"/>
    <m/>
    <m/>
    <m/>
    <s v="Biocorrect"/>
    <x v="1"/>
    <n v="1"/>
  </r>
  <r>
    <x v="1"/>
    <n v="17"/>
    <s v="Biocorrect "/>
    <d v="2023-09-30T00:00:00"/>
    <x v="165"/>
    <m/>
    <m/>
    <b v="0"/>
    <n v="1"/>
    <s v="Aged Deposit Balance"/>
    <m/>
    <m/>
    <m/>
    <m/>
    <m/>
    <m/>
    <m/>
    <m/>
    <m/>
    <m/>
    <m/>
    <m/>
    <m/>
    <m/>
    <m/>
    <m/>
    <m/>
    <m/>
    <m/>
    <m/>
    <m/>
    <m/>
    <m/>
    <m/>
    <m/>
    <m/>
    <m/>
    <m/>
    <m/>
    <n v="-167"/>
    <m/>
    <s v="BLUE CROSS BLUE SHIELD"/>
    <m/>
    <m/>
    <m/>
    <m/>
    <m/>
    <x v="9"/>
    <s v="PATIENT PAY"/>
    <m/>
    <m/>
    <m/>
    <s v="Biocorrect"/>
    <x v="1"/>
    <n v="1"/>
  </r>
  <r>
    <x v="0"/>
    <n v="17"/>
    <s v="Biocorrect "/>
    <d v="2023-09-30T00:00:00"/>
    <x v="166"/>
    <n v="4962288"/>
    <n v="24109257"/>
    <b v="0"/>
    <n v="1452"/>
    <s v="OFFICE VISIT"/>
    <n v="25"/>
    <n v="25"/>
    <n v="1"/>
    <n v="25"/>
    <n v="0"/>
    <n v="0"/>
    <n v="21.4"/>
    <n v="0"/>
    <m/>
    <n v="0"/>
    <n v="0"/>
    <n v="0"/>
    <n v="0"/>
    <n v="0"/>
    <n v="0"/>
    <n v="0"/>
    <n v="0"/>
    <n v="0"/>
    <n v="0"/>
    <n v="0"/>
    <n v="0"/>
    <n v="0"/>
    <n v="0"/>
    <n v="0"/>
    <n v="0"/>
    <n v="0"/>
    <n v="0"/>
    <n v="0"/>
    <n v="0"/>
    <n v="3.6"/>
    <m/>
    <m/>
    <m/>
    <m/>
    <m/>
    <m/>
    <m/>
    <x v="9"/>
    <s v="PATIENT PAY"/>
    <n v="0"/>
    <n v="0"/>
    <s v="Biocorrect"/>
    <s v="Biocorrect"/>
    <x v="3"/>
    <n v="8"/>
  </r>
  <r>
    <x v="1"/>
    <n v="17"/>
    <s v="Biocorrect "/>
    <d v="2023-09-30T00:00:00"/>
    <x v="167"/>
    <m/>
    <m/>
    <b v="0"/>
    <n v="1"/>
    <s v="Aged Deposit Balance"/>
    <m/>
    <m/>
    <m/>
    <m/>
    <m/>
    <m/>
    <m/>
    <m/>
    <m/>
    <m/>
    <m/>
    <m/>
    <m/>
    <m/>
    <m/>
    <m/>
    <m/>
    <m/>
    <m/>
    <m/>
    <m/>
    <m/>
    <m/>
    <m/>
    <m/>
    <m/>
    <m/>
    <m/>
    <m/>
    <n v="-10.6"/>
    <m/>
    <m/>
    <m/>
    <m/>
    <m/>
    <m/>
    <m/>
    <x v="9"/>
    <s v="PATIENT PAY"/>
    <m/>
    <m/>
    <m/>
    <s v="Biocorrect"/>
    <x v="1"/>
    <n v="1"/>
  </r>
  <r>
    <x v="1"/>
    <n v="17"/>
    <s v="Biocorrect "/>
    <d v="2023-09-30T00:00:00"/>
    <x v="168"/>
    <m/>
    <m/>
    <b v="0"/>
    <n v="1"/>
    <s v="Aged Deposit Balance"/>
    <m/>
    <m/>
    <m/>
    <m/>
    <m/>
    <m/>
    <m/>
    <m/>
    <m/>
    <m/>
    <m/>
    <m/>
    <m/>
    <m/>
    <m/>
    <m/>
    <m/>
    <m/>
    <m/>
    <m/>
    <m/>
    <m/>
    <m/>
    <m/>
    <m/>
    <m/>
    <m/>
    <m/>
    <m/>
    <n v="-749.14"/>
    <m/>
    <m/>
    <m/>
    <m/>
    <m/>
    <m/>
    <m/>
    <x v="9"/>
    <s v="PATIENT PAY"/>
    <m/>
    <m/>
    <m/>
    <s v="Biocorrect"/>
    <x v="1"/>
    <n v="1"/>
  </r>
  <r>
    <x v="1"/>
    <n v="17"/>
    <s v="Biocorrect "/>
    <d v="2023-09-30T00:00:00"/>
    <x v="169"/>
    <m/>
    <m/>
    <b v="0"/>
    <n v="1"/>
    <s v="Aged Deposit Balance"/>
    <m/>
    <m/>
    <m/>
    <m/>
    <m/>
    <m/>
    <m/>
    <m/>
    <m/>
    <m/>
    <m/>
    <m/>
    <m/>
    <m/>
    <m/>
    <m/>
    <m/>
    <m/>
    <m/>
    <m/>
    <m/>
    <m/>
    <m/>
    <m/>
    <m/>
    <m/>
    <m/>
    <m/>
    <m/>
    <n v="-270"/>
    <m/>
    <m/>
    <m/>
    <m/>
    <m/>
    <m/>
    <m/>
    <x v="9"/>
    <s v="PATIENT PAY"/>
    <m/>
    <m/>
    <m/>
    <s v="Biocorrect"/>
    <x v="1"/>
    <n v="1"/>
  </r>
  <r>
    <x v="1"/>
    <n v="17"/>
    <s v="Biocorrect "/>
    <d v="2023-09-30T00:00:00"/>
    <x v="170"/>
    <m/>
    <m/>
    <b v="0"/>
    <n v="1"/>
    <s v="Aged Deposit Balance"/>
    <m/>
    <m/>
    <m/>
    <m/>
    <m/>
    <m/>
    <m/>
    <m/>
    <m/>
    <m/>
    <m/>
    <m/>
    <m/>
    <m/>
    <m/>
    <m/>
    <m/>
    <m/>
    <m/>
    <m/>
    <m/>
    <m/>
    <m/>
    <m/>
    <m/>
    <m/>
    <m/>
    <m/>
    <m/>
    <n v="-278.5"/>
    <m/>
    <s v="BLUE CROSS BLUE SHIELD"/>
    <m/>
    <m/>
    <m/>
    <m/>
    <m/>
    <x v="9"/>
    <s v="PATIENT PAY"/>
    <m/>
    <m/>
    <m/>
    <s v="Biocorrect"/>
    <x v="1"/>
    <n v="1"/>
  </r>
  <r>
    <x v="0"/>
    <n v="17"/>
    <s v="Biocorrect "/>
    <d v="2023-09-30T00:00:00"/>
    <x v="126"/>
    <n v="10316468"/>
    <n v="53626759"/>
    <b v="0"/>
    <n v="22"/>
    <s v="L3020"/>
    <n v="216"/>
    <n v="216"/>
    <n v="1"/>
    <n v="216"/>
    <n v="0"/>
    <n v="0"/>
    <n v="0"/>
    <n v="0"/>
    <m/>
    <n v="0"/>
    <n v="0"/>
    <n v="0"/>
    <n v="0"/>
    <n v="0"/>
    <n v="0"/>
    <n v="0"/>
    <n v="0"/>
    <n v="0"/>
    <n v="0"/>
    <n v="0"/>
    <n v="0"/>
    <n v="0"/>
    <n v="0"/>
    <n v="0"/>
    <n v="0"/>
    <n v="0"/>
    <n v="0"/>
    <n v="0"/>
    <n v="0"/>
    <n v="216"/>
    <m/>
    <m/>
    <m/>
    <m/>
    <m/>
    <m/>
    <m/>
    <x v="9"/>
    <s v="PATIENT PAY"/>
    <n v="0"/>
    <n v="0"/>
    <s v="Biocorrect"/>
    <s v="Biocorrect"/>
    <x v="1"/>
    <n v="1"/>
  </r>
  <r>
    <x v="1"/>
    <n v="17"/>
    <s v="Biocorrect "/>
    <d v="2023-09-30T00:00:00"/>
    <x v="171"/>
    <m/>
    <m/>
    <b v="0"/>
    <n v="1"/>
    <s v="Aged Deposit Balance"/>
    <m/>
    <m/>
    <m/>
    <m/>
    <m/>
    <m/>
    <m/>
    <m/>
    <m/>
    <m/>
    <m/>
    <m/>
    <m/>
    <m/>
    <m/>
    <m/>
    <m/>
    <m/>
    <m/>
    <m/>
    <m/>
    <m/>
    <m/>
    <m/>
    <m/>
    <m/>
    <m/>
    <m/>
    <m/>
    <n v="-315"/>
    <m/>
    <m/>
    <m/>
    <m/>
    <m/>
    <m/>
    <m/>
    <x v="9"/>
    <s v="PATIENT PAY"/>
    <m/>
    <m/>
    <m/>
    <s v="Biocorrect"/>
    <x v="1"/>
    <n v="1"/>
  </r>
  <r>
    <x v="1"/>
    <n v="17"/>
    <s v="Biocorrect "/>
    <d v="2023-09-30T00:00:00"/>
    <x v="172"/>
    <m/>
    <m/>
    <b v="0"/>
    <n v="1"/>
    <s v="Aged Deposit Balance"/>
    <m/>
    <m/>
    <m/>
    <m/>
    <m/>
    <m/>
    <m/>
    <m/>
    <m/>
    <m/>
    <m/>
    <m/>
    <m/>
    <m/>
    <m/>
    <m/>
    <m/>
    <m/>
    <m/>
    <m/>
    <m/>
    <m/>
    <m/>
    <m/>
    <m/>
    <m/>
    <m/>
    <m/>
    <m/>
    <n v="-10"/>
    <m/>
    <m/>
    <m/>
    <m/>
    <m/>
    <m/>
    <m/>
    <x v="9"/>
    <s v="PATIENT PAY"/>
    <m/>
    <m/>
    <m/>
    <s v="Biocorrect"/>
    <x v="1"/>
    <n v="1"/>
  </r>
  <r>
    <x v="0"/>
    <n v="17"/>
    <s v="Biocorrect "/>
    <d v="2023-09-30T00:00:00"/>
    <x v="148"/>
    <n v="9284186"/>
    <n v="47178198"/>
    <b v="0"/>
    <n v="228"/>
    <s v="L3020"/>
    <n v="216"/>
    <n v="216"/>
    <n v="1"/>
    <n v="0"/>
    <n v="14.5"/>
    <n v="0"/>
    <n v="0"/>
    <n v="0"/>
    <m/>
    <n v="216"/>
    <n v="0"/>
    <n v="2"/>
    <n v="130.5"/>
    <n v="71"/>
    <n v="0"/>
    <n v="0"/>
    <n v="0"/>
    <n v="0"/>
    <n v="0"/>
    <n v="0"/>
    <n v="0"/>
    <n v="0"/>
    <n v="0"/>
    <n v="0"/>
    <n v="0"/>
    <n v="0"/>
    <n v="0"/>
    <n v="0"/>
    <n v="0"/>
    <n v="14.5"/>
    <m/>
    <s v="BLUE CROSS BLUE SHIELD"/>
    <m/>
    <m/>
    <s v="BCBSM PPO"/>
    <m/>
    <m/>
    <x v="9"/>
    <s v="PATIENT PAY"/>
    <n v="0"/>
    <n v="0"/>
    <s v="Biocorrect"/>
    <s v="Biocorrect"/>
    <x v="0"/>
    <n v="7"/>
  </r>
  <r>
    <x v="0"/>
    <n v="17"/>
    <s v="Biocorrect "/>
    <n v="45199"/>
    <x v="151"/>
    <n v="8989589"/>
    <n v="45657142"/>
    <b v="0"/>
    <n v="288"/>
    <s v="L3040"/>
    <n v="69"/>
    <n v="69"/>
    <n v="1"/>
    <n v="69"/>
    <n v="0"/>
    <n v="0"/>
    <n v="0"/>
    <n v="0"/>
    <m/>
    <n v="0"/>
    <n v="0"/>
    <n v="0"/>
    <n v="0"/>
    <n v="0"/>
    <n v="0"/>
    <n v="0"/>
    <n v="0"/>
    <n v="0"/>
    <n v="0"/>
    <n v="0"/>
    <n v="0"/>
    <n v="0"/>
    <n v="0"/>
    <n v="0"/>
    <n v="0"/>
    <n v="0"/>
    <n v="0"/>
    <n v="0"/>
    <n v="0"/>
    <n v="69"/>
    <m/>
    <m/>
    <m/>
    <m/>
    <m/>
    <m/>
    <m/>
    <x v="9"/>
    <s v="PATIENT PAY"/>
    <n v="0"/>
    <n v="0"/>
    <s v="Biocorrect"/>
    <s v="Biocorrect"/>
    <x v="0"/>
    <n v="7"/>
  </r>
  <r>
    <x v="0"/>
    <n v="17"/>
    <s v="Biocorrect "/>
    <n v="45199"/>
    <x v="79"/>
    <n v="10213979"/>
    <n v="53605329"/>
    <b v="0"/>
    <n v="36"/>
    <s v="L3020"/>
    <n v="150"/>
    <n v="150"/>
    <n v="1"/>
    <n v="150"/>
    <n v="0"/>
    <n v="0"/>
    <n v="0"/>
    <n v="0"/>
    <m/>
    <n v="0"/>
    <n v="0"/>
    <n v="0"/>
    <n v="0"/>
    <n v="0"/>
    <n v="0"/>
    <n v="0"/>
    <n v="0"/>
    <n v="0"/>
    <n v="0"/>
    <n v="0"/>
    <n v="0"/>
    <n v="0"/>
    <n v="0"/>
    <n v="0"/>
    <n v="0"/>
    <n v="0"/>
    <n v="0"/>
    <n v="0"/>
    <n v="0"/>
    <n v="150"/>
    <m/>
    <m/>
    <m/>
    <m/>
    <m/>
    <m/>
    <m/>
    <x v="9"/>
    <s v="PATIENT PAY"/>
    <n v="0"/>
    <n v="0"/>
    <s v="Biocorrect"/>
    <s v="Biocorrect"/>
    <x v="4"/>
    <n v="2"/>
  </r>
  <r>
    <x v="0"/>
    <n v="17"/>
    <s v="Biocorrect "/>
    <n v="45199"/>
    <x v="79"/>
    <n v="10213979"/>
    <n v="53605358"/>
    <b v="0"/>
    <n v="36"/>
    <s v="TAX: Custom Orthotics"/>
    <n v="18"/>
    <n v="18"/>
    <n v="1"/>
    <n v="18"/>
    <n v="0"/>
    <n v="0"/>
    <n v="0"/>
    <n v="0"/>
    <m/>
    <n v="0"/>
    <n v="0"/>
    <n v="0"/>
    <n v="0"/>
    <n v="0"/>
    <n v="0"/>
    <n v="0"/>
    <n v="0"/>
    <n v="0"/>
    <n v="0"/>
    <n v="0"/>
    <n v="0"/>
    <n v="0"/>
    <n v="0"/>
    <n v="0"/>
    <n v="0"/>
    <n v="0"/>
    <n v="0"/>
    <n v="0"/>
    <n v="0"/>
    <n v="18"/>
    <m/>
    <m/>
    <m/>
    <m/>
    <m/>
    <m/>
    <m/>
    <x v="9"/>
    <s v="PATIENT PAY"/>
    <n v="0"/>
    <n v="0"/>
    <s v="Biocorrect"/>
    <s v="Biocorrect"/>
    <x v="4"/>
    <n v="2"/>
  </r>
  <r>
    <x v="0"/>
    <n v="17"/>
    <s v="Biocorrect "/>
    <n v="45199"/>
    <x v="127"/>
    <n v="10343235"/>
    <n v="53707462"/>
    <b v="0"/>
    <n v="18"/>
    <s v="L3020"/>
    <n v="216"/>
    <n v="216"/>
    <n v="1"/>
    <n v="216"/>
    <n v="0"/>
    <n v="0"/>
    <n v="441"/>
    <n v="0"/>
    <m/>
    <n v="0"/>
    <n v="0"/>
    <n v="0"/>
    <n v="0"/>
    <n v="0"/>
    <n v="0"/>
    <n v="0"/>
    <n v="0"/>
    <n v="0"/>
    <n v="0"/>
    <n v="0"/>
    <n v="0"/>
    <n v="0"/>
    <n v="0"/>
    <n v="0"/>
    <n v="0"/>
    <n v="0"/>
    <n v="0"/>
    <n v="0"/>
    <n v="0"/>
    <n v="-225"/>
    <m/>
    <m/>
    <m/>
    <m/>
    <m/>
    <m/>
    <m/>
    <x v="9"/>
    <s v="PATIENT PAY"/>
    <n v="0"/>
    <n v="0"/>
    <s v="Biocorrect"/>
    <s v="Biocorrect"/>
    <x v="1"/>
    <n v="1"/>
  </r>
  <r>
    <x v="0"/>
    <n v="17"/>
    <s v="Biocorrect "/>
    <n v="45199"/>
    <x v="127"/>
    <n v="10343235"/>
    <n v="53707473"/>
    <b v="0"/>
    <n v="18"/>
    <s v="SHIP:"/>
    <n v="18"/>
    <n v="18"/>
    <n v="1"/>
    <n v="18"/>
    <n v="0"/>
    <n v="0"/>
    <n v="0"/>
    <n v="0"/>
    <m/>
    <n v="0"/>
    <n v="0"/>
    <n v="0"/>
    <n v="0"/>
    <n v="0"/>
    <n v="0"/>
    <n v="0"/>
    <n v="0"/>
    <n v="0"/>
    <n v="0"/>
    <n v="0"/>
    <n v="0"/>
    <n v="0"/>
    <n v="0"/>
    <n v="0"/>
    <n v="0"/>
    <n v="0"/>
    <n v="0"/>
    <n v="0"/>
    <n v="0"/>
    <n v="18"/>
    <m/>
    <m/>
    <m/>
    <m/>
    <m/>
    <m/>
    <m/>
    <x v="9"/>
    <s v="PATIENT PAY"/>
    <n v="0"/>
    <n v="0"/>
    <s v="Biocorrect"/>
    <s v="Biocorrect"/>
    <x v="1"/>
    <n v="1"/>
  </r>
  <r>
    <x v="1"/>
    <n v="17"/>
    <s v="Biocorrect "/>
    <n v="45199"/>
    <x v="173"/>
    <m/>
    <m/>
    <b v="0"/>
    <n v="1"/>
    <s v="Aged Deposit Balance"/>
    <m/>
    <m/>
    <m/>
    <m/>
    <m/>
    <m/>
    <m/>
    <m/>
    <m/>
    <m/>
    <m/>
    <m/>
    <m/>
    <m/>
    <m/>
    <m/>
    <m/>
    <m/>
    <m/>
    <m/>
    <m/>
    <m/>
    <m/>
    <m/>
    <m/>
    <m/>
    <m/>
    <m/>
    <m/>
    <n v="-374"/>
    <m/>
    <m/>
    <m/>
    <m/>
    <m/>
    <m/>
    <m/>
    <x v="9"/>
    <s v="PATIENT PAY"/>
    <m/>
    <m/>
    <m/>
    <s v="Biocorrect"/>
    <x v="1"/>
    <n v="1"/>
  </r>
  <r>
    <x v="1"/>
    <n v="17"/>
    <s v="Biocorrect "/>
    <n v="45199"/>
    <x v="174"/>
    <m/>
    <m/>
    <b v="0"/>
    <n v="1"/>
    <s v="Aged Deposit Balance"/>
    <m/>
    <m/>
    <m/>
    <m/>
    <m/>
    <m/>
    <m/>
    <m/>
    <m/>
    <m/>
    <m/>
    <m/>
    <m/>
    <m/>
    <m/>
    <m/>
    <m/>
    <m/>
    <m/>
    <m/>
    <m/>
    <m/>
    <m/>
    <m/>
    <m/>
    <m/>
    <m/>
    <m/>
    <m/>
    <n v="-66"/>
    <m/>
    <m/>
    <m/>
    <m/>
    <m/>
    <m/>
    <m/>
    <x v="9"/>
    <s v="PATIENT PAY"/>
    <m/>
    <m/>
    <m/>
    <s v="Biocorrect"/>
    <x v="1"/>
    <n v="1"/>
  </r>
  <r>
    <x v="0"/>
    <n v="17"/>
    <s v="Biocorrect "/>
    <n v="45199"/>
    <x v="175"/>
    <n v="9855905"/>
    <n v="50787715"/>
    <b v="0"/>
    <n v="113"/>
    <s v="L3010"/>
    <n v="216"/>
    <n v="216"/>
    <n v="1"/>
    <n v="0"/>
    <n v="49.62"/>
    <n v="0"/>
    <n v="0"/>
    <n v="0"/>
    <m/>
    <n v="216"/>
    <n v="0"/>
    <n v="1"/>
    <n v="115.81"/>
    <n v="50.57"/>
    <n v="0"/>
    <n v="0"/>
    <n v="0"/>
    <n v="0"/>
    <n v="0"/>
    <n v="0"/>
    <n v="0"/>
    <n v="0"/>
    <n v="0"/>
    <n v="0"/>
    <n v="0"/>
    <n v="0"/>
    <n v="0"/>
    <n v="0"/>
    <n v="0"/>
    <n v="49.62"/>
    <m/>
    <s v="FEDERAL EMPLOYEE PROGRAMS"/>
    <m/>
    <m/>
    <s v="BCBS Federal"/>
    <m/>
    <m/>
    <x v="9"/>
    <s v="PATIENT PAY"/>
    <n v="0"/>
    <n v="0"/>
    <s v="Biocorrect"/>
    <s v="Biocorrect"/>
    <x v="7"/>
    <n v="4"/>
  </r>
  <r>
    <x v="0"/>
    <n v="17"/>
    <s v="Biocorrect "/>
    <n v="45199"/>
    <x v="175"/>
    <n v="9855905"/>
    <n v="50787716"/>
    <b v="0"/>
    <n v="113"/>
    <s v="L3010"/>
    <n v="216"/>
    <n v="216"/>
    <n v="1"/>
    <n v="0"/>
    <n v="49.62"/>
    <n v="0"/>
    <n v="0"/>
    <n v="0"/>
    <m/>
    <n v="216"/>
    <n v="0"/>
    <n v="1"/>
    <n v="115.81"/>
    <n v="50.57"/>
    <n v="0"/>
    <n v="0"/>
    <n v="0"/>
    <n v="0"/>
    <n v="0"/>
    <n v="0"/>
    <n v="0"/>
    <n v="0"/>
    <n v="0"/>
    <n v="0"/>
    <n v="0"/>
    <n v="0"/>
    <n v="0"/>
    <n v="0"/>
    <n v="0"/>
    <n v="49.62"/>
    <m/>
    <s v="FEDERAL EMPLOYEE PROGRAMS"/>
    <m/>
    <m/>
    <s v="BCBS Federal"/>
    <m/>
    <m/>
    <x v="9"/>
    <s v="PATIENT PAY"/>
    <n v="0"/>
    <n v="0"/>
    <s v="Biocorrect"/>
    <s v="Biocorrect"/>
    <x v="7"/>
    <n v="4"/>
  </r>
  <r>
    <x v="0"/>
    <n v="17"/>
    <s v="Biocorrect "/>
    <n v="45199"/>
    <x v="176"/>
    <n v="10243619"/>
    <n v="52957428"/>
    <b v="0"/>
    <n v="43"/>
    <s v="L3010"/>
    <n v="120"/>
    <n v="120"/>
    <n v="1"/>
    <n v="120"/>
    <n v="0"/>
    <n v="0"/>
    <n v="254.4"/>
    <n v="0"/>
    <m/>
    <n v="0"/>
    <n v="0"/>
    <n v="0"/>
    <n v="0"/>
    <n v="0"/>
    <n v="0"/>
    <n v="0"/>
    <n v="0"/>
    <n v="0"/>
    <n v="0"/>
    <n v="0"/>
    <n v="0"/>
    <n v="0"/>
    <n v="0"/>
    <n v="0"/>
    <n v="0"/>
    <n v="0"/>
    <n v="0"/>
    <n v="0"/>
    <n v="0"/>
    <n v="-134.4"/>
    <m/>
    <m/>
    <m/>
    <m/>
    <m/>
    <m/>
    <m/>
    <x v="9"/>
    <s v="PATIENT PAY"/>
    <n v="0"/>
    <n v="0"/>
    <s v="Biocorrect"/>
    <s v="Biocorrect"/>
    <x v="4"/>
    <n v="2"/>
  </r>
  <r>
    <x v="0"/>
    <n v="17"/>
    <s v="Biocorrect "/>
    <n v="45199"/>
    <x v="177"/>
    <n v="6249956"/>
    <n v="31749475"/>
    <b v="0"/>
    <n v="991"/>
    <s v="L3010"/>
    <n v="216"/>
    <n v="216"/>
    <n v="1"/>
    <n v="0"/>
    <n v="34.700000000000003"/>
    <n v="0"/>
    <n v="33.700000000000003"/>
    <n v="0"/>
    <m/>
    <n v="216"/>
    <n v="0"/>
    <n v="1"/>
    <n v="107.46"/>
    <n v="73.84"/>
    <n v="0"/>
    <n v="0"/>
    <n v="0"/>
    <n v="0"/>
    <n v="0"/>
    <n v="0"/>
    <n v="0"/>
    <n v="0"/>
    <n v="0"/>
    <n v="0"/>
    <n v="0"/>
    <n v="0"/>
    <n v="0"/>
    <n v="0"/>
    <n v="0"/>
    <n v="1"/>
    <m/>
    <s v="BLUE CROSS BLUE SHIELD"/>
    <m/>
    <m/>
    <s v="BCBSM PPO"/>
    <m/>
    <m/>
    <x v="9"/>
    <s v="PATIENT PAY"/>
    <n v="0"/>
    <n v="0"/>
    <s v="Biocorrect"/>
    <s v="Biocorrect"/>
    <x v="3"/>
    <n v="8"/>
  </r>
  <r>
    <x v="0"/>
    <n v="17"/>
    <s v="Biocorrect "/>
    <n v="45199"/>
    <x v="178"/>
    <n v="7971213"/>
    <n v="40395421"/>
    <b v="0"/>
    <n v="502"/>
    <s v="L3020"/>
    <n v="216"/>
    <n v="216"/>
    <n v="1"/>
    <n v="216"/>
    <n v="0"/>
    <n v="0"/>
    <n v="0"/>
    <n v="0"/>
    <m/>
    <n v="0"/>
    <n v="0"/>
    <n v="0"/>
    <n v="0"/>
    <n v="0"/>
    <n v="0"/>
    <n v="0"/>
    <n v="0"/>
    <n v="0"/>
    <n v="0"/>
    <n v="0"/>
    <n v="0"/>
    <n v="0"/>
    <n v="0"/>
    <n v="0"/>
    <n v="0"/>
    <n v="0"/>
    <n v="0"/>
    <n v="0"/>
    <n v="0"/>
    <n v="216"/>
    <m/>
    <m/>
    <m/>
    <m/>
    <m/>
    <m/>
    <m/>
    <x v="9"/>
    <s v="PATIENT PAY"/>
    <n v="0"/>
    <n v="0"/>
    <s v="Biocorrect"/>
    <s v="Biocorrect"/>
    <x v="3"/>
    <n v="8"/>
  </r>
  <r>
    <x v="0"/>
    <n v="17"/>
    <s v="Biocorrect "/>
    <n v="45199"/>
    <x v="154"/>
    <n v="10088941"/>
    <n v="52067352"/>
    <b v="0"/>
    <n v="71"/>
    <s v="L3020"/>
    <n v="150"/>
    <n v="150"/>
    <n v="1"/>
    <n v="150"/>
    <n v="0"/>
    <n v="0"/>
    <n v="0"/>
    <n v="0"/>
    <m/>
    <n v="0"/>
    <n v="0"/>
    <n v="0"/>
    <n v="0"/>
    <n v="0"/>
    <n v="0"/>
    <n v="0"/>
    <n v="0"/>
    <n v="0"/>
    <n v="0"/>
    <n v="0"/>
    <n v="0"/>
    <n v="0"/>
    <n v="0"/>
    <n v="0"/>
    <n v="0"/>
    <n v="0"/>
    <n v="0"/>
    <n v="0"/>
    <n v="0"/>
    <n v="150"/>
    <m/>
    <m/>
    <m/>
    <m/>
    <m/>
    <m/>
    <m/>
    <x v="9"/>
    <s v="PATIENT PAY"/>
    <n v="0"/>
    <n v="0"/>
    <s v="Biocorrect"/>
    <s v="Biocorrect"/>
    <x v="2"/>
    <n v="3"/>
  </r>
  <r>
    <x v="0"/>
    <n v="17"/>
    <s v="Biocorrect "/>
    <n v="45199"/>
    <x v="155"/>
    <n v="10077725"/>
    <n v="52085601"/>
    <b v="0"/>
    <n v="71"/>
    <s v="L3010"/>
    <n v="216"/>
    <n v="216"/>
    <n v="1"/>
    <n v="0"/>
    <n v="216"/>
    <n v="0"/>
    <n v="0"/>
    <n v="0"/>
    <m/>
    <n v="216"/>
    <n v="0"/>
    <n v="0"/>
    <n v="0"/>
    <n v="0"/>
    <n v="0"/>
    <n v="0"/>
    <n v="0"/>
    <n v="0"/>
    <n v="0"/>
    <n v="0"/>
    <n v="0"/>
    <n v="0"/>
    <n v="0"/>
    <n v="0"/>
    <n v="0"/>
    <n v="0"/>
    <n v="0"/>
    <n v="0"/>
    <n v="0"/>
    <n v="216"/>
    <m/>
    <s v="BLUE CROSS BLUE SHIELD"/>
    <m/>
    <m/>
    <s v="BCBSM PPO"/>
    <m/>
    <m/>
    <x v="9"/>
    <s v="PATIENT PAY"/>
    <n v="0"/>
    <n v="0"/>
    <s v="Biocorrect"/>
    <s v="Biocorrect"/>
    <x v="2"/>
    <n v="3"/>
  </r>
  <r>
    <x v="0"/>
    <n v="17"/>
    <s v="Biocorrect "/>
    <n v="45199"/>
    <x v="154"/>
    <n v="10088941"/>
    <n v="52067356"/>
    <b v="0"/>
    <n v="71"/>
    <s v="TAX: Custom Orthotics"/>
    <n v="18"/>
    <n v="18"/>
    <n v="1"/>
    <n v="18"/>
    <n v="0"/>
    <n v="0"/>
    <n v="0"/>
    <n v="0"/>
    <m/>
    <n v="0"/>
    <n v="0"/>
    <n v="0"/>
    <n v="0"/>
    <n v="0"/>
    <n v="0"/>
    <n v="0"/>
    <n v="0"/>
    <n v="0"/>
    <n v="0"/>
    <n v="0"/>
    <n v="0"/>
    <n v="0"/>
    <n v="0"/>
    <n v="0"/>
    <n v="0"/>
    <n v="0"/>
    <n v="0"/>
    <n v="0"/>
    <n v="0"/>
    <n v="18"/>
    <m/>
    <m/>
    <m/>
    <m/>
    <m/>
    <m/>
    <m/>
    <x v="9"/>
    <s v="PATIENT PAY"/>
    <n v="0"/>
    <n v="0"/>
    <s v="Biocorrect"/>
    <s v="Biocorrect"/>
    <x v="2"/>
    <n v="3"/>
  </r>
  <r>
    <x v="0"/>
    <n v="17"/>
    <s v="Biocorrect "/>
    <n v="45199"/>
    <x v="158"/>
    <n v="10264737"/>
    <n v="53105389"/>
    <b v="0"/>
    <n v="38"/>
    <s v="L3020"/>
    <n v="150"/>
    <n v="150"/>
    <n v="1"/>
    <n v="150"/>
    <n v="0"/>
    <n v="0"/>
    <n v="118"/>
    <n v="0"/>
    <m/>
    <n v="0"/>
    <n v="0"/>
    <n v="0"/>
    <n v="0"/>
    <n v="0"/>
    <n v="0"/>
    <n v="0"/>
    <n v="0"/>
    <n v="0"/>
    <n v="0"/>
    <n v="0"/>
    <n v="0"/>
    <n v="0"/>
    <n v="0"/>
    <n v="0"/>
    <n v="0"/>
    <n v="0"/>
    <n v="0"/>
    <n v="0"/>
    <n v="0"/>
    <n v="32"/>
    <m/>
    <m/>
    <m/>
    <m/>
    <m/>
    <m/>
    <m/>
    <x v="9"/>
    <s v="PATIENT PAY"/>
    <n v="0"/>
    <n v="0"/>
    <s v="Biocorrect"/>
    <s v="Biocorrect"/>
    <x v="4"/>
    <n v="2"/>
  </r>
  <r>
    <x v="0"/>
    <n v="17"/>
    <s v="Biocorrect "/>
    <n v="45199"/>
    <x v="179"/>
    <n v="10402670"/>
    <n v="54103804"/>
    <b v="0"/>
    <n v="5"/>
    <s v="L3010"/>
    <n v="216"/>
    <n v="216"/>
    <n v="1"/>
    <n v="216"/>
    <n v="0"/>
    <n v="0"/>
    <n v="200"/>
    <n v="0"/>
    <m/>
    <n v="0"/>
    <n v="0"/>
    <n v="0"/>
    <n v="0"/>
    <n v="0"/>
    <n v="0"/>
    <n v="0"/>
    <n v="0"/>
    <n v="0"/>
    <n v="0"/>
    <n v="0"/>
    <n v="0"/>
    <n v="0"/>
    <n v="0"/>
    <n v="0"/>
    <n v="0"/>
    <n v="0"/>
    <n v="0"/>
    <n v="0"/>
    <n v="0"/>
    <n v="16"/>
    <m/>
    <m/>
    <m/>
    <m/>
    <m/>
    <m/>
    <m/>
    <x v="9"/>
    <s v="PATIENT PAY"/>
    <n v="0"/>
    <n v="0"/>
    <s v="Biocorrect"/>
    <s v="Biocorrect"/>
    <x v="1"/>
    <n v="1"/>
  </r>
  <r>
    <x v="0"/>
    <n v="17"/>
    <s v="Biocorrect "/>
    <n v="45199"/>
    <x v="180"/>
    <n v="9669052"/>
    <n v="49512372"/>
    <b v="0"/>
    <n v="152"/>
    <s v="L3020"/>
    <n v="216"/>
    <n v="216"/>
    <n v="1"/>
    <n v="0"/>
    <n v="204.78"/>
    <n v="0"/>
    <n v="0"/>
    <n v="0"/>
    <m/>
    <n v="216"/>
    <n v="0"/>
    <n v="0"/>
    <n v="0"/>
    <n v="11.22"/>
    <n v="0"/>
    <n v="0"/>
    <n v="0"/>
    <n v="0"/>
    <n v="0"/>
    <n v="0"/>
    <n v="0"/>
    <n v="0"/>
    <n v="0"/>
    <n v="0"/>
    <n v="0"/>
    <n v="0"/>
    <n v="0"/>
    <n v="0"/>
    <n v="0"/>
    <n v="204.78"/>
    <m/>
    <s v="BLUE CROSS BLUE SHIELD"/>
    <m/>
    <m/>
    <s v="BCBSM PPO"/>
    <m/>
    <m/>
    <x v="9"/>
    <s v="PATIENT PAY"/>
    <n v="0"/>
    <n v="0"/>
    <s v="Biocorrect"/>
    <s v="Biocorrect"/>
    <x v="5"/>
    <n v="6"/>
  </r>
  <r>
    <x v="0"/>
    <n v="17"/>
    <s v="Biocorrect "/>
    <n v="45199"/>
    <x v="180"/>
    <n v="9669052"/>
    <n v="49512371"/>
    <b v="0"/>
    <n v="152"/>
    <s v="L3020"/>
    <n v="216"/>
    <n v="216"/>
    <n v="1"/>
    <n v="0"/>
    <n v="204.78"/>
    <n v="0"/>
    <n v="0"/>
    <n v="0"/>
    <m/>
    <n v="216"/>
    <n v="0"/>
    <n v="0"/>
    <n v="0"/>
    <n v="11.22"/>
    <n v="0"/>
    <n v="0"/>
    <n v="0"/>
    <n v="0"/>
    <n v="0"/>
    <n v="0"/>
    <n v="0"/>
    <n v="0"/>
    <n v="0"/>
    <n v="0"/>
    <n v="0"/>
    <n v="0"/>
    <n v="0"/>
    <n v="0"/>
    <n v="0"/>
    <n v="204.78"/>
    <m/>
    <s v="BLUE CROSS BLUE SHIELD"/>
    <m/>
    <m/>
    <s v="BCBSM PPO"/>
    <m/>
    <m/>
    <x v="9"/>
    <s v="PATIENT PAY"/>
    <n v="0"/>
    <n v="0"/>
    <s v="Biocorrect"/>
    <s v="Biocorrect"/>
    <x v="5"/>
    <n v="6"/>
  </r>
  <r>
    <x v="0"/>
    <n v="17"/>
    <s v="Biocorrect "/>
    <n v="45199"/>
    <x v="181"/>
    <n v="10302722"/>
    <n v="53977203"/>
    <b v="0"/>
    <n v="12"/>
    <s v="L3010"/>
    <n v="216"/>
    <n v="216"/>
    <n v="1"/>
    <n v="216"/>
    <n v="0"/>
    <n v="0"/>
    <n v="0"/>
    <n v="0"/>
    <m/>
    <n v="0"/>
    <n v="0"/>
    <n v="0"/>
    <n v="0"/>
    <n v="0"/>
    <n v="0"/>
    <n v="0"/>
    <n v="0"/>
    <n v="0"/>
    <n v="0"/>
    <n v="0"/>
    <n v="0"/>
    <n v="0"/>
    <n v="0"/>
    <n v="0"/>
    <n v="0"/>
    <n v="0"/>
    <n v="0"/>
    <n v="0"/>
    <n v="0"/>
    <n v="216"/>
    <m/>
    <m/>
    <m/>
    <m/>
    <m/>
    <m/>
    <m/>
    <x v="9"/>
    <s v="PATIENT PAY"/>
    <n v="0"/>
    <n v="0"/>
    <s v="Biocorrect"/>
    <s v="Biocorrect"/>
    <x v="1"/>
    <n v="1"/>
  </r>
  <r>
    <x v="0"/>
    <n v="17"/>
    <s v="Biocorrect "/>
    <n v="45199"/>
    <x v="159"/>
    <n v="8054253"/>
    <n v="41209544"/>
    <b v="0"/>
    <n v="467"/>
    <s v="L3010"/>
    <n v="216"/>
    <n v="216"/>
    <n v="1"/>
    <n v="216"/>
    <n v="0"/>
    <n v="0"/>
    <n v="0"/>
    <n v="0"/>
    <m/>
    <n v="0"/>
    <n v="0"/>
    <n v="0"/>
    <n v="0"/>
    <n v="0"/>
    <n v="0"/>
    <n v="0"/>
    <n v="0"/>
    <n v="0"/>
    <n v="0"/>
    <n v="0"/>
    <n v="0"/>
    <n v="0"/>
    <n v="0"/>
    <n v="0"/>
    <n v="0"/>
    <n v="0"/>
    <n v="0"/>
    <n v="0"/>
    <n v="0"/>
    <n v="216"/>
    <m/>
    <m/>
    <m/>
    <m/>
    <m/>
    <m/>
    <m/>
    <x v="9"/>
    <s v="PATIENT PAY"/>
    <n v="0"/>
    <n v="0"/>
    <s v="Biocorrect"/>
    <s v="Biocorrect"/>
    <x v="3"/>
    <n v="8"/>
  </r>
  <r>
    <x v="0"/>
    <n v="17"/>
    <s v="Biocorrect "/>
    <n v="45199"/>
    <x v="182"/>
    <n v="8254203"/>
    <n v="42489759"/>
    <b v="0"/>
    <n v="432"/>
    <s v="L3020"/>
    <n v="216"/>
    <n v="216"/>
    <n v="1"/>
    <n v="216"/>
    <n v="0"/>
    <n v="22"/>
    <n v="10"/>
    <n v="0"/>
    <m/>
    <n v="0"/>
    <n v="0"/>
    <n v="0"/>
    <n v="0"/>
    <n v="0"/>
    <n v="0"/>
    <n v="0"/>
    <n v="0"/>
    <n v="0"/>
    <n v="0"/>
    <n v="0"/>
    <n v="0"/>
    <n v="0"/>
    <n v="0"/>
    <n v="0"/>
    <n v="0"/>
    <n v="0"/>
    <n v="0"/>
    <n v="0"/>
    <n v="0"/>
    <n v="184"/>
    <m/>
    <m/>
    <m/>
    <m/>
    <m/>
    <m/>
    <m/>
    <x v="9"/>
    <s v="PATIENT PAY"/>
    <n v="0"/>
    <n v="0"/>
    <s v="Biocorrect"/>
    <s v="Biocorrect"/>
    <x v="3"/>
    <n v="8"/>
  </r>
  <r>
    <x v="0"/>
    <n v="17"/>
    <s v="Biocorrect "/>
    <n v="45199"/>
    <x v="182"/>
    <n v="8254203"/>
    <n v="42489761"/>
    <b v="0"/>
    <n v="432"/>
    <s v="L3020"/>
    <n v="216"/>
    <n v="216"/>
    <n v="1"/>
    <n v="216"/>
    <n v="0"/>
    <n v="0"/>
    <n v="0"/>
    <n v="0"/>
    <m/>
    <n v="0"/>
    <n v="0"/>
    <n v="0"/>
    <n v="0"/>
    <n v="0"/>
    <n v="0"/>
    <n v="0"/>
    <n v="0"/>
    <n v="0"/>
    <n v="0"/>
    <n v="0"/>
    <n v="0"/>
    <n v="0"/>
    <n v="0"/>
    <n v="0"/>
    <n v="0"/>
    <n v="0"/>
    <n v="0"/>
    <n v="0"/>
    <n v="0"/>
    <n v="216"/>
    <m/>
    <m/>
    <m/>
    <m/>
    <m/>
    <m/>
    <m/>
    <x v="9"/>
    <s v="PATIENT PAY"/>
    <n v="0"/>
    <n v="0"/>
    <s v="Biocorrect"/>
    <s v="Biocorrect"/>
    <x v="3"/>
    <n v="8"/>
  </r>
  <r>
    <x v="0"/>
    <n v="17"/>
    <s v="Biocorrect "/>
    <n v="45199"/>
    <x v="183"/>
    <n v="9546708"/>
    <n v="48632469"/>
    <b v="0"/>
    <n v="179"/>
    <s v="L3010"/>
    <n v="150"/>
    <n v="150"/>
    <n v="1"/>
    <n v="150"/>
    <n v="0"/>
    <n v="0"/>
    <n v="300"/>
    <n v="0"/>
    <m/>
    <n v="0"/>
    <n v="0"/>
    <n v="0"/>
    <n v="0"/>
    <n v="0"/>
    <n v="0"/>
    <n v="0"/>
    <n v="0"/>
    <n v="0"/>
    <n v="0"/>
    <n v="0"/>
    <n v="0"/>
    <n v="0"/>
    <n v="0"/>
    <n v="0"/>
    <n v="0"/>
    <n v="0"/>
    <n v="0"/>
    <n v="0"/>
    <n v="0"/>
    <n v="-150"/>
    <m/>
    <m/>
    <m/>
    <m/>
    <m/>
    <m/>
    <m/>
    <x v="9"/>
    <s v="PATIENT PAY"/>
    <n v="0"/>
    <n v="0"/>
    <s v="Biocorrect"/>
    <s v="Biocorrect"/>
    <x v="5"/>
    <n v="6"/>
  </r>
  <r>
    <x v="0"/>
    <n v="17"/>
    <s v="Biocorrect "/>
    <n v="45199"/>
    <x v="183"/>
    <n v="9546708"/>
    <n v="48632474"/>
    <b v="0"/>
    <n v="179"/>
    <s v="L3010"/>
    <n v="150"/>
    <n v="150"/>
    <n v="1"/>
    <n v="150"/>
    <n v="0"/>
    <n v="0"/>
    <n v="0"/>
    <n v="0"/>
    <m/>
    <n v="0"/>
    <n v="0"/>
    <n v="0"/>
    <n v="0"/>
    <n v="0"/>
    <n v="0"/>
    <n v="0"/>
    <n v="0"/>
    <n v="0"/>
    <n v="0"/>
    <n v="0"/>
    <n v="0"/>
    <n v="0"/>
    <n v="0"/>
    <n v="0"/>
    <n v="0"/>
    <n v="0"/>
    <n v="0"/>
    <n v="0"/>
    <n v="0"/>
    <n v="150"/>
    <m/>
    <m/>
    <m/>
    <m/>
    <m/>
    <m/>
    <m/>
    <x v="9"/>
    <s v="PATIENT PAY"/>
    <n v="0"/>
    <n v="0"/>
    <s v="Biocorrect"/>
    <s v="Biocorrect"/>
    <x v="5"/>
    <n v="6"/>
  </r>
  <r>
    <x v="0"/>
    <n v="17"/>
    <s v="Biocorrect "/>
    <n v="45199"/>
    <x v="100"/>
    <n v="10297269"/>
    <n v="53385989"/>
    <b v="0"/>
    <n v="30"/>
    <s v="L3010"/>
    <n v="216"/>
    <n v="216"/>
    <n v="1"/>
    <n v="216"/>
    <n v="0"/>
    <n v="0"/>
    <n v="441"/>
    <n v="0"/>
    <m/>
    <n v="0"/>
    <n v="0"/>
    <n v="0"/>
    <n v="0"/>
    <n v="0"/>
    <n v="0"/>
    <n v="0"/>
    <n v="0"/>
    <n v="0"/>
    <n v="0"/>
    <n v="0"/>
    <n v="0"/>
    <n v="0"/>
    <n v="0"/>
    <n v="0"/>
    <n v="0"/>
    <n v="0"/>
    <n v="0"/>
    <n v="0"/>
    <n v="0"/>
    <n v="-225"/>
    <m/>
    <m/>
    <m/>
    <m/>
    <m/>
    <m/>
    <m/>
    <x v="9"/>
    <s v="PATIENT PAY"/>
    <n v="0"/>
    <n v="0"/>
    <s v="Biocorrect"/>
    <s v="Biocorrect"/>
    <x v="1"/>
    <n v="1"/>
  </r>
  <r>
    <x v="1"/>
    <n v="17"/>
    <s v="Biocorrect "/>
    <n v="45199"/>
    <x v="184"/>
    <m/>
    <m/>
    <b v="0"/>
    <n v="1"/>
    <s v="Aged Deposit Balance"/>
    <m/>
    <m/>
    <m/>
    <m/>
    <m/>
    <m/>
    <m/>
    <m/>
    <m/>
    <m/>
    <m/>
    <m/>
    <m/>
    <m/>
    <m/>
    <m/>
    <m/>
    <m/>
    <m/>
    <m/>
    <m/>
    <m/>
    <m/>
    <m/>
    <m/>
    <m/>
    <m/>
    <m/>
    <m/>
    <n v="-2"/>
    <m/>
    <m/>
    <m/>
    <m/>
    <m/>
    <m/>
    <m/>
    <x v="9"/>
    <s v="PATIENT PAY"/>
    <m/>
    <m/>
    <m/>
    <s v="Biocorrect"/>
    <x v="1"/>
    <n v="1"/>
  </r>
  <r>
    <x v="1"/>
    <n v="17"/>
    <s v="Biocorrect "/>
    <n v="45199"/>
    <x v="185"/>
    <m/>
    <m/>
    <b v="0"/>
    <n v="1"/>
    <s v="Aged Deposit Balance"/>
    <m/>
    <m/>
    <m/>
    <m/>
    <m/>
    <m/>
    <m/>
    <m/>
    <m/>
    <m/>
    <m/>
    <m/>
    <m/>
    <m/>
    <m/>
    <m/>
    <m/>
    <m/>
    <m/>
    <m/>
    <m/>
    <m/>
    <m/>
    <m/>
    <m/>
    <m/>
    <m/>
    <m/>
    <m/>
    <n v="-25"/>
    <m/>
    <m/>
    <m/>
    <m/>
    <m/>
    <m/>
    <m/>
    <x v="9"/>
    <s v="PATIENT PAY"/>
    <m/>
    <m/>
    <m/>
    <s v="Biocorrect"/>
    <x v="1"/>
    <n v="1"/>
  </r>
  <r>
    <x v="0"/>
    <n v="17"/>
    <s v="Biocorrect "/>
    <n v="45199"/>
    <x v="186"/>
    <n v="10034322"/>
    <n v="51836414"/>
    <b v="0"/>
    <n v="79"/>
    <s v="L3020"/>
    <n v="216"/>
    <n v="216"/>
    <n v="1"/>
    <n v="0"/>
    <n v="216"/>
    <n v="0"/>
    <n v="0"/>
    <n v="0"/>
    <m/>
    <n v="216"/>
    <n v="0"/>
    <n v="0"/>
    <n v="0"/>
    <n v="0"/>
    <n v="0"/>
    <n v="0"/>
    <n v="0"/>
    <n v="0"/>
    <n v="0"/>
    <n v="0"/>
    <n v="0"/>
    <n v="0"/>
    <n v="0"/>
    <n v="0"/>
    <n v="0"/>
    <n v="0"/>
    <n v="0"/>
    <n v="0"/>
    <n v="0"/>
    <n v="216"/>
    <m/>
    <s v="BLUE CROSS BLUE SHIELD"/>
    <m/>
    <m/>
    <s v="BCBS Out of State"/>
    <m/>
    <m/>
    <x v="9"/>
    <s v="PATIENT PAY"/>
    <n v="0"/>
    <n v="0"/>
    <s v="Biocorrect"/>
    <s v="Biocorrect"/>
    <x v="2"/>
    <n v="3"/>
  </r>
  <r>
    <x v="0"/>
    <n v="17"/>
    <s v="Biocorrect "/>
    <n v="45199"/>
    <x v="186"/>
    <n v="10034322"/>
    <n v="51836420"/>
    <b v="0"/>
    <n v="79"/>
    <s v="L3020"/>
    <n v="216"/>
    <n v="216"/>
    <n v="1"/>
    <n v="0"/>
    <n v="216"/>
    <n v="0"/>
    <n v="0"/>
    <n v="0"/>
    <m/>
    <n v="216"/>
    <n v="0"/>
    <n v="0"/>
    <n v="0"/>
    <n v="0"/>
    <n v="0"/>
    <n v="0"/>
    <n v="0"/>
    <n v="0"/>
    <n v="0"/>
    <n v="0"/>
    <n v="0"/>
    <n v="0"/>
    <n v="0"/>
    <n v="0"/>
    <n v="0"/>
    <n v="0"/>
    <n v="0"/>
    <n v="0"/>
    <n v="0"/>
    <n v="216"/>
    <m/>
    <s v="BLUE CROSS BLUE SHIELD"/>
    <m/>
    <m/>
    <s v="BCBS Out of State"/>
    <m/>
    <m/>
    <x v="9"/>
    <s v="PATIENT PAY"/>
    <n v="0"/>
    <n v="0"/>
    <s v="Biocorrect"/>
    <s v="Biocorrect"/>
    <x v="2"/>
    <n v="3"/>
  </r>
  <r>
    <x v="0"/>
    <n v="17"/>
    <s v="Biocorrect "/>
    <n v="45199"/>
    <x v="136"/>
    <n v="7826913"/>
    <n v="39333234"/>
    <b v="0"/>
    <n v="550"/>
    <s v="L3020"/>
    <n v="186"/>
    <n v="186"/>
    <n v="1"/>
    <n v="186"/>
    <n v="0"/>
    <n v="0"/>
    <n v="216"/>
    <n v="0"/>
    <m/>
    <n v="0"/>
    <n v="0"/>
    <n v="0"/>
    <n v="0"/>
    <n v="0"/>
    <n v="0"/>
    <n v="0"/>
    <n v="0"/>
    <n v="0"/>
    <n v="0"/>
    <n v="0"/>
    <n v="0"/>
    <n v="0"/>
    <n v="0"/>
    <n v="0"/>
    <n v="0"/>
    <n v="0"/>
    <n v="0"/>
    <n v="0"/>
    <n v="0"/>
    <n v="-30"/>
    <m/>
    <m/>
    <m/>
    <m/>
    <m/>
    <m/>
    <m/>
    <x v="9"/>
    <s v="PATIENT PAY"/>
    <n v="0"/>
    <n v="0"/>
    <s v="Biocorrect"/>
    <s v="Biocorrect"/>
    <x v="3"/>
    <n v="8"/>
  </r>
  <r>
    <x v="1"/>
    <n v="17"/>
    <s v="Biocorrect "/>
    <n v="45199"/>
    <x v="187"/>
    <m/>
    <m/>
    <b v="0"/>
    <n v="1"/>
    <s v="Aged Deposit Balance"/>
    <m/>
    <m/>
    <m/>
    <m/>
    <m/>
    <m/>
    <m/>
    <m/>
    <m/>
    <m/>
    <m/>
    <m/>
    <m/>
    <m/>
    <m/>
    <m/>
    <m/>
    <m/>
    <m/>
    <m/>
    <m/>
    <m/>
    <m/>
    <m/>
    <m/>
    <m/>
    <m/>
    <m/>
    <m/>
    <n v="-147.68"/>
    <m/>
    <m/>
    <m/>
    <m/>
    <m/>
    <m/>
    <m/>
    <x v="9"/>
    <s v="PATIENT PAY"/>
    <m/>
    <m/>
    <m/>
    <s v="Biocorrect"/>
    <x v="1"/>
    <n v="1"/>
  </r>
  <r>
    <x v="1"/>
    <n v="17"/>
    <s v="Biocorrect "/>
    <n v="45199"/>
    <x v="188"/>
    <m/>
    <m/>
    <b v="0"/>
    <n v="1"/>
    <s v="Aged Deposit Balance"/>
    <m/>
    <m/>
    <m/>
    <m/>
    <m/>
    <m/>
    <m/>
    <m/>
    <m/>
    <m/>
    <m/>
    <m/>
    <m/>
    <m/>
    <m/>
    <m/>
    <m/>
    <m/>
    <m/>
    <m/>
    <m/>
    <m/>
    <m/>
    <m/>
    <m/>
    <m/>
    <m/>
    <m/>
    <m/>
    <n v="-50.76"/>
    <m/>
    <s v="FEDERAL EMPLOYEE PROGRAMS"/>
    <m/>
    <m/>
    <m/>
    <m/>
    <m/>
    <x v="9"/>
    <s v="PATIENT PAY"/>
    <m/>
    <m/>
    <m/>
    <s v="Biocorrect"/>
    <x v="1"/>
    <n v="1"/>
  </r>
  <r>
    <x v="1"/>
    <n v="17"/>
    <s v="Biocorrect "/>
    <n v="45199"/>
    <x v="189"/>
    <m/>
    <m/>
    <b v="0"/>
    <n v="1"/>
    <s v="Aged Deposit Balance"/>
    <m/>
    <m/>
    <m/>
    <m/>
    <m/>
    <m/>
    <m/>
    <m/>
    <m/>
    <m/>
    <m/>
    <m/>
    <m/>
    <m/>
    <m/>
    <m/>
    <m/>
    <m/>
    <m/>
    <m/>
    <m/>
    <m/>
    <m/>
    <m/>
    <m/>
    <m/>
    <m/>
    <m/>
    <m/>
    <n v="-22.44"/>
    <m/>
    <s v="BLUE CROSS BLUE SHIELD"/>
    <m/>
    <m/>
    <m/>
    <m/>
    <m/>
    <x v="9"/>
    <s v="PATIENT PAY"/>
    <m/>
    <m/>
    <m/>
    <s v="Biocorrect"/>
    <x v="1"/>
    <n v="1"/>
  </r>
  <r>
    <x v="1"/>
    <n v="17"/>
    <s v="Biocorrect "/>
    <n v="45199"/>
    <x v="190"/>
    <m/>
    <m/>
    <b v="0"/>
    <n v="1"/>
    <s v="Aged Deposit Balance"/>
    <m/>
    <m/>
    <m/>
    <m/>
    <m/>
    <m/>
    <m/>
    <m/>
    <m/>
    <m/>
    <m/>
    <m/>
    <m/>
    <m/>
    <m/>
    <m/>
    <m/>
    <m/>
    <m/>
    <m/>
    <m/>
    <m/>
    <m/>
    <m/>
    <m/>
    <m/>
    <m/>
    <m/>
    <m/>
    <n v="-370.56"/>
    <m/>
    <s v="BLUE CROSS BLUE SHIELD"/>
    <m/>
    <m/>
    <m/>
    <m/>
    <m/>
    <x v="9"/>
    <s v="PATIENT PAY"/>
    <m/>
    <m/>
    <m/>
    <s v="Biocorrect"/>
    <x v="1"/>
    <n v="1"/>
  </r>
  <r>
    <x v="1"/>
    <n v="17"/>
    <s v="Biocorrect "/>
    <n v="45199"/>
    <x v="191"/>
    <m/>
    <m/>
    <b v="0"/>
    <n v="1"/>
    <s v="Aged Deposit Balance"/>
    <m/>
    <m/>
    <m/>
    <m/>
    <m/>
    <m/>
    <m/>
    <m/>
    <m/>
    <m/>
    <m/>
    <m/>
    <m/>
    <m/>
    <m/>
    <m/>
    <m/>
    <m/>
    <m/>
    <m/>
    <m/>
    <m/>
    <m/>
    <m/>
    <m/>
    <m/>
    <m/>
    <m/>
    <m/>
    <n v="-7"/>
    <m/>
    <m/>
    <m/>
    <m/>
    <m/>
    <m/>
    <m/>
    <x v="9"/>
    <s v="PATIENT PAY"/>
    <m/>
    <m/>
    <m/>
    <s v="Biocorrect"/>
    <x v="1"/>
    <n v="1"/>
  </r>
  <r>
    <x v="0"/>
    <n v="17"/>
    <s v="Biocorrect "/>
    <n v="45199"/>
    <x v="192"/>
    <n v="9938282"/>
    <n v="51067986"/>
    <b v="0"/>
    <n v="102"/>
    <s v="Top Cover Replacement"/>
    <n v="100"/>
    <n v="50"/>
    <n v="2"/>
    <n v="100"/>
    <n v="0"/>
    <n v="200"/>
    <n v="0"/>
    <n v="0"/>
    <m/>
    <n v="0"/>
    <n v="0"/>
    <n v="0"/>
    <n v="0"/>
    <n v="0"/>
    <n v="0"/>
    <n v="0"/>
    <n v="0"/>
    <n v="0"/>
    <n v="0"/>
    <n v="0"/>
    <n v="0"/>
    <n v="0"/>
    <n v="0"/>
    <n v="0"/>
    <n v="0"/>
    <n v="0"/>
    <n v="0"/>
    <n v="0"/>
    <n v="0"/>
    <n v="-100"/>
    <m/>
    <m/>
    <m/>
    <m/>
    <m/>
    <m/>
    <m/>
    <x v="9"/>
    <s v="PATIENT PAY"/>
    <n v="0"/>
    <n v="0"/>
    <s v="Biocorrect"/>
    <s v="Biocorrect"/>
    <x v="7"/>
    <n v="4"/>
  </r>
  <r>
    <x v="0"/>
    <n v="17"/>
    <s v="Biocorrect "/>
    <n v="45199"/>
    <x v="193"/>
    <n v="9542719"/>
    <n v="49258633"/>
    <b v="0"/>
    <n v="159"/>
    <s v="L3010"/>
    <n v="216"/>
    <n v="216"/>
    <n v="1"/>
    <n v="216"/>
    <n v="0"/>
    <n v="0"/>
    <n v="150"/>
    <n v="0"/>
    <m/>
    <n v="0"/>
    <n v="0"/>
    <n v="0"/>
    <n v="0"/>
    <n v="0"/>
    <n v="0"/>
    <n v="0"/>
    <n v="0"/>
    <n v="0"/>
    <n v="0"/>
    <n v="0"/>
    <n v="0"/>
    <n v="0"/>
    <n v="0"/>
    <n v="0"/>
    <n v="0"/>
    <n v="0"/>
    <n v="0"/>
    <n v="0"/>
    <n v="0"/>
    <n v="66"/>
    <m/>
    <m/>
    <m/>
    <m/>
    <m/>
    <m/>
    <m/>
    <x v="9"/>
    <s v="PATIENT PAY"/>
    <n v="0"/>
    <n v="0"/>
    <s v="Biocorrect"/>
    <s v="Biocorrect"/>
    <x v="5"/>
    <n v="6"/>
  </r>
  <r>
    <x v="0"/>
    <n v="17"/>
    <s v="Biocorrect "/>
    <n v="45199"/>
    <x v="193"/>
    <n v="9542719"/>
    <n v="49258637"/>
    <b v="0"/>
    <n v="159"/>
    <s v="L3010"/>
    <n v="216"/>
    <n v="216"/>
    <n v="1"/>
    <n v="216"/>
    <n v="0"/>
    <n v="0"/>
    <n v="0"/>
    <n v="0"/>
    <m/>
    <n v="0"/>
    <n v="0"/>
    <n v="0"/>
    <n v="0"/>
    <n v="0"/>
    <n v="0"/>
    <n v="0"/>
    <n v="0"/>
    <n v="0"/>
    <n v="0"/>
    <n v="0"/>
    <n v="0"/>
    <n v="0"/>
    <n v="0"/>
    <n v="0"/>
    <n v="0"/>
    <n v="0"/>
    <n v="0"/>
    <n v="0"/>
    <n v="0"/>
    <n v="216"/>
    <m/>
    <m/>
    <m/>
    <m/>
    <m/>
    <m/>
    <m/>
    <x v="9"/>
    <s v="PATIENT PAY"/>
    <n v="0"/>
    <n v="0"/>
    <s v="Biocorrect"/>
    <s v="Biocorrect"/>
    <x v="5"/>
    <n v="6"/>
  </r>
  <r>
    <x v="0"/>
    <n v="17"/>
    <s v="Biocorrect "/>
    <n v="45199"/>
    <x v="194"/>
    <n v="9764741"/>
    <n v="50226248"/>
    <b v="0"/>
    <n v="130"/>
    <s v="L3020"/>
    <n v="216"/>
    <n v="216"/>
    <n v="1"/>
    <n v="0"/>
    <n v="155.41"/>
    <n v="0"/>
    <n v="5.22"/>
    <n v="0"/>
    <m/>
    <n v="216"/>
    <n v="0"/>
    <n v="1"/>
    <n v="49.37"/>
    <n v="11.22"/>
    <n v="0"/>
    <n v="0"/>
    <n v="0"/>
    <n v="0"/>
    <n v="0"/>
    <n v="0"/>
    <n v="0"/>
    <n v="0"/>
    <n v="0"/>
    <n v="0"/>
    <n v="0"/>
    <n v="0"/>
    <n v="0"/>
    <n v="0"/>
    <n v="0"/>
    <n v="150.19"/>
    <m/>
    <s v="FEDERAL EMPLOYEE PROGRAMS"/>
    <m/>
    <m/>
    <s v="BCBS Federal"/>
    <m/>
    <m/>
    <x v="9"/>
    <s v="PATIENT PAY"/>
    <n v="0"/>
    <n v="0"/>
    <s v="Biocorrect"/>
    <s v="Biocorrect"/>
    <x v="6"/>
    <n v="5"/>
  </r>
  <r>
    <x v="0"/>
    <n v="17"/>
    <s v="Biocorrect "/>
    <n v="45199"/>
    <x v="195"/>
    <n v="10328331"/>
    <n v="53720107"/>
    <b v="0"/>
    <n v="18"/>
    <s v="L3020"/>
    <n v="216"/>
    <n v="216"/>
    <n v="1"/>
    <n v="0"/>
    <n v="20.48"/>
    <n v="0"/>
    <n v="0"/>
    <n v="0"/>
    <m/>
    <n v="216"/>
    <n v="0"/>
    <n v="1"/>
    <n v="184.3"/>
    <n v="11.22"/>
    <n v="0"/>
    <n v="0"/>
    <n v="0"/>
    <n v="0"/>
    <n v="0"/>
    <n v="0"/>
    <n v="0"/>
    <n v="0"/>
    <n v="0"/>
    <n v="0"/>
    <n v="0"/>
    <n v="0"/>
    <n v="0"/>
    <n v="0"/>
    <n v="0"/>
    <n v="20.48"/>
    <m/>
    <s v="BLUE CROSS BLUE SHIELD"/>
    <m/>
    <m/>
    <s v="BCBSM PPO"/>
    <m/>
    <m/>
    <x v="9"/>
    <s v="PATIENT PAY"/>
    <n v="0"/>
    <n v="0"/>
    <s v="Biocorrect"/>
    <s v="Biocorrect"/>
    <x v="1"/>
    <n v="1"/>
  </r>
  <r>
    <x v="0"/>
    <n v="17"/>
    <s v="Biocorrect "/>
    <n v="45199"/>
    <x v="196"/>
    <n v="4227839"/>
    <n v="19024987"/>
    <b v="0"/>
    <n v="1747"/>
    <s v="L3020"/>
    <n v="216"/>
    <n v="216"/>
    <n v="1"/>
    <n v="0"/>
    <n v="216"/>
    <n v="0"/>
    <n v="298"/>
    <n v="0"/>
    <m/>
    <n v="216"/>
    <n v="0"/>
    <n v="0"/>
    <n v="0"/>
    <n v="0"/>
    <n v="0"/>
    <n v="0"/>
    <n v="0"/>
    <n v="0"/>
    <n v="0"/>
    <n v="0"/>
    <n v="0"/>
    <n v="0"/>
    <n v="0"/>
    <n v="0"/>
    <n v="0"/>
    <n v="0"/>
    <n v="0"/>
    <n v="0"/>
    <n v="0"/>
    <n v="-82"/>
    <m/>
    <s v="BLUE CROSS BLUE SHIELD"/>
    <m/>
    <m/>
    <s v="BCBSM PPO"/>
    <m/>
    <m/>
    <x v="9"/>
    <s v="PATIENT PAY"/>
    <n v="0"/>
    <n v="0"/>
    <s v="Biocorrect"/>
    <s v="Biocorrect"/>
    <x v="3"/>
    <n v="8"/>
  </r>
  <r>
    <x v="0"/>
    <n v="17"/>
    <s v="Biocorrect "/>
    <n v="45199"/>
    <x v="196"/>
    <n v="4227839"/>
    <n v="19024998"/>
    <b v="0"/>
    <n v="1747"/>
    <s v="L3020"/>
    <n v="216"/>
    <n v="216"/>
    <n v="1"/>
    <n v="0"/>
    <n v="216"/>
    <n v="0"/>
    <n v="134"/>
    <n v="0"/>
    <m/>
    <n v="216"/>
    <n v="0"/>
    <n v="0"/>
    <n v="0"/>
    <n v="0"/>
    <n v="0"/>
    <n v="0"/>
    <n v="0"/>
    <n v="0"/>
    <n v="0"/>
    <n v="0"/>
    <n v="0"/>
    <n v="0"/>
    <n v="0"/>
    <n v="0"/>
    <n v="0"/>
    <n v="0"/>
    <n v="0"/>
    <n v="0"/>
    <n v="0"/>
    <n v="82"/>
    <m/>
    <s v="BLUE CROSS BLUE SHIELD"/>
    <m/>
    <m/>
    <s v="BCBSM PPO"/>
    <m/>
    <m/>
    <x v="9"/>
    <s v="PATIENT PAY"/>
    <n v="0"/>
    <n v="0"/>
    <s v="Biocorrect"/>
    <s v="Biocorrect"/>
    <x v="3"/>
    <n v="8"/>
  </r>
  <r>
    <x v="0"/>
    <n v="17"/>
    <s v="Biocorrect "/>
    <n v="45199"/>
    <x v="197"/>
    <n v="10331628"/>
    <n v="53671593"/>
    <b v="0"/>
    <n v="19"/>
    <s v="TAX: Custom Orthotics"/>
    <n v="18"/>
    <n v="18"/>
    <n v="1"/>
    <n v="18"/>
    <n v="0"/>
    <n v="0"/>
    <n v="0"/>
    <n v="0"/>
    <m/>
    <n v="0"/>
    <n v="0"/>
    <n v="0"/>
    <n v="0"/>
    <n v="0"/>
    <n v="0"/>
    <n v="0"/>
    <n v="0"/>
    <n v="0"/>
    <n v="0"/>
    <n v="0"/>
    <n v="0"/>
    <n v="0"/>
    <n v="0"/>
    <n v="0"/>
    <n v="0"/>
    <n v="0"/>
    <n v="0"/>
    <n v="0"/>
    <n v="0"/>
    <n v="18"/>
    <m/>
    <m/>
    <m/>
    <m/>
    <m/>
    <m/>
    <m/>
    <x v="9"/>
    <s v="PATIENT PAY"/>
    <n v="0"/>
    <n v="0"/>
    <s v="Biocorrect"/>
    <s v="Biocorrect"/>
    <x v="1"/>
    <n v="1"/>
  </r>
  <r>
    <x v="0"/>
    <n v="17"/>
    <s v="Biocorrect "/>
    <n v="45199"/>
    <x v="106"/>
    <n v="10175203"/>
    <n v="52611773"/>
    <b v="0"/>
    <n v="53"/>
    <s v="L3010"/>
    <n v="216"/>
    <n v="216"/>
    <n v="1"/>
    <n v="0"/>
    <n v="16.54"/>
    <n v="0"/>
    <n v="0"/>
    <n v="0"/>
    <m/>
    <n v="216"/>
    <n v="0"/>
    <n v="1"/>
    <n v="148.88999999999999"/>
    <n v="50.57"/>
    <n v="0"/>
    <n v="0"/>
    <n v="0"/>
    <n v="0"/>
    <n v="0"/>
    <n v="0"/>
    <n v="0"/>
    <n v="0"/>
    <n v="0"/>
    <n v="0"/>
    <n v="0"/>
    <n v="0"/>
    <n v="0"/>
    <n v="0"/>
    <n v="0"/>
    <n v="16.54"/>
    <m/>
    <s v="BLUE CROSS BLUE SHIELD"/>
    <m/>
    <m/>
    <s v="BCBSM PPO"/>
    <m/>
    <m/>
    <x v="9"/>
    <s v="PATIENT PAY"/>
    <n v="0"/>
    <n v="0"/>
    <s v="Biocorrect"/>
    <s v="Biocorrect"/>
    <x v="4"/>
    <n v="2"/>
  </r>
  <r>
    <x v="0"/>
    <n v="17"/>
    <s v="Biocorrect "/>
    <n v="45199"/>
    <x v="176"/>
    <n v="10243619"/>
    <n v="52957432"/>
    <b v="0"/>
    <n v="43"/>
    <s v="L3010"/>
    <n v="120"/>
    <n v="120"/>
    <n v="1"/>
    <n v="120"/>
    <n v="0"/>
    <n v="0"/>
    <n v="0"/>
    <n v="0"/>
    <m/>
    <n v="0"/>
    <n v="0"/>
    <n v="0"/>
    <n v="0"/>
    <n v="0"/>
    <n v="0"/>
    <n v="0"/>
    <n v="0"/>
    <n v="0"/>
    <n v="0"/>
    <n v="0"/>
    <n v="0"/>
    <n v="0"/>
    <n v="0"/>
    <n v="0"/>
    <n v="0"/>
    <n v="0"/>
    <n v="0"/>
    <n v="0"/>
    <n v="0"/>
    <n v="120"/>
    <m/>
    <m/>
    <m/>
    <m/>
    <m/>
    <m/>
    <m/>
    <x v="9"/>
    <s v="PATIENT PAY"/>
    <n v="0"/>
    <n v="0"/>
    <s v="Biocorrect"/>
    <s v="Biocorrect"/>
    <x v="4"/>
    <n v="2"/>
  </r>
  <r>
    <x v="0"/>
    <n v="17"/>
    <s v="Biocorrect "/>
    <n v="45199"/>
    <x v="198"/>
    <n v="10384111"/>
    <n v="53943138"/>
    <b v="0"/>
    <n v="11"/>
    <s v="L3010"/>
    <n v="216"/>
    <n v="216"/>
    <n v="1"/>
    <n v="216"/>
    <n v="0"/>
    <n v="0"/>
    <n v="0"/>
    <n v="0"/>
    <m/>
    <n v="0"/>
    <n v="0"/>
    <n v="0"/>
    <n v="0"/>
    <n v="0"/>
    <n v="0"/>
    <n v="0"/>
    <n v="0"/>
    <n v="0"/>
    <n v="0"/>
    <n v="0"/>
    <n v="0"/>
    <n v="0"/>
    <n v="0"/>
    <n v="0"/>
    <n v="0"/>
    <n v="0"/>
    <n v="0"/>
    <n v="0"/>
    <n v="0"/>
    <n v="216"/>
    <m/>
    <m/>
    <m/>
    <m/>
    <m/>
    <m/>
    <m/>
    <x v="9"/>
    <s v="PATIENT PAY"/>
    <n v="0"/>
    <n v="0"/>
    <s v="Biocorrect"/>
    <s v="Biocorrect"/>
    <x v="1"/>
    <n v="1"/>
  </r>
  <r>
    <x v="0"/>
    <n v="17"/>
    <s v="Biocorrect "/>
    <n v="45199"/>
    <x v="192"/>
    <n v="9938282"/>
    <n v="51067993"/>
    <b v="0"/>
    <n v="102"/>
    <s v="Top Cover Replacement"/>
    <n v="100"/>
    <n v="50"/>
    <n v="2"/>
    <n v="100"/>
    <n v="0"/>
    <n v="15"/>
    <n v="0"/>
    <n v="0"/>
    <m/>
    <n v="0"/>
    <n v="0"/>
    <n v="0"/>
    <n v="0"/>
    <n v="0"/>
    <n v="0"/>
    <n v="0"/>
    <n v="0"/>
    <n v="0"/>
    <n v="0"/>
    <n v="0"/>
    <n v="0"/>
    <n v="0"/>
    <n v="0"/>
    <n v="0"/>
    <n v="0"/>
    <n v="0"/>
    <n v="0"/>
    <n v="0"/>
    <n v="0"/>
    <n v="85"/>
    <m/>
    <m/>
    <m/>
    <m/>
    <m/>
    <m/>
    <m/>
    <x v="9"/>
    <s v="PATIENT PAY"/>
    <n v="0"/>
    <n v="0"/>
    <s v="Biocorrect"/>
    <s v="Biocorrect"/>
    <x v="7"/>
    <n v="4"/>
  </r>
  <r>
    <x v="0"/>
    <n v="17"/>
    <s v="Biocorrect "/>
    <n v="45199"/>
    <x v="199"/>
    <n v="5462435"/>
    <n v="26814112"/>
    <b v="0"/>
    <n v="1310"/>
    <s v="L3020"/>
    <n v="216"/>
    <n v="216"/>
    <n v="1"/>
    <n v="216"/>
    <n v="0"/>
    <n v="0"/>
    <n v="30.2"/>
    <n v="0"/>
    <m/>
    <n v="0"/>
    <n v="0"/>
    <n v="0"/>
    <n v="0"/>
    <n v="0"/>
    <n v="0"/>
    <n v="0"/>
    <n v="0"/>
    <n v="0"/>
    <n v="0"/>
    <n v="0"/>
    <n v="0"/>
    <n v="0"/>
    <n v="0"/>
    <n v="0"/>
    <n v="0"/>
    <n v="0"/>
    <n v="0"/>
    <n v="0"/>
    <n v="0"/>
    <n v="185.8"/>
    <m/>
    <m/>
    <m/>
    <m/>
    <m/>
    <m/>
    <m/>
    <x v="9"/>
    <s v="PATIENT PAY"/>
    <n v="0"/>
    <n v="0"/>
    <s v="Biocorrect"/>
    <s v="Biocorrect"/>
    <x v="3"/>
    <n v="8"/>
  </r>
  <r>
    <x v="0"/>
    <n v="17"/>
    <s v="Biocorrect "/>
    <n v="45199"/>
    <x v="199"/>
    <n v="5462435"/>
    <n v="26814111"/>
    <b v="0"/>
    <n v="1310"/>
    <s v="L3020"/>
    <n v="216"/>
    <n v="216"/>
    <n v="1"/>
    <n v="216"/>
    <n v="0"/>
    <n v="0"/>
    <n v="419.8"/>
    <n v="0"/>
    <m/>
    <n v="0"/>
    <n v="0"/>
    <n v="0"/>
    <n v="0"/>
    <n v="0"/>
    <n v="0"/>
    <n v="0"/>
    <n v="0"/>
    <n v="0"/>
    <n v="0"/>
    <n v="0"/>
    <n v="0"/>
    <n v="0"/>
    <n v="0"/>
    <n v="0"/>
    <n v="0"/>
    <n v="0"/>
    <n v="0"/>
    <n v="0"/>
    <n v="0"/>
    <n v="-203.8"/>
    <m/>
    <m/>
    <m/>
    <m/>
    <m/>
    <m/>
    <m/>
    <x v="9"/>
    <s v="PATIENT PAY"/>
    <n v="0"/>
    <n v="0"/>
    <s v="Biocorrect"/>
    <s v="Biocorrect"/>
    <x v="3"/>
    <n v="8"/>
  </r>
  <r>
    <x v="0"/>
    <n v="17"/>
    <s v="Biocorrect "/>
    <n v="45199"/>
    <x v="134"/>
    <n v="9910736"/>
    <n v="51237200"/>
    <b v="0"/>
    <n v="99"/>
    <s v="TAX: Custom Orthotics"/>
    <n v="36"/>
    <n v="36"/>
    <n v="1"/>
    <n v="36"/>
    <n v="0"/>
    <n v="0"/>
    <n v="35.6"/>
    <n v="0"/>
    <m/>
    <n v="0"/>
    <n v="0"/>
    <n v="0"/>
    <n v="0"/>
    <n v="0"/>
    <n v="0"/>
    <n v="0"/>
    <n v="0"/>
    <n v="0"/>
    <n v="0"/>
    <n v="0"/>
    <n v="0"/>
    <n v="0"/>
    <n v="0"/>
    <n v="0"/>
    <n v="0"/>
    <n v="0"/>
    <n v="0"/>
    <n v="0"/>
    <n v="0"/>
    <n v="0.4"/>
    <m/>
    <m/>
    <m/>
    <m/>
    <m/>
    <m/>
    <m/>
    <x v="9"/>
    <s v="PATIENT PAY"/>
    <n v="0"/>
    <n v="0"/>
    <s v="Biocorrect"/>
    <s v="Biocorrect"/>
    <x v="7"/>
    <n v="4"/>
  </r>
  <r>
    <x v="0"/>
    <n v="17"/>
    <s v="Biocorrect "/>
    <n v="45199"/>
    <x v="200"/>
    <n v="9964814"/>
    <n v="51272796"/>
    <b v="0"/>
    <n v="100"/>
    <s v="L3010"/>
    <n v="109.5"/>
    <n v="109.5"/>
    <n v="1"/>
    <n v="109.5"/>
    <n v="0"/>
    <n v="0"/>
    <n v="0"/>
    <n v="0"/>
    <m/>
    <n v="0"/>
    <n v="0"/>
    <n v="0"/>
    <n v="0"/>
    <n v="0"/>
    <n v="0"/>
    <n v="0"/>
    <n v="0"/>
    <n v="0"/>
    <n v="0"/>
    <n v="0"/>
    <n v="0"/>
    <n v="0"/>
    <n v="0"/>
    <n v="0"/>
    <n v="0"/>
    <n v="0"/>
    <n v="0"/>
    <n v="0"/>
    <n v="0"/>
    <n v="109.5"/>
    <m/>
    <m/>
    <m/>
    <m/>
    <m/>
    <m/>
    <m/>
    <x v="9"/>
    <s v="PATIENT PAY"/>
    <n v="0"/>
    <n v="0"/>
    <s v="Biocorrect"/>
    <s v="Biocorrect"/>
    <x v="7"/>
    <n v="4"/>
  </r>
  <r>
    <x v="0"/>
    <n v="17"/>
    <s v="Biocorrect "/>
    <n v="45199"/>
    <x v="200"/>
    <n v="9964814"/>
    <n v="51272797"/>
    <b v="0"/>
    <n v="100"/>
    <s v="L3010"/>
    <n v="109.5"/>
    <n v="109.5"/>
    <n v="1"/>
    <n v="109.5"/>
    <n v="0"/>
    <n v="0"/>
    <n v="0"/>
    <n v="0"/>
    <m/>
    <n v="0"/>
    <n v="0"/>
    <n v="0"/>
    <n v="0"/>
    <n v="0"/>
    <n v="0"/>
    <n v="0"/>
    <n v="0"/>
    <n v="0"/>
    <n v="0"/>
    <n v="0"/>
    <n v="0"/>
    <n v="0"/>
    <n v="0"/>
    <n v="0"/>
    <n v="0"/>
    <n v="0"/>
    <n v="0"/>
    <n v="0"/>
    <n v="0"/>
    <n v="109.5"/>
    <m/>
    <m/>
    <m/>
    <m/>
    <m/>
    <m/>
    <m/>
    <x v="9"/>
    <s v="PATIENT PAY"/>
    <n v="0"/>
    <n v="0"/>
    <s v="Biocorrect"/>
    <s v="Biocorrect"/>
    <x v="7"/>
    <n v="4"/>
  </r>
  <r>
    <x v="0"/>
    <n v="17"/>
    <s v="Biocorrect "/>
    <n v="45199"/>
    <x v="201"/>
    <n v="5620984"/>
    <n v="28074699"/>
    <b v="0"/>
    <n v="1212"/>
    <s v="L3020"/>
    <n v="216"/>
    <n v="216"/>
    <n v="1"/>
    <n v="216"/>
    <n v="0"/>
    <n v="0"/>
    <n v="200"/>
    <n v="30"/>
    <m/>
    <n v="0"/>
    <n v="0"/>
    <n v="0"/>
    <n v="0"/>
    <n v="0"/>
    <n v="0"/>
    <n v="0"/>
    <n v="0"/>
    <n v="0"/>
    <n v="0"/>
    <n v="0"/>
    <n v="0"/>
    <n v="0"/>
    <n v="0"/>
    <n v="0"/>
    <n v="0"/>
    <n v="0"/>
    <n v="0"/>
    <n v="0"/>
    <n v="0"/>
    <n v="-14"/>
    <m/>
    <m/>
    <m/>
    <m/>
    <m/>
    <m/>
    <m/>
    <x v="9"/>
    <s v="PATIENT PAY"/>
    <n v="0"/>
    <n v="0"/>
    <s v="Biocorrect"/>
    <s v="Biocorrect"/>
    <x v="3"/>
    <n v="8"/>
  </r>
  <r>
    <x v="0"/>
    <n v="17"/>
    <s v="Biocorrect "/>
    <n v="45199"/>
    <x v="201"/>
    <n v="5620984"/>
    <n v="28074700"/>
    <b v="0"/>
    <n v="1212"/>
    <s v="L3020"/>
    <n v="216"/>
    <n v="216"/>
    <n v="1"/>
    <n v="216"/>
    <n v="0"/>
    <n v="0"/>
    <n v="172"/>
    <n v="30"/>
    <m/>
    <n v="0"/>
    <n v="0"/>
    <n v="0"/>
    <n v="0"/>
    <n v="0"/>
    <n v="0"/>
    <n v="0"/>
    <n v="0"/>
    <n v="0"/>
    <n v="0"/>
    <n v="0"/>
    <n v="0"/>
    <n v="0"/>
    <n v="0"/>
    <n v="0"/>
    <n v="0"/>
    <n v="0"/>
    <n v="0"/>
    <n v="0"/>
    <n v="0"/>
    <n v="14"/>
    <m/>
    <m/>
    <m/>
    <m/>
    <m/>
    <m/>
    <m/>
    <x v="9"/>
    <s v="PATIENT PAY"/>
    <n v="0"/>
    <n v="0"/>
    <s v="Biocorrect"/>
    <s v="Biocorrect"/>
    <x v="3"/>
    <n v="8"/>
  </r>
  <r>
    <x v="0"/>
    <n v="17"/>
    <s v="Biocorrect "/>
    <n v="45199"/>
    <x v="202"/>
    <n v="10374602"/>
    <n v="53942206"/>
    <b v="0"/>
    <n v="11"/>
    <s v="L3010"/>
    <n v="216"/>
    <n v="216"/>
    <n v="1"/>
    <n v="216"/>
    <n v="0"/>
    <n v="0"/>
    <n v="9"/>
    <n v="0"/>
    <m/>
    <n v="0"/>
    <n v="0"/>
    <n v="0"/>
    <n v="0"/>
    <n v="0"/>
    <n v="0"/>
    <n v="0"/>
    <n v="0"/>
    <n v="0"/>
    <n v="0"/>
    <n v="0"/>
    <n v="0"/>
    <n v="0"/>
    <n v="0"/>
    <n v="0"/>
    <n v="0"/>
    <n v="0"/>
    <n v="0"/>
    <n v="0"/>
    <n v="0"/>
    <n v="207"/>
    <m/>
    <m/>
    <m/>
    <m/>
    <m/>
    <m/>
    <m/>
    <x v="9"/>
    <s v="PATIENT PAY"/>
    <n v="0"/>
    <n v="0"/>
    <s v="Biocorrect"/>
    <s v="Biocorrect"/>
    <x v="1"/>
    <n v="1"/>
  </r>
  <r>
    <x v="0"/>
    <n v="17"/>
    <s v="Biocorrect "/>
    <n v="45199"/>
    <x v="202"/>
    <n v="10374602"/>
    <n v="53942210"/>
    <b v="0"/>
    <n v="11"/>
    <s v="TAX: Custom Orthotics"/>
    <n v="18"/>
    <n v="18"/>
    <n v="1"/>
    <n v="18"/>
    <n v="0"/>
    <n v="0"/>
    <n v="0"/>
    <n v="0"/>
    <m/>
    <n v="0"/>
    <n v="0"/>
    <n v="0"/>
    <n v="0"/>
    <n v="0"/>
    <n v="0"/>
    <n v="0"/>
    <n v="0"/>
    <n v="0"/>
    <n v="0"/>
    <n v="0"/>
    <n v="0"/>
    <n v="0"/>
    <n v="0"/>
    <n v="0"/>
    <n v="0"/>
    <n v="0"/>
    <n v="0"/>
    <n v="0"/>
    <n v="0"/>
    <n v="18"/>
    <m/>
    <m/>
    <m/>
    <m/>
    <m/>
    <m/>
    <m/>
    <x v="9"/>
    <s v="PATIENT PAY"/>
    <n v="0"/>
    <n v="0"/>
    <s v="Biocorrect"/>
    <s v="Biocorrect"/>
    <x v="1"/>
    <n v="1"/>
  </r>
  <r>
    <x v="0"/>
    <n v="17"/>
    <s v="Biocorrect "/>
    <n v="45199"/>
    <x v="203"/>
    <n v="9978398"/>
    <n v="51468910"/>
    <b v="0"/>
    <n v="92"/>
    <s v="L3020"/>
    <n v="216"/>
    <n v="216"/>
    <n v="1"/>
    <n v="216"/>
    <n v="0"/>
    <n v="0"/>
    <n v="84"/>
    <n v="0"/>
    <m/>
    <n v="0"/>
    <n v="0"/>
    <n v="0"/>
    <n v="0"/>
    <n v="0"/>
    <n v="0"/>
    <n v="0"/>
    <n v="0"/>
    <n v="0"/>
    <n v="0"/>
    <n v="0"/>
    <n v="0"/>
    <n v="0"/>
    <n v="0"/>
    <n v="0"/>
    <n v="0"/>
    <n v="0"/>
    <n v="0"/>
    <n v="0"/>
    <n v="0"/>
    <n v="132"/>
    <m/>
    <m/>
    <m/>
    <m/>
    <m/>
    <m/>
    <m/>
    <x v="9"/>
    <s v="PATIENT PAY"/>
    <n v="0"/>
    <n v="0"/>
    <s v="Biocorrect"/>
    <s v="Biocorrect"/>
    <x v="7"/>
    <n v="4"/>
  </r>
  <r>
    <x v="0"/>
    <n v="17"/>
    <s v="Biocorrect "/>
    <n v="45199"/>
    <x v="204"/>
    <n v="9465859"/>
    <n v="48374422"/>
    <b v="0"/>
    <n v="187"/>
    <s v="L3020"/>
    <n v="216"/>
    <n v="216"/>
    <n v="1"/>
    <n v="0"/>
    <n v="204.78"/>
    <n v="0"/>
    <n v="0"/>
    <n v="0"/>
    <m/>
    <n v="216"/>
    <n v="0"/>
    <n v="0"/>
    <n v="0"/>
    <n v="11.22"/>
    <n v="0"/>
    <n v="0"/>
    <n v="0"/>
    <n v="0"/>
    <n v="0"/>
    <n v="0"/>
    <n v="0"/>
    <n v="0"/>
    <n v="0"/>
    <n v="0"/>
    <n v="0"/>
    <n v="0"/>
    <n v="0"/>
    <n v="0"/>
    <n v="0"/>
    <n v="204.78"/>
    <m/>
    <s v="BLUE CROSS BLUE SHIELD"/>
    <m/>
    <m/>
    <s v="BCBS Out of State"/>
    <m/>
    <m/>
    <x v="9"/>
    <s v="PATIENT PAY"/>
    <n v="0"/>
    <n v="0"/>
    <s v="Biocorrect"/>
    <s v="Biocorrect"/>
    <x v="0"/>
    <n v="7"/>
  </r>
  <r>
    <x v="0"/>
    <n v="17"/>
    <s v="Biocorrect "/>
    <n v="45199"/>
    <x v="205"/>
    <n v="6866663"/>
    <n v="34525811"/>
    <b v="0"/>
    <n v="809"/>
    <s v="SHIP:"/>
    <n v="8.5"/>
    <n v="8.5"/>
    <n v="1"/>
    <n v="8.5"/>
    <n v="0"/>
    <n v="0"/>
    <n v="0"/>
    <n v="0"/>
    <m/>
    <n v="0"/>
    <n v="0"/>
    <n v="0"/>
    <n v="0"/>
    <n v="0"/>
    <n v="0"/>
    <n v="0"/>
    <n v="0"/>
    <n v="0"/>
    <n v="0"/>
    <n v="0"/>
    <n v="0"/>
    <n v="0"/>
    <n v="0"/>
    <n v="0"/>
    <n v="0"/>
    <n v="0"/>
    <n v="0"/>
    <n v="0"/>
    <n v="0"/>
    <n v="8.5"/>
    <m/>
    <m/>
    <m/>
    <m/>
    <m/>
    <m/>
    <m/>
    <x v="9"/>
    <s v="PATIENT PAY"/>
    <n v="0"/>
    <n v="0"/>
    <s v="Biocorrect"/>
    <s v="Biocorrect"/>
    <x v="3"/>
    <n v="8"/>
  </r>
  <r>
    <x v="0"/>
    <n v="17"/>
    <s v="Biocorrect "/>
    <n v="45199"/>
    <x v="206"/>
    <n v="3865699"/>
    <n v="17347279"/>
    <b v="0"/>
    <n v="1864"/>
    <s v="TAX: HEEL LIFT"/>
    <n v="0.6"/>
    <n v="0.6"/>
    <n v="1"/>
    <n v="0.6"/>
    <n v="0"/>
    <n v="0"/>
    <n v="0"/>
    <n v="0"/>
    <m/>
    <n v="0"/>
    <n v="0"/>
    <n v="0"/>
    <n v="0"/>
    <n v="0"/>
    <n v="0"/>
    <n v="0"/>
    <n v="0"/>
    <n v="0"/>
    <n v="0"/>
    <n v="0"/>
    <n v="0"/>
    <n v="0"/>
    <n v="0"/>
    <n v="0"/>
    <n v="0"/>
    <n v="0"/>
    <n v="0"/>
    <n v="0"/>
    <n v="0"/>
    <n v="0.6"/>
    <m/>
    <m/>
    <m/>
    <m/>
    <m/>
    <m/>
    <m/>
    <x v="9"/>
    <s v="PATIENT PAY"/>
    <n v="0"/>
    <n v="0"/>
    <s v="Biocorrect"/>
    <s v="Biocorrect"/>
    <x v="3"/>
    <n v="8"/>
  </r>
  <r>
    <x v="0"/>
    <n v="17"/>
    <s v="Biocorrect "/>
    <n v="45199"/>
    <x v="207"/>
    <n v="10417183"/>
    <n v="54242768"/>
    <b v="0"/>
    <n v="2"/>
    <s v="L3010"/>
    <n v="216"/>
    <n v="216"/>
    <n v="1"/>
    <n v="216"/>
    <n v="0"/>
    <n v="0"/>
    <n v="9"/>
    <n v="0"/>
    <m/>
    <n v="0"/>
    <n v="0"/>
    <n v="0"/>
    <n v="0"/>
    <n v="0"/>
    <n v="0"/>
    <n v="0"/>
    <n v="0"/>
    <n v="0"/>
    <n v="0"/>
    <n v="0"/>
    <n v="0"/>
    <n v="0"/>
    <n v="0"/>
    <n v="0"/>
    <n v="0"/>
    <n v="0"/>
    <n v="0"/>
    <n v="0"/>
    <n v="0"/>
    <n v="207"/>
    <m/>
    <m/>
    <m/>
    <m/>
    <m/>
    <m/>
    <m/>
    <x v="9"/>
    <s v="PATIENT PAY"/>
    <n v="0"/>
    <n v="0"/>
    <s v="Biocorrect"/>
    <s v="Biocorrect"/>
    <x v="1"/>
    <n v="1"/>
  </r>
  <r>
    <x v="0"/>
    <n v="17"/>
    <s v="Biocorrect "/>
    <n v="45199"/>
    <x v="82"/>
    <n v="7754332"/>
    <n v="39158283"/>
    <b v="0"/>
    <n v="558"/>
    <s v="TAX: Custom Orthotics"/>
    <n v="14.4"/>
    <n v="14.4"/>
    <n v="1"/>
    <n v="14.4"/>
    <n v="0"/>
    <n v="0"/>
    <n v="14.39"/>
    <n v="0"/>
    <m/>
    <n v="0"/>
    <n v="0"/>
    <n v="0"/>
    <n v="0"/>
    <n v="0"/>
    <n v="0"/>
    <n v="0"/>
    <n v="0"/>
    <n v="0"/>
    <n v="0"/>
    <n v="0"/>
    <n v="0"/>
    <n v="0"/>
    <n v="0"/>
    <n v="0"/>
    <n v="0"/>
    <n v="0"/>
    <n v="0"/>
    <n v="0"/>
    <n v="0"/>
    <n v="0.01"/>
    <m/>
    <m/>
    <m/>
    <m/>
    <m/>
    <m/>
    <m/>
    <x v="9"/>
    <s v="PATIENT PAY"/>
    <n v="0"/>
    <n v="0"/>
    <s v="Biocorrect"/>
    <s v="Biocorrect"/>
    <x v="3"/>
    <n v="8"/>
  </r>
  <r>
    <x v="1"/>
    <n v="17"/>
    <s v="Biocorrect "/>
    <n v="45199"/>
    <x v="208"/>
    <m/>
    <m/>
    <b v="0"/>
    <n v="1"/>
    <s v="Aged Deposit Balance"/>
    <m/>
    <m/>
    <m/>
    <m/>
    <m/>
    <m/>
    <m/>
    <m/>
    <m/>
    <m/>
    <m/>
    <m/>
    <m/>
    <m/>
    <m/>
    <m/>
    <m/>
    <m/>
    <m/>
    <m/>
    <m/>
    <m/>
    <m/>
    <m/>
    <m/>
    <m/>
    <m/>
    <m/>
    <m/>
    <n v="-450"/>
    <m/>
    <m/>
    <m/>
    <m/>
    <m/>
    <m/>
    <m/>
    <x v="9"/>
    <s v="PATIENT PAY"/>
    <m/>
    <m/>
    <m/>
    <s v="Biocorrect"/>
    <x v="1"/>
    <n v="1"/>
  </r>
  <r>
    <x v="1"/>
    <n v="17"/>
    <s v="Biocorrect "/>
    <n v="45199"/>
    <x v="209"/>
    <m/>
    <m/>
    <b v="0"/>
    <n v="1"/>
    <s v="Aged Deposit Balance"/>
    <m/>
    <m/>
    <m/>
    <m/>
    <m/>
    <m/>
    <m/>
    <m/>
    <m/>
    <m/>
    <m/>
    <m/>
    <m/>
    <m/>
    <m/>
    <m/>
    <m/>
    <m/>
    <m/>
    <m/>
    <m/>
    <m/>
    <m/>
    <m/>
    <m/>
    <m/>
    <m/>
    <m/>
    <m/>
    <n v="-10"/>
    <m/>
    <m/>
    <m/>
    <m/>
    <m/>
    <m/>
    <m/>
    <x v="9"/>
    <s v="PATIENT PAY"/>
    <m/>
    <m/>
    <m/>
    <s v="Biocorrect"/>
    <x v="1"/>
    <n v="1"/>
  </r>
  <r>
    <x v="1"/>
    <n v="17"/>
    <s v="Biocorrect "/>
    <n v="45199"/>
    <x v="210"/>
    <m/>
    <m/>
    <b v="0"/>
    <n v="1"/>
    <s v="Aged Deposit Balance"/>
    <m/>
    <m/>
    <m/>
    <m/>
    <m/>
    <m/>
    <m/>
    <m/>
    <m/>
    <m/>
    <m/>
    <m/>
    <m/>
    <m/>
    <m/>
    <m/>
    <m/>
    <m/>
    <m/>
    <m/>
    <m/>
    <m/>
    <m/>
    <m/>
    <m/>
    <m/>
    <m/>
    <m/>
    <m/>
    <n v="-62.4"/>
    <m/>
    <m/>
    <m/>
    <m/>
    <m/>
    <m/>
    <m/>
    <x v="9"/>
    <s v="PATIENT PAY"/>
    <m/>
    <m/>
    <m/>
    <s v="Biocorrect"/>
    <x v="1"/>
    <n v="1"/>
  </r>
  <r>
    <x v="0"/>
    <n v="17"/>
    <s v="Biocorrect "/>
    <n v="45199"/>
    <x v="211"/>
    <n v="9168018"/>
    <n v="47292680"/>
    <b v="0"/>
    <n v="250"/>
    <s v="L3010"/>
    <n v="216"/>
    <n v="216"/>
    <n v="1"/>
    <n v="0"/>
    <n v="142.16"/>
    <n v="0"/>
    <n v="37.840000000000003"/>
    <n v="0"/>
    <m/>
    <n v="216"/>
    <n v="0"/>
    <n v="0"/>
    <n v="0"/>
    <n v="73.84"/>
    <n v="0"/>
    <n v="0"/>
    <n v="0"/>
    <n v="0"/>
    <n v="0"/>
    <n v="0"/>
    <n v="0"/>
    <n v="0"/>
    <n v="0"/>
    <n v="0"/>
    <n v="0"/>
    <n v="0"/>
    <n v="0"/>
    <n v="0"/>
    <n v="0"/>
    <n v="104.32"/>
    <m/>
    <s v="BLUE CROSS BLUE SHIELD"/>
    <m/>
    <m/>
    <s v="BCBSM"/>
    <m/>
    <m/>
    <x v="9"/>
    <s v="PATIENT PAY"/>
    <n v="0"/>
    <n v="0"/>
    <s v="Biocorrect"/>
    <s v="Biocorrect"/>
    <x v="0"/>
    <n v="7"/>
  </r>
  <r>
    <x v="0"/>
    <n v="17"/>
    <s v="Biocorrect "/>
    <n v="45199"/>
    <x v="91"/>
    <n v="9583109"/>
    <n v="49180569"/>
    <b v="0"/>
    <n v="163"/>
    <s v="L3010"/>
    <n v="216"/>
    <n v="216"/>
    <n v="1"/>
    <n v="0"/>
    <n v="49.63"/>
    <n v="0"/>
    <n v="0"/>
    <n v="0"/>
    <m/>
    <n v="216"/>
    <n v="0"/>
    <n v="1"/>
    <n v="115.8"/>
    <n v="50.57"/>
    <n v="0"/>
    <n v="0"/>
    <n v="0"/>
    <n v="0"/>
    <n v="0"/>
    <n v="0"/>
    <n v="0"/>
    <n v="0"/>
    <n v="0"/>
    <n v="0"/>
    <n v="0"/>
    <n v="0"/>
    <n v="0"/>
    <n v="0"/>
    <n v="0"/>
    <n v="49.63"/>
    <m/>
    <s v="BLUE CROSS BLUE SHIELD"/>
    <m/>
    <m/>
    <s v="BCBS Out of State"/>
    <m/>
    <m/>
    <x v="9"/>
    <s v="PATIENT PAY"/>
    <n v="0"/>
    <n v="0"/>
    <s v="Biocorrect"/>
    <s v="Biocorrect"/>
    <x v="5"/>
    <n v="6"/>
  </r>
  <r>
    <x v="1"/>
    <n v="17"/>
    <s v="Biocorrect "/>
    <n v="45199"/>
    <x v="212"/>
    <m/>
    <m/>
    <b v="0"/>
    <n v="1"/>
    <s v="Aged Deposit Balance"/>
    <m/>
    <m/>
    <m/>
    <m/>
    <m/>
    <m/>
    <m/>
    <m/>
    <m/>
    <m/>
    <m/>
    <m/>
    <m/>
    <m/>
    <m/>
    <m/>
    <m/>
    <m/>
    <m/>
    <m/>
    <m/>
    <m/>
    <m/>
    <m/>
    <m/>
    <m/>
    <m/>
    <m/>
    <m/>
    <n v="-8.26"/>
    <m/>
    <m/>
    <m/>
    <m/>
    <m/>
    <m/>
    <m/>
    <x v="9"/>
    <s v="PATIENT PAY"/>
    <m/>
    <m/>
    <m/>
    <s v="Biocorrect"/>
    <x v="1"/>
    <n v="1"/>
  </r>
  <r>
    <x v="1"/>
    <n v="17"/>
    <s v="Biocorrect "/>
    <n v="45199"/>
    <x v="213"/>
    <m/>
    <m/>
    <b v="0"/>
    <n v="1"/>
    <s v="Aged Deposit Balance"/>
    <m/>
    <m/>
    <m/>
    <m/>
    <m/>
    <m/>
    <m/>
    <m/>
    <m/>
    <m/>
    <m/>
    <m/>
    <m/>
    <m/>
    <m/>
    <m/>
    <m/>
    <m/>
    <m/>
    <m/>
    <m/>
    <m/>
    <m/>
    <m/>
    <m/>
    <m/>
    <m/>
    <m/>
    <m/>
    <n v="-10"/>
    <m/>
    <m/>
    <m/>
    <m/>
    <m/>
    <m/>
    <m/>
    <x v="9"/>
    <s v="PATIENT PAY"/>
    <m/>
    <m/>
    <m/>
    <s v="Biocorrect"/>
    <x v="1"/>
    <n v="1"/>
  </r>
  <r>
    <x v="1"/>
    <n v="17"/>
    <s v="Biocorrect "/>
    <n v="45199"/>
    <x v="214"/>
    <m/>
    <m/>
    <b v="0"/>
    <n v="1"/>
    <s v="Aged Deposit Balance"/>
    <m/>
    <m/>
    <m/>
    <m/>
    <m/>
    <m/>
    <m/>
    <m/>
    <m/>
    <m/>
    <m/>
    <m/>
    <m/>
    <m/>
    <m/>
    <m/>
    <m/>
    <m/>
    <m/>
    <m/>
    <m/>
    <m/>
    <m/>
    <m/>
    <m/>
    <m/>
    <m/>
    <m/>
    <m/>
    <n v="-11.59"/>
    <m/>
    <m/>
    <m/>
    <m/>
    <m/>
    <m/>
    <m/>
    <x v="9"/>
    <s v="PATIENT PAY"/>
    <m/>
    <m/>
    <m/>
    <s v="Biocorrect"/>
    <x v="1"/>
    <n v="1"/>
  </r>
  <r>
    <x v="1"/>
    <n v="17"/>
    <s v="Biocorrect "/>
    <n v="45199"/>
    <x v="215"/>
    <m/>
    <m/>
    <b v="0"/>
    <n v="1"/>
    <s v="Aged Deposit Balance"/>
    <m/>
    <m/>
    <m/>
    <m/>
    <m/>
    <m/>
    <m/>
    <m/>
    <m/>
    <m/>
    <m/>
    <m/>
    <m/>
    <m/>
    <m/>
    <m/>
    <m/>
    <m/>
    <m/>
    <m/>
    <m/>
    <m/>
    <m/>
    <m/>
    <m/>
    <m/>
    <m/>
    <m/>
    <m/>
    <n v="-113.61"/>
    <m/>
    <m/>
    <m/>
    <m/>
    <m/>
    <m/>
    <m/>
    <x v="9"/>
    <s v="PATIENT PAY"/>
    <m/>
    <m/>
    <m/>
    <s v="Biocorrect"/>
    <x v="1"/>
    <n v="1"/>
  </r>
  <r>
    <x v="0"/>
    <n v="17"/>
    <s v="Biocorrect "/>
    <n v="45199"/>
    <x v="216"/>
    <n v="9958381"/>
    <n v="51715366"/>
    <b v="0"/>
    <n v="82"/>
    <s v="L3020"/>
    <n v="216"/>
    <n v="216"/>
    <n v="1"/>
    <n v="0"/>
    <n v="216"/>
    <n v="0"/>
    <n v="0"/>
    <n v="0"/>
    <m/>
    <n v="216"/>
    <n v="0"/>
    <n v="0"/>
    <n v="0"/>
    <n v="0"/>
    <n v="0"/>
    <n v="0"/>
    <n v="0"/>
    <n v="0"/>
    <n v="0"/>
    <n v="0"/>
    <n v="0"/>
    <n v="0"/>
    <n v="0"/>
    <n v="0"/>
    <n v="0"/>
    <n v="0"/>
    <n v="0"/>
    <n v="0"/>
    <n v="0"/>
    <n v="216"/>
    <m/>
    <s v="BLUE CROSS BLUE SHIELD"/>
    <m/>
    <m/>
    <s v="BCBSM PPO"/>
    <m/>
    <m/>
    <x v="9"/>
    <s v="PATIENT PAY"/>
    <n v="0"/>
    <n v="0"/>
    <s v="Biocorrect"/>
    <s v="Biocorrect"/>
    <x v="2"/>
    <n v="3"/>
  </r>
  <r>
    <x v="0"/>
    <n v="17"/>
    <s v="Biocorrect "/>
    <n v="45199"/>
    <x v="216"/>
    <n v="9958381"/>
    <n v="51715365"/>
    <b v="0"/>
    <n v="82"/>
    <s v="L3020"/>
    <n v="216"/>
    <n v="216"/>
    <n v="1"/>
    <n v="0"/>
    <n v="216"/>
    <n v="0"/>
    <n v="0"/>
    <n v="0"/>
    <m/>
    <n v="216"/>
    <n v="0"/>
    <n v="0"/>
    <n v="0"/>
    <n v="0"/>
    <n v="0"/>
    <n v="0"/>
    <n v="0"/>
    <n v="0"/>
    <n v="0"/>
    <n v="0"/>
    <n v="0"/>
    <n v="0"/>
    <n v="0"/>
    <n v="0"/>
    <n v="0"/>
    <n v="0"/>
    <n v="0"/>
    <n v="0"/>
    <n v="0"/>
    <n v="216"/>
    <m/>
    <s v="BLUE CROSS BLUE SHIELD"/>
    <m/>
    <m/>
    <s v="BCBSM PPO"/>
    <m/>
    <m/>
    <x v="9"/>
    <s v="PATIENT PAY"/>
    <n v="0"/>
    <n v="0"/>
    <s v="Biocorrect"/>
    <s v="Biocorrect"/>
    <x v="2"/>
    <n v="3"/>
  </r>
  <r>
    <x v="0"/>
    <n v="17"/>
    <s v="Biocorrect "/>
    <n v="45199"/>
    <x v="124"/>
    <n v="10324633"/>
    <n v="53666185"/>
    <b v="0"/>
    <n v="19"/>
    <s v="L3010"/>
    <n v="216"/>
    <n v="216"/>
    <n v="1"/>
    <n v="0"/>
    <n v="16.54"/>
    <n v="0"/>
    <n v="0"/>
    <n v="0"/>
    <m/>
    <n v="216"/>
    <n v="0"/>
    <n v="1"/>
    <n v="148.88999999999999"/>
    <n v="50.57"/>
    <n v="0"/>
    <n v="0"/>
    <n v="0"/>
    <n v="0"/>
    <n v="0"/>
    <n v="0"/>
    <n v="0"/>
    <n v="0"/>
    <n v="0"/>
    <n v="0"/>
    <n v="0"/>
    <n v="0"/>
    <n v="0"/>
    <n v="0"/>
    <n v="0"/>
    <n v="16.54"/>
    <m/>
    <s v="BLUE CROSS BLUE SHIELD"/>
    <m/>
    <m/>
    <s v="BCBSM PPO"/>
    <m/>
    <m/>
    <x v="9"/>
    <s v="PATIENT PAY"/>
    <n v="0"/>
    <n v="0"/>
    <s v="Biocorrect"/>
    <s v="Biocorrect"/>
    <x v="1"/>
    <n v="1"/>
  </r>
  <r>
    <x v="0"/>
    <n v="17"/>
    <s v="Biocorrect "/>
    <n v="45199"/>
    <x v="192"/>
    <n v="9938282"/>
    <n v="51067998"/>
    <b v="0"/>
    <n v="102"/>
    <s v="SHIP:"/>
    <n v="15"/>
    <n v="15"/>
    <n v="1"/>
    <n v="15"/>
    <n v="0"/>
    <n v="0"/>
    <n v="0"/>
    <n v="0"/>
    <m/>
    <n v="0"/>
    <n v="0"/>
    <n v="0"/>
    <n v="0"/>
    <n v="0"/>
    <n v="0"/>
    <n v="0"/>
    <n v="0"/>
    <n v="0"/>
    <n v="0"/>
    <n v="0"/>
    <n v="0"/>
    <n v="0"/>
    <n v="0"/>
    <n v="0"/>
    <n v="0"/>
    <n v="0"/>
    <n v="0"/>
    <n v="0"/>
    <n v="0"/>
    <n v="15"/>
    <m/>
    <m/>
    <m/>
    <m/>
    <m/>
    <m/>
    <m/>
    <x v="9"/>
    <s v="PATIENT PAY"/>
    <n v="0"/>
    <n v="0"/>
    <s v="Biocorrect"/>
    <s v="Biocorrect"/>
    <x v="7"/>
    <n v="4"/>
  </r>
  <r>
    <x v="0"/>
    <n v="17"/>
    <s v="Biocorrect "/>
    <n v="45199"/>
    <x v="75"/>
    <n v="10417211"/>
    <n v="54097925"/>
    <b v="0"/>
    <n v="5"/>
    <s v="L3020"/>
    <n v="216"/>
    <n v="216"/>
    <n v="1"/>
    <n v="216"/>
    <n v="0"/>
    <n v="0"/>
    <n v="0"/>
    <n v="0"/>
    <m/>
    <n v="0"/>
    <n v="0"/>
    <n v="0"/>
    <n v="0"/>
    <n v="0"/>
    <n v="0"/>
    <n v="0"/>
    <n v="0"/>
    <n v="0"/>
    <n v="0"/>
    <n v="0"/>
    <n v="0"/>
    <n v="0"/>
    <n v="0"/>
    <n v="0"/>
    <n v="0"/>
    <n v="0"/>
    <n v="0"/>
    <n v="0"/>
    <n v="0"/>
    <n v="216"/>
    <m/>
    <m/>
    <m/>
    <m/>
    <m/>
    <m/>
    <m/>
    <x v="9"/>
    <s v="PATIENT PAY"/>
    <n v="0"/>
    <n v="0"/>
    <s v="Biocorrect"/>
    <s v="Biocorrect"/>
    <x v="1"/>
    <n v="1"/>
  </r>
  <r>
    <x v="0"/>
    <n v="17"/>
    <s v="Biocorrect "/>
    <n v="45199"/>
    <x v="153"/>
    <n v="10216669"/>
    <n v="52966156"/>
    <b v="0"/>
    <n v="43"/>
    <s v="L3020"/>
    <n v="216"/>
    <n v="216"/>
    <n v="1"/>
    <n v="0"/>
    <n v="204.78"/>
    <n v="0"/>
    <n v="0"/>
    <n v="0"/>
    <m/>
    <n v="216"/>
    <n v="0"/>
    <n v="0"/>
    <n v="0"/>
    <n v="11.22"/>
    <n v="0"/>
    <n v="0"/>
    <n v="0"/>
    <n v="0"/>
    <n v="0"/>
    <n v="0"/>
    <n v="0"/>
    <n v="0"/>
    <n v="0"/>
    <n v="0"/>
    <n v="0"/>
    <n v="0"/>
    <n v="0"/>
    <n v="0"/>
    <n v="0"/>
    <n v="204.78"/>
    <m/>
    <s v="BLUE CROSS BLUE SHIELD"/>
    <m/>
    <m/>
    <s v="BCBSM PPO"/>
    <m/>
    <m/>
    <x v="9"/>
    <s v="PATIENT PAY"/>
    <n v="0"/>
    <n v="0"/>
    <s v="Biocorrect"/>
    <s v="Biocorrect"/>
    <x v="4"/>
    <n v="2"/>
  </r>
  <r>
    <x v="0"/>
    <n v="17"/>
    <s v="Biocorrect "/>
    <n v="45199"/>
    <x v="163"/>
    <n v="10245853"/>
    <n v="53400516"/>
    <b v="0"/>
    <n v="30"/>
    <s v="L3010"/>
    <n v="300"/>
    <n v="150"/>
    <n v="2"/>
    <n v="300"/>
    <n v="0"/>
    <n v="0"/>
    <n v="225"/>
    <n v="0"/>
    <m/>
    <n v="0"/>
    <n v="0"/>
    <n v="0"/>
    <n v="0"/>
    <n v="0"/>
    <n v="0"/>
    <n v="0"/>
    <n v="0"/>
    <n v="0"/>
    <n v="0"/>
    <n v="0"/>
    <n v="0"/>
    <n v="0"/>
    <n v="0"/>
    <n v="0"/>
    <n v="0"/>
    <n v="0"/>
    <n v="0"/>
    <n v="0"/>
    <n v="0"/>
    <n v="75"/>
    <m/>
    <m/>
    <m/>
    <m/>
    <m/>
    <m/>
    <m/>
    <x v="9"/>
    <s v="PATIENT PAY"/>
    <n v="0"/>
    <n v="0"/>
    <s v="Biocorrect"/>
    <s v="Biocorrect"/>
    <x v="1"/>
    <n v="1"/>
  </r>
  <r>
    <x v="0"/>
    <n v="17"/>
    <s v="Biocorrect "/>
    <n v="45199"/>
    <x v="217"/>
    <n v="5642043"/>
    <n v="28141254"/>
    <b v="0"/>
    <n v="1205"/>
    <s v="L3010"/>
    <n v="216"/>
    <n v="216"/>
    <n v="1"/>
    <n v="216"/>
    <n v="0"/>
    <n v="0"/>
    <n v="432"/>
    <n v="0"/>
    <m/>
    <n v="0"/>
    <n v="0"/>
    <n v="0"/>
    <n v="0"/>
    <n v="0"/>
    <n v="0"/>
    <n v="0"/>
    <n v="0"/>
    <n v="0"/>
    <n v="0"/>
    <n v="0"/>
    <n v="0"/>
    <n v="0"/>
    <n v="0"/>
    <n v="0"/>
    <n v="0"/>
    <n v="0"/>
    <n v="0"/>
    <n v="0"/>
    <n v="0"/>
    <n v="-216"/>
    <m/>
    <m/>
    <m/>
    <m/>
    <m/>
    <m/>
    <m/>
    <x v="9"/>
    <s v="PATIENT PAY"/>
    <n v="0"/>
    <n v="0"/>
    <s v="Biocorrect"/>
    <s v="Biocorrect"/>
    <x v="3"/>
    <n v="8"/>
  </r>
  <r>
    <x v="0"/>
    <n v="17"/>
    <s v="Biocorrect "/>
    <n v="45199"/>
    <x v="218"/>
    <n v="3319496"/>
    <n v="14904714"/>
    <b v="0"/>
    <n v="2068"/>
    <s v="TAX: Refurbished Orthotics"/>
    <n v="3"/>
    <n v="3"/>
    <n v="1"/>
    <n v="3"/>
    <n v="0"/>
    <n v="0"/>
    <n v="0"/>
    <n v="0"/>
    <m/>
    <n v="0"/>
    <n v="0"/>
    <n v="0"/>
    <n v="0"/>
    <n v="0"/>
    <n v="0"/>
    <n v="0"/>
    <n v="0"/>
    <n v="0"/>
    <n v="0"/>
    <n v="0"/>
    <n v="0"/>
    <n v="0"/>
    <n v="0"/>
    <n v="0"/>
    <n v="0"/>
    <n v="0"/>
    <n v="0"/>
    <n v="0"/>
    <n v="0"/>
    <n v="3"/>
    <m/>
    <m/>
    <m/>
    <m/>
    <m/>
    <m/>
    <m/>
    <x v="9"/>
    <s v="PATIENT PAY"/>
    <n v="0"/>
    <n v="0"/>
    <s v="Biocorrect"/>
    <s v="Biocorrect"/>
    <x v="3"/>
    <n v="8"/>
  </r>
  <r>
    <x v="0"/>
    <n v="17"/>
    <s v="Biocorrect "/>
    <n v="45199"/>
    <x v="204"/>
    <n v="9465859"/>
    <n v="48374425"/>
    <b v="0"/>
    <n v="187"/>
    <s v="L3020"/>
    <n v="216"/>
    <n v="216"/>
    <n v="1"/>
    <n v="0"/>
    <n v="204.78"/>
    <n v="0"/>
    <n v="0"/>
    <n v="0"/>
    <m/>
    <n v="216"/>
    <n v="0"/>
    <n v="0"/>
    <n v="0"/>
    <n v="11.22"/>
    <n v="0"/>
    <n v="0"/>
    <n v="0"/>
    <n v="0"/>
    <n v="0"/>
    <n v="0"/>
    <n v="0"/>
    <n v="0"/>
    <n v="0"/>
    <n v="0"/>
    <n v="0"/>
    <n v="0"/>
    <n v="0"/>
    <n v="0"/>
    <n v="0"/>
    <n v="204.78"/>
    <m/>
    <s v="BLUE CROSS BLUE SHIELD"/>
    <m/>
    <m/>
    <s v="BCBS Out of State"/>
    <m/>
    <m/>
    <x v="9"/>
    <s v="PATIENT PAY"/>
    <n v="0"/>
    <n v="0"/>
    <s v="Biocorrect"/>
    <s v="Biocorrect"/>
    <x v="0"/>
    <n v="7"/>
  </r>
  <r>
    <x v="0"/>
    <n v="17"/>
    <s v="Biocorrect "/>
    <n v="45199"/>
    <x v="94"/>
    <n v="10293954"/>
    <n v="53305402"/>
    <b v="0"/>
    <n v="32"/>
    <s v="L3010"/>
    <n v="216"/>
    <n v="216"/>
    <n v="1"/>
    <n v="0"/>
    <n v="216"/>
    <n v="0"/>
    <n v="0"/>
    <n v="0"/>
    <m/>
    <n v="216"/>
    <n v="0"/>
    <n v="0"/>
    <n v="0"/>
    <n v="0"/>
    <n v="0"/>
    <n v="0"/>
    <n v="0"/>
    <n v="0"/>
    <n v="0"/>
    <n v="0"/>
    <n v="0"/>
    <n v="0"/>
    <n v="0"/>
    <n v="0"/>
    <n v="0"/>
    <n v="0"/>
    <n v="0"/>
    <n v="0"/>
    <n v="0"/>
    <n v="216"/>
    <m/>
    <s v="BLUE CROSS BLUE SHIELD"/>
    <m/>
    <m/>
    <s v="BCBS Out of State"/>
    <m/>
    <m/>
    <x v="9"/>
    <s v="PATIENT PAY"/>
    <n v="0"/>
    <n v="0"/>
    <s v="Biocorrect"/>
    <s v="Biocorrect"/>
    <x v="4"/>
    <n v="2"/>
  </r>
  <r>
    <x v="0"/>
    <n v="17"/>
    <s v="Biocorrect "/>
    <n v="45199"/>
    <x v="179"/>
    <n v="10402670"/>
    <n v="54103805"/>
    <b v="0"/>
    <n v="5"/>
    <s v="L3010"/>
    <n v="216"/>
    <n v="216"/>
    <n v="1"/>
    <n v="216"/>
    <n v="0"/>
    <n v="0"/>
    <n v="0"/>
    <n v="0"/>
    <m/>
    <n v="0"/>
    <n v="0"/>
    <n v="0"/>
    <n v="0"/>
    <n v="0"/>
    <n v="0"/>
    <n v="0"/>
    <n v="0"/>
    <n v="0"/>
    <n v="0"/>
    <n v="0"/>
    <n v="0"/>
    <n v="0"/>
    <n v="0"/>
    <n v="0"/>
    <n v="0"/>
    <n v="0"/>
    <n v="0"/>
    <n v="0"/>
    <n v="0"/>
    <n v="216"/>
    <m/>
    <m/>
    <m/>
    <m/>
    <m/>
    <m/>
    <m/>
    <x v="9"/>
    <s v="PATIENT PAY"/>
    <n v="0"/>
    <n v="0"/>
    <s v="Biocorrect"/>
    <s v="Biocorrect"/>
    <x v="1"/>
    <n v="1"/>
  </r>
  <r>
    <x v="0"/>
    <n v="17"/>
    <s v="Biocorrect "/>
    <n v="45199"/>
    <x v="76"/>
    <n v="10416468"/>
    <n v="54107249"/>
    <b v="0"/>
    <n v="5"/>
    <s v="L3010"/>
    <n v="150"/>
    <n v="150"/>
    <n v="1"/>
    <n v="150"/>
    <n v="0"/>
    <n v="0"/>
    <n v="0"/>
    <n v="0"/>
    <m/>
    <n v="0"/>
    <n v="0"/>
    <n v="0"/>
    <n v="0"/>
    <n v="0"/>
    <n v="0"/>
    <n v="0"/>
    <n v="0"/>
    <n v="0"/>
    <n v="0"/>
    <n v="0"/>
    <n v="0"/>
    <n v="0"/>
    <n v="0"/>
    <n v="0"/>
    <n v="0"/>
    <n v="0"/>
    <n v="0"/>
    <n v="0"/>
    <n v="0"/>
    <n v="150"/>
    <m/>
    <m/>
    <m/>
    <m/>
    <m/>
    <m/>
    <m/>
    <x v="9"/>
    <s v="PATIENT PAY"/>
    <n v="0"/>
    <n v="0"/>
    <s v="Biocorrect"/>
    <s v="Biocorrect"/>
    <x v="1"/>
    <n v="1"/>
  </r>
  <r>
    <x v="0"/>
    <n v="17"/>
    <s v="Biocorrect "/>
    <n v="45199"/>
    <x v="79"/>
    <n v="10213979"/>
    <n v="53293966"/>
    <b v="0"/>
    <n v="36"/>
    <s v="L3020"/>
    <n v="216"/>
    <n v="216"/>
    <n v="1"/>
    <n v="216"/>
    <n v="0"/>
    <n v="0"/>
    <n v="0"/>
    <n v="0"/>
    <m/>
    <n v="0"/>
    <n v="0"/>
    <n v="0"/>
    <n v="0"/>
    <n v="0"/>
    <n v="0"/>
    <n v="0"/>
    <n v="0"/>
    <n v="0"/>
    <n v="0"/>
    <n v="0"/>
    <n v="0"/>
    <n v="0"/>
    <n v="0"/>
    <n v="0"/>
    <n v="0"/>
    <n v="0"/>
    <n v="0"/>
    <n v="0"/>
    <n v="0"/>
    <n v="216"/>
    <m/>
    <m/>
    <m/>
    <m/>
    <m/>
    <m/>
    <m/>
    <x v="9"/>
    <s v="PATIENT PAY"/>
    <n v="0"/>
    <n v="0"/>
    <s v="Biocorrect"/>
    <s v="Biocorrect"/>
    <x v="4"/>
    <n v="2"/>
  </r>
  <r>
    <x v="0"/>
    <n v="17"/>
    <s v="Biocorrect "/>
    <n v="45199"/>
    <x v="219"/>
    <n v="10412639"/>
    <n v="54248803"/>
    <b v="0"/>
    <n v="2"/>
    <s v="L3020"/>
    <n v="216"/>
    <n v="216"/>
    <n v="1"/>
    <n v="216"/>
    <n v="0"/>
    <n v="0"/>
    <n v="200"/>
    <n v="0"/>
    <m/>
    <n v="0"/>
    <n v="0"/>
    <n v="0"/>
    <n v="0"/>
    <n v="0"/>
    <n v="0"/>
    <n v="0"/>
    <n v="0"/>
    <n v="0"/>
    <n v="0"/>
    <n v="0"/>
    <n v="0"/>
    <n v="0"/>
    <n v="0"/>
    <n v="0"/>
    <n v="0"/>
    <n v="0"/>
    <n v="0"/>
    <n v="0"/>
    <n v="0"/>
    <n v="16"/>
    <m/>
    <m/>
    <m/>
    <m/>
    <m/>
    <m/>
    <m/>
    <x v="9"/>
    <s v="PATIENT PAY"/>
    <n v="0"/>
    <n v="0"/>
    <s v="Biocorrect"/>
    <s v="Biocorrect"/>
    <x v="1"/>
    <n v="1"/>
  </r>
  <r>
    <x v="0"/>
    <n v="17"/>
    <s v="Biocorrect "/>
    <n v="45199"/>
    <x v="162"/>
    <n v="3967063"/>
    <n v="17697614"/>
    <b v="0"/>
    <n v="1837"/>
    <s v="L3020"/>
    <n v="150"/>
    <n v="150"/>
    <n v="1"/>
    <n v="150"/>
    <n v="0"/>
    <n v="0"/>
    <n v="0"/>
    <n v="30"/>
    <m/>
    <n v="0"/>
    <n v="0"/>
    <n v="0"/>
    <n v="0"/>
    <n v="0"/>
    <n v="0"/>
    <n v="0"/>
    <n v="0"/>
    <n v="0"/>
    <n v="0"/>
    <n v="0"/>
    <n v="0"/>
    <n v="0"/>
    <n v="0"/>
    <n v="0"/>
    <n v="0"/>
    <n v="0"/>
    <n v="0"/>
    <n v="0"/>
    <n v="0"/>
    <n v="-30"/>
    <m/>
    <m/>
    <m/>
    <m/>
    <m/>
    <m/>
    <m/>
    <x v="9"/>
    <s v="PATIENT PAY"/>
    <n v="0"/>
    <n v="150"/>
    <s v="Biocorrect"/>
    <s v="Biocorrect"/>
    <x v="3"/>
    <n v="8"/>
  </r>
  <r>
    <x v="0"/>
    <n v="17"/>
    <s v="Biocorrect "/>
    <n v="45199"/>
    <x v="220"/>
    <n v="8936575"/>
    <n v="45480552"/>
    <b v="0"/>
    <n v="291"/>
    <s v="L3010"/>
    <n v="216"/>
    <n v="216"/>
    <n v="1"/>
    <n v="216"/>
    <n v="0"/>
    <n v="0"/>
    <n v="200"/>
    <n v="0"/>
    <m/>
    <n v="0"/>
    <n v="0"/>
    <n v="0"/>
    <n v="0"/>
    <n v="0"/>
    <n v="0"/>
    <n v="0"/>
    <n v="0"/>
    <n v="0"/>
    <n v="0"/>
    <n v="0"/>
    <n v="0"/>
    <n v="0"/>
    <n v="0"/>
    <n v="0"/>
    <n v="0"/>
    <n v="0"/>
    <n v="0"/>
    <n v="0"/>
    <n v="0"/>
    <n v="16"/>
    <m/>
    <m/>
    <m/>
    <m/>
    <m/>
    <m/>
    <m/>
    <x v="9"/>
    <s v="PATIENT PAY"/>
    <n v="0"/>
    <n v="0"/>
    <s v="Biocorrect"/>
    <s v="Biocorrect"/>
    <x v="0"/>
    <n v="7"/>
  </r>
  <r>
    <x v="0"/>
    <n v="17"/>
    <s v="Biocorrect "/>
    <n v="45199"/>
    <x v="221"/>
    <n v="10084710"/>
    <n v="52564651"/>
    <b v="0"/>
    <n v="54"/>
    <s v="L3010"/>
    <n v="216"/>
    <n v="216"/>
    <n v="1"/>
    <n v="216"/>
    <n v="0"/>
    <n v="0"/>
    <n v="100"/>
    <n v="0"/>
    <m/>
    <n v="0"/>
    <n v="0"/>
    <n v="0"/>
    <n v="0"/>
    <n v="0"/>
    <n v="0"/>
    <n v="0"/>
    <n v="0"/>
    <n v="0"/>
    <n v="0"/>
    <n v="0"/>
    <n v="0"/>
    <n v="0"/>
    <n v="0"/>
    <n v="0"/>
    <n v="0"/>
    <n v="0"/>
    <n v="0"/>
    <n v="0"/>
    <n v="0"/>
    <n v="116"/>
    <m/>
    <m/>
    <m/>
    <m/>
    <m/>
    <m/>
    <m/>
    <x v="9"/>
    <s v="PATIENT PAY"/>
    <n v="0"/>
    <n v="0"/>
    <s v="Biocorrect"/>
    <s v="Biocorrect"/>
    <x v="4"/>
    <n v="2"/>
  </r>
  <r>
    <x v="0"/>
    <n v="17"/>
    <s v="Biocorrect "/>
    <n v="45199"/>
    <x v="221"/>
    <n v="10084710"/>
    <n v="52564687"/>
    <b v="0"/>
    <n v="54"/>
    <s v="L3010"/>
    <n v="216"/>
    <n v="216"/>
    <n v="1"/>
    <n v="216"/>
    <n v="0"/>
    <n v="0"/>
    <n v="0"/>
    <n v="0"/>
    <m/>
    <n v="0"/>
    <n v="0"/>
    <n v="0"/>
    <n v="0"/>
    <n v="0"/>
    <n v="0"/>
    <n v="0"/>
    <n v="0"/>
    <n v="0"/>
    <n v="0"/>
    <n v="0"/>
    <n v="0"/>
    <n v="0"/>
    <n v="0"/>
    <n v="0"/>
    <n v="0"/>
    <n v="0"/>
    <n v="0"/>
    <n v="0"/>
    <n v="0"/>
    <n v="216"/>
    <m/>
    <m/>
    <m/>
    <m/>
    <m/>
    <m/>
    <m/>
    <x v="9"/>
    <s v="PATIENT PAY"/>
    <n v="0"/>
    <n v="0"/>
    <s v="Biocorrect"/>
    <s v="Biocorrect"/>
    <x v="4"/>
    <n v="2"/>
  </r>
  <r>
    <x v="1"/>
    <n v="17"/>
    <s v="Biocorrect "/>
    <n v="45199"/>
    <x v="222"/>
    <m/>
    <m/>
    <b v="0"/>
    <n v="1"/>
    <s v="Aged Deposit Balance"/>
    <m/>
    <m/>
    <m/>
    <m/>
    <m/>
    <m/>
    <m/>
    <m/>
    <m/>
    <m/>
    <m/>
    <m/>
    <m/>
    <m/>
    <m/>
    <m/>
    <m/>
    <m/>
    <m/>
    <m/>
    <m/>
    <m/>
    <m/>
    <m/>
    <m/>
    <m/>
    <m/>
    <m/>
    <m/>
    <n v="-18"/>
    <m/>
    <m/>
    <m/>
    <m/>
    <m/>
    <m/>
    <m/>
    <x v="9"/>
    <s v="PATIENT PAY"/>
    <m/>
    <m/>
    <m/>
    <s v="Biocorrect"/>
    <x v="1"/>
    <n v="1"/>
  </r>
  <r>
    <x v="1"/>
    <n v="17"/>
    <s v="Biocorrect "/>
    <n v="45199"/>
    <x v="223"/>
    <m/>
    <m/>
    <b v="0"/>
    <n v="1"/>
    <s v="Aged Deposit Balance"/>
    <m/>
    <m/>
    <m/>
    <m/>
    <m/>
    <m/>
    <m/>
    <m/>
    <m/>
    <m/>
    <m/>
    <m/>
    <m/>
    <m/>
    <m/>
    <m/>
    <m/>
    <m/>
    <m/>
    <m/>
    <m/>
    <m/>
    <m/>
    <m/>
    <m/>
    <m/>
    <m/>
    <m/>
    <m/>
    <n v="-18"/>
    <m/>
    <m/>
    <m/>
    <m/>
    <m/>
    <m/>
    <m/>
    <x v="9"/>
    <s v="PATIENT PAY"/>
    <m/>
    <m/>
    <m/>
    <s v="Biocorrect"/>
    <x v="1"/>
    <n v="1"/>
  </r>
  <r>
    <x v="1"/>
    <n v="17"/>
    <s v="Biocorrect "/>
    <n v="45199"/>
    <x v="224"/>
    <m/>
    <m/>
    <b v="0"/>
    <n v="1"/>
    <s v="Aged Deposit Balance"/>
    <m/>
    <m/>
    <m/>
    <m/>
    <m/>
    <m/>
    <m/>
    <m/>
    <m/>
    <m/>
    <m/>
    <m/>
    <m/>
    <m/>
    <m/>
    <m/>
    <m/>
    <m/>
    <m/>
    <m/>
    <m/>
    <m/>
    <m/>
    <m/>
    <m/>
    <m/>
    <m/>
    <m/>
    <m/>
    <n v="-50"/>
    <m/>
    <m/>
    <m/>
    <m/>
    <m/>
    <m/>
    <m/>
    <x v="9"/>
    <s v="PATIENT PAY"/>
    <m/>
    <m/>
    <m/>
    <s v="Biocorrect"/>
    <x v="1"/>
    <n v="1"/>
  </r>
  <r>
    <x v="1"/>
    <n v="17"/>
    <s v="Biocorrect "/>
    <n v="45199"/>
    <x v="225"/>
    <m/>
    <m/>
    <b v="0"/>
    <n v="1"/>
    <s v="Aged Deposit Balance"/>
    <m/>
    <m/>
    <m/>
    <m/>
    <m/>
    <m/>
    <m/>
    <m/>
    <m/>
    <m/>
    <m/>
    <m/>
    <m/>
    <m/>
    <m/>
    <m/>
    <m/>
    <m/>
    <m/>
    <m/>
    <m/>
    <m/>
    <m/>
    <m/>
    <m/>
    <m/>
    <m/>
    <m/>
    <m/>
    <n v="-10.6"/>
    <m/>
    <m/>
    <m/>
    <m/>
    <m/>
    <m/>
    <m/>
    <x v="9"/>
    <s v="PATIENT PAY"/>
    <m/>
    <m/>
    <m/>
    <s v="Biocorrect"/>
    <x v="1"/>
    <n v="1"/>
  </r>
  <r>
    <x v="1"/>
    <n v="17"/>
    <s v="Biocorrect "/>
    <n v="45199"/>
    <x v="226"/>
    <m/>
    <m/>
    <b v="0"/>
    <n v="1"/>
    <s v="Aged Deposit Balance"/>
    <m/>
    <m/>
    <m/>
    <m/>
    <m/>
    <m/>
    <m/>
    <m/>
    <m/>
    <m/>
    <m/>
    <m/>
    <m/>
    <m/>
    <m/>
    <m/>
    <m/>
    <m/>
    <m/>
    <m/>
    <m/>
    <m/>
    <m/>
    <m/>
    <m/>
    <m/>
    <m/>
    <m/>
    <m/>
    <n v="-18"/>
    <m/>
    <s v="BLUE CROSS BLUE SHIELD"/>
    <m/>
    <m/>
    <m/>
    <m/>
    <m/>
    <x v="9"/>
    <s v="PATIENT PAY"/>
    <m/>
    <m/>
    <m/>
    <s v="Biocorrect"/>
    <x v="1"/>
    <n v="1"/>
  </r>
  <r>
    <x v="1"/>
    <n v="17"/>
    <s v="Biocorrect "/>
    <n v="45199"/>
    <x v="227"/>
    <m/>
    <m/>
    <b v="0"/>
    <n v="1"/>
    <s v="Aged Deposit Balance"/>
    <m/>
    <m/>
    <m/>
    <m/>
    <m/>
    <m/>
    <m/>
    <m/>
    <m/>
    <m/>
    <m/>
    <m/>
    <m/>
    <m/>
    <m/>
    <m/>
    <m/>
    <m/>
    <m/>
    <m/>
    <m/>
    <m/>
    <m/>
    <m/>
    <m/>
    <m/>
    <m/>
    <m/>
    <m/>
    <n v="-18"/>
    <m/>
    <m/>
    <m/>
    <m/>
    <m/>
    <m/>
    <m/>
    <x v="9"/>
    <s v="PATIENT PAY"/>
    <m/>
    <m/>
    <m/>
    <s v="Biocorrect"/>
    <x v="1"/>
    <n v="1"/>
  </r>
  <r>
    <x v="1"/>
    <n v="17"/>
    <s v="Biocorrect "/>
    <n v="45199"/>
    <x v="228"/>
    <m/>
    <m/>
    <b v="0"/>
    <n v="1"/>
    <s v="Aged Deposit Balance"/>
    <m/>
    <m/>
    <m/>
    <m/>
    <m/>
    <m/>
    <m/>
    <m/>
    <m/>
    <m/>
    <m/>
    <m/>
    <m/>
    <m/>
    <m/>
    <m/>
    <m/>
    <m/>
    <m/>
    <m/>
    <m/>
    <m/>
    <m/>
    <m/>
    <m/>
    <m/>
    <m/>
    <m/>
    <m/>
    <n v="-81"/>
    <m/>
    <m/>
    <m/>
    <m/>
    <m/>
    <m/>
    <m/>
    <x v="9"/>
    <s v="PATIENT PAY"/>
    <m/>
    <m/>
    <m/>
    <s v="Biocorrect"/>
    <x v="1"/>
    <n v="1"/>
  </r>
  <r>
    <x v="0"/>
    <n v="17"/>
    <s v="Biocorrect "/>
    <n v="45199"/>
    <x v="229"/>
    <n v="10187977"/>
    <n v="52834908"/>
    <b v="0"/>
    <n v="46"/>
    <s v="L3010"/>
    <n v="216"/>
    <n v="216"/>
    <n v="1"/>
    <n v="216"/>
    <n v="0"/>
    <n v="0"/>
    <n v="84"/>
    <n v="0"/>
    <m/>
    <n v="0"/>
    <n v="0"/>
    <n v="0"/>
    <n v="0"/>
    <n v="0"/>
    <n v="0"/>
    <n v="0"/>
    <n v="0"/>
    <n v="0"/>
    <n v="0"/>
    <n v="0"/>
    <n v="0"/>
    <n v="0"/>
    <n v="0"/>
    <n v="0"/>
    <n v="0"/>
    <n v="0"/>
    <n v="0"/>
    <n v="0"/>
    <n v="0"/>
    <n v="132"/>
    <m/>
    <m/>
    <m/>
    <m/>
    <m/>
    <m/>
    <m/>
    <x v="9"/>
    <s v="PATIENT PAY"/>
    <n v="0"/>
    <n v="0"/>
    <s v="Biocorrect"/>
    <s v="Biocorrect"/>
    <x v="4"/>
    <n v="2"/>
  </r>
  <r>
    <x v="0"/>
    <n v="17"/>
    <s v="Biocorrect "/>
    <n v="45199"/>
    <x v="199"/>
    <n v="5462435"/>
    <n v="26814113"/>
    <b v="0"/>
    <n v="1310"/>
    <s v="TAX: Custom Orthotics"/>
    <n v="18"/>
    <n v="18"/>
    <n v="1"/>
    <n v="18"/>
    <n v="0"/>
    <n v="0"/>
    <n v="0"/>
    <n v="0"/>
    <m/>
    <n v="0"/>
    <n v="0"/>
    <n v="0"/>
    <n v="0"/>
    <n v="0"/>
    <n v="0"/>
    <n v="0"/>
    <n v="0"/>
    <n v="0"/>
    <n v="0"/>
    <n v="0"/>
    <n v="0"/>
    <n v="0"/>
    <n v="0"/>
    <n v="0"/>
    <n v="0"/>
    <n v="0"/>
    <n v="0"/>
    <n v="0"/>
    <n v="0"/>
    <n v="18"/>
    <m/>
    <m/>
    <m/>
    <m/>
    <m/>
    <m/>
    <m/>
    <x v="9"/>
    <s v="PATIENT PAY"/>
    <n v="0"/>
    <n v="0"/>
    <s v="Biocorrect"/>
    <s v="Biocorrect"/>
    <x v="3"/>
    <n v="8"/>
  </r>
  <r>
    <x v="0"/>
    <n v="17"/>
    <s v="Biocorrect "/>
    <n v="45199"/>
    <x v="230"/>
    <n v="9054600"/>
    <n v="46169211"/>
    <b v="0"/>
    <n v="267"/>
    <s v="L3020"/>
    <n v="216"/>
    <n v="216"/>
    <n v="1"/>
    <n v="0"/>
    <n v="119.5"/>
    <n v="103.31"/>
    <n v="0"/>
    <n v="0"/>
    <m/>
    <n v="216"/>
    <n v="0"/>
    <n v="0"/>
    <n v="0"/>
    <n v="96.5"/>
    <n v="0"/>
    <n v="0"/>
    <n v="0"/>
    <n v="0"/>
    <n v="0"/>
    <n v="0"/>
    <n v="0"/>
    <n v="0"/>
    <n v="0"/>
    <n v="0"/>
    <n v="0"/>
    <n v="0"/>
    <n v="0"/>
    <n v="0"/>
    <n v="0"/>
    <n v="16.190000000000001"/>
    <m/>
    <s v="COMMERCIAL"/>
    <m/>
    <m/>
    <s v="Aetna"/>
    <m/>
    <m/>
    <x v="9"/>
    <s v="PATIENT PAY"/>
    <n v="0"/>
    <n v="0"/>
    <s v="Biocorrect"/>
    <s v="Biocorrect"/>
    <x v="0"/>
    <n v="7"/>
  </r>
  <r>
    <x v="0"/>
    <n v="17"/>
    <s v="Biocorrect "/>
    <n v="45199"/>
    <x v="230"/>
    <n v="9054600"/>
    <n v="46169210"/>
    <b v="0"/>
    <n v="267"/>
    <s v="L3020"/>
    <n v="216"/>
    <n v="216"/>
    <n v="1"/>
    <n v="0"/>
    <n v="119.5"/>
    <n v="135.69"/>
    <n v="0"/>
    <n v="0"/>
    <m/>
    <n v="216"/>
    <n v="0"/>
    <n v="0"/>
    <n v="0"/>
    <n v="96.5"/>
    <n v="0"/>
    <n v="0"/>
    <n v="0"/>
    <n v="0"/>
    <n v="0"/>
    <n v="0"/>
    <n v="0"/>
    <n v="0"/>
    <n v="0"/>
    <n v="0"/>
    <n v="0"/>
    <n v="0"/>
    <n v="0"/>
    <n v="0"/>
    <n v="0"/>
    <n v="-16.190000000000001"/>
    <m/>
    <s v="COMMERCIAL"/>
    <m/>
    <m/>
    <s v="Aetna"/>
    <m/>
    <m/>
    <x v="9"/>
    <s v="PATIENT PAY"/>
    <n v="0"/>
    <n v="0"/>
    <s v="Biocorrect"/>
    <s v="Biocorrect"/>
    <x v="0"/>
    <n v="7"/>
  </r>
  <r>
    <x v="0"/>
    <n v="17"/>
    <s v="Biocorrect "/>
    <n v="45199"/>
    <x v="157"/>
    <n v="10368582"/>
    <n v="53861857"/>
    <b v="0"/>
    <n v="15"/>
    <s v="TAX: Custom Orthotics"/>
    <n v="18"/>
    <n v="18"/>
    <n v="1"/>
    <n v="18"/>
    <n v="0"/>
    <n v="0"/>
    <n v="0"/>
    <n v="0"/>
    <m/>
    <n v="0"/>
    <n v="0"/>
    <n v="0"/>
    <n v="0"/>
    <n v="0"/>
    <n v="0"/>
    <n v="0"/>
    <n v="0"/>
    <n v="0"/>
    <n v="0"/>
    <n v="0"/>
    <n v="0"/>
    <n v="0"/>
    <n v="0"/>
    <n v="0"/>
    <n v="0"/>
    <n v="0"/>
    <n v="0"/>
    <n v="0"/>
    <n v="0"/>
    <n v="18"/>
    <m/>
    <m/>
    <m/>
    <m/>
    <m/>
    <m/>
    <m/>
    <x v="9"/>
    <s v="PATIENT PAY"/>
    <n v="0"/>
    <n v="0"/>
    <s v="Biocorrect"/>
    <s v="Biocorrect"/>
    <x v="1"/>
    <n v="1"/>
  </r>
  <r>
    <x v="0"/>
    <n v="17"/>
    <s v="Biocorrect "/>
    <n v="45199"/>
    <x v="74"/>
    <n v="10239264"/>
    <n v="53011835"/>
    <b v="0"/>
    <n v="40"/>
    <s v="L3010"/>
    <n v="216"/>
    <n v="216"/>
    <n v="1"/>
    <n v="0"/>
    <n v="165.43"/>
    <n v="0"/>
    <n v="0"/>
    <n v="0"/>
    <m/>
    <n v="216"/>
    <n v="0"/>
    <n v="0"/>
    <n v="0"/>
    <n v="50.57"/>
    <n v="0"/>
    <n v="0"/>
    <n v="0"/>
    <n v="0"/>
    <n v="0"/>
    <n v="0"/>
    <n v="0"/>
    <n v="0"/>
    <n v="0"/>
    <n v="0"/>
    <n v="0"/>
    <n v="0"/>
    <n v="0"/>
    <n v="0"/>
    <n v="0"/>
    <n v="165.43"/>
    <m/>
    <s v="BLUE CROSS BLUE SHIELD"/>
    <m/>
    <m/>
    <s v="BCBSM PPO"/>
    <m/>
    <m/>
    <x v="9"/>
    <s v="PATIENT PAY"/>
    <n v="0"/>
    <n v="0"/>
    <s v="Biocorrect"/>
    <s v="Biocorrect"/>
    <x v="4"/>
    <n v="2"/>
  </r>
  <r>
    <x v="0"/>
    <n v="17"/>
    <s v="Biocorrect "/>
    <n v="45199"/>
    <x v="129"/>
    <n v="10414410"/>
    <n v="54106386"/>
    <b v="0"/>
    <n v="5"/>
    <s v="TAX: Custom Orthotics"/>
    <n v="18"/>
    <n v="18"/>
    <n v="1"/>
    <n v="18"/>
    <n v="0"/>
    <n v="0"/>
    <n v="0"/>
    <n v="0"/>
    <m/>
    <n v="0"/>
    <n v="0"/>
    <n v="0"/>
    <n v="0"/>
    <n v="0"/>
    <n v="0"/>
    <n v="0"/>
    <n v="0"/>
    <n v="0"/>
    <n v="0"/>
    <n v="0"/>
    <n v="0"/>
    <n v="0"/>
    <n v="0"/>
    <n v="0"/>
    <n v="0"/>
    <n v="0"/>
    <n v="0"/>
    <n v="0"/>
    <n v="0"/>
    <n v="18"/>
    <m/>
    <m/>
    <m/>
    <m/>
    <m/>
    <m/>
    <m/>
    <x v="9"/>
    <s v="PATIENT PAY"/>
    <n v="0"/>
    <n v="0"/>
    <s v="Biocorrect"/>
    <s v="Biocorrect"/>
    <x v="1"/>
    <n v="1"/>
  </r>
  <r>
    <x v="0"/>
    <n v="17"/>
    <s v="Biocorrect "/>
    <n v="45199"/>
    <x v="96"/>
    <n v="5608579"/>
    <n v="27967307"/>
    <b v="0"/>
    <n v="1221"/>
    <s v="L3020"/>
    <n v="216"/>
    <n v="216"/>
    <n v="1"/>
    <n v="216"/>
    <n v="0"/>
    <n v="0"/>
    <n v="18"/>
    <n v="0"/>
    <m/>
    <n v="0"/>
    <n v="0"/>
    <n v="0"/>
    <n v="0"/>
    <n v="0"/>
    <n v="0"/>
    <n v="0"/>
    <n v="0"/>
    <n v="0"/>
    <n v="0"/>
    <n v="0"/>
    <n v="0"/>
    <n v="0"/>
    <n v="0"/>
    <n v="0"/>
    <n v="0"/>
    <n v="0"/>
    <n v="0"/>
    <n v="0"/>
    <n v="0"/>
    <n v="198"/>
    <m/>
    <m/>
    <m/>
    <m/>
    <m/>
    <m/>
    <m/>
    <x v="9"/>
    <s v="PATIENT PAY"/>
    <n v="0"/>
    <n v="0"/>
    <s v="Biocorrect"/>
    <s v="Biocorrect"/>
    <x v="3"/>
    <n v="8"/>
  </r>
  <r>
    <x v="0"/>
    <n v="17"/>
    <s v="Biocorrect "/>
    <n v="45199"/>
    <x v="161"/>
    <n v="10433684"/>
    <n v="54144164"/>
    <b v="0"/>
    <n v="4"/>
    <s v="L3010"/>
    <n v="150"/>
    <n v="150"/>
    <n v="1"/>
    <n v="150"/>
    <n v="0"/>
    <n v="0"/>
    <n v="0"/>
    <n v="0"/>
    <m/>
    <n v="0"/>
    <n v="0"/>
    <n v="0"/>
    <n v="0"/>
    <n v="0"/>
    <n v="0"/>
    <n v="0"/>
    <n v="0"/>
    <n v="0"/>
    <n v="0"/>
    <n v="0"/>
    <n v="0"/>
    <n v="0"/>
    <n v="0"/>
    <n v="0"/>
    <n v="0"/>
    <n v="0"/>
    <n v="0"/>
    <n v="0"/>
    <n v="0"/>
    <n v="150"/>
    <m/>
    <m/>
    <m/>
    <m/>
    <m/>
    <m/>
    <m/>
    <x v="9"/>
    <s v="PATIENT PAY"/>
    <n v="0"/>
    <n v="0"/>
    <s v="Biocorrect"/>
    <s v="Biocorrect"/>
    <x v="1"/>
    <n v="1"/>
  </r>
  <r>
    <x v="0"/>
    <n v="17"/>
    <s v="Biocorrect "/>
    <n v="45199"/>
    <x v="93"/>
    <n v="10289038"/>
    <n v="53259717"/>
    <b v="0"/>
    <n v="33"/>
    <s v="L3020"/>
    <n v="150"/>
    <n v="150"/>
    <n v="1"/>
    <n v="150"/>
    <n v="0"/>
    <n v="0"/>
    <n v="159"/>
    <n v="0"/>
    <m/>
    <n v="0"/>
    <n v="0"/>
    <n v="0"/>
    <n v="0"/>
    <n v="0"/>
    <n v="0"/>
    <n v="0"/>
    <n v="0"/>
    <n v="0"/>
    <n v="0"/>
    <n v="0"/>
    <n v="0"/>
    <n v="0"/>
    <n v="0"/>
    <n v="0"/>
    <n v="0"/>
    <n v="0"/>
    <n v="0"/>
    <n v="0"/>
    <n v="0"/>
    <n v="-9"/>
    <m/>
    <m/>
    <m/>
    <m/>
    <m/>
    <m/>
    <m/>
    <x v="9"/>
    <s v="PATIENT PAY"/>
    <n v="0"/>
    <n v="0"/>
    <s v="Biocorrect"/>
    <s v="Biocorrect"/>
    <x v="4"/>
    <n v="2"/>
  </r>
  <r>
    <x v="0"/>
    <n v="17"/>
    <s v="Biocorrect "/>
    <n v="45199"/>
    <x v="203"/>
    <n v="9978398"/>
    <n v="51468909"/>
    <b v="0"/>
    <n v="92"/>
    <s v="L3020"/>
    <n v="216"/>
    <n v="216"/>
    <n v="1"/>
    <n v="216"/>
    <n v="0"/>
    <n v="0"/>
    <n v="366"/>
    <n v="0"/>
    <m/>
    <n v="0"/>
    <n v="0"/>
    <n v="0"/>
    <n v="0"/>
    <n v="0"/>
    <n v="0"/>
    <n v="0"/>
    <n v="0"/>
    <n v="0"/>
    <n v="0"/>
    <n v="0"/>
    <n v="0"/>
    <n v="0"/>
    <n v="0"/>
    <n v="0"/>
    <n v="0"/>
    <n v="0"/>
    <n v="0"/>
    <n v="0"/>
    <n v="0"/>
    <n v="-150"/>
    <m/>
    <m/>
    <m/>
    <m/>
    <m/>
    <m/>
    <m/>
    <x v="9"/>
    <s v="PATIENT PAY"/>
    <n v="0"/>
    <n v="0"/>
    <s v="Biocorrect"/>
    <s v="Biocorrect"/>
    <x v="7"/>
    <n v="4"/>
  </r>
  <r>
    <x v="0"/>
    <n v="17"/>
    <s v="Biocorrect "/>
    <n v="45199"/>
    <x v="203"/>
    <n v="9978398"/>
    <n v="51468911"/>
    <b v="0"/>
    <n v="92"/>
    <s v="TAX: Custom Orthotics"/>
    <n v="18"/>
    <n v="18"/>
    <n v="1"/>
    <n v="18"/>
    <n v="0"/>
    <n v="0"/>
    <n v="0"/>
    <n v="0"/>
    <m/>
    <n v="0"/>
    <n v="0"/>
    <n v="0"/>
    <n v="0"/>
    <n v="0"/>
    <n v="0"/>
    <n v="0"/>
    <n v="0"/>
    <n v="0"/>
    <n v="0"/>
    <n v="0"/>
    <n v="0"/>
    <n v="0"/>
    <n v="0"/>
    <n v="0"/>
    <n v="0"/>
    <n v="0"/>
    <n v="0"/>
    <n v="0"/>
    <n v="0"/>
    <n v="18"/>
    <m/>
    <m/>
    <m/>
    <m/>
    <m/>
    <m/>
    <m/>
    <x v="9"/>
    <s v="PATIENT PAY"/>
    <n v="0"/>
    <n v="0"/>
    <s v="Biocorrect"/>
    <s v="Biocorrect"/>
    <x v="7"/>
    <n v="4"/>
  </r>
  <r>
    <x v="0"/>
    <n v="17"/>
    <s v="Biocorrect "/>
    <n v="45199"/>
    <x v="231"/>
    <n v="9796420"/>
    <n v="51481875"/>
    <b v="0"/>
    <n v="92"/>
    <s v="TAX: Custom Orthotics"/>
    <n v="14.4"/>
    <n v="14.4"/>
    <n v="1"/>
    <n v="14.4"/>
    <n v="0"/>
    <n v="0"/>
    <n v="22.32"/>
    <n v="0"/>
    <m/>
    <n v="0"/>
    <n v="0"/>
    <n v="0"/>
    <n v="0"/>
    <n v="0"/>
    <n v="0"/>
    <n v="0"/>
    <n v="0"/>
    <n v="0"/>
    <n v="0"/>
    <n v="0"/>
    <n v="0"/>
    <n v="0"/>
    <n v="0"/>
    <n v="0"/>
    <n v="0"/>
    <n v="0"/>
    <n v="0"/>
    <n v="0"/>
    <n v="0"/>
    <n v="-7.92"/>
    <m/>
    <m/>
    <m/>
    <m/>
    <m/>
    <m/>
    <m/>
    <x v="9"/>
    <s v="PATIENT PAY"/>
    <n v="0"/>
    <n v="0"/>
    <s v="Biocorrect"/>
    <s v="Biocorrect"/>
    <x v="7"/>
    <n v="4"/>
  </r>
  <r>
    <x v="0"/>
    <n v="17"/>
    <s v="Biocorrect "/>
    <n v="45199"/>
    <x v="99"/>
    <n v="10232768"/>
    <n v="53137656"/>
    <b v="0"/>
    <n v="37"/>
    <s v="L3010"/>
    <n v="216"/>
    <n v="216"/>
    <n v="1"/>
    <n v="216"/>
    <n v="0"/>
    <n v="0"/>
    <n v="432"/>
    <n v="0"/>
    <m/>
    <n v="0"/>
    <n v="0"/>
    <n v="0"/>
    <n v="0"/>
    <n v="0"/>
    <n v="0"/>
    <n v="0"/>
    <n v="0"/>
    <n v="0"/>
    <n v="0"/>
    <n v="0"/>
    <n v="0"/>
    <n v="0"/>
    <n v="0"/>
    <n v="0"/>
    <n v="0"/>
    <n v="0"/>
    <n v="0"/>
    <n v="0"/>
    <n v="0"/>
    <n v="-216"/>
    <m/>
    <m/>
    <m/>
    <m/>
    <m/>
    <m/>
    <m/>
    <x v="9"/>
    <s v="PATIENT PAY"/>
    <n v="0"/>
    <n v="0"/>
    <s v="Biocorrect"/>
    <s v="Biocorrect"/>
    <x v="4"/>
    <n v="2"/>
  </r>
  <r>
    <x v="0"/>
    <n v="17"/>
    <s v="Biocorrect "/>
    <n v="45199"/>
    <x v="131"/>
    <n v="10092566"/>
    <n v="52322468"/>
    <b v="0"/>
    <n v="64"/>
    <s v="TAX: Custom Orthotics"/>
    <n v="18"/>
    <n v="18"/>
    <n v="1"/>
    <n v="18"/>
    <n v="0"/>
    <n v="0"/>
    <n v="0"/>
    <n v="0"/>
    <m/>
    <n v="0"/>
    <n v="0"/>
    <n v="0"/>
    <n v="0"/>
    <n v="0"/>
    <n v="0"/>
    <n v="0"/>
    <n v="0"/>
    <n v="0"/>
    <n v="0"/>
    <n v="0"/>
    <n v="0"/>
    <n v="0"/>
    <n v="0"/>
    <n v="0"/>
    <n v="0"/>
    <n v="0"/>
    <n v="0"/>
    <n v="0"/>
    <n v="0"/>
    <n v="18"/>
    <m/>
    <m/>
    <m/>
    <m/>
    <m/>
    <m/>
    <m/>
    <x v="9"/>
    <s v="PATIENT PAY"/>
    <n v="0"/>
    <n v="0"/>
    <s v="Biocorrect"/>
    <s v="Biocorrect"/>
    <x v="2"/>
    <n v="3"/>
  </r>
  <r>
    <x v="0"/>
    <n v="17"/>
    <s v="Biocorrect "/>
    <n v="45199"/>
    <x v="128"/>
    <n v="10380877"/>
    <n v="53996744"/>
    <b v="0"/>
    <n v="9"/>
    <s v="L3020"/>
    <n v="216"/>
    <n v="216"/>
    <n v="1"/>
    <n v="216"/>
    <n v="0"/>
    <n v="0"/>
    <n v="200"/>
    <n v="0"/>
    <m/>
    <n v="0"/>
    <n v="0"/>
    <n v="0"/>
    <n v="0"/>
    <n v="0"/>
    <n v="0"/>
    <n v="0"/>
    <n v="0"/>
    <n v="0"/>
    <n v="0"/>
    <n v="0"/>
    <n v="0"/>
    <n v="0"/>
    <n v="0"/>
    <n v="0"/>
    <n v="0"/>
    <n v="0"/>
    <n v="0"/>
    <n v="0"/>
    <n v="0"/>
    <n v="16"/>
    <m/>
    <m/>
    <m/>
    <m/>
    <m/>
    <m/>
    <m/>
    <x v="9"/>
    <s v="PATIENT PAY"/>
    <n v="0"/>
    <n v="0"/>
    <s v="Biocorrect"/>
    <s v="Biocorrect"/>
    <x v="1"/>
    <n v="1"/>
  </r>
  <r>
    <x v="0"/>
    <n v="17"/>
    <s v="Biocorrect "/>
    <n v="45199"/>
    <x v="131"/>
    <n v="10092566"/>
    <n v="52322464"/>
    <b v="0"/>
    <n v="64"/>
    <s v="L3010"/>
    <n v="216"/>
    <n v="216"/>
    <n v="1"/>
    <n v="216"/>
    <n v="0"/>
    <n v="0"/>
    <n v="0"/>
    <n v="0"/>
    <m/>
    <n v="0"/>
    <n v="0"/>
    <n v="0"/>
    <n v="0"/>
    <n v="0"/>
    <n v="0"/>
    <n v="0"/>
    <n v="0"/>
    <n v="0"/>
    <n v="0"/>
    <n v="0"/>
    <n v="0"/>
    <n v="0"/>
    <n v="0"/>
    <n v="0"/>
    <n v="0"/>
    <n v="0"/>
    <n v="0"/>
    <n v="0"/>
    <n v="0"/>
    <n v="216"/>
    <m/>
    <m/>
    <m/>
    <m/>
    <m/>
    <m/>
    <m/>
    <x v="9"/>
    <s v="PATIENT PAY"/>
    <n v="0"/>
    <n v="0"/>
    <s v="Biocorrect"/>
    <s v="Biocorrect"/>
    <x v="2"/>
    <n v="3"/>
  </r>
  <r>
    <x v="0"/>
    <n v="17"/>
    <s v="Biocorrect "/>
    <n v="45199"/>
    <x v="102"/>
    <n v="9700531"/>
    <n v="49941501"/>
    <b v="0"/>
    <n v="138"/>
    <s v="L3010"/>
    <n v="216"/>
    <n v="216"/>
    <n v="1"/>
    <n v="0"/>
    <n v="165.43"/>
    <n v="0"/>
    <n v="0"/>
    <n v="0"/>
    <m/>
    <n v="216"/>
    <n v="0"/>
    <n v="0"/>
    <n v="0"/>
    <n v="50.57"/>
    <n v="0"/>
    <n v="0"/>
    <n v="0"/>
    <n v="0"/>
    <n v="0"/>
    <n v="0"/>
    <n v="0"/>
    <n v="0"/>
    <n v="0"/>
    <n v="0"/>
    <n v="0"/>
    <n v="0"/>
    <n v="0"/>
    <n v="0"/>
    <n v="0"/>
    <n v="165.43"/>
    <m/>
    <s v="BLUE CROSS BLUE SHIELD"/>
    <m/>
    <m/>
    <s v="BCBSM PPO"/>
    <m/>
    <m/>
    <x v="9"/>
    <s v="PATIENT PAY"/>
    <n v="0"/>
    <n v="0"/>
    <s v="Biocorrect"/>
    <s v="Biocorrect"/>
    <x v="6"/>
    <n v="5"/>
  </r>
  <r>
    <x v="0"/>
    <n v="17"/>
    <s v="Biocorrect "/>
    <n v="45199"/>
    <x v="75"/>
    <n v="10417211"/>
    <n v="54097921"/>
    <b v="0"/>
    <n v="5"/>
    <s v="L3020"/>
    <n v="216"/>
    <n v="216"/>
    <n v="1"/>
    <n v="216"/>
    <n v="0"/>
    <n v="0"/>
    <n v="200"/>
    <n v="0"/>
    <m/>
    <n v="0"/>
    <n v="0"/>
    <n v="0"/>
    <n v="0"/>
    <n v="0"/>
    <n v="0"/>
    <n v="0"/>
    <n v="0"/>
    <n v="0"/>
    <n v="0"/>
    <n v="0"/>
    <n v="0"/>
    <n v="0"/>
    <n v="0"/>
    <n v="0"/>
    <n v="0"/>
    <n v="0"/>
    <n v="0"/>
    <n v="0"/>
    <n v="0"/>
    <n v="16"/>
    <m/>
    <m/>
    <m/>
    <m/>
    <m/>
    <m/>
    <m/>
    <x v="9"/>
    <s v="PATIENT PAY"/>
    <n v="0"/>
    <n v="0"/>
    <s v="Biocorrect"/>
    <s v="Biocorrect"/>
    <x v="1"/>
    <n v="1"/>
  </r>
  <r>
    <x v="0"/>
    <n v="17"/>
    <s v="Biocorrect "/>
    <n v="45199"/>
    <x v="75"/>
    <n v="10417211"/>
    <n v="54097929"/>
    <b v="0"/>
    <n v="5"/>
    <s v="TAX: Custom Orthotics"/>
    <n v="18"/>
    <n v="18"/>
    <n v="1"/>
    <n v="18"/>
    <n v="0"/>
    <n v="0"/>
    <n v="0"/>
    <n v="0"/>
    <m/>
    <n v="0"/>
    <n v="0"/>
    <n v="0"/>
    <n v="0"/>
    <n v="0"/>
    <n v="0"/>
    <n v="0"/>
    <n v="0"/>
    <n v="0"/>
    <n v="0"/>
    <n v="0"/>
    <n v="0"/>
    <n v="0"/>
    <n v="0"/>
    <n v="0"/>
    <n v="0"/>
    <n v="0"/>
    <n v="0"/>
    <n v="0"/>
    <n v="0"/>
    <n v="18"/>
    <m/>
    <m/>
    <m/>
    <m/>
    <m/>
    <m/>
    <m/>
    <x v="9"/>
    <s v="PATIENT PAY"/>
    <n v="0"/>
    <n v="0"/>
    <s v="Biocorrect"/>
    <s v="Biocorrect"/>
    <x v="1"/>
    <n v="1"/>
  </r>
  <r>
    <x v="0"/>
    <n v="17"/>
    <s v="Biocorrect "/>
    <n v="45199"/>
    <x v="232"/>
    <n v="9330847"/>
    <n v="47333012"/>
    <b v="0"/>
    <n v="221"/>
    <s v="TAX: Custom Orthotics"/>
    <n v="15.4"/>
    <n v="15.4"/>
    <n v="1"/>
    <n v="15.4"/>
    <n v="0"/>
    <n v="0"/>
    <n v="14.4"/>
    <n v="0"/>
    <m/>
    <n v="0"/>
    <n v="0"/>
    <n v="0"/>
    <n v="0"/>
    <n v="0"/>
    <n v="0"/>
    <n v="0"/>
    <n v="0"/>
    <n v="0"/>
    <n v="0"/>
    <n v="0"/>
    <n v="0"/>
    <n v="0"/>
    <n v="0"/>
    <n v="0"/>
    <n v="0"/>
    <n v="0"/>
    <n v="0"/>
    <n v="0"/>
    <n v="0"/>
    <n v="1"/>
    <m/>
    <m/>
    <m/>
    <m/>
    <m/>
    <m/>
    <m/>
    <x v="9"/>
    <s v="PATIENT PAY"/>
    <n v="0"/>
    <n v="0"/>
    <s v="Biocorrect"/>
    <s v="Biocorrect"/>
    <x v="0"/>
    <n v="7"/>
  </r>
  <r>
    <x v="0"/>
    <n v="17"/>
    <s v="Biocorrect "/>
    <n v="45199"/>
    <x v="162"/>
    <n v="3967063"/>
    <n v="17795446"/>
    <b v="0"/>
    <n v="1837"/>
    <s v="L3020"/>
    <n v="150"/>
    <n v="150"/>
    <n v="1"/>
    <n v="0"/>
    <n v="150"/>
    <n v="0"/>
    <n v="90"/>
    <n v="0"/>
    <m/>
    <n v="150"/>
    <n v="0"/>
    <n v="0"/>
    <n v="0"/>
    <n v="0"/>
    <n v="0"/>
    <n v="0"/>
    <n v="0"/>
    <n v="0"/>
    <n v="0"/>
    <n v="0"/>
    <n v="0"/>
    <n v="0"/>
    <n v="0"/>
    <n v="0"/>
    <n v="0"/>
    <n v="0"/>
    <n v="0"/>
    <n v="0"/>
    <n v="0"/>
    <n v="60"/>
    <m/>
    <s v="UNITED HEALTHCARE"/>
    <m/>
    <m/>
    <s v="UHC United Healthcare Choice Plus"/>
    <m/>
    <m/>
    <x v="9"/>
    <s v="PATIENT PAY"/>
    <n v="0"/>
    <n v="0"/>
    <s v="Biocorrect"/>
    <s v="Biocorrect"/>
    <x v="3"/>
    <n v="8"/>
  </r>
  <r>
    <x v="0"/>
    <n v="17"/>
    <s v="Biocorrect "/>
    <n v="45199"/>
    <x v="207"/>
    <n v="10417183"/>
    <n v="54242769"/>
    <b v="0"/>
    <n v="2"/>
    <s v="TAX: Custom Orthotics"/>
    <n v="18"/>
    <n v="18"/>
    <n v="1"/>
    <n v="18"/>
    <n v="0"/>
    <n v="0"/>
    <n v="0"/>
    <n v="0"/>
    <m/>
    <n v="0"/>
    <n v="0"/>
    <n v="0"/>
    <n v="0"/>
    <n v="0"/>
    <n v="0"/>
    <n v="0"/>
    <n v="0"/>
    <n v="0"/>
    <n v="0"/>
    <n v="0"/>
    <n v="0"/>
    <n v="0"/>
    <n v="0"/>
    <n v="0"/>
    <n v="0"/>
    <n v="0"/>
    <n v="0"/>
    <n v="0"/>
    <n v="0"/>
    <n v="18"/>
    <m/>
    <m/>
    <m/>
    <m/>
    <m/>
    <m/>
    <m/>
    <x v="9"/>
    <s v="PATIENT PAY"/>
    <n v="0"/>
    <n v="0"/>
    <s v="Biocorrect"/>
    <s v="Biocorrect"/>
    <x v="1"/>
    <n v="1"/>
  </r>
  <r>
    <x v="1"/>
    <n v="17"/>
    <s v="Biocorrect "/>
    <n v="45199"/>
    <x v="233"/>
    <m/>
    <m/>
    <b v="0"/>
    <n v="1"/>
    <s v="Aged Deposit Balance"/>
    <m/>
    <m/>
    <m/>
    <m/>
    <m/>
    <m/>
    <m/>
    <m/>
    <m/>
    <m/>
    <m/>
    <m/>
    <m/>
    <m/>
    <m/>
    <m/>
    <m/>
    <m/>
    <m/>
    <m/>
    <m/>
    <m/>
    <m/>
    <m/>
    <m/>
    <m/>
    <m/>
    <m/>
    <m/>
    <n v="-18"/>
    <m/>
    <m/>
    <m/>
    <m/>
    <m/>
    <m/>
    <m/>
    <x v="9"/>
    <s v="PATIENT PAY"/>
    <m/>
    <m/>
    <m/>
    <s v="Biocorrect"/>
    <x v="1"/>
    <n v="1"/>
  </r>
  <r>
    <x v="0"/>
    <n v="17"/>
    <s v="Biocorrect "/>
    <n v="45199"/>
    <x v="219"/>
    <n v="10412639"/>
    <n v="54248804"/>
    <b v="0"/>
    <n v="2"/>
    <s v="L3020"/>
    <n v="216"/>
    <n v="216"/>
    <n v="1"/>
    <n v="216"/>
    <n v="0"/>
    <n v="0"/>
    <n v="0"/>
    <n v="0"/>
    <m/>
    <n v="0"/>
    <n v="0"/>
    <n v="0"/>
    <n v="0"/>
    <n v="0"/>
    <n v="0"/>
    <n v="0"/>
    <n v="0"/>
    <n v="0"/>
    <n v="0"/>
    <n v="0"/>
    <n v="0"/>
    <n v="0"/>
    <n v="0"/>
    <n v="0"/>
    <n v="0"/>
    <n v="0"/>
    <n v="0"/>
    <n v="0"/>
    <n v="0"/>
    <n v="216"/>
    <m/>
    <m/>
    <m/>
    <m/>
    <m/>
    <m/>
    <m/>
    <x v="9"/>
    <s v="PATIENT PAY"/>
    <n v="0"/>
    <n v="0"/>
    <s v="Biocorrect"/>
    <s v="Biocorrect"/>
    <x v="1"/>
    <n v="1"/>
  </r>
  <r>
    <x v="1"/>
    <n v="17"/>
    <s v="Biocorrect "/>
    <n v="45199"/>
    <x v="234"/>
    <m/>
    <m/>
    <b v="0"/>
    <n v="1"/>
    <s v="Aged Deposit Balance"/>
    <m/>
    <m/>
    <m/>
    <m/>
    <m/>
    <m/>
    <m/>
    <m/>
    <m/>
    <m/>
    <m/>
    <m/>
    <m/>
    <m/>
    <m/>
    <m/>
    <m/>
    <m/>
    <m/>
    <m/>
    <m/>
    <m/>
    <m/>
    <m/>
    <m/>
    <m/>
    <m/>
    <m/>
    <m/>
    <n v="-403.56"/>
    <m/>
    <m/>
    <m/>
    <m/>
    <m/>
    <m/>
    <m/>
    <x v="9"/>
    <s v="PATIENT PAY"/>
    <m/>
    <m/>
    <m/>
    <s v="Biocorrect"/>
    <x v="1"/>
    <n v="1"/>
  </r>
  <r>
    <x v="1"/>
    <n v="17"/>
    <s v="Biocorrect "/>
    <n v="45199"/>
    <x v="235"/>
    <m/>
    <m/>
    <b v="0"/>
    <n v="1"/>
    <s v="Aged Deposit Balance"/>
    <m/>
    <m/>
    <m/>
    <m/>
    <m/>
    <m/>
    <m/>
    <m/>
    <m/>
    <m/>
    <m/>
    <m/>
    <m/>
    <m/>
    <m/>
    <m/>
    <m/>
    <m/>
    <m/>
    <m/>
    <m/>
    <m/>
    <m/>
    <m/>
    <m/>
    <m/>
    <m/>
    <m/>
    <m/>
    <n v="-57.19"/>
    <m/>
    <m/>
    <m/>
    <m/>
    <m/>
    <m/>
    <m/>
    <x v="9"/>
    <s v="PATIENT PAY"/>
    <m/>
    <m/>
    <m/>
    <s v="Biocorrect"/>
    <x v="1"/>
    <n v="1"/>
  </r>
  <r>
    <x v="1"/>
    <n v="17"/>
    <s v="Biocorrect "/>
    <n v="45199"/>
    <x v="236"/>
    <m/>
    <m/>
    <b v="0"/>
    <n v="1"/>
    <s v="Aged Deposit Balance"/>
    <m/>
    <m/>
    <m/>
    <m/>
    <m/>
    <m/>
    <m/>
    <m/>
    <m/>
    <m/>
    <m/>
    <m/>
    <m/>
    <m/>
    <m/>
    <m/>
    <m/>
    <m/>
    <m/>
    <m/>
    <m/>
    <m/>
    <m/>
    <m/>
    <m/>
    <m/>
    <m/>
    <m/>
    <m/>
    <n v="-63.6"/>
    <m/>
    <m/>
    <m/>
    <m/>
    <m/>
    <m/>
    <m/>
    <x v="9"/>
    <s v="PATIENT PAY"/>
    <m/>
    <m/>
    <m/>
    <s v="Biocorrect"/>
    <x v="1"/>
    <n v="1"/>
  </r>
  <r>
    <x v="0"/>
    <n v="17"/>
    <s v="Biocorrect "/>
    <n v="45199"/>
    <x v="95"/>
    <n v="9762844"/>
    <n v="49993446"/>
    <b v="0"/>
    <n v="137"/>
    <s v="SHIP:"/>
    <n v="5.5"/>
    <n v="5.5"/>
    <n v="1"/>
    <n v="5.5"/>
    <n v="0"/>
    <n v="0"/>
    <n v="4"/>
    <n v="0"/>
    <m/>
    <n v="0"/>
    <n v="0"/>
    <n v="0"/>
    <n v="0"/>
    <n v="0"/>
    <n v="0"/>
    <n v="0"/>
    <n v="0"/>
    <n v="0"/>
    <n v="0"/>
    <n v="0"/>
    <n v="0"/>
    <n v="0"/>
    <n v="0"/>
    <n v="0"/>
    <n v="0"/>
    <n v="0"/>
    <n v="0"/>
    <n v="0"/>
    <n v="0"/>
    <n v="1.5"/>
    <m/>
    <m/>
    <m/>
    <m/>
    <m/>
    <m/>
    <m/>
    <x v="9"/>
    <s v="PATIENT PAY"/>
    <n v="0"/>
    <n v="0"/>
    <s v="Biocorrect"/>
    <s v="Biocorrect"/>
    <x v="6"/>
    <n v="5"/>
  </r>
  <r>
    <x v="0"/>
    <n v="17"/>
    <s v="Biocorrect "/>
    <n v="45199"/>
    <x v="152"/>
    <n v="10033747"/>
    <n v="51922556"/>
    <b v="0"/>
    <n v="75"/>
    <s v="L3010"/>
    <n v="216"/>
    <n v="216"/>
    <n v="1"/>
    <n v="216"/>
    <n v="0"/>
    <n v="0"/>
    <n v="432"/>
    <n v="0"/>
    <m/>
    <n v="0"/>
    <n v="0"/>
    <n v="0"/>
    <n v="0"/>
    <n v="0"/>
    <n v="0"/>
    <n v="0"/>
    <n v="0"/>
    <n v="0"/>
    <n v="0"/>
    <n v="0"/>
    <n v="0"/>
    <n v="0"/>
    <n v="0"/>
    <n v="0"/>
    <n v="0"/>
    <n v="0"/>
    <n v="0"/>
    <n v="0"/>
    <n v="0"/>
    <n v="-216"/>
    <m/>
    <m/>
    <m/>
    <m/>
    <m/>
    <m/>
    <m/>
    <x v="9"/>
    <s v="PATIENT PAY"/>
    <n v="0"/>
    <n v="0"/>
    <s v="Biocorrect"/>
    <s v="Biocorrect"/>
    <x v="2"/>
    <n v="3"/>
  </r>
  <r>
    <x v="0"/>
    <n v="17"/>
    <s v="Biocorrect "/>
    <n v="45199"/>
    <x v="178"/>
    <n v="7971213"/>
    <n v="40395402"/>
    <b v="0"/>
    <n v="502"/>
    <s v="L3020"/>
    <n v="216"/>
    <n v="216"/>
    <n v="1"/>
    <n v="216"/>
    <n v="0"/>
    <n v="0"/>
    <n v="432"/>
    <n v="0"/>
    <m/>
    <n v="0"/>
    <n v="0"/>
    <n v="0"/>
    <n v="0"/>
    <n v="0"/>
    <n v="0"/>
    <n v="0"/>
    <n v="0"/>
    <n v="0"/>
    <n v="0"/>
    <n v="0"/>
    <n v="0"/>
    <n v="0"/>
    <n v="0"/>
    <n v="0"/>
    <n v="0"/>
    <n v="0"/>
    <n v="0"/>
    <n v="0"/>
    <n v="0"/>
    <n v="-216"/>
    <m/>
    <m/>
    <m/>
    <m/>
    <m/>
    <m/>
    <m/>
    <x v="9"/>
    <s v="PATIENT PAY"/>
    <n v="0"/>
    <n v="0"/>
    <s v="Biocorrect"/>
    <s v="Biocorrect"/>
    <x v="3"/>
    <n v="8"/>
  </r>
  <r>
    <x v="0"/>
    <n v="17"/>
    <s v="Biocorrect "/>
    <n v="45199"/>
    <x v="220"/>
    <n v="8936575"/>
    <n v="45480553"/>
    <b v="0"/>
    <n v="291"/>
    <s v="L3010"/>
    <n v="216"/>
    <n v="216"/>
    <n v="1"/>
    <n v="216"/>
    <n v="0"/>
    <n v="0"/>
    <n v="0"/>
    <n v="0"/>
    <m/>
    <n v="0"/>
    <n v="0"/>
    <n v="0"/>
    <n v="0"/>
    <n v="0"/>
    <n v="0"/>
    <n v="0"/>
    <n v="0"/>
    <n v="0"/>
    <n v="0"/>
    <n v="0"/>
    <n v="0"/>
    <n v="0"/>
    <n v="0"/>
    <n v="0"/>
    <n v="0"/>
    <n v="0"/>
    <n v="0"/>
    <n v="0"/>
    <n v="0"/>
    <n v="216"/>
    <m/>
    <m/>
    <m/>
    <m/>
    <m/>
    <m/>
    <m/>
    <x v="9"/>
    <s v="PATIENT PAY"/>
    <n v="0"/>
    <n v="0"/>
    <s v="Biocorrect"/>
    <s v="Biocorrect"/>
    <x v="0"/>
    <n v="7"/>
  </r>
  <r>
    <x v="0"/>
    <n v="17"/>
    <s v="Biocorrect "/>
    <n v="45199"/>
    <x v="237"/>
    <n v="9421755"/>
    <n v="47932490"/>
    <b v="0"/>
    <n v="201"/>
    <s v="L3010"/>
    <n v="216"/>
    <n v="216"/>
    <n v="1"/>
    <n v="0"/>
    <n v="165.43"/>
    <n v="0"/>
    <n v="0"/>
    <n v="0"/>
    <m/>
    <n v="216"/>
    <n v="0"/>
    <n v="0"/>
    <n v="0"/>
    <n v="50.57"/>
    <n v="0"/>
    <n v="0"/>
    <n v="0"/>
    <n v="0"/>
    <n v="0"/>
    <n v="0"/>
    <n v="0"/>
    <n v="0"/>
    <n v="0"/>
    <n v="0"/>
    <n v="0"/>
    <n v="0"/>
    <n v="0"/>
    <n v="0"/>
    <n v="0"/>
    <n v="165.43"/>
    <m/>
    <s v="BLUE CROSS BLUE SHIELD"/>
    <m/>
    <m/>
    <s v="BCBSM PPO"/>
    <m/>
    <m/>
    <x v="9"/>
    <s v="PATIENT PAY"/>
    <n v="0"/>
    <n v="0"/>
    <s v="Biocorrect"/>
    <s v="Biocorrect"/>
    <x v="0"/>
    <n v="7"/>
  </r>
  <r>
    <x v="0"/>
    <n v="17"/>
    <s v="Biocorrect "/>
    <n v="45199"/>
    <x v="237"/>
    <n v="9421755"/>
    <n v="47932491"/>
    <b v="0"/>
    <n v="201"/>
    <s v="L3010"/>
    <n v="216"/>
    <n v="216"/>
    <n v="1"/>
    <n v="0"/>
    <n v="165.43"/>
    <n v="0"/>
    <n v="0"/>
    <n v="0"/>
    <m/>
    <n v="216"/>
    <n v="0"/>
    <n v="0"/>
    <n v="0"/>
    <n v="50.57"/>
    <n v="0"/>
    <n v="0"/>
    <n v="0"/>
    <n v="0"/>
    <n v="0"/>
    <n v="0"/>
    <n v="0"/>
    <n v="0"/>
    <n v="0"/>
    <n v="0"/>
    <n v="0"/>
    <n v="0"/>
    <n v="0"/>
    <n v="0"/>
    <n v="0"/>
    <n v="165.43"/>
    <m/>
    <s v="BLUE CROSS BLUE SHIELD"/>
    <m/>
    <m/>
    <s v="BCBSM PPO"/>
    <m/>
    <m/>
    <x v="9"/>
    <s v="PATIENT PAY"/>
    <n v="0"/>
    <n v="0"/>
    <s v="Biocorrect"/>
    <s v="Biocorrect"/>
    <x v="0"/>
    <n v="7"/>
  </r>
  <r>
    <x v="1"/>
    <n v="17"/>
    <s v="Biocorrect "/>
    <n v="45199"/>
    <x v="238"/>
    <m/>
    <m/>
    <b v="0"/>
    <n v="1"/>
    <s v="Aged Deposit Balance"/>
    <m/>
    <m/>
    <m/>
    <m/>
    <m/>
    <m/>
    <m/>
    <m/>
    <m/>
    <m/>
    <m/>
    <m/>
    <m/>
    <m/>
    <m/>
    <m/>
    <m/>
    <m/>
    <m/>
    <m/>
    <m/>
    <m/>
    <m/>
    <m/>
    <m/>
    <m/>
    <m/>
    <m/>
    <m/>
    <n v="-3.6"/>
    <m/>
    <s v="BLUE CROSS BLUE SHIELD"/>
    <m/>
    <m/>
    <m/>
    <m/>
    <m/>
    <x v="9"/>
    <s v="PATIENT PAY"/>
    <m/>
    <m/>
    <m/>
    <s v="Biocorrect"/>
    <x v="1"/>
    <n v="1"/>
  </r>
  <r>
    <x v="1"/>
    <n v="17"/>
    <s v="Biocorrect "/>
    <n v="45199"/>
    <x v="239"/>
    <m/>
    <m/>
    <b v="0"/>
    <n v="1"/>
    <s v="Aged Deposit Balance"/>
    <m/>
    <m/>
    <m/>
    <m/>
    <m/>
    <m/>
    <m/>
    <m/>
    <m/>
    <m/>
    <m/>
    <m/>
    <m/>
    <m/>
    <m/>
    <m/>
    <m/>
    <m/>
    <m/>
    <m/>
    <m/>
    <m/>
    <m/>
    <m/>
    <m/>
    <m/>
    <m/>
    <m/>
    <m/>
    <n v="-0.01"/>
    <m/>
    <m/>
    <m/>
    <m/>
    <m/>
    <m/>
    <m/>
    <x v="9"/>
    <s v="PATIENT PAY"/>
    <m/>
    <m/>
    <m/>
    <s v="Biocorrect"/>
    <x v="1"/>
    <n v="1"/>
  </r>
  <r>
    <x v="0"/>
    <n v="17"/>
    <s v="Biocorrect "/>
    <n v="45199"/>
    <x v="195"/>
    <n v="10328331"/>
    <n v="53720101"/>
    <b v="0"/>
    <n v="18"/>
    <s v="L3020"/>
    <n v="216"/>
    <n v="216"/>
    <n v="1"/>
    <n v="0"/>
    <n v="20.48"/>
    <n v="0"/>
    <n v="0"/>
    <n v="0"/>
    <m/>
    <n v="216"/>
    <n v="0"/>
    <n v="1"/>
    <n v="184.3"/>
    <n v="11.22"/>
    <n v="0"/>
    <n v="0"/>
    <n v="0"/>
    <n v="0"/>
    <n v="0"/>
    <n v="0"/>
    <n v="0"/>
    <n v="0"/>
    <n v="0"/>
    <n v="0"/>
    <n v="0"/>
    <n v="0"/>
    <n v="0"/>
    <n v="0"/>
    <n v="0"/>
    <n v="20.48"/>
    <m/>
    <s v="BLUE CROSS BLUE SHIELD"/>
    <m/>
    <m/>
    <s v="BCBSM PPO"/>
    <m/>
    <m/>
    <x v="9"/>
    <s v="PATIENT PAY"/>
    <n v="0"/>
    <n v="0"/>
    <s v="Biocorrect"/>
    <s v="Biocorrect"/>
    <x v="1"/>
    <n v="1"/>
  </r>
  <r>
    <x v="1"/>
    <n v="17"/>
    <s v="Biocorrect "/>
    <n v="45199"/>
    <x v="240"/>
    <m/>
    <m/>
    <b v="0"/>
    <n v="1"/>
    <s v="Aged Deposit Balance"/>
    <m/>
    <m/>
    <m/>
    <m/>
    <m/>
    <m/>
    <m/>
    <m/>
    <m/>
    <m/>
    <m/>
    <m/>
    <m/>
    <m/>
    <m/>
    <m/>
    <m/>
    <m/>
    <m/>
    <m/>
    <m/>
    <m/>
    <m/>
    <m/>
    <m/>
    <m/>
    <m/>
    <m/>
    <m/>
    <n v="-432"/>
    <m/>
    <m/>
    <m/>
    <m/>
    <m/>
    <m/>
    <m/>
    <x v="9"/>
    <s v="PATIENT PAY"/>
    <m/>
    <m/>
    <m/>
    <s v="Biocorrect"/>
    <x v="1"/>
    <n v="1"/>
  </r>
  <r>
    <x v="1"/>
    <n v="17"/>
    <s v="Biocorrect "/>
    <n v="45199"/>
    <x v="241"/>
    <m/>
    <m/>
    <b v="0"/>
    <n v="1"/>
    <s v="Aged Deposit Balance"/>
    <m/>
    <m/>
    <m/>
    <m/>
    <m/>
    <m/>
    <m/>
    <m/>
    <m/>
    <m/>
    <m/>
    <m/>
    <m/>
    <m/>
    <m/>
    <m/>
    <m/>
    <m/>
    <m/>
    <m/>
    <m/>
    <m/>
    <m/>
    <m/>
    <m/>
    <m/>
    <m/>
    <m/>
    <m/>
    <n v="-5.68"/>
    <m/>
    <m/>
    <m/>
    <m/>
    <m/>
    <m/>
    <m/>
    <x v="9"/>
    <s v="PATIENT PAY"/>
    <m/>
    <m/>
    <m/>
    <s v="Biocorrect"/>
    <x v="1"/>
    <n v="1"/>
  </r>
  <r>
    <x v="1"/>
    <n v="17"/>
    <s v="Biocorrect "/>
    <n v="45199"/>
    <x v="242"/>
    <m/>
    <m/>
    <b v="0"/>
    <n v="1"/>
    <s v="Aged Deposit Balance"/>
    <m/>
    <m/>
    <m/>
    <m/>
    <m/>
    <m/>
    <m/>
    <m/>
    <m/>
    <m/>
    <m/>
    <m/>
    <m/>
    <m/>
    <m/>
    <m/>
    <m/>
    <m/>
    <m/>
    <m/>
    <m/>
    <m/>
    <m/>
    <m/>
    <m/>
    <m/>
    <m/>
    <m/>
    <m/>
    <n v="-6"/>
    <m/>
    <m/>
    <m/>
    <m/>
    <m/>
    <m/>
    <m/>
    <x v="9"/>
    <s v="PATIENT PAY"/>
    <m/>
    <m/>
    <m/>
    <s v="Biocorrect"/>
    <x v="1"/>
    <n v="1"/>
  </r>
  <r>
    <x v="0"/>
    <n v="17"/>
    <s v="Biocorrect "/>
    <n v="45199"/>
    <x v="144"/>
    <n v="4265765"/>
    <n v="19352714"/>
    <b v="0"/>
    <n v="1730"/>
    <s v="L3020"/>
    <n v="216"/>
    <n v="216"/>
    <n v="1"/>
    <n v="0"/>
    <n v="216"/>
    <n v="0"/>
    <n v="0"/>
    <n v="0"/>
    <m/>
    <n v="216"/>
    <n v="0"/>
    <n v="0"/>
    <n v="0"/>
    <n v="0"/>
    <n v="0"/>
    <n v="0"/>
    <n v="0"/>
    <n v="0"/>
    <n v="0"/>
    <n v="0"/>
    <n v="0"/>
    <n v="0"/>
    <n v="0"/>
    <n v="0"/>
    <n v="0"/>
    <n v="0"/>
    <n v="0"/>
    <n v="0"/>
    <n v="0"/>
    <n v="216"/>
    <m/>
    <s v="BLUE CROSS BLUE SHIELD"/>
    <m/>
    <m/>
    <s v="BCBSM PPO"/>
    <m/>
    <m/>
    <x v="9"/>
    <s v="PATIENT PAY"/>
    <n v="0"/>
    <n v="0"/>
    <s v="Biocorrect"/>
    <s v="Biocorrect"/>
    <x v="3"/>
    <n v="8"/>
  </r>
  <r>
    <x v="0"/>
    <n v="17"/>
    <s v="Biocorrect "/>
    <n v="45199"/>
    <x v="103"/>
    <n v="9985326"/>
    <n v="51726543"/>
    <b v="0"/>
    <n v="82"/>
    <s v="L3010"/>
    <n v="216"/>
    <n v="216"/>
    <n v="1"/>
    <n v="216"/>
    <n v="0"/>
    <n v="0"/>
    <n v="0"/>
    <n v="0"/>
    <m/>
    <n v="0"/>
    <n v="0"/>
    <n v="0"/>
    <n v="0"/>
    <n v="0"/>
    <n v="0"/>
    <n v="0"/>
    <n v="0"/>
    <n v="0"/>
    <n v="0"/>
    <n v="0"/>
    <n v="0"/>
    <n v="0"/>
    <n v="0"/>
    <n v="0"/>
    <n v="0"/>
    <n v="0"/>
    <n v="0"/>
    <n v="0"/>
    <n v="0"/>
    <n v="216"/>
    <m/>
    <m/>
    <m/>
    <m/>
    <m/>
    <m/>
    <m/>
    <x v="9"/>
    <s v="PATIENT PAY"/>
    <n v="0"/>
    <n v="0"/>
    <s v="Biocorrect"/>
    <s v="Biocorrect"/>
    <x v="2"/>
    <n v="3"/>
  </r>
  <r>
    <x v="0"/>
    <n v="17"/>
    <s v="Biocorrect "/>
    <n v="45199"/>
    <x v="103"/>
    <n v="9985326"/>
    <n v="51726544"/>
    <b v="0"/>
    <n v="82"/>
    <s v="L3010"/>
    <n v="216"/>
    <n v="216"/>
    <n v="1"/>
    <n v="216"/>
    <n v="0"/>
    <n v="0"/>
    <n v="0"/>
    <n v="0"/>
    <m/>
    <n v="0"/>
    <n v="0"/>
    <n v="0"/>
    <n v="0"/>
    <n v="0"/>
    <n v="0"/>
    <n v="0"/>
    <n v="0"/>
    <n v="0"/>
    <n v="0"/>
    <n v="0"/>
    <n v="0"/>
    <n v="0"/>
    <n v="0"/>
    <n v="0"/>
    <n v="0"/>
    <n v="0"/>
    <n v="0"/>
    <n v="0"/>
    <n v="0"/>
    <n v="216"/>
    <m/>
    <m/>
    <m/>
    <m/>
    <m/>
    <m/>
    <m/>
    <x v="9"/>
    <s v="PATIENT PAY"/>
    <n v="0"/>
    <n v="0"/>
    <s v="Biocorrect"/>
    <s v="Biocorrect"/>
    <x v="2"/>
    <n v="3"/>
  </r>
  <r>
    <x v="0"/>
    <n v="17"/>
    <s v="Biocorrect "/>
    <n v="45199"/>
    <x v="197"/>
    <n v="10331628"/>
    <n v="53671586"/>
    <b v="0"/>
    <n v="19"/>
    <s v="L3020"/>
    <n v="216"/>
    <n v="216"/>
    <n v="1"/>
    <n v="216"/>
    <n v="0"/>
    <n v="0"/>
    <n v="450"/>
    <n v="0"/>
    <m/>
    <n v="0"/>
    <n v="0"/>
    <n v="0"/>
    <n v="0"/>
    <n v="0"/>
    <n v="0"/>
    <n v="0"/>
    <n v="0"/>
    <n v="0"/>
    <n v="0"/>
    <n v="0"/>
    <n v="0"/>
    <n v="0"/>
    <n v="0"/>
    <n v="0"/>
    <n v="0"/>
    <n v="0"/>
    <n v="0"/>
    <n v="0"/>
    <n v="0"/>
    <n v="-234"/>
    <m/>
    <m/>
    <m/>
    <m/>
    <m/>
    <m/>
    <m/>
    <x v="9"/>
    <s v="PATIENT PAY"/>
    <n v="0"/>
    <n v="0"/>
    <s v="Biocorrect"/>
    <s v="Biocorrect"/>
    <x v="1"/>
    <n v="1"/>
  </r>
  <r>
    <x v="0"/>
    <n v="17"/>
    <s v="Biocorrect "/>
    <n v="45199"/>
    <x v="197"/>
    <n v="10331628"/>
    <n v="53671587"/>
    <b v="0"/>
    <n v="19"/>
    <s v="L3020"/>
    <n v="216"/>
    <n v="216"/>
    <n v="1"/>
    <n v="216"/>
    <n v="0"/>
    <n v="0"/>
    <n v="0"/>
    <n v="0"/>
    <m/>
    <n v="0"/>
    <n v="0"/>
    <n v="0"/>
    <n v="0"/>
    <n v="0"/>
    <n v="0"/>
    <n v="0"/>
    <n v="0"/>
    <n v="0"/>
    <n v="0"/>
    <n v="0"/>
    <n v="0"/>
    <n v="0"/>
    <n v="0"/>
    <n v="0"/>
    <n v="0"/>
    <n v="0"/>
    <n v="0"/>
    <n v="0"/>
    <n v="0"/>
    <n v="216"/>
    <m/>
    <m/>
    <m/>
    <m/>
    <m/>
    <m/>
    <m/>
    <x v="9"/>
    <s v="PATIENT PAY"/>
    <n v="0"/>
    <n v="0"/>
    <s v="Biocorrect"/>
    <s v="Biocorrect"/>
    <x v="1"/>
    <n v="1"/>
  </r>
  <r>
    <x v="0"/>
    <n v="17"/>
    <s v="Biocorrect "/>
    <n v="45199"/>
    <x v="243"/>
    <n v="10082646"/>
    <n v="52180198"/>
    <b v="0"/>
    <n v="68"/>
    <s v="L3020"/>
    <n v="216"/>
    <n v="216"/>
    <n v="1"/>
    <n v="216"/>
    <n v="0"/>
    <n v="0"/>
    <n v="432"/>
    <n v="0"/>
    <m/>
    <n v="0"/>
    <n v="0"/>
    <n v="0"/>
    <n v="0"/>
    <n v="0"/>
    <n v="0"/>
    <n v="0"/>
    <n v="0"/>
    <n v="0"/>
    <n v="0"/>
    <n v="0"/>
    <n v="0"/>
    <n v="0"/>
    <n v="0"/>
    <n v="0"/>
    <n v="0"/>
    <n v="0"/>
    <n v="0"/>
    <n v="0"/>
    <n v="0"/>
    <n v="-216"/>
    <m/>
    <m/>
    <m/>
    <m/>
    <m/>
    <m/>
    <m/>
    <x v="9"/>
    <s v="PATIENT PAY"/>
    <n v="0"/>
    <n v="0"/>
    <s v="Biocorrect"/>
    <s v="Biocorrect"/>
    <x v="2"/>
    <n v="3"/>
  </r>
  <r>
    <x v="0"/>
    <n v="17"/>
    <s v="Biocorrect "/>
    <n v="45199"/>
    <x v="243"/>
    <n v="10082646"/>
    <n v="52180202"/>
    <b v="0"/>
    <n v="68"/>
    <s v="L3020"/>
    <n v="216"/>
    <n v="216"/>
    <n v="1"/>
    <n v="216"/>
    <n v="0"/>
    <n v="0"/>
    <n v="0"/>
    <n v="0"/>
    <m/>
    <n v="0"/>
    <n v="0"/>
    <n v="0"/>
    <n v="0"/>
    <n v="0"/>
    <n v="0"/>
    <n v="0"/>
    <n v="0"/>
    <n v="0"/>
    <n v="0"/>
    <n v="0"/>
    <n v="0"/>
    <n v="0"/>
    <n v="0"/>
    <n v="0"/>
    <n v="0"/>
    <n v="0"/>
    <n v="0"/>
    <n v="0"/>
    <n v="0"/>
    <n v="216"/>
    <m/>
    <m/>
    <m/>
    <m/>
    <m/>
    <m/>
    <m/>
    <x v="9"/>
    <s v="PATIENT PAY"/>
    <n v="0"/>
    <n v="0"/>
    <s v="Biocorrect"/>
    <s v="Biocorrect"/>
    <x v="2"/>
    <n v="3"/>
  </r>
  <r>
    <x v="0"/>
    <n v="17"/>
    <s v="Biocorrect "/>
    <n v="45199"/>
    <x v="176"/>
    <n v="10243619"/>
    <n v="52957433"/>
    <b v="0"/>
    <n v="43"/>
    <s v="TAX: Custom Orthotics"/>
    <n v="14.4"/>
    <n v="14.4"/>
    <n v="1"/>
    <n v="14.4"/>
    <n v="0"/>
    <n v="0"/>
    <n v="0"/>
    <n v="0"/>
    <m/>
    <n v="0"/>
    <n v="0"/>
    <n v="0"/>
    <n v="0"/>
    <n v="0"/>
    <n v="0"/>
    <n v="0"/>
    <n v="0"/>
    <n v="0"/>
    <n v="0"/>
    <n v="0"/>
    <n v="0"/>
    <n v="0"/>
    <n v="0"/>
    <n v="0"/>
    <n v="0"/>
    <n v="0"/>
    <n v="0"/>
    <n v="0"/>
    <n v="0"/>
    <n v="14.4"/>
    <m/>
    <m/>
    <m/>
    <m/>
    <m/>
    <m/>
    <m/>
    <x v="9"/>
    <s v="PATIENT PAY"/>
    <n v="0"/>
    <n v="0"/>
    <s v="Biocorrect"/>
    <s v="Biocorrect"/>
    <x v="4"/>
    <n v="2"/>
  </r>
  <r>
    <x v="0"/>
    <n v="17"/>
    <s v="Biocorrect "/>
    <n v="45199"/>
    <x v="200"/>
    <n v="9964814"/>
    <n v="51272798"/>
    <b v="0"/>
    <n v="100"/>
    <s v="SHIP:"/>
    <n v="15"/>
    <n v="15"/>
    <n v="1"/>
    <n v="15"/>
    <n v="0"/>
    <n v="0"/>
    <n v="0"/>
    <n v="0"/>
    <m/>
    <n v="0"/>
    <n v="0"/>
    <n v="0"/>
    <n v="0"/>
    <n v="0"/>
    <n v="0"/>
    <n v="0"/>
    <n v="0"/>
    <n v="0"/>
    <n v="0"/>
    <n v="0"/>
    <n v="0"/>
    <n v="0"/>
    <n v="0"/>
    <n v="0"/>
    <n v="0"/>
    <n v="0"/>
    <n v="0"/>
    <n v="0"/>
    <n v="0"/>
    <n v="15"/>
    <m/>
    <m/>
    <m/>
    <m/>
    <m/>
    <m/>
    <m/>
    <x v="9"/>
    <s v="PATIENT PAY"/>
    <n v="0"/>
    <n v="0"/>
    <s v="Biocorrect"/>
    <s v="Biocorrect"/>
    <x v="7"/>
    <n v="4"/>
  </r>
  <r>
    <x v="0"/>
    <n v="17"/>
    <s v="Biocorrect "/>
    <n v="45199"/>
    <x v="217"/>
    <n v="5642043"/>
    <n v="28141255"/>
    <b v="0"/>
    <n v="1205"/>
    <s v="L3010"/>
    <n v="216"/>
    <n v="216"/>
    <n v="1"/>
    <n v="216"/>
    <n v="0"/>
    <n v="0"/>
    <n v="0"/>
    <n v="0"/>
    <m/>
    <n v="0"/>
    <n v="0"/>
    <n v="0"/>
    <n v="0"/>
    <n v="0"/>
    <n v="0"/>
    <n v="0"/>
    <n v="0"/>
    <n v="0"/>
    <n v="0"/>
    <n v="0"/>
    <n v="0"/>
    <n v="0"/>
    <n v="0"/>
    <n v="0"/>
    <n v="0"/>
    <n v="0"/>
    <n v="0"/>
    <n v="0"/>
    <n v="0"/>
    <n v="216"/>
    <m/>
    <m/>
    <m/>
    <m/>
    <m/>
    <m/>
    <m/>
    <x v="9"/>
    <s v="PATIENT PAY"/>
    <n v="0"/>
    <n v="0"/>
    <s v="Biocorrect"/>
    <s v="Biocorrect"/>
    <x v="3"/>
    <n v="8"/>
  </r>
  <r>
    <x v="2"/>
    <m/>
    <m/>
    <m/>
    <x v="244"/>
    <m/>
    <m/>
    <m/>
    <m/>
    <m/>
    <m/>
    <m/>
    <m/>
    <m/>
    <m/>
    <m/>
    <m/>
    <m/>
    <m/>
    <m/>
    <m/>
    <m/>
    <m/>
    <m/>
    <m/>
    <m/>
    <m/>
    <m/>
    <m/>
    <m/>
    <m/>
    <m/>
    <m/>
    <m/>
    <m/>
    <m/>
    <m/>
    <m/>
    <m/>
    <m/>
    <m/>
    <m/>
    <m/>
    <m/>
    <m/>
    <m/>
    <m/>
    <x v="3"/>
    <m/>
    <m/>
    <m/>
    <m/>
    <m/>
    <x v="8"/>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CA83CEF-946B-4A50-BC4B-FF25D1C289C0}" name="PivotTable1" cacheId="29" applyNumberFormats="0" applyBorderFormats="0" applyFontFormats="0" applyPatternFormats="0" applyAlignmentFormats="0" applyWidthHeightFormats="1" dataCaption="Values" updatedVersion="8" minRefreshableVersion="3" itemPrintTitles="1" createdVersion="6" indent="0" outline="1" outlineData="1" multipleFieldFilters="0">
  <location ref="A4:K30" firstHeaderRow="1" firstDataRow="3" firstDataCol="1"/>
  <pivotFields count="55">
    <pivotField axis="axisCol" subtotalTop="0" showAll="0">
      <items count="4">
        <item h="1" x="1"/>
        <item x="0"/>
        <item h="1" x="2"/>
        <item t="default"/>
      </items>
    </pivotField>
    <pivotField subtotalTop="0" showAll="0"/>
    <pivotField subtotalTop="0" showAll="0"/>
    <pivotField subtotalTop="0" showAll="0"/>
    <pivotField axis="axisRow" subtotalTop="0" showAll="0" measureFilter="1">
      <items count="2148">
        <item m="1" x="899"/>
        <item m="1" x="1354"/>
        <item x="149"/>
        <item m="1" x="2118"/>
        <item m="1" x="812"/>
        <item m="1" x="1921"/>
        <item m="1" x="2089"/>
        <item m="1" x="1387"/>
        <item m="1" x="639"/>
        <item m="1" x="1777"/>
        <item m="1" x="1719"/>
        <item x="215"/>
        <item m="1" x="961"/>
        <item m="1" x="1273"/>
        <item m="1" x="504"/>
        <item m="1" x="1468"/>
        <item x="213"/>
        <item m="1" x="253"/>
        <item m="1" x="1895"/>
        <item x="116"/>
        <item m="1" x="870"/>
        <item m="1" x="1975"/>
        <item m="1" x="1938"/>
        <item m="1" x="1817"/>
        <item m="1" x="1994"/>
        <item x="14"/>
        <item m="1" x="1357"/>
        <item m="1" x="1717"/>
        <item x="191"/>
        <item m="1" x="1799"/>
        <item m="1" x="2095"/>
        <item x="121"/>
        <item m="1" x="1539"/>
        <item m="1" x="369"/>
        <item m="1" x="1688"/>
        <item x="218"/>
        <item m="1" x="2090"/>
        <item m="1" x="667"/>
        <item m="1" x="2079"/>
        <item m="1" x="1931"/>
        <item m="1" x="596"/>
        <item m="1" x="277"/>
        <item m="1" x="2111"/>
        <item x="109"/>
        <item x="210"/>
        <item x="78"/>
        <item x="209"/>
        <item x="16"/>
        <item m="1" x="2014"/>
        <item m="1" x="856"/>
        <item x="169"/>
        <item x="168"/>
        <item m="1" x="1466"/>
        <item x="112"/>
        <item x="138"/>
        <item x="72"/>
        <item x="173"/>
        <item m="1" x="852"/>
        <item m="1" x="1571"/>
        <item m="1" x="1368"/>
        <item m="1" x="1748"/>
        <item m="1" x="715"/>
        <item x="36"/>
        <item m="1" x="1257"/>
        <item m="1" x="1308"/>
        <item x="105"/>
        <item m="1" x="496"/>
        <item x="88"/>
        <item m="1" x="1265"/>
        <item m="1" x="865"/>
        <item x="6"/>
        <item x="143"/>
        <item m="1" x="1196"/>
        <item m="1" x="566"/>
        <item m="1" x="614"/>
        <item m="1" x="2096"/>
        <item m="1" x="2106"/>
        <item m="1" x="2109"/>
        <item m="1" x="2119"/>
        <item m="1" x="1662"/>
        <item m="1" x="613"/>
        <item m="1" x="465"/>
        <item m="1" x="1367"/>
        <item m="1" x="1802"/>
        <item m="1" x="401"/>
        <item m="1" x="533"/>
        <item m="1" x="1234"/>
        <item m="1" x="1977"/>
        <item m="1" x="1982"/>
        <item m="1" x="525"/>
        <item m="1" x="1514"/>
        <item m="1" x="351"/>
        <item m="1" x="1763"/>
        <item m="1" x="1928"/>
        <item m="1" x="1980"/>
        <item m="1" x="2115"/>
        <item m="1" x="1060"/>
        <item m="1" x="1589"/>
        <item m="1" x="1623"/>
        <item m="1" x="1812"/>
        <item m="1" x="1816"/>
        <item m="1" x="1827"/>
        <item m="1" x="1833"/>
        <item m="1" x="1840"/>
        <item m="1" x="811"/>
        <item m="1" x="920"/>
        <item m="1" x="1615"/>
        <item m="1" x="1697"/>
        <item m="1" x="1605"/>
        <item m="1" x="1686"/>
        <item m="1" x="1771"/>
        <item m="1" x="726"/>
        <item m="1" x="736"/>
        <item m="1" x="1437"/>
        <item m="1" x="473"/>
        <item m="1" x="478"/>
        <item m="1" x="763"/>
        <item m="1" x="1636"/>
        <item m="1" x="1640"/>
        <item m="1" x="1671"/>
        <item m="1" x="1906"/>
        <item m="1" x="651"/>
        <item m="1" x="744"/>
        <item x="239"/>
        <item m="1" x="928"/>
        <item m="1" x="949"/>
        <item m="1" x="1414"/>
        <item m="1" x="549"/>
        <item m="1" x="600"/>
        <item m="1" x="1336"/>
        <item m="1" x="1563"/>
        <item m="1" x="325"/>
        <item m="1" x="668"/>
        <item m="1" x="1115"/>
        <item m="1" x="2112"/>
        <item m="1" x="252"/>
        <item m="1" x="443"/>
        <item m="1" x="590"/>
        <item m="1" x="791"/>
        <item m="1" x="1823"/>
        <item m="1" x="754"/>
        <item m="1" x="1888"/>
        <item m="1" x="1899"/>
        <item m="1" x="2008"/>
        <item m="1" x="2032"/>
        <item m="1" x="360"/>
        <item m="1" x="594"/>
        <item m="1" x="1280"/>
        <item m="1" x="1887"/>
        <item m="1" x="1889"/>
        <item m="1" x="476"/>
        <item m="1" x="888"/>
        <item m="1" x="1494"/>
        <item m="1" x="1801"/>
        <item m="1" x="412"/>
        <item m="1" x="670"/>
        <item m="1" x="685"/>
        <item m="1" x="695"/>
        <item m="1" x="1201"/>
        <item m="1" x="1221"/>
        <item m="1" x="1277"/>
        <item m="1" x="1870"/>
        <item m="1" x="311"/>
        <item m="1" x="970"/>
        <item m="1" x="1119"/>
        <item m="1" x="1124"/>
        <item m="1" x="1128"/>
        <item m="1" x="1136"/>
        <item m="1" x="1140"/>
        <item m="1" x="2143"/>
        <item m="1" x="787"/>
        <item x="223"/>
        <item m="1" x="1390"/>
        <item m="1" x="1407"/>
        <item m="1" x="819"/>
        <item m="1" x="957"/>
        <item m="1" x="1426"/>
        <item m="1" x="1534"/>
        <item m="1" x="1690"/>
        <item x="5"/>
        <item m="1" x="260"/>
        <item m="1" x="480"/>
        <item m="1" x="632"/>
        <item m="1" x="1044"/>
        <item m="1" x="1165"/>
        <item m="1" x="1259"/>
        <item m="1" x="1784"/>
        <item m="1" x="1786"/>
        <item m="1" x="1789"/>
        <item m="1" x="1795"/>
        <item m="1" x="1798"/>
        <item m="1" x="446"/>
        <item m="1" x="1169"/>
        <item m="1" x="1334"/>
        <item m="1" x="1351"/>
        <item m="1" x="1352"/>
        <item m="1" x="1745"/>
        <item m="1" x="361"/>
        <item m="1" x="367"/>
        <item m="1" x="680"/>
        <item m="1" x="725"/>
        <item m="1" x="730"/>
        <item x="244"/>
        <item m="1" x="861"/>
        <item m="1" x="1680"/>
        <item m="1" x="506"/>
        <item m="1" x="738"/>
        <item m="1" x="992"/>
        <item m="1" x="1760"/>
        <item m="1" x="315"/>
        <item m="1" x="768"/>
        <item m="1" x="1845"/>
        <item x="81"/>
        <item m="1" x="2110"/>
        <item m="1" x="1864"/>
        <item m="1" x="1164"/>
        <item m="1" x="483"/>
        <item m="1" x="1768"/>
        <item m="1" x="1849"/>
        <item m="1" x="893"/>
        <item m="1" x="1746"/>
        <item m="1" x="1113"/>
        <item m="1" x="1263"/>
        <item m="1" x="710"/>
        <item m="1" x="869"/>
        <item m="1" x="569"/>
        <item m="1" x="749"/>
        <item m="1" x="669"/>
        <item m="1" x="1511"/>
        <item m="1" x="688"/>
        <item m="1" x="382"/>
        <item m="1" x="1330"/>
        <item m="1" x="963"/>
        <item m="1" x="1479"/>
        <item m="1" x="782"/>
        <item m="1" x="1241"/>
        <item m="1" x="336"/>
        <item m="1" x="1033"/>
        <item m="1" x="1227"/>
        <item m="1" x="1561"/>
        <item m="1" x="712"/>
        <item m="1" x="864"/>
        <item m="1" x="1749"/>
        <item m="1" x="1818"/>
        <item m="1" x="911"/>
        <item m="1" x="1529"/>
        <item m="1" x="806"/>
        <item m="1" x="321"/>
        <item m="1" x="2039"/>
        <item m="1" x="622"/>
        <item m="1" x="1332"/>
        <item x="227"/>
        <item m="1" x="586"/>
        <item m="1" x="818"/>
        <item m="1" x="1857"/>
        <item m="1" x="1247"/>
        <item m="1" x="1968"/>
        <item m="1" x="1431"/>
        <item m="1" x="1978"/>
        <item m="1" x="1499"/>
        <item m="1" x="1338"/>
        <item m="1" x="694"/>
        <item m="1" x="1158"/>
        <item m="1" x="344"/>
        <item x="199"/>
        <item m="1" x="1988"/>
        <item m="1" x="1991"/>
        <item m="1" x="318"/>
        <item m="1" x="892"/>
        <item m="1" x="502"/>
        <item m="1" x="872"/>
        <item m="1" x="2031"/>
        <item m="1" x="1210"/>
        <item m="1" x="1074"/>
        <item m="1" x="2125"/>
        <item m="1" x="355"/>
        <item m="1" x="1240"/>
        <item m="1" x="717"/>
        <item m="1" x="445"/>
        <item m="1" x="1737"/>
        <item m="1" x="1187"/>
        <item m="1" x="2027"/>
        <item m="1" x="1302"/>
        <item m="1" x="1233"/>
        <item m="1" x="1298"/>
        <item m="1" x="910"/>
        <item m="1" x="410"/>
        <item m="1" x="2093"/>
        <item m="1" x="1890"/>
        <item x="140"/>
        <item m="1" x="1371"/>
        <item m="1" x="1507"/>
        <item m="1" x="959"/>
        <item m="1" x="423"/>
        <item m="1" x="1433"/>
        <item m="1" x="1355"/>
        <item m="1" x="1527"/>
        <item m="1" x="1489"/>
        <item m="1" x="2067"/>
        <item m="1" x="1934"/>
        <item m="1" x="1773"/>
        <item m="1" x="1535"/>
        <item m="1" x="881"/>
        <item m="1" x="2070"/>
        <item m="1" x="1610"/>
        <item m="1" x="840"/>
        <item x="98"/>
        <item m="1" x="417"/>
        <item m="1" x="618"/>
        <item m="1" x="1483"/>
        <item m="1" x="926"/>
        <item m="1" x="751"/>
        <item m="1" x="1421"/>
        <item m="1" x="1236"/>
        <item x="95"/>
        <item x="240"/>
        <item m="1" x="843"/>
        <item m="1" x="340"/>
        <item m="1" x="1694"/>
        <item m="1" x="257"/>
        <item m="1" x="1617"/>
        <item m="1" x="1081"/>
        <item m="1" x="1729"/>
        <item m="1" x="2038"/>
        <item m="1" x="727"/>
        <item m="1" x="1381"/>
        <item m="1" x="1198"/>
        <item m="1" x="1473"/>
        <item m="1" x="1401"/>
        <item m="1" x="305"/>
        <item m="1" x="1756"/>
        <item m="1" x="1904"/>
        <item m="1" x="1382"/>
        <item m="1" x="743"/>
        <item m="1" x="1429"/>
        <item m="1" x="1774"/>
        <item m="1" x="762"/>
        <item m="1" x="1778"/>
        <item m="1" x="1781"/>
        <item m="1" x="660"/>
        <item m="1" x="1652"/>
        <item m="1" x="1083"/>
        <item m="1" x="602"/>
        <item m="1" x="1013"/>
        <item m="1" x="1326"/>
        <item m="1" x="1449"/>
        <item m="1" x="1735"/>
        <item m="1" x="612"/>
        <item m="1" x="271"/>
        <item m="1" x="395"/>
        <item m="1" x="1125"/>
        <item m="1" x="693"/>
        <item m="1" x="390"/>
        <item m="1" x="756"/>
        <item m="1" x="470"/>
        <item m="1" x="655"/>
        <item m="1" x="1003"/>
        <item m="1" x="1343"/>
        <item m="1" x="1942"/>
        <item m="1" x="1933"/>
        <item x="242"/>
        <item x="79"/>
        <item m="1" x="912"/>
        <item m="1" x="767"/>
        <item m="1" x="1506"/>
        <item m="1" x="1664"/>
        <item m="1" x="1556"/>
        <item m="1" x="1656"/>
        <item m="1" x="552"/>
        <item m="1" x="1359"/>
        <item m="1" x="1192"/>
        <item m="1" x="616"/>
        <item m="1" x="1327"/>
        <item m="1" x="2010"/>
        <item m="1" x="1160"/>
        <item m="1" x="599"/>
        <item m="1" x="778"/>
        <item m="1" x="1900"/>
        <item m="1" x="1122"/>
        <item m="1" x="789"/>
        <item m="1" x="1525"/>
        <item m="1" x="1344"/>
        <item m="1" x="829"/>
        <item m="1" x="1019"/>
        <item m="1" x="1014"/>
        <item m="1" x="1078"/>
        <item m="1" x="1898"/>
        <item m="1" x="430"/>
        <item m="1" x="448"/>
        <item m="1" x="862"/>
        <item m="1" x="1051"/>
        <item m="1" x="544"/>
        <item m="1" x="547"/>
        <item m="1" x="539"/>
        <item m="1" x="1475"/>
        <item m="1" x="1516"/>
        <item m="1" x="1127"/>
        <item m="1" x="1863"/>
        <item m="1" x="909"/>
        <item m="1" x="1498"/>
        <item m="1" x="1112"/>
        <item m="1" x="1948"/>
        <item m="1" x="1740"/>
        <item m="1" x="2144"/>
        <item x="158"/>
        <item m="1" x="2132"/>
        <item m="1" x="1199"/>
        <item x="206"/>
        <item m="1" x="788"/>
        <item m="1" x="2094"/>
        <item m="1" x="1854"/>
        <item m="1" x="617"/>
        <item m="1" x="1031"/>
        <item m="1" x="1278"/>
        <item m="1" x="1532"/>
        <item m="1" x="1123"/>
        <item m="1" x="1379"/>
        <item m="1" x="2016"/>
        <item m="1" x="1674"/>
        <item m="1" x="1036"/>
        <item m="1" x="1945"/>
        <item m="1" x="1137"/>
        <item m="1" x="1769"/>
        <item m="1" x="546"/>
        <item m="1" x="568"/>
        <item m="1" x="748"/>
        <item m="1" x="324"/>
        <item m="1" x="2105"/>
        <item m="1" x="601"/>
        <item m="1" x="553"/>
        <item m="1" x="450"/>
        <item m="1" x="565"/>
        <item m="1" x="1500"/>
        <item m="1" x="319"/>
        <item m="1" x="745"/>
        <item m="1" x="1058"/>
        <item m="1" x="731"/>
        <item m="1" x="723"/>
        <item m="1" x="1702"/>
        <item m="1" x="1392"/>
        <item m="1" x="834"/>
        <item m="1" x="753"/>
        <item x="61"/>
        <item m="1" x="291"/>
        <item m="1" x="2084"/>
        <item m="1" x="1490"/>
        <item x="162"/>
        <item m="1" x="1637"/>
        <item m="1" x="1425"/>
        <item m="1" x="1427"/>
        <item m="1" x="1383"/>
        <item m="1" x="1430"/>
        <item m="1" x="1245"/>
        <item m="1" x="1416"/>
        <item m="1" x="871"/>
        <item m="1" x="1250"/>
        <item m="1" x="1943"/>
        <item m="1" x="1007"/>
        <item m="1" x="1487"/>
        <item x="76"/>
        <item m="1" x="998"/>
        <item m="1" x="1450"/>
        <item m="1" x="1805"/>
        <item m="1" x="1170"/>
        <item m="1" x="2145"/>
        <item m="1" x="989"/>
        <item m="1" x="1057"/>
        <item m="1" x="2080"/>
        <item m="1" x="610"/>
        <item m="1" x="1059"/>
        <item m="1" x="1145"/>
        <item m="1" x="1796"/>
        <item m="1" x="1504"/>
        <item m="1" x="1072"/>
        <item m="1" x="1109"/>
        <item x="139"/>
        <item m="1" x="1369"/>
        <item m="1" x="1751"/>
        <item m="1" x="945"/>
        <item m="1" x="927"/>
        <item m="1" x="934"/>
        <item m="1" x="938"/>
        <item m="1" x="1706"/>
        <item m="1" x="1720"/>
        <item m="1" x="356"/>
        <item m="1" x="1708"/>
        <item m="1" x="1376"/>
        <item x="50"/>
        <item m="1" x="366"/>
        <item m="1" x="454"/>
        <item m="1" x="1190"/>
        <item m="1" x="1797"/>
        <item m="1" x="1544"/>
        <item m="1" x="764"/>
        <item m="1" x="954"/>
        <item m="1" x="1883"/>
        <item m="1" x="1329"/>
        <item m="1" x="1374"/>
        <item m="1" x="1836"/>
        <item m="1" x="1732"/>
        <item m="1" x="251"/>
        <item m="1" x="1564"/>
        <item m="1" x="514"/>
        <item m="1" x="699"/>
        <item m="1" x="1824"/>
        <item m="1" x="1577"/>
        <item m="1" x="1092"/>
        <item m="1" x="880"/>
        <item m="1" x="1204"/>
        <item m="1" x="1331"/>
        <item m="1" x="2022"/>
        <item m="1" x="1372"/>
        <item m="1" x="2082"/>
        <item m="1" x="1828"/>
        <item m="1" x="1121"/>
        <item m="1" x="628"/>
        <item m="1" x="887"/>
        <item m="1" x="494"/>
        <item m="1" x="1439"/>
        <item m="1" x="1952"/>
        <item m="1" x="510"/>
        <item m="1" x="597"/>
        <item m="1" x="642"/>
        <item m="1" x="1152"/>
        <item m="1" x="1153"/>
        <item m="1" x="1620"/>
        <item m="1" x="733"/>
        <item m="1" x="722"/>
        <item m="1" x="1565"/>
        <item m="1" x="1566"/>
        <item m="1" x="1155"/>
        <item m="1" x="458"/>
        <item m="1" x="1515"/>
        <item m="1" x="303"/>
        <item m="1" x="441"/>
        <item m="1" x="1926"/>
        <item m="1" x="263"/>
        <item m="1" x="1568"/>
        <item m="1" x="307"/>
        <item m="1" x="1896"/>
        <item m="1" x="1901"/>
        <item m="1" x="456"/>
        <item m="1" x="742"/>
        <item m="1" x="1349"/>
        <item m="1" x="1094"/>
        <item m="1" x="292"/>
        <item m="1" x="1594"/>
        <item m="1" x="273"/>
        <item m="1" x="270"/>
        <item m="1" x="2126"/>
        <item m="1" x="1602"/>
        <item m="1" x="2129"/>
        <item m="1" x="757"/>
        <item m="1" x="1923"/>
        <item m="1" x="1135"/>
        <item m="1" x="1148"/>
        <item m="1" x="1723"/>
        <item x="134"/>
        <item m="1" x="573"/>
        <item m="1" x="758"/>
        <item m="1" x="977"/>
        <item m="1" x="1024"/>
        <item m="1" x="623"/>
        <item m="1" x="939"/>
        <item m="1" x="301"/>
        <item m="1" x="697"/>
        <item m="1" x="1627"/>
        <item m="1" x="1208"/>
        <item m="1" x="537"/>
        <item m="1" x="323"/>
        <item x="238"/>
        <item m="1" x="1806"/>
        <item m="1" x="558"/>
        <item m="1" x="567"/>
        <item m="1" x="1189"/>
        <item m="1" x="1893"/>
        <item m="1" x="1512"/>
        <item m="1" x="1645"/>
        <item m="1" x="474"/>
        <item m="1" x="557"/>
        <item m="1" x="679"/>
        <item m="1" x="1159"/>
        <item m="1" x="396"/>
        <item m="1" x="490"/>
        <item m="1" x="328"/>
        <item m="1" x="491"/>
        <item m="1" x="493"/>
        <item m="1" x="1104"/>
        <item m="1" x="495"/>
        <item m="1" x="1743"/>
        <item m="1" x="1741"/>
        <item m="1" x="1100"/>
        <item m="1" x="468"/>
        <item m="1" x="1097"/>
        <item m="1" x="1488"/>
        <item m="1" x="418"/>
        <item m="1" x="674"/>
        <item m="1" x="875"/>
        <item m="1" x="551"/>
        <item m="1" x="2124"/>
        <item m="1" x="556"/>
        <item m="1" x="1068"/>
        <item m="1" x="1324"/>
        <item m="1" x="1764"/>
        <item m="1" x="1946"/>
        <item m="1" x="2146"/>
        <item m="1" x="1289"/>
        <item m="1" x="1049"/>
        <item m="1" x="873"/>
        <item m="1" x="1629"/>
        <item m="1" x="455"/>
        <item m="1" x="272"/>
        <item m="1" x="1517"/>
        <item m="1" x="1493"/>
        <item m="1" x="1438"/>
        <item m="1" x="481"/>
        <item m="1" x="419"/>
        <item m="1" x="1528"/>
        <item m="1" x="453"/>
        <item x="196"/>
        <item m="1" x="784"/>
        <item m="1" x="1932"/>
        <item m="1" x="2045"/>
        <item m="1" x="1800"/>
        <item m="1" x="944"/>
        <item m="1" x="999"/>
        <item m="1" x="714"/>
        <item m="1" x="776"/>
        <item m="1" x="982"/>
        <item m="1" x="1587"/>
        <item m="1" x="1396"/>
        <item m="1" x="425"/>
        <item m="1" x="1404"/>
        <item m="1" x="951"/>
        <item m="1" x="1599"/>
        <item m="1" x="1312"/>
        <item m="1" x="984"/>
        <item m="1" x="477"/>
        <item m="1" x="1230"/>
        <item m="1" x="1360"/>
        <item m="1" x="1317"/>
        <item x="144"/>
        <item m="1" x="993"/>
        <item m="1" x="990"/>
        <item m="1" x="1505"/>
        <item m="1" x="1222"/>
        <item m="1" x="1027"/>
        <item m="1" x="1275"/>
        <item m="1" x="1065"/>
        <item m="1" x="1679"/>
        <item m="1" x="1996"/>
        <item m="1" x="1034"/>
        <item m="1" x="1634"/>
        <item m="1" x="1038"/>
        <item m="1" x="836"/>
        <item m="1" x="1266"/>
        <item m="1" x="713"/>
        <item m="1" x="1000"/>
        <item m="1" x="2033"/>
        <item m="1" x="988"/>
        <item x="2"/>
        <item m="1" x="2026"/>
        <item m="1" x="995"/>
        <item m="1" x="1624"/>
        <item x="120"/>
        <item m="1" x="960"/>
        <item m="1" x="400"/>
        <item m="1" x="404"/>
        <item m="1" x="320"/>
        <item m="1" x="929"/>
        <item m="1" x="1363"/>
        <item m="1" x="1815"/>
        <item m="1" x="1262"/>
        <item m="1" x="1673"/>
        <item m="1" x="1567"/>
        <item m="1" x="373"/>
        <item m="1" x="2099"/>
        <item m="1" x="2028"/>
        <item m="1" x="1524"/>
        <item m="1" x="1350"/>
        <item m="1" x="1710"/>
        <item m="1" x="2071"/>
        <item m="1" x="1625"/>
        <item m="1" x="2034"/>
        <item m="1" x="691"/>
        <item m="1" x="1897"/>
        <item m="1" x="353"/>
        <item m="1" x="500"/>
        <item m="1" x="839"/>
        <item m="1" x="1345"/>
        <item m="1" x="1454"/>
        <item m="1" x="581"/>
        <item m="1" x="399"/>
        <item m="1" x="1188"/>
        <item m="1" x="1989"/>
        <item m="1" x="792"/>
        <item x="236"/>
        <item m="1" x="1260"/>
        <item m="1" x="1243"/>
        <item m="1" x="997"/>
        <item m="1" x="967"/>
        <item m="1" x="968"/>
        <item m="1" x="889"/>
        <item m="1" x="974"/>
        <item m="1" x="1452"/>
        <item m="1" x="766"/>
        <item m="1" x="777"/>
        <item m="1" x="971"/>
        <item m="1" x="631"/>
        <item m="1" x="1306"/>
        <item m="1" x="747"/>
        <item m="1" x="394"/>
        <item m="1" x="580"/>
        <item m="1" x="964"/>
        <item m="1" x="1203"/>
        <item m="1" x="1253"/>
        <item m="1" x="1397"/>
        <item x="82"/>
        <item m="1" x="1913"/>
        <item m="1" x="1644"/>
        <item m="1" x="958"/>
        <item m="1" x="948"/>
        <item m="1" x="1704"/>
        <item m="1" x="279"/>
        <item m="1" x="1281"/>
        <item m="1" x="498"/>
        <item m="1" x="555"/>
        <item m="1" x="587"/>
        <item m="1" x="732"/>
        <item m="1" x="1440"/>
        <item m="1" x="485"/>
        <item m="1" x="1481"/>
        <item m="1" x="1133"/>
        <item m="1" x="1424"/>
        <item m="1" x="415"/>
        <item m="1" x="2018"/>
        <item m="1" x="576"/>
        <item m="1" x="2054"/>
        <item m="1" x="1318"/>
        <item m="1" x="1582"/>
        <item m="1" x="1244"/>
        <item m="1" x="1064"/>
        <item m="1" x="516"/>
        <item m="1" x="1810"/>
        <item m="1" x="1775"/>
        <item m="1" x="1742"/>
        <item m="1" x="831"/>
        <item m="1" x="1915"/>
        <item m="1" x="1699"/>
        <item m="1" x="1696"/>
        <item m="1" x="1914"/>
        <item m="1" x="817"/>
        <item m="1" x="826"/>
        <item m="1" x="405"/>
        <item m="1" x="1015"/>
        <item m="1" x="1612"/>
        <item m="1" x="1346"/>
        <item m="1" x="1486"/>
        <item m="1" x="1271"/>
        <item m="1" x="1519"/>
        <item m="1" x="1543"/>
        <item m="1" x="1562"/>
        <item m="1" x="1276"/>
        <item m="1" x="1998"/>
        <item m="1" x="1242"/>
        <item m="1" x="363"/>
        <item m="1" x="449"/>
        <item m="1" x="421"/>
        <item m="1" x="1871"/>
        <item m="1" x="462"/>
        <item m="1" x="1555"/>
        <item x="208"/>
        <item m="1" x="505"/>
        <item m="1" x="550"/>
        <item m="1" x="1572"/>
        <item m="1" x="438"/>
        <item m="1" x="337"/>
        <item x="224"/>
        <item m="1" x="2065"/>
        <item m="1" x="2029"/>
        <item m="1" x="561"/>
        <item m="1" x="433"/>
        <item m="1" x="2044"/>
        <item m="1" x="1471"/>
        <item m="1" x="1348"/>
        <item x="93"/>
        <item m="1" x="2023"/>
        <item m="1" x="1509"/>
        <item m="1" x="1650"/>
        <item m="1" x="564"/>
        <item m="1" x="515"/>
        <item x="172"/>
        <item m="1" x="313"/>
        <item m="1" x="1056"/>
        <item m="1" x="1811"/>
        <item m="1" x="1099"/>
        <item m="1" x="953"/>
        <item m="1" x="1675"/>
        <item m="1" x="1436"/>
        <item m="1" x="2046"/>
        <item m="1" x="2051"/>
        <item m="1" x="2053"/>
        <item m="1" x="850"/>
        <item m="1" x="362"/>
        <item m="1" x="846"/>
        <item m="1" x="2056"/>
        <item m="1" x="1211"/>
        <item m="1" x="1214"/>
        <item m="1" x="1206"/>
        <item m="1" x="2049"/>
        <item m="1" x="913"/>
        <item m="1" x="1459"/>
        <item m="1" x="326"/>
        <item m="1" x="335"/>
        <item m="1" x="729"/>
        <item m="1" x="1909"/>
        <item m="1" x="2076"/>
        <item m="1" x="2123"/>
        <item m="1" x="1364"/>
        <item m="1" x="1267"/>
        <item m="1" x="721"/>
        <item m="1" x="1841"/>
        <item m="1" x="1465"/>
        <item m="1" x="823"/>
        <item m="1" x="258"/>
        <item m="1" x="1195"/>
        <item m="1" x="803"/>
        <item m="1" x="809"/>
        <item m="1" x="1579"/>
        <item m="1" x="1574"/>
        <item m="1" x="312"/>
        <item m="1" x="1455"/>
        <item m="1" x="352"/>
        <item m="1" x="1173"/>
        <item m="1" x="261"/>
        <item m="1" x="1875"/>
        <item m="1" x="286"/>
        <item m="1" x="1474"/>
        <item m="1" x="545"/>
        <item m="1" x="377"/>
        <item m="1" x="720"/>
        <item m="1" x="1180"/>
        <item m="1" x="314"/>
        <item m="1" x="903"/>
        <item m="1" x="1974"/>
        <item m="1" x="1229"/>
        <item m="1" x="393"/>
        <item m="1" x="1521"/>
        <item x="222"/>
        <item m="1" x="1503"/>
        <item m="1" x="282"/>
        <item m="1" x="1095"/>
        <item m="1" x="847"/>
        <item m="1" x="822"/>
        <item m="1" x="1005"/>
        <item m="1" x="832"/>
        <item m="1" x="825"/>
        <item m="1" x="1711"/>
        <item m="1" x="1337"/>
        <item m="1" x="2013"/>
        <item m="1" x="285"/>
        <item m="1" x="2015"/>
        <item m="1" x="895"/>
        <item m="1" x="342"/>
        <item m="1" x="1163"/>
        <item m="1" x="845"/>
        <item m="1" x="1333"/>
        <item m="1" x="1411"/>
        <item m="1" x="1442"/>
        <item m="1" x="1446"/>
        <item m="1" x="1071"/>
        <item m="1" x="1402"/>
        <item m="1" x="1792"/>
        <item m="1" x="1484"/>
        <item m="1" x="1006"/>
        <item m="1" x="341"/>
        <item m="1" x="1657"/>
        <item m="1" x="1522"/>
        <item m="1" x="1255"/>
        <item m="1" x="1865"/>
        <item m="1" x="347"/>
        <item m="1" x="2062"/>
        <item m="1" x="802"/>
        <item x="228"/>
        <item m="1" x="728"/>
        <item m="1" x="1294"/>
        <item m="1" x="659"/>
        <item m="1" x="2091"/>
        <item m="1" x="1765"/>
        <item m="1" x="1146"/>
        <item m="1" x="1453"/>
        <item m="1" x="463"/>
        <item m="1" x="1692"/>
        <item m="1" x="1545"/>
        <item m="1" x="886"/>
        <item m="1" x="2011"/>
        <item m="1" x="1224"/>
        <item m="1" x="308"/>
        <item m="1" x="1536"/>
        <item m="1" x="2004"/>
        <item m="1" x="2087"/>
        <item m="1" x="611"/>
        <item m="1" x="1869"/>
        <item m="1" x="2073"/>
        <item m="1" x="1791"/>
        <item m="1" x="1461"/>
        <item m="1" x="820"/>
        <item m="1" x="1947"/>
        <item m="1" x="2081"/>
        <item m="1" x="2074"/>
        <item m="1" x="2077"/>
        <item m="1" x="570"/>
        <item m="1" x="371"/>
        <item x="115"/>
        <item m="1" x="1788"/>
        <item m="1" x="804"/>
        <item m="1" x="1091"/>
        <item m="1" x="563"/>
        <item m="1" x="859"/>
        <item m="1" x="1217"/>
        <item m="1" x="1456"/>
        <item m="1" x="615"/>
        <item x="89"/>
        <item m="1" x="1130"/>
        <item x="226"/>
        <item m="1" x="1269"/>
        <item m="1" x="918"/>
        <item m="1" x="1601"/>
        <item m="1" x="1603"/>
        <item m="1" x="560"/>
        <item m="1" x="1548"/>
        <item m="1" x="583"/>
        <item m="1" x="297"/>
        <item m="1" x="1510"/>
        <item m="1" x="1286"/>
        <item m="1" x="1655"/>
        <item m="1" x="1848"/>
        <item x="233"/>
        <item m="1" x="1956"/>
        <item m="1" x="398"/>
        <item m="1" x="1526"/>
        <item m="1" x="1311"/>
        <item m="1" x="952"/>
        <item m="1" x="489"/>
        <item m="1" x="2021"/>
        <item m="1" x="1172"/>
        <item m="1" x="1575"/>
        <item m="1" x="1783"/>
        <item m="1" x="1375"/>
        <item m="1" x="484"/>
        <item m="1" x="675"/>
        <item m="1" x="1399"/>
        <item m="1" x="1721"/>
        <item m="1" x="1850"/>
        <item x="148"/>
        <item m="1" x="915"/>
        <item m="1" x="904"/>
        <item m="1" x="1237"/>
        <item m="1" x="520"/>
        <item m="1" x="1406"/>
        <item m="1" x="1451"/>
        <item m="1" x="469"/>
        <item m="1" x="718"/>
        <item m="1" x="1285"/>
        <item m="1" x="1853"/>
        <item m="1" x="509"/>
        <item m="1" x="1669"/>
        <item m="1" x="815"/>
        <item m="1" x="1997"/>
        <item m="1" x="1287"/>
        <item m="1" x="1270"/>
        <item m="1" x="1282"/>
        <item m="1" x="681"/>
        <item m="1" x="2059"/>
        <item m="1" x="663"/>
        <item m="1" x="779"/>
        <item m="1" x="1182"/>
        <item m="1" x="983"/>
        <item m="1" x="2019"/>
        <item x="171"/>
        <item m="1" x="652"/>
        <item m="1" x="1167"/>
        <item m="1" x="1174"/>
        <item m="1" x="2052"/>
        <item m="1" x="790"/>
        <item m="1" x="1012"/>
        <item m="1" x="1183"/>
        <item m="1" x="1508"/>
        <item m="1" x="1554"/>
        <item m="1" x="991"/>
        <item m="1" x="919"/>
        <item m="1" x="1684"/>
        <item x="135"/>
        <item m="1" x="2041"/>
        <item m="1" x="2131"/>
        <item m="1" x="1902"/>
        <item x="150"/>
        <item m="1" x="1410"/>
        <item m="1" x="867"/>
        <item m="1" x="1238"/>
        <item m="1" x="1353"/>
        <item m="1" x="1973"/>
        <item m="1" x="304"/>
        <item m="1" x="1117"/>
        <item m="1" x="1166"/>
        <item m="1" x="354"/>
        <item m="1" x="1584"/>
        <item m="1" x="2078"/>
        <item m="1" x="2007"/>
        <item m="1" x="2037"/>
        <item m="1" x="692"/>
        <item m="1" x="701"/>
        <item m="1" x="621"/>
        <item m="1" x="432"/>
        <item m="1" x="2135"/>
        <item m="1" x="451"/>
        <item m="1" x="2000"/>
        <item m="1" x="577"/>
        <item m="1" x="2025"/>
        <item m="1" x="900"/>
        <item m="1" x="689"/>
        <item m="1" x="1930"/>
        <item m="1" x="773"/>
        <item m="1" x="1632"/>
        <item m="1" x="682"/>
        <item m="1" x="1215"/>
        <item m="1" x="2050"/>
        <item m="1" x="940"/>
        <item m="1" x="1120"/>
        <item m="1" x="643"/>
        <item m="1" x="1178"/>
        <item m="1" x="2068"/>
        <item m="1" x="1843"/>
        <item m="1" x="769"/>
        <item m="1" x="1838"/>
        <item x="154"/>
        <item m="1" x="1232"/>
        <item m="1" x="1653"/>
        <item m="1" x="1667"/>
        <item m="1" x="941"/>
        <item m="1" x="1957"/>
        <item m="1" x="1793"/>
        <item m="1" x="2066"/>
        <item m="1" x="641"/>
        <item m="1" x="2063"/>
        <item m="1" x="411"/>
        <item m="1" x="1616"/>
        <item m="1" x="1223"/>
        <item m="1" x="716"/>
        <item m="1" x="686"/>
        <item m="1" x="1804"/>
        <item m="1" x="407"/>
        <item m="1" x="1235"/>
        <item m="1" x="1181"/>
        <item m="1" x="654"/>
        <item m="1" x="799"/>
        <item m="1" x="1958"/>
        <item m="1" x="901"/>
        <item m="1" x="1993"/>
        <item m="1" x="436"/>
        <item m="1" x="1226"/>
        <item m="1" x="1447"/>
        <item m="1" x="1666"/>
        <item m="1" x="775"/>
        <item m="1" x="704"/>
        <item m="1" x="1540"/>
        <item m="1" x="931"/>
        <item m="1" x="684"/>
        <item m="1" x="1606"/>
        <item m="1" x="1476"/>
        <item m="1" x="1941"/>
        <item m="1" x="1184"/>
        <item m="1" x="1981"/>
        <item x="166"/>
        <item m="1" x="437"/>
        <item m="1" x="1412"/>
        <item m="1" x="1008"/>
        <item m="1" x="250"/>
        <item m="1" x="1448"/>
        <item m="1" x="1807"/>
        <item m="1" x="1358"/>
        <item m="1" x="1362"/>
        <item m="1" x="452"/>
        <item m="1" x="985"/>
        <item m="1" x="1193"/>
        <item m="1" x="658"/>
        <item m="1" x="380"/>
        <item m="1" x="426"/>
        <item m="1" x="1423"/>
        <item m="1" x="429"/>
        <item m="1" x="965"/>
        <item x="87"/>
        <item m="1" x="950"/>
        <item m="1" x="1858"/>
        <item m="1" x="1646"/>
        <item m="1" x="1205"/>
        <item x="167"/>
        <item m="1" x="370"/>
        <item m="1" x="1303"/>
        <item m="1" x="1288"/>
        <item m="1" x="1604"/>
        <item m="1" x="1251"/>
        <item m="1" x="772"/>
        <item m="1" x="785"/>
        <item m="1" x="1321"/>
        <item m="1" x="1284"/>
        <item m="1" x="1912"/>
        <item m="1" x="2043"/>
        <item m="1" x="635"/>
        <item m="1" x="375"/>
        <item m="1" x="1023"/>
        <item m="1" x="626"/>
        <item m="1" x="672"/>
        <item m="1" x="1892"/>
        <item m="1" x="1705"/>
        <item m="1" x="708"/>
        <item m="1" x="1400"/>
        <item m="1" x="1670"/>
        <item m="1" x="1855"/>
        <item m="1" x="627"/>
        <item m="1" x="2121"/>
        <item m="1" x="255"/>
        <item m="1" x="1619"/>
        <item m="1" x="1085"/>
        <item m="1" x="427"/>
        <item m="1" x="858"/>
        <item m="1" x="431"/>
        <item m="1" x="1835"/>
        <item m="1" x="1826"/>
        <item m="1" x="1878"/>
        <item m="1" x="554"/>
        <item m="1" x="1546"/>
        <item m="1" x="1591"/>
        <item m="1" x="1132"/>
        <item m="1" x="835"/>
        <item m="1" x="1378"/>
        <item m="1" x="1970"/>
        <item m="1" x="1053"/>
        <item m="1" x="2017"/>
        <item m="1" x="1631"/>
        <item m="1" x="755"/>
        <item m="1" x="774"/>
        <item m="1" x="1322"/>
        <item m="1" x="1147"/>
        <item m="1" x="664"/>
        <item m="1" x="1770"/>
        <item m="1" x="1417"/>
        <item m="1" x="1552"/>
        <item m="1" x="519"/>
        <item m="1" x="1464"/>
        <item m="1" x="1593"/>
        <item m="1" x="531"/>
        <item m="1" x="1171"/>
        <item m="1" x="1821"/>
        <item m="1" x="1177"/>
        <item m="1" x="1443"/>
        <item m="1" x="797"/>
        <item m="1" x="1903"/>
        <item m="1" x="517"/>
        <item m="1" x="640"/>
        <item m="1" x="416"/>
        <item m="1" x="1876"/>
        <item m="1" x="1987"/>
        <item m="1" x="2142"/>
        <item m="1" x="459"/>
        <item m="1" x="379"/>
        <item x="147"/>
        <item m="1" x="1055"/>
        <item m="1" x="1911"/>
        <item m="1" x="986"/>
        <item m="1" x="2040"/>
        <item m="1" x="2006"/>
        <item m="1" x="1533"/>
        <item m="1" x="1736"/>
        <item m="1" x="1313"/>
        <item m="1" x="1608"/>
        <item m="1" x="644"/>
        <item x="113"/>
        <item x="212"/>
        <item m="1" x="1256"/>
        <item m="1" x="2083"/>
        <item m="1" x="1728"/>
        <item m="1" x="2042"/>
        <item m="1" x="2098"/>
        <item m="1" x="1859"/>
        <item m="1" x="916"/>
        <item m="1" x="1689"/>
        <item m="1" x="1441"/>
        <item m="1" x="810"/>
        <item m="1" x="1518"/>
        <item m="1" x="267"/>
        <item m="1" x="268"/>
        <item m="1" x="414"/>
        <item m="1" x="1179"/>
        <item m="1" x="497"/>
        <item m="1" x="1016"/>
        <item m="1" x="936"/>
        <item m="1" x="1088"/>
        <item m="1" x="883"/>
        <item m="1" x="1809"/>
        <item m="1" x="1953"/>
        <item m="1" x="1995"/>
        <item m="1" x="1681"/>
        <item m="1" x="665"/>
        <item m="1" x="2137"/>
        <item m="1" x="677"/>
        <item m="1" x="1713"/>
        <item m="1" x="1067"/>
        <item m="1" x="1076"/>
        <item m="1" x="1703"/>
        <item m="1" x="439"/>
        <item m="1" x="1761"/>
        <item m="1" x="1469"/>
        <item m="1" x="1834"/>
        <item m="1" x="2001"/>
        <item m="1" x="972"/>
        <item m="1" x="309"/>
        <item m="1" x="1118"/>
        <item m="1" x="907"/>
        <item m="1" x="1884"/>
        <item m="1" x="2141"/>
        <item m="1" x="589"/>
        <item m="1" x="1925"/>
        <item m="1" x="1879"/>
        <item m="1" x="254"/>
        <item m="1" x="383"/>
        <item x="75"/>
        <item m="1" x="287"/>
        <item m="1" x="1936"/>
        <item m="1" x="524"/>
        <item m="1" x="637"/>
        <item m="1" x="1739"/>
        <item m="1" x="851"/>
        <item m="1" x="853"/>
        <item m="1" x="511"/>
        <item m="1" x="1141"/>
        <item m="1" x="2102"/>
        <item m="1" x="358"/>
        <item x="170"/>
        <item m="1" x="1820"/>
        <item m="1" x="1200"/>
        <item m="1" x="854"/>
        <item m="1" x="1274"/>
        <item m="1" x="1246"/>
        <item x="141"/>
        <item m="1" x="1037"/>
        <item x="118"/>
        <item m="1" x="1886"/>
        <item m="1" x="1651"/>
        <item m="1" x="1647"/>
        <item m="1" x="1648"/>
        <item m="1" x="1622"/>
        <item m="1" x="1635"/>
        <item m="1" x="2024"/>
        <item m="1" x="1972"/>
        <item m="1" x="246"/>
        <item m="1" x="1626"/>
        <item m="1" x="752"/>
        <item m="1" x="828"/>
        <item m="1" x="513"/>
        <item m="1" x="848"/>
        <item m="1" x="841"/>
        <item m="1" x="860"/>
        <item m="1" x="1472"/>
        <item m="1" x="678"/>
        <item m="1" x="409"/>
        <item m="1" x="1186"/>
        <item m="1" x="1142"/>
        <item m="1" x="507"/>
        <item x="110"/>
        <item m="1" x="329"/>
        <item m="1" x="1325"/>
        <item m="1" x="1138"/>
        <item m="1" x="807"/>
        <item m="1" x="1607"/>
        <item m="1" x="1168"/>
        <item m="1" x="512"/>
        <item m="1" x="1018"/>
        <item m="1" x="1661"/>
        <item m="1" x="1052"/>
        <item m="1" x="648"/>
        <item m="1" x="924"/>
        <item x="96"/>
        <item x="133"/>
        <item x="201"/>
        <item m="1" x="740"/>
        <item m="1" x="1658"/>
        <item x="217"/>
        <item m="1" x="333"/>
        <item m="1" x="1323"/>
        <item m="1" x="1087"/>
        <item m="1" x="629"/>
        <item m="1" x="1197"/>
        <item m="1" x="1315"/>
        <item x="235"/>
        <item m="1" x="1937"/>
        <item m="1" x="1776"/>
        <item m="1" x="1445"/>
        <item m="1" x="1642"/>
        <item m="1" x="1542"/>
        <item m="1" x="522"/>
        <item m="1" x="976"/>
        <item m="1" x="1842"/>
        <item m="1" x="1759"/>
        <item m="1" x="1829"/>
        <item m="1" x="330"/>
        <item m="1" x="1467"/>
        <item m="1" x="837"/>
        <item m="1" x="1403"/>
        <item m="1" x="1428"/>
        <item m="1" x="1992"/>
        <item m="1" x="534"/>
        <item m="1" x="529"/>
        <item m="1" x="385"/>
        <item m="1" x="562"/>
        <item m="1" x="814"/>
        <item m="1" x="925"/>
        <item m="1" x="1847"/>
        <item m="1" x="884"/>
        <item m="1" x="1618"/>
        <item m="1" x="1066"/>
        <item x="187"/>
        <item m="1" x="290"/>
        <item m="1" x="2061"/>
        <item m="1" x="460"/>
        <item m="1" x="2128"/>
        <item m="1" x="1960"/>
        <item m="1" x="345"/>
        <item m="1" x="1377"/>
        <item m="1" x="1907"/>
        <item m="1" x="387"/>
        <item m="1" x="1851"/>
        <item m="1" x="1822"/>
        <item m="1" x="1028"/>
        <item m="1" x="1924"/>
        <item m="1" x="770"/>
        <item m="1" x="1961"/>
        <item m="1" x="765"/>
        <item m="1" x="2075"/>
        <item m="1" x="1814"/>
        <item m="1" x="1002"/>
        <item m="1" x="1597"/>
        <item m="1" x="1219"/>
        <item m="1" x="1676"/>
        <item m="1" x="1638"/>
        <item m="1" x="1114"/>
        <item m="1" x="956"/>
        <item m="1" x="707"/>
        <item m="1" x="1129"/>
        <item m="1" x="422"/>
        <item m="1" x="1939"/>
        <item m="1" x="1643"/>
        <item m="1" x="966"/>
        <item m="1" x="979"/>
        <item m="1" x="538"/>
        <item m="1" x="1611"/>
        <item m="1" x="1001"/>
        <item m="1" x="2134"/>
        <item m="1" x="1844"/>
        <item m="1" x="1388"/>
        <item m="1" x="1585"/>
        <item m="1" x="1929"/>
        <item m="1" x="2072"/>
        <item m="1" x="1176"/>
        <item m="1" x="300"/>
        <item m="1" x="1254"/>
        <item m="1" x="1225"/>
        <item m="1" x="2101"/>
        <item m="1" x="705"/>
        <item m="1" x="1649"/>
        <item m="1" x="1341"/>
        <item m="1" x="1462"/>
        <item m="1" x="1228"/>
        <item m="1" x="1885"/>
        <item m="1" x="457"/>
        <item m="1" x="530"/>
        <item m="1" x="1102"/>
        <item m="1" x="996"/>
        <item m="1" x="1093"/>
        <item m="1" x="1628"/>
        <item m="1" x="794"/>
        <item x="86"/>
        <item m="1" x="1630"/>
        <item m="1" x="1951"/>
        <item m="1" x="739"/>
        <item m="1" x="540"/>
        <item m="1" x="541"/>
        <item m="1" x="1955"/>
        <item m="1" x="1683"/>
        <item m="1" x="1919"/>
        <item m="1" x="1927"/>
        <item m="1" x="1954"/>
        <item m="1" x="501"/>
        <item m="1" x="1032"/>
        <item m="1" x="2055"/>
        <item m="1" x="575"/>
        <item m="1" x="1149"/>
        <item m="1" x="1949"/>
        <item m="1" x="1385"/>
        <item m="1" x="536"/>
        <item m="1" x="571"/>
        <item m="1" x="1935"/>
        <item m="1" x="1299"/>
        <item m="1" x="922"/>
        <item m="1" x="2036"/>
        <item m="1" x="603"/>
        <item m="1" x="898"/>
        <item m="1" x="1030"/>
        <item m="1" x="1595"/>
        <item m="1" x="327"/>
        <item m="1" x="935"/>
        <item m="1" x="1300"/>
        <item m="1" x="1558"/>
        <item m="1" x="1248"/>
        <item m="1" x="1249"/>
        <item m="1" x="1496"/>
        <item m="1" x="523"/>
        <item m="1" x="591"/>
        <item m="1" x="2104"/>
        <item m="1" x="1252"/>
        <item m="1" x="579"/>
        <item m="1" x="896"/>
        <item m="1" x="1185"/>
        <item m="1" x="805"/>
        <item m="1" x="1077"/>
        <item m="1" x="1752"/>
        <item m="1" x="1727"/>
        <item m="1" x="1380"/>
        <item m="1" x="388"/>
        <item m="1" x="1641"/>
        <item m="1" x="435"/>
        <item m="1" x="890"/>
        <item m="1" x="1108"/>
        <item m="1" x="943"/>
        <item m="1" x="1491"/>
        <item m="1" x="1457"/>
        <item m="1" x="372"/>
        <item m="1" x="397"/>
        <item x="119"/>
        <item m="1" x="521"/>
        <item m="1" x="2088"/>
        <item m="1" x="1261"/>
        <item m="1" x="750"/>
        <item m="1" x="607"/>
        <item m="1" x="687"/>
        <item m="1" x="932"/>
        <item m="1" x="1107"/>
        <item m="1" x="625"/>
        <item m="1" x="1538"/>
        <item m="1" x="1547"/>
        <item m="1" x="921"/>
        <item m="1" x="595"/>
        <item m="1" x="1588"/>
        <item m="1" x="1985"/>
        <item m="1" x="1570"/>
        <item m="1" x="1551"/>
        <item m="1" x="317"/>
        <item m="1" x="1080"/>
        <item m="1" x="1553"/>
        <item m="1" x="735"/>
        <item m="1" x="518"/>
        <item m="1" x="1039"/>
        <item m="1" x="1654"/>
        <item m="1" x="930"/>
        <item m="1" x="1021"/>
        <item m="1" x="582"/>
        <item m="1" x="592"/>
        <item m="1" x="265"/>
        <item m="1" x="374"/>
        <item m="1" x="532"/>
        <item m="1" x="1613"/>
        <item m="1" x="2097"/>
        <item m="1" x="1054"/>
        <item m="1" x="962"/>
        <item m="1" x="1825"/>
        <item m="1" x="1580"/>
        <item m="1" x="634"/>
        <item m="1" x="1492"/>
        <item m="1" x="1082"/>
        <item m="1" x="1497"/>
        <item m="1" x="402"/>
        <item m="1" x="593"/>
        <item m="1" x="503"/>
        <item m="1" x="1305"/>
        <item m="1" x="1832"/>
        <item m="1" x="1069"/>
        <item m="1" x="878"/>
        <item m="1" x="1319"/>
        <item m="1" x="1144"/>
        <item m="1" x="289"/>
        <item m="1" x="987"/>
        <item m="1" x="1908"/>
        <item m="1" x="1785"/>
        <item m="1" x="1295"/>
        <item m="1" x="1339"/>
        <item m="1" x="1830"/>
        <item m="1" x="1639"/>
        <item m="1" x="526"/>
        <item m="1" x="1106"/>
        <item m="1" x="724"/>
        <item m="1" x="384"/>
        <item m="1" x="2020"/>
        <item m="1" x="905"/>
        <item m="1" x="508"/>
        <item m="1" x="1596"/>
        <item m="1" x="2012"/>
        <item m="1" x="933"/>
        <item m="1" x="598"/>
        <item m="1" x="606"/>
        <item m="1" x="1808"/>
        <item m="1" x="1762"/>
        <item m="1" x="874"/>
        <item m="1" x="1881"/>
        <item m="1" x="656"/>
        <item m="1" x="653"/>
        <item m="1" x="1419"/>
        <item m="1" x="609"/>
        <item m="1" x="338"/>
        <item m="1" x="357"/>
        <item m="1" x="1969"/>
        <item m="1" x="1291"/>
        <item m="1" x="906"/>
        <item m="1" x="428"/>
        <item m="1" x="1920"/>
        <item m="1" x="1918"/>
        <item m="1" x="2108"/>
        <item m="1" x="876"/>
        <item m="1" x="1744"/>
        <item m="1" x="392"/>
        <item m="1" x="800"/>
        <item m="1" x="288"/>
        <item m="1" x="1458"/>
        <item m="1" x="256"/>
        <item m="1" x="1391"/>
        <item m="1" x="1730"/>
        <item m="1" x="499"/>
        <item m="1" x="293"/>
        <item m="1" x="1867"/>
        <item m="1" x="1905"/>
        <item m="1" x="1754"/>
        <item m="1" x="1045"/>
        <item m="1" x="1685"/>
        <item m="1" x="1444"/>
        <item m="1" x="391"/>
        <item x="104"/>
        <item m="1" x="1780"/>
        <item m="1" x="247"/>
        <item m="1" x="548"/>
        <item m="1" x="378"/>
        <item m="1" x="1753"/>
        <item m="1" x="1852"/>
        <item m="1" x="605"/>
        <item x="177"/>
        <item m="1" x="376"/>
        <item m="1" x="1600"/>
        <item m="1" x="608"/>
        <item m="1" x="1877"/>
        <item m="1" x="636"/>
        <item m="1" x="343"/>
        <item m="1" x="1757"/>
        <item m="1" x="1485"/>
        <item m="1" x="1384"/>
        <item m="1" x="1090"/>
        <item m="1" x="2122"/>
        <item m="1" x="917"/>
        <item m="1" x="572"/>
        <item m="1" x="2136"/>
        <item m="1" x="683"/>
        <item m="1" x="1959"/>
        <item m="1" x="278"/>
        <item m="1" x="1304"/>
        <item m="1" x="1139"/>
        <item m="1" x="527"/>
        <item m="1" x="676"/>
        <item m="1" x="2113"/>
        <item m="1" x="923"/>
        <item m="1" x="1747"/>
        <item m="1" x="302"/>
        <item m="1" x="275"/>
        <item m="1" x="1965"/>
        <item m="1" x="306"/>
        <item m="1" x="702"/>
        <item m="1" x="266"/>
        <item m="1" x="1156"/>
        <item m="1" x="955"/>
        <item m="1" x="978"/>
        <item x="108"/>
        <item m="1" x="855"/>
        <item m="1" x="1734"/>
        <item m="1" x="1541"/>
        <item m="1" x="2005"/>
        <item m="1" x="294"/>
        <item m="1" x="1831"/>
        <item m="1" x="1009"/>
        <item m="1" x="1470"/>
        <item m="1" x="1677"/>
        <item x="111"/>
        <item m="1" x="334"/>
        <item m="1" x="1297"/>
        <item m="1" x="1700"/>
        <item m="1" x="269"/>
        <item m="1" x="1209"/>
        <item m="1" x="1557"/>
        <item m="1" x="1698"/>
        <item m="1" x="1063"/>
        <item m="1" x="1011"/>
        <item m="1" x="368"/>
        <item m="1" x="1409"/>
        <item x="55"/>
        <item m="1" x="947"/>
        <item m="1" x="471"/>
        <item m="1" x="245"/>
        <item m="1" x="737"/>
        <item m="1" x="1290"/>
        <item m="1" x="1715"/>
        <item m="1" x="2116"/>
        <item m="1" x="1096"/>
        <item m="1" x="1839"/>
        <item m="1" x="1292"/>
        <item m="1" x="1856"/>
        <item m="1" x="1990"/>
        <item m="1" x="698"/>
        <item m="1" x="2139"/>
        <item m="1" x="280"/>
        <item m="1" x="798"/>
        <item m="1" x="894"/>
        <item m="1" x="1010"/>
        <item m="1" x="1560"/>
        <item m="1" x="1678"/>
        <item m="1" x="1766"/>
        <item m="1" x="1495"/>
        <item m="1" x="310"/>
        <item m="1" x="492"/>
        <item m="1" x="1017"/>
        <item m="1" x="1712"/>
        <item m="1" x="703"/>
        <item m="1" x="1950"/>
        <item m="1" x="1633"/>
        <item m="1" x="842"/>
        <item m="1" x="1191"/>
        <item m="1" x="1860"/>
        <item m="1" x="1668"/>
        <item m="1" x="1787"/>
        <item m="1" x="1523"/>
        <item m="1" x="2009"/>
        <item m="1" x="1682"/>
        <item m="1" x="1175"/>
        <item m="1" x="980"/>
        <item x="182"/>
        <item m="1" x="1162"/>
        <item m="1" x="1207"/>
        <item m="1" x="937"/>
        <item m="1" x="761"/>
        <item m="1" x="1310"/>
        <item m="1" x="1598"/>
        <item m="1" x="1022"/>
        <item m="1" x="1874"/>
        <item m="1" x="1463"/>
        <item m="1" x="2130"/>
        <item m="1" x="1891"/>
        <item m="1" x="863"/>
        <item m="1" x="969"/>
        <item m="1" x="746"/>
        <item m="1" x="2035"/>
        <item m="1" x="1966"/>
        <item m="1" x="1726"/>
        <item m="1" x="2069"/>
        <item m="1" x="408"/>
        <item m="1" x="1837"/>
        <item m="1" x="365"/>
        <item m="1" x="2114"/>
        <item m="1" x="1868"/>
        <item m="1" x="339"/>
        <item m="1" x="1161"/>
        <item m="1" x="1520"/>
        <item m="1" x="442"/>
        <item m="1" x="1731"/>
        <item m="1" x="316"/>
        <item m="1" x="467"/>
        <item m="1" x="1258"/>
        <item m="1" x="650"/>
        <item x="192"/>
        <item m="1" x="760"/>
        <item m="1" x="1105"/>
        <item m="1" x="2092"/>
        <item m="1" x="2086"/>
        <item x="15"/>
        <item x="114"/>
        <item m="1" x="1537"/>
        <item m="1" x="1218"/>
        <item m="1" x="487"/>
        <item m="1" x="1413"/>
        <item m="1" x="908"/>
        <item m="1" x="1405"/>
        <item m="1" x="1151"/>
        <item m="1" x="1264"/>
        <item m="1" x="816"/>
        <item m="1" x="1395"/>
        <item m="1" x="1050"/>
        <item m="1" x="1143"/>
        <item m="1" x="633"/>
        <item m="1" x="1621"/>
        <item m="1" x="1813"/>
        <item m="1" x="1530"/>
        <item m="1" x="444"/>
        <item m="1" x="1549"/>
        <item m="1" x="578"/>
        <item m="1" x="833"/>
        <item m="1" x="2127"/>
        <item m="1" x="1695"/>
        <item x="184"/>
        <item m="1" x="1435"/>
        <item m="1" x="1335"/>
        <item m="1" x="466"/>
        <item m="1" x="1220"/>
        <item m="1" x="486"/>
        <item m="1" x="801"/>
        <item m="1" x="1126"/>
        <item m="1" x="1910"/>
        <item m="1" x="364"/>
        <item m="1" x="1873"/>
        <item m="1" x="879"/>
        <item m="1" x="1940"/>
        <item m="1" x="1782"/>
        <item m="1" x="1394"/>
        <item m="1" x="1042"/>
        <item m="1" x="1101"/>
        <item m="1" x="331"/>
        <item m="1" x="771"/>
        <item m="1" x="1103"/>
        <item m="1" x="709"/>
        <item m="1" x="298"/>
        <item m="1" x="359"/>
        <item m="1" x="440"/>
        <item x="186"/>
        <item m="1" x="1422"/>
        <item m="1" x="1356"/>
        <item m="1" x="1089"/>
        <item m="1" x="299"/>
        <item m="1" x="902"/>
        <item m="1" x="1819"/>
        <item m="1" x="2103"/>
        <item m="1" x="1790"/>
        <item m="1" x="661"/>
        <item m="1" x="793"/>
        <item m="1" x="786"/>
        <item m="1" x="1314"/>
        <item m="1" x="1084"/>
        <item m="1" x="620"/>
        <item m="1" x="891"/>
        <item m="1" x="866"/>
        <item m="1" x="1157"/>
        <item m="1" x="706"/>
        <item m="1" x="322"/>
        <item m="1" x="2140"/>
        <item m="1" x="1373"/>
        <item m="1" x="1482"/>
        <item m="1" x="348"/>
        <item m="1" x="346"/>
        <item m="1" x="2120"/>
        <item m="1" x="821"/>
        <item m="1" x="838"/>
        <item m="1" x="1025"/>
        <item m="1" x="1573"/>
        <item m="1" x="349"/>
        <item m="1" x="1894"/>
        <item m="1" x="528"/>
        <item m="1" x="1216"/>
        <item m="1" x="350"/>
        <item m="1" x="897"/>
        <item m="1" x="882"/>
        <item x="205"/>
        <item x="234"/>
        <item m="1" x="1569"/>
        <item m="1" x="604"/>
        <item m="1" x="1725"/>
        <item m="1" x="574"/>
        <item m="1" x="535"/>
        <item m="1" x="1750"/>
        <item m="1" x="584"/>
        <item m="1" x="2057"/>
        <item m="1" x="1967"/>
        <item m="1" x="1687"/>
        <item m="1" x="759"/>
        <item m="1" x="1393"/>
        <item m="1" x="781"/>
        <item m="1" x="1111"/>
        <item m="1" x="284"/>
        <item x="123"/>
        <item m="1" x="434"/>
        <item m="1" x="413"/>
        <item m="1" x="2117"/>
        <item m="1" x="1389"/>
        <item m="1" x="1502"/>
        <item m="1" x="1398"/>
        <item m="1" x="281"/>
        <item m="1" x="276"/>
        <item m="1" x="1659"/>
        <item m="1" x="1709"/>
        <item m="1" x="1701"/>
        <item m="1" x="1150"/>
        <item m="1" x="1231"/>
        <item m="1" x="1583"/>
        <item m="1" x="1070"/>
        <item m="1" x="1614"/>
        <item m="1" x="1026"/>
        <item m="1" x="1116"/>
        <item m="1" x="1767"/>
        <item m="1" x="1079"/>
        <item m="1" x="844"/>
        <item m="1" x="1880"/>
        <item m="1" x="1983"/>
        <item m="1" x="1075"/>
        <item m="1" x="1480"/>
        <item m="1" x="1986"/>
        <item m="1" x="295"/>
        <item m="1" x="264"/>
        <item m="1" x="1718"/>
        <item m="1" x="1590"/>
        <item m="1" x="488"/>
        <item x="103"/>
        <item m="1" x="1020"/>
        <item m="1" x="1029"/>
        <item m="1" x="849"/>
        <item m="1" x="690"/>
        <item m="1" x="662"/>
        <item m="1" x="1758"/>
        <item m="1" x="1154"/>
        <item m="1" x="1035"/>
        <item m="1" x="559"/>
        <item m="1" x="1531"/>
        <item m="1" x="1609"/>
        <item m="1" x="1212"/>
        <item m="1" x="1861"/>
        <item m="1" x="1043"/>
        <item m="1" x="1418"/>
        <item m="1" x="1733"/>
        <item m="1" x="262"/>
        <item m="1" x="1370"/>
        <item m="1" x="406"/>
        <item m="1" x="638"/>
        <item m="1" x="666"/>
        <item m="1" x="1047"/>
        <item m="1" x="914"/>
        <item x="39"/>
        <item m="1" x="542"/>
        <item m="1" x="1279"/>
        <item m="1" x="719"/>
        <item m="1" x="673"/>
        <item m="1" x="1976"/>
        <item m="1" x="1917"/>
        <item m="1" x="975"/>
        <item m="1" x="2002"/>
        <item m="1" x="1386"/>
        <item m="1" x="1307"/>
        <item m="1" x="2138"/>
        <item m="1" x="461"/>
        <item m="1" x="734"/>
        <item m="1" x="942"/>
        <item m="1" x="1328"/>
        <item m="1" x="1693"/>
        <item m="1" x="389"/>
        <item m="1" x="1724"/>
        <item m="1" x="1979"/>
        <item m="1" x="1916"/>
        <item m="1" x="1714"/>
        <item m="1" x="868"/>
        <item m="1" x="1432"/>
        <item m="1" x="1434"/>
        <item m="1" x="1320"/>
        <item m="1" x="1707"/>
        <item m="1" x="1984"/>
        <item m="1" x="259"/>
        <item m="1" x="1365"/>
        <item m="1" x="1202"/>
        <item m="1" x="1846"/>
        <item m="1" x="2064"/>
        <item m="1" x="1691"/>
        <item m="1" x="1041"/>
        <item m="1" x="274"/>
        <item m="1" x="630"/>
        <item m="1" x="624"/>
        <item m="1" x="981"/>
        <item m="1" x="973"/>
        <item x="232"/>
        <item m="1" x="2003"/>
        <item m="1" x="1722"/>
        <item m="1" x="1862"/>
        <item m="1" x="1803"/>
        <item m="1" x="649"/>
        <item m="1" x="1663"/>
        <item m="1" x="1665"/>
        <item m="1" x="857"/>
        <item m="1" x="1581"/>
        <item m="1" x="386"/>
        <item m="1" x="1086"/>
        <item m="1" x="332"/>
        <item m="1" x="1962"/>
        <item m="1" x="248"/>
        <item m="1" x="2058"/>
        <item m="1" x="1004"/>
        <item m="1" x="1866"/>
        <item m="1" x="1971"/>
        <item m="1" x="645"/>
        <item m="1" x="1131"/>
        <item m="1" x="1134"/>
        <item m="1" x="741"/>
        <item m="1" x="1738"/>
        <item m="1" x="1366"/>
        <item m="1" x="2048"/>
        <item m="1" x="2047"/>
        <item m="1" x="2085"/>
        <item m="1" x="1420"/>
        <item m="1" x="885"/>
        <item m="1" x="1098"/>
        <item m="1" x="1672"/>
        <item m="1" x="1559"/>
        <item m="1" x="1296"/>
        <item m="1" x="1660"/>
        <item m="1" x="1779"/>
        <item m="1" x="1239"/>
        <item m="1" x="2100"/>
        <item m="1" x="1872"/>
        <item m="1" x="1194"/>
        <item m="1" x="1882"/>
        <item m="1" x="946"/>
        <item m="1" x="1550"/>
        <item m="1" x="1283"/>
        <item m="1" x="1309"/>
        <item m="1" x="420"/>
        <item m="1" x="795"/>
        <item m="1" x="424"/>
        <item m="1" x="585"/>
        <item x="117"/>
        <item m="1" x="1301"/>
        <item m="1" x="1578"/>
        <item m="1" x="1592"/>
        <item m="1" x="1964"/>
        <item m="1" x="249"/>
        <item m="1" x="296"/>
        <item m="1" x="588"/>
        <item x="80"/>
        <item m="1" x="1794"/>
        <item m="1" x="1316"/>
        <item m="1" x="479"/>
        <item m="1" x="1213"/>
        <item m="1" x="1361"/>
        <item m="1" x="1478"/>
        <item m="1" x="1755"/>
        <item m="1" x="1963"/>
        <item m="1" x="381"/>
        <item m="1" x="994"/>
        <item m="1" x="1046"/>
        <item m="1" x="1048"/>
        <item m="1" x="1347"/>
        <item x="31"/>
        <item m="1" x="283"/>
        <item m="1" x="1576"/>
        <item m="1" x="1922"/>
        <item m="1" x="1999"/>
        <item m="1" x="1342"/>
        <item m="1" x="1501"/>
        <item m="1" x="2107"/>
        <item m="1" x="1293"/>
        <item m="1" x="783"/>
        <item m="1" x="647"/>
        <item m="1" x="1040"/>
        <item m="1" x="696"/>
        <item m="1" x="796"/>
        <item m="1" x="1073"/>
        <item m="1" x="2133"/>
        <item m="1" x="808"/>
        <item m="1" x="543"/>
        <item m="1" x="1268"/>
        <item m="1" x="813"/>
        <item m="1" x="780"/>
        <item m="1" x="824"/>
        <item m="1" x="827"/>
        <item m="1" x="1061"/>
        <item m="1" x="1586"/>
        <item m="1" x="671"/>
        <item m="1" x="657"/>
        <item m="1" x="2030"/>
        <item m="1" x="475"/>
        <item m="1" x="472"/>
        <item m="1" x="646"/>
        <item m="1" x="1272"/>
        <item m="1" x="830"/>
        <item m="1" x="1513"/>
        <item m="1" x="877"/>
        <item m="1" x="1460"/>
        <item m="1" x="447"/>
        <item m="1" x="482"/>
        <item m="1" x="403"/>
        <item m="1" x="619"/>
        <item m="1" x="711"/>
        <item m="1" x="1772"/>
        <item m="1" x="1716"/>
        <item m="1" x="1477"/>
        <item m="1" x="2060"/>
        <item m="1" x="1415"/>
        <item m="1" x="1062"/>
        <item m="1" x="1110"/>
        <item m="1" x="1340"/>
        <item m="1" x="1944"/>
        <item m="1" x="464"/>
        <item m="1" x="1408"/>
        <item m="1" x="700"/>
        <item x="0"/>
        <item x="1"/>
        <item x="3"/>
        <item x="4"/>
        <item x="7"/>
        <item x="8"/>
        <item x="9"/>
        <item x="10"/>
        <item x="11"/>
        <item x="12"/>
        <item x="13"/>
        <item x="17"/>
        <item x="18"/>
        <item x="19"/>
        <item x="20"/>
        <item x="21"/>
        <item x="22"/>
        <item x="23"/>
        <item x="24"/>
        <item x="25"/>
        <item x="26"/>
        <item x="27"/>
        <item x="28"/>
        <item x="29"/>
        <item x="30"/>
        <item x="32"/>
        <item x="33"/>
        <item x="34"/>
        <item x="35"/>
        <item x="37"/>
        <item x="38"/>
        <item x="40"/>
        <item x="41"/>
        <item x="42"/>
        <item x="43"/>
        <item x="44"/>
        <item x="45"/>
        <item x="46"/>
        <item x="47"/>
        <item x="48"/>
        <item x="49"/>
        <item x="51"/>
        <item x="52"/>
        <item x="53"/>
        <item x="54"/>
        <item x="56"/>
        <item x="57"/>
        <item x="58"/>
        <item x="59"/>
        <item x="60"/>
        <item x="62"/>
        <item x="63"/>
        <item x="64"/>
        <item x="65"/>
        <item x="66"/>
        <item x="67"/>
        <item x="68"/>
        <item x="69"/>
        <item x="70"/>
        <item x="71"/>
        <item x="73"/>
        <item x="74"/>
        <item x="77"/>
        <item x="83"/>
        <item x="84"/>
        <item x="85"/>
        <item x="90"/>
        <item x="91"/>
        <item x="92"/>
        <item x="94"/>
        <item x="97"/>
        <item x="99"/>
        <item x="100"/>
        <item x="101"/>
        <item x="102"/>
        <item x="106"/>
        <item x="107"/>
        <item x="122"/>
        <item x="124"/>
        <item x="125"/>
        <item x="126"/>
        <item x="127"/>
        <item x="128"/>
        <item x="129"/>
        <item x="130"/>
        <item x="131"/>
        <item x="132"/>
        <item x="136"/>
        <item x="137"/>
        <item x="142"/>
        <item x="145"/>
        <item x="146"/>
        <item x="151"/>
        <item x="152"/>
        <item x="153"/>
        <item x="155"/>
        <item x="156"/>
        <item x="157"/>
        <item x="159"/>
        <item x="160"/>
        <item x="161"/>
        <item x="163"/>
        <item x="164"/>
        <item x="165"/>
        <item x="174"/>
        <item x="175"/>
        <item x="176"/>
        <item x="178"/>
        <item x="179"/>
        <item x="180"/>
        <item x="181"/>
        <item x="183"/>
        <item x="185"/>
        <item x="188"/>
        <item x="189"/>
        <item x="190"/>
        <item x="193"/>
        <item x="194"/>
        <item x="195"/>
        <item x="197"/>
        <item x="198"/>
        <item x="200"/>
        <item x="202"/>
        <item x="203"/>
        <item x="204"/>
        <item x="207"/>
        <item x="211"/>
        <item x="214"/>
        <item x="216"/>
        <item x="219"/>
        <item x="220"/>
        <item x="221"/>
        <item x="225"/>
        <item x="229"/>
        <item x="230"/>
        <item x="231"/>
        <item x="237"/>
        <item x="241"/>
        <item x="243"/>
        <item t="default"/>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dataField="1" subtotalTop="0" showAll="0"/>
    <pivotField subtotalTop="0" showAll="0"/>
    <pivotField subtotalTop="0" showAll="0"/>
    <pivotField subtotalTop="0" showAll="0"/>
    <pivotField subtotalTop="0" showAll="0"/>
    <pivotField subtotalTop="0" showAll="0"/>
    <pivotField subtotalTop="0" showAll="0"/>
    <pivotField subtotalTop="0" showAll="0"/>
    <pivotField axis="axisRow" subtotalTop="0" showAll="0" nonAutoSortDefault="1">
      <items count="15">
        <item x="6"/>
        <item x="5"/>
        <item x="8"/>
        <item x="4"/>
        <item x="9"/>
        <item m="1" x="13"/>
        <item m="1" x="10"/>
        <item x="3"/>
        <item x="1"/>
        <item x="2"/>
        <item x="7"/>
        <item x="0"/>
        <item m="1" x="11"/>
        <item m="1" x="12"/>
        <item t="default"/>
      </items>
    </pivotField>
    <pivotField subtotalTop="0" showAll="0"/>
    <pivotField subtotalTop="0" showAll="0"/>
    <pivotField subtotalTop="0" showAll="0"/>
    <pivotField subtotalTop="0" showAll="0"/>
    <pivotField subtotalTop="0" showAll="0"/>
    <pivotField axis="axisCol" subtotalTop="0" showAll="0" nonAutoSortDefault="1">
      <items count="10">
        <item x="1"/>
        <item x="4"/>
        <item x="2"/>
        <item x="7"/>
        <item x="6"/>
        <item x="5"/>
        <item x="0"/>
        <item x="3"/>
        <item x="8"/>
        <item t="default"/>
      </items>
    </pivotField>
    <pivotField subtotalTop="0" showAll="0"/>
  </pivotFields>
  <rowFields count="2">
    <field x="47"/>
    <field x="4"/>
  </rowFields>
  <rowItems count="24">
    <i>
      <x v="1"/>
    </i>
    <i r="1">
      <x v="2060"/>
    </i>
    <i t="default">
      <x v="1"/>
    </i>
    <i>
      <x v="4"/>
    </i>
    <i r="1">
      <x v="2143"/>
    </i>
    <i t="default">
      <x v="4"/>
    </i>
    <i>
      <x v="7"/>
    </i>
    <i r="1">
      <x v="70"/>
    </i>
    <i t="default">
      <x v="7"/>
    </i>
    <i>
      <x v="8"/>
    </i>
    <i r="1">
      <x v="47"/>
    </i>
    <i r="1">
      <x v="55"/>
    </i>
    <i r="1">
      <x v="62"/>
    </i>
    <i r="1">
      <x v="179"/>
    </i>
    <i r="1">
      <x v="487"/>
    </i>
    <i r="1">
      <x v="1608"/>
    </i>
    <i r="1">
      <x v="1686"/>
    </i>
    <i r="1">
      <x v="2015"/>
    </i>
    <i r="1">
      <x v="2049"/>
    </i>
    <i t="default">
      <x v="8"/>
    </i>
    <i>
      <x v="9"/>
    </i>
    <i r="1">
      <x v="2068"/>
    </i>
    <i t="default">
      <x v="9"/>
    </i>
    <i t="grand">
      <x/>
    </i>
  </rowItems>
  <colFields count="2">
    <field x="0"/>
    <field x="53"/>
  </colFields>
  <colItems count="10">
    <i>
      <x v="1"/>
      <x/>
    </i>
    <i r="1">
      <x v="1"/>
    </i>
    <i r="1">
      <x v="2"/>
    </i>
    <i r="1">
      <x v="3"/>
    </i>
    <i r="1">
      <x v="4"/>
    </i>
    <i r="1">
      <x v="5"/>
    </i>
    <i r="1">
      <x v="6"/>
    </i>
    <i r="1">
      <x v="7"/>
    </i>
    <i t="default">
      <x v="1"/>
    </i>
    <i t="grand">
      <x/>
    </i>
  </colItems>
  <dataFields count="1">
    <dataField name="Sum of ARBalance" fld="39" baseField="4" baseItem="22" numFmtId="39"/>
  </dataFields>
  <pivotTableStyleInfo name="PivotStyleLight16" showRowHeaders="1" showColHeaders="1" showRowStripes="0" showColStripes="0" showLastColumn="1"/>
  <filters count="1">
    <filter fld="4" type="valueLessThan" evalOrder="-1" id="1" iMeasureFld="0">
      <autoFilter ref="A1">
        <filterColumn colId="0">
          <customFilters>
            <customFilter operator="less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7016D96-CDAB-49A6-AEB9-9999D071829E}" name="GetCurrentMonthTransactionData" displayName="GetCurrentMonthTransactionData" ref="A1:AP1173" totalsRowShown="0">
  <autoFilter ref="A1:AP1173" xr:uid="{97016D96-CDAB-49A6-AEB9-9999D071829E}"/>
  <tableColumns count="42">
    <tableColumn id="1" xr3:uid="{03F90A4C-A036-4708-82E6-8980431C6787}" name="FinYear"/>
    <tableColumn id="2" xr3:uid="{63288AF4-1F9C-4A5C-A2EC-60F9BD5D3E9B}" name="FinMonth"/>
    <tableColumn id="3" xr3:uid="{8DEA73E8-FD14-4BE2-B5C6-DDB7B1F2BD5A}" name="CompanyId"/>
    <tableColumn id="4" xr3:uid="{78E13213-8F4A-430A-B2CB-005273065A30}" name="Company"/>
    <tableColumn id="5" xr3:uid="{FC56BD9F-FB67-4A1D-AF7D-7EADB127000C}" name="CaseLocation"/>
    <tableColumn id="6" xr3:uid="{7C0FBEDC-8398-472E-8168-51BF5E864696}" name="CaseId"/>
    <tableColumn id="7" xr3:uid="{3FB21C1D-C05B-4634-A003-C866EB60C507}" name="AppointmentId"/>
    <tableColumn id="8" xr3:uid="{3906CFC2-24FC-4701-9EAF-5EC8EEDEB9DD}" name="ApptLocation"/>
    <tableColumn id="9" xr3:uid="{6A8C7B34-7D07-46B4-A1E6-A02CD905AC63}" name="CashDepositID"/>
    <tableColumn id="10" xr3:uid="{0CED7005-8252-4BC7-887F-8AA059301D6D}" name="TransactionId"/>
    <tableColumn id="11" xr3:uid="{E920EC90-2C35-40ED-BBDB-F48A1E1F77CD}" name="TransactionTypeLookupId"/>
    <tableColumn id="12" xr3:uid="{BF6EC338-AA1B-45EE-95E6-854ECC79E4EB}" name="TransactionStatusLookupId"/>
    <tableColumn id="13" xr3:uid="{95A5B1EF-7D63-44DD-8F79-0A83E72D5B3E}" name="PaymentProcessLookupId"/>
    <tableColumn id="14" xr3:uid="{F429FA8A-2D49-4D31-BA1D-4283BA71DA00}" name="ParentTransactionId"/>
    <tableColumn id="15" xr3:uid="{94C478BF-A3C0-427B-8664-71B180FBE71E}" name="ParentTransactionDate"/>
    <tableColumn id="16" xr3:uid="{5693A19A-3543-40A4-8616-FD2088ACB056}" name="TransactionAmount"/>
    <tableColumn id="17" xr3:uid="{2D15C703-65B9-457F-839E-EA6397B21BA2}" name="TransactionUnits"/>
    <tableColumn id="18" xr3:uid="{41A4380A-4CB9-4597-BF53-BF461A71F57F}" name="TransactionTotal"/>
    <tableColumn id="19" xr3:uid="{1CC2C587-BADA-45F0-BDFC-DB8028A32C10}" name="TransactionDate"/>
    <tableColumn id="20" xr3:uid="{858E88C7-6619-40D2-94AA-A94EB96B0445}" name="HistoryTypeLookupId"/>
    <tableColumn id="21" xr3:uid="{26E90ADF-5228-48F6-8A38-2295EA7E8F49}" name="HistoryType"/>
    <tableColumn id="22" xr3:uid="{2B533417-9B93-4E21-9DB4-15ECE8A30AC9}" name="FinancialTrxCategory"/>
    <tableColumn id="23" xr3:uid="{F1FBA455-9650-4FEB-94C2-275F9B0F806C}" name="TrxInsuranceGroup"/>
    <tableColumn id="24" xr3:uid="{93246B3C-3DD9-4D31-A525-23012AFE5C82}" name="InsuranceGroupPrimary"/>
    <tableColumn id="25" xr3:uid="{C6E1126B-8DA8-43A7-843D-E55D9A3322F3}" name="InsuranceGroupSecondary"/>
    <tableColumn id="26" xr3:uid="{465B37CE-9F14-46D4-8201-EB324C1C26D7}" name="InsuranceGroupTertiary"/>
    <tableColumn id="27" xr3:uid="{533B2B2B-A934-4E31-8502-D1C8B9A7A1D7}" name="ChargeBatchId"/>
    <tableColumn id="28" xr3:uid="{83A02E19-44B6-4FC8-9992-E2BBE5FDDF49}" name="Label"/>
    <tableColumn id="29" xr3:uid="{7F118290-8488-4EB4-A164-5D39517A4C03}" name="DateSubmitted"/>
    <tableColumn id="30" xr3:uid="{5A99ABE7-49E3-46B0-A929-0B307FF5A31A}" name="PaymentBatchId"/>
    <tableColumn id="31" xr3:uid="{92822E16-BF24-4C94-BFD6-A65C65F63892}" name="BatchName"/>
    <tableColumn id="32" xr3:uid="{63BE1644-737D-4E6C-9EE4-28465A744FC2}" name="BatchClosedDate"/>
    <tableColumn id="33" xr3:uid="{D4C8E06B-EB6E-4EF3-B121-9F5836430A82}" name="LinkedPmtBatchID"/>
    <tableColumn id="34" xr3:uid="{9201055C-76F1-4E88-BAA7-C0C55869E60C}" name="LinkedPmtBatchName"/>
    <tableColumn id="35" xr3:uid="{98EFFCFC-B8C1-4B2E-881A-49BC51113B9B}" name="CaseLocationID"/>
    <tableColumn id="36" xr3:uid="{EC2E6B75-2E8D-4C4D-BF30-48ED4B260874}" name="ApptLocationID"/>
    <tableColumn id="37" xr3:uid="{87726B04-6C2E-43BC-8BEF-B7CC98F480F9}" name="AdjustmentReasonCode"/>
    <tableColumn id="38" xr3:uid="{B384A474-8F61-4E80-BC1A-88BF5F0C631C}" name="PaymentMethod"/>
    <tableColumn id="39" xr3:uid="{A16103C0-887C-4C75-A8C7-C2507217B43B}" name="DepositLocation"/>
    <tableColumn id="40" xr3:uid="{7D3D5F3B-A8D7-4B8F-884D-979118C75D4E}" name="QueryStartDate"/>
    <tableColumn id="41" xr3:uid="{BB65F5A8-265F-4F9D-88FC-A5524B79BA30}" name="QueryEndDate"/>
    <tableColumn id="42" xr3:uid="{A7E062CB-2245-4089-8A25-9CD2F41D9A61}" name="Bad Debt Y/N" dataDxfId="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9091128-1D49-49EA-8A05-AAFCDFF3942A}" name="GetCurrentMonthAging2" displayName="GetCurrentMonthAging2" ref="A1:BC508" totalsRowShown="0">
  <autoFilter ref="A1:BC508" xr:uid="{F9091128-1D49-49EA-8A05-AAFCDFF3942A}"/>
  <tableColumns count="55">
    <tableColumn id="1" xr3:uid="{983E096A-3110-4AED-AC8D-6C91C89FFA1B}" name="AgeTrxType"/>
    <tableColumn id="2" xr3:uid="{EC374EF5-74B0-4120-8CE0-0871A3B23358}" name="CompanyID"/>
    <tableColumn id="3" xr3:uid="{9FD99D11-D5A6-4493-AF31-D7DE7A03D1CB}" name="CompanyName"/>
    <tableColumn id="4" xr3:uid="{CD621EFD-9315-4F8F-8318-8538CD503595}" name="AgingDate" dataDxfId="11"/>
    <tableColumn id="5" xr3:uid="{F09C2FAA-E4BD-49C3-B47A-5DCDA928C9E4}" name="caseid"/>
    <tableColumn id="6" xr3:uid="{CFAD147C-89AB-49DC-AA29-5E52C5ACDD38}" name="appointmentid"/>
    <tableColumn id="7" xr3:uid="{40BF35A6-A894-4A45-877D-30E9FBDC5DF5}" name="TransactionID"/>
    <tableColumn id="8" xr3:uid="{02DC3F51-41B5-4E61-9099-131AE6FDFB01}" name="IsTransactionDeleted"/>
    <tableColumn id="9" xr3:uid="{AF4EA2F4-84B8-4118-A351-64473DA20210}" name="AgedDays"/>
    <tableColumn id="10" xr3:uid="{9BAF1D20-00B4-4F36-B471-44DB086B4020}" name="CPT"/>
    <tableColumn id="11" xr3:uid="{FF6B33DA-A7D0-4536-8C59-6B91E450C0B4}" name="RetailCharge"/>
    <tableColumn id="12" xr3:uid="{629002FD-C593-49C3-B562-6764A3CD10F5}" name="TransactionAmount"/>
    <tableColumn id="13" xr3:uid="{B4BDC606-6C3D-46BF-BD45-79B1BF39DDB2}" name="TransactionUnits"/>
    <tableColumn id="14" xr3:uid="{9C844FEC-1329-45EC-83DD-949A815C602D}" name="InitialPatCharges"/>
    <tableColumn id="15" xr3:uid="{F5591979-3E20-49BD-AB03-8AC4C9AC555D}" name="ChildPatCharges"/>
    <tableColumn id="16" xr3:uid="{7DB970ED-6408-427F-B1B9-B8FD1A2CC62C}" name="PatVoucherPayments"/>
    <tableColumn id="17" xr3:uid="{560677C5-0E86-486E-A550-ACFA4C9D9119}" name="PatTransfers"/>
    <tableColumn id="18" xr3:uid="{9655C7D9-6D49-4854-B12A-A5F93DD411A9}" name="PatAdjustments"/>
    <tableColumn id="19" xr3:uid="{321651A7-B73A-4B88-84B4-CE1E0F135FD7}" name="PatAgeDate"/>
    <tableColumn id="20" xr3:uid="{098B281D-56D7-498C-AD0A-10DC421999E8}" name="InitialPriCharges"/>
    <tableColumn id="21" xr3:uid="{8C550507-06A9-4A0D-9CC0-004926FA56AC}" name="ChildPriCharges"/>
    <tableColumn id="22" xr3:uid="{1B447018-C436-4400-A874-F9DAEEEA4299}" name="PriPaymentCount"/>
    <tableColumn id="23" xr3:uid="{A0ECCBAF-5573-4687-B523-A15D00B40FD6}" name="PriPayments"/>
    <tableColumn id="24" xr3:uid="{CDE4082D-A456-435C-8497-6C36CD948FF4}" name="PriAdjustments"/>
    <tableColumn id="25" xr3:uid="{85986D44-A7D9-440F-9E54-01087324B80B}" name="InitialSecCharges"/>
    <tableColumn id="26" xr3:uid="{E333C197-A3EE-49F3-8D3F-57EA8F416934}" name="ChildSecCharges"/>
    <tableColumn id="27" xr3:uid="{4FC9DF4B-C422-472D-9BBA-9C0E9DCF2228}" name="SecPaymentCount"/>
    <tableColumn id="28" xr3:uid="{64DDE73F-5EFD-4346-A1CC-C47EEC6EF7A3}" name="SecPayments"/>
    <tableColumn id="29" xr3:uid="{36F8EA51-9414-4C29-9414-697268261CB9}" name="SecAdjustments"/>
    <tableColumn id="30" xr3:uid="{3FA0D925-D739-4F3F-B203-2BF13AA9A90A}" name="InitialTerCharges"/>
    <tableColumn id="31" xr3:uid="{6E483CAF-B6C8-4EB4-AB6A-D69914D16491}" name="ChildTerCharges"/>
    <tableColumn id="32" xr3:uid="{FC144844-A389-49C0-B19B-D110D3A8115A}" name="TerPaymentCount"/>
    <tableColumn id="33" xr3:uid="{47FD44E5-583E-43A8-9199-A421CC09AB40}" name="TerPayments"/>
    <tableColumn id="34" xr3:uid="{9E25BF60-6120-4455-8AED-0BEB7C32560E}" name="TerAdjustments"/>
    <tableColumn id="35" xr3:uid="{381C2746-AB0F-4D20-927F-9FD2FE773E93}" name="InitialUnknownCharges"/>
    <tableColumn id="36" xr3:uid="{F416C86D-73DF-41C2-B912-1A358BCA7C93}" name="ChildUnknownCharges"/>
    <tableColumn id="37" xr3:uid="{4E1F4DEB-2A93-45A3-9EF0-3B3A4F7A9D0A}" name="UnknownPayments"/>
    <tableColumn id="38" xr3:uid="{F79D348D-1E50-4021-8E5F-2BA282246D76}" name="UnknownPaymentCount"/>
    <tableColumn id="39" xr3:uid="{5DD9603A-0859-4F00-9929-4A48303DA9BE}" name="UnknownAdjustments"/>
    <tableColumn id="40" xr3:uid="{9608AB99-9FA2-4964-AE2E-ACDDDB849D2A}" name="ARBalance"/>
    <tableColumn id="41" xr3:uid="{6D055871-2F06-449D-AF9B-069156338D89}" name="CurrentPaymentProcessLookupID"/>
    <tableColumn id="42" xr3:uid="{8C9E525F-16D2-443C-BC1B-5836B7BDBF8C}" name="InsGroupPrimary"/>
    <tableColumn id="43" xr3:uid="{A113488B-45D7-4843-B901-A45FA557DA47}" name="InsGroupSecondary"/>
    <tableColumn id="44" xr3:uid="{4657FB86-B59F-4FD7-9FF0-CB06E3F28AE7}" name="InsGroupTertiary"/>
    <tableColumn id="45" xr3:uid="{7DD9077A-233C-4E22-95C0-C655C3CCFA76}" name="InsPlanPrimary"/>
    <tableColumn id="46" xr3:uid="{8F2CB975-2CAE-43DD-8FCB-743B149C4783}" name="InsPlanSecondary"/>
    <tableColumn id="47" xr3:uid="{E259DC0E-1FF5-49CE-8845-51E0E5582BD7}" name="InsPlanTertiary"/>
    <tableColumn id="48" xr3:uid="{090EAF01-51E3-495C-89F9-9D0C0DB32632}" name="ARBalanceInsGroup"/>
    <tableColumn id="49" xr3:uid="{11D0674F-209F-44C0-B087-91A5406C1EF7}" name="ARBalanceInsPlan"/>
    <tableColumn id="50" xr3:uid="{3C223F6F-23DD-48CA-A62B-00422F0AB606}" name="InsProcedureVoids"/>
    <tableColumn id="51" xr3:uid="{8182FA55-D3EF-4EA9-9D9C-65E4AB35782B}" name="PatProcedureVoids"/>
    <tableColumn id="52" xr3:uid="{4B79D7BD-19D9-476D-BD31-F6FBEF21FE26}" name="TransactionLocation"/>
    <tableColumn id="53" xr3:uid="{4AD744E6-22AE-4375-B7A6-16F739A2A719}" name="AppointmentLocation"/>
    <tableColumn id="54" xr3:uid="{E63A6E94-E1C9-4706-B64E-3A1DF3E021AC}" name="AgeBucket"/>
    <tableColumn id="55" xr3:uid="{3652D466-029D-4E72-9A9F-B916160F5D42}" name="AgeBucketOrder"/>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3.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4.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7.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38.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39.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40.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1.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42.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43.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44.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45.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46.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47.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48.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49.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50.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51.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52.bin"/></Relationships>
</file>

<file path=xl/worksheets/_rels/sheet5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pageSetUpPr fitToPage="1"/>
  </sheetPr>
  <dimension ref="A1:S202"/>
  <sheetViews>
    <sheetView tabSelected="1" zoomScale="85" zoomScaleNormal="85" workbookViewId="0">
      <selection sqref="A1:J1"/>
    </sheetView>
  </sheetViews>
  <sheetFormatPr defaultRowHeight="15" x14ac:dyDescent="0.25"/>
  <cols>
    <col min="1" max="1" width="38.85546875" bestFit="1" customWidth="1"/>
    <col min="2" max="9" width="12.7109375" customWidth="1"/>
    <col min="10" max="10" width="15.7109375" customWidth="1"/>
    <col min="11" max="11" width="2.7109375" customWidth="1"/>
    <col min="12" max="12" width="11.42578125" bestFit="1" customWidth="1"/>
    <col min="13" max="13" width="9.42578125" customWidth="1"/>
    <col min="14" max="14" width="13.85546875" customWidth="1"/>
    <col min="15" max="15" width="16.7109375" customWidth="1"/>
    <col min="16" max="16" width="30" bestFit="1" customWidth="1"/>
  </cols>
  <sheetData>
    <row r="1" spans="1:19" ht="18.75" x14ac:dyDescent="0.3">
      <c r="A1" s="173" t="s">
        <v>17</v>
      </c>
      <c r="B1" s="173"/>
      <c r="C1" s="173"/>
      <c r="D1" s="173"/>
      <c r="E1" s="173"/>
      <c r="F1" s="173"/>
      <c r="G1" s="173"/>
      <c r="H1" s="173"/>
      <c r="I1" s="173"/>
      <c r="J1" s="173"/>
    </row>
    <row r="2" spans="1:19" ht="15.75" x14ac:dyDescent="0.25">
      <c r="A2" s="174" t="s">
        <v>282</v>
      </c>
      <c r="B2" s="174"/>
      <c r="C2" s="174"/>
      <c r="D2" s="174"/>
      <c r="E2" s="174"/>
      <c r="F2" s="174"/>
      <c r="G2" s="174"/>
      <c r="H2" s="174"/>
      <c r="I2" s="174"/>
      <c r="J2" s="174"/>
    </row>
    <row r="3" spans="1:19" x14ac:dyDescent="0.25">
      <c r="A3" s="175" t="s">
        <v>268</v>
      </c>
      <c r="B3" s="175"/>
      <c r="C3" s="175"/>
      <c r="D3" s="175"/>
      <c r="E3" s="175"/>
      <c r="F3" s="175"/>
      <c r="G3" s="175"/>
      <c r="H3" s="175"/>
      <c r="I3" s="175"/>
      <c r="J3" s="175"/>
    </row>
    <row r="4" spans="1:19" ht="15.75" thickBot="1" x14ac:dyDescent="0.3">
      <c r="A4" s="176">
        <v>45199</v>
      </c>
      <c r="B4" s="176"/>
      <c r="C4" s="176"/>
      <c r="D4" s="176"/>
      <c r="E4" s="176"/>
      <c r="F4" s="176"/>
      <c r="G4" s="176"/>
      <c r="H4" s="176"/>
      <c r="I4" s="176"/>
      <c r="J4" s="176"/>
    </row>
    <row r="5" spans="1:19" ht="15.75" thickBot="1" x14ac:dyDescent="0.3">
      <c r="P5" s="125"/>
      <c r="Q5" s="126"/>
      <c r="R5" s="126"/>
      <c r="S5" s="127"/>
    </row>
    <row r="6" spans="1:19" ht="15.75" thickBot="1" x14ac:dyDescent="0.3">
      <c r="A6" s="170" t="s">
        <v>54</v>
      </c>
      <c r="B6" s="171"/>
      <c r="C6" s="171"/>
      <c r="D6" s="171"/>
      <c r="E6" s="171"/>
      <c r="F6" s="171"/>
      <c r="G6" s="171"/>
      <c r="H6" s="171"/>
      <c r="I6" s="171"/>
      <c r="J6" s="172"/>
      <c r="P6" s="128">
        <f>'Biocorrect-Agile'!J25</f>
        <v>22060.260000000002</v>
      </c>
      <c r="Q6" s="129" t="s">
        <v>1023</v>
      </c>
      <c r="R6" s="129"/>
      <c r="S6" s="130"/>
    </row>
    <row r="7" spans="1:19" x14ac:dyDescent="0.25">
      <c r="A7" s="4" t="s">
        <v>16</v>
      </c>
      <c r="B7" s="5" t="s">
        <v>15</v>
      </c>
      <c r="C7" s="5" t="s">
        <v>14</v>
      </c>
      <c r="D7" s="5" t="s">
        <v>13</v>
      </c>
      <c r="E7" s="5" t="s">
        <v>12</v>
      </c>
      <c r="F7" s="5" t="s">
        <v>93</v>
      </c>
      <c r="G7" s="5" t="s">
        <v>94</v>
      </c>
      <c r="H7" s="5" t="s">
        <v>38</v>
      </c>
      <c r="I7" s="5" t="s">
        <v>9</v>
      </c>
      <c r="J7" s="5" t="s">
        <v>0</v>
      </c>
      <c r="N7" s="109"/>
      <c r="P7" s="141">
        <f>'Biocorrect-GP'!J25</f>
        <v>2833.76</v>
      </c>
      <c r="Q7" s="129" t="s">
        <v>1022</v>
      </c>
      <c r="R7" s="129"/>
      <c r="S7" s="130"/>
    </row>
    <row r="8" spans="1:19" x14ac:dyDescent="0.25">
      <c r="A8" s="1" t="s">
        <v>49</v>
      </c>
      <c r="B8" s="33">
        <f>'Biocorrect-Agile'!B8+'Biocorrect-GP'!B8+'Clinic 3'!B8+'Clinic 4'!B8+'Clinic 5'!B8+'Clinic 6'!B8+'Clinic 7'!B8+'Clinic 8'!B8+'Clinic 9'!B8+'Clinic 10'!B8+'Clinic 11'!B8+'Clinic 12'!B8+'Clinic 13'!B8+'Clinic 14'!B8+'Clinic 15'!B8</f>
        <v>0</v>
      </c>
      <c r="C8" s="33">
        <f>'Biocorrect-Agile'!C8+'Biocorrect-GP'!C8+'Clinic 3'!C8+'Clinic 4'!C8+'Clinic 5'!C8+'Clinic 6'!C8+'Clinic 7'!C8+'Clinic 8'!C8+'Clinic 9'!C8+'Clinic 10'!C8+'Clinic 11'!C8+'Clinic 12'!C8+'Clinic 13'!C8+'Clinic 14'!C8+'Clinic 15'!C8</f>
        <v>0</v>
      </c>
      <c r="D8" s="33">
        <f>'Biocorrect-Agile'!D8+'Biocorrect-GP'!D8+'Clinic 3'!D8+'Clinic 4'!D8+'Clinic 5'!D8+'Clinic 6'!D8+'Clinic 7'!D8+'Clinic 8'!D8+'Clinic 9'!D8+'Clinic 10'!D8+'Clinic 11'!D8+'Clinic 12'!D8+'Clinic 13'!D8+'Clinic 14'!D8+'Clinic 15'!D8</f>
        <v>0</v>
      </c>
      <c r="E8" s="33">
        <f>'Biocorrect-Agile'!E8+'Biocorrect-GP'!E8+'Clinic 3'!E8+'Clinic 4'!E8+'Clinic 5'!E8+'Clinic 6'!E8+'Clinic 7'!E8+'Clinic 8'!E8+'Clinic 9'!E8+'Clinic 10'!E8+'Clinic 11'!E8+'Clinic 12'!E8+'Clinic 13'!E8+'Clinic 14'!E8+'Clinic 15'!E8</f>
        <v>0</v>
      </c>
      <c r="F8" s="33">
        <f>'Biocorrect-Agile'!F8+'Biocorrect-GP'!F8+'Clinic 3'!F8+'Clinic 4'!F8+'Clinic 5'!F8+'Clinic 6'!F8+'Clinic 7'!F8+'Clinic 8'!F8+'Clinic 9'!F8+'Clinic 10'!F8+'Clinic 11'!F8+'Clinic 12'!F8+'Clinic 13'!F8+'Clinic 14'!F8+'Clinic 15'!F8</f>
        <v>0</v>
      </c>
      <c r="G8" s="33">
        <f>'Biocorrect-Agile'!G8+'Biocorrect-GP'!G8+'Clinic 3'!G8+'Clinic 4'!G8+'Clinic 5'!G8+'Clinic 6'!G8+'Clinic 7'!G8+'Clinic 8'!G8+'Clinic 9'!G8+'Clinic 10'!G8+'Clinic 11'!G8+'Clinic 12'!G8+'Clinic 13'!G8+'Clinic 14'!G8+'Clinic 15'!G8</f>
        <v>0</v>
      </c>
      <c r="H8" s="33">
        <f>'Biocorrect-Agile'!H8+'Biocorrect-GP'!H8+'Clinic 3'!H8+'Clinic 4'!H8+'Clinic 5'!H8+'Clinic 6'!H8+'Clinic 7'!H8+'Clinic 8'!H8+'Clinic 9'!H8+'Clinic 10'!H8+'Clinic 11'!H8+'Clinic 12'!H8+'Clinic 13'!H8+'Clinic 14'!H8+'Clinic 15'!H8</f>
        <v>0</v>
      </c>
      <c r="I8" s="33">
        <f>'Biocorrect-Agile'!I8+'Biocorrect-GP'!I8+'Clinic 3'!I8+'Clinic 4'!I8+'Clinic 5'!I8+'Clinic 6'!I8+'Clinic 7'!I8+'Clinic 8'!I8+'Clinic 9'!I8+'Clinic 10'!I8+'Clinic 11'!I8+'Clinic 12'!I8+'Clinic 13'!I8+'Clinic 14'!I8+'Clinic 15'!I8</f>
        <v>0</v>
      </c>
      <c r="J8" s="2">
        <f>SUM(B8:I8)</f>
        <v>0</v>
      </c>
      <c r="P8" s="131">
        <f>+P6+P7</f>
        <v>24894.020000000004</v>
      </c>
      <c r="Q8" s="129"/>
      <c r="R8" s="129"/>
      <c r="S8" s="130"/>
    </row>
    <row r="9" spans="1:19" x14ac:dyDescent="0.25">
      <c r="A9" s="1" t="s">
        <v>8</v>
      </c>
      <c r="B9" s="33">
        <f>'Biocorrect-Agile'!B9+'Biocorrect-GP'!B9+'Clinic 3'!B9+'Clinic 4'!B9+'Clinic 5'!B9+'Clinic 6'!B9+'Clinic 7'!B9+'Clinic 8'!B9+'Clinic 9'!B9+'Clinic 10'!B9+'Clinic 11'!B9+'Clinic 12'!B9+'Clinic 13'!B9+'Clinic 14'!B9+'Clinic 15'!B9</f>
        <v>432</v>
      </c>
      <c r="C9" s="33">
        <f>'Biocorrect-Agile'!C9+'Biocorrect-GP'!C9+'Clinic 3'!C9+'Clinic 4'!C9+'Clinic 5'!C9+'Clinic 6'!C9+'Clinic 7'!C9+'Clinic 8'!C9+'Clinic 9'!C9+'Clinic 10'!C9+'Clinic 11'!C9+'Clinic 12'!C9+'Clinic 13'!C9+'Clinic 14'!C9+'Clinic 15'!C9</f>
        <v>864</v>
      </c>
      <c r="D9" s="33">
        <f>'Biocorrect-Agile'!D9+'Biocorrect-GP'!D9+'Clinic 3'!D9+'Clinic 4'!D9+'Clinic 5'!D9+'Clinic 6'!D9+'Clinic 7'!D9+'Clinic 8'!D9+'Clinic 9'!D9+'Clinic 10'!D9+'Clinic 11'!D9+'Clinic 12'!D9+'Clinic 13'!D9+'Clinic 14'!D9+'Clinic 15'!D9</f>
        <v>0</v>
      </c>
      <c r="E9" s="33">
        <f>'Biocorrect-Agile'!E9+'Biocorrect-GP'!E9+'Clinic 3'!E9+'Clinic 4'!E9+'Clinic 5'!E9+'Clinic 6'!E9+'Clinic 7'!E9+'Clinic 8'!E9+'Clinic 9'!E9+'Clinic 10'!E9+'Clinic 11'!E9+'Clinic 12'!E9+'Clinic 13'!E9+'Clinic 14'!E9+'Clinic 15'!E9</f>
        <v>0</v>
      </c>
      <c r="F9" s="33">
        <f>'Biocorrect-Agile'!F9+'Biocorrect-GP'!F9+'Clinic 3'!F9+'Clinic 4'!F9+'Clinic 5'!F9+'Clinic 6'!F9+'Clinic 7'!F9+'Clinic 8'!F9+'Clinic 9'!F9+'Clinic 10'!F9+'Clinic 11'!F9+'Clinic 12'!F9+'Clinic 13'!F9+'Clinic 14'!F9+'Clinic 15'!F9</f>
        <v>0</v>
      </c>
      <c r="G9" s="33">
        <f>'Biocorrect-Agile'!G9+'Biocorrect-GP'!G9+'Clinic 3'!G9+'Clinic 4'!G9+'Clinic 5'!G9+'Clinic 6'!G9+'Clinic 7'!G9+'Clinic 8'!G9+'Clinic 9'!G9+'Clinic 10'!G9+'Clinic 11'!G9+'Clinic 12'!G9+'Clinic 13'!G9+'Clinic 14'!G9+'Clinic 15'!G9</f>
        <v>0</v>
      </c>
      <c r="H9" s="33">
        <f>'Biocorrect-Agile'!H9+'Biocorrect-GP'!H9+'Clinic 3'!H9+'Clinic 4'!H9+'Clinic 5'!H9+'Clinic 6'!H9+'Clinic 7'!H9+'Clinic 8'!H9+'Clinic 9'!H9+'Clinic 10'!H9+'Clinic 11'!H9+'Clinic 12'!H9+'Clinic 13'!H9+'Clinic 14'!H9+'Clinic 15'!H9</f>
        <v>0</v>
      </c>
      <c r="I9" s="33">
        <f>'Biocorrect-Agile'!I9+'Biocorrect-GP'!I9+'Clinic 3'!I9+'Clinic 4'!I9+'Clinic 5'!I9+'Clinic 6'!I9+'Clinic 7'!I9+'Clinic 8'!I9+'Clinic 9'!I9+'Clinic 10'!I9+'Clinic 11'!I9+'Clinic 12'!I9+'Clinic 13'!I9+'Clinic 14'!I9+'Clinic 15'!I9</f>
        <v>0</v>
      </c>
      <c r="J9" s="2">
        <f t="shared" ref="J9:J24" si="0">SUM(B9:I9)</f>
        <v>1296</v>
      </c>
      <c r="P9" s="132">
        <f>+P10-P8</f>
        <v>19710.219999999994</v>
      </c>
      <c r="Q9" s="129" t="s">
        <v>1024</v>
      </c>
      <c r="R9" s="129"/>
      <c r="S9" s="130"/>
    </row>
    <row r="10" spans="1:19" ht="15.75" thickBot="1" x14ac:dyDescent="0.3">
      <c r="A10" s="1" t="s">
        <v>7</v>
      </c>
      <c r="B10" s="33">
        <f>'Biocorrect-Agile'!B10+'Biocorrect-GP'!B10+'Clinic 3'!B10+'Clinic 4'!B10+'Clinic 5'!B10+'Clinic 6'!B10+'Clinic 7'!B10+'Clinic 8'!B10+'Clinic 9'!B10+'Clinic 10'!B10+'Clinic 11'!B10+'Clinic 12'!B10+'Clinic 13'!B10+'Clinic 14'!B10+'Clinic 15'!B10</f>
        <v>6780</v>
      </c>
      <c r="C10" s="33">
        <f>'Biocorrect-Agile'!C10+'Biocorrect-GP'!C10+'Clinic 3'!C10+'Clinic 4'!C10+'Clinic 5'!C10+'Clinic 6'!C10+'Clinic 7'!C10+'Clinic 8'!C10+'Clinic 9'!C10+'Clinic 10'!C10+'Clinic 11'!C10+'Clinic 12'!C10+'Clinic 13'!C10+'Clinic 14'!C10+'Clinic 15'!C10</f>
        <v>1080</v>
      </c>
      <c r="D10" s="33">
        <f>'Biocorrect-Agile'!D10+'Biocorrect-GP'!D10+'Clinic 3'!D10+'Clinic 4'!D10+'Clinic 5'!D10+'Clinic 6'!D10+'Clinic 7'!D10+'Clinic 8'!D10+'Clinic 9'!D10+'Clinic 10'!D10+'Clinic 11'!D10+'Clinic 12'!D10+'Clinic 13'!D10+'Clinic 14'!D10+'Clinic 15'!D10</f>
        <v>0</v>
      </c>
      <c r="E10" s="33">
        <f>'Biocorrect-Agile'!E10+'Biocorrect-GP'!E10+'Clinic 3'!E10+'Clinic 4'!E10+'Clinic 5'!E10+'Clinic 6'!E10+'Clinic 7'!E10+'Clinic 8'!E10+'Clinic 9'!E10+'Clinic 10'!E10+'Clinic 11'!E10+'Clinic 12'!E10+'Clinic 13'!E10+'Clinic 14'!E10+'Clinic 15'!E10</f>
        <v>0</v>
      </c>
      <c r="F10" s="33">
        <f>'Biocorrect-Agile'!F10+'Biocorrect-GP'!F10+'Clinic 3'!F10+'Clinic 4'!F10+'Clinic 5'!F10+'Clinic 6'!F10+'Clinic 7'!F10+'Clinic 8'!F10+'Clinic 9'!F10+'Clinic 10'!F10+'Clinic 11'!F10+'Clinic 12'!F10+'Clinic 13'!F10+'Clinic 14'!F10+'Clinic 15'!F10</f>
        <v>0</v>
      </c>
      <c r="G10" s="33">
        <f>'Biocorrect-Agile'!G10+'Biocorrect-GP'!G10+'Clinic 3'!G10+'Clinic 4'!G10+'Clinic 5'!G10+'Clinic 6'!G10+'Clinic 7'!G10+'Clinic 8'!G10+'Clinic 9'!G10+'Clinic 10'!G10+'Clinic 11'!G10+'Clinic 12'!G10+'Clinic 13'!G10+'Clinic 14'!G10+'Clinic 15'!G10</f>
        <v>0</v>
      </c>
      <c r="H10" s="33">
        <f>'Biocorrect-Agile'!H10+'Biocorrect-GP'!H10+'Clinic 3'!H10+'Clinic 4'!H10+'Clinic 5'!H10+'Clinic 6'!H10+'Clinic 7'!H10+'Clinic 8'!H10+'Clinic 9'!H10+'Clinic 10'!H10+'Clinic 11'!H10+'Clinic 12'!H10+'Clinic 13'!H10+'Clinic 14'!H10+'Clinic 15'!H10</f>
        <v>-28.44</v>
      </c>
      <c r="I10" s="33">
        <f>'Biocorrect-Agile'!I10+'Biocorrect-GP'!I10+'Clinic 3'!I10+'Clinic 4'!I10+'Clinic 5'!I10+'Clinic 6'!I10+'Clinic 7'!I10+'Clinic 8'!I10+'Clinic 9'!I10+'Clinic 10'!I10+'Clinic 11'!I10+'Clinic 12'!I10+'Clinic 13'!I10+'Clinic 14'!I10+'Clinic 15'!I10</f>
        <v>0</v>
      </c>
      <c r="J10" s="2">
        <f t="shared" si="0"/>
        <v>7831.56</v>
      </c>
      <c r="P10" s="133">
        <v>44604.24</v>
      </c>
      <c r="Q10" s="129" t="s">
        <v>1025</v>
      </c>
      <c r="R10" s="129"/>
      <c r="S10" s="130"/>
    </row>
    <row r="11" spans="1:19" ht="16.5" thickTop="1" thickBot="1" x14ac:dyDescent="0.3">
      <c r="A11" s="1" t="s">
        <v>42</v>
      </c>
      <c r="B11" s="33">
        <f>'Biocorrect-Agile'!B11+'Biocorrect-GP'!B11+'Clinic 3'!B11+'Clinic 4'!B11+'Clinic 5'!B11+'Clinic 6'!B11+'Clinic 7'!B11+'Clinic 8'!B11+'Clinic 9'!B11+'Clinic 10'!B11+'Clinic 11'!B11+'Clinic 12'!B11+'Clinic 13'!B11+'Clinic 14'!B11+'Clinic 15'!B11</f>
        <v>0</v>
      </c>
      <c r="C11" s="33">
        <f>'Biocorrect-Agile'!C11+'Biocorrect-GP'!C11+'Clinic 3'!C11+'Clinic 4'!C11+'Clinic 5'!C11+'Clinic 6'!C11+'Clinic 7'!C11+'Clinic 8'!C11+'Clinic 9'!C11+'Clinic 10'!C11+'Clinic 11'!C11+'Clinic 12'!C11+'Clinic 13'!C11+'Clinic 14'!C11+'Clinic 15'!C11</f>
        <v>0</v>
      </c>
      <c r="D11" s="33">
        <f>'Biocorrect-Agile'!D11+'Biocorrect-GP'!D11+'Clinic 3'!D11+'Clinic 4'!D11+'Clinic 5'!D11+'Clinic 6'!D11+'Clinic 7'!D11+'Clinic 8'!D11+'Clinic 9'!D11+'Clinic 10'!D11+'Clinic 11'!D11+'Clinic 12'!D11+'Clinic 13'!D11+'Clinic 14'!D11+'Clinic 15'!D11</f>
        <v>0</v>
      </c>
      <c r="E11" s="33">
        <f>'Biocorrect-Agile'!E11+'Biocorrect-GP'!E11+'Clinic 3'!E11+'Clinic 4'!E11+'Clinic 5'!E11+'Clinic 6'!E11+'Clinic 7'!E11+'Clinic 8'!E11+'Clinic 9'!E11+'Clinic 10'!E11+'Clinic 11'!E11+'Clinic 12'!E11+'Clinic 13'!E11+'Clinic 14'!E11+'Clinic 15'!E11</f>
        <v>0</v>
      </c>
      <c r="F11" s="33">
        <f>'Biocorrect-Agile'!F11+'Biocorrect-GP'!F11+'Clinic 3'!F11+'Clinic 4'!F11+'Clinic 5'!F11+'Clinic 6'!F11+'Clinic 7'!F11+'Clinic 8'!F11+'Clinic 9'!F11+'Clinic 10'!F11+'Clinic 11'!F11+'Clinic 12'!F11+'Clinic 13'!F11+'Clinic 14'!F11+'Clinic 15'!F11</f>
        <v>0</v>
      </c>
      <c r="G11" s="33">
        <f>'Biocorrect-Agile'!G11+'Biocorrect-GP'!G11+'Clinic 3'!G11+'Clinic 4'!G11+'Clinic 5'!G11+'Clinic 6'!G11+'Clinic 7'!G11+'Clinic 8'!G11+'Clinic 9'!G11+'Clinic 10'!G11+'Clinic 11'!G11+'Clinic 12'!G11+'Clinic 13'!G11+'Clinic 14'!G11+'Clinic 15'!G11</f>
        <v>0</v>
      </c>
      <c r="H11" s="33">
        <f>'Biocorrect-Agile'!H11+'Biocorrect-GP'!H11+'Clinic 3'!H11+'Clinic 4'!H11+'Clinic 5'!H11+'Clinic 6'!H11+'Clinic 7'!H11+'Clinic 8'!H11+'Clinic 9'!H11+'Clinic 10'!H11+'Clinic 11'!H11+'Clinic 12'!H11+'Clinic 13'!H11+'Clinic 14'!H11+'Clinic 15'!H11</f>
        <v>0</v>
      </c>
      <c r="I11" s="33">
        <f>'Biocorrect-Agile'!I11+'Biocorrect-GP'!I11+'Clinic 3'!I11+'Clinic 4'!I11+'Clinic 5'!I11+'Clinic 6'!I11+'Clinic 7'!I11+'Clinic 8'!I11+'Clinic 9'!I11+'Clinic 10'!I11+'Clinic 11'!I11+'Clinic 12'!I11+'Clinic 13'!I11+'Clinic 14'!I11+'Clinic 15'!I11</f>
        <v>0</v>
      </c>
      <c r="J11" s="2">
        <f t="shared" si="0"/>
        <v>0</v>
      </c>
      <c r="P11" s="134"/>
      <c r="Q11" s="135"/>
      <c r="R11" s="135"/>
      <c r="S11" s="136"/>
    </row>
    <row r="12" spans="1:19" x14ac:dyDescent="0.25">
      <c r="A12" s="1" t="s">
        <v>6</v>
      </c>
      <c r="B12" s="33">
        <f>'Biocorrect-Agile'!B12+'Biocorrect-GP'!B12+'Clinic 3'!B12+'Clinic 4'!B12+'Clinic 5'!B12+'Clinic 6'!B12+'Clinic 7'!B12+'Clinic 8'!B12+'Clinic 9'!B12+'Clinic 10'!B12+'Clinic 11'!B12+'Clinic 12'!B12+'Clinic 13'!B12+'Clinic 14'!B12+'Clinic 15'!B12</f>
        <v>432</v>
      </c>
      <c r="C12" s="33">
        <f>'Biocorrect-Agile'!C12+'Biocorrect-GP'!C12+'Clinic 3'!C12+'Clinic 4'!C12+'Clinic 5'!C12+'Clinic 6'!C12+'Clinic 7'!C12+'Clinic 8'!C12+'Clinic 9'!C12+'Clinic 10'!C12+'Clinic 11'!C12+'Clinic 12'!C12+'Clinic 13'!C12+'Clinic 14'!C12+'Clinic 15'!C12</f>
        <v>0</v>
      </c>
      <c r="D12" s="33">
        <f>'Biocorrect-Agile'!D12+'Biocorrect-GP'!D12+'Clinic 3'!D12+'Clinic 4'!D12+'Clinic 5'!D12+'Clinic 6'!D12+'Clinic 7'!D12+'Clinic 8'!D12+'Clinic 9'!D12+'Clinic 10'!D12+'Clinic 11'!D12+'Clinic 12'!D12+'Clinic 13'!D12+'Clinic 14'!D12+'Clinic 15'!D12</f>
        <v>0</v>
      </c>
      <c r="E12" s="33">
        <f>'Biocorrect-Agile'!E12+'Biocorrect-GP'!E12+'Clinic 3'!E12+'Clinic 4'!E12+'Clinic 5'!E12+'Clinic 6'!E12+'Clinic 7'!E12+'Clinic 8'!E12+'Clinic 9'!E12+'Clinic 10'!E12+'Clinic 11'!E12+'Clinic 12'!E12+'Clinic 13'!E12+'Clinic 14'!E12+'Clinic 15'!E12</f>
        <v>0</v>
      </c>
      <c r="F12" s="33">
        <f>'Biocorrect-Agile'!F12+'Biocorrect-GP'!F12+'Clinic 3'!F12+'Clinic 4'!F12+'Clinic 5'!F12+'Clinic 6'!F12+'Clinic 7'!F12+'Clinic 8'!F12+'Clinic 9'!F12+'Clinic 10'!F12+'Clinic 11'!F12+'Clinic 12'!F12+'Clinic 13'!F12+'Clinic 14'!F12+'Clinic 15'!F12</f>
        <v>0</v>
      </c>
      <c r="G12" s="33">
        <f>'Biocorrect-Agile'!G12+'Biocorrect-GP'!G12+'Clinic 3'!G12+'Clinic 4'!G12+'Clinic 5'!G12+'Clinic 6'!G12+'Clinic 7'!G12+'Clinic 8'!G12+'Clinic 9'!G12+'Clinic 10'!G12+'Clinic 11'!G12+'Clinic 12'!G12+'Clinic 13'!G12+'Clinic 14'!G12+'Clinic 15'!G12</f>
        <v>0</v>
      </c>
      <c r="H12" s="33">
        <f>'Biocorrect-Agile'!H12+'Biocorrect-GP'!H12+'Clinic 3'!H12+'Clinic 4'!H12+'Clinic 5'!H12+'Clinic 6'!H12+'Clinic 7'!H12+'Clinic 8'!H12+'Clinic 9'!H12+'Clinic 10'!H12+'Clinic 11'!H12+'Clinic 12'!H12+'Clinic 13'!H12+'Clinic 14'!H12+'Clinic 15'!H12</f>
        <v>0</v>
      </c>
      <c r="I12" s="33">
        <f>'Biocorrect-Agile'!I12+'Biocorrect-GP'!I12+'Clinic 3'!I12+'Clinic 4'!I12+'Clinic 5'!I12+'Clinic 6'!I12+'Clinic 7'!I12+'Clinic 8'!I12+'Clinic 9'!I12+'Clinic 10'!I12+'Clinic 11'!I12+'Clinic 12'!I12+'Clinic 13'!I12+'Clinic 14'!I12+'Clinic 15'!I12</f>
        <v>-35</v>
      </c>
      <c r="J12" s="2">
        <f t="shared" si="0"/>
        <v>397</v>
      </c>
    </row>
    <row r="13" spans="1:19" x14ac:dyDescent="0.25">
      <c r="A13" s="1" t="s">
        <v>50</v>
      </c>
      <c r="B13" s="33">
        <f>'Biocorrect-Agile'!B13+'Biocorrect-GP'!B13+'Clinic 3'!B13+'Clinic 4'!B13+'Clinic 5'!B13+'Clinic 6'!B13+'Clinic 7'!B13+'Clinic 8'!B13+'Clinic 9'!B13+'Clinic 10'!B13+'Clinic 11'!B13+'Clinic 12'!B13+'Clinic 13'!B13+'Clinic 14'!B13+'Clinic 15'!B13</f>
        <v>0</v>
      </c>
      <c r="C13" s="33">
        <f>'Biocorrect-Agile'!C13+'Biocorrect-GP'!C13+'Clinic 3'!C13+'Clinic 4'!C13+'Clinic 5'!C13+'Clinic 6'!C13+'Clinic 7'!C13+'Clinic 8'!C13+'Clinic 9'!C13+'Clinic 10'!C13+'Clinic 11'!C13+'Clinic 12'!C13+'Clinic 13'!C13+'Clinic 14'!C13+'Clinic 15'!C13</f>
        <v>0</v>
      </c>
      <c r="D13" s="33">
        <f>'Biocorrect-Agile'!D13+'Biocorrect-GP'!D13+'Clinic 3'!D13+'Clinic 4'!D13+'Clinic 5'!D13+'Clinic 6'!D13+'Clinic 7'!D13+'Clinic 8'!D13+'Clinic 9'!D13+'Clinic 10'!D13+'Clinic 11'!D13+'Clinic 12'!D13+'Clinic 13'!D13+'Clinic 14'!D13+'Clinic 15'!D13</f>
        <v>0</v>
      </c>
      <c r="E13" s="33">
        <f>'Biocorrect-Agile'!E13+'Biocorrect-GP'!E13+'Clinic 3'!E13+'Clinic 4'!E13+'Clinic 5'!E13+'Clinic 6'!E13+'Clinic 7'!E13+'Clinic 8'!E13+'Clinic 9'!E13+'Clinic 10'!E13+'Clinic 11'!E13+'Clinic 12'!E13+'Clinic 13'!E13+'Clinic 14'!E13+'Clinic 15'!E13</f>
        <v>0</v>
      </c>
      <c r="F13" s="33">
        <f>'Biocorrect-Agile'!F13+'Biocorrect-GP'!F13+'Clinic 3'!F13+'Clinic 4'!F13+'Clinic 5'!F13+'Clinic 6'!F13+'Clinic 7'!F13+'Clinic 8'!F13+'Clinic 9'!F13+'Clinic 10'!F13+'Clinic 11'!F13+'Clinic 12'!F13+'Clinic 13'!F13+'Clinic 14'!F13+'Clinic 15'!F13</f>
        <v>0</v>
      </c>
      <c r="G13" s="33">
        <f>'Biocorrect-Agile'!G13+'Biocorrect-GP'!G13+'Clinic 3'!G13+'Clinic 4'!G13+'Clinic 5'!G13+'Clinic 6'!G13+'Clinic 7'!G13+'Clinic 8'!G13+'Clinic 9'!G13+'Clinic 10'!G13+'Clinic 11'!G13+'Clinic 12'!G13+'Clinic 13'!G13+'Clinic 14'!G13+'Clinic 15'!G13</f>
        <v>0</v>
      </c>
      <c r="H13" s="33">
        <f>'Biocorrect-Agile'!H13+'Biocorrect-GP'!H13+'Clinic 3'!H13+'Clinic 4'!H13+'Clinic 5'!H13+'Clinic 6'!H13+'Clinic 7'!H13+'Clinic 8'!H13+'Clinic 9'!H13+'Clinic 10'!H13+'Clinic 11'!H13+'Clinic 12'!H13+'Clinic 13'!H13+'Clinic 14'!H13+'Clinic 15'!H13</f>
        <v>0</v>
      </c>
      <c r="I13" s="33">
        <f>'Biocorrect-Agile'!I13+'Biocorrect-GP'!I13+'Clinic 3'!I13+'Clinic 4'!I13+'Clinic 5'!I13+'Clinic 6'!I13+'Clinic 7'!I13+'Clinic 8'!I13+'Clinic 9'!I13+'Clinic 10'!I13+'Clinic 11'!I13+'Clinic 12'!I13+'Clinic 13'!I13+'Clinic 14'!I13+'Clinic 15'!I13</f>
        <v>0</v>
      </c>
      <c r="J13" s="2">
        <f t="shared" si="0"/>
        <v>0</v>
      </c>
    </row>
    <row r="14" spans="1:19" x14ac:dyDescent="0.25">
      <c r="A14" s="1" t="s">
        <v>89</v>
      </c>
      <c r="B14" s="33">
        <f>'Biocorrect-Agile'!B14+'Biocorrect-GP'!B14+'Clinic 3'!B14+'Clinic 4'!B14+'Clinic 5'!B14+'Clinic 6'!B14+'Clinic 7'!B14+'Clinic 8'!B14+'Clinic 9'!B14+'Clinic 10'!B14+'Clinic 11'!B14+'Clinic 12'!B14+'Clinic 13'!B14+'Clinic 14'!B14+'Clinic 15'!B14</f>
        <v>0</v>
      </c>
      <c r="C14" s="33">
        <f>'Biocorrect-Agile'!C14+'Biocorrect-GP'!C14+'Clinic 3'!C14+'Clinic 4'!C14+'Clinic 5'!C14+'Clinic 6'!C14+'Clinic 7'!C14+'Clinic 8'!C14+'Clinic 9'!C14+'Clinic 10'!C14+'Clinic 11'!C14+'Clinic 12'!C14+'Clinic 13'!C14+'Clinic 14'!C14+'Clinic 15'!C14</f>
        <v>0</v>
      </c>
      <c r="D14" s="33">
        <f>'Biocorrect-Agile'!D14+'Biocorrect-GP'!D14+'Clinic 3'!D14+'Clinic 4'!D14+'Clinic 5'!D14+'Clinic 6'!D14+'Clinic 7'!D14+'Clinic 8'!D14+'Clinic 9'!D14+'Clinic 10'!D14+'Clinic 11'!D14+'Clinic 12'!D14+'Clinic 13'!D14+'Clinic 14'!D14+'Clinic 15'!D14</f>
        <v>0</v>
      </c>
      <c r="E14" s="33">
        <f>'Biocorrect-Agile'!E14+'Biocorrect-GP'!E14+'Clinic 3'!E14+'Clinic 4'!E14+'Clinic 5'!E14+'Clinic 6'!E14+'Clinic 7'!E14+'Clinic 8'!E14+'Clinic 9'!E14+'Clinic 10'!E14+'Clinic 11'!E14+'Clinic 12'!E14+'Clinic 13'!E14+'Clinic 14'!E14+'Clinic 15'!E14</f>
        <v>0</v>
      </c>
      <c r="F14" s="33">
        <f>'Biocorrect-Agile'!F14+'Biocorrect-GP'!F14+'Clinic 3'!F14+'Clinic 4'!F14+'Clinic 5'!F14+'Clinic 6'!F14+'Clinic 7'!F14+'Clinic 8'!F14+'Clinic 9'!F14+'Clinic 10'!F14+'Clinic 11'!F14+'Clinic 12'!F14+'Clinic 13'!F14+'Clinic 14'!F14+'Clinic 15'!F14</f>
        <v>0</v>
      </c>
      <c r="G14" s="33">
        <f>'Biocorrect-Agile'!G14+'Biocorrect-GP'!G14+'Clinic 3'!G14+'Clinic 4'!G14+'Clinic 5'!G14+'Clinic 6'!G14+'Clinic 7'!G14+'Clinic 8'!G14+'Clinic 9'!G14+'Clinic 10'!G14+'Clinic 11'!G14+'Clinic 12'!G14+'Clinic 13'!G14+'Clinic 14'!G14+'Clinic 15'!G14</f>
        <v>0</v>
      </c>
      <c r="H14" s="33">
        <f>'Biocorrect-Agile'!H14+'Biocorrect-GP'!H14+'Clinic 3'!H14+'Clinic 4'!H14+'Clinic 5'!H14+'Clinic 6'!H14+'Clinic 7'!H14+'Clinic 8'!H14+'Clinic 9'!H14+'Clinic 10'!H14+'Clinic 11'!H14+'Clinic 12'!H14+'Clinic 13'!H14+'Clinic 14'!H14+'Clinic 15'!H14</f>
        <v>0</v>
      </c>
      <c r="I14" s="33">
        <f>'Biocorrect-Agile'!I14+'Biocorrect-GP'!I14+'Clinic 3'!I14+'Clinic 4'!I14+'Clinic 5'!I14+'Clinic 6'!I14+'Clinic 7'!I14+'Clinic 8'!I14+'Clinic 9'!I14+'Clinic 10'!I14+'Clinic 11'!I14+'Clinic 12'!I14+'Clinic 13'!I14+'Clinic 14'!I14+'Clinic 15'!I14</f>
        <v>0</v>
      </c>
      <c r="J14" s="2">
        <f t="shared" si="0"/>
        <v>0</v>
      </c>
    </row>
    <row r="15" spans="1:19" x14ac:dyDescent="0.25">
      <c r="A15" s="1" t="s">
        <v>5</v>
      </c>
      <c r="B15" s="33">
        <f>'Biocorrect-Agile'!B15+'Biocorrect-GP'!B15+'Clinic 3'!B15+'Clinic 4'!B15+'Clinic 5'!B15+'Clinic 6'!B15+'Clinic 7'!B15+'Clinic 8'!B15+'Clinic 9'!B15+'Clinic 10'!B15+'Clinic 11'!B15+'Clinic 12'!B15+'Clinic 13'!B15+'Clinic 14'!B15+'Clinic 15'!B15</f>
        <v>0</v>
      </c>
      <c r="C15" s="33">
        <f>'Biocorrect-Agile'!C15+'Biocorrect-GP'!C15+'Clinic 3'!C15+'Clinic 4'!C15+'Clinic 5'!C15+'Clinic 6'!C15+'Clinic 7'!C15+'Clinic 8'!C15+'Clinic 9'!C15+'Clinic 10'!C15+'Clinic 11'!C15+'Clinic 12'!C15+'Clinic 13'!C15+'Clinic 14'!C15+'Clinic 15'!C15</f>
        <v>0</v>
      </c>
      <c r="D15" s="33">
        <f>'Biocorrect-Agile'!D15+'Biocorrect-GP'!D15+'Clinic 3'!D15+'Clinic 4'!D15+'Clinic 5'!D15+'Clinic 6'!D15+'Clinic 7'!D15+'Clinic 8'!D15+'Clinic 9'!D15+'Clinic 10'!D15+'Clinic 11'!D15+'Clinic 12'!D15+'Clinic 13'!D15+'Clinic 14'!D15+'Clinic 15'!D15</f>
        <v>0</v>
      </c>
      <c r="E15" s="33">
        <f>'Biocorrect-Agile'!E15+'Biocorrect-GP'!E15+'Clinic 3'!E15+'Clinic 4'!E15+'Clinic 5'!E15+'Clinic 6'!E15+'Clinic 7'!E15+'Clinic 8'!E15+'Clinic 9'!E15+'Clinic 10'!E15+'Clinic 11'!E15+'Clinic 12'!E15+'Clinic 13'!E15+'Clinic 14'!E15+'Clinic 15'!E15</f>
        <v>0</v>
      </c>
      <c r="F15" s="33">
        <f>'Biocorrect-Agile'!F15+'Biocorrect-GP'!F15+'Clinic 3'!F15+'Clinic 4'!F15+'Clinic 5'!F15+'Clinic 6'!F15+'Clinic 7'!F15+'Clinic 8'!F15+'Clinic 9'!F15+'Clinic 10'!F15+'Clinic 11'!F15+'Clinic 12'!F15+'Clinic 13'!F15+'Clinic 14'!F15+'Clinic 15'!F15</f>
        <v>0</v>
      </c>
      <c r="G15" s="33">
        <f>'Biocorrect-Agile'!G15+'Biocorrect-GP'!G15+'Clinic 3'!G15+'Clinic 4'!G15+'Clinic 5'!G15+'Clinic 6'!G15+'Clinic 7'!G15+'Clinic 8'!G15+'Clinic 9'!G15+'Clinic 10'!G15+'Clinic 11'!G15+'Clinic 12'!G15+'Clinic 13'!G15+'Clinic 14'!G15+'Clinic 15'!G15</f>
        <v>0</v>
      </c>
      <c r="H15" s="33">
        <f>'Biocorrect-Agile'!H15+'Biocorrect-GP'!H15+'Clinic 3'!H15+'Clinic 4'!H15+'Clinic 5'!H15+'Clinic 6'!H15+'Clinic 7'!H15+'Clinic 8'!H15+'Clinic 9'!H15+'Clinic 10'!H15+'Clinic 11'!H15+'Clinic 12'!H15+'Clinic 13'!H15+'Clinic 14'!H15+'Clinic 15'!H15</f>
        <v>0</v>
      </c>
      <c r="I15" s="33">
        <f>'Biocorrect-Agile'!I15+'Biocorrect-GP'!I15+'Clinic 3'!I15+'Clinic 4'!I15+'Clinic 5'!I15+'Clinic 6'!I15+'Clinic 7'!I15+'Clinic 8'!I15+'Clinic 9'!I15+'Clinic 10'!I15+'Clinic 11'!I15+'Clinic 12'!I15+'Clinic 13'!I15+'Clinic 14'!I15+'Clinic 15'!I15</f>
        <v>0</v>
      </c>
      <c r="J15" s="2">
        <f t="shared" si="0"/>
        <v>0</v>
      </c>
    </row>
    <row r="16" spans="1:19" x14ac:dyDescent="0.25">
      <c r="A16" s="1" t="s">
        <v>84</v>
      </c>
      <c r="B16" s="33">
        <f>'Biocorrect-Agile'!B16+'Biocorrect-GP'!B16+'Clinic 3'!B16+'Clinic 4'!B16+'Clinic 5'!B16+'Clinic 6'!B16+'Clinic 7'!B16+'Clinic 8'!B16+'Clinic 9'!B16+'Clinic 10'!B16+'Clinic 11'!B16+'Clinic 12'!B16+'Clinic 13'!B16+'Clinic 14'!B16+'Clinic 15'!B16</f>
        <v>0</v>
      </c>
      <c r="C16" s="33">
        <f>'Biocorrect-Agile'!C16+'Biocorrect-GP'!C16+'Clinic 3'!C16+'Clinic 4'!C16+'Clinic 5'!C16+'Clinic 6'!C16+'Clinic 7'!C16+'Clinic 8'!C16+'Clinic 9'!C16+'Clinic 10'!C16+'Clinic 11'!C16+'Clinic 12'!C16+'Clinic 13'!C16+'Clinic 14'!C16+'Clinic 15'!C16</f>
        <v>0</v>
      </c>
      <c r="D16" s="33">
        <f>'Biocorrect-Agile'!D16+'Biocorrect-GP'!D16+'Clinic 3'!D16+'Clinic 4'!D16+'Clinic 5'!D16+'Clinic 6'!D16+'Clinic 7'!D16+'Clinic 8'!D16+'Clinic 9'!D16+'Clinic 10'!D16+'Clinic 11'!D16+'Clinic 12'!D16+'Clinic 13'!D16+'Clinic 14'!D16+'Clinic 15'!D16</f>
        <v>0</v>
      </c>
      <c r="E16" s="33">
        <f>'Biocorrect-Agile'!E16+'Biocorrect-GP'!E16+'Clinic 3'!E16+'Clinic 4'!E16+'Clinic 5'!E16+'Clinic 6'!E16+'Clinic 7'!E16+'Clinic 8'!E16+'Clinic 9'!E16+'Clinic 10'!E16+'Clinic 11'!E16+'Clinic 12'!E16+'Clinic 13'!E16+'Clinic 14'!E16+'Clinic 15'!E16</f>
        <v>0</v>
      </c>
      <c r="F16" s="33">
        <f>'Biocorrect-Agile'!F16+'Biocorrect-GP'!F16+'Clinic 3'!F16+'Clinic 4'!F16+'Clinic 5'!F16+'Clinic 6'!F16+'Clinic 7'!F16+'Clinic 8'!F16+'Clinic 9'!F16+'Clinic 10'!F16+'Clinic 11'!F16+'Clinic 12'!F16+'Clinic 13'!F16+'Clinic 14'!F16+'Clinic 15'!F16</f>
        <v>0</v>
      </c>
      <c r="G16" s="33">
        <f>'Biocorrect-Agile'!G16+'Biocorrect-GP'!G16+'Clinic 3'!G16+'Clinic 4'!G16+'Clinic 5'!G16+'Clinic 6'!G16+'Clinic 7'!G16+'Clinic 8'!G16+'Clinic 9'!G16+'Clinic 10'!G16+'Clinic 11'!G16+'Clinic 12'!G16+'Clinic 13'!G16+'Clinic 14'!G16+'Clinic 15'!G16</f>
        <v>0</v>
      </c>
      <c r="H16" s="33">
        <f>'Biocorrect-Agile'!H16+'Biocorrect-GP'!H16+'Clinic 3'!H16+'Clinic 4'!H16+'Clinic 5'!H16+'Clinic 6'!H16+'Clinic 7'!H16+'Clinic 8'!H16+'Clinic 9'!H16+'Clinic 10'!H16+'Clinic 11'!H16+'Clinic 12'!H16+'Clinic 13'!H16+'Clinic 14'!H16+'Clinic 15'!H16</f>
        <v>0</v>
      </c>
      <c r="I16" s="33">
        <f>'Biocorrect-Agile'!I16+'Biocorrect-GP'!I16+'Clinic 3'!I16+'Clinic 4'!I16+'Clinic 5'!I16+'Clinic 6'!I16+'Clinic 7'!I16+'Clinic 8'!I16+'Clinic 9'!I16+'Clinic 10'!I16+'Clinic 11'!I16+'Clinic 12'!I16+'Clinic 13'!I16+'Clinic 14'!I16+'Clinic 15'!I16</f>
        <v>0</v>
      </c>
      <c r="J16" s="2">
        <f t="shared" si="0"/>
        <v>0</v>
      </c>
    </row>
    <row r="17" spans="1:15" x14ac:dyDescent="0.25">
      <c r="A17" s="1" t="s">
        <v>4</v>
      </c>
      <c r="B17" s="33">
        <f>'Biocorrect-Agile'!B17+'Biocorrect-GP'!B17+'Clinic 3'!B17+'Clinic 4'!B17+'Clinic 5'!B17+'Clinic 6'!B17+'Clinic 7'!B17+'Clinic 8'!B17+'Clinic 9'!B17+'Clinic 10'!B17+'Clinic 11'!B17+'Clinic 12'!B17+'Clinic 13'!B17+'Clinic 14'!B17+'Clinic 15'!B17</f>
        <v>432</v>
      </c>
      <c r="C17" s="33">
        <f>'Biocorrect-Agile'!C17+'Biocorrect-GP'!C17+'Clinic 3'!C17+'Clinic 4'!C17+'Clinic 5'!C17+'Clinic 6'!C17+'Clinic 7'!C17+'Clinic 8'!C17+'Clinic 9'!C17+'Clinic 10'!C17+'Clinic 11'!C17+'Clinic 12'!C17+'Clinic 13'!C17+'Clinic 14'!C17+'Clinic 15'!C17</f>
        <v>0</v>
      </c>
      <c r="D17" s="33">
        <f>'Biocorrect-Agile'!D17+'Biocorrect-GP'!D17+'Clinic 3'!D17+'Clinic 4'!D17+'Clinic 5'!D17+'Clinic 6'!D17+'Clinic 7'!D17+'Clinic 8'!D17+'Clinic 9'!D17+'Clinic 10'!D17+'Clinic 11'!D17+'Clinic 12'!D17+'Clinic 13'!D17+'Clinic 14'!D17+'Clinic 15'!D17</f>
        <v>0</v>
      </c>
      <c r="E17" s="33">
        <f>'Biocorrect-Agile'!E17+'Biocorrect-GP'!E17+'Clinic 3'!E17+'Clinic 4'!E17+'Clinic 5'!E17+'Clinic 6'!E17+'Clinic 7'!E17+'Clinic 8'!E17+'Clinic 9'!E17+'Clinic 10'!E17+'Clinic 11'!E17+'Clinic 12'!E17+'Clinic 13'!E17+'Clinic 14'!E17+'Clinic 15'!E17</f>
        <v>0</v>
      </c>
      <c r="F17" s="33">
        <f>'Biocorrect-Agile'!F17+'Biocorrect-GP'!F17+'Clinic 3'!F17+'Clinic 4'!F17+'Clinic 5'!F17+'Clinic 6'!F17+'Clinic 7'!F17+'Clinic 8'!F17+'Clinic 9'!F17+'Clinic 10'!F17+'Clinic 11'!F17+'Clinic 12'!F17+'Clinic 13'!F17+'Clinic 14'!F17+'Clinic 15'!F17</f>
        <v>0</v>
      </c>
      <c r="G17" s="33">
        <f>'Biocorrect-Agile'!G17+'Biocorrect-GP'!G17+'Clinic 3'!G17+'Clinic 4'!G17+'Clinic 5'!G17+'Clinic 6'!G17+'Clinic 7'!G17+'Clinic 8'!G17+'Clinic 9'!G17+'Clinic 10'!G17+'Clinic 11'!G17+'Clinic 12'!G17+'Clinic 13'!G17+'Clinic 14'!G17+'Clinic 15'!G17</f>
        <v>0</v>
      </c>
      <c r="H17" s="33">
        <f>'Biocorrect-Agile'!H17+'Biocorrect-GP'!H17+'Clinic 3'!H17+'Clinic 4'!H17+'Clinic 5'!H17+'Clinic 6'!H17+'Clinic 7'!H17+'Clinic 8'!H17+'Clinic 9'!H17+'Clinic 10'!H17+'Clinic 11'!H17+'Clinic 12'!H17+'Clinic 13'!H17+'Clinic 14'!H17+'Clinic 15'!H17</f>
        <v>0</v>
      </c>
      <c r="I17" s="33">
        <f>'Biocorrect-Agile'!I17+'Biocorrect-GP'!I17+'Clinic 3'!I17+'Clinic 4'!I17+'Clinic 5'!I17+'Clinic 6'!I17+'Clinic 7'!I17+'Clinic 8'!I17+'Clinic 9'!I17+'Clinic 10'!I17+'Clinic 11'!I17+'Clinic 12'!I17+'Clinic 13'!I17+'Clinic 14'!I17+'Clinic 15'!I17</f>
        <v>0</v>
      </c>
      <c r="J17" s="2">
        <f t="shared" si="0"/>
        <v>432</v>
      </c>
    </row>
    <row r="18" spans="1:15" x14ac:dyDescent="0.25">
      <c r="A18" s="1" t="s">
        <v>51</v>
      </c>
      <c r="B18" s="33">
        <f>'Biocorrect-Agile'!B18+'Biocorrect-GP'!B18+'Clinic 3'!B18+'Clinic 4'!B18+'Clinic 5'!B18+'Clinic 6'!B18+'Clinic 7'!B18+'Clinic 8'!B18+'Clinic 9'!B18+'Clinic 10'!B18+'Clinic 11'!B18+'Clinic 12'!B18+'Clinic 13'!B18+'Clinic 14'!B18+'Clinic 15'!B18</f>
        <v>432</v>
      </c>
      <c r="C18" s="33">
        <f>'Biocorrect-Agile'!C18+'Biocorrect-GP'!C18+'Clinic 3'!C18+'Clinic 4'!C18+'Clinic 5'!C18+'Clinic 6'!C18+'Clinic 7'!C18+'Clinic 8'!C18+'Clinic 9'!C18+'Clinic 10'!C18+'Clinic 11'!C18+'Clinic 12'!C18+'Clinic 13'!C18+'Clinic 14'!C18+'Clinic 15'!C18</f>
        <v>0</v>
      </c>
      <c r="D18" s="33">
        <f>'Biocorrect-Agile'!D18+'Biocorrect-GP'!D18+'Clinic 3'!D18+'Clinic 4'!D18+'Clinic 5'!D18+'Clinic 6'!D18+'Clinic 7'!D18+'Clinic 8'!D18+'Clinic 9'!D18+'Clinic 10'!D18+'Clinic 11'!D18+'Clinic 12'!D18+'Clinic 13'!D18+'Clinic 14'!D18+'Clinic 15'!D18</f>
        <v>0</v>
      </c>
      <c r="E18" s="33">
        <f>'Biocorrect-Agile'!E18+'Biocorrect-GP'!E18+'Clinic 3'!E18+'Clinic 4'!E18+'Clinic 5'!E18+'Clinic 6'!E18+'Clinic 7'!E18+'Clinic 8'!E18+'Clinic 9'!E18+'Clinic 10'!E18+'Clinic 11'!E18+'Clinic 12'!E18+'Clinic 13'!E18+'Clinic 14'!E18+'Clinic 15'!E18</f>
        <v>0</v>
      </c>
      <c r="F18" s="33">
        <f>'Biocorrect-Agile'!F18+'Biocorrect-GP'!F18+'Clinic 3'!F18+'Clinic 4'!F18+'Clinic 5'!F18+'Clinic 6'!F18+'Clinic 7'!F18+'Clinic 8'!F18+'Clinic 9'!F18+'Clinic 10'!F18+'Clinic 11'!F18+'Clinic 12'!F18+'Clinic 13'!F18+'Clinic 14'!F18+'Clinic 15'!F18</f>
        <v>0</v>
      </c>
      <c r="G18" s="33">
        <f>'Biocorrect-Agile'!G18+'Biocorrect-GP'!G18+'Clinic 3'!G18+'Clinic 4'!G18+'Clinic 5'!G18+'Clinic 6'!G18+'Clinic 7'!G18+'Clinic 8'!G18+'Clinic 9'!G18+'Clinic 10'!G18+'Clinic 11'!G18+'Clinic 12'!G18+'Clinic 13'!G18+'Clinic 14'!G18+'Clinic 15'!G18</f>
        <v>0</v>
      </c>
      <c r="H18" s="33">
        <f>'Biocorrect-Agile'!H18+'Biocorrect-GP'!H18+'Clinic 3'!H18+'Clinic 4'!H18+'Clinic 5'!H18+'Clinic 6'!H18+'Clinic 7'!H18+'Clinic 8'!H18+'Clinic 9'!H18+'Clinic 10'!H18+'Clinic 11'!H18+'Clinic 12'!H18+'Clinic 13'!H18+'Clinic 14'!H18+'Clinic 15'!H18</f>
        <v>0</v>
      </c>
      <c r="I18" s="33">
        <f>'Biocorrect-Agile'!I18+'Biocorrect-GP'!I18+'Clinic 3'!I18+'Clinic 4'!I18+'Clinic 5'!I18+'Clinic 6'!I18+'Clinic 7'!I18+'Clinic 8'!I18+'Clinic 9'!I18+'Clinic 10'!I18+'Clinic 11'!I18+'Clinic 12'!I18+'Clinic 13'!I18+'Clinic 14'!I18+'Clinic 15'!I18</f>
        <v>0</v>
      </c>
      <c r="J18" s="2">
        <f t="shared" si="0"/>
        <v>432</v>
      </c>
    </row>
    <row r="19" spans="1:15" x14ac:dyDescent="0.25">
      <c r="A19" s="1" t="s">
        <v>85</v>
      </c>
      <c r="B19" s="33">
        <f>'Biocorrect-Agile'!B19+'Biocorrect-GP'!B19+'Clinic 3'!B19+'Clinic 4'!B19+'Clinic 5'!B19+'Clinic 6'!B19+'Clinic 7'!B19+'Clinic 8'!B19+'Clinic 9'!B19+'Clinic 10'!B19+'Clinic 11'!B19+'Clinic 12'!B19+'Clinic 13'!B19+'Clinic 14'!B19+'Clinic 15'!B19</f>
        <v>0</v>
      </c>
      <c r="C19" s="33">
        <f>'Biocorrect-Agile'!C19+'Biocorrect-GP'!C19+'Clinic 3'!C19+'Clinic 4'!C19+'Clinic 5'!C19+'Clinic 6'!C19+'Clinic 7'!C19+'Clinic 8'!C19+'Clinic 9'!C19+'Clinic 10'!C19+'Clinic 11'!C19+'Clinic 12'!C19+'Clinic 13'!C19+'Clinic 14'!C19+'Clinic 15'!C19</f>
        <v>0</v>
      </c>
      <c r="D19" s="33">
        <f>'Biocorrect-Agile'!D19+'Biocorrect-GP'!D19+'Clinic 3'!D19+'Clinic 4'!D19+'Clinic 5'!D19+'Clinic 6'!D19+'Clinic 7'!D19+'Clinic 8'!D19+'Clinic 9'!D19+'Clinic 10'!D19+'Clinic 11'!D19+'Clinic 12'!D19+'Clinic 13'!D19+'Clinic 14'!D19+'Clinic 15'!D19</f>
        <v>0</v>
      </c>
      <c r="E19" s="33">
        <f>'Biocorrect-Agile'!E19+'Biocorrect-GP'!E19+'Clinic 3'!E19+'Clinic 4'!E19+'Clinic 5'!E19+'Clinic 6'!E19+'Clinic 7'!E19+'Clinic 8'!E19+'Clinic 9'!E19+'Clinic 10'!E19+'Clinic 11'!E19+'Clinic 12'!E19+'Clinic 13'!E19+'Clinic 14'!E19+'Clinic 15'!E19</f>
        <v>0</v>
      </c>
      <c r="F19" s="33">
        <f>'Biocorrect-Agile'!F19+'Biocorrect-GP'!F19+'Clinic 3'!F19+'Clinic 4'!F19+'Clinic 5'!F19+'Clinic 6'!F19+'Clinic 7'!F19+'Clinic 8'!F19+'Clinic 9'!F19+'Clinic 10'!F19+'Clinic 11'!F19+'Clinic 12'!F19+'Clinic 13'!F19+'Clinic 14'!F19+'Clinic 15'!F19</f>
        <v>0</v>
      </c>
      <c r="G19" s="33">
        <f>'Biocorrect-Agile'!G19+'Biocorrect-GP'!G19+'Clinic 3'!G19+'Clinic 4'!G19+'Clinic 5'!G19+'Clinic 6'!G19+'Clinic 7'!G19+'Clinic 8'!G19+'Clinic 9'!G19+'Clinic 10'!G19+'Clinic 11'!G19+'Clinic 12'!G19+'Clinic 13'!G19+'Clinic 14'!G19+'Clinic 15'!G19</f>
        <v>0</v>
      </c>
      <c r="H19" s="33">
        <f>'Biocorrect-Agile'!H19+'Biocorrect-GP'!H19+'Clinic 3'!H19+'Clinic 4'!H19+'Clinic 5'!H19+'Clinic 6'!H19+'Clinic 7'!H19+'Clinic 8'!H19+'Clinic 9'!H19+'Clinic 10'!H19+'Clinic 11'!H19+'Clinic 12'!H19+'Clinic 13'!H19+'Clinic 14'!H19+'Clinic 15'!H19</f>
        <v>432</v>
      </c>
      <c r="I19" s="33">
        <f>'Biocorrect-Agile'!I19+'Biocorrect-GP'!I19+'Clinic 3'!I19+'Clinic 4'!I19+'Clinic 5'!I19+'Clinic 6'!I19+'Clinic 7'!I19+'Clinic 8'!I19+'Clinic 9'!I19+'Clinic 10'!I19+'Clinic 11'!I19+'Clinic 12'!I19+'Clinic 13'!I19+'Clinic 14'!I19+'Clinic 15'!I19</f>
        <v>0</v>
      </c>
      <c r="J19" s="2">
        <f t="shared" si="0"/>
        <v>432</v>
      </c>
    </row>
    <row r="20" spans="1:15" x14ac:dyDescent="0.25">
      <c r="A20" s="1" t="s">
        <v>2</v>
      </c>
      <c r="B20" s="33">
        <f>'Biocorrect-Agile'!B20+'Biocorrect-GP'!B20+'Clinic 3'!B20+'Clinic 4'!B20+'Clinic 5'!B20+'Clinic 6'!B20+'Clinic 7'!B20+'Clinic 8'!B20+'Clinic 9'!B20+'Clinic 10'!B20+'Clinic 11'!B20+'Clinic 12'!B20+'Clinic 13'!B20+'Clinic 14'!B20+'Clinic 15'!B20</f>
        <v>1031.8199999999997</v>
      </c>
      <c r="C20" s="33">
        <f>'Biocorrect-Agile'!C20+'Biocorrect-GP'!C20+'Clinic 3'!C20+'Clinic 4'!C20+'Clinic 5'!C20+'Clinic 6'!C20+'Clinic 7'!C20+'Clinic 8'!C20+'Clinic 9'!C20+'Clinic 10'!C20+'Clinic 11'!C20+'Clinic 12'!C20+'Clinic 13'!C20+'Clinic 14'!C20+'Clinic 15'!C20</f>
        <v>3355.43</v>
      </c>
      <c r="D20" s="33">
        <f>'Biocorrect-Agile'!D20+'Biocorrect-GP'!D20+'Clinic 3'!D20+'Clinic 4'!D20+'Clinic 5'!D20+'Clinic 6'!D20+'Clinic 7'!D20+'Clinic 8'!D20+'Clinic 9'!D20+'Clinic 10'!D20+'Clinic 11'!D20+'Clinic 12'!D20+'Clinic 13'!D20+'Clinic 14'!D20+'Clinic 15'!D20</f>
        <v>2829.86</v>
      </c>
      <c r="E20" s="33">
        <f>'Biocorrect-Agile'!E20+'Biocorrect-GP'!E20+'Clinic 3'!E20+'Clinic 4'!E20+'Clinic 5'!E20+'Clinic 6'!E20+'Clinic 7'!E20+'Clinic 8'!E20+'Clinic 9'!E20+'Clinic 10'!E20+'Clinic 11'!E20+'Clinic 12'!E20+'Clinic 13'!E20+'Clinic 14'!E20+'Clinic 15'!E20</f>
        <v>2444.98</v>
      </c>
      <c r="F20" s="33">
        <f>'Biocorrect-Agile'!F20+'Biocorrect-GP'!F20+'Clinic 3'!F20+'Clinic 4'!F20+'Clinic 5'!F20+'Clinic 6'!F20+'Clinic 7'!F20+'Clinic 8'!F20+'Clinic 9'!F20+'Clinic 10'!F20+'Clinic 11'!F20+'Clinic 12'!F20+'Clinic 13'!F20+'Clinic 14'!F20+'Clinic 15'!F20</f>
        <v>548.73</v>
      </c>
      <c r="G20" s="33">
        <f>'Biocorrect-Agile'!G20+'Biocorrect-GP'!G20+'Clinic 3'!G20+'Clinic 4'!G20+'Clinic 5'!G20+'Clinic 6'!G20+'Clinic 7'!G20+'Clinic 8'!G20+'Clinic 9'!G20+'Clinic 10'!G20+'Clinic 11'!G20+'Clinic 12'!G20+'Clinic 13'!G20+'Clinic 14'!G20+'Clinic 15'!G20</f>
        <v>1101.2</v>
      </c>
      <c r="H20" s="33">
        <f>'Biocorrect-Agile'!H20+'Biocorrect-GP'!H20+'Clinic 3'!H20+'Clinic 4'!H20+'Clinic 5'!H20+'Clinic 6'!H20+'Clinic 7'!H20+'Clinic 8'!H20+'Clinic 9'!H20+'Clinic 10'!H20+'Clinic 11'!H20+'Clinic 12'!H20+'Clinic 13'!H20+'Clinic 14'!H20+'Clinic 15'!H20</f>
        <v>1017.48</v>
      </c>
      <c r="I20" s="33">
        <f>'Biocorrect-Agile'!I20+'Biocorrect-GP'!I20+'Clinic 3'!I20+'Clinic 4'!I20+'Clinic 5'!I20+'Clinic 6'!I20+'Clinic 7'!I20+'Clinic 8'!I20+'Clinic 9'!I20+'Clinic 10'!I20+'Clinic 11'!I20+'Clinic 12'!I20+'Clinic 13'!I20+'Clinic 14'!I20+'Clinic 15'!I20</f>
        <v>253.96000000000015</v>
      </c>
      <c r="J20" s="2">
        <f t="shared" si="0"/>
        <v>12583.460000000001</v>
      </c>
    </row>
    <row r="21" spans="1:15" x14ac:dyDescent="0.25">
      <c r="A21" s="1" t="s">
        <v>86</v>
      </c>
      <c r="B21" s="33">
        <f>'Biocorrect-Agile'!B21+'Biocorrect-GP'!B21+'Clinic 3'!B21+'Clinic 4'!B21+'Clinic 5'!B21+'Clinic 6'!B21+'Clinic 7'!B21+'Clinic 8'!B21+'Clinic 9'!B21+'Clinic 10'!B21+'Clinic 11'!B21+'Clinic 12'!B21+'Clinic 13'!B21+'Clinic 14'!B21+'Clinic 15'!B21</f>
        <v>0</v>
      </c>
      <c r="C21" s="33">
        <f>'Biocorrect-Agile'!C21+'Biocorrect-GP'!C21+'Clinic 3'!C21+'Clinic 4'!C21+'Clinic 5'!C21+'Clinic 6'!C21+'Clinic 7'!C21+'Clinic 8'!C21+'Clinic 9'!C21+'Clinic 10'!C21+'Clinic 11'!C21+'Clinic 12'!C21+'Clinic 13'!C21+'Clinic 14'!C21+'Clinic 15'!C21</f>
        <v>0</v>
      </c>
      <c r="D21" s="33">
        <f>'Biocorrect-Agile'!D21+'Biocorrect-GP'!D21+'Clinic 3'!D21+'Clinic 4'!D21+'Clinic 5'!D21+'Clinic 6'!D21+'Clinic 7'!D21+'Clinic 8'!D21+'Clinic 9'!D21+'Clinic 10'!D21+'Clinic 11'!D21+'Clinic 12'!D21+'Clinic 13'!D21+'Clinic 14'!D21+'Clinic 15'!D21</f>
        <v>0</v>
      </c>
      <c r="E21" s="33">
        <f>'Biocorrect-Agile'!E21+'Biocorrect-GP'!E21+'Clinic 3'!E21+'Clinic 4'!E21+'Clinic 5'!E21+'Clinic 6'!E21+'Clinic 7'!E21+'Clinic 8'!E21+'Clinic 9'!E21+'Clinic 10'!E21+'Clinic 11'!E21+'Clinic 12'!E21+'Clinic 13'!E21+'Clinic 14'!E21+'Clinic 15'!E21</f>
        <v>0</v>
      </c>
      <c r="F21" s="33">
        <f>'Biocorrect-Agile'!F21+'Biocorrect-GP'!F21+'Clinic 3'!F21+'Clinic 4'!F21+'Clinic 5'!F21+'Clinic 6'!F21+'Clinic 7'!F21+'Clinic 8'!F21+'Clinic 9'!F21+'Clinic 10'!F21+'Clinic 11'!F21+'Clinic 12'!F21+'Clinic 13'!F21+'Clinic 14'!F21+'Clinic 15'!F21</f>
        <v>0</v>
      </c>
      <c r="G21" s="33">
        <f>'Biocorrect-Agile'!G21+'Biocorrect-GP'!G21+'Clinic 3'!G21+'Clinic 4'!G21+'Clinic 5'!G21+'Clinic 6'!G21+'Clinic 7'!G21+'Clinic 8'!G21+'Clinic 9'!G21+'Clinic 10'!G21+'Clinic 11'!G21+'Clinic 12'!G21+'Clinic 13'!G21+'Clinic 14'!G21+'Clinic 15'!G21</f>
        <v>0</v>
      </c>
      <c r="H21" s="33">
        <f>'Biocorrect-Agile'!H21+'Biocorrect-GP'!H21+'Clinic 3'!H21+'Clinic 4'!H21+'Clinic 5'!H21+'Clinic 6'!H21+'Clinic 7'!H21+'Clinic 8'!H21+'Clinic 9'!H21+'Clinic 10'!H21+'Clinic 11'!H21+'Clinic 12'!H21+'Clinic 13'!H21+'Clinic 14'!H21+'Clinic 15'!H21</f>
        <v>0</v>
      </c>
      <c r="I21" s="33">
        <f>'Biocorrect-Agile'!I21+'Biocorrect-GP'!I21+'Clinic 3'!I21+'Clinic 4'!I21+'Clinic 5'!I21+'Clinic 6'!I21+'Clinic 7'!I21+'Clinic 8'!I21+'Clinic 9'!I21+'Clinic 10'!I21+'Clinic 11'!I21+'Clinic 12'!I21+'Clinic 13'!I21+'Clinic 14'!I21+'Clinic 15'!I21</f>
        <v>0</v>
      </c>
      <c r="J21" s="2">
        <f t="shared" si="0"/>
        <v>0</v>
      </c>
    </row>
    <row r="22" spans="1:15" x14ac:dyDescent="0.25">
      <c r="A22" s="1" t="s">
        <v>29</v>
      </c>
      <c r="B22" s="33">
        <f>'Biocorrect-Agile'!B22+'Biocorrect-GP'!B22+'Clinic 3'!B22+'Clinic 4'!B22+'Clinic 5'!B22+'Clinic 6'!B22+'Clinic 7'!B22+'Clinic 8'!B22+'Clinic 9'!B22+'Clinic 10'!B22+'Clinic 11'!B22+'Clinic 12'!B22+'Clinic 13'!B22+'Clinic 14'!B22+'Clinic 15'!B22</f>
        <v>0</v>
      </c>
      <c r="C22" s="33">
        <f>'Biocorrect-Agile'!C22+'Biocorrect-GP'!C22+'Clinic 3'!C22+'Clinic 4'!C22+'Clinic 5'!C22+'Clinic 6'!C22+'Clinic 7'!C22+'Clinic 8'!C22+'Clinic 9'!C22+'Clinic 10'!C22+'Clinic 11'!C22+'Clinic 12'!C22+'Clinic 13'!C22+'Clinic 14'!C22+'Clinic 15'!C22</f>
        <v>0</v>
      </c>
      <c r="D22" s="33">
        <f>'Biocorrect-Agile'!D22+'Biocorrect-GP'!D22+'Clinic 3'!D22+'Clinic 4'!D22+'Clinic 5'!D22+'Clinic 6'!D22+'Clinic 7'!D22+'Clinic 8'!D22+'Clinic 9'!D22+'Clinic 10'!D22+'Clinic 11'!D22+'Clinic 12'!D22+'Clinic 13'!D22+'Clinic 14'!D22+'Clinic 15'!D22</f>
        <v>0</v>
      </c>
      <c r="E22" s="33">
        <f>'Biocorrect-Agile'!E22+'Biocorrect-GP'!E22+'Clinic 3'!E22+'Clinic 4'!E22+'Clinic 5'!E22+'Clinic 6'!E22+'Clinic 7'!E22+'Clinic 8'!E22+'Clinic 9'!E22+'Clinic 10'!E22+'Clinic 11'!E22+'Clinic 12'!E22+'Clinic 13'!E22+'Clinic 14'!E22+'Clinic 15'!E22</f>
        <v>0</v>
      </c>
      <c r="F22" s="33">
        <f>'Biocorrect-Agile'!F22+'Biocorrect-GP'!F22+'Clinic 3'!F22+'Clinic 4'!F22+'Clinic 5'!F22+'Clinic 6'!F22+'Clinic 7'!F22+'Clinic 8'!F22+'Clinic 9'!F22+'Clinic 10'!F22+'Clinic 11'!F22+'Clinic 12'!F22+'Clinic 13'!F22+'Clinic 14'!F22+'Clinic 15'!F22</f>
        <v>0</v>
      </c>
      <c r="G22" s="33">
        <f>'Biocorrect-Agile'!G22+'Biocorrect-GP'!G22+'Clinic 3'!G22+'Clinic 4'!G22+'Clinic 5'!G22+'Clinic 6'!G22+'Clinic 7'!G22+'Clinic 8'!G22+'Clinic 9'!G22+'Clinic 10'!G22+'Clinic 11'!G22+'Clinic 12'!G22+'Clinic 13'!G22+'Clinic 14'!G22+'Clinic 15'!G22</f>
        <v>0</v>
      </c>
      <c r="H22" s="33">
        <f>'Biocorrect-Agile'!H22+'Biocorrect-GP'!H22+'Clinic 3'!H22+'Clinic 4'!H22+'Clinic 5'!H22+'Clinic 6'!H22+'Clinic 7'!H22+'Clinic 8'!H22+'Clinic 9'!H22+'Clinic 10'!H22+'Clinic 11'!H22+'Clinic 12'!H22+'Clinic 13'!H22+'Clinic 14'!H22+'Clinic 15'!H22</f>
        <v>0</v>
      </c>
      <c r="I22" s="33">
        <f>'Biocorrect-Agile'!I22+'Biocorrect-GP'!I22+'Clinic 3'!I22+'Clinic 4'!I22+'Clinic 5'!I22+'Clinic 6'!I22+'Clinic 7'!I22+'Clinic 8'!I22+'Clinic 9'!I22+'Clinic 10'!I22+'Clinic 11'!I22+'Clinic 12'!I22+'Clinic 13'!I22+'Clinic 14'!I22+'Clinic 15'!I22</f>
        <v>0</v>
      </c>
      <c r="J22" s="2">
        <f t="shared" si="0"/>
        <v>0</v>
      </c>
    </row>
    <row r="23" spans="1:15" x14ac:dyDescent="0.25">
      <c r="A23" s="1" t="s">
        <v>52</v>
      </c>
      <c r="B23" s="33">
        <f>'Biocorrect-Agile'!B23+'Biocorrect-GP'!B23+'Clinic 3'!B23+'Clinic 4'!B23+'Clinic 5'!B23+'Clinic 6'!B23+'Clinic 7'!B23+'Clinic 8'!B23+'Clinic 9'!B23+'Clinic 10'!B23+'Clinic 11'!B23+'Clinic 12'!B23+'Clinic 13'!B23+'Clinic 14'!B23+'Clinic 15'!B23</f>
        <v>0</v>
      </c>
      <c r="C23" s="33">
        <f>'Biocorrect-Agile'!C23+'Biocorrect-GP'!C23+'Clinic 3'!C23+'Clinic 4'!C23+'Clinic 5'!C23+'Clinic 6'!C23+'Clinic 7'!C23+'Clinic 8'!C23+'Clinic 9'!C23+'Clinic 10'!C23+'Clinic 11'!C23+'Clinic 12'!C23+'Clinic 13'!C23+'Clinic 14'!C23+'Clinic 15'!C23</f>
        <v>0</v>
      </c>
      <c r="D23" s="33">
        <f>'Biocorrect-Agile'!D23+'Biocorrect-GP'!D23+'Clinic 3'!D23+'Clinic 4'!D23+'Clinic 5'!D23+'Clinic 6'!D23+'Clinic 7'!D23+'Clinic 8'!D23+'Clinic 9'!D23+'Clinic 10'!D23+'Clinic 11'!D23+'Clinic 12'!D23+'Clinic 13'!D23+'Clinic 14'!D23+'Clinic 15'!D23</f>
        <v>0</v>
      </c>
      <c r="E23" s="33">
        <f>'Biocorrect-Agile'!E23+'Biocorrect-GP'!E23+'Clinic 3'!E23+'Clinic 4'!E23+'Clinic 5'!E23+'Clinic 6'!E23+'Clinic 7'!E23+'Clinic 8'!E23+'Clinic 9'!E23+'Clinic 10'!E23+'Clinic 11'!E23+'Clinic 12'!E23+'Clinic 13'!E23+'Clinic 14'!E23+'Clinic 15'!E23</f>
        <v>0</v>
      </c>
      <c r="F23" s="33">
        <f>'Biocorrect-Agile'!F23+'Biocorrect-GP'!F23+'Clinic 3'!F23+'Clinic 4'!F23+'Clinic 5'!F23+'Clinic 6'!F23+'Clinic 7'!F23+'Clinic 8'!F23+'Clinic 9'!F23+'Clinic 10'!F23+'Clinic 11'!F23+'Clinic 12'!F23+'Clinic 13'!F23+'Clinic 14'!F23+'Clinic 15'!F23</f>
        <v>0</v>
      </c>
      <c r="G23" s="33">
        <f>'Biocorrect-Agile'!G23+'Biocorrect-GP'!G23+'Clinic 3'!G23+'Clinic 4'!G23+'Clinic 5'!G23+'Clinic 6'!G23+'Clinic 7'!G23+'Clinic 8'!G23+'Clinic 9'!G23+'Clinic 10'!G23+'Clinic 11'!G23+'Clinic 12'!G23+'Clinic 13'!G23+'Clinic 14'!G23+'Clinic 15'!G23</f>
        <v>0</v>
      </c>
      <c r="H23" s="33">
        <f>'Biocorrect-Agile'!H23+'Biocorrect-GP'!H23+'Clinic 3'!H23+'Clinic 4'!H23+'Clinic 5'!H23+'Clinic 6'!H23+'Clinic 7'!H23+'Clinic 8'!H23+'Clinic 9'!H23+'Clinic 10'!H23+'Clinic 11'!H23+'Clinic 12'!H23+'Clinic 13'!H23+'Clinic 14'!H23+'Clinic 15'!H23</f>
        <v>0</v>
      </c>
      <c r="I23" s="33">
        <f>'Biocorrect-Agile'!I23+'Biocorrect-GP'!I23+'Clinic 3'!I23+'Clinic 4'!I23+'Clinic 5'!I23+'Clinic 6'!I23+'Clinic 7'!I23+'Clinic 8'!I23+'Clinic 9'!I23+'Clinic 10'!I23+'Clinic 11'!I23+'Clinic 12'!I23+'Clinic 13'!I23+'Clinic 14'!I23+'Clinic 15'!I23</f>
        <v>0</v>
      </c>
      <c r="J23" s="2">
        <f t="shared" si="0"/>
        <v>0</v>
      </c>
    </row>
    <row r="24" spans="1:15" x14ac:dyDescent="0.25">
      <c r="A24" s="1" t="s">
        <v>1</v>
      </c>
      <c r="B24" s="33">
        <f>'Biocorrect-Agile'!B24+'Biocorrect-GP'!B24+'Clinic 3'!B24+'Clinic 4'!B24+'Clinic 5'!B24+'Clinic 6'!B24+'Clinic 7'!B24+'Clinic 8'!B24+'Clinic 9'!B24+'Clinic 10'!B24+'Clinic 11'!B24+'Clinic 12'!B24+'Clinic 13'!B24+'Clinic 14'!B24+'Clinic 15'!B24</f>
        <v>900</v>
      </c>
      <c r="C24" s="33">
        <f>'Biocorrect-Agile'!C24+'Biocorrect-GP'!C24+'Clinic 3'!C24+'Clinic 4'!C24+'Clinic 5'!C24+'Clinic 6'!C24+'Clinic 7'!C24+'Clinic 8'!C24+'Clinic 9'!C24+'Clinic 10'!C24+'Clinic 11'!C24+'Clinic 12'!C24+'Clinic 13'!C24+'Clinic 14'!C24+'Clinic 15'!C24</f>
        <v>0</v>
      </c>
      <c r="D24" s="33">
        <f>'Biocorrect-Agile'!D24+'Biocorrect-GP'!D24+'Clinic 3'!D24+'Clinic 4'!D24+'Clinic 5'!D24+'Clinic 6'!D24+'Clinic 7'!D24+'Clinic 8'!D24+'Clinic 9'!D24+'Clinic 10'!D24+'Clinic 11'!D24+'Clinic 12'!D24+'Clinic 13'!D24+'Clinic 14'!D24+'Clinic 15'!D24</f>
        <v>732</v>
      </c>
      <c r="E24" s="33">
        <f>'Biocorrect-Agile'!E24+'Biocorrect-GP'!E24+'Clinic 3'!E24+'Clinic 4'!E24+'Clinic 5'!E24+'Clinic 6'!E24+'Clinic 7'!E24+'Clinic 8'!E24+'Clinic 9'!E24+'Clinic 10'!E24+'Clinic 11'!E24+'Clinic 12'!E24+'Clinic 13'!E24+'Clinic 14'!E24+'Clinic 15'!E24</f>
        <v>0</v>
      </c>
      <c r="F24" s="33">
        <f>'Biocorrect-Agile'!F24+'Biocorrect-GP'!F24+'Clinic 3'!F24+'Clinic 4'!F24+'Clinic 5'!F24+'Clinic 6'!F24+'Clinic 7'!F24+'Clinic 8'!F24+'Clinic 9'!F24+'Clinic 10'!F24+'Clinic 11'!F24+'Clinic 12'!F24+'Clinic 13'!F24+'Clinic 14'!F24+'Clinic 15'!F24</f>
        <v>0</v>
      </c>
      <c r="G24" s="33">
        <f>'Biocorrect-Agile'!G24+'Biocorrect-GP'!G24+'Clinic 3'!G24+'Clinic 4'!G24+'Clinic 5'!G24+'Clinic 6'!G24+'Clinic 7'!G24+'Clinic 8'!G24+'Clinic 9'!G24+'Clinic 10'!G24+'Clinic 11'!G24+'Clinic 12'!G24+'Clinic 13'!G24+'Clinic 14'!G24+'Clinic 15'!G24</f>
        <v>0</v>
      </c>
      <c r="H24" s="33">
        <f>'Biocorrect-Agile'!H24+'Biocorrect-GP'!H24+'Clinic 3'!H24+'Clinic 4'!H24+'Clinic 5'!H24+'Clinic 6'!H24+'Clinic 7'!H24+'Clinic 8'!H24+'Clinic 9'!H24+'Clinic 10'!H24+'Clinic 11'!H24+'Clinic 12'!H24+'Clinic 13'!H24+'Clinic 14'!H24+'Clinic 15'!H24</f>
        <v>-142</v>
      </c>
      <c r="I24" s="33">
        <f>'Biocorrect-Agile'!I24+'Biocorrect-GP'!I24+'Clinic 3'!I24+'Clinic 4'!I24+'Clinic 5'!I24+'Clinic 6'!I24+'Clinic 7'!I24+'Clinic 8'!I24+'Clinic 9'!I24+'Clinic 10'!I24+'Clinic 11'!I24+'Clinic 12'!I24+'Clinic 13'!I24+'Clinic 14'!I24+'Clinic 15'!I24</f>
        <v>0</v>
      </c>
      <c r="J24" s="2">
        <f t="shared" si="0"/>
        <v>1490</v>
      </c>
    </row>
    <row r="25" spans="1:15" x14ac:dyDescent="0.25">
      <c r="A25" s="1" t="s">
        <v>0</v>
      </c>
      <c r="B25" s="10">
        <f t="shared" ref="B25:J25" si="1">SUM(B8:B24)</f>
        <v>10439.82</v>
      </c>
      <c r="C25" s="10">
        <f t="shared" si="1"/>
        <v>5299.43</v>
      </c>
      <c r="D25" s="10">
        <f t="shared" si="1"/>
        <v>3561.86</v>
      </c>
      <c r="E25" s="10">
        <f t="shared" si="1"/>
        <v>2444.98</v>
      </c>
      <c r="F25" s="10">
        <f t="shared" si="1"/>
        <v>548.73</v>
      </c>
      <c r="G25" s="10">
        <f t="shared" si="1"/>
        <v>1101.2</v>
      </c>
      <c r="H25" s="10">
        <f t="shared" si="1"/>
        <v>1279.04</v>
      </c>
      <c r="I25" s="10">
        <f t="shared" si="1"/>
        <v>218.96000000000015</v>
      </c>
      <c r="J25" s="10">
        <f t="shared" si="1"/>
        <v>24894.020000000004</v>
      </c>
      <c r="L25" s="7">
        <f>'Biocorrect-Agile'!J25+'Biocorrect-GP'!J25</f>
        <v>24894.020000000004</v>
      </c>
      <c r="M25" s="7">
        <f>J25-L25</f>
        <v>0</v>
      </c>
      <c r="N25" s="7">
        <f>J25-'Agile AR Aging &lt;-INPUT'!K433</f>
        <v>0</v>
      </c>
      <c r="O25" s="110" t="s">
        <v>276</v>
      </c>
    </row>
    <row r="26" spans="1:15" ht="15.75" customHeight="1" thickBot="1" x14ac:dyDescent="0.3">
      <c r="A26" s="1"/>
      <c r="B26" s="9"/>
      <c r="C26" s="9"/>
      <c r="D26" s="9"/>
      <c r="E26" s="9"/>
      <c r="F26" s="9"/>
      <c r="G26" s="9"/>
      <c r="H26" s="9"/>
      <c r="I26" s="9"/>
      <c r="J26" s="9"/>
    </row>
    <row r="27" spans="1:15" ht="15.75" customHeight="1" thickBot="1" x14ac:dyDescent="0.3">
      <c r="A27" s="177" t="s">
        <v>1029</v>
      </c>
      <c r="B27" s="178"/>
      <c r="C27" s="178"/>
      <c r="D27" s="178"/>
      <c r="E27" s="178"/>
      <c r="F27" s="178"/>
      <c r="G27" s="178"/>
      <c r="H27" s="178"/>
      <c r="I27" s="178"/>
      <c r="J27" s="179"/>
    </row>
    <row r="28" spans="1:15" ht="15.75" customHeight="1" x14ac:dyDescent="0.25">
      <c r="A28" s="4" t="s">
        <v>16</v>
      </c>
      <c r="B28" s="5" t="s">
        <v>15</v>
      </c>
      <c r="C28" s="5" t="s">
        <v>14</v>
      </c>
      <c r="D28" s="5" t="s">
        <v>13</v>
      </c>
      <c r="E28" s="5" t="s">
        <v>12</v>
      </c>
      <c r="F28" s="5" t="s">
        <v>93</v>
      </c>
      <c r="G28" s="5" t="s">
        <v>94</v>
      </c>
      <c r="H28" s="5" t="s">
        <v>38</v>
      </c>
      <c r="I28" s="5" t="s">
        <v>9</v>
      </c>
      <c r="J28" s="5" t="s">
        <v>0</v>
      </c>
    </row>
    <row r="29" spans="1:15" ht="15.75" customHeight="1" x14ac:dyDescent="0.25">
      <c r="A29" s="1" t="s">
        <v>49</v>
      </c>
      <c r="B29" s="33">
        <f>'Biocorrect-Agile'!B29+'Biocorrect-GP'!B29+'Clinic 3'!B29+'Clinic 4'!B29+'Clinic 5'!B29+'Clinic 6'!B29+'Clinic 7'!B29+'Clinic 8'!B29+'Clinic 9'!B29+'Clinic 10'!B29+'Clinic 11'!B29+'Clinic 12'!B29+'Clinic 13'!B29+'Clinic 14'!B29+'Clinic 15'!B29</f>
        <v>0</v>
      </c>
      <c r="C29" s="33">
        <f>'Biocorrect-Agile'!C29+'Biocorrect-GP'!C29+'Clinic 3'!C29+'Clinic 4'!C29+'Clinic 5'!C29+'Clinic 6'!C29+'Clinic 7'!C29+'Clinic 8'!C29+'Clinic 9'!C29+'Clinic 10'!C29+'Clinic 11'!C29+'Clinic 12'!C29+'Clinic 13'!C29+'Clinic 14'!C29+'Clinic 15'!C29</f>
        <v>0</v>
      </c>
      <c r="D29" s="33">
        <f>'Biocorrect-Agile'!D29+'Biocorrect-GP'!D29+'Clinic 3'!D29+'Clinic 4'!D29+'Clinic 5'!D29+'Clinic 6'!D29+'Clinic 7'!D29+'Clinic 8'!D29+'Clinic 9'!D29+'Clinic 10'!D29+'Clinic 11'!D29+'Clinic 12'!D29+'Clinic 13'!D29+'Clinic 14'!D29+'Clinic 15'!D29</f>
        <v>0</v>
      </c>
      <c r="E29" s="33">
        <f>'Biocorrect-Agile'!E29+'Biocorrect-GP'!E29+'Clinic 3'!E29+'Clinic 4'!E29+'Clinic 5'!E29+'Clinic 6'!E29+'Clinic 7'!E29+'Clinic 8'!E29+'Clinic 9'!E29+'Clinic 10'!E29+'Clinic 11'!E29+'Clinic 12'!E29+'Clinic 13'!E29+'Clinic 14'!E29+'Clinic 15'!E29</f>
        <v>0</v>
      </c>
      <c r="F29" s="33">
        <f>'Biocorrect-Agile'!F29+'Biocorrect-GP'!F29+'Clinic 3'!F29+'Clinic 4'!F29+'Clinic 5'!F29+'Clinic 6'!F29+'Clinic 7'!F29+'Clinic 8'!F29+'Clinic 9'!F29+'Clinic 10'!F29+'Clinic 11'!F29+'Clinic 12'!F29+'Clinic 13'!F29+'Clinic 14'!F29+'Clinic 15'!F29</f>
        <v>0</v>
      </c>
      <c r="G29" s="33">
        <f>'Biocorrect-Agile'!G29+'Biocorrect-GP'!G29+'Clinic 3'!G29+'Clinic 4'!G29+'Clinic 5'!G29+'Clinic 6'!G29+'Clinic 7'!G29+'Clinic 8'!G29+'Clinic 9'!G29+'Clinic 10'!G29+'Clinic 11'!G29+'Clinic 12'!G29+'Clinic 13'!G29+'Clinic 14'!G29+'Clinic 15'!G29</f>
        <v>0</v>
      </c>
      <c r="H29" s="33">
        <f>'Biocorrect-Agile'!H29+'Biocorrect-GP'!H29+'Clinic 3'!H29+'Clinic 4'!H29+'Clinic 5'!H29+'Clinic 6'!H29+'Clinic 7'!H29+'Clinic 8'!H29+'Clinic 9'!H29+'Clinic 10'!H29+'Clinic 11'!H29+'Clinic 12'!H29+'Clinic 13'!H29+'Clinic 14'!H29+'Clinic 15'!H29</f>
        <v>0</v>
      </c>
      <c r="I29" s="33">
        <f>'Biocorrect-Agile'!I29+'Biocorrect-GP'!I29+'Clinic 3'!I29+'Clinic 4'!I29+'Clinic 5'!I29+'Clinic 6'!I29+'Clinic 7'!I29+'Clinic 8'!I29+'Clinic 9'!I29+'Clinic 10'!I29+'Clinic 11'!I29+'Clinic 12'!I29+'Clinic 13'!I29+'Clinic 14'!I29+'Clinic 15'!I29</f>
        <v>0</v>
      </c>
      <c r="J29" s="9">
        <f>SUM(B29:I29)</f>
        <v>0</v>
      </c>
    </row>
    <row r="30" spans="1:15" ht="15.75" customHeight="1" x14ac:dyDescent="0.25">
      <c r="A30" s="1" t="s">
        <v>8</v>
      </c>
      <c r="B30" s="33">
        <f>'Biocorrect-Agile'!B30+'Biocorrect-GP'!B30+'Clinic 3'!B30+'Clinic 4'!B30+'Clinic 5'!B30+'Clinic 6'!B30+'Clinic 7'!B30+'Clinic 8'!B30+'Clinic 9'!B30+'Clinic 10'!B30+'Clinic 11'!B30+'Clinic 12'!B30+'Clinic 13'!B30+'Clinic 14'!B30+'Clinic 15'!B30</f>
        <v>0</v>
      </c>
      <c r="C30" s="33">
        <f>'Biocorrect-Agile'!C30+'Biocorrect-GP'!C30+'Clinic 3'!C30+'Clinic 4'!C30+'Clinic 5'!C30+'Clinic 6'!C30+'Clinic 7'!C30+'Clinic 8'!C30+'Clinic 9'!C30+'Clinic 10'!C30+'Clinic 11'!C30+'Clinic 12'!C30+'Clinic 13'!C30+'Clinic 14'!C30+'Clinic 15'!C30</f>
        <v>0</v>
      </c>
      <c r="D30" s="33">
        <f>'Biocorrect-Agile'!D30+'Biocorrect-GP'!D30+'Clinic 3'!D30+'Clinic 4'!D30+'Clinic 5'!D30+'Clinic 6'!D30+'Clinic 7'!D30+'Clinic 8'!D30+'Clinic 9'!D30+'Clinic 10'!D30+'Clinic 11'!D30+'Clinic 12'!D30+'Clinic 13'!D30+'Clinic 14'!D30+'Clinic 15'!D30</f>
        <v>0</v>
      </c>
      <c r="E30" s="33">
        <f>'Biocorrect-Agile'!E30+'Biocorrect-GP'!E30+'Clinic 3'!E30+'Clinic 4'!E30+'Clinic 5'!E30+'Clinic 6'!E30+'Clinic 7'!E30+'Clinic 8'!E30+'Clinic 9'!E30+'Clinic 10'!E30+'Clinic 11'!E30+'Clinic 12'!E30+'Clinic 13'!E30+'Clinic 14'!E30+'Clinic 15'!E30</f>
        <v>0</v>
      </c>
      <c r="F30" s="33">
        <f>'Biocorrect-Agile'!F30+'Biocorrect-GP'!F30+'Clinic 3'!F30+'Clinic 4'!F30+'Clinic 5'!F30+'Clinic 6'!F30+'Clinic 7'!F30+'Clinic 8'!F30+'Clinic 9'!F30+'Clinic 10'!F30+'Clinic 11'!F30+'Clinic 12'!F30+'Clinic 13'!F30+'Clinic 14'!F30+'Clinic 15'!F30</f>
        <v>0</v>
      </c>
      <c r="G30" s="33">
        <f>'Biocorrect-Agile'!G30+'Biocorrect-GP'!G30+'Clinic 3'!G30+'Clinic 4'!G30+'Clinic 5'!G30+'Clinic 6'!G30+'Clinic 7'!G30+'Clinic 8'!G30+'Clinic 9'!G30+'Clinic 10'!G30+'Clinic 11'!G30+'Clinic 12'!G30+'Clinic 13'!G30+'Clinic 14'!G30+'Clinic 15'!G30</f>
        <v>0</v>
      </c>
      <c r="H30" s="33">
        <f>'Biocorrect-Agile'!H30+'Biocorrect-GP'!H30+'Clinic 3'!H30+'Clinic 4'!H30+'Clinic 5'!H30+'Clinic 6'!H30+'Clinic 7'!H30+'Clinic 8'!H30+'Clinic 9'!H30+'Clinic 10'!H30+'Clinic 11'!H30+'Clinic 12'!H30+'Clinic 13'!H30+'Clinic 14'!H30+'Clinic 15'!H30</f>
        <v>0</v>
      </c>
      <c r="I30" s="33">
        <f>'Biocorrect-Agile'!I30+'Biocorrect-GP'!I30+'Clinic 3'!I30+'Clinic 4'!I30+'Clinic 5'!I30+'Clinic 6'!I30+'Clinic 7'!I30+'Clinic 8'!I30+'Clinic 9'!I30+'Clinic 10'!I30+'Clinic 11'!I30+'Clinic 12'!I30+'Clinic 13'!I30+'Clinic 14'!I30+'Clinic 15'!I30</f>
        <v>0</v>
      </c>
      <c r="J30" s="9">
        <f t="shared" ref="J30:J45" si="2">SUM(B30:I30)</f>
        <v>0</v>
      </c>
    </row>
    <row r="31" spans="1:15" ht="15.75" customHeight="1" x14ac:dyDescent="0.25">
      <c r="A31" s="1" t="s">
        <v>7</v>
      </c>
      <c r="B31" s="33">
        <f>'Biocorrect-Agile'!B31+'Biocorrect-GP'!B31+'Clinic 3'!B31+'Clinic 4'!B31+'Clinic 5'!B31+'Clinic 6'!B31+'Clinic 7'!B31+'Clinic 8'!B31+'Clinic 9'!B31+'Clinic 10'!B31+'Clinic 11'!B31+'Clinic 12'!B31+'Clinic 13'!B31+'Clinic 14'!B31+'Clinic 15'!B31</f>
        <v>0</v>
      </c>
      <c r="C31" s="33">
        <f>'Biocorrect-Agile'!C31+'Biocorrect-GP'!C31+'Clinic 3'!C31+'Clinic 4'!C31+'Clinic 5'!C31+'Clinic 6'!C31+'Clinic 7'!C31+'Clinic 8'!C31+'Clinic 9'!C31+'Clinic 10'!C31+'Clinic 11'!C31+'Clinic 12'!C31+'Clinic 13'!C31+'Clinic 14'!C31+'Clinic 15'!C31</f>
        <v>0</v>
      </c>
      <c r="D31" s="33">
        <f>'Biocorrect-Agile'!D31+'Biocorrect-GP'!D31+'Clinic 3'!D31+'Clinic 4'!D31+'Clinic 5'!D31+'Clinic 6'!D31+'Clinic 7'!D31+'Clinic 8'!D31+'Clinic 9'!D31+'Clinic 10'!D31+'Clinic 11'!D31+'Clinic 12'!D31+'Clinic 13'!D31+'Clinic 14'!D31+'Clinic 15'!D31</f>
        <v>0</v>
      </c>
      <c r="E31" s="33">
        <f>'Biocorrect-Agile'!E31+'Biocorrect-GP'!E31+'Clinic 3'!E31+'Clinic 4'!E31+'Clinic 5'!E31+'Clinic 6'!E31+'Clinic 7'!E31+'Clinic 8'!E31+'Clinic 9'!E31+'Clinic 10'!E31+'Clinic 11'!E31+'Clinic 12'!E31+'Clinic 13'!E31+'Clinic 14'!E31+'Clinic 15'!E31</f>
        <v>0</v>
      </c>
      <c r="F31" s="33">
        <f>'Biocorrect-Agile'!F31+'Biocorrect-GP'!F31+'Clinic 3'!F31+'Clinic 4'!F31+'Clinic 5'!F31+'Clinic 6'!F31+'Clinic 7'!F31+'Clinic 8'!F31+'Clinic 9'!F31+'Clinic 10'!F31+'Clinic 11'!F31+'Clinic 12'!F31+'Clinic 13'!F31+'Clinic 14'!F31+'Clinic 15'!F31</f>
        <v>0</v>
      </c>
      <c r="G31" s="33">
        <f>'Biocorrect-Agile'!G31+'Biocorrect-GP'!G31+'Clinic 3'!G31+'Clinic 4'!G31+'Clinic 5'!G31+'Clinic 6'!G31+'Clinic 7'!G31+'Clinic 8'!G31+'Clinic 9'!G31+'Clinic 10'!G31+'Clinic 11'!G31+'Clinic 12'!G31+'Clinic 13'!G31+'Clinic 14'!G31+'Clinic 15'!G31</f>
        <v>0</v>
      </c>
      <c r="H31" s="33">
        <f>'Biocorrect-Agile'!H31+'Biocorrect-GP'!H31+'Clinic 3'!H31+'Clinic 4'!H31+'Clinic 5'!H31+'Clinic 6'!H31+'Clinic 7'!H31+'Clinic 8'!H31+'Clinic 9'!H31+'Clinic 10'!H31+'Clinic 11'!H31+'Clinic 12'!H31+'Clinic 13'!H31+'Clinic 14'!H31+'Clinic 15'!H31</f>
        <v>-28.44</v>
      </c>
      <c r="I31" s="33">
        <f>'Biocorrect-Agile'!I31+'Biocorrect-GP'!I31+'Clinic 3'!I31+'Clinic 4'!I31+'Clinic 5'!I31+'Clinic 6'!I31+'Clinic 7'!I31+'Clinic 8'!I31+'Clinic 9'!I31+'Clinic 10'!I31+'Clinic 11'!I31+'Clinic 12'!I31+'Clinic 13'!I31+'Clinic 14'!I31+'Clinic 15'!I31</f>
        <v>0</v>
      </c>
      <c r="J31" s="9">
        <f t="shared" si="2"/>
        <v>-28.44</v>
      </c>
    </row>
    <row r="32" spans="1:15" ht="15.75" customHeight="1" x14ac:dyDescent="0.25">
      <c r="A32" s="1" t="s">
        <v>42</v>
      </c>
      <c r="B32" s="33">
        <f>'Biocorrect-Agile'!B32+'Biocorrect-GP'!B32+'Clinic 3'!B32+'Clinic 4'!B32+'Clinic 5'!B32+'Clinic 6'!B32+'Clinic 7'!B32+'Clinic 8'!B32+'Clinic 9'!B32+'Clinic 10'!B32+'Clinic 11'!B32+'Clinic 12'!B32+'Clinic 13'!B32+'Clinic 14'!B32+'Clinic 15'!B32</f>
        <v>0</v>
      </c>
      <c r="C32" s="33">
        <f>'Biocorrect-Agile'!C32+'Biocorrect-GP'!C32+'Clinic 3'!C32+'Clinic 4'!C32+'Clinic 5'!C32+'Clinic 6'!C32+'Clinic 7'!C32+'Clinic 8'!C32+'Clinic 9'!C32+'Clinic 10'!C32+'Clinic 11'!C32+'Clinic 12'!C32+'Clinic 13'!C32+'Clinic 14'!C32+'Clinic 15'!C32</f>
        <v>0</v>
      </c>
      <c r="D32" s="33">
        <f>'Biocorrect-Agile'!D32+'Biocorrect-GP'!D32+'Clinic 3'!D32+'Clinic 4'!D32+'Clinic 5'!D32+'Clinic 6'!D32+'Clinic 7'!D32+'Clinic 8'!D32+'Clinic 9'!D32+'Clinic 10'!D32+'Clinic 11'!D32+'Clinic 12'!D32+'Clinic 13'!D32+'Clinic 14'!D32+'Clinic 15'!D32</f>
        <v>0</v>
      </c>
      <c r="E32" s="33">
        <f>'Biocorrect-Agile'!E32+'Biocorrect-GP'!E32+'Clinic 3'!E32+'Clinic 4'!E32+'Clinic 5'!E32+'Clinic 6'!E32+'Clinic 7'!E32+'Clinic 8'!E32+'Clinic 9'!E32+'Clinic 10'!E32+'Clinic 11'!E32+'Clinic 12'!E32+'Clinic 13'!E32+'Clinic 14'!E32+'Clinic 15'!E32</f>
        <v>0</v>
      </c>
      <c r="F32" s="33">
        <f>'Biocorrect-Agile'!F32+'Biocorrect-GP'!F32+'Clinic 3'!F32+'Clinic 4'!F32+'Clinic 5'!F32+'Clinic 6'!F32+'Clinic 7'!F32+'Clinic 8'!F32+'Clinic 9'!F32+'Clinic 10'!F32+'Clinic 11'!F32+'Clinic 12'!F32+'Clinic 13'!F32+'Clinic 14'!F32+'Clinic 15'!F32</f>
        <v>0</v>
      </c>
      <c r="G32" s="33">
        <f>'Biocorrect-Agile'!G32+'Biocorrect-GP'!G32+'Clinic 3'!G32+'Clinic 4'!G32+'Clinic 5'!G32+'Clinic 6'!G32+'Clinic 7'!G32+'Clinic 8'!G32+'Clinic 9'!G32+'Clinic 10'!G32+'Clinic 11'!G32+'Clinic 12'!G32+'Clinic 13'!G32+'Clinic 14'!G32+'Clinic 15'!G32</f>
        <v>0</v>
      </c>
      <c r="H32" s="33">
        <f>'Biocorrect-Agile'!H32+'Biocorrect-GP'!H32+'Clinic 3'!H32+'Clinic 4'!H32+'Clinic 5'!H32+'Clinic 6'!H32+'Clinic 7'!H32+'Clinic 8'!H32+'Clinic 9'!H32+'Clinic 10'!H32+'Clinic 11'!H32+'Clinic 12'!H32+'Clinic 13'!H32+'Clinic 14'!H32+'Clinic 15'!H32</f>
        <v>0</v>
      </c>
      <c r="I32" s="33">
        <f>'Biocorrect-Agile'!I32+'Biocorrect-GP'!I32+'Clinic 3'!I32+'Clinic 4'!I32+'Clinic 5'!I32+'Clinic 6'!I32+'Clinic 7'!I32+'Clinic 8'!I32+'Clinic 9'!I32+'Clinic 10'!I32+'Clinic 11'!I32+'Clinic 12'!I32+'Clinic 13'!I32+'Clinic 14'!I32+'Clinic 15'!I32</f>
        <v>0</v>
      </c>
      <c r="J32" s="9">
        <f t="shared" si="2"/>
        <v>0</v>
      </c>
    </row>
    <row r="33" spans="1:13" ht="15.75" customHeight="1" x14ac:dyDescent="0.25">
      <c r="A33" s="1" t="s">
        <v>6</v>
      </c>
      <c r="B33" s="33">
        <f>'Biocorrect-Agile'!B33+'Biocorrect-GP'!B33+'Clinic 3'!B33+'Clinic 4'!B33+'Clinic 5'!B33+'Clinic 6'!B33+'Clinic 7'!B33+'Clinic 8'!B33+'Clinic 9'!B33+'Clinic 10'!B33+'Clinic 11'!B33+'Clinic 12'!B33+'Clinic 13'!B33+'Clinic 14'!B33+'Clinic 15'!B33</f>
        <v>0</v>
      </c>
      <c r="C33" s="33">
        <f>'Biocorrect-Agile'!C33+'Biocorrect-GP'!C33+'Clinic 3'!C33+'Clinic 4'!C33+'Clinic 5'!C33+'Clinic 6'!C33+'Clinic 7'!C33+'Clinic 8'!C33+'Clinic 9'!C33+'Clinic 10'!C33+'Clinic 11'!C33+'Clinic 12'!C33+'Clinic 13'!C33+'Clinic 14'!C33+'Clinic 15'!C33</f>
        <v>0</v>
      </c>
      <c r="D33" s="33">
        <f>'Biocorrect-Agile'!D33+'Biocorrect-GP'!D33+'Clinic 3'!D33+'Clinic 4'!D33+'Clinic 5'!D33+'Clinic 6'!D33+'Clinic 7'!D33+'Clinic 8'!D33+'Clinic 9'!D33+'Clinic 10'!D33+'Clinic 11'!D33+'Clinic 12'!D33+'Clinic 13'!D33+'Clinic 14'!D33+'Clinic 15'!D33</f>
        <v>0</v>
      </c>
      <c r="E33" s="33">
        <f>'Biocorrect-Agile'!E33+'Biocorrect-GP'!E33+'Clinic 3'!E33+'Clinic 4'!E33+'Clinic 5'!E33+'Clinic 6'!E33+'Clinic 7'!E33+'Clinic 8'!E33+'Clinic 9'!E33+'Clinic 10'!E33+'Clinic 11'!E33+'Clinic 12'!E33+'Clinic 13'!E33+'Clinic 14'!E33+'Clinic 15'!E33</f>
        <v>0</v>
      </c>
      <c r="F33" s="33">
        <f>'Biocorrect-Agile'!F33+'Biocorrect-GP'!F33+'Clinic 3'!F33+'Clinic 4'!F33+'Clinic 5'!F33+'Clinic 6'!F33+'Clinic 7'!F33+'Clinic 8'!F33+'Clinic 9'!F33+'Clinic 10'!F33+'Clinic 11'!F33+'Clinic 12'!F33+'Clinic 13'!F33+'Clinic 14'!F33+'Clinic 15'!F33</f>
        <v>0</v>
      </c>
      <c r="G33" s="33">
        <f>'Biocorrect-Agile'!G33+'Biocorrect-GP'!G33+'Clinic 3'!G33+'Clinic 4'!G33+'Clinic 5'!G33+'Clinic 6'!G33+'Clinic 7'!G33+'Clinic 8'!G33+'Clinic 9'!G33+'Clinic 10'!G33+'Clinic 11'!G33+'Clinic 12'!G33+'Clinic 13'!G33+'Clinic 14'!G33+'Clinic 15'!G33</f>
        <v>0</v>
      </c>
      <c r="H33" s="33">
        <f>'Biocorrect-Agile'!H33+'Biocorrect-GP'!H33+'Clinic 3'!H33+'Clinic 4'!H33+'Clinic 5'!H33+'Clinic 6'!H33+'Clinic 7'!H33+'Clinic 8'!H33+'Clinic 9'!H33+'Clinic 10'!H33+'Clinic 11'!H33+'Clinic 12'!H33+'Clinic 13'!H33+'Clinic 14'!H33+'Clinic 15'!H33</f>
        <v>0</v>
      </c>
      <c r="I33" s="33">
        <f>'Biocorrect-Agile'!I33+'Biocorrect-GP'!I33+'Clinic 3'!I33+'Clinic 4'!I33+'Clinic 5'!I33+'Clinic 6'!I33+'Clinic 7'!I33+'Clinic 8'!I33+'Clinic 9'!I33+'Clinic 10'!I33+'Clinic 11'!I33+'Clinic 12'!I33+'Clinic 13'!I33+'Clinic 14'!I33+'Clinic 15'!I33</f>
        <v>0</v>
      </c>
      <c r="J33" s="9">
        <f t="shared" si="2"/>
        <v>0</v>
      </c>
    </row>
    <row r="34" spans="1:13" ht="15.75" customHeight="1" x14ac:dyDescent="0.25">
      <c r="A34" s="1" t="s">
        <v>50</v>
      </c>
      <c r="B34" s="33">
        <f>'Biocorrect-Agile'!B34+'Biocorrect-GP'!B34+'Clinic 3'!B34+'Clinic 4'!B34+'Clinic 5'!B34+'Clinic 6'!B34+'Clinic 7'!B34+'Clinic 8'!B34+'Clinic 9'!B34+'Clinic 10'!B34+'Clinic 11'!B34+'Clinic 12'!B34+'Clinic 13'!B34+'Clinic 14'!B34+'Clinic 15'!B34</f>
        <v>0</v>
      </c>
      <c r="C34" s="33">
        <f>'Biocorrect-Agile'!C34+'Biocorrect-GP'!C34+'Clinic 3'!C34+'Clinic 4'!C34+'Clinic 5'!C34+'Clinic 6'!C34+'Clinic 7'!C34+'Clinic 8'!C34+'Clinic 9'!C34+'Clinic 10'!C34+'Clinic 11'!C34+'Clinic 12'!C34+'Clinic 13'!C34+'Clinic 14'!C34+'Clinic 15'!C34</f>
        <v>0</v>
      </c>
      <c r="D34" s="33">
        <f>'Biocorrect-Agile'!D34+'Biocorrect-GP'!D34+'Clinic 3'!D34+'Clinic 4'!D34+'Clinic 5'!D34+'Clinic 6'!D34+'Clinic 7'!D34+'Clinic 8'!D34+'Clinic 9'!D34+'Clinic 10'!D34+'Clinic 11'!D34+'Clinic 12'!D34+'Clinic 13'!D34+'Clinic 14'!D34+'Clinic 15'!D34</f>
        <v>0</v>
      </c>
      <c r="E34" s="33">
        <f>'Biocorrect-Agile'!E34+'Biocorrect-GP'!E34+'Clinic 3'!E34+'Clinic 4'!E34+'Clinic 5'!E34+'Clinic 6'!E34+'Clinic 7'!E34+'Clinic 8'!E34+'Clinic 9'!E34+'Clinic 10'!E34+'Clinic 11'!E34+'Clinic 12'!E34+'Clinic 13'!E34+'Clinic 14'!E34+'Clinic 15'!E34</f>
        <v>0</v>
      </c>
      <c r="F34" s="33">
        <f>'Biocorrect-Agile'!F34+'Biocorrect-GP'!F34+'Clinic 3'!F34+'Clinic 4'!F34+'Clinic 5'!F34+'Clinic 6'!F34+'Clinic 7'!F34+'Clinic 8'!F34+'Clinic 9'!F34+'Clinic 10'!F34+'Clinic 11'!F34+'Clinic 12'!F34+'Clinic 13'!F34+'Clinic 14'!F34+'Clinic 15'!F34</f>
        <v>0</v>
      </c>
      <c r="G34" s="33">
        <f>'Biocorrect-Agile'!G34+'Biocorrect-GP'!G34+'Clinic 3'!G34+'Clinic 4'!G34+'Clinic 5'!G34+'Clinic 6'!G34+'Clinic 7'!G34+'Clinic 8'!G34+'Clinic 9'!G34+'Clinic 10'!G34+'Clinic 11'!G34+'Clinic 12'!G34+'Clinic 13'!G34+'Clinic 14'!G34+'Clinic 15'!G34</f>
        <v>0</v>
      </c>
      <c r="H34" s="33">
        <f>'Biocorrect-Agile'!H34+'Biocorrect-GP'!H34+'Clinic 3'!H34+'Clinic 4'!H34+'Clinic 5'!H34+'Clinic 6'!H34+'Clinic 7'!H34+'Clinic 8'!H34+'Clinic 9'!H34+'Clinic 10'!H34+'Clinic 11'!H34+'Clinic 12'!H34+'Clinic 13'!H34+'Clinic 14'!H34+'Clinic 15'!H34</f>
        <v>0</v>
      </c>
      <c r="I34" s="33">
        <f>'Biocorrect-Agile'!I34+'Biocorrect-GP'!I34+'Clinic 3'!I34+'Clinic 4'!I34+'Clinic 5'!I34+'Clinic 6'!I34+'Clinic 7'!I34+'Clinic 8'!I34+'Clinic 9'!I34+'Clinic 10'!I34+'Clinic 11'!I34+'Clinic 12'!I34+'Clinic 13'!I34+'Clinic 14'!I34+'Clinic 15'!I34</f>
        <v>0</v>
      </c>
      <c r="J34" s="9">
        <f t="shared" si="2"/>
        <v>0</v>
      </c>
    </row>
    <row r="35" spans="1:13" ht="15.75" customHeight="1" x14ac:dyDescent="0.25">
      <c r="A35" s="1" t="s">
        <v>89</v>
      </c>
      <c r="B35" s="33">
        <f>'Biocorrect-Agile'!B35+'Biocorrect-GP'!B35+'Clinic 3'!B35+'Clinic 4'!B35+'Clinic 5'!B35+'Clinic 6'!B35+'Clinic 7'!B35+'Clinic 8'!B35+'Clinic 9'!B35+'Clinic 10'!B35+'Clinic 11'!B35+'Clinic 12'!B35+'Clinic 13'!B35+'Clinic 14'!B35+'Clinic 15'!B35</f>
        <v>0</v>
      </c>
      <c r="C35" s="33">
        <f>'Biocorrect-Agile'!C35+'Biocorrect-GP'!C35+'Clinic 3'!C35+'Clinic 4'!C35+'Clinic 5'!C35+'Clinic 6'!C35+'Clinic 7'!C35+'Clinic 8'!C35+'Clinic 9'!C35+'Clinic 10'!C35+'Clinic 11'!C35+'Clinic 12'!C35+'Clinic 13'!C35+'Clinic 14'!C35+'Clinic 15'!C35</f>
        <v>0</v>
      </c>
      <c r="D35" s="33">
        <f>'Biocorrect-Agile'!D35+'Biocorrect-GP'!D35+'Clinic 3'!D35+'Clinic 4'!D35+'Clinic 5'!D35+'Clinic 6'!D35+'Clinic 7'!D35+'Clinic 8'!D35+'Clinic 9'!D35+'Clinic 10'!D35+'Clinic 11'!D35+'Clinic 12'!D35+'Clinic 13'!D35+'Clinic 14'!D35+'Clinic 15'!D35</f>
        <v>0</v>
      </c>
      <c r="E35" s="33">
        <f>'Biocorrect-Agile'!E35+'Biocorrect-GP'!E35+'Clinic 3'!E35+'Clinic 4'!E35+'Clinic 5'!E35+'Clinic 6'!E35+'Clinic 7'!E35+'Clinic 8'!E35+'Clinic 9'!E35+'Clinic 10'!E35+'Clinic 11'!E35+'Clinic 12'!E35+'Clinic 13'!E35+'Clinic 14'!E35+'Clinic 15'!E35</f>
        <v>0</v>
      </c>
      <c r="F35" s="33">
        <f>'Biocorrect-Agile'!F35+'Biocorrect-GP'!F35+'Clinic 3'!F35+'Clinic 4'!F35+'Clinic 5'!F35+'Clinic 6'!F35+'Clinic 7'!F35+'Clinic 8'!F35+'Clinic 9'!F35+'Clinic 10'!F35+'Clinic 11'!F35+'Clinic 12'!F35+'Clinic 13'!F35+'Clinic 14'!F35+'Clinic 15'!F35</f>
        <v>0</v>
      </c>
      <c r="G35" s="33">
        <f>'Biocorrect-Agile'!G35+'Biocorrect-GP'!G35+'Clinic 3'!G35+'Clinic 4'!G35+'Clinic 5'!G35+'Clinic 6'!G35+'Clinic 7'!G35+'Clinic 8'!G35+'Clinic 9'!G35+'Clinic 10'!G35+'Clinic 11'!G35+'Clinic 12'!G35+'Clinic 13'!G35+'Clinic 14'!G35+'Clinic 15'!G35</f>
        <v>0</v>
      </c>
      <c r="H35" s="33">
        <f>'Biocorrect-Agile'!H35+'Biocorrect-GP'!H35+'Clinic 3'!H35+'Clinic 4'!H35+'Clinic 5'!H35+'Clinic 6'!H35+'Clinic 7'!H35+'Clinic 8'!H35+'Clinic 9'!H35+'Clinic 10'!H35+'Clinic 11'!H35+'Clinic 12'!H35+'Clinic 13'!H35+'Clinic 14'!H35+'Clinic 15'!H35</f>
        <v>0</v>
      </c>
      <c r="I35" s="33">
        <f>'Biocorrect-Agile'!I35+'Biocorrect-GP'!I35+'Clinic 3'!I35+'Clinic 4'!I35+'Clinic 5'!I35+'Clinic 6'!I35+'Clinic 7'!I35+'Clinic 8'!I35+'Clinic 9'!I35+'Clinic 10'!I35+'Clinic 11'!I35+'Clinic 12'!I35+'Clinic 13'!I35+'Clinic 14'!I35+'Clinic 15'!I35</f>
        <v>0</v>
      </c>
      <c r="J35" s="9">
        <f t="shared" si="2"/>
        <v>0</v>
      </c>
    </row>
    <row r="36" spans="1:13" ht="15.75" customHeight="1" x14ac:dyDescent="0.25">
      <c r="A36" s="1" t="s">
        <v>5</v>
      </c>
      <c r="B36" s="33">
        <f>'Biocorrect-Agile'!B36+'Biocorrect-GP'!B36+'Clinic 3'!B36+'Clinic 4'!B36+'Clinic 5'!B36+'Clinic 6'!B36+'Clinic 7'!B36+'Clinic 8'!B36+'Clinic 9'!B36+'Clinic 10'!B36+'Clinic 11'!B36+'Clinic 12'!B36+'Clinic 13'!B36+'Clinic 14'!B36+'Clinic 15'!B36</f>
        <v>0</v>
      </c>
      <c r="C36" s="33">
        <f>'Biocorrect-Agile'!C36+'Biocorrect-GP'!C36+'Clinic 3'!C36+'Clinic 4'!C36+'Clinic 5'!C36+'Clinic 6'!C36+'Clinic 7'!C36+'Clinic 8'!C36+'Clinic 9'!C36+'Clinic 10'!C36+'Clinic 11'!C36+'Clinic 12'!C36+'Clinic 13'!C36+'Clinic 14'!C36+'Clinic 15'!C36</f>
        <v>0</v>
      </c>
      <c r="D36" s="33">
        <f>'Biocorrect-Agile'!D36+'Biocorrect-GP'!D36+'Clinic 3'!D36+'Clinic 4'!D36+'Clinic 5'!D36+'Clinic 6'!D36+'Clinic 7'!D36+'Clinic 8'!D36+'Clinic 9'!D36+'Clinic 10'!D36+'Clinic 11'!D36+'Clinic 12'!D36+'Clinic 13'!D36+'Clinic 14'!D36+'Clinic 15'!D36</f>
        <v>0</v>
      </c>
      <c r="E36" s="33">
        <f>'Biocorrect-Agile'!E36+'Biocorrect-GP'!E36+'Clinic 3'!E36+'Clinic 4'!E36+'Clinic 5'!E36+'Clinic 6'!E36+'Clinic 7'!E36+'Clinic 8'!E36+'Clinic 9'!E36+'Clinic 10'!E36+'Clinic 11'!E36+'Clinic 12'!E36+'Clinic 13'!E36+'Clinic 14'!E36+'Clinic 15'!E36</f>
        <v>0</v>
      </c>
      <c r="F36" s="33">
        <f>'Biocorrect-Agile'!F36+'Biocorrect-GP'!F36+'Clinic 3'!F36+'Clinic 4'!F36+'Clinic 5'!F36+'Clinic 6'!F36+'Clinic 7'!F36+'Clinic 8'!F36+'Clinic 9'!F36+'Clinic 10'!F36+'Clinic 11'!F36+'Clinic 12'!F36+'Clinic 13'!F36+'Clinic 14'!F36+'Clinic 15'!F36</f>
        <v>0</v>
      </c>
      <c r="G36" s="33">
        <f>'Biocorrect-Agile'!G36+'Biocorrect-GP'!G36+'Clinic 3'!G36+'Clinic 4'!G36+'Clinic 5'!G36+'Clinic 6'!G36+'Clinic 7'!G36+'Clinic 8'!G36+'Clinic 9'!G36+'Clinic 10'!G36+'Clinic 11'!G36+'Clinic 12'!G36+'Clinic 13'!G36+'Clinic 14'!G36+'Clinic 15'!G36</f>
        <v>0</v>
      </c>
      <c r="H36" s="33">
        <f>'Biocorrect-Agile'!H36+'Biocorrect-GP'!H36+'Clinic 3'!H36+'Clinic 4'!H36+'Clinic 5'!H36+'Clinic 6'!H36+'Clinic 7'!H36+'Clinic 8'!H36+'Clinic 9'!H36+'Clinic 10'!H36+'Clinic 11'!H36+'Clinic 12'!H36+'Clinic 13'!H36+'Clinic 14'!H36+'Clinic 15'!H36</f>
        <v>0</v>
      </c>
      <c r="I36" s="33">
        <f>'Biocorrect-Agile'!I36+'Biocorrect-GP'!I36+'Clinic 3'!I36+'Clinic 4'!I36+'Clinic 5'!I36+'Clinic 6'!I36+'Clinic 7'!I36+'Clinic 8'!I36+'Clinic 9'!I36+'Clinic 10'!I36+'Clinic 11'!I36+'Clinic 12'!I36+'Clinic 13'!I36+'Clinic 14'!I36+'Clinic 15'!I36</f>
        <v>0</v>
      </c>
      <c r="J36" s="9">
        <f t="shared" si="2"/>
        <v>0</v>
      </c>
    </row>
    <row r="37" spans="1:13" ht="15.75" customHeight="1" x14ac:dyDescent="0.25">
      <c r="A37" s="1" t="s">
        <v>84</v>
      </c>
      <c r="B37" s="33">
        <f>'Biocorrect-Agile'!B37+'Biocorrect-GP'!B37+'Clinic 3'!B37+'Clinic 4'!B37+'Clinic 5'!B37+'Clinic 6'!B37+'Clinic 7'!B37+'Clinic 8'!B37+'Clinic 9'!B37+'Clinic 10'!B37+'Clinic 11'!B37+'Clinic 12'!B37+'Clinic 13'!B37+'Clinic 14'!B37+'Clinic 15'!B37</f>
        <v>0</v>
      </c>
      <c r="C37" s="33">
        <f>'Biocorrect-Agile'!C37+'Biocorrect-GP'!C37+'Clinic 3'!C37+'Clinic 4'!C37+'Clinic 5'!C37+'Clinic 6'!C37+'Clinic 7'!C37+'Clinic 8'!C37+'Clinic 9'!C37+'Clinic 10'!C37+'Clinic 11'!C37+'Clinic 12'!C37+'Clinic 13'!C37+'Clinic 14'!C37+'Clinic 15'!C37</f>
        <v>0</v>
      </c>
      <c r="D37" s="33">
        <f>'Biocorrect-Agile'!D37+'Biocorrect-GP'!D37+'Clinic 3'!D37+'Clinic 4'!D37+'Clinic 5'!D37+'Clinic 6'!D37+'Clinic 7'!D37+'Clinic 8'!D37+'Clinic 9'!D37+'Clinic 10'!D37+'Clinic 11'!D37+'Clinic 12'!D37+'Clinic 13'!D37+'Clinic 14'!D37+'Clinic 15'!D37</f>
        <v>0</v>
      </c>
      <c r="E37" s="33">
        <f>'Biocorrect-Agile'!E37+'Biocorrect-GP'!E37+'Clinic 3'!E37+'Clinic 4'!E37+'Clinic 5'!E37+'Clinic 6'!E37+'Clinic 7'!E37+'Clinic 8'!E37+'Clinic 9'!E37+'Clinic 10'!E37+'Clinic 11'!E37+'Clinic 12'!E37+'Clinic 13'!E37+'Clinic 14'!E37+'Clinic 15'!E37</f>
        <v>0</v>
      </c>
      <c r="F37" s="33">
        <f>'Biocorrect-Agile'!F37+'Biocorrect-GP'!F37+'Clinic 3'!F37+'Clinic 4'!F37+'Clinic 5'!F37+'Clinic 6'!F37+'Clinic 7'!F37+'Clinic 8'!F37+'Clinic 9'!F37+'Clinic 10'!F37+'Clinic 11'!F37+'Clinic 12'!F37+'Clinic 13'!F37+'Clinic 14'!F37+'Clinic 15'!F37</f>
        <v>0</v>
      </c>
      <c r="G37" s="33">
        <f>'Biocorrect-Agile'!G37+'Biocorrect-GP'!G37+'Clinic 3'!G37+'Clinic 4'!G37+'Clinic 5'!G37+'Clinic 6'!G37+'Clinic 7'!G37+'Clinic 8'!G37+'Clinic 9'!G37+'Clinic 10'!G37+'Clinic 11'!G37+'Clinic 12'!G37+'Clinic 13'!G37+'Clinic 14'!G37+'Clinic 15'!G37</f>
        <v>0</v>
      </c>
      <c r="H37" s="33">
        <f>'Biocorrect-Agile'!H37+'Biocorrect-GP'!H37+'Clinic 3'!H37+'Clinic 4'!H37+'Clinic 5'!H37+'Clinic 6'!H37+'Clinic 7'!H37+'Clinic 8'!H37+'Clinic 9'!H37+'Clinic 10'!H37+'Clinic 11'!H37+'Clinic 12'!H37+'Clinic 13'!H37+'Clinic 14'!H37+'Clinic 15'!H37</f>
        <v>0</v>
      </c>
      <c r="I37" s="33">
        <f>'Biocorrect-Agile'!I37+'Biocorrect-GP'!I37+'Clinic 3'!I37+'Clinic 4'!I37+'Clinic 5'!I37+'Clinic 6'!I37+'Clinic 7'!I37+'Clinic 8'!I37+'Clinic 9'!I37+'Clinic 10'!I37+'Clinic 11'!I37+'Clinic 12'!I37+'Clinic 13'!I37+'Clinic 14'!I37+'Clinic 15'!I37</f>
        <v>0</v>
      </c>
      <c r="J37" s="9">
        <f t="shared" si="2"/>
        <v>0</v>
      </c>
    </row>
    <row r="38" spans="1:13" ht="15.75" customHeight="1" x14ac:dyDescent="0.25">
      <c r="A38" s="1" t="s">
        <v>4</v>
      </c>
      <c r="B38" s="33">
        <f>'Biocorrect-Agile'!B38+'Biocorrect-GP'!B38+'Clinic 3'!B38+'Clinic 4'!B38+'Clinic 5'!B38+'Clinic 6'!B38+'Clinic 7'!B38+'Clinic 8'!B38+'Clinic 9'!B38+'Clinic 10'!B38+'Clinic 11'!B38+'Clinic 12'!B38+'Clinic 13'!B38+'Clinic 14'!B38+'Clinic 15'!B38</f>
        <v>0</v>
      </c>
      <c r="C38" s="33">
        <f>'Biocorrect-Agile'!C38+'Biocorrect-GP'!C38+'Clinic 3'!C38+'Clinic 4'!C38+'Clinic 5'!C38+'Clinic 6'!C38+'Clinic 7'!C38+'Clinic 8'!C38+'Clinic 9'!C38+'Clinic 10'!C38+'Clinic 11'!C38+'Clinic 12'!C38+'Clinic 13'!C38+'Clinic 14'!C38+'Clinic 15'!C38</f>
        <v>0</v>
      </c>
      <c r="D38" s="33">
        <f>'Biocorrect-Agile'!D38+'Biocorrect-GP'!D38+'Clinic 3'!D38+'Clinic 4'!D38+'Clinic 5'!D38+'Clinic 6'!D38+'Clinic 7'!D38+'Clinic 8'!D38+'Clinic 9'!D38+'Clinic 10'!D38+'Clinic 11'!D38+'Clinic 12'!D38+'Clinic 13'!D38+'Clinic 14'!D38+'Clinic 15'!D38</f>
        <v>0</v>
      </c>
      <c r="E38" s="33">
        <f>'Biocorrect-Agile'!E38+'Biocorrect-GP'!E38+'Clinic 3'!E38+'Clinic 4'!E38+'Clinic 5'!E38+'Clinic 6'!E38+'Clinic 7'!E38+'Clinic 8'!E38+'Clinic 9'!E38+'Clinic 10'!E38+'Clinic 11'!E38+'Clinic 12'!E38+'Clinic 13'!E38+'Clinic 14'!E38+'Clinic 15'!E38</f>
        <v>0</v>
      </c>
      <c r="F38" s="33">
        <f>'Biocorrect-Agile'!F38+'Biocorrect-GP'!F38+'Clinic 3'!F38+'Clinic 4'!F38+'Clinic 5'!F38+'Clinic 6'!F38+'Clinic 7'!F38+'Clinic 8'!F38+'Clinic 9'!F38+'Clinic 10'!F38+'Clinic 11'!F38+'Clinic 12'!F38+'Clinic 13'!F38+'Clinic 14'!F38+'Clinic 15'!F38</f>
        <v>0</v>
      </c>
      <c r="G38" s="33">
        <f>'Biocorrect-Agile'!G38+'Biocorrect-GP'!G38+'Clinic 3'!G38+'Clinic 4'!G38+'Clinic 5'!G38+'Clinic 6'!G38+'Clinic 7'!G38+'Clinic 8'!G38+'Clinic 9'!G38+'Clinic 10'!G38+'Clinic 11'!G38+'Clinic 12'!G38+'Clinic 13'!G38+'Clinic 14'!G38+'Clinic 15'!G38</f>
        <v>0</v>
      </c>
      <c r="H38" s="33">
        <f>'Biocorrect-Agile'!H38+'Biocorrect-GP'!H38+'Clinic 3'!H38+'Clinic 4'!H38+'Clinic 5'!H38+'Clinic 6'!H38+'Clinic 7'!H38+'Clinic 8'!H38+'Clinic 9'!H38+'Clinic 10'!H38+'Clinic 11'!H38+'Clinic 12'!H38+'Clinic 13'!H38+'Clinic 14'!H38+'Clinic 15'!H38</f>
        <v>0</v>
      </c>
      <c r="I38" s="33">
        <f>'Biocorrect-Agile'!I38+'Biocorrect-GP'!I38+'Clinic 3'!I38+'Clinic 4'!I38+'Clinic 5'!I38+'Clinic 6'!I38+'Clinic 7'!I38+'Clinic 8'!I38+'Clinic 9'!I38+'Clinic 10'!I38+'Clinic 11'!I38+'Clinic 12'!I38+'Clinic 13'!I38+'Clinic 14'!I38+'Clinic 15'!I38</f>
        <v>0</v>
      </c>
      <c r="J38" s="9">
        <f t="shared" si="2"/>
        <v>0</v>
      </c>
    </row>
    <row r="39" spans="1:13" ht="15.75" customHeight="1" x14ac:dyDescent="0.25">
      <c r="A39" s="1" t="s">
        <v>51</v>
      </c>
      <c r="B39" s="33">
        <f>'Biocorrect-Agile'!B39+'Biocorrect-GP'!B39+'Clinic 3'!B39+'Clinic 4'!B39+'Clinic 5'!B39+'Clinic 6'!B39+'Clinic 7'!B39+'Clinic 8'!B39+'Clinic 9'!B39+'Clinic 10'!B39+'Clinic 11'!B39+'Clinic 12'!B39+'Clinic 13'!B39+'Clinic 14'!B39+'Clinic 15'!B39</f>
        <v>0</v>
      </c>
      <c r="C39" s="33">
        <f>'Biocorrect-Agile'!C39+'Biocorrect-GP'!C39+'Clinic 3'!C39+'Clinic 4'!C39+'Clinic 5'!C39+'Clinic 6'!C39+'Clinic 7'!C39+'Clinic 8'!C39+'Clinic 9'!C39+'Clinic 10'!C39+'Clinic 11'!C39+'Clinic 12'!C39+'Clinic 13'!C39+'Clinic 14'!C39+'Clinic 15'!C39</f>
        <v>0</v>
      </c>
      <c r="D39" s="33">
        <f>'Biocorrect-Agile'!D39+'Biocorrect-GP'!D39+'Clinic 3'!D39+'Clinic 4'!D39+'Clinic 5'!D39+'Clinic 6'!D39+'Clinic 7'!D39+'Clinic 8'!D39+'Clinic 9'!D39+'Clinic 10'!D39+'Clinic 11'!D39+'Clinic 12'!D39+'Clinic 13'!D39+'Clinic 14'!D39+'Clinic 15'!D39</f>
        <v>0</v>
      </c>
      <c r="E39" s="33">
        <f>'Biocorrect-Agile'!E39+'Biocorrect-GP'!E39+'Clinic 3'!E39+'Clinic 4'!E39+'Clinic 5'!E39+'Clinic 6'!E39+'Clinic 7'!E39+'Clinic 8'!E39+'Clinic 9'!E39+'Clinic 10'!E39+'Clinic 11'!E39+'Clinic 12'!E39+'Clinic 13'!E39+'Clinic 14'!E39+'Clinic 15'!E39</f>
        <v>0</v>
      </c>
      <c r="F39" s="33">
        <f>'Biocorrect-Agile'!F39+'Biocorrect-GP'!F39+'Clinic 3'!F39+'Clinic 4'!F39+'Clinic 5'!F39+'Clinic 6'!F39+'Clinic 7'!F39+'Clinic 8'!F39+'Clinic 9'!F39+'Clinic 10'!F39+'Clinic 11'!F39+'Clinic 12'!F39+'Clinic 13'!F39+'Clinic 14'!F39+'Clinic 15'!F39</f>
        <v>0</v>
      </c>
      <c r="G39" s="33">
        <f>'Biocorrect-Agile'!G39+'Biocorrect-GP'!G39+'Clinic 3'!G39+'Clinic 4'!G39+'Clinic 5'!G39+'Clinic 6'!G39+'Clinic 7'!G39+'Clinic 8'!G39+'Clinic 9'!G39+'Clinic 10'!G39+'Clinic 11'!G39+'Clinic 12'!G39+'Clinic 13'!G39+'Clinic 14'!G39+'Clinic 15'!G39</f>
        <v>0</v>
      </c>
      <c r="H39" s="33">
        <f>'Biocorrect-Agile'!H39+'Biocorrect-GP'!H39+'Clinic 3'!H39+'Clinic 4'!H39+'Clinic 5'!H39+'Clinic 6'!H39+'Clinic 7'!H39+'Clinic 8'!H39+'Clinic 9'!H39+'Clinic 10'!H39+'Clinic 11'!H39+'Clinic 12'!H39+'Clinic 13'!H39+'Clinic 14'!H39+'Clinic 15'!H39</f>
        <v>0</v>
      </c>
      <c r="I39" s="33">
        <f>'Biocorrect-Agile'!I39+'Biocorrect-GP'!I39+'Clinic 3'!I39+'Clinic 4'!I39+'Clinic 5'!I39+'Clinic 6'!I39+'Clinic 7'!I39+'Clinic 8'!I39+'Clinic 9'!I39+'Clinic 10'!I39+'Clinic 11'!I39+'Clinic 12'!I39+'Clinic 13'!I39+'Clinic 14'!I39+'Clinic 15'!I39</f>
        <v>0</v>
      </c>
      <c r="J39" s="9">
        <f t="shared" si="2"/>
        <v>0</v>
      </c>
    </row>
    <row r="40" spans="1:13" ht="15.75" customHeight="1" x14ac:dyDescent="0.25">
      <c r="A40" s="1" t="s">
        <v>85</v>
      </c>
      <c r="B40" s="33">
        <f>'Biocorrect-Agile'!B40+'Biocorrect-GP'!B40+'Clinic 3'!B40+'Clinic 4'!B40+'Clinic 5'!B40+'Clinic 6'!B40+'Clinic 7'!B40+'Clinic 8'!B40+'Clinic 9'!B40+'Clinic 10'!B40+'Clinic 11'!B40+'Clinic 12'!B40+'Clinic 13'!B40+'Clinic 14'!B40+'Clinic 15'!B40</f>
        <v>0</v>
      </c>
      <c r="C40" s="33">
        <f>'Biocorrect-Agile'!C40+'Biocorrect-GP'!C40+'Clinic 3'!C40+'Clinic 4'!C40+'Clinic 5'!C40+'Clinic 6'!C40+'Clinic 7'!C40+'Clinic 8'!C40+'Clinic 9'!C40+'Clinic 10'!C40+'Clinic 11'!C40+'Clinic 12'!C40+'Clinic 13'!C40+'Clinic 14'!C40+'Clinic 15'!C40</f>
        <v>0</v>
      </c>
      <c r="D40" s="33">
        <f>'Biocorrect-Agile'!D40+'Biocorrect-GP'!D40+'Clinic 3'!D40+'Clinic 4'!D40+'Clinic 5'!D40+'Clinic 6'!D40+'Clinic 7'!D40+'Clinic 8'!D40+'Clinic 9'!D40+'Clinic 10'!D40+'Clinic 11'!D40+'Clinic 12'!D40+'Clinic 13'!D40+'Clinic 14'!D40+'Clinic 15'!D40</f>
        <v>0</v>
      </c>
      <c r="E40" s="33">
        <f>'Biocorrect-Agile'!E40+'Biocorrect-GP'!E40+'Clinic 3'!E40+'Clinic 4'!E40+'Clinic 5'!E40+'Clinic 6'!E40+'Clinic 7'!E40+'Clinic 8'!E40+'Clinic 9'!E40+'Clinic 10'!E40+'Clinic 11'!E40+'Clinic 12'!E40+'Clinic 13'!E40+'Clinic 14'!E40+'Clinic 15'!E40</f>
        <v>0</v>
      </c>
      <c r="F40" s="33">
        <f>'Biocorrect-Agile'!F40+'Biocorrect-GP'!F40+'Clinic 3'!F40+'Clinic 4'!F40+'Clinic 5'!F40+'Clinic 6'!F40+'Clinic 7'!F40+'Clinic 8'!F40+'Clinic 9'!F40+'Clinic 10'!F40+'Clinic 11'!F40+'Clinic 12'!F40+'Clinic 13'!F40+'Clinic 14'!F40+'Clinic 15'!F40</f>
        <v>0</v>
      </c>
      <c r="G40" s="33">
        <f>'Biocorrect-Agile'!G40+'Biocorrect-GP'!G40+'Clinic 3'!G40+'Clinic 4'!G40+'Clinic 5'!G40+'Clinic 6'!G40+'Clinic 7'!G40+'Clinic 8'!G40+'Clinic 9'!G40+'Clinic 10'!G40+'Clinic 11'!G40+'Clinic 12'!G40+'Clinic 13'!G40+'Clinic 14'!G40+'Clinic 15'!G40</f>
        <v>0</v>
      </c>
      <c r="H40" s="33">
        <f>'Biocorrect-Agile'!H40+'Biocorrect-GP'!H40+'Clinic 3'!H40+'Clinic 4'!H40+'Clinic 5'!H40+'Clinic 6'!H40+'Clinic 7'!H40+'Clinic 8'!H40+'Clinic 9'!H40+'Clinic 10'!H40+'Clinic 11'!H40+'Clinic 12'!H40+'Clinic 13'!H40+'Clinic 14'!H40+'Clinic 15'!H40</f>
        <v>0</v>
      </c>
      <c r="I40" s="33">
        <f>'Biocorrect-Agile'!I40+'Biocorrect-GP'!I40+'Clinic 3'!I40+'Clinic 4'!I40+'Clinic 5'!I40+'Clinic 6'!I40+'Clinic 7'!I40+'Clinic 8'!I40+'Clinic 9'!I40+'Clinic 10'!I40+'Clinic 11'!I40+'Clinic 12'!I40+'Clinic 13'!I40+'Clinic 14'!I40+'Clinic 15'!I40</f>
        <v>0</v>
      </c>
      <c r="J40" s="9">
        <f t="shared" si="2"/>
        <v>0</v>
      </c>
    </row>
    <row r="41" spans="1:13" ht="15.75" customHeight="1" x14ac:dyDescent="0.25">
      <c r="A41" s="1" t="s">
        <v>2</v>
      </c>
      <c r="B41" s="33">
        <f>'Biocorrect-Agile'!B41+'Biocorrect-GP'!B41+'Clinic 3'!B41+'Clinic 4'!B41+'Clinic 5'!B41+'Clinic 6'!B41+'Clinic 7'!B41+'Clinic 8'!B41+'Clinic 9'!B41+'Clinic 10'!B41+'Clinic 11'!B41+'Clinic 12'!B41+'Clinic 13'!B41+'Clinic 14'!B41+'Clinic 15'!B41</f>
        <v>0</v>
      </c>
      <c r="C41" s="33">
        <f>'Biocorrect-Agile'!C41+'Biocorrect-GP'!C41+'Clinic 3'!C41+'Clinic 4'!C41+'Clinic 5'!C41+'Clinic 6'!C41+'Clinic 7'!C41+'Clinic 8'!C41+'Clinic 9'!C41+'Clinic 10'!C41+'Clinic 11'!C41+'Clinic 12'!C41+'Clinic 13'!C41+'Clinic 14'!C41+'Clinic 15'!C41</f>
        <v>0</v>
      </c>
      <c r="D41" s="33">
        <f>'Biocorrect-Agile'!D41+'Biocorrect-GP'!D41+'Clinic 3'!D41+'Clinic 4'!D41+'Clinic 5'!D41+'Clinic 6'!D41+'Clinic 7'!D41+'Clinic 8'!D41+'Clinic 9'!D41+'Clinic 10'!D41+'Clinic 11'!D41+'Clinic 12'!D41+'Clinic 13'!D41+'Clinic 14'!D41+'Clinic 15'!D41</f>
        <v>0</v>
      </c>
      <c r="E41" s="33">
        <f>'Biocorrect-Agile'!E41+'Biocorrect-GP'!E41+'Clinic 3'!E41+'Clinic 4'!E41+'Clinic 5'!E41+'Clinic 6'!E41+'Clinic 7'!E41+'Clinic 8'!E41+'Clinic 9'!E41+'Clinic 10'!E41+'Clinic 11'!E41+'Clinic 12'!E41+'Clinic 13'!E41+'Clinic 14'!E41+'Clinic 15'!E41</f>
        <v>-7.92</v>
      </c>
      <c r="F41" s="33">
        <f>'Biocorrect-Agile'!F41+'Biocorrect-GP'!F41+'Clinic 3'!F41+'Clinic 4'!F41+'Clinic 5'!F41+'Clinic 6'!F41+'Clinic 7'!F41+'Clinic 8'!F41+'Clinic 9'!F41+'Clinic 10'!F41+'Clinic 11'!F41+'Clinic 12'!F41+'Clinic 13'!F41+'Clinic 14'!F41+'Clinic 15'!F41</f>
        <v>0</v>
      </c>
      <c r="G41" s="33">
        <f>'Biocorrect-Agile'!G41+'Biocorrect-GP'!G41+'Clinic 3'!G41+'Clinic 4'!G41+'Clinic 5'!G41+'Clinic 6'!G41+'Clinic 7'!G41+'Clinic 8'!G41+'Clinic 9'!G41+'Clinic 10'!G41+'Clinic 11'!G41+'Clinic 12'!G41+'Clinic 13'!G41+'Clinic 14'!G41+'Clinic 15'!G41</f>
        <v>0</v>
      </c>
      <c r="H41" s="33">
        <f>'Biocorrect-Agile'!H41+'Biocorrect-GP'!H41+'Clinic 3'!H41+'Clinic 4'!H41+'Clinic 5'!H41+'Clinic 6'!H41+'Clinic 7'!H41+'Clinic 8'!H41+'Clinic 9'!H41+'Clinic 10'!H41+'Clinic 11'!H41+'Clinic 12'!H41+'Clinic 13'!H41+'Clinic 14'!H41+'Clinic 15'!H41</f>
        <v>-550</v>
      </c>
      <c r="I41" s="33">
        <f>'Biocorrect-Agile'!I41+'Biocorrect-GP'!I41+'Clinic 3'!I41+'Clinic 4'!I41+'Clinic 5'!I41+'Clinic 6'!I41+'Clinic 7'!I41+'Clinic 8'!I41+'Clinic 9'!I41+'Clinic 10'!I41+'Clinic 11'!I41+'Clinic 12'!I41+'Clinic 13'!I41+'Clinic 14'!I41+'Clinic 15'!I41</f>
        <v>-726.5</v>
      </c>
      <c r="J41" s="9">
        <f t="shared" si="2"/>
        <v>-1284.42</v>
      </c>
    </row>
    <row r="42" spans="1:13" ht="15.75" customHeight="1" x14ac:dyDescent="0.25">
      <c r="A42" s="1" t="s">
        <v>86</v>
      </c>
      <c r="B42" s="33">
        <f>'Biocorrect-Agile'!B42+'Biocorrect-GP'!B42+'Clinic 3'!B42+'Clinic 4'!B42+'Clinic 5'!B42+'Clinic 6'!B42+'Clinic 7'!B42+'Clinic 8'!B42+'Clinic 9'!B42+'Clinic 10'!B42+'Clinic 11'!B42+'Clinic 12'!B42+'Clinic 13'!B42+'Clinic 14'!B42+'Clinic 15'!B42</f>
        <v>0</v>
      </c>
      <c r="C42" s="33">
        <f>'Biocorrect-Agile'!C42+'Biocorrect-GP'!C42+'Clinic 3'!C42+'Clinic 4'!C42+'Clinic 5'!C42+'Clinic 6'!C42+'Clinic 7'!C42+'Clinic 8'!C42+'Clinic 9'!C42+'Clinic 10'!C42+'Clinic 11'!C42+'Clinic 12'!C42+'Clinic 13'!C42+'Clinic 14'!C42+'Clinic 15'!C42</f>
        <v>0</v>
      </c>
      <c r="D42" s="33">
        <f>'Biocorrect-Agile'!D42+'Biocorrect-GP'!D42+'Clinic 3'!D42+'Clinic 4'!D42+'Clinic 5'!D42+'Clinic 6'!D42+'Clinic 7'!D42+'Clinic 8'!D42+'Clinic 9'!D42+'Clinic 10'!D42+'Clinic 11'!D42+'Clinic 12'!D42+'Clinic 13'!D42+'Clinic 14'!D42+'Clinic 15'!D42</f>
        <v>0</v>
      </c>
      <c r="E42" s="33">
        <f>'Biocorrect-Agile'!E42+'Biocorrect-GP'!E42+'Clinic 3'!E42+'Clinic 4'!E42+'Clinic 5'!E42+'Clinic 6'!E42+'Clinic 7'!E42+'Clinic 8'!E42+'Clinic 9'!E42+'Clinic 10'!E42+'Clinic 11'!E42+'Clinic 12'!E42+'Clinic 13'!E42+'Clinic 14'!E42+'Clinic 15'!E42</f>
        <v>0</v>
      </c>
      <c r="F42" s="33">
        <f>'Biocorrect-Agile'!F42+'Biocorrect-GP'!F42+'Clinic 3'!F42+'Clinic 4'!F42+'Clinic 5'!F42+'Clinic 6'!F42+'Clinic 7'!F42+'Clinic 8'!F42+'Clinic 9'!F42+'Clinic 10'!F42+'Clinic 11'!F42+'Clinic 12'!F42+'Clinic 13'!F42+'Clinic 14'!F42+'Clinic 15'!F42</f>
        <v>0</v>
      </c>
      <c r="G42" s="33">
        <f>'Biocorrect-Agile'!G42+'Biocorrect-GP'!G42+'Clinic 3'!G42+'Clinic 4'!G42+'Clinic 5'!G42+'Clinic 6'!G42+'Clinic 7'!G42+'Clinic 8'!G42+'Clinic 9'!G42+'Clinic 10'!G42+'Clinic 11'!G42+'Clinic 12'!G42+'Clinic 13'!G42+'Clinic 14'!G42+'Clinic 15'!G42</f>
        <v>0</v>
      </c>
      <c r="H42" s="33">
        <f>'Biocorrect-Agile'!H42+'Biocorrect-GP'!H42+'Clinic 3'!H42+'Clinic 4'!H42+'Clinic 5'!H42+'Clinic 6'!H42+'Clinic 7'!H42+'Clinic 8'!H42+'Clinic 9'!H42+'Clinic 10'!H42+'Clinic 11'!H42+'Clinic 12'!H42+'Clinic 13'!H42+'Clinic 14'!H42+'Clinic 15'!H42</f>
        <v>0</v>
      </c>
      <c r="I42" s="33">
        <f>'Biocorrect-Agile'!I42+'Biocorrect-GP'!I42+'Clinic 3'!I42+'Clinic 4'!I42+'Clinic 5'!I42+'Clinic 6'!I42+'Clinic 7'!I42+'Clinic 8'!I42+'Clinic 9'!I42+'Clinic 10'!I42+'Clinic 11'!I42+'Clinic 12'!I42+'Clinic 13'!I42+'Clinic 14'!I42+'Clinic 15'!I42</f>
        <v>0</v>
      </c>
      <c r="J42" s="9">
        <f t="shared" si="2"/>
        <v>0</v>
      </c>
    </row>
    <row r="43" spans="1:13" ht="15.75" customHeight="1" x14ac:dyDescent="0.25">
      <c r="A43" s="1" t="s">
        <v>29</v>
      </c>
      <c r="B43" s="33">
        <f>'Biocorrect-Agile'!B43+'Biocorrect-GP'!B43+'Clinic 3'!B43+'Clinic 4'!B43+'Clinic 5'!B43+'Clinic 6'!B43+'Clinic 7'!B43+'Clinic 8'!B43+'Clinic 9'!B43+'Clinic 10'!B43+'Clinic 11'!B43+'Clinic 12'!B43+'Clinic 13'!B43+'Clinic 14'!B43+'Clinic 15'!B43</f>
        <v>0</v>
      </c>
      <c r="C43" s="33">
        <f>'Biocorrect-Agile'!C43+'Biocorrect-GP'!C43+'Clinic 3'!C43+'Clinic 4'!C43+'Clinic 5'!C43+'Clinic 6'!C43+'Clinic 7'!C43+'Clinic 8'!C43+'Clinic 9'!C43+'Clinic 10'!C43+'Clinic 11'!C43+'Clinic 12'!C43+'Clinic 13'!C43+'Clinic 14'!C43+'Clinic 15'!C43</f>
        <v>0</v>
      </c>
      <c r="D43" s="33">
        <f>'Biocorrect-Agile'!D43+'Biocorrect-GP'!D43+'Clinic 3'!D43+'Clinic 4'!D43+'Clinic 5'!D43+'Clinic 6'!D43+'Clinic 7'!D43+'Clinic 8'!D43+'Clinic 9'!D43+'Clinic 10'!D43+'Clinic 11'!D43+'Clinic 12'!D43+'Clinic 13'!D43+'Clinic 14'!D43+'Clinic 15'!D43</f>
        <v>0</v>
      </c>
      <c r="E43" s="33">
        <f>'Biocorrect-Agile'!E43+'Biocorrect-GP'!E43+'Clinic 3'!E43+'Clinic 4'!E43+'Clinic 5'!E43+'Clinic 6'!E43+'Clinic 7'!E43+'Clinic 8'!E43+'Clinic 9'!E43+'Clinic 10'!E43+'Clinic 11'!E43+'Clinic 12'!E43+'Clinic 13'!E43+'Clinic 14'!E43+'Clinic 15'!E43</f>
        <v>0</v>
      </c>
      <c r="F43" s="33">
        <f>'Biocorrect-Agile'!F43+'Biocorrect-GP'!F43+'Clinic 3'!F43+'Clinic 4'!F43+'Clinic 5'!F43+'Clinic 6'!F43+'Clinic 7'!F43+'Clinic 8'!F43+'Clinic 9'!F43+'Clinic 10'!F43+'Clinic 11'!F43+'Clinic 12'!F43+'Clinic 13'!F43+'Clinic 14'!F43+'Clinic 15'!F43</f>
        <v>0</v>
      </c>
      <c r="G43" s="33">
        <f>'Biocorrect-Agile'!G43+'Biocorrect-GP'!G43+'Clinic 3'!G43+'Clinic 4'!G43+'Clinic 5'!G43+'Clinic 6'!G43+'Clinic 7'!G43+'Clinic 8'!G43+'Clinic 9'!G43+'Clinic 10'!G43+'Clinic 11'!G43+'Clinic 12'!G43+'Clinic 13'!G43+'Clinic 14'!G43+'Clinic 15'!G43</f>
        <v>0</v>
      </c>
      <c r="H43" s="33">
        <f>'Biocorrect-Agile'!H43+'Biocorrect-GP'!H43+'Clinic 3'!H43+'Clinic 4'!H43+'Clinic 5'!H43+'Clinic 6'!H43+'Clinic 7'!H43+'Clinic 8'!H43+'Clinic 9'!H43+'Clinic 10'!H43+'Clinic 11'!H43+'Clinic 12'!H43+'Clinic 13'!H43+'Clinic 14'!H43+'Clinic 15'!H43</f>
        <v>0</v>
      </c>
      <c r="I43" s="33">
        <f>'Biocorrect-Agile'!I43+'Biocorrect-GP'!I43+'Clinic 3'!I43+'Clinic 4'!I43+'Clinic 5'!I43+'Clinic 6'!I43+'Clinic 7'!I43+'Clinic 8'!I43+'Clinic 9'!I43+'Clinic 10'!I43+'Clinic 11'!I43+'Clinic 12'!I43+'Clinic 13'!I43+'Clinic 14'!I43+'Clinic 15'!I43</f>
        <v>0</v>
      </c>
      <c r="J43" s="9">
        <f t="shared" si="2"/>
        <v>0</v>
      </c>
    </row>
    <row r="44" spans="1:13" ht="15.75" customHeight="1" x14ac:dyDescent="0.25">
      <c r="A44" s="1" t="s">
        <v>52</v>
      </c>
      <c r="B44" s="33">
        <f>'Biocorrect-Agile'!B44+'Biocorrect-GP'!B44+'Clinic 3'!B44+'Clinic 4'!B44+'Clinic 5'!B44+'Clinic 6'!B44+'Clinic 7'!B44+'Clinic 8'!B44+'Clinic 9'!B44+'Clinic 10'!B44+'Clinic 11'!B44+'Clinic 12'!B44+'Clinic 13'!B44+'Clinic 14'!B44+'Clinic 15'!B44</f>
        <v>0</v>
      </c>
      <c r="C44" s="33">
        <f>'Biocorrect-Agile'!C44+'Biocorrect-GP'!C44+'Clinic 3'!C44+'Clinic 4'!C44+'Clinic 5'!C44+'Clinic 6'!C44+'Clinic 7'!C44+'Clinic 8'!C44+'Clinic 9'!C44+'Clinic 10'!C44+'Clinic 11'!C44+'Clinic 12'!C44+'Clinic 13'!C44+'Clinic 14'!C44+'Clinic 15'!C44</f>
        <v>0</v>
      </c>
      <c r="D44" s="33">
        <f>'Biocorrect-Agile'!D44+'Biocorrect-GP'!D44+'Clinic 3'!D44+'Clinic 4'!D44+'Clinic 5'!D44+'Clinic 6'!D44+'Clinic 7'!D44+'Clinic 8'!D44+'Clinic 9'!D44+'Clinic 10'!D44+'Clinic 11'!D44+'Clinic 12'!D44+'Clinic 13'!D44+'Clinic 14'!D44+'Clinic 15'!D44</f>
        <v>0</v>
      </c>
      <c r="E44" s="33">
        <f>'Biocorrect-Agile'!E44+'Biocorrect-GP'!E44+'Clinic 3'!E44+'Clinic 4'!E44+'Clinic 5'!E44+'Clinic 6'!E44+'Clinic 7'!E44+'Clinic 8'!E44+'Clinic 9'!E44+'Clinic 10'!E44+'Clinic 11'!E44+'Clinic 12'!E44+'Clinic 13'!E44+'Clinic 14'!E44+'Clinic 15'!E44</f>
        <v>0</v>
      </c>
      <c r="F44" s="33">
        <f>'Biocorrect-Agile'!F44+'Biocorrect-GP'!F44+'Clinic 3'!F44+'Clinic 4'!F44+'Clinic 5'!F44+'Clinic 6'!F44+'Clinic 7'!F44+'Clinic 8'!F44+'Clinic 9'!F44+'Clinic 10'!F44+'Clinic 11'!F44+'Clinic 12'!F44+'Clinic 13'!F44+'Clinic 14'!F44+'Clinic 15'!F44</f>
        <v>0</v>
      </c>
      <c r="G44" s="33">
        <f>'Biocorrect-Agile'!G44+'Biocorrect-GP'!G44+'Clinic 3'!G44+'Clinic 4'!G44+'Clinic 5'!G44+'Clinic 6'!G44+'Clinic 7'!G44+'Clinic 8'!G44+'Clinic 9'!G44+'Clinic 10'!G44+'Clinic 11'!G44+'Clinic 12'!G44+'Clinic 13'!G44+'Clinic 14'!G44+'Clinic 15'!G44</f>
        <v>0</v>
      </c>
      <c r="H44" s="33">
        <f>'Biocorrect-Agile'!H44+'Biocorrect-GP'!H44+'Clinic 3'!H44+'Clinic 4'!H44+'Clinic 5'!H44+'Clinic 6'!H44+'Clinic 7'!H44+'Clinic 8'!H44+'Clinic 9'!H44+'Clinic 10'!H44+'Clinic 11'!H44+'Clinic 12'!H44+'Clinic 13'!H44+'Clinic 14'!H44+'Clinic 15'!H44</f>
        <v>0</v>
      </c>
      <c r="I44" s="33">
        <f>'Biocorrect-Agile'!I44+'Biocorrect-GP'!I44+'Clinic 3'!I44+'Clinic 4'!I44+'Clinic 5'!I44+'Clinic 6'!I44+'Clinic 7'!I44+'Clinic 8'!I44+'Clinic 9'!I44+'Clinic 10'!I44+'Clinic 11'!I44+'Clinic 12'!I44+'Clinic 13'!I44+'Clinic 14'!I44+'Clinic 15'!I44</f>
        <v>0</v>
      </c>
      <c r="J44" s="9">
        <f t="shared" si="2"/>
        <v>0</v>
      </c>
    </row>
    <row r="45" spans="1:13" ht="15.75" customHeight="1" x14ac:dyDescent="0.25">
      <c r="A45" s="1" t="s">
        <v>1</v>
      </c>
      <c r="B45" s="139">
        <f>'Biocorrect-Agile'!B45+'Biocorrect-GP'!B45+'Clinic 3'!B45+'Clinic 4'!B45+'Clinic 5'!B45+'Clinic 6'!B45+'Clinic 7'!B45+'Clinic 8'!B45+'Clinic 9'!B45+'Clinic 10'!B45+'Clinic 11'!B45+'Clinic 12'!B45+'Clinic 13'!B45+'Clinic 14'!B45+'Clinic 15'!B45</f>
        <v>0</v>
      </c>
      <c r="C45" s="139">
        <f>'Biocorrect-Agile'!C45+'Biocorrect-GP'!C45+'Clinic 3'!C45+'Clinic 4'!C45+'Clinic 5'!C45+'Clinic 6'!C45+'Clinic 7'!C45+'Clinic 8'!C45+'Clinic 9'!C45+'Clinic 10'!C45+'Clinic 11'!C45+'Clinic 12'!C45+'Clinic 13'!C45+'Clinic 14'!C45+'Clinic 15'!C45</f>
        <v>0</v>
      </c>
      <c r="D45" s="139">
        <f>'Biocorrect-Agile'!D45+'Biocorrect-GP'!D45+'Clinic 3'!D45+'Clinic 4'!D45+'Clinic 5'!D45+'Clinic 6'!D45+'Clinic 7'!D45+'Clinic 8'!D45+'Clinic 9'!D45+'Clinic 10'!D45+'Clinic 11'!D45+'Clinic 12'!D45+'Clinic 13'!D45+'Clinic 14'!D45+'Clinic 15'!D45</f>
        <v>0</v>
      </c>
      <c r="E45" s="139">
        <f>'Biocorrect-Agile'!E45+'Biocorrect-GP'!E45+'Clinic 3'!E45+'Clinic 4'!E45+'Clinic 5'!E45+'Clinic 6'!E45+'Clinic 7'!E45+'Clinic 8'!E45+'Clinic 9'!E45+'Clinic 10'!E45+'Clinic 11'!E45+'Clinic 12'!E45+'Clinic 13'!E45+'Clinic 14'!E45+'Clinic 15'!E45</f>
        <v>0</v>
      </c>
      <c r="F45" s="139">
        <f>'Biocorrect-Agile'!F45+'Biocorrect-GP'!F45+'Clinic 3'!F45+'Clinic 4'!F45+'Clinic 5'!F45+'Clinic 6'!F45+'Clinic 7'!F45+'Clinic 8'!F45+'Clinic 9'!F45+'Clinic 10'!F45+'Clinic 11'!F45+'Clinic 12'!F45+'Clinic 13'!F45+'Clinic 14'!F45+'Clinic 15'!F45</f>
        <v>0</v>
      </c>
      <c r="G45" s="139">
        <f>'Biocorrect-Agile'!G45+'Biocorrect-GP'!G45+'Clinic 3'!G45+'Clinic 4'!G45+'Clinic 5'!G45+'Clinic 6'!G45+'Clinic 7'!G45+'Clinic 8'!G45+'Clinic 9'!G45+'Clinic 10'!G45+'Clinic 11'!G45+'Clinic 12'!G45+'Clinic 13'!G45+'Clinic 14'!G45+'Clinic 15'!G45</f>
        <v>0</v>
      </c>
      <c r="H45" s="139">
        <f>'Biocorrect-Agile'!H45+'Biocorrect-GP'!H45+'Clinic 3'!H45+'Clinic 4'!H45+'Clinic 5'!H45+'Clinic 6'!H45+'Clinic 7'!H45+'Clinic 8'!H45+'Clinic 9'!H45+'Clinic 10'!H45+'Clinic 11'!H45+'Clinic 12'!H45+'Clinic 13'!H45+'Clinic 14'!H45+'Clinic 15'!H45</f>
        <v>-142</v>
      </c>
      <c r="I45" s="139">
        <f>'Biocorrect-Agile'!I45+'Biocorrect-GP'!I45+'Clinic 3'!I45+'Clinic 4'!I45+'Clinic 5'!I45+'Clinic 6'!I45+'Clinic 7'!I45+'Clinic 8'!I45+'Clinic 9'!I45+'Clinic 10'!I45+'Clinic 11'!I45+'Clinic 12'!I45+'Clinic 13'!I45+'Clinic 14'!I45+'Clinic 15'!I45</f>
        <v>0</v>
      </c>
      <c r="J45" s="3">
        <f t="shared" si="2"/>
        <v>-142</v>
      </c>
    </row>
    <row r="46" spans="1:13" ht="15.75" customHeight="1" x14ac:dyDescent="0.25">
      <c r="A46" s="1" t="s">
        <v>0</v>
      </c>
      <c r="B46" s="9">
        <f>SUM(B29:B45)</f>
        <v>0</v>
      </c>
      <c r="C46" s="9">
        <f t="shared" ref="C46:J46" si="3">SUM(C29:C45)</f>
        <v>0</v>
      </c>
      <c r="D46" s="9">
        <f t="shared" si="3"/>
        <v>0</v>
      </c>
      <c r="E46" s="9">
        <f t="shared" si="3"/>
        <v>-7.92</v>
      </c>
      <c r="F46" s="9">
        <f t="shared" si="3"/>
        <v>0</v>
      </c>
      <c r="G46" s="9">
        <f t="shared" si="3"/>
        <v>0</v>
      </c>
      <c r="H46" s="9">
        <f t="shared" si="3"/>
        <v>-720.44</v>
      </c>
      <c r="I46" s="9">
        <f t="shared" si="3"/>
        <v>-726.5</v>
      </c>
      <c r="J46" s="9">
        <f t="shared" si="3"/>
        <v>-1454.8600000000001</v>
      </c>
      <c r="L46" s="7">
        <f>'Biocorrect-Agile'!J46+'Biocorrect-GP'!J46</f>
        <v>-1454.8600000000001</v>
      </c>
      <c r="M46" s="7">
        <f>J46-L46</f>
        <v>0</v>
      </c>
    </row>
    <row r="47" spans="1:13" ht="15.75" customHeight="1" thickBot="1" x14ac:dyDescent="0.3">
      <c r="A47" s="1"/>
      <c r="B47" s="9"/>
      <c r="C47" s="9"/>
      <c r="D47" s="9"/>
      <c r="E47" s="9"/>
      <c r="F47" s="9"/>
      <c r="G47" s="9"/>
      <c r="H47" s="9"/>
      <c r="I47" s="9"/>
      <c r="J47" s="9"/>
    </row>
    <row r="48" spans="1:13" ht="15.75" customHeight="1" thickBot="1" x14ac:dyDescent="0.3">
      <c r="A48" s="180" t="s">
        <v>54</v>
      </c>
      <c r="B48" s="181"/>
      <c r="C48" s="181"/>
      <c r="D48" s="181"/>
      <c r="E48" s="181"/>
      <c r="F48" s="181"/>
      <c r="G48" s="181"/>
      <c r="H48" s="181"/>
      <c r="I48" s="181"/>
      <c r="J48" s="182"/>
    </row>
    <row r="49" spans="1:10" ht="15.75" customHeight="1" x14ac:dyDescent="0.25">
      <c r="A49" s="4" t="s">
        <v>16</v>
      </c>
      <c r="B49" s="5" t="s">
        <v>15</v>
      </c>
      <c r="C49" s="5" t="s">
        <v>14</v>
      </c>
      <c r="D49" s="5" t="s">
        <v>13</v>
      </c>
      <c r="E49" s="5" t="s">
        <v>12</v>
      </c>
      <c r="F49" s="5" t="s">
        <v>93</v>
      </c>
      <c r="G49" s="5" t="s">
        <v>94</v>
      </c>
      <c r="H49" s="5" t="s">
        <v>38</v>
      </c>
      <c r="I49" s="5" t="s">
        <v>9</v>
      </c>
      <c r="J49" s="5" t="s">
        <v>0</v>
      </c>
    </row>
    <row r="50" spans="1:10" ht="15.75" customHeight="1" x14ac:dyDescent="0.25">
      <c r="A50" s="1" t="s">
        <v>49</v>
      </c>
      <c r="B50" s="9">
        <f>B8-B29</f>
        <v>0</v>
      </c>
      <c r="C50" s="9">
        <f t="shared" ref="C50:I50" si="4">C8-C29</f>
        <v>0</v>
      </c>
      <c r="D50" s="9">
        <f t="shared" si="4"/>
        <v>0</v>
      </c>
      <c r="E50" s="9">
        <f t="shared" si="4"/>
        <v>0</v>
      </c>
      <c r="F50" s="9">
        <f t="shared" si="4"/>
        <v>0</v>
      </c>
      <c r="G50" s="9">
        <f t="shared" si="4"/>
        <v>0</v>
      </c>
      <c r="H50" s="9">
        <f t="shared" si="4"/>
        <v>0</v>
      </c>
      <c r="I50" s="9">
        <f t="shared" si="4"/>
        <v>0</v>
      </c>
      <c r="J50" s="9">
        <f>SUM(B50:I50)</f>
        <v>0</v>
      </c>
    </row>
    <row r="51" spans="1:10" ht="15.75" customHeight="1" x14ac:dyDescent="0.25">
      <c r="A51" s="1" t="s">
        <v>8</v>
      </c>
      <c r="B51" s="9">
        <f t="shared" ref="B51:I66" si="5">B9-B30</f>
        <v>432</v>
      </c>
      <c r="C51" s="9">
        <f t="shared" si="5"/>
        <v>864</v>
      </c>
      <c r="D51" s="9">
        <f t="shared" si="5"/>
        <v>0</v>
      </c>
      <c r="E51" s="9">
        <f t="shared" si="5"/>
        <v>0</v>
      </c>
      <c r="F51" s="9">
        <f t="shared" si="5"/>
        <v>0</v>
      </c>
      <c r="G51" s="9">
        <f t="shared" si="5"/>
        <v>0</v>
      </c>
      <c r="H51" s="9">
        <f t="shared" si="5"/>
        <v>0</v>
      </c>
      <c r="I51" s="9">
        <f t="shared" si="5"/>
        <v>0</v>
      </c>
      <c r="J51" s="9">
        <f t="shared" ref="J51:J66" si="6">SUM(B51:I51)</f>
        <v>1296</v>
      </c>
    </row>
    <row r="52" spans="1:10" ht="15.75" customHeight="1" x14ac:dyDescent="0.25">
      <c r="A52" s="1" t="s">
        <v>7</v>
      </c>
      <c r="B52" s="9">
        <f t="shared" si="5"/>
        <v>6780</v>
      </c>
      <c r="C52" s="9">
        <f t="shared" si="5"/>
        <v>1080</v>
      </c>
      <c r="D52" s="9">
        <f t="shared" si="5"/>
        <v>0</v>
      </c>
      <c r="E52" s="9">
        <f t="shared" si="5"/>
        <v>0</v>
      </c>
      <c r="F52" s="9">
        <f t="shared" si="5"/>
        <v>0</v>
      </c>
      <c r="G52" s="9">
        <f t="shared" si="5"/>
        <v>0</v>
      </c>
      <c r="H52" s="9">
        <f t="shared" si="5"/>
        <v>0</v>
      </c>
      <c r="I52" s="9">
        <f t="shared" si="5"/>
        <v>0</v>
      </c>
      <c r="J52" s="9">
        <f t="shared" si="6"/>
        <v>7860</v>
      </c>
    </row>
    <row r="53" spans="1:10" ht="15.75" customHeight="1" x14ac:dyDescent="0.25">
      <c r="A53" s="1" t="s">
        <v>42</v>
      </c>
      <c r="B53" s="9">
        <f t="shared" si="5"/>
        <v>0</v>
      </c>
      <c r="C53" s="9">
        <f t="shared" si="5"/>
        <v>0</v>
      </c>
      <c r="D53" s="9">
        <f t="shared" si="5"/>
        <v>0</v>
      </c>
      <c r="E53" s="9">
        <f t="shared" si="5"/>
        <v>0</v>
      </c>
      <c r="F53" s="9">
        <f t="shared" si="5"/>
        <v>0</v>
      </c>
      <c r="G53" s="9">
        <f t="shared" si="5"/>
        <v>0</v>
      </c>
      <c r="H53" s="9">
        <f t="shared" si="5"/>
        <v>0</v>
      </c>
      <c r="I53" s="9">
        <f t="shared" si="5"/>
        <v>0</v>
      </c>
      <c r="J53" s="9">
        <f t="shared" si="6"/>
        <v>0</v>
      </c>
    </row>
    <row r="54" spans="1:10" ht="15.75" customHeight="1" x14ac:dyDescent="0.25">
      <c r="A54" s="1" t="s">
        <v>6</v>
      </c>
      <c r="B54" s="9">
        <f t="shared" si="5"/>
        <v>432</v>
      </c>
      <c r="C54" s="9">
        <f t="shared" si="5"/>
        <v>0</v>
      </c>
      <c r="D54" s="9">
        <f t="shared" si="5"/>
        <v>0</v>
      </c>
      <c r="E54" s="9">
        <f t="shared" si="5"/>
        <v>0</v>
      </c>
      <c r="F54" s="9">
        <f t="shared" si="5"/>
        <v>0</v>
      </c>
      <c r="G54" s="9">
        <f t="shared" si="5"/>
        <v>0</v>
      </c>
      <c r="H54" s="9">
        <f t="shared" si="5"/>
        <v>0</v>
      </c>
      <c r="I54" s="9">
        <f t="shared" si="5"/>
        <v>-35</v>
      </c>
      <c r="J54" s="9">
        <f t="shared" si="6"/>
        <v>397</v>
      </c>
    </row>
    <row r="55" spans="1:10" ht="15.75" customHeight="1" x14ac:dyDescent="0.25">
      <c r="A55" s="1" t="s">
        <v>50</v>
      </c>
      <c r="B55" s="9">
        <f t="shared" si="5"/>
        <v>0</v>
      </c>
      <c r="C55" s="9">
        <f t="shared" si="5"/>
        <v>0</v>
      </c>
      <c r="D55" s="9">
        <f t="shared" si="5"/>
        <v>0</v>
      </c>
      <c r="E55" s="9">
        <f t="shared" si="5"/>
        <v>0</v>
      </c>
      <c r="F55" s="9">
        <f t="shared" si="5"/>
        <v>0</v>
      </c>
      <c r="G55" s="9">
        <f t="shared" si="5"/>
        <v>0</v>
      </c>
      <c r="H55" s="9">
        <f t="shared" si="5"/>
        <v>0</v>
      </c>
      <c r="I55" s="9">
        <f t="shared" si="5"/>
        <v>0</v>
      </c>
      <c r="J55" s="9">
        <f t="shared" si="6"/>
        <v>0</v>
      </c>
    </row>
    <row r="56" spans="1:10" ht="15.75" customHeight="1" x14ac:dyDescent="0.25">
      <c r="A56" s="1" t="s">
        <v>89</v>
      </c>
      <c r="B56" s="9">
        <f t="shared" si="5"/>
        <v>0</v>
      </c>
      <c r="C56" s="9">
        <f t="shared" si="5"/>
        <v>0</v>
      </c>
      <c r="D56" s="9">
        <f t="shared" si="5"/>
        <v>0</v>
      </c>
      <c r="E56" s="9">
        <f t="shared" si="5"/>
        <v>0</v>
      </c>
      <c r="F56" s="9">
        <f t="shared" si="5"/>
        <v>0</v>
      </c>
      <c r="G56" s="9">
        <f t="shared" si="5"/>
        <v>0</v>
      </c>
      <c r="H56" s="9">
        <f t="shared" si="5"/>
        <v>0</v>
      </c>
      <c r="I56" s="9">
        <f t="shared" si="5"/>
        <v>0</v>
      </c>
      <c r="J56" s="9">
        <f t="shared" si="6"/>
        <v>0</v>
      </c>
    </row>
    <row r="57" spans="1:10" ht="15.75" customHeight="1" x14ac:dyDescent="0.25">
      <c r="A57" s="1" t="s">
        <v>5</v>
      </c>
      <c r="B57" s="9">
        <f t="shared" si="5"/>
        <v>0</v>
      </c>
      <c r="C57" s="9">
        <f t="shared" si="5"/>
        <v>0</v>
      </c>
      <c r="D57" s="9">
        <f t="shared" si="5"/>
        <v>0</v>
      </c>
      <c r="E57" s="9">
        <f t="shared" si="5"/>
        <v>0</v>
      </c>
      <c r="F57" s="9">
        <f t="shared" si="5"/>
        <v>0</v>
      </c>
      <c r="G57" s="9">
        <f t="shared" si="5"/>
        <v>0</v>
      </c>
      <c r="H57" s="9">
        <f t="shared" si="5"/>
        <v>0</v>
      </c>
      <c r="I57" s="9">
        <f t="shared" si="5"/>
        <v>0</v>
      </c>
      <c r="J57" s="9">
        <f t="shared" si="6"/>
        <v>0</v>
      </c>
    </row>
    <row r="58" spans="1:10" ht="15.75" customHeight="1" x14ac:dyDescent="0.25">
      <c r="A58" s="1" t="s">
        <v>84</v>
      </c>
      <c r="B58" s="9">
        <f t="shared" si="5"/>
        <v>0</v>
      </c>
      <c r="C58" s="9">
        <f t="shared" si="5"/>
        <v>0</v>
      </c>
      <c r="D58" s="9">
        <f t="shared" si="5"/>
        <v>0</v>
      </c>
      <c r="E58" s="9">
        <f t="shared" si="5"/>
        <v>0</v>
      </c>
      <c r="F58" s="9">
        <f t="shared" si="5"/>
        <v>0</v>
      </c>
      <c r="G58" s="9">
        <f t="shared" si="5"/>
        <v>0</v>
      </c>
      <c r="H58" s="9">
        <f t="shared" si="5"/>
        <v>0</v>
      </c>
      <c r="I58" s="9">
        <f t="shared" si="5"/>
        <v>0</v>
      </c>
      <c r="J58" s="9">
        <f t="shared" si="6"/>
        <v>0</v>
      </c>
    </row>
    <row r="59" spans="1:10" ht="15.75" customHeight="1" x14ac:dyDescent="0.25">
      <c r="A59" s="1" t="s">
        <v>4</v>
      </c>
      <c r="B59" s="9">
        <f t="shared" si="5"/>
        <v>432</v>
      </c>
      <c r="C59" s="9">
        <f t="shared" si="5"/>
        <v>0</v>
      </c>
      <c r="D59" s="9">
        <f t="shared" si="5"/>
        <v>0</v>
      </c>
      <c r="E59" s="9">
        <f t="shared" si="5"/>
        <v>0</v>
      </c>
      <c r="F59" s="9">
        <f t="shared" si="5"/>
        <v>0</v>
      </c>
      <c r="G59" s="9">
        <f t="shared" si="5"/>
        <v>0</v>
      </c>
      <c r="H59" s="9">
        <f t="shared" si="5"/>
        <v>0</v>
      </c>
      <c r="I59" s="9">
        <f t="shared" si="5"/>
        <v>0</v>
      </c>
      <c r="J59" s="9">
        <f t="shared" si="6"/>
        <v>432</v>
      </c>
    </row>
    <row r="60" spans="1:10" ht="15.75" customHeight="1" x14ac:dyDescent="0.25">
      <c r="A60" s="1" t="s">
        <v>51</v>
      </c>
      <c r="B60" s="9">
        <f t="shared" si="5"/>
        <v>432</v>
      </c>
      <c r="C60" s="9">
        <f t="shared" si="5"/>
        <v>0</v>
      </c>
      <c r="D60" s="9">
        <f t="shared" si="5"/>
        <v>0</v>
      </c>
      <c r="E60" s="9">
        <f t="shared" si="5"/>
        <v>0</v>
      </c>
      <c r="F60" s="9">
        <f t="shared" si="5"/>
        <v>0</v>
      </c>
      <c r="G60" s="9">
        <f t="shared" si="5"/>
        <v>0</v>
      </c>
      <c r="H60" s="9">
        <f t="shared" si="5"/>
        <v>0</v>
      </c>
      <c r="I60" s="9">
        <f t="shared" si="5"/>
        <v>0</v>
      </c>
      <c r="J60" s="9">
        <f t="shared" si="6"/>
        <v>432</v>
      </c>
    </row>
    <row r="61" spans="1:10" ht="15.75" customHeight="1" x14ac:dyDescent="0.25">
      <c r="A61" s="1" t="s">
        <v>85</v>
      </c>
      <c r="B61" s="9">
        <f t="shared" si="5"/>
        <v>0</v>
      </c>
      <c r="C61" s="9">
        <f t="shared" si="5"/>
        <v>0</v>
      </c>
      <c r="D61" s="9">
        <f t="shared" si="5"/>
        <v>0</v>
      </c>
      <c r="E61" s="9">
        <f t="shared" si="5"/>
        <v>0</v>
      </c>
      <c r="F61" s="9">
        <f t="shared" si="5"/>
        <v>0</v>
      </c>
      <c r="G61" s="9">
        <f t="shared" si="5"/>
        <v>0</v>
      </c>
      <c r="H61" s="9">
        <f t="shared" si="5"/>
        <v>432</v>
      </c>
      <c r="I61" s="9">
        <f t="shared" si="5"/>
        <v>0</v>
      </c>
      <c r="J61" s="9">
        <f t="shared" si="6"/>
        <v>432</v>
      </c>
    </row>
    <row r="62" spans="1:10" ht="15.75" customHeight="1" x14ac:dyDescent="0.25">
      <c r="A62" s="1" t="s">
        <v>2</v>
      </c>
      <c r="B62" s="9">
        <f t="shared" si="5"/>
        <v>1031.8199999999997</v>
      </c>
      <c r="C62" s="9">
        <f t="shared" si="5"/>
        <v>3355.43</v>
      </c>
      <c r="D62" s="9">
        <f t="shared" si="5"/>
        <v>2829.86</v>
      </c>
      <c r="E62" s="9">
        <f t="shared" si="5"/>
        <v>2452.9</v>
      </c>
      <c r="F62" s="9">
        <f t="shared" si="5"/>
        <v>548.73</v>
      </c>
      <c r="G62" s="9">
        <f t="shared" si="5"/>
        <v>1101.2</v>
      </c>
      <c r="H62" s="9">
        <f t="shared" si="5"/>
        <v>1567.48</v>
      </c>
      <c r="I62" s="9">
        <f t="shared" si="5"/>
        <v>980.46000000000015</v>
      </c>
      <c r="J62" s="9">
        <f t="shared" si="6"/>
        <v>13867.880000000001</v>
      </c>
    </row>
    <row r="63" spans="1:10" ht="15.75" customHeight="1" x14ac:dyDescent="0.25">
      <c r="A63" s="1" t="s">
        <v>86</v>
      </c>
      <c r="B63" s="9">
        <f t="shared" si="5"/>
        <v>0</v>
      </c>
      <c r="C63" s="9">
        <f t="shared" si="5"/>
        <v>0</v>
      </c>
      <c r="D63" s="9">
        <f t="shared" si="5"/>
        <v>0</v>
      </c>
      <c r="E63" s="9">
        <f t="shared" si="5"/>
        <v>0</v>
      </c>
      <c r="F63" s="9">
        <f t="shared" si="5"/>
        <v>0</v>
      </c>
      <c r="G63" s="9">
        <f t="shared" si="5"/>
        <v>0</v>
      </c>
      <c r="H63" s="9">
        <f t="shared" si="5"/>
        <v>0</v>
      </c>
      <c r="I63" s="9">
        <f t="shared" si="5"/>
        <v>0</v>
      </c>
      <c r="J63" s="9">
        <f t="shared" si="6"/>
        <v>0</v>
      </c>
    </row>
    <row r="64" spans="1:10" ht="15.75" customHeight="1" x14ac:dyDescent="0.25">
      <c r="A64" s="1" t="s">
        <v>29</v>
      </c>
      <c r="B64" s="9">
        <f t="shared" si="5"/>
        <v>0</v>
      </c>
      <c r="C64" s="9">
        <f t="shared" si="5"/>
        <v>0</v>
      </c>
      <c r="D64" s="9">
        <f t="shared" si="5"/>
        <v>0</v>
      </c>
      <c r="E64" s="9">
        <f t="shared" si="5"/>
        <v>0</v>
      </c>
      <c r="F64" s="9">
        <f t="shared" si="5"/>
        <v>0</v>
      </c>
      <c r="G64" s="9">
        <f t="shared" si="5"/>
        <v>0</v>
      </c>
      <c r="H64" s="9">
        <f t="shared" si="5"/>
        <v>0</v>
      </c>
      <c r="I64" s="9">
        <f t="shared" si="5"/>
        <v>0</v>
      </c>
      <c r="J64" s="9">
        <f t="shared" si="6"/>
        <v>0</v>
      </c>
    </row>
    <row r="65" spans="1:13" ht="15.75" customHeight="1" x14ac:dyDescent="0.25">
      <c r="A65" s="1" t="s">
        <v>52</v>
      </c>
      <c r="B65" s="9">
        <f t="shared" si="5"/>
        <v>0</v>
      </c>
      <c r="C65" s="9">
        <f t="shared" si="5"/>
        <v>0</v>
      </c>
      <c r="D65" s="9">
        <f t="shared" si="5"/>
        <v>0</v>
      </c>
      <c r="E65" s="9">
        <f t="shared" si="5"/>
        <v>0</v>
      </c>
      <c r="F65" s="9">
        <f t="shared" si="5"/>
        <v>0</v>
      </c>
      <c r="G65" s="9">
        <f t="shared" si="5"/>
        <v>0</v>
      </c>
      <c r="H65" s="9">
        <f t="shared" si="5"/>
        <v>0</v>
      </c>
      <c r="I65" s="9">
        <f t="shared" si="5"/>
        <v>0</v>
      </c>
      <c r="J65" s="9">
        <f t="shared" si="6"/>
        <v>0</v>
      </c>
    </row>
    <row r="66" spans="1:13" ht="15.75" customHeight="1" x14ac:dyDescent="0.25">
      <c r="A66" s="1" t="s">
        <v>1</v>
      </c>
      <c r="B66" s="3">
        <f t="shared" si="5"/>
        <v>900</v>
      </c>
      <c r="C66" s="3">
        <f t="shared" si="5"/>
        <v>0</v>
      </c>
      <c r="D66" s="3">
        <f t="shared" si="5"/>
        <v>732</v>
      </c>
      <c r="E66" s="3">
        <f t="shared" si="5"/>
        <v>0</v>
      </c>
      <c r="F66" s="3">
        <f t="shared" si="5"/>
        <v>0</v>
      </c>
      <c r="G66" s="3">
        <f t="shared" si="5"/>
        <v>0</v>
      </c>
      <c r="H66" s="3">
        <f t="shared" si="5"/>
        <v>0</v>
      </c>
      <c r="I66" s="3">
        <f t="shared" si="5"/>
        <v>0</v>
      </c>
      <c r="J66" s="3">
        <f t="shared" si="6"/>
        <v>1632</v>
      </c>
    </row>
    <row r="67" spans="1:13" ht="15.75" customHeight="1" x14ac:dyDescent="0.25">
      <c r="A67" s="1" t="s">
        <v>0</v>
      </c>
      <c r="B67" s="9">
        <f>SUM(B50:B66)</f>
        <v>10439.82</v>
      </c>
      <c r="C67" s="9">
        <f t="shared" ref="C67:J67" si="7">SUM(C50:C66)</f>
        <v>5299.43</v>
      </c>
      <c r="D67" s="9">
        <f t="shared" si="7"/>
        <v>3561.86</v>
      </c>
      <c r="E67" s="9">
        <f t="shared" si="7"/>
        <v>2452.9</v>
      </c>
      <c r="F67" s="9">
        <f t="shared" si="7"/>
        <v>548.73</v>
      </c>
      <c r="G67" s="9">
        <f t="shared" si="7"/>
        <v>1101.2</v>
      </c>
      <c r="H67" s="9">
        <f t="shared" si="7"/>
        <v>1999.48</v>
      </c>
      <c r="I67" s="9">
        <f t="shared" si="7"/>
        <v>945.46000000000015</v>
      </c>
      <c r="J67" s="9">
        <f t="shared" si="7"/>
        <v>26348.880000000001</v>
      </c>
      <c r="L67" s="7">
        <f>'Biocorrect-Agile'!J67+'Biocorrect-GP'!J67</f>
        <v>26348.880000000005</v>
      </c>
      <c r="M67" s="7">
        <f>J67-L67</f>
        <v>0</v>
      </c>
    </row>
    <row r="68" spans="1:13" ht="15.75" customHeight="1" thickBot="1" x14ac:dyDescent="0.3">
      <c r="A68" s="1"/>
      <c r="B68" s="9"/>
      <c r="C68" s="9"/>
      <c r="D68" s="9"/>
      <c r="E68" s="9"/>
      <c r="F68" s="9"/>
      <c r="G68" s="9"/>
      <c r="H68" s="9"/>
      <c r="I68" s="9"/>
      <c r="J68" s="9"/>
    </row>
    <row r="69" spans="1:13" ht="15.75" hidden="1" customHeight="1" thickBot="1" x14ac:dyDescent="0.3">
      <c r="A69" s="167" t="s">
        <v>55</v>
      </c>
      <c r="B69" s="168"/>
      <c r="C69" s="168"/>
      <c r="D69" s="168"/>
      <c r="E69" s="168"/>
      <c r="F69" s="168"/>
      <c r="G69" s="168"/>
      <c r="H69" s="168"/>
      <c r="I69" s="168"/>
      <c r="J69" s="169"/>
    </row>
    <row r="70" spans="1:13" ht="15" hidden="1" customHeight="1" x14ac:dyDescent="0.25">
      <c r="A70" s="4" t="s">
        <v>16</v>
      </c>
      <c r="B70" s="5" t="s">
        <v>15</v>
      </c>
      <c r="C70" s="5" t="s">
        <v>14</v>
      </c>
      <c r="D70" s="5" t="s">
        <v>13</v>
      </c>
      <c r="E70" s="5" t="s">
        <v>12</v>
      </c>
      <c r="F70" s="5" t="s">
        <v>37</v>
      </c>
      <c r="G70" s="5" t="s">
        <v>38</v>
      </c>
      <c r="H70" s="5" t="s">
        <v>9</v>
      </c>
      <c r="I70" s="5"/>
      <c r="J70" s="5" t="s">
        <v>0</v>
      </c>
    </row>
    <row r="71" spans="1:13" ht="15" hidden="1" customHeight="1" x14ac:dyDescent="0.25">
      <c r="A71" s="1" t="s">
        <v>49</v>
      </c>
      <c r="B71" s="36">
        <f>'Reimbursement Rates &lt;-INPUT'!Q10</f>
        <v>0</v>
      </c>
      <c r="C71" s="36">
        <f t="shared" ref="C71:H72" si="8">B71</f>
        <v>0</v>
      </c>
      <c r="D71" s="36">
        <f t="shared" si="8"/>
        <v>0</v>
      </c>
      <c r="E71" s="36">
        <f t="shared" si="8"/>
        <v>0</v>
      </c>
      <c r="F71" s="36">
        <f t="shared" si="8"/>
        <v>0</v>
      </c>
      <c r="G71" s="36">
        <f t="shared" si="8"/>
        <v>0</v>
      </c>
      <c r="H71" s="36">
        <f t="shared" si="8"/>
        <v>0</v>
      </c>
      <c r="I71" s="36"/>
      <c r="J71" s="36">
        <f t="shared" ref="J71:J87" si="9">H71</f>
        <v>0</v>
      </c>
    </row>
    <row r="72" spans="1:13" ht="15" hidden="1" customHeight="1" x14ac:dyDescent="0.25">
      <c r="A72" s="1" t="s">
        <v>8</v>
      </c>
      <c r="B72" s="36">
        <f>'Reimbursement Rates &lt;-INPUT'!Q11</f>
        <v>0</v>
      </c>
      <c r="C72" s="36">
        <f t="shared" si="8"/>
        <v>0</v>
      </c>
      <c r="D72" s="36">
        <f t="shared" si="8"/>
        <v>0</v>
      </c>
      <c r="E72" s="36">
        <f t="shared" si="8"/>
        <v>0</v>
      </c>
      <c r="F72" s="36">
        <f t="shared" si="8"/>
        <v>0</v>
      </c>
      <c r="G72" s="36">
        <f t="shared" si="8"/>
        <v>0</v>
      </c>
      <c r="H72" s="36">
        <f t="shared" si="8"/>
        <v>0</v>
      </c>
      <c r="I72" s="36"/>
      <c r="J72" s="36">
        <f t="shared" si="9"/>
        <v>0</v>
      </c>
    </row>
    <row r="73" spans="1:13" ht="15" hidden="1" customHeight="1" x14ac:dyDescent="0.25">
      <c r="A73" s="1" t="s">
        <v>7</v>
      </c>
      <c r="B73" s="36">
        <f>'Reimbursement Rates &lt;-INPUT'!Q12</f>
        <v>0</v>
      </c>
      <c r="C73" s="36">
        <f>'Reimbursement Rates &lt;-INPUT'!R12</f>
        <v>0</v>
      </c>
      <c r="D73" s="36">
        <f>'Reimbursement Rates &lt;-INPUT'!S12</f>
        <v>0.73199999999999998</v>
      </c>
      <c r="E73" s="36">
        <f>'Reimbursement Rates &lt;-INPUT'!T12</f>
        <v>0</v>
      </c>
      <c r="F73" s="36">
        <f>'Reimbursement Rates &lt;-INPUT'!U12</f>
        <v>0</v>
      </c>
      <c r="G73" s="36">
        <f>'Reimbursement Rates &lt;-INPUT'!V12</f>
        <v>0</v>
      </c>
      <c r="H73" s="36">
        <f>'Reimbursement Rates &lt;-INPUT'!W12</f>
        <v>0</v>
      </c>
      <c r="I73" s="36"/>
      <c r="J73" s="36">
        <f t="shared" si="9"/>
        <v>0</v>
      </c>
    </row>
    <row r="74" spans="1:13" ht="15" hidden="1" customHeight="1" x14ac:dyDescent="0.25">
      <c r="A74" s="1" t="s">
        <v>42</v>
      </c>
      <c r="B74" s="36">
        <f>'Reimbursement Rates &lt;-INPUT'!Q13</f>
        <v>0</v>
      </c>
      <c r="C74" s="36">
        <f>'Reimbursement Rates &lt;-INPUT'!R13</f>
        <v>0</v>
      </c>
      <c r="D74" s="36">
        <f>'Reimbursement Rates &lt;-INPUT'!S13</f>
        <v>0.73199999999999998</v>
      </c>
      <c r="E74" s="36">
        <f>'Reimbursement Rates &lt;-INPUT'!T13</f>
        <v>0</v>
      </c>
      <c r="F74" s="36">
        <f>'Reimbursement Rates &lt;-INPUT'!U13</f>
        <v>0</v>
      </c>
      <c r="G74" s="36">
        <f>'Reimbursement Rates &lt;-INPUT'!V13</f>
        <v>0</v>
      </c>
      <c r="H74" s="36">
        <f>'Reimbursement Rates &lt;-INPUT'!W13</f>
        <v>0</v>
      </c>
      <c r="I74" s="36"/>
      <c r="J74" s="36">
        <f t="shared" si="9"/>
        <v>0</v>
      </c>
    </row>
    <row r="75" spans="1:13" ht="15" hidden="1" customHeight="1" x14ac:dyDescent="0.25">
      <c r="A75" s="1" t="s">
        <v>6</v>
      </c>
      <c r="B75" s="36">
        <f>'Reimbursement Rates &lt;-INPUT'!Q14</f>
        <v>0</v>
      </c>
      <c r="C75" s="36">
        <f>'Reimbursement Rates &lt;-INPUT'!R14</f>
        <v>0</v>
      </c>
      <c r="D75" s="36">
        <f>'Reimbursement Rates &lt;-INPUT'!S14</f>
        <v>0</v>
      </c>
      <c r="E75" s="36">
        <f>'Reimbursement Rates &lt;-INPUT'!T14</f>
        <v>0</v>
      </c>
      <c r="F75" s="36">
        <f>'Reimbursement Rates &lt;-INPUT'!U14</f>
        <v>0</v>
      </c>
      <c r="G75" s="36">
        <f>'Reimbursement Rates &lt;-INPUT'!V14</f>
        <v>0</v>
      </c>
      <c r="H75" s="36">
        <f>'Reimbursement Rates &lt;-INPUT'!W14</f>
        <v>0</v>
      </c>
      <c r="I75" s="36"/>
      <c r="J75" s="36">
        <f t="shared" si="9"/>
        <v>0</v>
      </c>
    </row>
    <row r="76" spans="1:13" ht="15" hidden="1" customHeight="1" x14ac:dyDescent="0.25">
      <c r="A76" s="1" t="s">
        <v>50</v>
      </c>
      <c r="B76" s="36">
        <f>'Reimbursement Rates &lt;-INPUT'!Q15</f>
        <v>0</v>
      </c>
      <c r="C76" s="36">
        <f>'Reimbursement Rates &lt;-INPUT'!R15</f>
        <v>0</v>
      </c>
      <c r="D76" s="36">
        <f>'Reimbursement Rates &lt;-INPUT'!S15</f>
        <v>0.74399999999999999</v>
      </c>
      <c r="E76" s="36">
        <f>'Reimbursement Rates &lt;-INPUT'!T15</f>
        <v>0</v>
      </c>
      <c r="F76" s="36">
        <f>'Reimbursement Rates &lt;-INPUT'!U15</f>
        <v>0</v>
      </c>
      <c r="G76" s="36">
        <f>'Reimbursement Rates &lt;-INPUT'!V15</f>
        <v>0</v>
      </c>
      <c r="H76" s="36">
        <f>'Reimbursement Rates &lt;-INPUT'!W15</f>
        <v>0</v>
      </c>
      <c r="I76" s="36"/>
      <c r="J76" s="36">
        <f t="shared" si="9"/>
        <v>0</v>
      </c>
    </row>
    <row r="77" spans="1:13" ht="15" hidden="1" customHeight="1" x14ac:dyDescent="0.25">
      <c r="A77" s="1" t="s">
        <v>89</v>
      </c>
      <c r="B77" s="36">
        <f>'Reimbursement Rates &lt;-INPUT'!Q16</f>
        <v>0</v>
      </c>
      <c r="C77" s="36">
        <f>'Reimbursement Rates &lt;-INPUT'!R16</f>
        <v>0</v>
      </c>
      <c r="D77" s="36">
        <f>'Reimbursement Rates &lt;-INPUT'!S16</f>
        <v>0</v>
      </c>
      <c r="E77" s="36">
        <f>'Reimbursement Rates &lt;-INPUT'!T16</f>
        <v>0</v>
      </c>
      <c r="F77" s="36">
        <f>'Reimbursement Rates &lt;-INPUT'!U16</f>
        <v>0</v>
      </c>
      <c r="G77" s="36">
        <f>'Reimbursement Rates &lt;-INPUT'!V16</f>
        <v>0</v>
      </c>
      <c r="H77" s="36">
        <f>'Reimbursement Rates &lt;-INPUT'!W16</f>
        <v>0</v>
      </c>
      <c r="I77" s="36"/>
      <c r="J77" s="36">
        <f t="shared" si="9"/>
        <v>0</v>
      </c>
    </row>
    <row r="78" spans="1:13" ht="15" hidden="1" customHeight="1" x14ac:dyDescent="0.25">
      <c r="A78" s="1" t="s">
        <v>5</v>
      </c>
      <c r="B78" s="36">
        <f>'Reimbursement Rates &lt;-INPUT'!Q17</f>
        <v>0</v>
      </c>
      <c r="C78" s="36">
        <f>'Reimbursement Rates &lt;-INPUT'!R17</f>
        <v>0</v>
      </c>
      <c r="D78" s="36">
        <f>'Reimbursement Rates &lt;-INPUT'!S17</f>
        <v>0.69</v>
      </c>
      <c r="E78" s="36">
        <f>'Reimbursement Rates &lt;-INPUT'!T17</f>
        <v>0</v>
      </c>
      <c r="F78" s="36">
        <f>'Reimbursement Rates &lt;-INPUT'!U17</f>
        <v>0</v>
      </c>
      <c r="G78" s="36">
        <f>'Reimbursement Rates &lt;-INPUT'!V17</f>
        <v>0</v>
      </c>
      <c r="H78" s="36">
        <f>'Reimbursement Rates &lt;-INPUT'!W17</f>
        <v>0</v>
      </c>
      <c r="I78" s="36"/>
      <c r="J78" s="36">
        <f t="shared" si="9"/>
        <v>0</v>
      </c>
    </row>
    <row r="79" spans="1:13" ht="15" hidden="1" customHeight="1" x14ac:dyDescent="0.25">
      <c r="A79" s="1" t="s">
        <v>84</v>
      </c>
      <c r="B79" s="36">
        <f>'Reimbursement Rates &lt;-INPUT'!Q18</f>
        <v>0</v>
      </c>
      <c r="C79" s="36">
        <f>'Reimbursement Rates &lt;-INPUT'!R18</f>
        <v>0</v>
      </c>
      <c r="D79" s="36">
        <f>'Reimbursement Rates &lt;-INPUT'!S18</f>
        <v>0</v>
      </c>
      <c r="E79" s="36">
        <f>'Reimbursement Rates &lt;-INPUT'!T18</f>
        <v>0</v>
      </c>
      <c r="F79" s="36">
        <f>'Reimbursement Rates &lt;-INPUT'!U18</f>
        <v>0</v>
      </c>
      <c r="G79" s="36">
        <f>'Reimbursement Rates &lt;-INPUT'!V18</f>
        <v>0</v>
      </c>
      <c r="H79" s="36">
        <f>'Reimbursement Rates &lt;-INPUT'!W18</f>
        <v>0</v>
      </c>
      <c r="I79" s="36"/>
      <c r="J79" s="36">
        <f t="shared" si="9"/>
        <v>0</v>
      </c>
    </row>
    <row r="80" spans="1:13" ht="15" hidden="1" customHeight="1" x14ac:dyDescent="0.25">
      <c r="A80" s="1" t="s">
        <v>4</v>
      </c>
      <c r="B80" s="36">
        <f>'Reimbursement Rates &lt;-INPUT'!Q19</f>
        <v>0</v>
      </c>
      <c r="C80" s="36">
        <f>'Reimbursement Rates &lt;-INPUT'!R19</f>
        <v>0</v>
      </c>
      <c r="D80" s="36">
        <f>'Reimbursement Rates &lt;-INPUT'!S19</f>
        <v>0.218</v>
      </c>
      <c r="E80" s="36">
        <f>'Reimbursement Rates &lt;-INPUT'!T19</f>
        <v>0</v>
      </c>
      <c r="F80" s="36">
        <f>'Reimbursement Rates &lt;-INPUT'!U19</f>
        <v>0</v>
      </c>
      <c r="G80" s="36">
        <f>'Reimbursement Rates &lt;-INPUT'!V19</f>
        <v>0</v>
      </c>
      <c r="H80" s="36">
        <f>'Reimbursement Rates &lt;-INPUT'!W19</f>
        <v>0</v>
      </c>
      <c r="I80" s="36"/>
      <c r="J80" s="36">
        <f t="shared" si="9"/>
        <v>0</v>
      </c>
    </row>
    <row r="81" spans="1:14" ht="15" hidden="1" customHeight="1" x14ac:dyDescent="0.25">
      <c r="A81" s="1" t="s">
        <v>51</v>
      </c>
      <c r="B81" s="36">
        <f>'Reimbursement Rates &lt;-INPUT'!Q20</f>
        <v>0</v>
      </c>
      <c r="C81" s="36">
        <f>'Reimbursement Rates &lt;-INPUT'!R20</f>
        <v>0</v>
      </c>
      <c r="D81" s="36">
        <f>'Reimbursement Rates &lt;-INPUT'!S20</f>
        <v>0.67300000000000004</v>
      </c>
      <c r="E81" s="36">
        <f>'Reimbursement Rates &lt;-INPUT'!T20</f>
        <v>0</v>
      </c>
      <c r="F81" s="36">
        <f>'Reimbursement Rates &lt;-INPUT'!U20</f>
        <v>0</v>
      </c>
      <c r="G81" s="36">
        <f>'Reimbursement Rates &lt;-INPUT'!V20</f>
        <v>0</v>
      </c>
      <c r="H81" s="36">
        <f>'Reimbursement Rates &lt;-INPUT'!W20</f>
        <v>0</v>
      </c>
      <c r="I81" s="36"/>
      <c r="J81" s="36">
        <f t="shared" si="9"/>
        <v>0</v>
      </c>
    </row>
    <row r="82" spans="1:14" ht="15" hidden="1" customHeight="1" x14ac:dyDescent="0.25">
      <c r="A82" s="1" t="s">
        <v>85</v>
      </c>
      <c r="B82" s="36">
        <f>'Reimbursement Rates &lt;-INPUT'!Q21</f>
        <v>0</v>
      </c>
      <c r="C82" s="36">
        <f>'Reimbursement Rates &lt;-INPUT'!R21</f>
        <v>0</v>
      </c>
      <c r="D82" s="36">
        <f>'Reimbursement Rates &lt;-INPUT'!S21</f>
        <v>0</v>
      </c>
      <c r="E82" s="36">
        <f>'Reimbursement Rates &lt;-INPUT'!T21</f>
        <v>0</v>
      </c>
      <c r="F82" s="36">
        <f>'Reimbursement Rates &lt;-INPUT'!U21</f>
        <v>0</v>
      </c>
      <c r="G82" s="36">
        <f>'Reimbursement Rates &lt;-INPUT'!V21</f>
        <v>0</v>
      </c>
      <c r="H82" s="36">
        <f>'Reimbursement Rates &lt;-INPUT'!W21</f>
        <v>0</v>
      </c>
      <c r="I82" s="36"/>
      <c r="J82" s="36">
        <f t="shared" si="9"/>
        <v>0</v>
      </c>
    </row>
    <row r="83" spans="1:14" ht="15" hidden="1" customHeight="1" x14ac:dyDescent="0.25">
      <c r="A83" s="1" t="s">
        <v>2</v>
      </c>
      <c r="B83" s="36">
        <f>'Reimbursement Rates &lt;-INPUT'!Q22</f>
        <v>0</v>
      </c>
      <c r="C83" s="36">
        <f>'Reimbursement Rates &lt;-INPUT'!R22</f>
        <v>0</v>
      </c>
      <c r="D83" s="36">
        <f>'Reimbursement Rates &lt;-INPUT'!S22</f>
        <v>0</v>
      </c>
      <c r="E83" s="36">
        <f>'Reimbursement Rates &lt;-INPUT'!T22</f>
        <v>0</v>
      </c>
      <c r="F83" s="36">
        <f>'Reimbursement Rates &lt;-INPUT'!U22</f>
        <v>0</v>
      </c>
      <c r="G83" s="36">
        <f>'Reimbursement Rates &lt;-INPUT'!V22</f>
        <v>0</v>
      </c>
      <c r="H83" s="36">
        <f>'Reimbursement Rates &lt;-INPUT'!W22</f>
        <v>0</v>
      </c>
      <c r="I83" s="36"/>
      <c r="J83" s="36">
        <f t="shared" si="9"/>
        <v>0</v>
      </c>
    </row>
    <row r="84" spans="1:14" hidden="1" x14ac:dyDescent="0.25">
      <c r="A84" s="1" t="s">
        <v>86</v>
      </c>
      <c r="B84" s="36">
        <f>'Reimbursement Rates &lt;-INPUT'!Q23</f>
        <v>0</v>
      </c>
      <c r="C84" s="36">
        <f>'Reimbursement Rates &lt;-INPUT'!R23</f>
        <v>0</v>
      </c>
      <c r="D84" s="36">
        <f>'Reimbursement Rates &lt;-INPUT'!S23</f>
        <v>0.998</v>
      </c>
      <c r="E84" s="36">
        <f>'Reimbursement Rates &lt;-INPUT'!T23</f>
        <v>1</v>
      </c>
      <c r="F84" s="36">
        <f>'Reimbursement Rates &lt;-INPUT'!U23</f>
        <v>0</v>
      </c>
      <c r="G84" s="36">
        <f>'Reimbursement Rates &lt;-INPUT'!V23</f>
        <v>0</v>
      </c>
      <c r="H84" s="36">
        <f>'Reimbursement Rates &lt;-INPUT'!W23</f>
        <v>0</v>
      </c>
      <c r="I84" s="36"/>
      <c r="J84" s="36">
        <f t="shared" si="9"/>
        <v>0</v>
      </c>
    </row>
    <row r="85" spans="1:14" hidden="1" x14ac:dyDescent="0.25">
      <c r="A85" s="1" t="s">
        <v>29</v>
      </c>
      <c r="B85" s="36">
        <f>'Reimbursement Rates &lt;-INPUT'!Q24</f>
        <v>0</v>
      </c>
      <c r="C85" s="36">
        <f>'Reimbursement Rates &lt;-INPUT'!R24</f>
        <v>0</v>
      </c>
      <c r="D85" s="36">
        <f>'Reimbursement Rates &lt;-INPUT'!S24</f>
        <v>0.88500000000000001</v>
      </c>
      <c r="E85" s="36">
        <f>'Reimbursement Rates &lt;-INPUT'!T24</f>
        <v>0</v>
      </c>
      <c r="F85" s="36">
        <f>'Reimbursement Rates &lt;-INPUT'!U24</f>
        <v>0</v>
      </c>
      <c r="G85" s="36">
        <f>'Reimbursement Rates &lt;-INPUT'!V24</f>
        <v>0</v>
      </c>
      <c r="H85" s="36">
        <f>'Reimbursement Rates &lt;-INPUT'!W24</f>
        <v>0</v>
      </c>
      <c r="I85" s="36"/>
      <c r="J85" s="36">
        <f t="shared" si="9"/>
        <v>0</v>
      </c>
    </row>
    <row r="86" spans="1:14" hidden="1" x14ac:dyDescent="0.25">
      <c r="A86" s="1" t="s">
        <v>52</v>
      </c>
      <c r="B86" s="36">
        <f>'Reimbursement Rates &lt;-INPUT'!Q25</f>
        <v>0</v>
      </c>
      <c r="C86" s="36">
        <f>'Reimbursement Rates &lt;-INPUT'!R25</f>
        <v>0</v>
      </c>
      <c r="D86" s="36">
        <f>'Reimbursement Rates &lt;-INPUT'!S25</f>
        <v>1</v>
      </c>
      <c r="E86" s="36">
        <f>'Reimbursement Rates &lt;-INPUT'!T25</f>
        <v>0</v>
      </c>
      <c r="F86" s="36">
        <f>'Reimbursement Rates &lt;-INPUT'!U25</f>
        <v>0</v>
      </c>
      <c r="G86" s="36">
        <f>'Reimbursement Rates &lt;-INPUT'!V25</f>
        <v>0</v>
      </c>
      <c r="H86" s="36">
        <f>'Reimbursement Rates &lt;-INPUT'!W25</f>
        <v>0</v>
      </c>
      <c r="I86" s="36"/>
      <c r="J86" s="36">
        <f t="shared" si="9"/>
        <v>0</v>
      </c>
    </row>
    <row r="87" spans="1:14" hidden="1" x14ac:dyDescent="0.25">
      <c r="A87" s="1" t="s">
        <v>1</v>
      </c>
      <c r="B87" s="36">
        <f>'Reimbursement Rates &lt;-INPUT'!Q26</f>
        <v>0</v>
      </c>
      <c r="C87" s="36">
        <f>'Reimbursement Rates &lt;-INPUT'!R26</f>
        <v>0</v>
      </c>
      <c r="D87" s="36">
        <f>'Reimbursement Rates &lt;-INPUT'!S26</f>
        <v>0</v>
      </c>
      <c r="E87" s="36">
        <f>'Reimbursement Rates &lt;-INPUT'!T26</f>
        <v>0</v>
      </c>
      <c r="F87" s="36">
        <f>'Reimbursement Rates &lt;-INPUT'!U26</f>
        <v>0</v>
      </c>
      <c r="G87" s="36">
        <f>'Reimbursement Rates &lt;-INPUT'!V26</f>
        <v>0</v>
      </c>
      <c r="H87" s="36">
        <f>'Reimbursement Rates &lt;-INPUT'!W26</f>
        <v>0</v>
      </c>
      <c r="I87" s="36"/>
      <c r="J87" s="36">
        <f t="shared" si="9"/>
        <v>0</v>
      </c>
    </row>
    <row r="88" spans="1:14" ht="15.75" hidden="1" thickBot="1" x14ac:dyDescent="0.3">
      <c r="A88" s="1"/>
      <c r="B88" s="9"/>
      <c r="C88" s="9"/>
      <c r="D88" s="9"/>
      <c r="E88" s="9"/>
      <c r="F88" s="9"/>
      <c r="G88" s="9"/>
      <c r="H88" s="9"/>
      <c r="I88" s="9"/>
      <c r="J88" s="9"/>
    </row>
    <row r="89" spans="1:14" ht="15.75" thickBot="1" x14ac:dyDescent="0.3">
      <c r="A89" s="170" t="s">
        <v>33</v>
      </c>
      <c r="B89" s="171"/>
      <c r="C89" s="171"/>
      <c r="D89" s="171"/>
      <c r="E89" s="171"/>
      <c r="F89" s="171"/>
      <c r="G89" s="171"/>
      <c r="H89" s="171"/>
      <c r="I89" s="171"/>
      <c r="J89" s="172"/>
      <c r="N89" s="31"/>
    </row>
    <row r="90" spans="1:14" x14ac:dyDescent="0.25">
      <c r="A90" s="4" t="s">
        <v>16</v>
      </c>
      <c r="B90" s="5" t="s">
        <v>15</v>
      </c>
      <c r="C90" s="5" t="s">
        <v>14</v>
      </c>
      <c r="D90" s="5" t="s">
        <v>13</v>
      </c>
      <c r="E90" s="5" t="s">
        <v>12</v>
      </c>
      <c r="F90" s="5" t="s">
        <v>93</v>
      </c>
      <c r="G90" s="5" t="s">
        <v>94</v>
      </c>
      <c r="H90" s="5" t="s">
        <v>38</v>
      </c>
      <c r="I90" s="5" t="s">
        <v>9</v>
      </c>
      <c r="J90" s="5" t="s">
        <v>0</v>
      </c>
    </row>
    <row r="91" spans="1:14" x14ac:dyDescent="0.25">
      <c r="A91" s="1" t="s">
        <v>49</v>
      </c>
      <c r="B91" s="37">
        <f>'Biocorrect-Agile'!B91+'Biocorrect-GP'!B91+'Clinic 3'!B49+'Clinic 4'!B49+'Clinic 5'!B49+'Clinic 6'!B49+'Clinic 7'!B49+'Clinic 8'!B49+'Clinic 9'!B49+'Clinic 10'!B49+'Clinic 11'!B49+'Clinic 12'!B49+'Clinic 13'!B49+'Clinic 14'!B49+'Clinic 15'!B49</f>
        <v>0</v>
      </c>
      <c r="C91" s="37">
        <f>'Biocorrect-Agile'!C91+'Biocorrect-GP'!C91+'Clinic 3'!C49+'Clinic 4'!C49+'Clinic 5'!C49+'Clinic 6'!C49+'Clinic 7'!C49+'Clinic 8'!C49+'Clinic 9'!C49+'Clinic 10'!C49+'Clinic 11'!C49+'Clinic 12'!C49+'Clinic 13'!C49+'Clinic 14'!C49+'Clinic 15'!C49</f>
        <v>0</v>
      </c>
      <c r="D91" s="37">
        <f>'Biocorrect-Agile'!D91+'Biocorrect-GP'!D91+'Clinic 3'!D49+'Clinic 4'!D49+'Clinic 5'!D49+'Clinic 6'!D49+'Clinic 7'!D49+'Clinic 8'!D49+'Clinic 9'!D49+'Clinic 10'!D49+'Clinic 11'!D49+'Clinic 12'!D49+'Clinic 13'!D49+'Clinic 14'!D49+'Clinic 15'!D49</f>
        <v>0</v>
      </c>
      <c r="E91" s="37">
        <f>'Biocorrect-Agile'!E91+'Biocorrect-GP'!E91+'Clinic 3'!E49+'Clinic 4'!E49+'Clinic 5'!E49+'Clinic 6'!E49+'Clinic 7'!E49+'Clinic 8'!E49+'Clinic 9'!E49+'Clinic 10'!E49+'Clinic 11'!E49+'Clinic 12'!E49+'Clinic 13'!E49+'Clinic 14'!E49+'Clinic 15'!E49</f>
        <v>0</v>
      </c>
      <c r="F91" s="37">
        <f>'Biocorrect-Agile'!F91+'Biocorrect-GP'!F91+'Clinic 3'!F49+'Clinic 4'!F49+'Clinic 5'!F49+'Clinic 6'!F49+'Clinic 7'!F49+'Clinic 8'!F49+'Clinic 9'!F49+'Clinic 10'!F49+'Clinic 11'!F49+'Clinic 12'!F49+'Clinic 13'!F49+'Clinic 14'!F49+'Clinic 15'!F49</f>
        <v>0</v>
      </c>
      <c r="G91" s="37">
        <f>'Biocorrect-Agile'!G91+'Biocorrect-GP'!G91+'Clinic 3'!G49+'Clinic 4'!G49+'Clinic 5'!G49+'Clinic 6'!G49+'Clinic 7'!G49+'Clinic 8'!G49+'Clinic 9'!G49+'Clinic 10'!G49+'Clinic 11'!G49+'Clinic 12'!G49+'Clinic 13'!G49+'Clinic 14'!G49+'Clinic 15'!G49</f>
        <v>0</v>
      </c>
      <c r="H91" s="37">
        <f>'Biocorrect-Agile'!H91+'Biocorrect-GP'!H91+'Clinic 3'!H49+'Clinic 4'!H49+'Clinic 5'!H49+'Clinic 6'!H49+'Clinic 7'!H49+'Clinic 8'!H49+'Clinic 9'!H49+'Clinic 10'!H49+'Clinic 11'!H49+'Clinic 12'!H49+'Clinic 13'!H49+'Clinic 14'!H49+'Clinic 15'!H49</f>
        <v>0</v>
      </c>
      <c r="I91" s="37">
        <f>'Biocorrect-Agile'!I91+'Biocorrect-GP'!I91+'Clinic 3'!I49+'Clinic 4'!I49+'Clinic 5'!I49+'Clinic 6'!I49+'Clinic 7'!I49+'Clinic 8'!I49+'Clinic 9'!I49+'Clinic 10'!I49+'Clinic 11'!I49+'Clinic 12'!I49+'Clinic 13'!I49+'Clinic 14'!I49+'Clinic 15'!I49</f>
        <v>0</v>
      </c>
      <c r="J91" s="37">
        <f>SUM(B91:I91)</f>
        <v>0</v>
      </c>
    </row>
    <row r="92" spans="1:14" x14ac:dyDescent="0.25">
      <c r="A92" s="1" t="s">
        <v>8</v>
      </c>
      <c r="B92" s="37">
        <f>'Biocorrect-Agile'!B92+'Biocorrect-GP'!B92+'Clinic 3'!B50+'Clinic 4'!B50+'Clinic 5'!B50+'Clinic 6'!B50+'Clinic 7'!B50+'Clinic 8'!B50+'Clinic 9'!B50+'Clinic 10'!B50+'Clinic 11'!B50+'Clinic 12'!B50+'Clinic 13'!B50+'Clinic 14'!B50+'Clinic 15'!B50</f>
        <v>45.359999999999992</v>
      </c>
      <c r="C92" s="37">
        <f>'Biocorrect-Agile'!C92+'Biocorrect-GP'!C92+'Clinic 3'!C50+'Clinic 4'!C50+'Clinic 5'!C50+'Clinic 6'!C50+'Clinic 7'!C50+'Clinic 8'!C50+'Clinic 9'!C50+'Clinic 10'!C50+'Clinic 11'!C50+'Clinic 12'!C50+'Clinic 13'!C50+'Clinic 14'!C50+'Clinic 15'!C50</f>
        <v>90.719999999999985</v>
      </c>
      <c r="D92" s="37">
        <f>'Biocorrect-Agile'!D92+'Biocorrect-GP'!D92+'Clinic 3'!D50+'Clinic 4'!D50+'Clinic 5'!D50+'Clinic 6'!D50+'Clinic 7'!D50+'Clinic 8'!D50+'Clinic 9'!D50+'Clinic 10'!D50+'Clinic 11'!D50+'Clinic 12'!D50+'Clinic 13'!D50+'Clinic 14'!D50+'Clinic 15'!D50</f>
        <v>0</v>
      </c>
      <c r="E92" s="37">
        <f>'Biocorrect-Agile'!E92+'Biocorrect-GP'!E92+'Clinic 3'!E50+'Clinic 4'!E50+'Clinic 5'!E50+'Clinic 6'!E50+'Clinic 7'!E50+'Clinic 8'!E50+'Clinic 9'!E50+'Clinic 10'!E50+'Clinic 11'!E50+'Clinic 12'!E50+'Clinic 13'!E50+'Clinic 14'!E50+'Clinic 15'!E50</f>
        <v>0</v>
      </c>
      <c r="F92" s="37">
        <f>'Biocorrect-Agile'!F92+'Biocorrect-GP'!F92+'Clinic 3'!F50+'Clinic 4'!F50+'Clinic 5'!F50+'Clinic 6'!F50+'Clinic 7'!F50+'Clinic 8'!F50+'Clinic 9'!F50+'Clinic 10'!F50+'Clinic 11'!F50+'Clinic 12'!F50+'Clinic 13'!F50+'Clinic 14'!F50+'Clinic 15'!F50</f>
        <v>0</v>
      </c>
      <c r="G92" s="37">
        <f>'Biocorrect-Agile'!G92+'Biocorrect-GP'!G92+'Clinic 3'!G50+'Clinic 4'!G50+'Clinic 5'!G50+'Clinic 6'!G50+'Clinic 7'!G50+'Clinic 8'!G50+'Clinic 9'!G50+'Clinic 10'!G50+'Clinic 11'!G50+'Clinic 12'!G50+'Clinic 13'!G50+'Clinic 14'!G50+'Clinic 15'!G50</f>
        <v>0</v>
      </c>
      <c r="H92" s="37">
        <f>'Biocorrect-Agile'!H92+'Biocorrect-GP'!H92+'Clinic 3'!H50+'Clinic 4'!H50+'Clinic 5'!H50+'Clinic 6'!H50+'Clinic 7'!H50+'Clinic 8'!H50+'Clinic 9'!H50+'Clinic 10'!H50+'Clinic 11'!H50+'Clinic 12'!H50+'Clinic 13'!H50+'Clinic 14'!H50+'Clinic 15'!H50</f>
        <v>0</v>
      </c>
      <c r="I92" s="37">
        <f>'Biocorrect-Agile'!I92+'Biocorrect-GP'!I92+'Clinic 3'!I50+'Clinic 4'!I50+'Clinic 5'!I50+'Clinic 6'!I50+'Clinic 7'!I50+'Clinic 8'!I50+'Clinic 9'!I50+'Clinic 10'!I50+'Clinic 11'!I50+'Clinic 12'!I50+'Clinic 13'!I50+'Clinic 14'!I50+'Clinic 15'!I50</f>
        <v>0</v>
      </c>
      <c r="J92" s="37">
        <f t="shared" ref="J92:J107" si="10">SUM(B92:I92)</f>
        <v>136.07999999999998</v>
      </c>
    </row>
    <row r="93" spans="1:14" x14ac:dyDescent="0.25">
      <c r="A93" s="1" t="s">
        <v>7</v>
      </c>
      <c r="B93" s="37">
        <f>'Biocorrect-Agile'!B93+'Biocorrect-GP'!B93+'Clinic 3'!B51+'Clinic 4'!B51+'Clinic 5'!B51+'Clinic 6'!B51+'Clinic 7'!B51+'Clinic 8'!B51+'Clinic 9'!B51+'Clinic 10'!B51+'Clinic 11'!B51+'Clinic 12'!B51+'Clinic 13'!B51+'Clinic 14'!B51+'Clinic 15'!B51</f>
        <v>1593.3</v>
      </c>
      <c r="C93" s="37">
        <f>'Biocorrect-Agile'!C93+'Biocorrect-GP'!C93+'Clinic 3'!C51+'Clinic 4'!C51+'Clinic 5'!C51+'Clinic 6'!C51+'Clinic 7'!C51+'Clinic 8'!C51+'Clinic 9'!C51+'Clinic 10'!C51+'Clinic 11'!C51+'Clinic 12'!C51+'Clinic 13'!C51+'Clinic 14'!C51+'Clinic 15'!C51</f>
        <v>253.79999999999998</v>
      </c>
      <c r="D93" s="37">
        <f>'Biocorrect-Agile'!D93+'Biocorrect-GP'!D93+'Clinic 3'!D51+'Clinic 4'!D51+'Clinic 5'!D51+'Clinic 6'!D51+'Clinic 7'!D51+'Clinic 8'!D51+'Clinic 9'!D51+'Clinic 10'!D51+'Clinic 11'!D51+'Clinic 12'!D51+'Clinic 13'!D51+'Clinic 14'!D51+'Clinic 15'!D51</f>
        <v>0</v>
      </c>
      <c r="E93" s="37">
        <f>'Biocorrect-Agile'!E93+'Biocorrect-GP'!E93+'Clinic 3'!E51+'Clinic 4'!E51+'Clinic 5'!E51+'Clinic 6'!E51+'Clinic 7'!E51+'Clinic 8'!E51+'Clinic 9'!E51+'Clinic 10'!E51+'Clinic 11'!E51+'Clinic 12'!E51+'Clinic 13'!E51+'Clinic 14'!E51+'Clinic 15'!E51</f>
        <v>0</v>
      </c>
      <c r="F93" s="37">
        <f>'Biocorrect-Agile'!F93+'Biocorrect-GP'!F93+'Clinic 3'!F51+'Clinic 4'!F51+'Clinic 5'!F51+'Clinic 6'!F51+'Clinic 7'!F51+'Clinic 8'!F51+'Clinic 9'!F51+'Clinic 10'!F51+'Clinic 11'!F51+'Clinic 12'!F51+'Clinic 13'!F51+'Clinic 14'!F51+'Clinic 15'!F51</f>
        <v>0</v>
      </c>
      <c r="G93" s="37">
        <f>'Biocorrect-Agile'!G93+'Biocorrect-GP'!G93+'Clinic 3'!G51+'Clinic 4'!G51+'Clinic 5'!G51+'Clinic 6'!G51+'Clinic 7'!G51+'Clinic 8'!G51+'Clinic 9'!G51+'Clinic 10'!G51+'Clinic 11'!G51+'Clinic 12'!G51+'Clinic 13'!G51+'Clinic 14'!G51+'Clinic 15'!G51</f>
        <v>0</v>
      </c>
      <c r="H93" s="37">
        <f>'Biocorrect-Agile'!H93+'Biocorrect-GP'!H93+'Clinic 3'!H51+'Clinic 4'!H51+'Clinic 5'!H51+'Clinic 6'!H51+'Clinic 7'!H51+'Clinic 8'!H51+'Clinic 9'!H51+'Clinic 10'!H51+'Clinic 11'!H51+'Clinic 12'!H51+'Clinic 13'!H51+'Clinic 14'!H51+'Clinic 15'!H51</f>
        <v>0</v>
      </c>
      <c r="I93" s="37">
        <f>'Biocorrect-Agile'!I93+'Biocorrect-GP'!I93+'Clinic 3'!I51+'Clinic 4'!I51+'Clinic 5'!I51+'Clinic 6'!I51+'Clinic 7'!I51+'Clinic 8'!I51+'Clinic 9'!I51+'Clinic 10'!I51+'Clinic 11'!I51+'Clinic 12'!I51+'Clinic 13'!I51+'Clinic 14'!I51+'Clinic 15'!I51</f>
        <v>0</v>
      </c>
      <c r="J93" s="37">
        <f t="shared" si="10"/>
        <v>1847.1</v>
      </c>
    </row>
    <row r="94" spans="1:14" x14ac:dyDescent="0.25">
      <c r="A94" s="1" t="s">
        <v>42</v>
      </c>
      <c r="B94" s="37">
        <f>'Biocorrect-Agile'!B94+'Biocorrect-GP'!B94+'Clinic 3'!B52+'Clinic 4'!B52+'Clinic 5'!B52+'Clinic 6'!B52+'Clinic 7'!B52+'Clinic 8'!B52+'Clinic 9'!B52+'Clinic 10'!B52+'Clinic 11'!B52+'Clinic 12'!B52+'Clinic 13'!B52+'Clinic 14'!B52+'Clinic 15'!B52</f>
        <v>0</v>
      </c>
      <c r="C94" s="37">
        <f>'Biocorrect-Agile'!C94+'Biocorrect-GP'!C94+'Clinic 3'!C52+'Clinic 4'!C52+'Clinic 5'!C52+'Clinic 6'!C52+'Clinic 7'!C52+'Clinic 8'!C52+'Clinic 9'!C52+'Clinic 10'!C52+'Clinic 11'!C52+'Clinic 12'!C52+'Clinic 13'!C52+'Clinic 14'!C52+'Clinic 15'!C52</f>
        <v>0</v>
      </c>
      <c r="D94" s="37">
        <f>'Biocorrect-Agile'!D94+'Biocorrect-GP'!D94+'Clinic 3'!D52+'Clinic 4'!D52+'Clinic 5'!D52+'Clinic 6'!D52+'Clinic 7'!D52+'Clinic 8'!D52+'Clinic 9'!D52+'Clinic 10'!D52+'Clinic 11'!D52+'Clinic 12'!D52+'Clinic 13'!D52+'Clinic 14'!D52+'Clinic 15'!D52</f>
        <v>0</v>
      </c>
      <c r="E94" s="37">
        <f>'Biocorrect-Agile'!E94+'Biocorrect-GP'!E94+'Clinic 3'!E52+'Clinic 4'!E52+'Clinic 5'!E52+'Clinic 6'!E52+'Clinic 7'!E52+'Clinic 8'!E52+'Clinic 9'!E52+'Clinic 10'!E52+'Clinic 11'!E52+'Clinic 12'!E52+'Clinic 13'!E52+'Clinic 14'!E52+'Clinic 15'!E52</f>
        <v>0</v>
      </c>
      <c r="F94" s="37">
        <f>'Biocorrect-Agile'!F94+'Biocorrect-GP'!F94+'Clinic 3'!F52+'Clinic 4'!F52+'Clinic 5'!F52+'Clinic 6'!F52+'Clinic 7'!F52+'Clinic 8'!F52+'Clinic 9'!F52+'Clinic 10'!F52+'Clinic 11'!F52+'Clinic 12'!F52+'Clinic 13'!F52+'Clinic 14'!F52+'Clinic 15'!F52</f>
        <v>0</v>
      </c>
      <c r="G94" s="37">
        <f>'Biocorrect-Agile'!G94+'Biocorrect-GP'!G94+'Clinic 3'!G52+'Clinic 4'!G52+'Clinic 5'!G52+'Clinic 6'!G52+'Clinic 7'!G52+'Clinic 8'!G52+'Clinic 9'!G52+'Clinic 10'!G52+'Clinic 11'!G52+'Clinic 12'!G52+'Clinic 13'!G52+'Clinic 14'!G52+'Clinic 15'!G52</f>
        <v>0</v>
      </c>
      <c r="H94" s="37">
        <f>'Biocorrect-Agile'!H94+'Biocorrect-GP'!H94+'Clinic 3'!H52+'Clinic 4'!H52+'Clinic 5'!H52+'Clinic 6'!H52+'Clinic 7'!H52+'Clinic 8'!H52+'Clinic 9'!H52+'Clinic 10'!H52+'Clinic 11'!H52+'Clinic 12'!H52+'Clinic 13'!H52+'Clinic 14'!H52+'Clinic 15'!H52</f>
        <v>0</v>
      </c>
      <c r="I94" s="37">
        <f>'Biocorrect-Agile'!I94+'Biocorrect-GP'!I94+'Clinic 3'!I52+'Clinic 4'!I52+'Clinic 5'!I52+'Clinic 6'!I52+'Clinic 7'!I52+'Clinic 8'!I52+'Clinic 9'!I52+'Clinic 10'!I52+'Clinic 11'!I52+'Clinic 12'!I52+'Clinic 13'!I52+'Clinic 14'!I52+'Clinic 15'!I52</f>
        <v>0</v>
      </c>
      <c r="J94" s="37">
        <f t="shared" si="10"/>
        <v>0</v>
      </c>
    </row>
    <row r="95" spans="1:14" x14ac:dyDescent="0.25">
      <c r="A95" s="1" t="s">
        <v>6</v>
      </c>
      <c r="B95" s="37">
        <f>'Biocorrect-Agile'!B95+'Biocorrect-GP'!B95+'Clinic 3'!B53+'Clinic 4'!B53+'Clinic 5'!B53+'Clinic 6'!B53+'Clinic 7'!B53+'Clinic 8'!B53+'Clinic 9'!B53+'Clinic 10'!B53+'Clinic 11'!B53+'Clinic 12'!B53+'Clinic 13'!B53+'Clinic 14'!B53+'Clinic 15'!B53</f>
        <v>114.48</v>
      </c>
      <c r="C95" s="37">
        <f>'Biocorrect-Agile'!C95+'Biocorrect-GP'!C95+'Clinic 3'!C53+'Clinic 4'!C53+'Clinic 5'!C53+'Clinic 6'!C53+'Clinic 7'!C53+'Clinic 8'!C53+'Clinic 9'!C53+'Clinic 10'!C53+'Clinic 11'!C53+'Clinic 12'!C53+'Clinic 13'!C53+'Clinic 14'!C53+'Clinic 15'!C53</f>
        <v>0</v>
      </c>
      <c r="D95" s="37">
        <f>'Biocorrect-Agile'!D95+'Biocorrect-GP'!D95+'Clinic 3'!D53+'Clinic 4'!D53+'Clinic 5'!D53+'Clinic 6'!D53+'Clinic 7'!D53+'Clinic 8'!D53+'Clinic 9'!D53+'Clinic 10'!D53+'Clinic 11'!D53+'Clinic 12'!D53+'Clinic 13'!D53+'Clinic 14'!D53+'Clinic 15'!D53</f>
        <v>0</v>
      </c>
      <c r="E95" s="37">
        <f>'Biocorrect-Agile'!E95+'Biocorrect-GP'!E95+'Clinic 3'!E53+'Clinic 4'!E53+'Clinic 5'!E53+'Clinic 6'!E53+'Clinic 7'!E53+'Clinic 8'!E53+'Clinic 9'!E53+'Clinic 10'!E53+'Clinic 11'!E53+'Clinic 12'!E53+'Clinic 13'!E53+'Clinic 14'!E53+'Clinic 15'!E53</f>
        <v>0</v>
      </c>
      <c r="F95" s="37">
        <f>'Biocorrect-Agile'!F95+'Biocorrect-GP'!F95+'Clinic 3'!F53+'Clinic 4'!F53+'Clinic 5'!F53+'Clinic 6'!F53+'Clinic 7'!F53+'Clinic 8'!F53+'Clinic 9'!F53+'Clinic 10'!F53+'Clinic 11'!F53+'Clinic 12'!F53+'Clinic 13'!F53+'Clinic 14'!F53+'Clinic 15'!F53</f>
        <v>0</v>
      </c>
      <c r="G95" s="37">
        <f>'Biocorrect-Agile'!G95+'Biocorrect-GP'!G95+'Clinic 3'!G53+'Clinic 4'!G53+'Clinic 5'!G53+'Clinic 6'!G53+'Clinic 7'!G53+'Clinic 8'!G53+'Clinic 9'!G53+'Clinic 10'!G53+'Clinic 11'!G53+'Clinic 12'!G53+'Clinic 13'!G53+'Clinic 14'!G53+'Clinic 15'!G53</f>
        <v>0</v>
      </c>
      <c r="H95" s="37">
        <f>'Biocorrect-Agile'!H95+'Biocorrect-GP'!H95+'Clinic 3'!H53+'Clinic 4'!H53+'Clinic 5'!H53+'Clinic 6'!H53+'Clinic 7'!H53+'Clinic 8'!H53+'Clinic 9'!H53+'Clinic 10'!H53+'Clinic 11'!H53+'Clinic 12'!H53+'Clinic 13'!H53+'Clinic 14'!H53+'Clinic 15'!H53</f>
        <v>0</v>
      </c>
      <c r="I95" s="37">
        <f>'Biocorrect-Agile'!I95+'Biocorrect-GP'!I95+'Clinic 3'!I53+'Clinic 4'!I53+'Clinic 5'!I53+'Clinic 6'!I53+'Clinic 7'!I53+'Clinic 8'!I53+'Clinic 9'!I53+'Clinic 10'!I53+'Clinic 11'!I53+'Clinic 12'!I53+'Clinic 13'!I53+'Clinic 14'!I53+'Clinic 15'!I53</f>
        <v>-9.2750000000000004</v>
      </c>
      <c r="J95" s="37">
        <f t="shared" si="10"/>
        <v>105.205</v>
      </c>
    </row>
    <row r="96" spans="1:14" x14ac:dyDescent="0.25">
      <c r="A96" s="1" t="s">
        <v>50</v>
      </c>
      <c r="B96" s="37">
        <f>'Biocorrect-Agile'!B96+'Biocorrect-GP'!B96+'Clinic 3'!B54+'Clinic 4'!B54+'Clinic 5'!B54+'Clinic 6'!B54+'Clinic 7'!B54+'Clinic 8'!B54+'Clinic 9'!B54+'Clinic 10'!B54+'Clinic 11'!B54+'Clinic 12'!B54+'Clinic 13'!B54+'Clinic 14'!B54+'Clinic 15'!B54</f>
        <v>0</v>
      </c>
      <c r="C96" s="37">
        <f>'Biocorrect-Agile'!C96+'Biocorrect-GP'!C96+'Clinic 3'!C54+'Clinic 4'!C54+'Clinic 5'!C54+'Clinic 6'!C54+'Clinic 7'!C54+'Clinic 8'!C54+'Clinic 9'!C54+'Clinic 10'!C54+'Clinic 11'!C54+'Clinic 12'!C54+'Clinic 13'!C54+'Clinic 14'!C54+'Clinic 15'!C54</f>
        <v>0</v>
      </c>
      <c r="D96" s="37">
        <f>'Biocorrect-Agile'!D96+'Biocorrect-GP'!D96+'Clinic 3'!D54+'Clinic 4'!D54+'Clinic 5'!D54+'Clinic 6'!D54+'Clinic 7'!D54+'Clinic 8'!D54+'Clinic 9'!D54+'Clinic 10'!D54+'Clinic 11'!D54+'Clinic 12'!D54+'Clinic 13'!D54+'Clinic 14'!D54+'Clinic 15'!D54</f>
        <v>0</v>
      </c>
      <c r="E96" s="37">
        <f>'Biocorrect-Agile'!E96+'Biocorrect-GP'!E96+'Clinic 3'!E54+'Clinic 4'!E54+'Clinic 5'!E54+'Clinic 6'!E54+'Clinic 7'!E54+'Clinic 8'!E54+'Clinic 9'!E54+'Clinic 10'!E54+'Clinic 11'!E54+'Clinic 12'!E54+'Clinic 13'!E54+'Clinic 14'!E54+'Clinic 15'!E54</f>
        <v>0</v>
      </c>
      <c r="F96" s="37">
        <f>'Biocorrect-Agile'!F96+'Biocorrect-GP'!F96+'Clinic 3'!F54+'Clinic 4'!F54+'Clinic 5'!F54+'Clinic 6'!F54+'Clinic 7'!F54+'Clinic 8'!F54+'Clinic 9'!F54+'Clinic 10'!F54+'Clinic 11'!F54+'Clinic 12'!F54+'Clinic 13'!F54+'Clinic 14'!F54+'Clinic 15'!F54</f>
        <v>0</v>
      </c>
      <c r="G96" s="37">
        <f>'Biocorrect-Agile'!G96+'Biocorrect-GP'!G96+'Clinic 3'!G54+'Clinic 4'!G54+'Clinic 5'!G54+'Clinic 6'!G54+'Clinic 7'!G54+'Clinic 8'!G54+'Clinic 9'!G54+'Clinic 10'!G54+'Clinic 11'!G54+'Clinic 12'!G54+'Clinic 13'!G54+'Clinic 14'!G54+'Clinic 15'!G54</f>
        <v>0</v>
      </c>
      <c r="H96" s="37">
        <f>'Biocorrect-Agile'!H96+'Biocorrect-GP'!H96+'Clinic 3'!H54+'Clinic 4'!H54+'Clinic 5'!H54+'Clinic 6'!H54+'Clinic 7'!H54+'Clinic 8'!H54+'Clinic 9'!H54+'Clinic 10'!H54+'Clinic 11'!H54+'Clinic 12'!H54+'Clinic 13'!H54+'Clinic 14'!H54+'Clinic 15'!H54</f>
        <v>0</v>
      </c>
      <c r="I96" s="37">
        <f>'Biocorrect-Agile'!I96+'Biocorrect-GP'!I96+'Clinic 3'!I54+'Clinic 4'!I54+'Clinic 5'!I54+'Clinic 6'!I54+'Clinic 7'!I54+'Clinic 8'!I54+'Clinic 9'!I54+'Clinic 10'!I54+'Clinic 11'!I54+'Clinic 12'!I54+'Clinic 13'!I54+'Clinic 14'!I54+'Clinic 15'!I54</f>
        <v>0</v>
      </c>
      <c r="J96" s="37">
        <f t="shared" si="10"/>
        <v>0</v>
      </c>
    </row>
    <row r="97" spans="1:13" x14ac:dyDescent="0.25">
      <c r="A97" s="1" t="s">
        <v>89</v>
      </c>
      <c r="B97" s="37">
        <f>'Biocorrect-Agile'!B97+'Biocorrect-GP'!B97+'Clinic 3'!B55+'Clinic 4'!B55+'Clinic 5'!B55+'Clinic 6'!B55+'Clinic 7'!B55+'Clinic 8'!B55+'Clinic 9'!B55+'Clinic 10'!B55+'Clinic 11'!B55+'Clinic 12'!B55+'Clinic 13'!B55+'Clinic 14'!B55+'Clinic 15'!B55</f>
        <v>0</v>
      </c>
      <c r="C97" s="37">
        <f>'Biocorrect-Agile'!C97+'Biocorrect-GP'!C97+'Clinic 3'!C55+'Clinic 4'!C55+'Clinic 5'!C55+'Clinic 6'!C55+'Clinic 7'!C55+'Clinic 8'!C55+'Clinic 9'!C55+'Clinic 10'!C55+'Clinic 11'!C55+'Clinic 12'!C55+'Clinic 13'!C55+'Clinic 14'!C55+'Clinic 15'!C55</f>
        <v>0</v>
      </c>
      <c r="D97" s="37">
        <f>'Biocorrect-Agile'!D97+'Biocorrect-GP'!D97+'Clinic 3'!D55+'Clinic 4'!D55+'Clinic 5'!D55+'Clinic 6'!D55+'Clinic 7'!D55+'Clinic 8'!D55+'Clinic 9'!D55+'Clinic 10'!D55+'Clinic 11'!D55+'Clinic 12'!D55+'Clinic 13'!D55+'Clinic 14'!D55+'Clinic 15'!D55</f>
        <v>0</v>
      </c>
      <c r="E97" s="37">
        <f>'Biocorrect-Agile'!E97+'Biocorrect-GP'!E97+'Clinic 3'!E55+'Clinic 4'!E55+'Clinic 5'!E55+'Clinic 6'!E55+'Clinic 7'!E55+'Clinic 8'!E55+'Clinic 9'!E55+'Clinic 10'!E55+'Clinic 11'!E55+'Clinic 12'!E55+'Clinic 13'!E55+'Clinic 14'!E55+'Clinic 15'!E55</f>
        <v>0</v>
      </c>
      <c r="F97" s="37">
        <f>'Biocorrect-Agile'!F97+'Biocorrect-GP'!F97+'Clinic 3'!F55+'Clinic 4'!F55+'Clinic 5'!F55+'Clinic 6'!F55+'Clinic 7'!F55+'Clinic 8'!F55+'Clinic 9'!F55+'Clinic 10'!F55+'Clinic 11'!F55+'Clinic 12'!F55+'Clinic 13'!F55+'Clinic 14'!F55+'Clinic 15'!F55</f>
        <v>0</v>
      </c>
      <c r="G97" s="37">
        <f>'Biocorrect-Agile'!G97+'Biocorrect-GP'!G97+'Clinic 3'!G55+'Clinic 4'!G55+'Clinic 5'!G55+'Clinic 6'!G55+'Clinic 7'!G55+'Clinic 8'!G55+'Clinic 9'!G55+'Clinic 10'!G55+'Clinic 11'!G55+'Clinic 12'!G55+'Clinic 13'!G55+'Clinic 14'!G55+'Clinic 15'!G55</f>
        <v>0</v>
      </c>
      <c r="H97" s="37">
        <f>'Biocorrect-Agile'!H97+'Biocorrect-GP'!H97+'Clinic 3'!H55+'Clinic 4'!H55+'Clinic 5'!H55+'Clinic 6'!H55+'Clinic 7'!H55+'Clinic 8'!H55+'Clinic 9'!H55+'Clinic 10'!H55+'Clinic 11'!H55+'Clinic 12'!H55+'Clinic 13'!H55+'Clinic 14'!H55+'Clinic 15'!H55</f>
        <v>0</v>
      </c>
      <c r="I97" s="37">
        <f>'Biocorrect-Agile'!I97+'Biocorrect-GP'!I97+'Clinic 3'!I55+'Clinic 4'!I55+'Clinic 5'!I55+'Clinic 6'!I55+'Clinic 7'!I55+'Clinic 8'!I55+'Clinic 9'!I55+'Clinic 10'!I55+'Clinic 11'!I55+'Clinic 12'!I55+'Clinic 13'!I55+'Clinic 14'!I55+'Clinic 15'!I55</f>
        <v>0</v>
      </c>
      <c r="J97" s="37">
        <f t="shared" si="10"/>
        <v>0</v>
      </c>
    </row>
    <row r="98" spans="1:13" x14ac:dyDescent="0.25">
      <c r="A98" s="1" t="s">
        <v>5</v>
      </c>
      <c r="B98" s="37">
        <f>'Biocorrect-Agile'!B98+'Biocorrect-GP'!B98+'Clinic 3'!B56+'Clinic 4'!B56+'Clinic 5'!B56+'Clinic 6'!B56+'Clinic 7'!B56+'Clinic 8'!B56+'Clinic 9'!B56+'Clinic 10'!B56+'Clinic 11'!B56+'Clinic 12'!B56+'Clinic 13'!B56+'Clinic 14'!B56+'Clinic 15'!B56</f>
        <v>0</v>
      </c>
      <c r="C98" s="37">
        <f>'Biocorrect-Agile'!C98+'Biocorrect-GP'!C98+'Clinic 3'!C56+'Clinic 4'!C56+'Clinic 5'!C56+'Clinic 6'!C56+'Clinic 7'!C56+'Clinic 8'!C56+'Clinic 9'!C56+'Clinic 10'!C56+'Clinic 11'!C56+'Clinic 12'!C56+'Clinic 13'!C56+'Clinic 14'!C56+'Clinic 15'!C56</f>
        <v>0</v>
      </c>
      <c r="D98" s="37">
        <f>'Biocorrect-Agile'!D98+'Biocorrect-GP'!D98+'Clinic 3'!D56+'Clinic 4'!D56+'Clinic 5'!D56+'Clinic 6'!D56+'Clinic 7'!D56+'Clinic 8'!D56+'Clinic 9'!D56+'Clinic 10'!D56+'Clinic 11'!D56+'Clinic 12'!D56+'Clinic 13'!D56+'Clinic 14'!D56+'Clinic 15'!D56</f>
        <v>0</v>
      </c>
      <c r="E98" s="37">
        <f>'Biocorrect-Agile'!E98+'Biocorrect-GP'!E98+'Clinic 3'!E56+'Clinic 4'!E56+'Clinic 5'!E56+'Clinic 6'!E56+'Clinic 7'!E56+'Clinic 8'!E56+'Clinic 9'!E56+'Clinic 10'!E56+'Clinic 11'!E56+'Clinic 12'!E56+'Clinic 13'!E56+'Clinic 14'!E56+'Clinic 15'!E56</f>
        <v>0</v>
      </c>
      <c r="F98" s="37">
        <f>'Biocorrect-Agile'!F98+'Biocorrect-GP'!F98+'Clinic 3'!F56+'Clinic 4'!F56+'Clinic 5'!F56+'Clinic 6'!F56+'Clinic 7'!F56+'Clinic 8'!F56+'Clinic 9'!F56+'Clinic 10'!F56+'Clinic 11'!F56+'Clinic 12'!F56+'Clinic 13'!F56+'Clinic 14'!F56+'Clinic 15'!F56</f>
        <v>0</v>
      </c>
      <c r="G98" s="37">
        <f>'Biocorrect-Agile'!G98+'Biocorrect-GP'!G98+'Clinic 3'!G56+'Clinic 4'!G56+'Clinic 5'!G56+'Clinic 6'!G56+'Clinic 7'!G56+'Clinic 8'!G56+'Clinic 9'!G56+'Clinic 10'!G56+'Clinic 11'!G56+'Clinic 12'!G56+'Clinic 13'!G56+'Clinic 14'!G56+'Clinic 15'!G56</f>
        <v>0</v>
      </c>
      <c r="H98" s="37">
        <f>'Biocorrect-Agile'!H98+'Biocorrect-GP'!H98+'Clinic 3'!H56+'Clinic 4'!H56+'Clinic 5'!H56+'Clinic 6'!H56+'Clinic 7'!H56+'Clinic 8'!H56+'Clinic 9'!H56+'Clinic 10'!H56+'Clinic 11'!H56+'Clinic 12'!H56+'Clinic 13'!H56+'Clinic 14'!H56+'Clinic 15'!H56</f>
        <v>0</v>
      </c>
      <c r="I98" s="37">
        <f>'Biocorrect-Agile'!I98+'Biocorrect-GP'!I98+'Clinic 3'!I56+'Clinic 4'!I56+'Clinic 5'!I56+'Clinic 6'!I56+'Clinic 7'!I56+'Clinic 8'!I56+'Clinic 9'!I56+'Clinic 10'!I56+'Clinic 11'!I56+'Clinic 12'!I56+'Clinic 13'!I56+'Clinic 14'!I56+'Clinic 15'!I56</f>
        <v>0</v>
      </c>
      <c r="J98" s="37">
        <f t="shared" si="10"/>
        <v>0</v>
      </c>
    </row>
    <row r="99" spans="1:13" x14ac:dyDescent="0.25">
      <c r="A99" s="1" t="s">
        <v>84</v>
      </c>
      <c r="B99" s="37">
        <f>'Biocorrect-Agile'!B99+'Biocorrect-GP'!B99+'Clinic 3'!B57+'Clinic 4'!B57+'Clinic 5'!B57+'Clinic 6'!B57+'Clinic 7'!B57+'Clinic 8'!B57+'Clinic 9'!B57+'Clinic 10'!B57+'Clinic 11'!B57+'Clinic 12'!B57+'Clinic 13'!B57+'Clinic 14'!B57+'Clinic 15'!B57</f>
        <v>0</v>
      </c>
      <c r="C99" s="37">
        <f>'Biocorrect-Agile'!C99+'Biocorrect-GP'!C99+'Clinic 3'!C57+'Clinic 4'!C57+'Clinic 5'!C57+'Clinic 6'!C57+'Clinic 7'!C57+'Clinic 8'!C57+'Clinic 9'!C57+'Clinic 10'!C57+'Clinic 11'!C57+'Clinic 12'!C57+'Clinic 13'!C57+'Clinic 14'!C57+'Clinic 15'!C57</f>
        <v>0</v>
      </c>
      <c r="D99" s="37">
        <f>'Biocorrect-Agile'!D99+'Biocorrect-GP'!D99+'Clinic 3'!D57+'Clinic 4'!D57+'Clinic 5'!D57+'Clinic 6'!D57+'Clinic 7'!D57+'Clinic 8'!D57+'Clinic 9'!D57+'Clinic 10'!D57+'Clinic 11'!D57+'Clinic 12'!D57+'Clinic 13'!D57+'Clinic 14'!D57+'Clinic 15'!D57</f>
        <v>0</v>
      </c>
      <c r="E99" s="37">
        <f>'Biocorrect-Agile'!E99+'Biocorrect-GP'!E99+'Clinic 3'!E57+'Clinic 4'!E57+'Clinic 5'!E57+'Clinic 6'!E57+'Clinic 7'!E57+'Clinic 8'!E57+'Clinic 9'!E57+'Clinic 10'!E57+'Clinic 11'!E57+'Clinic 12'!E57+'Clinic 13'!E57+'Clinic 14'!E57+'Clinic 15'!E57</f>
        <v>0</v>
      </c>
      <c r="F99" s="37">
        <f>'Biocorrect-Agile'!F99+'Biocorrect-GP'!F99+'Clinic 3'!F57+'Clinic 4'!F57+'Clinic 5'!F57+'Clinic 6'!F57+'Clinic 7'!F57+'Clinic 8'!F57+'Clinic 9'!F57+'Clinic 10'!F57+'Clinic 11'!F57+'Clinic 12'!F57+'Clinic 13'!F57+'Clinic 14'!F57+'Clinic 15'!F57</f>
        <v>0</v>
      </c>
      <c r="G99" s="37">
        <f>'Biocorrect-Agile'!G99+'Biocorrect-GP'!G99+'Clinic 3'!G57+'Clinic 4'!G57+'Clinic 5'!G57+'Clinic 6'!G57+'Clinic 7'!G57+'Clinic 8'!G57+'Clinic 9'!G57+'Clinic 10'!G57+'Clinic 11'!G57+'Clinic 12'!G57+'Clinic 13'!G57+'Clinic 14'!G57+'Clinic 15'!G57</f>
        <v>0</v>
      </c>
      <c r="H99" s="37">
        <f>'Biocorrect-Agile'!H99+'Biocorrect-GP'!H99+'Clinic 3'!H57+'Clinic 4'!H57+'Clinic 5'!H57+'Clinic 6'!H57+'Clinic 7'!H57+'Clinic 8'!H57+'Clinic 9'!H57+'Clinic 10'!H57+'Clinic 11'!H57+'Clinic 12'!H57+'Clinic 13'!H57+'Clinic 14'!H57+'Clinic 15'!H57</f>
        <v>0</v>
      </c>
      <c r="I99" s="37">
        <f>'Biocorrect-Agile'!I99+'Biocorrect-GP'!I99+'Clinic 3'!I57+'Clinic 4'!I57+'Clinic 5'!I57+'Clinic 6'!I57+'Clinic 7'!I57+'Clinic 8'!I57+'Clinic 9'!I57+'Clinic 10'!I57+'Clinic 11'!I57+'Clinic 12'!I57+'Clinic 13'!I57+'Clinic 14'!I57+'Clinic 15'!I57</f>
        <v>0</v>
      </c>
      <c r="J99" s="37">
        <f t="shared" si="10"/>
        <v>0</v>
      </c>
    </row>
    <row r="100" spans="1:13" x14ac:dyDescent="0.25">
      <c r="A100" s="1" t="s">
        <v>4</v>
      </c>
      <c r="B100" s="37">
        <f>'Biocorrect-Agile'!B100+'Biocorrect-GP'!B100+'Clinic 3'!B58+'Clinic 4'!B58+'Clinic 5'!B58+'Clinic 6'!B58+'Clinic 7'!B58+'Clinic 8'!B58+'Clinic 9'!B58+'Clinic 10'!B58+'Clinic 11'!B58+'Clinic 12'!B58+'Clinic 13'!B58+'Clinic 14'!B58+'Clinic 15'!B58</f>
        <v>337.82400000000001</v>
      </c>
      <c r="C100" s="37">
        <f>'Biocorrect-Agile'!C100+'Biocorrect-GP'!C100+'Clinic 3'!C58+'Clinic 4'!C58+'Clinic 5'!C58+'Clinic 6'!C58+'Clinic 7'!C58+'Clinic 8'!C58+'Clinic 9'!C58+'Clinic 10'!C58+'Clinic 11'!C58+'Clinic 12'!C58+'Clinic 13'!C58+'Clinic 14'!C58+'Clinic 15'!C58</f>
        <v>0</v>
      </c>
      <c r="D100" s="37">
        <f>'Biocorrect-Agile'!D100+'Biocorrect-GP'!D100+'Clinic 3'!D58+'Clinic 4'!D58+'Clinic 5'!D58+'Clinic 6'!D58+'Clinic 7'!D58+'Clinic 8'!D58+'Clinic 9'!D58+'Clinic 10'!D58+'Clinic 11'!D58+'Clinic 12'!D58+'Clinic 13'!D58+'Clinic 14'!D58+'Clinic 15'!D58</f>
        <v>0</v>
      </c>
      <c r="E100" s="37">
        <f>'Biocorrect-Agile'!E100+'Biocorrect-GP'!E100+'Clinic 3'!E58+'Clinic 4'!E58+'Clinic 5'!E58+'Clinic 6'!E58+'Clinic 7'!E58+'Clinic 8'!E58+'Clinic 9'!E58+'Clinic 10'!E58+'Clinic 11'!E58+'Clinic 12'!E58+'Clinic 13'!E58+'Clinic 14'!E58+'Clinic 15'!E58</f>
        <v>0</v>
      </c>
      <c r="F100" s="37">
        <f>'Biocorrect-Agile'!F100+'Biocorrect-GP'!F100+'Clinic 3'!F58+'Clinic 4'!F58+'Clinic 5'!F58+'Clinic 6'!F58+'Clinic 7'!F58+'Clinic 8'!F58+'Clinic 9'!F58+'Clinic 10'!F58+'Clinic 11'!F58+'Clinic 12'!F58+'Clinic 13'!F58+'Clinic 14'!F58+'Clinic 15'!F58</f>
        <v>0</v>
      </c>
      <c r="G100" s="37">
        <f>'Biocorrect-Agile'!G100+'Biocorrect-GP'!G100+'Clinic 3'!G58+'Clinic 4'!G58+'Clinic 5'!G58+'Clinic 6'!G58+'Clinic 7'!G58+'Clinic 8'!G58+'Clinic 9'!G58+'Clinic 10'!G58+'Clinic 11'!G58+'Clinic 12'!G58+'Clinic 13'!G58+'Clinic 14'!G58+'Clinic 15'!G58</f>
        <v>0</v>
      </c>
      <c r="H100" s="37">
        <f>'Biocorrect-Agile'!H100+'Biocorrect-GP'!H100+'Clinic 3'!H58+'Clinic 4'!H58+'Clinic 5'!H58+'Clinic 6'!H58+'Clinic 7'!H58+'Clinic 8'!H58+'Clinic 9'!H58+'Clinic 10'!H58+'Clinic 11'!H58+'Clinic 12'!H58+'Clinic 13'!H58+'Clinic 14'!H58+'Clinic 15'!H58</f>
        <v>0</v>
      </c>
      <c r="I100" s="37">
        <f>'Biocorrect-Agile'!I100+'Biocorrect-GP'!I100+'Clinic 3'!I58+'Clinic 4'!I58+'Clinic 5'!I58+'Clinic 6'!I58+'Clinic 7'!I58+'Clinic 8'!I58+'Clinic 9'!I58+'Clinic 10'!I58+'Clinic 11'!I58+'Clinic 12'!I58+'Clinic 13'!I58+'Clinic 14'!I58+'Clinic 15'!I58</f>
        <v>0</v>
      </c>
      <c r="J100" s="37">
        <f t="shared" si="10"/>
        <v>337.82400000000001</v>
      </c>
    </row>
    <row r="101" spans="1:13" x14ac:dyDescent="0.25">
      <c r="A101" s="1" t="s">
        <v>51</v>
      </c>
      <c r="B101" s="37">
        <f>'Biocorrect-Agile'!B101+'Biocorrect-GP'!B101+'Clinic 3'!B59+'Clinic 4'!B59+'Clinic 5'!B59+'Clinic 6'!B59+'Clinic 7'!B59+'Clinic 8'!B59+'Clinic 9'!B59+'Clinic 10'!B59+'Clinic 11'!B59+'Clinic 12'!B59+'Clinic 13'!B59+'Clinic 14'!B59+'Clinic 15'!B59</f>
        <v>134.35200000000003</v>
      </c>
      <c r="C101" s="37">
        <f>'Biocorrect-Agile'!C101+'Biocorrect-GP'!C101+'Clinic 3'!C59+'Clinic 4'!C59+'Clinic 5'!C59+'Clinic 6'!C59+'Clinic 7'!C59+'Clinic 8'!C59+'Clinic 9'!C59+'Clinic 10'!C59+'Clinic 11'!C59+'Clinic 12'!C59+'Clinic 13'!C59+'Clinic 14'!C59+'Clinic 15'!C59</f>
        <v>0</v>
      </c>
      <c r="D101" s="37">
        <f>'Biocorrect-Agile'!D101+'Biocorrect-GP'!D101+'Clinic 3'!D59+'Clinic 4'!D59+'Clinic 5'!D59+'Clinic 6'!D59+'Clinic 7'!D59+'Clinic 8'!D59+'Clinic 9'!D59+'Clinic 10'!D59+'Clinic 11'!D59+'Clinic 12'!D59+'Clinic 13'!D59+'Clinic 14'!D59+'Clinic 15'!D59</f>
        <v>0</v>
      </c>
      <c r="E101" s="37">
        <f>'Biocorrect-Agile'!E101+'Biocorrect-GP'!E101+'Clinic 3'!E59+'Clinic 4'!E59+'Clinic 5'!E59+'Clinic 6'!E59+'Clinic 7'!E59+'Clinic 8'!E59+'Clinic 9'!E59+'Clinic 10'!E59+'Clinic 11'!E59+'Clinic 12'!E59+'Clinic 13'!E59+'Clinic 14'!E59+'Clinic 15'!E59</f>
        <v>0</v>
      </c>
      <c r="F101" s="37">
        <f>'Biocorrect-Agile'!F101+'Biocorrect-GP'!F101+'Clinic 3'!F59+'Clinic 4'!F59+'Clinic 5'!F59+'Clinic 6'!F59+'Clinic 7'!F59+'Clinic 8'!F59+'Clinic 9'!F59+'Clinic 10'!F59+'Clinic 11'!F59+'Clinic 12'!F59+'Clinic 13'!F59+'Clinic 14'!F59+'Clinic 15'!F59</f>
        <v>0</v>
      </c>
      <c r="G101" s="37">
        <f>'Biocorrect-Agile'!G101+'Biocorrect-GP'!G101+'Clinic 3'!G59+'Clinic 4'!G59+'Clinic 5'!G59+'Clinic 6'!G59+'Clinic 7'!G59+'Clinic 8'!G59+'Clinic 9'!G59+'Clinic 10'!G59+'Clinic 11'!G59+'Clinic 12'!G59+'Clinic 13'!G59+'Clinic 14'!G59+'Clinic 15'!G59</f>
        <v>0</v>
      </c>
      <c r="H101" s="37">
        <f>'Biocorrect-Agile'!H101+'Biocorrect-GP'!H101+'Clinic 3'!H59+'Clinic 4'!H59+'Clinic 5'!H59+'Clinic 6'!H59+'Clinic 7'!H59+'Clinic 8'!H59+'Clinic 9'!H59+'Clinic 10'!H59+'Clinic 11'!H59+'Clinic 12'!H59+'Clinic 13'!H59+'Clinic 14'!H59+'Clinic 15'!H59</f>
        <v>0</v>
      </c>
      <c r="I101" s="37">
        <f>'Biocorrect-Agile'!I101+'Biocorrect-GP'!I101+'Clinic 3'!I59+'Clinic 4'!I59+'Clinic 5'!I59+'Clinic 6'!I59+'Clinic 7'!I59+'Clinic 8'!I59+'Clinic 9'!I59+'Clinic 10'!I59+'Clinic 11'!I59+'Clinic 12'!I59+'Clinic 13'!I59+'Clinic 14'!I59+'Clinic 15'!I59</f>
        <v>0</v>
      </c>
      <c r="J101" s="37">
        <f t="shared" si="10"/>
        <v>134.35200000000003</v>
      </c>
    </row>
    <row r="102" spans="1:13" x14ac:dyDescent="0.25">
      <c r="A102" s="1" t="s">
        <v>85</v>
      </c>
      <c r="B102" s="37">
        <f>'Biocorrect-Agile'!B102+'Biocorrect-GP'!B102+'Clinic 3'!B60+'Clinic 4'!B60+'Clinic 5'!B60+'Clinic 6'!B60+'Clinic 7'!B60+'Clinic 8'!B60+'Clinic 9'!B60+'Clinic 10'!B60+'Clinic 11'!B60+'Clinic 12'!B60+'Clinic 13'!B60+'Clinic 14'!B60+'Clinic 15'!B60</f>
        <v>0</v>
      </c>
      <c r="C102" s="37">
        <f>'Biocorrect-Agile'!C102+'Biocorrect-GP'!C102+'Clinic 3'!C60+'Clinic 4'!C60+'Clinic 5'!C60+'Clinic 6'!C60+'Clinic 7'!C60+'Clinic 8'!C60+'Clinic 9'!C60+'Clinic 10'!C60+'Clinic 11'!C60+'Clinic 12'!C60+'Clinic 13'!C60+'Clinic 14'!C60+'Clinic 15'!C60</f>
        <v>0</v>
      </c>
      <c r="D102" s="37">
        <f>'Biocorrect-Agile'!D102+'Biocorrect-GP'!D102+'Clinic 3'!D60+'Clinic 4'!D60+'Clinic 5'!D60+'Clinic 6'!D60+'Clinic 7'!D60+'Clinic 8'!D60+'Clinic 9'!D60+'Clinic 10'!D60+'Clinic 11'!D60+'Clinic 12'!D60+'Clinic 13'!D60+'Clinic 14'!D60+'Clinic 15'!D60</f>
        <v>0</v>
      </c>
      <c r="E102" s="37">
        <f>'Biocorrect-Agile'!E102+'Biocorrect-GP'!E102+'Clinic 3'!E60+'Clinic 4'!E60+'Clinic 5'!E60+'Clinic 6'!E60+'Clinic 7'!E60+'Clinic 8'!E60+'Clinic 9'!E60+'Clinic 10'!E60+'Clinic 11'!E60+'Clinic 12'!E60+'Clinic 13'!E60+'Clinic 14'!E60+'Clinic 15'!E60</f>
        <v>0</v>
      </c>
      <c r="F102" s="37">
        <f>'Biocorrect-Agile'!F102+'Biocorrect-GP'!F102+'Clinic 3'!F60+'Clinic 4'!F60+'Clinic 5'!F60+'Clinic 6'!F60+'Clinic 7'!F60+'Clinic 8'!F60+'Clinic 9'!F60+'Clinic 10'!F60+'Clinic 11'!F60+'Clinic 12'!F60+'Clinic 13'!F60+'Clinic 14'!F60+'Clinic 15'!F60</f>
        <v>0</v>
      </c>
      <c r="G102" s="37">
        <f>'Biocorrect-Agile'!G102+'Biocorrect-GP'!G102+'Clinic 3'!G60+'Clinic 4'!G60+'Clinic 5'!G60+'Clinic 6'!G60+'Clinic 7'!G60+'Clinic 8'!G60+'Clinic 9'!G60+'Clinic 10'!G60+'Clinic 11'!G60+'Clinic 12'!G60+'Clinic 13'!G60+'Clinic 14'!G60+'Clinic 15'!G60</f>
        <v>0</v>
      </c>
      <c r="H102" s="37">
        <f>'Biocorrect-Agile'!H102+'Biocorrect-GP'!H102+'Clinic 3'!H60+'Clinic 4'!H60+'Clinic 5'!H60+'Clinic 6'!H60+'Clinic 7'!H60+'Clinic 8'!H60+'Clinic 9'!H60+'Clinic 10'!H60+'Clinic 11'!H60+'Clinic 12'!H60+'Clinic 13'!H60+'Clinic 14'!H60+'Clinic 15'!H60</f>
        <v>432</v>
      </c>
      <c r="I102" s="37">
        <f>'Biocorrect-Agile'!I102+'Biocorrect-GP'!I102+'Clinic 3'!I60+'Clinic 4'!I60+'Clinic 5'!I60+'Clinic 6'!I60+'Clinic 7'!I60+'Clinic 8'!I60+'Clinic 9'!I60+'Clinic 10'!I60+'Clinic 11'!I60+'Clinic 12'!I60+'Clinic 13'!I60+'Clinic 14'!I60+'Clinic 15'!I60</f>
        <v>0</v>
      </c>
      <c r="J102" s="37">
        <f t="shared" si="10"/>
        <v>432</v>
      </c>
    </row>
    <row r="103" spans="1:13" x14ac:dyDescent="0.25">
      <c r="A103" s="1" t="s">
        <v>2</v>
      </c>
      <c r="B103" s="37">
        <f>'Biocorrect-Agile'!B103+'Biocorrect-GP'!B103+'Clinic 3'!B61+'Clinic 4'!B61+'Clinic 5'!B61+'Clinic 6'!B61+'Clinic 7'!B61+'Clinic 8'!B61+'Clinic 9'!B61+'Clinic 10'!B61+'Clinic 11'!B61+'Clinic 12'!B61+'Clinic 13'!B61+'Clinic 14'!B61+'Clinic 15'!B61</f>
        <v>1.4426400000000006</v>
      </c>
      <c r="C103" s="37">
        <f>'Biocorrect-Agile'!C103+'Biocorrect-GP'!C103+'Clinic 3'!C61+'Clinic 4'!C61+'Clinic 5'!C61+'Clinic 6'!C61+'Clinic 7'!C61+'Clinic 8'!C61+'Clinic 9'!C61+'Clinic 10'!C61+'Clinic 11'!C61+'Clinic 12'!C61+'Clinic 13'!C61+'Clinic 14'!C61+'Clinic 15'!C61</f>
        <v>6.7108600000000056</v>
      </c>
      <c r="D103" s="37">
        <f>'Biocorrect-Agile'!D103+'Biocorrect-GP'!D103+'Clinic 3'!D61+'Clinic 4'!D61+'Clinic 5'!D61+'Clinic 6'!D61+'Clinic 7'!D61+'Clinic 8'!D61+'Clinic 9'!D61+'Clinic 10'!D61+'Clinic 11'!D61+'Clinic 12'!D61+'Clinic 13'!D61+'Clinic 14'!D61+'Clinic 15'!D61</f>
        <v>4.4217200000000041</v>
      </c>
      <c r="E103" s="37">
        <f>'Biocorrect-Agile'!E103+'Biocorrect-GP'!E103+'Clinic 3'!E61+'Clinic 4'!E61+'Clinic 5'!E61+'Clinic 6'!E61+'Clinic 7'!E61+'Clinic 8'!E61+'Clinic 9'!E61+'Clinic 10'!E61+'Clinic 11'!E61+'Clinic 12'!E61+'Clinic 13'!E61+'Clinic 14'!E61+'Clinic 15'!E61</f>
        <v>1.0972800000000009</v>
      </c>
      <c r="F103" s="37">
        <f>'Biocorrect-Agile'!F103+'Biocorrect-GP'!F103+'Clinic 3'!F61+'Clinic 4'!F61+'Clinic 5'!F61+'Clinic 6'!F61+'Clinic 7'!F61+'Clinic 8'!F61+'Clinic 9'!F61+'Clinic 10'!F61+'Clinic 11'!F61+'Clinic 12'!F61+'Clinic 13'!F61+'Clinic 14'!F61+'Clinic 15'!F61</f>
        <v>1.097460000000001</v>
      </c>
      <c r="G103" s="37">
        <f>'Biocorrect-Agile'!G103+'Biocorrect-GP'!G103+'Clinic 3'!G61+'Clinic 4'!G61+'Clinic 5'!G61+'Clinic 6'!G61+'Clinic 7'!G61+'Clinic 8'!G61+'Clinic 9'!G61+'Clinic 10'!G61+'Clinic 11'!G61+'Clinic 12'!G61+'Clinic 13'!G61+'Clinic 14'!G61+'Clinic 15'!G61</f>
        <v>2.2024000000000021</v>
      </c>
      <c r="H103" s="37">
        <f>'Biocorrect-Agile'!H103+'Biocorrect-GP'!H103+'Clinic 3'!H61+'Clinic 4'!H61+'Clinic 5'!H61+'Clinic 6'!H61+'Clinic 7'!H61+'Clinic 8'!H61+'Clinic 9'!H61+'Clinic 10'!H61+'Clinic 11'!H61+'Clinic 12'!H61+'Clinic 13'!H61+'Clinic 14'!H61+'Clinic 15'!H61</f>
        <v>3.1349600000000026</v>
      </c>
      <c r="I103" s="37">
        <f>'Biocorrect-Agile'!I103+'Biocorrect-GP'!I103+'Clinic 3'!I61+'Clinic 4'!I61+'Clinic 5'!I61+'Clinic 6'!I61+'Clinic 7'!I61+'Clinic 8'!I61+'Clinic 9'!I61+'Clinic 10'!I61+'Clinic 11'!I61+'Clinic 12'!I61+'Clinic 13'!I61+'Clinic 14'!I61+'Clinic 15'!I61</f>
        <v>1.960920000000002</v>
      </c>
      <c r="J103" s="37">
        <f t="shared" si="10"/>
        <v>22.068240000000021</v>
      </c>
    </row>
    <row r="104" spans="1:13" x14ac:dyDescent="0.25">
      <c r="A104" s="1" t="s">
        <v>86</v>
      </c>
      <c r="B104" s="37">
        <f>'Biocorrect-Agile'!B104+'Biocorrect-GP'!B104+'Clinic 3'!B62+'Clinic 4'!B62+'Clinic 5'!B62+'Clinic 6'!B62+'Clinic 7'!B62+'Clinic 8'!B62+'Clinic 9'!B62+'Clinic 10'!B62+'Clinic 11'!B62+'Clinic 12'!B62+'Clinic 13'!B62+'Clinic 14'!B62+'Clinic 15'!B62</f>
        <v>0</v>
      </c>
      <c r="C104" s="37">
        <f>'Biocorrect-Agile'!C104+'Biocorrect-GP'!C104+'Clinic 3'!C62+'Clinic 4'!C62+'Clinic 5'!C62+'Clinic 6'!C62+'Clinic 7'!C62+'Clinic 8'!C62+'Clinic 9'!C62+'Clinic 10'!C62+'Clinic 11'!C62+'Clinic 12'!C62+'Clinic 13'!C62+'Clinic 14'!C62+'Clinic 15'!C62</f>
        <v>0</v>
      </c>
      <c r="D104" s="37">
        <f>'Biocorrect-Agile'!D104+'Biocorrect-GP'!D104+'Clinic 3'!D62+'Clinic 4'!D62+'Clinic 5'!D62+'Clinic 6'!D62+'Clinic 7'!D62+'Clinic 8'!D62+'Clinic 9'!D62+'Clinic 10'!D62+'Clinic 11'!D62+'Clinic 12'!D62+'Clinic 13'!D62+'Clinic 14'!D62+'Clinic 15'!D62</f>
        <v>0</v>
      </c>
      <c r="E104" s="37">
        <f>'Biocorrect-Agile'!E104+'Biocorrect-GP'!E104+'Clinic 3'!E62+'Clinic 4'!E62+'Clinic 5'!E62+'Clinic 6'!E62+'Clinic 7'!E62+'Clinic 8'!E62+'Clinic 9'!E62+'Clinic 10'!E62+'Clinic 11'!E62+'Clinic 12'!E62+'Clinic 13'!E62+'Clinic 14'!E62+'Clinic 15'!E62</f>
        <v>0</v>
      </c>
      <c r="F104" s="37">
        <f>'Biocorrect-Agile'!F104+'Biocorrect-GP'!F104+'Clinic 3'!F62+'Clinic 4'!F62+'Clinic 5'!F62+'Clinic 6'!F62+'Clinic 7'!F62+'Clinic 8'!F62+'Clinic 9'!F62+'Clinic 10'!F62+'Clinic 11'!F62+'Clinic 12'!F62+'Clinic 13'!F62+'Clinic 14'!F62+'Clinic 15'!F62</f>
        <v>0</v>
      </c>
      <c r="G104" s="37">
        <f>'Biocorrect-Agile'!G104+'Biocorrect-GP'!G104+'Clinic 3'!G62+'Clinic 4'!G62+'Clinic 5'!G62+'Clinic 6'!G62+'Clinic 7'!G62+'Clinic 8'!G62+'Clinic 9'!G62+'Clinic 10'!G62+'Clinic 11'!G62+'Clinic 12'!G62+'Clinic 13'!G62+'Clinic 14'!G62+'Clinic 15'!G62</f>
        <v>0</v>
      </c>
      <c r="H104" s="37">
        <f>'Biocorrect-Agile'!H104+'Biocorrect-GP'!H104+'Clinic 3'!H62+'Clinic 4'!H62+'Clinic 5'!H62+'Clinic 6'!H62+'Clinic 7'!H62+'Clinic 8'!H62+'Clinic 9'!H62+'Clinic 10'!H62+'Clinic 11'!H62+'Clinic 12'!H62+'Clinic 13'!H62+'Clinic 14'!H62+'Clinic 15'!H62</f>
        <v>0</v>
      </c>
      <c r="I104" s="37">
        <f>'Biocorrect-Agile'!I104+'Biocorrect-GP'!I104+'Clinic 3'!I62+'Clinic 4'!I62+'Clinic 5'!I62+'Clinic 6'!I62+'Clinic 7'!I62+'Clinic 8'!I62+'Clinic 9'!I62+'Clinic 10'!I62+'Clinic 11'!I62+'Clinic 12'!I62+'Clinic 13'!I62+'Clinic 14'!I62+'Clinic 15'!I62</f>
        <v>0</v>
      </c>
      <c r="J104" s="37">
        <f t="shared" si="10"/>
        <v>0</v>
      </c>
    </row>
    <row r="105" spans="1:13" x14ac:dyDescent="0.25">
      <c r="A105" s="1" t="s">
        <v>29</v>
      </c>
      <c r="B105" s="37">
        <f>'Biocorrect-Agile'!B105+'Biocorrect-GP'!B105+'Clinic 3'!B63+'Clinic 4'!B63+'Clinic 5'!B63+'Clinic 6'!B63+'Clinic 7'!B63+'Clinic 8'!B63+'Clinic 9'!B63+'Clinic 10'!B63+'Clinic 11'!B63+'Clinic 12'!B63+'Clinic 13'!B63+'Clinic 14'!B63+'Clinic 15'!B63</f>
        <v>0</v>
      </c>
      <c r="C105" s="37">
        <f>'Biocorrect-Agile'!C105+'Biocorrect-GP'!C105+'Clinic 3'!C63+'Clinic 4'!C63+'Clinic 5'!C63+'Clinic 6'!C63+'Clinic 7'!C63+'Clinic 8'!C63+'Clinic 9'!C63+'Clinic 10'!C63+'Clinic 11'!C63+'Clinic 12'!C63+'Clinic 13'!C63+'Clinic 14'!C63+'Clinic 15'!C63</f>
        <v>0</v>
      </c>
      <c r="D105" s="37">
        <f>'Biocorrect-Agile'!D105+'Biocorrect-GP'!D105+'Clinic 3'!D63+'Clinic 4'!D63+'Clinic 5'!D63+'Clinic 6'!D63+'Clinic 7'!D63+'Clinic 8'!D63+'Clinic 9'!D63+'Clinic 10'!D63+'Clinic 11'!D63+'Clinic 12'!D63+'Clinic 13'!D63+'Clinic 14'!D63+'Clinic 15'!D63</f>
        <v>0</v>
      </c>
      <c r="E105" s="37">
        <f>'Biocorrect-Agile'!E105+'Biocorrect-GP'!E105+'Clinic 3'!E63+'Clinic 4'!E63+'Clinic 5'!E63+'Clinic 6'!E63+'Clinic 7'!E63+'Clinic 8'!E63+'Clinic 9'!E63+'Clinic 10'!E63+'Clinic 11'!E63+'Clinic 12'!E63+'Clinic 13'!E63+'Clinic 14'!E63+'Clinic 15'!E63</f>
        <v>0</v>
      </c>
      <c r="F105" s="37">
        <f>'Biocorrect-Agile'!F105+'Biocorrect-GP'!F105+'Clinic 3'!F63+'Clinic 4'!F63+'Clinic 5'!F63+'Clinic 6'!F63+'Clinic 7'!F63+'Clinic 8'!F63+'Clinic 9'!F63+'Clinic 10'!F63+'Clinic 11'!F63+'Clinic 12'!F63+'Clinic 13'!F63+'Clinic 14'!F63+'Clinic 15'!F63</f>
        <v>0</v>
      </c>
      <c r="G105" s="37">
        <f>'Biocorrect-Agile'!G105+'Biocorrect-GP'!G105+'Clinic 3'!G63+'Clinic 4'!G63+'Clinic 5'!G63+'Clinic 6'!G63+'Clinic 7'!G63+'Clinic 8'!G63+'Clinic 9'!G63+'Clinic 10'!G63+'Clinic 11'!G63+'Clinic 12'!G63+'Clinic 13'!G63+'Clinic 14'!G63+'Clinic 15'!G63</f>
        <v>0</v>
      </c>
      <c r="H105" s="37">
        <f>'Biocorrect-Agile'!H105+'Biocorrect-GP'!H105+'Clinic 3'!H63+'Clinic 4'!H63+'Clinic 5'!H63+'Clinic 6'!H63+'Clinic 7'!H63+'Clinic 8'!H63+'Clinic 9'!H63+'Clinic 10'!H63+'Clinic 11'!H63+'Clinic 12'!H63+'Clinic 13'!H63+'Clinic 14'!H63+'Clinic 15'!H63</f>
        <v>0</v>
      </c>
      <c r="I105" s="37">
        <f>'Biocorrect-Agile'!I105+'Biocorrect-GP'!I105+'Clinic 3'!I63+'Clinic 4'!I63+'Clinic 5'!I63+'Clinic 6'!I63+'Clinic 7'!I63+'Clinic 8'!I63+'Clinic 9'!I63+'Clinic 10'!I63+'Clinic 11'!I63+'Clinic 12'!I63+'Clinic 13'!I63+'Clinic 14'!I63+'Clinic 15'!I63</f>
        <v>0</v>
      </c>
      <c r="J105" s="37">
        <f t="shared" si="10"/>
        <v>0</v>
      </c>
    </row>
    <row r="106" spans="1:13" x14ac:dyDescent="0.25">
      <c r="A106" s="1" t="s">
        <v>52</v>
      </c>
      <c r="B106" s="37">
        <f>'Biocorrect-Agile'!B106+'Biocorrect-GP'!B106+'Clinic 3'!B64+'Clinic 4'!B64+'Clinic 5'!B64+'Clinic 6'!B64+'Clinic 7'!B64+'Clinic 8'!B64+'Clinic 9'!B64+'Clinic 10'!B64+'Clinic 11'!B64+'Clinic 12'!B64+'Clinic 13'!B64+'Clinic 14'!B64+'Clinic 15'!B64</f>
        <v>0</v>
      </c>
      <c r="C106" s="37">
        <f>'Biocorrect-Agile'!C106+'Biocorrect-GP'!C106+'Clinic 3'!C64+'Clinic 4'!C64+'Clinic 5'!C64+'Clinic 6'!C64+'Clinic 7'!C64+'Clinic 8'!C64+'Clinic 9'!C64+'Clinic 10'!C64+'Clinic 11'!C64+'Clinic 12'!C64+'Clinic 13'!C64+'Clinic 14'!C64+'Clinic 15'!C64</f>
        <v>0</v>
      </c>
      <c r="D106" s="37">
        <f>'Biocorrect-Agile'!D106+'Biocorrect-GP'!D106+'Clinic 3'!D64+'Clinic 4'!D64+'Clinic 5'!D64+'Clinic 6'!D64+'Clinic 7'!D64+'Clinic 8'!D64+'Clinic 9'!D64+'Clinic 10'!D64+'Clinic 11'!D64+'Clinic 12'!D64+'Clinic 13'!D64+'Clinic 14'!D64+'Clinic 15'!D64</f>
        <v>0</v>
      </c>
      <c r="E106" s="37">
        <f>'Biocorrect-Agile'!E106+'Biocorrect-GP'!E106+'Clinic 3'!E64+'Clinic 4'!E64+'Clinic 5'!E64+'Clinic 6'!E64+'Clinic 7'!E64+'Clinic 8'!E64+'Clinic 9'!E64+'Clinic 10'!E64+'Clinic 11'!E64+'Clinic 12'!E64+'Clinic 13'!E64+'Clinic 14'!E64+'Clinic 15'!E64</f>
        <v>0</v>
      </c>
      <c r="F106" s="37">
        <f>'Biocorrect-Agile'!F106+'Biocorrect-GP'!F106+'Clinic 3'!F64+'Clinic 4'!F64+'Clinic 5'!F64+'Clinic 6'!F64+'Clinic 7'!F64+'Clinic 8'!F64+'Clinic 9'!F64+'Clinic 10'!F64+'Clinic 11'!F64+'Clinic 12'!F64+'Clinic 13'!F64+'Clinic 14'!F64+'Clinic 15'!F64</f>
        <v>0</v>
      </c>
      <c r="G106" s="37">
        <f>'Biocorrect-Agile'!G106+'Biocorrect-GP'!G106+'Clinic 3'!G64+'Clinic 4'!G64+'Clinic 5'!G64+'Clinic 6'!G64+'Clinic 7'!G64+'Clinic 8'!G64+'Clinic 9'!G64+'Clinic 10'!G64+'Clinic 11'!G64+'Clinic 12'!G64+'Clinic 13'!G64+'Clinic 14'!G64+'Clinic 15'!G64</f>
        <v>0</v>
      </c>
      <c r="H106" s="37">
        <f>'Biocorrect-Agile'!H106+'Biocorrect-GP'!H106+'Clinic 3'!H64+'Clinic 4'!H64+'Clinic 5'!H64+'Clinic 6'!H64+'Clinic 7'!H64+'Clinic 8'!H64+'Clinic 9'!H64+'Clinic 10'!H64+'Clinic 11'!H64+'Clinic 12'!H64+'Clinic 13'!H64+'Clinic 14'!H64+'Clinic 15'!H64</f>
        <v>0</v>
      </c>
      <c r="I106" s="37">
        <f>'Biocorrect-Agile'!I106+'Biocorrect-GP'!I106+'Clinic 3'!I64+'Clinic 4'!I64+'Clinic 5'!I64+'Clinic 6'!I64+'Clinic 7'!I64+'Clinic 8'!I64+'Clinic 9'!I64+'Clinic 10'!I64+'Clinic 11'!I64+'Clinic 12'!I64+'Clinic 13'!I64+'Clinic 14'!I64+'Clinic 15'!I64</f>
        <v>0</v>
      </c>
      <c r="J106" s="37">
        <f t="shared" si="10"/>
        <v>0</v>
      </c>
    </row>
    <row r="107" spans="1:13" x14ac:dyDescent="0.25">
      <c r="A107" s="1" t="s">
        <v>1</v>
      </c>
      <c r="B107" s="37">
        <f>'Biocorrect-Agile'!B107+'Biocorrect-GP'!B107+'Clinic 3'!B65+'Clinic 4'!B65+'Clinic 5'!B65+'Clinic 6'!B65+'Clinic 7'!B65+'Clinic 8'!B65+'Clinic 9'!B65+'Clinic 10'!B65+'Clinic 11'!B65+'Clinic 12'!B65+'Clinic 13'!B65+'Clinic 14'!B65+'Clinic 15'!B65</f>
        <v>236.70000000000002</v>
      </c>
      <c r="C107" s="37">
        <f>'Biocorrect-Agile'!C107+'Biocorrect-GP'!C107+'Clinic 3'!C65+'Clinic 4'!C65+'Clinic 5'!C65+'Clinic 6'!C65+'Clinic 7'!C65+'Clinic 8'!C65+'Clinic 9'!C65+'Clinic 10'!C65+'Clinic 11'!C65+'Clinic 12'!C65+'Clinic 13'!C65+'Clinic 14'!C65+'Clinic 15'!C65</f>
        <v>0</v>
      </c>
      <c r="D107" s="37">
        <f>'Biocorrect-Agile'!D107+'Biocorrect-GP'!D107+'Clinic 3'!D65+'Clinic 4'!D65+'Clinic 5'!D65+'Clinic 6'!D65+'Clinic 7'!D65+'Clinic 8'!D65+'Clinic 9'!D65+'Clinic 10'!D65+'Clinic 11'!D65+'Clinic 12'!D65+'Clinic 13'!D65+'Clinic 14'!D65+'Clinic 15'!D65</f>
        <v>192.51600000000002</v>
      </c>
      <c r="E107" s="37">
        <f>'Biocorrect-Agile'!E107+'Biocorrect-GP'!E107+'Clinic 3'!E65+'Clinic 4'!E65+'Clinic 5'!E65+'Clinic 6'!E65+'Clinic 7'!E65+'Clinic 8'!E65+'Clinic 9'!E65+'Clinic 10'!E65+'Clinic 11'!E65+'Clinic 12'!E65+'Clinic 13'!E65+'Clinic 14'!E65+'Clinic 15'!E65</f>
        <v>0</v>
      </c>
      <c r="F107" s="37">
        <f>'Biocorrect-Agile'!F107+'Biocorrect-GP'!F107+'Clinic 3'!F65+'Clinic 4'!F65+'Clinic 5'!F65+'Clinic 6'!F65+'Clinic 7'!F65+'Clinic 8'!F65+'Clinic 9'!F65+'Clinic 10'!F65+'Clinic 11'!F65+'Clinic 12'!F65+'Clinic 13'!F65+'Clinic 14'!F65+'Clinic 15'!F65</f>
        <v>0</v>
      </c>
      <c r="G107" s="37">
        <f>'Biocorrect-Agile'!G107+'Biocorrect-GP'!G107+'Clinic 3'!G65+'Clinic 4'!G65+'Clinic 5'!G65+'Clinic 6'!G65+'Clinic 7'!G65+'Clinic 8'!G65+'Clinic 9'!G65+'Clinic 10'!G65+'Clinic 11'!G65+'Clinic 12'!G65+'Clinic 13'!G65+'Clinic 14'!G65+'Clinic 15'!G65</f>
        <v>0</v>
      </c>
      <c r="H107" s="37">
        <f>'Biocorrect-Agile'!H107+'Biocorrect-GP'!H107+'Clinic 3'!H65+'Clinic 4'!H65+'Clinic 5'!H65+'Clinic 6'!H65+'Clinic 7'!H65+'Clinic 8'!H65+'Clinic 9'!H65+'Clinic 10'!H65+'Clinic 11'!H65+'Clinic 12'!H65+'Clinic 13'!H65+'Clinic 14'!H65+'Clinic 15'!H65</f>
        <v>0</v>
      </c>
      <c r="I107" s="37">
        <f>'Biocorrect-Agile'!I107+'Biocorrect-GP'!I107+'Clinic 3'!I65+'Clinic 4'!I65+'Clinic 5'!I65+'Clinic 6'!I65+'Clinic 7'!I65+'Clinic 8'!I65+'Clinic 9'!I65+'Clinic 10'!I65+'Clinic 11'!I65+'Clinic 12'!I65+'Clinic 13'!I65+'Clinic 14'!I65+'Clinic 15'!I65</f>
        <v>0</v>
      </c>
      <c r="J107" s="37">
        <f t="shared" si="10"/>
        <v>429.21600000000001</v>
      </c>
    </row>
    <row r="108" spans="1:13" x14ac:dyDescent="0.25">
      <c r="A108" s="1"/>
      <c r="B108" s="10">
        <f>SUM(B91:B107)</f>
        <v>2463.4586399999998</v>
      </c>
      <c r="C108" s="10">
        <f t="shared" ref="C108:J108" si="11">SUM(C91:C107)</f>
        <v>351.23086000000001</v>
      </c>
      <c r="D108" s="10">
        <f t="shared" si="11"/>
        <v>196.93772000000001</v>
      </c>
      <c r="E108" s="10">
        <f t="shared" si="11"/>
        <v>1.0972800000000009</v>
      </c>
      <c r="F108" s="10">
        <f t="shared" si="11"/>
        <v>1.097460000000001</v>
      </c>
      <c r="G108" s="10">
        <f t="shared" si="11"/>
        <v>2.2024000000000021</v>
      </c>
      <c r="H108" s="10">
        <f t="shared" si="11"/>
        <v>435.13495999999998</v>
      </c>
      <c r="I108" s="10">
        <f t="shared" si="11"/>
        <v>-7.3140799999999988</v>
      </c>
      <c r="J108" s="10">
        <f t="shared" si="11"/>
        <v>3443.8452399999996</v>
      </c>
      <c r="L108" s="7">
        <f>'Biocorrect-Agile'!J108+'Biocorrect-GP'!J108</f>
        <v>3443.8452399999996</v>
      </c>
      <c r="M108" s="7">
        <f>J108-L108</f>
        <v>0</v>
      </c>
    </row>
    <row r="109" spans="1:13" ht="15.75" thickBot="1" x14ac:dyDescent="0.3">
      <c r="A109" s="1"/>
      <c r="B109" s="9"/>
      <c r="C109" s="9"/>
      <c r="D109" s="9"/>
      <c r="E109" s="9"/>
      <c r="F109" s="9"/>
      <c r="G109" s="9"/>
      <c r="H109" s="9"/>
      <c r="I109" s="9"/>
      <c r="J109" s="9"/>
    </row>
    <row r="110" spans="1:13" ht="15.75" thickBot="1" x14ac:dyDescent="0.3">
      <c r="A110" s="170" t="s">
        <v>64</v>
      </c>
      <c r="B110" s="171"/>
      <c r="C110" s="171"/>
      <c r="D110" s="171"/>
      <c r="E110" s="171"/>
      <c r="F110" s="171"/>
      <c r="G110" s="171"/>
      <c r="H110" s="171"/>
      <c r="I110" s="171"/>
      <c r="J110" s="172"/>
    </row>
    <row r="111" spans="1:13" x14ac:dyDescent="0.25">
      <c r="A111" s="4" t="s">
        <v>16</v>
      </c>
      <c r="B111" s="5" t="s">
        <v>15</v>
      </c>
      <c r="C111" s="5" t="s">
        <v>14</v>
      </c>
      <c r="D111" s="5" t="s">
        <v>13</v>
      </c>
      <c r="E111" s="5" t="s">
        <v>12</v>
      </c>
      <c r="F111" s="5" t="s">
        <v>93</v>
      </c>
      <c r="G111" s="5" t="s">
        <v>94</v>
      </c>
      <c r="H111" s="5" t="s">
        <v>38</v>
      </c>
      <c r="I111" s="5" t="s">
        <v>9</v>
      </c>
      <c r="J111" s="5" t="s">
        <v>0</v>
      </c>
    </row>
    <row r="112" spans="1:13" x14ac:dyDescent="0.25">
      <c r="A112" s="1" t="s">
        <v>49</v>
      </c>
      <c r="B112" s="39">
        <f>B50-B91</f>
        <v>0</v>
      </c>
      <c r="C112" s="39">
        <f t="shared" ref="C112:I112" si="12">C50-C91</f>
        <v>0</v>
      </c>
      <c r="D112" s="39">
        <f t="shared" si="12"/>
        <v>0</v>
      </c>
      <c r="E112" s="39">
        <f t="shared" si="12"/>
        <v>0</v>
      </c>
      <c r="F112" s="39">
        <f t="shared" si="12"/>
        <v>0</v>
      </c>
      <c r="G112" s="39">
        <f t="shared" si="12"/>
        <v>0</v>
      </c>
      <c r="H112" s="39">
        <f t="shared" si="12"/>
        <v>0</v>
      </c>
      <c r="I112" s="39">
        <f t="shared" si="12"/>
        <v>0</v>
      </c>
      <c r="J112" s="39">
        <f>SUM(B112:I112)</f>
        <v>0</v>
      </c>
    </row>
    <row r="113" spans="1:10" x14ac:dyDescent="0.25">
      <c r="A113" s="1" t="s">
        <v>8</v>
      </c>
      <c r="B113" s="39">
        <f t="shared" ref="B113:I128" si="13">B51-B92</f>
        <v>386.64</v>
      </c>
      <c r="C113" s="39">
        <f t="shared" si="13"/>
        <v>773.28</v>
      </c>
      <c r="D113" s="39">
        <f t="shared" si="13"/>
        <v>0</v>
      </c>
      <c r="E113" s="39">
        <f t="shared" si="13"/>
        <v>0</v>
      </c>
      <c r="F113" s="39">
        <f t="shared" si="13"/>
        <v>0</v>
      </c>
      <c r="G113" s="39">
        <f t="shared" si="13"/>
        <v>0</v>
      </c>
      <c r="H113" s="39">
        <f t="shared" si="13"/>
        <v>0</v>
      </c>
      <c r="I113" s="39">
        <f t="shared" si="13"/>
        <v>0</v>
      </c>
      <c r="J113" s="39">
        <f t="shared" ref="J113:J128" si="14">SUM(B113:I113)</f>
        <v>1159.92</v>
      </c>
    </row>
    <row r="114" spans="1:10" x14ac:dyDescent="0.25">
      <c r="A114" s="1" t="s">
        <v>7</v>
      </c>
      <c r="B114" s="39">
        <f t="shared" si="13"/>
        <v>5186.7</v>
      </c>
      <c r="C114" s="39">
        <f t="shared" si="13"/>
        <v>826.2</v>
      </c>
      <c r="D114" s="39">
        <f t="shared" si="13"/>
        <v>0</v>
      </c>
      <c r="E114" s="39">
        <f t="shared" si="13"/>
        <v>0</v>
      </c>
      <c r="F114" s="39">
        <f t="shared" si="13"/>
        <v>0</v>
      </c>
      <c r="G114" s="39">
        <f t="shared" si="13"/>
        <v>0</v>
      </c>
      <c r="H114" s="39">
        <f t="shared" si="13"/>
        <v>0</v>
      </c>
      <c r="I114" s="39">
        <f t="shared" si="13"/>
        <v>0</v>
      </c>
      <c r="J114" s="39">
        <f t="shared" si="14"/>
        <v>6012.9</v>
      </c>
    </row>
    <row r="115" spans="1:10" x14ac:dyDescent="0.25">
      <c r="A115" s="1" t="s">
        <v>42</v>
      </c>
      <c r="B115" s="39">
        <f t="shared" si="13"/>
        <v>0</v>
      </c>
      <c r="C115" s="39">
        <f t="shared" si="13"/>
        <v>0</v>
      </c>
      <c r="D115" s="39">
        <f t="shared" si="13"/>
        <v>0</v>
      </c>
      <c r="E115" s="39">
        <f t="shared" si="13"/>
        <v>0</v>
      </c>
      <c r="F115" s="39">
        <f t="shared" si="13"/>
        <v>0</v>
      </c>
      <c r="G115" s="39">
        <f t="shared" si="13"/>
        <v>0</v>
      </c>
      <c r="H115" s="39">
        <f t="shared" si="13"/>
        <v>0</v>
      </c>
      <c r="I115" s="39">
        <f t="shared" si="13"/>
        <v>0</v>
      </c>
      <c r="J115" s="39">
        <f t="shared" si="14"/>
        <v>0</v>
      </c>
    </row>
    <row r="116" spans="1:10" x14ac:dyDescent="0.25">
      <c r="A116" s="1" t="s">
        <v>6</v>
      </c>
      <c r="B116" s="39">
        <f t="shared" si="13"/>
        <v>317.52</v>
      </c>
      <c r="C116" s="39">
        <f t="shared" si="13"/>
        <v>0</v>
      </c>
      <c r="D116" s="39">
        <f t="shared" si="13"/>
        <v>0</v>
      </c>
      <c r="E116" s="39">
        <f t="shared" si="13"/>
        <v>0</v>
      </c>
      <c r="F116" s="39">
        <f t="shared" si="13"/>
        <v>0</v>
      </c>
      <c r="G116" s="39">
        <f t="shared" si="13"/>
        <v>0</v>
      </c>
      <c r="H116" s="39">
        <f t="shared" si="13"/>
        <v>0</v>
      </c>
      <c r="I116" s="39">
        <f t="shared" si="13"/>
        <v>-25.725000000000001</v>
      </c>
      <c r="J116" s="39">
        <f t="shared" si="14"/>
        <v>291.79499999999996</v>
      </c>
    </row>
    <row r="117" spans="1:10" x14ac:dyDescent="0.25">
      <c r="A117" s="1" t="s">
        <v>50</v>
      </c>
      <c r="B117" s="39">
        <f t="shared" si="13"/>
        <v>0</v>
      </c>
      <c r="C117" s="39">
        <f t="shared" si="13"/>
        <v>0</v>
      </c>
      <c r="D117" s="39">
        <f t="shared" si="13"/>
        <v>0</v>
      </c>
      <c r="E117" s="39">
        <f t="shared" si="13"/>
        <v>0</v>
      </c>
      <c r="F117" s="39">
        <f t="shared" si="13"/>
        <v>0</v>
      </c>
      <c r="G117" s="39">
        <f t="shared" si="13"/>
        <v>0</v>
      </c>
      <c r="H117" s="39">
        <f t="shared" si="13"/>
        <v>0</v>
      </c>
      <c r="I117" s="39">
        <f t="shared" si="13"/>
        <v>0</v>
      </c>
      <c r="J117" s="39">
        <f t="shared" si="14"/>
        <v>0</v>
      </c>
    </row>
    <row r="118" spans="1:10" ht="15.75" customHeight="1" x14ac:dyDescent="0.25">
      <c r="A118" s="1" t="s">
        <v>89</v>
      </c>
      <c r="B118" s="39">
        <f t="shared" si="13"/>
        <v>0</v>
      </c>
      <c r="C118" s="39">
        <f t="shared" si="13"/>
        <v>0</v>
      </c>
      <c r="D118" s="39">
        <f t="shared" si="13"/>
        <v>0</v>
      </c>
      <c r="E118" s="39">
        <f t="shared" si="13"/>
        <v>0</v>
      </c>
      <c r="F118" s="39">
        <f t="shared" si="13"/>
        <v>0</v>
      </c>
      <c r="G118" s="39">
        <f t="shared" si="13"/>
        <v>0</v>
      </c>
      <c r="H118" s="39">
        <f t="shared" si="13"/>
        <v>0</v>
      </c>
      <c r="I118" s="39">
        <f t="shared" si="13"/>
        <v>0</v>
      </c>
      <c r="J118" s="39">
        <f t="shared" si="14"/>
        <v>0</v>
      </c>
    </row>
    <row r="119" spans="1:10" ht="15.75" customHeight="1" x14ac:dyDescent="0.25">
      <c r="A119" s="1" t="s">
        <v>5</v>
      </c>
      <c r="B119" s="39">
        <f t="shared" si="13"/>
        <v>0</v>
      </c>
      <c r="C119" s="39">
        <f t="shared" si="13"/>
        <v>0</v>
      </c>
      <c r="D119" s="39">
        <f t="shared" si="13"/>
        <v>0</v>
      </c>
      <c r="E119" s="39">
        <f t="shared" si="13"/>
        <v>0</v>
      </c>
      <c r="F119" s="39">
        <f t="shared" si="13"/>
        <v>0</v>
      </c>
      <c r="G119" s="39">
        <f t="shared" si="13"/>
        <v>0</v>
      </c>
      <c r="H119" s="39">
        <f t="shared" si="13"/>
        <v>0</v>
      </c>
      <c r="I119" s="39">
        <f t="shared" si="13"/>
        <v>0</v>
      </c>
      <c r="J119" s="39">
        <f t="shared" si="14"/>
        <v>0</v>
      </c>
    </row>
    <row r="120" spans="1:10" ht="15" customHeight="1" x14ac:dyDescent="0.25">
      <c r="A120" s="1" t="s">
        <v>84</v>
      </c>
      <c r="B120" s="39">
        <f t="shared" si="13"/>
        <v>0</v>
      </c>
      <c r="C120" s="39">
        <f t="shared" si="13"/>
        <v>0</v>
      </c>
      <c r="D120" s="39">
        <f t="shared" si="13"/>
        <v>0</v>
      </c>
      <c r="E120" s="39">
        <f t="shared" si="13"/>
        <v>0</v>
      </c>
      <c r="F120" s="39">
        <f t="shared" si="13"/>
        <v>0</v>
      </c>
      <c r="G120" s="39">
        <f t="shared" si="13"/>
        <v>0</v>
      </c>
      <c r="H120" s="39">
        <f t="shared" si="13"/>
        <v>0</v>
      </c>
      <c r="I120" s="39">
        <f t="shared" si="13"/>
        <v>0</v>
      </c>
      <c r="J120" s="39">
        <f t="shared" si="14"/>
        <v>0</v>
      </c>
    </row>
    <row r="121" spans="1:10" ht="15" customHeight="1" x14ac:dyDescent="0.25">
      <c r="A121" s="1" t="s">
        <v>4</v>
      </c>
      <c r="B121" s="39">
        <f t="shared" si="13"/>
        <v>94.175999999999988</v>
      </c>
      <c r="C121" s="39">
        <f t="shared" si="13"/>
        <v>0</v>
      </c>
      <c r="D121" s="39">
        <f t="shared" si="13"/>
        <v>0</v>
      </c>
      <c r="E121" s="39">
        <f t="shared" si="13"/>
        <v>0</v>
      </c>
      <c r="F121" s="39">
        <f t="shared" si="13"/>
        <v>0</v>
      </c>
      <c r="G121" s="39">
        <f t="shared" si="13"/>
        <v>0</v>
      </c>
      <c r="H121" s="39">
        <f t="shared" si="13"/>
        <v>0</v>
      </c>
      <c r="I121" s="39">
        <f t="shared" si="13"/>
        <v>0</v>
      </c>
      <c r="J121" s="39">
        <f t="shared" si="14"/>
        <v>94.175999999999988</v>
      </c>
    </row>
    <row r="122" spans="1:10" ht="15" customHeight="1" x14ac:dyDescent="0.25">
      <c r="A122" s="1" t="s">
        <v>51</v>
      </c>
      <c r="B122" s="39">
        <f t="shared" si="13"/>
        <v>297.64799999999997</v>
      </c>
      <c r="C122" s="39">
        <f t="shared" si="13"/>
        <v>0</v>
      </c>
      <c r="D122" s="39">
        <f t="shared" si="13"/>
        <v>0</v>
      </c>
      <c r="E122" s="39">
        <f t="shared" si="13"/>
        <v>0</v>
      </c>
      <c r="F122" s="39">
        <f t="shared" si="13"/>
        <v>0</v>
      </c>
      <c r="G122" s="39">
        <f t="shared" si="13"/>
        <v>0</v>
      </c>
      <c r="H122" s="39">
        <f t="shared" si="13"/>
        <v>0</v>
      </c>
      <c r="I122" s="39">
        <f t="shared" si="13"/>
        <v>0</v>
      </c>
      <c r="J122" s="39">
        <f t="shared" si="14"/>
        <v>297.64799999999997</v>
      </c>
    </row>
    <row r="123" spans="1:10" ht="15" customHeight="1" x14ac:dyDescent="0.25">
      <c r="A123" s="1" t="s">
        <v>85</v>
      </c>
      <c r="B123" s="39">
        <f t="shared" si="13"/>
        <v>0</v>
      </c>
      <c r="C123" s="39">
        <f t="shared" si="13"/>
        <v>0</v>
      </c>
      <c r="D123" s="39">
        <f t="shared" si="13"/>
        <v>0</v>
      </c>
      <c r="E123" s="39">
        <f t="shared" si="13"/>
        <v>0</v>
      </c>
      <c r="F123" s="39">
        <f t="shared" si="13"/>
        <v>0</v>
      </c>
      <c r="G123" s="39">
        <f t="shared" si="13"/>
        <v>0</v>
      </c>
      <c r="H123" s="39">
        <f t="shared" si="13"/>
        <v>0</v>
      </c>
      <c r="I123" s="39">
        <f t="shared" si="13"/>
        <v>0</v>
      </c>
      <c r="J123" s="39">
        <f t="shared" si="14"/>
        <v>0</v>
      </c>
    </row>
    <row r="124" spans="1:10" ht="15" customHeight="1" x14ac:dyDescent="0.25">
      <c r="A124" s="1" t="s">
        <v>2</v>
      </c>
      <c r="B124" s="39">
        <f t="shared" si="13"/>
        <v>1030.3773599999997</v>
      </c>
      <c r="C124" s="39">
        <f t="shared" si="13"/>
        <v>3348.7191399999997</v>
      </c>
      <c r="D124" s="39">
        <f t="shared" si="13"/>
        <v>2825.4382800000003</v>
      </c>
      <c r="E124" s="39">
        <f t="shared" si="13"/>
        <v>2451.8027200000001</v>
      </c>
      <c r="F124" s="39">
        <f t="shared" si="13"/>
        <v>547.63254000000006</v>
      </c>
      <c r="G124" s="39">
        <f t="shared" si="13"/>
        <v>1098.9976000000001</v>
      </c>
      <c r="H124" s="39">
        <f t="shared" si="13"/>
        <v>1564.3450399999999</v>
      </c>
      <c r="I124" s="39">
        <f t="shared" si="13"/>
        <v>978.49908000000016</v>
      </c>
      <c r="J124" s="39">
        <f t="shared" si="14"/>
        <v>13845.811760000001</v>
      </c>
    </row>
    <row r="125" spans="1:10" ht="15" customHeight="1" x14ac:dyDescent="0.25">
      <c r="A125" s="1" t="s">
        <v>86</v>
      </c>
      <c r="B125" s="39">
        <f t="shared" si="13"/>
        <v>0</v>
      </c>
      <c r="C125" s="39">
        <f t="shared" si="13"/>
        <v>0</v>
      </c>
      <c r="D125" s="39">
        <f t="shared" si="13"/>
        <v>0</v>
      </c>
      <c r="E125" s="39">
        <f t="shared" si="13"/>
        <v>0</v>
      </c>
      <c r="F125" s="39">
        <f t="shared" si="13"/>
        <v>0</v>
      </c>
      <c r="G125" s="39">
        <f t="shared" si="13"/>
        <v>0</v>
      </c>
      <c r="H125" s="39">
        <f t="shared" si="13"/>
        <v>0</v>
      </c>
      <c r="I125" s="39">
        <f t="shared" si="13"/>
        <v>0</v>
      </c>
      <c r="J125" s="39">
        <f t="shared" si="14"/>
        <v>0</v>
      </c>
    </row>
    <row r="126" spans="1:10" ht="15" customHeight="1" x14ac:dyDescent="0.25">
      <c r="A126" s="1" t="s">
        <v>29</v>
      </c>
      <c r="B126" s="39">
        <f t="shared" si="13"/>
        <v>0</v>
      </c>
      <c r="C126" s="39">
        <f t="shared" si="13"/>
        <v>0</v>
      </c>
      <c r="D126" s="39">
        <f t="shared" si="13"/>
        <v>0</v>
      </c>
      <c r="E126" s="39">
        <f t="shared" si="13"/>
        <v>0</v>
      </c>
      <c r="F126" s="39">
        <f t="shared" si="13"/>
        <v>0</v>
      </c>
      <c r="G126" s="39">
        <f t="shared" si="13"/>
        <v>0</v>
      </c>
      <c r="H126" s="39">
        <f t="shared" si="13"/>
        <v>0</v>
      </c>
      <c r="I126" s="39">
        <f t="shared" si="13"/>
        <v>0</v>
      </c>
      <c r="J126" s="39">
        <f t="shared" si="14"/>
        <v>0</v>
      </c>
    </row>
    <row r="127" spans="1:10" ht="15" customHeight="1" x14ac:dyDescent="0.25">
      <c r="A127" s="1" t="s">
        <v>52</v>
      </c>
      <c r="B127" s="39">
        <f t="shared" si="13"/>
        <v>0</v>
      </c>
      <c r="C127" s="39">
        <f t="shared" si="13"/>
        <v>0</v>
      </c>
      <c r="D127" s="39">
        <f t="shared" si="13"/>
        <v>0</v>
      </c>
      <c r="E127" s="39">
        <f t="shared" si="13"/>
        <v>0</v>
      </c>
      <c r="F127" s="39">
        <f t="shared" si="13"/>
        <v>0</v>
      </c>
      <c r="G127" s="39">
        <f t="shared" si="13"/>
        <v>0</v>
      </c>
      <c r="H127" s="39">
        <f t="shared" si="13"/>
        <v>0</v>
      </c>
      <c r="I127" s="39">
        <f t="shared" si="13"/>
        <v>0</v>
      </c>
      <c r="J127" s="39">
        <f t="shared" si="14"/>
        <v>0</v>
      </c>
    </row>
    <row r="128" spans="1:10" ht="15" customHeight="1" x14ac:dyDescent="0.25">
      <c r="A128" s="1" t="s">
        <v>1</v>
      </c>
      <c r="B128" s="40">
        <f t="shared" si="13"/>
        <v>663.3</v>
      </c>
      <c r="C128" s="40">
        <f t="shared" si="13"/>
        <v>0</v>
      </c>
      <c r="D128" s="40">
        <f t="shared" si="13"/>
        <v>539.48399999999992</v>
      </c>
      <c r="E128" s="40">
        <f t="shared" si="13"/>
        <v>0</v>
      </c>
      <c r="F128" s="40">
        <f t="shared" si="13"/>
        <v>0</v>
      </c>
      <c r="G128" s="40">
        <f t="shared" si="13"/>
        <v>0</v>
      </c>
      <c r="H128" s="40">
        <f t="shared" si="13"/>
        <v>0</v>
      </c>
      <c r="I128" s="40">
        <f t="shared" si="13"/>
        <v>0</v>
      </c>
      <c r="J128" s="40">
        <f t="shared" si="14"/>
        <v>1202.7839999999999</v>
      </c>
    </row>
    <row r="129" spans="1:13" ht="15" customHeight="1" x14ac:dyDescent="0.25">
      <c r="A129" s="4"/>
      <c r="B129" s="39">
        <f>SUM(B112:B128)</f>
        <v>7976.3613600000008</v>
      </c>
      <c r="C129" s="39">
        <f t="shared" ref="C129:J129" si="15">SUM(C112:C128)</f>
        <v>4948.1991399999997</v>
      </c>
      <c r="D129" s="39">
        <f t="shared" si="15"/>
        <v>3364.9222800000002</v>
      </c>
      <c r="E129" s="39">
        <f t="shared" si="15"/>
        <v>2451.8027200000001</v>
      </c>
      <c r="F129" s="39">
        <f t="shared" si="15"/>
        <v>547.63254000000006</v>
      </c>
      <c r="G129" s="39">
        <f t="shared" si="15"/>
        <v>1098.9976000000001</v>
      </c>
      <c r="H129" s="39">
        <f t="shared" si="15"/>
        <v>1564.3450399999999</v>
      </c>
      <c r="I129" s="39">
        <f t="shared" si="15"/>
        <v>952.77408000000014</v>
      </c>
      <c r="J129" s="39">
        <f t="shared" si="15"/>
        <v>22905.034760000002</v>
      </c>
      <c r="L129" s="7">
        <f>'Biocorrect-Agile'!J129+'Biocorrect-GP'!J129</f>
        <v>22905.034760000002</v>
      </c>
      <c r="M129" s="7">
        <f>J129-L129</f>
        <v>0</v>
      </c>
    </row>
    <row r="130" spans="1:13" ht="15" hidden="1" customHeight="1" thickBot="1" x14ac:dyDescent="0.3">
      <c r="A130" s="4"/>
      <c r="B130" s="39"/>
      <c r="C130" s="39"/>
      <c r="D130" s="39"/>
      <c r="E130" s="39"/>
      <c r="F130" s="39"/>
      <c r="G130" s="39"/>
      <c r="H130" s="39"/>
      <c r="I130" s="39"/>
      <c r="J130" s="39"/>
    </row>
    <row r="131" spans="1:13" ht="15" hidden="1" customHeight="1" thickBot="1" x14ac:dyDescent="0.3">
      <c r="A131" s="167" t="s">
        <v>59</v>
      </c>
      <c r="B131" s="168"/>
      <c r="C131" s="168"/>
      <c r="D131" s="168"/>
      <c r="E131" s="168"/>
      <c r="F131" s="168"/>
      <c r="G131" s="168"/>
      <c r="H131" s="168"/>
      <c r="I131" s="168"/>
      <c r="J131" s="169"/>
    </row>
    <row r="132" spans="1:13" ht="15" hidden="1" customHeight="1" x14ac:dyDescent="0.25">
      <c r="A132" s="4" t="s">
        <v>16</v>
      </c>
      <c r="B132" s="5" t="s">
        <v>15</v>
      </c>
      <c r="C132" s="5" t="s">
        <v>14</v>
      </c>
      <c r="D132" s="5" t="s">
        <v>13</v>
      </c>
      <c r="E132" s="5" t="s">
        <v>12</v>
      </c>
      <c r="F132" s="5" t="s">
        <v>37</v>
      </c>
      <c r="G132" s="5" t="s">
        <v>38</v>
      </c>
      <c r="H132" s="5" t="s">
        <v>9</v>
      </c>
      <c r="I132" s="5"/>
      <c r="J132" s="5" t="s">
        <v>0</v>
      </c>
    </row>
    <row r="133" spans="1:13" ht="15" hidden="1" customHeight="1" x14ac:dyDescent="0.25">
      <c r="A133" s="1" t="s">
        <v>49</v>
      </c>
      <c r="B133" s="41">
        <v>0</v>
      </c>
      <c r="C133" s="41">
        <v>0</v>
      </c>
      <c r="D133" s="41">
        <v>0</v>
      </c>
      <c r="E133" s="41">
        <v>0.1</v>
      </c>
      <c r="F133" s="41">
        <v>0.15</v>
      </c>
      <c r="G133" s="41">
        <v>0.2</v>
      </c>
      <c r="H133" s="41">
        <v>1</v>
      </c>
      <c r="I133" s="41"/>
      <c r="J133" s="39"/>
    </row>
    <row r="134" spans="1:13" hidden="1" x14ac:dyDescent="0.25">
      <c r="A134" s="1" t="s">
        <v>8</v>
      </c>
      <c r="B134" s="41">
        <v>0</v>
      </c>
      <c r="C134" s="41">
        <v>0</v>
      </c>
      <c r="D134" s="41">
        <v>0</v>
      </c>
      <c r="E134" s="41">
        <v>0.1</v>
      </c>
      <c r="F134" s="41">
        <v>0.15</v>
      </c>
      <c r="G134" s="41">
        <v>0.2</v>
      </c>
      <c r="H134" s="41">
        <v>1</v>
      </c>
      <c r="I134" s="41"/>
      <c r="J134" s="39"/>
    </row>
    <row r="135" spans="1:13" hidden="1" x14ac:dyDescent="0.25">
      <c r="A135" s="1" t="s">
        <v>7</v>
      </c>
      <c r="B135" s="41">
        <v>0</v>
      </c>
      <c r="C135" s="41">
        <v>0</v>
      </c>
      <c r="D135" s="41">
        <v>0</v>
      </c>
      <c r="E135" s="41">
        <v>0.1</v>
      </c>
      <c r="F135" s="41">
        <v>0.15</v>
      </c>
      <c r="G135" s="41">
        <v>0.2</v>
      </c>
      <c r="H135" s="41">
        <v>1</v>
      </c>
      <c r="I135" s="41"/>
      <c r="J135" s="39"/>
    </row>
    <row r="136" spans="1:13" hidden="1" x14ac:dyDescent="0.25">
      <c r="A136" s="1" t="s">
        <v>42</v>
      </c>
      <c r="B136" s="41">
        <v>0</v>
      </c>
      <c r="C136" s="41">
        <v>0</v>
      </c>
      <c r="D136" s="41">
        <v>0</v>
      </c>
      <c r="E136" s="41">
        <v>0.1</v>
      </c>
      <c r="F136" s="41">
        <v>0.15</v>
      </c>
      <c r="G136" s="41">
        <v>0.2</v>
      </c>
      <c r="H136" s="41">
        <v>1</v>
      </c>
      <c r="I136" s="41"/>
      <c r="J136" s="39"/>
    </row>
    <row r="137" spans="1:13" hidden="1" x14ac:dyDescent="0.25">
      <c r="A137" s="1" t="s">
        <v>6</v>
      </c>
      <c r="B137" s="41">
        <v>0</v>
      </c>
      <c r="C137" s="41">
        <v>0</v>
      </c>
      <c r="D137" s="41">
        <v>0</v>
      </c>
      <c r="E137" s="41">
        <v>0.1</v>
      </c>
      <c r="F137" s="41">
        <v>0.15</v>
      </c>
      <c r="G137" s="41">
        <v>0.2</v>
      </c>
      <c r="H137" s="41">
        <v>1</v>
      </c>
      <c r="I137" s="41"/>
      <c r="J137" s="39"/>
    </row>
    <row r="138" spans="1:13" hidden="1" x14ac:dyDescent="0.25">
      <c r="A138" s="1" t="s">
        <v>50</v>
      </c>
      <c r="B138" s="41">
        <v>0</v>
      </c>
      <c r="C138" s="41">
        <v>0</v>
      </c>
      <c r="D138" s="41">
        <v>0</v>
      </c>
      <c r="E138" s="41">
        <v>0.1</v>
      </c>
      <c r="F138" s="41">
        <v>0.15</v>
      </c>
      <c r="G138" s="41">
        <v>0.2</v>
      </c>
      <c r="H138" s="41">
        <v>1</v>
      </c>
      <c r="I138" s="41"/>
      <c r="J138" s="39"/>
    </row>
    <row r="139" spans="1:13" hidden="1" x14ac:dyDescent="0.25">
      <c r="A139" s="1" t="s">
        <v>89</v>
      </c>
      <c r="B139" s="41">
        <v>0</v>
      </c>
      <c r="C139" s="41">
        <v>0</v>
      </c>
      <c r="D139" s="41">
        <v>0</v>
      </c>
      <c r="E139" s="41">
        <v>0.1</v>
      </c>
      <c r="F139" s="41">
        <v>0.15</v>
      </c>
      <c r="G139" s="41">
        <v>0.2</v>
      </c>
      <c r="H139" s="41">
        <v>1</v>
      </c>
      <c r="I139" s="41"/>
      <c r="J139" s="39"/>
    </row>
    <row r="140" spans="1:13" hidden="1" x14ac:dyDescent="0.25">
      <c r="A140" s="1" t="s">
        <v>5</v>
      </c>
      <c r="B140" s="41">
        <v>0</v>
      </c>
      <c r="C140" s="41">
        <v>0</v>
      </c>
      <c r="D140" s="41">
        <v>0</v>
      </c>
      <c r="E140" s="41">
        <v>0.1</v>
      </c>
      <c r="F140" s="41">
        <v>0.15</v>
      </c>
      <c r="G140" s="41">
        <v>0.2</v>
      </c>
      <c r="H140" s="41">
        <v>1</v>
      </c>
      <c r="I140" s="41"/>
      <c r="J140" s="39"/>
    </row>
    <row r="141" spans="1:13" hidden="1" x14ac:dyDescent="0.25">
      <c r="A141" s="1" t="s">
        <v>84</v>
      </c>
      <c r="B141" s="41">
        <v>0</v>
      </c>
      <c r="C141" s="41">
        <v>0</v>
      </c>
      <c r="D141" s="41">
        <v>0</v>
      </c>
      <c r="E141" s="41">
        <v>0.1</v>
      </c>
      <c r="F141" s="41">
        <v>0.15</v>
      </c>
      <c r="G141" s="41">
        <v>0.2</v>
      </c>
      <c r="H141" s="41">
        <v>1</v>
      </c>
      <c r="I141" s="41"/>
      <c r="J141" s="39"/>
    </row>
    <row r="142" spans="1:13" hidden="1" x14ac:dyDescent="0.25">
      <c r="A142" s="1" t="s">
        <v>4</v>
      </c>
      <c r="B142" s="41">
        <v>0</v>
      </c>
      <c r="C142" s="41">
        <v>0</v>
      </c>
      <c r="D142" s="41">
        <v>0</v>
      </c>
      <c r="E142" s="41">
        <v>0.1</v>
      </c>
      <c r="F142" s="41">
        <v>0.15</v>
      </c>
      <c r="G142" s="41">
        <v>0.2</v>
      </c>
      <c r="H142" s="41">
        <v>1</v>
      </c>
      <c r="I142" s="41"/>
      <c r="J142" s="39"/>
    </row>
    <row r="143" spans="1:13" hidden="1" x14ac:dyDescent="0.25">
      <c r="A143" s="1" t="s">
        <v>51</v>
      </c>
      <c r="B143" s="41">
        <v>0</v>
      </c>
      <c r="C143" s="41">
        <v>0</v>
      </c>
      <c r="D143" s="41">
        <v>0</v>
      </c>
      <c r="E143" s="41">
        <v>0.1</v>
      </c>
      <c r="F143" s="41">
        <v>0.15</v>
      </c>
      <c r="G143" s="41">
        <v>0.2</v>
      </c>
      <c r="H143" s="41">
        <v>1</v>
      </c>
      <c r="I143" s="41"/>
      <c r="J143" s="39"/>
    </row>
    <row r="144" spans="1:13" hidden="1" x14ac:dyDescent="0.25">
      <c r="A144" s="1" t="s">
        <v>85</v>
      </c>
      <c r="B144" s="41">
        <v>0</v>
      </c>
      <c r="C144" s="41">
        <v>0</v>
      </c>
      <c r="D144" s="41">
        <v>0</v>
      </c>
      <c r="E144" s="41">
        <v>0.1</v>
      </c>
      <c r="F144" s="41">
        <v>0.15</v>
      </c>
      <c r="G144" s="41">
        <v>0.2</v>
      </c>
      <c r="H144" s="41">
        <v>1</v>
      </c>
      <c r="I144" s="41"/>
      <c r="J144" s="39"/>
    </row>
    <row r="145" spans="1:14" hidden="1" x14ac:dyDescent="0.25">
      <c r="A145" s="1" t="s">
        <v>2</v>
      </c>
      <c r="B145" s="41">
        <v>0</v>
      </c>
      <c r="C145" s="41">
        <v>0</v>
      </c>
      <c r="D145" s="41">
        <v>0.1</v>
      </c>
      <c r="E145" s="41">
        <v>0.5</v>
      </c>
      <c r="F145" s="41">
        <v>1</v>
      </c>
      <c r="G145" s="41">
        <v>1</v>
      </c>
      <c r="H145" s="41">
        <v>1</v>
      </c>
      <c r="I145" s="41"/>
      <c r="J145" s="39"/>
    </row>
    <row r="146" spans="1:14" hidden="1" x14ac:dyDescent="0.25">
      <c r="A146" s="1" t="s">
        <v>86</v>
      </c>
      <c r="B146" s="41">
        <v>0</v>
      </c>
      <c r="C146" s="41">
        <v>0</v>
      </c>
      <c r="D146" s="41">
        <v>0</v>
      </c>
      <c r="E146" s="41">
        <v>0.1</v>
      </c>
      <c r="F146" s="41">
        <v>0.15</v>
      </c>
      <c r="G146" s="41">
        <v>0.2</v>
      </c>
      <c r="H146" s="41">
        <v>1</v>
      </c>
      <c r="I146" s="41"/>
      <c r="J146" s="39"/>
    </row>
    <row r="147" spans="1:14" hidden="1" x14ac:dyDescent="0.25">
      <c r="A147" s="1" t="s">
        <v>29</v>
      </c>
      <c r="B147" s="41">
        <v>0</v>
      </c>
      <c r="C147" s="41">
        <v>0</v>
      </c>
      <c r="D147" s="41">
        <v>0</v>
      </c>
      <c r="E147" s="41">
        <v>0.1</v>
      </c>
      <c r="F147" s="41">
        <v>0.15</v>
      </c>
      <c r="G147" s="41">
        <v>0.2</v>
      </c>
      <c r="H147" s="41">
        <v>1</v>
      </c>
      <c r="I147" s="41"/>
      <c r="J147" s="39"/>
    </row>
    <row r="148" spans="1:14" hidden="1" x14ac:dyDescent="0.25">
      <c r="A148" s="1" t="s">
        <v>52</v>
      </c>
      <c r="B148" s="41">
        <v>0</v>
      </c>
      <c r="C148" s="41">
        <v>0</v>
      </c>
      <c r="D148" s="41">
        <v>0</v>
      </c>
      <c r="E148" s="41">
        <v>0.1</v>
      </c>
      <c r="F148" s="41">
        <v>0.15</v>
      </c>
      <c r="G148" s="41">
        <v>0.2</v>
      </c>
      <c r="H148" s="41">
        <v>1</v>
      </c>
      <c r="I148" s="41"/>
      <c r="J148" s="39"/>
    </row>
    <row r="149" spans="1:14" hidden="1" x14ac:dyDescent="0.25">
      <c r="A149" s="1" t="s">
        <v>1</v>
      </c>
      <c r="B149" s="41">
        <v>0</v>
      </c>
      <c r="C149" s="41">
        <v>0</v>
      </c>
      <c r="D149" s="41">
        <v>0</v>
      </c>
      <c r="E149" s="41">
        <v>0.1</v>
      </c>
      <c r="F149" s="41">
        <v>0.15</v>
      </c>
      <c r="G149" s="41">
        <v>0.2</v>
      </c>
      <c r="H149" s="41">
        <v>1</v>
      </c>
      <c r="I149" s="41"/>
      <c r="J149" s="39"/>
    </row>
    <row r="150" spans="1:14" ht="15.75" thickBot="1" x14ac:dyDescent="0.3">
      <c r="A150" s="4"/>
      <c r="B150" s="39"/>
      <c r="C150" s="39"/>
      <c r="D150" s="39"/>
      <c r="E150" s="39"/>
      <c r="F150" s="39"/>
      <c r="G150" s="39"/>
      <c r="H150" s="39"/>
      <c r="I150" s="39"/>
      <c r="J150" s="39"/>
    </row>
    <row r="151" spans="1:14" ht="15.75" thickBot="1" x14ac:dyDescent="0.3">
      <c r="A151" s="170" t="s">
        <v>60</v>
      </c>
      <c r="B151" s="171"/>
      <c r="C151" s="171"/>
      <c r="D151" s="171"/>
      <c r="E151" s="171"/>
      <c r="F151" s="171"/>
      <c r="G151" s="171"/>
      <c r="H151" s="171"/>
      <c r="I151" s="171"/>
      <c r="J151" s="172"/>
      <c r="N151" s="31"/>
    </row>
    <row r="152" spans="1:14" x14ac:dyDescent="0.25">
      <c r="A152" s="4" t="s">
        <v>16</v>
      </c>
      <c r="B152" s="5" t="s">
        <v>15</v>
      </c>
      <c r="C152" s="5" t="s">
        <v>14</v>
      </c>
      <c r="D152" s="5" t="s">
        <v>13</v>
      </c>
      <c r="E152" s="5" t="s">
        <v>12</v>
      </c>
      <c r="F152" s="5" t="s">
        <v>93</v>
      </c>
      <c r="G152" s="5" t="s">
        <v>94</v>
      </c>
      <c r="H152" s="5" t="s">
        <v>38</v>
      </c>
      <c r="I152" s="5" t="s">
        <v>9</v>
      </c>
      <c r="J152" s="5" t="s">
        <v>0</v>
      </c>
    </row>
    <row r="153" spans="1:14" x14ac:dyDescent="0.25">
      <c r="A153" s="1" t="s">
        <v>49</v>
      </c>
      <c r="B153" s="66">
        <f>'Biocorrect-Agile'!B153+'Biocorrect-GP'!B153+'Clinic 3'!B111+'Clinic 4'!B111+'Clinic 5'!B111+'Clinic 6'!B111+'Clinic 7'!B111+'Clinic 8'!B111+'Clinic 9'!B111+'Clinic 10'!B111+'Clinic 11'!B111+'Clinic 12'!B111+'Clinic 13'!B111+'Clinic 14'!B111+'Clinic 15'!B111</f>
        <v>0</v>
      </c>
      <c r="C153" s="66">
        <f>'Biocorrect-Agile'!C153+'Biocorrect-GP'!C153+'Clinic 3'!C111+'Clinic 4'!C111+'Clinic 5'!C111+'Clinic 6'!C111+'Clinic 7'!C111+'Clinic 8'!C111+'Clinic 9'!C111+'Clinic 10'!C111+'Clinic 11'!C111+'Clinic 12'!C111+'Clinic 13'!C111+'Clinic 14'!C111+'Clinic 15'!C111</f>
        <v>0</v>
      </c>
      <c r="D153" s="66">
        <f>'Biocorrect-Agile'!D153+'Biocorrect-GP'!D153+'Clinic 3'!D111+'Clinic 4'!D111+'Clinic 5'!D111+'Clinic 6'!D111+'Clinic 7'!D111+'Clinic 8'!D111+'Clinic 9'!D111+'Clinic 10'!D111+'Clinic 11'!D111+'Clinic 12'!D111+'Clinic 13'!D111+'Clinic 14'!D111+'Clinic 15'!D111</f>
        <v>0</v>
      </c>
      <c r="E153" s="66">
        <f>'Biocorrect-Agile'!E153+'Biocorrect-GP'!E153+'Clinic 3'!E111+'Clinic 4'!E111+'Clinic 5'!E111+'Clinic 6'!E111+'Clinic 7'!E111+'Clinic 8'!E111+'Clinic 9'!E111+'Clinic 10'!E111+'Clinic 11'!E111+'Clinic 12'!E111+'Clinic 13'!E111+'Clinic 14'!E111+'Clinic 15'!E111</f>
        <v>0</v>
      </c>
      <c r="F153" s="66">
        <f>'Biocorrect-Agile'!F153+'Biocorrect-GP'!F153+'Clinic 3'!F111+'Clinic 4'!F111+'Clinic 5'!F111+'Clinic 6'!F111+'Clinic 7'!F111+'Clinic 8'!F111+'Clinic 9'!F111+'Clinic 10'!F111+'Clinic 11'!F111+'Clinic 12'!F111+'Clinic 13'!F111+'Clinic 14'!F111+'Clinic 15'!F111</f>
        <v>0</v>
      </c>
      <c r="G153" s="66">
        <f>'Biocorrect-Agile'!G153+'Biocorrect-GP'!G153+'Clinic 3'!G111+'Clinic 4'!G111+'Clinic 5'!G111+'Clinic 6'!G111+'Clinic 7'!G111+'Clinic 8'!G111+'Clinic 9'!G111+'Clinic 10'!G111+'Clinic 11'!G111+'Clinic 12'!G111+'Clinic 13'!G111+'Clinic 14'!G111+'Clinic 15'!G111</f>
        <v>0</v>
      </c>
      <c r="H153" s="66">
        <f>'Biocorrect-Agile'!H153+'Biocorrect-GP'!H153+'Clinic 3'!H111+'Clinic 4'!H111+'Clinic 5'!H111+'Clinic 6'!H111+'Clinic 7'!H111+'Clinic 8'!H111+'Clinic 9'!H111+'Clinic 10'!H111+'Clinic 11'!H111+'Clinic 12'!H111+'Clinic 13'!H111+'Clinic 14'!H111+'Clinic 15'!H111</f>
        <v>0</v>
      </c>
      <c r="I153" s="66">
        <f>'Biocorrect-Agile'!I153+'Biocorrect-GP'!I153+'Clinic 3'!I111+'Clinic 4'!I111+'Clinic 5'!I111+'Clinic 6'!I111+'Clinic 7'!I111+'Clinic 8'!I111+'Clinic 9'!I111+'Clinic 10'!I111+'Clinic 11'!I111+'Clinic 12'!I111+'Clinic 13'!I111+'Clinic 14'!I111+'Clinic 15'!I111</f>
        <v>0</v>
      </c>
      <c r="J153" s="39">
        <f>SUM(B153:I153)</f>
        <v>0</v>
      </c>
    </row>
    <row r="154" spans="1:14" x14ac:dyDescent="0.25">
      <c r="A154" s="1" t="s">
        <v>8</v>
      </c>
      <c r="B154" s="39">
        <f>'Biocorrect-Agile'!B154+'Biocorrect-GP'!B154+'Clinic 3'!B112+'Clinic 4'!B112+'Clinic 5'!B112+'Clinic 6'!B112+'Clinic 7'!B112+'Clinic 8'!B112+'Clinic 9'!B112+'Clinic 10'!B112+'Clinic 11'!B112+'Clinic 12'!B112+'Clinic 13'!B112+'Clinic 14'!B112+'Clinic 15'!B112</f>
        <v>0</v>
      </c>
      <c r="C154" s="39">
        <f>'Biocorrect-Agile'!C154+'Biocorrect-GP'!C154+'Clinic 3'!C112+'Clinic 4'!C112+'Clinic 5'!C112+'Clinic 6'!C112+'Clinic 7'!C112+'Clinic 8'!C112+'Clinic 9'!C112+'Clinic 10'!C112+'Clinic 11'!C112+'Clinic 12'!C112+'Clinic 13'!C112+'Clinic 14'!C112+'Clinic 15'!C112</f>
        <v>0</v>
      </c>
      <c r="D154" s="39">
        <f>'Biocorrect-Agile'!D154+'Biocorrect-GP'!D154+'Clinic 3'!D112+'Clinic 4'!D112+'Clinic 5'!D112+'Clinic 6'!D112+'Clinic 7'!D112+'Clinic 8'!D112+'Clinic 9'!D112+'Clinic 10'!D112+'Clinic 11'!D112+'Clinic 12'!D112+'Clinic 13'!D112+'Clinic 14'!D112+'Clinic 15'!D112</f>
        <v>0</v>
      </c>
      <c r="E154" s="39">
        <f>'Biocorrect-Agile'!E154+'Biocorrect-GP'!E154+'Clinic 3'!E112+'Clinic 4'!E112+'Clinic 5'!E112+'Clinic 6'!E112+'Clinic 7'!E112+'Clinic 8'!E112+'Clinic 9'!E112+'Clinic 10'!E112+'Clinic 11'!E112+'Clinic 12'!E112+'Clinic 13'!E112+'Clinic 14'!E112+'Clinic 15'!E112</f>
        <v>0</v>
      </c>
      <c r="F154" s="39">
        <f>'Biocorrect-Agile'!F154+'Biocorrect-GP'!F154+'Clinic 3'!F112+'Clinic 4'!F112+'Clinic 5'!F112+'Clinic 6'!F112+'Clinic 7'!F112+'Clinic 8'!F112+'Clinic 9'!F112+'Clinic 10'!F112+'Clinic 11'!F112+'Clinic 12'!F112+'Clinic 13'!F112+'Clinic 14'!F112+'Clinic 15'!F112</f>
        <v>0</v>
      </c>
      <c r="G154" s="39">
        <f>'Biocorrect-Agile'!G154+'Biocorrect-GP'!G154+'Clinic 3'!G112+'Clinic 4'!G112+'Clinic 5'!G112+'Clinic 6'!G112+'Clinic 7'!G112+'Clinic 8'!G112+'Clinic 9'!G112+'Clinic 10'!G112+'Clinic 11'!G112+'Clinic 12'!G112+'Clinic 13'!G112+'Clinic 14'!G112+'Clinic 15'!G112</f>
        <v>0</v>
      </c>
      <c r="H154" s="39">
        <f>'Biocorrect-Agile'!H154+'Biocorrect-GP'!H154+'Clinic 3'!H112+'Clinic 4'!H112+'Clinic 5'!H112+'Clinic 6'!H112+'Clinic 7'!H112+'Clinic 8'!H112+'Clinic 9'!H112+'Clinic 10'!H112+'Clinic 11'!H112+'Clinic 12'!H112+'Clinic 13'!H112+'Clinic 14'!H112+'Clinic 15'!H112</f>
        <v>0</v>
      </c>
      <c r="I154" s="39">
        <f>'Biocorrect-Agile'!I154+'Biocorrect-GP'!I154+'Clinic 3'!I112+'Clinic 4'!I112+'Clinic 5'!I112+'Clinic 6'!I112+'Clinic 7'!I112+'Clinic 8'!I112+'Clinic 9'!I112+'Clinic 10'!I112+'Clinic 11'!I112+'Clinic 12'!I112+'Clinic 13'!I112+'Clinic 14'!I112+'Clinic 15'!I112</f>
        <v>0</v>
      </c>
      <c r="J154" s="39">
        <f t="shared" ref="J154:J169" si="16">SUM(B154:I154)</f>
        <v>0</v>
      </c>
    </row>
    <row r="155" spans="1:14" x14ac:dyDescent="0.25">
      <c r="A155" s="1" t="s">
        <v>7</v>
      </c>
      <c r="B155" s="39">
        <f>'Biocorrect-Agile'!B155+'Biocorrect-GP'!B155+'Clinic 3'!B113+'Clinic 4'!B113+'Clinic 5'!B113+'Clinic 6'!B113+'Clinic 7'!B113+'Clinic 8'!B113+'Clinic 9'!B113+'Clinic 10'!B113+'Clinic 11'!B113+'Clinic 12'!B113+'Clinic 13'!B113+'Clinic 14'!B113+'Clinic 15'!B113</f>
        <v>0</v>
      </c>
      <c r="C155" s="39">
        <f>'Biocorrect-Agile'!C155+'Biocorrect-GP'!C155+'Clinic 3'!C113+'Clinic 4'!C113+'Clinic 5'!C113+'Clinic 6'!C113+'Clinic 7'!C113+'Clinic 8'!C113+'Clinic 9'!C113+'Clinic 10'!C113+'Clinic 11'!C113+'Clinic 12'!C113+'Clinic 13'!C113+'Clinic 14'!C113+'Clinic 15'!C113</f>
        <v>0</v>
      </c>
      <c r="D155" s="39">
        <f>'Biocorrect-Agile'!D155+'Biocorrect-GP'!D155+'Clinic 3'!D113+'Clinic 4'!D113+'Clinic 5'!D113+'Clinic 6'!D113+'Clinic 7'!D113+'Clinic 8'!D113+'Clinic 9'!D113+'Clinic 10'!D113+'Clinic 11'!D113+'Clinic 12'!D113+'Clinic 13'!D113+'Clinic 14'!D113+'Clinic 15'!D113</f>
        <v>0</v>
      </c>
      <c r="E155" s="39">
        <f>'Biocorrect-Agile'!E155+'Biocorrect-GP'!E155+'Clinic 3'!E113+'Clinic 4'!E113+'Clinic 5'!E113+'Clinic 6'!E113+'Clinic 7'!E113+'Clinic 8'!E113+'Clinic 9'!E113+'Clinic 10'!E113+'Clinic 11'!E113+'Clinic 12'!E113+'Clinic 13'!E113+'Clinic 14'!E113+'Clinic 15'!E113</f>
        <v>0</v>
      </c>
      <c r="F155" s="39">
        <f>'Biocorrect-Agile'!F155+'Biocorrect-GP'!F155+'Clinic 3'!F113+'Clinic 4'!F113+'Clinic 5'!F113+'Clinic 6'!F113+'Clinic 7'!F113+'Clinic 8'!F113+'Clinic 9'!F113+'Clinic 10'!F113+'Clinic 11'!F113+'Clinic 12'!F113+'Clinic 13'!F113+'Clinic 14'!F113+'Clinic 15'!F113</f>
        <v>0</v>
      </c>
      <c r="G155" s="39">
        <f>'Biocorrect-Agile'!G155+'Biocorrect-GP'!G155+'Clinic 3'!G113+'Clinic 4'!G113+'Clinic 5'!G113+'Clinic 6'!G113+'Clinic 7'!G113+'Clinic 8'!G113+'Clinic 9'!G113+'Clinic 10'!G113+'Clinic 11'!G113+'Clinic 12'!G113+'Clinic 13'!G113+'Clinic 14'!G113+'Clinic 15'!G113</f>
        <v>0</v>
      </c>
      <c r="H155" s="39">
        <f>'Biocorrect-Agile'!H155+'Biocorrect-GP'!H155+'Clinic 3'!H113+'Clinic 4'!H113+'Clinic 5'!H113+'Clinic 6'!H113+'Clinic 7'!H113+'Clinic 8'!H113+'Clinic 9'!H113+'Clinic 10'!H113+'Clinic 11'!H113+'Clinic 12'!H113+'Clinic 13'!H113+'Clinic 14'!H113+'Clinic 15'!H113</f>
        <v>0</v>
      </c>
      <c r="I155" s="39">
        <f>'Biocorrect-Agile'!I155+'Biocorrect-GP'!I155+'Clinic 3'!I113+'Clinic 4'!I113+'Clinic 5'!I113+'Clinic 6'!I113+'Clinic 7'!I113+'Clinic 8'!I113+'Clinic 9'!I113+'Clinic 10'!I113+'Clinic 11'!I113+'Clinic 12'!I113+'Clinic 13'!I113+'Clinic 14'!I113+'Clinic 15'!I113</f>
        <v>0</v>
      </c>
      <c r="J155" s="39">
        <f t="shared" si="16"/>
        <v>0</v>
      </c>
    </row>
    <row r="156" spans="1:14" x14ac:dyDescent="0.25">
      <c r="A156" s="1" t="s">
        <v>42</v>
      </c>
      <c r="B156" s="39">
        <f>'Biocorrect-Agile'!B156+'Biocorrect-GP'!B156+'Clinic 3'!B114+'Clinic 4'!B114+'Clinic 5'!B114+'Clinic 6'!B114+'Clinic 7'!B114+'Clinic 8'!B114+'Clinic 9'!B114+'Clinic 10'!B114+'Clinic 11'!B114+'Clinic 12'!B114+'Clinic 13'!B114+'Clinic 14'!B114+'Clinic 15'!B114</f>
        <v>0</v>
      </c>
      <c r="C156" s="39">
        <f>'Biocorrect-Agile'!C156+'Biocorrect-GP'!C156+'Clinic 3'!C114+'Clinic 4'!C114+'Clinic 5'!C114+'Clinic 6'!C114+'Clinic 7'!C114+'Clinic 8'!C114+'Clinic 9'!C114+'Clinic 10'!C114+'Clinic 11'!C114+'Clinic 12'!C114+'Clinic 13'!C114+'Clinic 14'!C114+'Clinic 15'!C114</f>
        <v>0</v>
      </c>
      <c r="D156" s="39">
        <f>'Biocorrect-Agile'!D156+'Biocorrect-GP'!D156+'Clinic 3'!D114+'Clinic 4'!D114+'Clinic 5'!D114+'Clinic 6'!D114+'Clinic 7'!D114+'Clinic 8'!D114+'Clinic 9'!D114+'Clinic 10'!D114+'Clinic 11'!D114+'Clinic 12'!D114+'Clinic 13'!D114+'Clinic 14'!D114+'Clinic 15'!D114</f>
        <v>0</v>
      </c>
      <c r="E156" s="39">
        <f>'Biocorrect-Agile'!E156+'Biocorrect-GP'!E156+'Clinic 3'!E114+'Clinic 4'!E114+'Clinic 5'!E114+'Clinic 6'!E114+'Clinic 7'!E114+'Clinic 8'!E114+'Clinic 9'!E114+'Clinic 10'!E114+'Clinic 11'!E114+'Clinic 12'!E114+'Clinic 13'!E114+'Clinic 14'!E114+'Clinic 15'!E114</f>
        <v>0</v>
      </c>
      <c r="F156" s="39">
        <f>'Biocorrect-Agile'!F156+'Biocorrect-GP'!F156+'Clinic 3'!F114+'Clinic 4'!F114+'Clinic 5'!F114+'Clinic 6'!F114+'Clinic 7'!F114+'Clinic 8'!F114+'Clinic 9'!F114+'Clinic 10'!F114+'Clinic 11'!F114+'Clinic 12'!F114+'Clinic 13'!F114+'Clinic 14'!F114+'Clinic 15'!F114</f>
        <v>0</v>
      </c>
      <c r="G156" s="39">
        <f>'Biocorrect-Agile'!G156+'Biocorrect-GP'!G156+'Clinic 3'!G114+'Clinic 4'!G114+'Clinic 5'!G114+'Clinic 6'!G114+'Clinic 7'!G114+'Clinic 8'!G114+'Clinic 9'!G114+'Clinic 10'!G114+'Clinic 11'!G114+'Clinic 12'!G114+'Clinic 13'!G114+'Clinic 14'!G114+'Clinic 15'!G114</f>
        <v>0</v>
      </c>
      <c r="H156" s="39">
        <f>'Biocorrect-Agile'!H156+'Biocorrect-GP'!H156+'Clinic 3'!H114+'Clinic 4'!H114+'Clinic 5'!H114+'Clinic 6'!H114+'Clinic 7'!H114+'Clinic 8'!H114+'Clinic 9'!H114+'Clinic 10'!H114+'Clinic 11'!H114+'Clinic 12'!H114+'Clinic 13'!H114+'Clinic 14'!H114+'Clinic 15'!H114</f>
        <v>0</v>
      </c>
      <c r="I156" s="39">
        <f>'Biocorrect-Agile'!I156+'Biocorrect-GP'!I156+'Clinic 3'!I114+'Clinic 4'!I114+'Clinic 5'!I114+'Clinic 6'!I114+'Clinic 7'!I114+'Clinic 8'!I114+'Clinic 9'!I114+'Clinic 10'!I114+'Clinic 11'!I114+'Clinic 12'!I114+'Clinic 13'!I114+'Clinic 14'!I114+'Clinic 15'!I114</f>
        <v>0</v>
      </c>
      <c r="J156" s="39">
        <f t="shared" si="16"/>
        <v>0</v>
      </c>
    </row>
    <row r="157" spans="1:14" x14ac:dyDescent="0.25">
      <c r="A157" s="1" t="s">
        <v>6</v>
      </c>
      <c r="B157" s="39">
        <f>'Biocorrect-Agile'!B157+'Biocorrect-GP'!B157+'Clinic 3'!B115+'Clinic 4'!B115+'Clinic 5'!B115+'Clinic 6'!B115+'Clinic 7'!B115+'Clinic 8'!B115+'Clinic 9'!B115+'Clinic 10'!B115+'Clinic 11'!B115+'Clinic 12'!B115+'Clinic 13'!B115+'Clinic 14'!B115+'Clinic 15'!B115</f>
        <v>0</v>
      </c>
      <c r="C157" s="39">
        <f>'Biocorrect-Agile'!C157+'Biocorrect-GP'!C157+'Clinic 3'!C115+'Clinic 4'!C115+'Clinic 5'!C115+'Clinic 6'!C115+'Clinic 7'!C115+'Clinic 8'!C115+'Clinic 9'!C115+'Clinic 10'!C115+'Clinic 11'!C115+'Clinic 12'!C115+'Clinic 13'!C115+'Clinic 14'!C115+'Clinic 15'!C115</f>
        <v>0</v>
      </c>
      <c r="D157" s="39">
        <f>'Biocorrect-Agile'!D157+'Biocorrect-GP'!D157+'Clinic 3'!D115+'Clinic 4'!D115+'Clinic 5'!D115+'Clinic 6'!D115+'Clinic 7'!D115+'Clinic 8'!D115+'Clinic 9'!D115+'Clinic 10'!D115+'Clinic 11'!D115+'Clinic 12'!D115+'Clinic 13'!D115+'Clinic 14'!D115+'Clinic 15'!D115</f>
        <v>0</v>
      </c>
      <c r="E157" s="39">
        <f>'Biocorrect-Agile'!E157+'Biocorrect-GP'!E157+'Clinic 3'!E115+'Clinic 4'!E115+'Clinic 5'!E115+'Clinic 6'!E115+'Clinic 7'!E115+'Clinic 8'!E115+'Clinic 9'!E115+'Clinic 10'!E115+'Clinic 11'!E115+'Clinic 12'!E115+'Clinic 13'!E115+'Clinic 14'!E115+'Clinic 15'!E115</f>
        <v>0</v>
      </c>
      <c r="F157" s="39">
        <f>'Biocorrect-Agile'!F157+'Biocorrect-GP'!F157+'Clinic 3'!F115+'Clinic 4'!F115+'Clinic 5'!F115+'Clinic 6'!F115+'Clinic 7'!F115+'Clinic 8'!F115+'Clinic 9'!F115+'Clinic 10'!F115+'Clinic 11'!F115+'Clinic 12'!F115+'Clinic 13'!F115+'Clinic 14'!F115+'Clinic 15'!F115</f>
        <v>0</v>
      </c>
      <c r="G157" s="39">
        <f>'Biocorrect-Agile'!G157+'Biocorrect-GP'!G157+'Clinic 3'!G115+'Clinic 4'!G115+'Clinic 5'!G115+'Clinic 6'!G115+'Clinic 7'!G115+'Clinic 8'!G115+'Clinic 9'!G115+'Clinic 10'!G115+'Clinic 11'!G115+'Clinic 12'!G115+'Clinic 13'!G115+'Clinic 14'!G115+'Clinic 15'!G115</f>
        <v>0</v>
      </c>
      <c r="H157" s="39">
        <f>'Biocorrect-Agile'!H157+'Biocorrect-GP'!H157+'Clinic 3'!H115+'Clinic 4'!H115+'Clinic 5'!H115+'Clinic 6'!H115+'Clinic 7'!H115+'Clinic 8'!H115+'Clinic 9'!H115+'Clinic 10'!H115+'Clinic 11'!H115+'Clinic 12'!H115+'Clinic 13'!H115+'Clinic 14'!H115+'Clinic 15'!H115</f>
        <v>0</v>
      </c>
      <c r="I157" s="39">
        <f>'Biocorrect-Agile'!I157+'Biocorrect-GP'!I157+'Clinic 3'!I115+'Clinic 4'!I115+'Clinic 5'!I115+'Clinic 6'!I115+'Clinic 7'!I115+'Clinic 8'!I115+'Clinic 9'!I115+'Clinic 10'!I115+'Clinic 11'!I115+'Clinic 12'!I115+'Clinic 13'!I115+'Clinic 14'!I115+'Clinic 15'!I115</f>
        <v>-25.725000000000001</v>
      </c>
      <c r="J157" s="39">
        <f t="shared" si="16"/>
        <v>-25.725000000000001</v>
      </c>
    </row>
    <row r="158" spans="1:14" x14ac:dyDescent="0.25">
      <c r="A158" s="1" t="s">
        <v>50</v>
      </c>
      <c r="B158" s="39">
        <f>'Biocorrect-Agile'!B158+'Biocorrect-GP'!B158+'Clinic 3'!B116+'Clinic 4'!B116+'Clinic 5'!B116+'Clinic 6'!B116+'Clinic 7'!B116+'Clinic 8'!B116+'Clinic 9'!B116+'Clinic 10'!B116+'Clinic 11'!B116+'Clinic 12'!B116+'Clinic 13'!B116+'Clinic 14'!B116+'Clinic 15'!B116</f>
        <v>0</v>
      </c>
      <c r="C158" s="39">
        <f>'Biocorrect-Agile'!C158+'Biocorrect-GP'!C158+'Clinic 3'!C116+'Clinic 4'!C116+'Clinic 5'!C116+'Clinic 6'!C116+'Clinic 7'!C116+'Clinic 8'!C116+'Clinic 9'!C116+'Clinic 10'!C116+'Clinic 11'!C116+'Clinic 12'!C116+'Clinic 13'!C116+'Clinic 14'!C116+'Clinic 15'!C116</f>
        <v>0</v>
      </c>
      <c r="D158" s="39">
        <f>'Biocorrect-Agile'!D158+'Biocorrect-GP'!D158+'Clinic 3'!D116+'Clinic 4'!D116+'Clinic 5'!D116+'Clinic 6'!D116+'Clinic 7'!D116+'Clinic 8'!D116+'Clinic 9'!D116+'Clinic 10'!D116+'Clinic 11'!D116+'Clinic 12'!D116+'Clinic 13'!D116+'Clinic 14'!D116+'Clinic 15'!D116</f>
        <v>0</v>
      </c>
      <c r="E158" s="39">
        <f>'Biocorrect-Agile'!E158+'Biocorrect-GP'!E158+'Clinic 3'!E116+'Clinic 4'!E116+'Clinic 5'!E116+'Clinic 6'!E116+'Clinic 7'!E116+'Clinic 8'!E116+'Clinic 9'!E116+'Clinic 10'!E116+'Clinic 11'!E116+'Clinic 12'!E116+'Clinic 13'!E116+'Clinic 14'!E116+'Clinic 15'!E116</f>
        <v>0</v>
      </c>
      <c r="F158" s="39">
        <f>'Biocorrect-Agile'!F158+'Biocorrect-GP'!F158+'Clinic 3'!F116+'Clinic 4'!F116+'Clinic 5'!F116+'Clinic 6'!F116+'Clinic 7'!F116+'Clinic 8'!F116+'Clinic 9'!F116+'Clinic 10'!F116+'Clinic 11'!F116+'Clinic 12'!F116+'Clinic 13'!F116+'Clinic 14'!F116+'Clinic 15'!F116</f>
        <v>0</v>
      </c>
      <c r="G158" s="39">
        <f>'Biocorrect-Agile'!G158+'Biocorrect-GP'!G158+'Clinic 3'!G116+'Clinic 4'!G116+'Clinic 5'!G116+'Clinic 6'!G116+'Clinic 7'!G116+'Clinic 8'!G116+'Clinic 9'!G116+'Clinic 10'!G116+'Clinic 11'!G116+'Clinic 12'!G116+'Clinic 13'!G116+'Clinic 14'!G116+'Clinic 15'!G116</f>
        <v>0</v>
      </c>
      <c r="H158" s="39">
        <f>'Biocorrect-Agile'!H158+'Biocorrect-GP'!H158+'Clinic 3'!H116+'Clinic 4'!H116+'Clinic 5'!H116+'Clinic 6'!H116+'Clinic 7'!H116+'Clinic 8'!H116+'Clinic 9'!H116+'Clinic 10'!H116+'Clinic 11'!H116+'Clinic 12'!H116+'Clinic 13'!H116+'Clinic 14'!H116+'Clinic 15'!H116</f>
        <v>0</v>
      </c>
      <c r="I158" s="39">
        <f>'Biocorrect-Agile'!I158+'Biocorrect-GP'!I158+'Clinic 3'!I116+'Clinic 4'!I116+'Clinic 5'!I116+'Clinic 6'!I116+'Clinic 7'!I116+'Clinic 8'!I116+'Clinic 9'!I116+'Clinic 10'!I116+'Clinic 11'!I116+'Clinic 12'!I116+'Clinic 13'!I116+'Clinic 14'!I116+'Clinic 15'!I116</f>
        <v>0</v>
      </c>
      <c r="J158" s="39">
        <f t="shared" si="16"/>
        <v>0</v>
      </c>
    </row>
    <row r="159" spans="1:14" x14ac:dyDescent="0.25">
      <c r="A159" s="1" t="s">
        <v>89</v>
      </c>
      <c r="B159" s="39">
        <f>'Biocorrect-Agile'!B159+'Biocorrect-GP'!B159+'Clinic 3'!B117+'Clinic 4'!B117+'Clinic 5'!B117+'Clinic 6'!B117+'Clinic 7'!B117+'Clinic 8'!B117+'Clinic 9'!B117+'Clinic 10'!B117+'Clinic 11'!B117+'Clinic 12'!B117+'Clinic 13'!B117+'Clinic 14'!B117+'Clinic 15'!B117</f>
        <v>0</v>
      </c>
      <c r="C159" s="39">
        <f>'Biocorrect-Agile'!C159+'Biocorrect-GP'!C159+'Clinic 3'!C117+'Clinic 4'!C117+'Clinic 5'!C117+'Clinic 6'!C117+'Clinic 7'!C117+'Clinic 8'!C117+'Clinic 9'!C117+'Clinic 10'!C117+'Clinic 11'!C117+'Clinic 12'!C117+'Clinic 13'!C117+'Clinic 14'!C117+'Clinic 15'!C117</f>
        <v>0</v>
      </c>
      <c r="D159" s="39">
        <f>'Biocorrect-Agile'!D159+'Biocorrect-GP'!D159+'Clinic 3'!D117+'Clinic 4'!D117+'Clinic 5'!D117+'Clinic 6'!D117+'Clinic 7'!D117+'Clinic 8'!D117+'Clinic 9'!D117+'Clinic 10'!D117+'Clinic 11'!D117+'Clinic 12'!D117+'Clinic 13'!D117+'Clinic 14'!D117+'Clinic 15'!D117</f>
        <v>0</v>
      </c>
      <c r="E159" s="39">
        <f>'Biocorrect-Agile'!E159+'Biocorrect-GP'!E159+'Clinic 3'!E117+'Clinic 4'!E117+'Clinic 5'!E117+'Clinic 6'!E117+'Clinic 7'!E117+'Clinic 8'!E117+'Clinic 9'!E117+'Clinic 10'!E117+'Clinic 11'!E117+'Clinic 12'!E117+'Clinic 13'!E117+'Clinic 14'!E117+'Clinic 15'!E117</f>
        <v>0</v>
      </c>
      <c r="F159" s="39">
        <f>'Biocorrect-Agile'!F159+'Biocorrect-GP'!F159+'Clinic 3'!F117+'Clinic 4'!F117+'Clinic 5'!F117+'Clinic 6'!F117+'Clinic 7'!F117+'Clinic 8'!F117+'Clinic 9'!F117+'Clinic 10'!F117+'Clinic 11'!F117+'Clinic 12'!F117+'Clinic 13'!F117+'Clinic 14'!F117+'Clinic 15'!F117</f>
        <v>0</v>
      </c>
      <c r="G159" s="39">
        <f>'Biocorrect-Agile'!G159+'Biocorrect-GP'!G159+'Clinic 3'!G117+'Clinic 4'!G117+'Clinic 5'!G117+'Clinic 6'!G117+'Clinic 7'!G117+'Clinic 8'!G117+'Clinic 9'!G117+'Clinic 10'!G117+'Clinic 11'!G117+'Clinic 12'!G117+'Clinic 13'!G117+'Clinic 14'!G117+'Clinic 15'!G117</f>
        <v>0</v>
      </c>
      <c r="H159" s="39">
        <f>'Biocorrect-Agile'!H159+'Biocorrect-GP'!H159+'Clinic 3'!H117+'Clinic 4'!H117+'Clinic 5'!H117+'Clinic 6'!H117+'Clinic 7'!H117+'Clinic 8'!H117+'Clinic 9'!H117+'Clinic 10'!H117+'Clinic 11'!H117+'Clinic 12'!H117+'Clinic 13'!H117+'Clinic 14'!H117+'Clinic 15'!H117</f>
        <v>0</v>
      </c>
      <c r="I159" s="39">
        <f>'Biocorrect-Agile'!I159+'Biocorrect-GP'!I159+'Clinic 3'!I117+'Clinic 4'!I117+'Clinic 5'!I117+'Clinic 6'!I117+'Clinic 7'!I117+'Clinic 8'!I117+'Clinic 9'!I117+'Clinic 10'!I117+'Clinic 11'!I117+'Clinic 12'!I117+'Clinic 13'!I117+'Clinic 14'!I117+'Clinic 15'!I117</f>
        <v>0</v>
      </c>
      <c r="J159" s="39">
        <f t="shared" si="16"/>
        <v>0</v>
      </c>
    </row>
    <row r="160" spans="1:14" x14ac:dyDescent="0.25">
      <c r="A160" s="1" t="s">
        <v>5</v>
      </c>
      <c r="B160" s="39">
        <f>'Biocorrect-Agile'!B160+'Biocorrect-GP'!B160+'Clinic 3'!B118+'Clinic 4'!B118+'Clinic 5'!B118+'Clinic 6'!B118+'Clinic 7'!B118+'Clinic 8'!B118+'Clinic 9'!B118+'Clinic 10'!B118+'Clinic 11'!B118+'Clinic 12'!B118+'Clinic 13'!B118+'Clinic 14'!B118+'Clinic 15'!B118</f>
        <v>0</v>
      </c>
      <c r="C160" s="39">
        <f>'Biocorrect-Agile'!C160+'Biocorrect-GP'!C160+'Clinic 3'!C118+'Clinic 4'!C118+'Clinic 5'!C118+'Clinic 6'!C118+'Clinic 7'!C118+'Clinic 8'!C118+'Clinic 9'!C118+'Clinic 10'!C118+'Clinic 11'!C118+'Clinic 12'!C118+'Clinic 13'!C118+'Clinic 14'!C118+'Clinic 15'!C118</f>
        <v>0</v>
      </c>
      <c r="D160" s="39">
        <f>'Biocorrect-Agile'!D160+'Biocorrect-GP'!D160+'Clinic 3'!D118+'Clinic 4'!D118+'Clinic 5'!D118+'Clinic 6'!D118+'Clinic 7'!D118+'Clinic 8'!D118+'Clinic 9'!D118+'Clinic 10'!D118+'Clinic 11'!D118+'Clinic 12'!D118+'Clinic 13'!D118+'Clinic 14'!D118+'Clinic 15'!D118</f>
        <v>0</v>
      </c>
      <c r="E160" s="39">
        <f>'Biocorrect-Agile'!E160+'Biocorrect-GP'!E160+'Clinic 3'!E118+'Clinic 4'!E118+'Clinic 5'!E118+'Clinic 6'!E118+'Clinic 7'!E118+'Clinic 8'!E118+'Clinic 9'!E118+'Clinic 10'!E118+'Clinic 11'!E118+'Clinic 12'!E118+'Clinic 13'!E118+'Clinic 14'!E118+'Clinic 15'!E118</f>
        <v>0</v>
      </c>
      <c r="F160" s="39">
        <f>'Biocorrect-Agile'!F160+'Biocorrect-GP'!F160+'Clinic 3'!F118+'Clinic 4'!F118+'Clinic 5'!F118+'Clinic 6'!F118+'Clinic 7'!F118+'Clinic 8'!F118+'Clinic 9'!F118+'Clinic 10'!F118+'Clinic 11'!F118+'Clinic 12'!F118+'Clinic 13'!F118+'Clinic 14'!F118+'Clinic 15'!F118</f>
        <v>0</v>
      </c>
      <c r="G160" s="39">
        <f>'Biocorrect-Agile'!G160+'Biocorrect-GP'!G160+'Clinic 3'!G118+'Clinic 4'!G118+'Clinic 5'!G118+'Clinic 6'!G118+'Clinic 7'!G118+'Clinic 8'!G118+'Clinic 9'!G118+'Clinic 10'!G118+'Clinic 11'!G118+'Clinic 12'!G118+'Clinic 13'!G118+'Clinic 14'!G118+'Clinic 15'!G118</f>
        <v>0</v>
      </c>
      <c r="H160" s="39">
        <f>'Biocorrect-Agile'!H160+'Biocorrect-GP'!H160+'Clinic 3'!H118+'Clinic 4'!H118+'Clinic 5'!H118+'Clinic 6'!H118+'Clinic 7'!H118+'Clinic 8'!H118+'Clinic 9'!H118+'Clinic 10'!H118+'Clinic 11'!H118+'Clinic 12'!H118+'Clinic 13'!H118+'Clinic 14'!H118+'Clinic 15'!H118</f>
        <v>0</v>
      </c>
      <c r="I160" s="39">
        <f>'Biocorrect-Agile'!I160+'Biocorrect-GP'!I160+'Clinic 3'!I118+'Clinic 4'!I118+'Clinic 5'!I118+'Clinic 6'!I118+'Clinic 7'!I118+'Clinic 8'!I118+'Clinic 9'!I118+'Clinic 10'!I118+'Clinic 11'!I118+'Clinic 12'!I118+'Clinic 13'!I118+'Clinic 14'!I118+'Clinic 15'!I118</f>
        <v>0</v>
      </c>
      <c r="J160" s="39">
        <f t="shared" si="16"/>
        <v>0</v>
      </c>
    </row>
    <row r="161" spans="1:16" x14ac:dyDescent="0.25">
      <c r="A161" s="1" t="s">
        <v>84</v>
      </c>
      <c r="B161" s="39">
        <f>'Biocorrect-Agile'!B161+'Biocorrect-GP'!B161+'Clinic 3'!B119+'Clinic 4'!B119+'Clinic 5'!B119+'Clinic 6'!B119+'Clinic 7'!B119+'Clinic 8'!B119+'Clinic 9'!B119+'Clinic 10'!B119+'Clinic 11'!B119+'Clinic 12'!B119+'Clinic 13'!B119+'Clinic 14'!B119+'Clinic 15'!B119</f>
        <v>0</v>
      </c>
      <c r="C161" s="39">
        <f>'Biocorrect-Agile'!C161+'Biocorrect-GP'!C161+'Clinic 3'!C119+'Clinic 4'!C119+'Clinic 5'!C119+'Clinic 6'!C119+'Clinic 7'!C119+'Clinic 8'!C119+'Clinic 9'!C119+'Clinic 10'!C119+'Clinic 11'!C119+'Clinic 12'!C119+'Clinic 13'!C119+'Clinic 14'!C119+'Clinic 15'!C119</f>
        <v>0</v>
      </c>
      <c r="D161" s="39">
        <f>'Biocorrect-Agile'!D161+'Biocorrect-GP'!D161+'Clinic 3'!D119+'Clinic 4'!D119+'Clinic 5'!D119+'Clinic 6'!D119+'Clinic 7'!D119+'Clinic 8'!D119+'Clinic 9'!D119+'Clinic 10'!D119+'Clinic 11'!D119+'Clinic 12'!D119+'Clinic 13'!D119+'Clinic 14'!D119+'Clinic 15'!D119</f>
        <v>0</v>
      </c>
      <c r="E161" s="39">
        <f>'Biocorrect-Agile'!E161+'Biocorrect-GP'!E161+'Clinic 3'!E119+'Clinic 4'!E119+'Clinic 5'!E119+'Clinic 6'!E119+'Clinic 7'!E119+'Clinic 8'!E119+'Clinic 9'!E119+'Clinic 10'!E119+'Clinic 11'!E119+'Clinic 12'!E119+'Clinic 13'!E119+'Clinic 14'!E119+'Clinic 15'!E119</f>
        <v>0</v>
      </c>
      <c r="F161" s="39">
        <f>'Biocorrect-Agile'!F161+'Biocorrect-GP'!F161+'Clinic 3'!F119+'Clinic 4'!F119+'Clinic 5'!F119+'Clinic 6'!F119+'Clinic 7'!F119+'Clinic 8'!F119+'Clinic 9'!F119+'Clinic 10'!F119+'Clinic 11'!F119+'Clinic 12'!F119+'Clinic 13'!F119+'Clinic 14'!F119+'Clinic 15'!F119</f>
        <v>0</v>
      </c>
      <c r="G161" s="39">
        <f>'Biocorrect-Agile'!G161+'Biocorrect-GP'!G161+'Clinic 3'!G119+'Clinic 4'!G119+'Clinic 5'!G119+'Clinic 6'!G119+'Clinic 7'!G119+'Clinic 8'!G119+'Clinic 9'!G119+'Clinic 10'!G119+'Clinic 11'!G119+'Clinic 12'!G119+'Clinic 13'!G119+'Clinic 14'!G119+'Clinic 15'!G119</f>
        <v>0</v>
      </c>
      <c r="H161" s="39">
        <f>'Biocorrect-Agile'!H161+'Biocorrect-GP'!H161+'Clinic 3'!H119+'Clinic 4'!H119+'Clinic 5'!H119+'Clinic 6'!H119+'Clinic 7'!H119+'Clinic 8'!H119+'Clinic 9'!H119+'Clinic 10'!H119+'Clinic 11'!H119+'Clinic 12'!H119+'Clinic 13'!H119+'Clinic 14'!H119+'Clinic 15'!H119</f>
        <v>0</v>
      </c>
      <c r="I161" s="39">
        <f>'Biocorrect-Agile'!I161+'Biocorrect-GP'!I161+'Clinic 3'!I119+'Clinic 4'!I119+'Clinic 5'!I119+'Clinic 6'!I119+'Clinic 7'!I119+'Clinic 8'!I119+'Clinic 9'!I119+'Clinic 10'!I119+'Clinic 11'!I119+'Clinic 12'!I119+'Clinic 13'!I119+'Clinic 14'!I119+'Clinic 15'!I119</f>
        <v>0</v>
      </c>
      <c r="J161" s="39">
        <f t="shared" si="16"/>
        <v>0</v>
      </c>
    </row>
    <row r="162" spans="1:16" x14ac:dyDescent="0.25">
      <c r="A162" s="1" t="s">
        <v>4</v>
      </c>
      <c r="B162" s="39">
        <f>'Biocorrect-Agile'!B162+'Biocorrect-GP'!B162+'Clinic 3'!B120+'Clinic 4'!B120+'Clinic 5'!B120+'Clinic 6'!B120+'Clinic 7'!B120+'Clinic 8'!B120+'Clinic 9'!B120+'Clinic 10'!B120+'Clinic 11'!B120+'Clinic 12'!B120+'Clinic 13'!B120+'Clinic 14'!B120+'Clinic 15'!B120</f>
        <v>0</v>
      </c>
      <c r="C162" s="39">
        <f>'Biocorrect-Agile'!C162+'Biocorrect-GP'!C162+'Clinic 3'!C120+'Clinic 4'!C120+'Clinic 5'!C120+'Clinic 6'!C120+'Clinic 7'!C120+'Clinic 8'!C120+'Clinic 9'!C120+'Clinic 10'!C120+'Clinic 11'!C120+'Clinic 12'!C120+'Clinic 13'!C120+'Clinic 14'!C120+'Clinic 15'!C120</f>
        <v>0</v>
      </c>
      <c r="D162" s="39">
        <f>'Biocorrect-Agile'!D162+'Biocorrect-GP'!D162+'Clinic 3'!D120+'Clinic 4'!D120+'Clinic 5'!D120+'Clinic 6'!D120+'Clinic 7'!D120+'Clinic 8'!D120+'Clinic 9'!D120+'Clinic 10'!D120+'Clinic 11'!D120+'Clinic 12'!D120+'Clinic 13'!D120+'Clinic 14'!D120+'Clinic 15'!D120</f>
        <v>0</v>
      </c>
      <c r="E162" s="39">
        <f>'Biocorrect-Agile'!E162+'Biocorrect-GP'!E162+'Clinic 3'!E120+'Clinic 4'!E120+'Clinic 5'!E120+'Clinic 6'!E120+'Clinic 7'!E120+'Clinic 8'!E120+'Clinic 9'!E120+'Clinic 10'!E120+'Clinic 11'!E120+'Clinic 12'!E120+'Clinic 13'!E120+'Clinic 14'!E120+'Clinic 15'!E120</f>
        <v>0</v>
      </c>
      <c r="F162" s="39">
        <f>'Biocorrect-Agile'!F162+'Biocorrect-GP'!F162+'Clinic 3'!F120+'Clinic 4'!F120+'Clinic 5'!F120+'Clinic 6'!F120+'Clinic 7'!F120+'Clinic 8'!F120+'Clinic 9'!F120+'Clinic 10'!F120+'Clinic 11'!F120+'Clinic 12'!F120+'Clinic 13'!F120+'Clinic 14'!F120+'Clinic 15'!F120</f>
        <v>0</v>
      </c>
      <c r="G162" s="39">
        <f>'Biocorrect-Agile'!G162+'Biocorrect-GP'!G162+'Clinic 3'!G120+'Clinic 4'!G120+'Clinic 5'!G120+'Clinic 6'!G120+'Clinic 7'!G120+'Clinic 8'!G120+'Clinic 9'!G120+'Clinic 10'!G120+'Clinic 11'!G120+'Clinic 12'!G120+'Clinic 13'!G120+'Clinic 14'!G120+'Clinic 15'!G120</f>
        <v>0</v>
      </c>
      <c r="H162" s="39">
        <f>'Biocorrect-Agile'!H162+'Biocorrect-GP'!H162+'Clinic 3'!H120+'Clinic 4'!H120+'Clinic 5'!H120+'Clinic 6'!H120+'Clinic 7'!H120+'Clinic 8'!H120+'Clinic 9'!H120+'Clinic 10'!H120+'Clinic 11'!H120+'Clinic 12'!H120+'Clinic 13'!H120+'Clinic 14'!H120+'Clinic 15'!H120</f>
        <v>0</v>
      </c>
      <c r="I162" s="39">
        <f>'Biocorrect-Agile'!I162+'Biocorrect-GP'!I162+'Clinic 3'!I120+'Clinic 4'!I120+'Clinic 5'!I120+'Clinic 6'!I120+'Clinic 7'!I120+'Clinic 8'!I120+'Clinic 9'!I120+'Clinic 10'!I120+'Clinic 11'!I120+'Clinic 12'!I120+'Clinic 13'!I120+'Clinic 14'!I120+'Clinic 15'!I120</f>
        <v>0</v>
      </c>
      <c r="J162" s="39">
        <f t="shared" si="16"/>
        <v>0</v>
      </c>
    </row>
    <row r="163" spans="1:16" x14ac:dyDescent="0.25">
      <c r="A163" s="1" t="s">
        <v>51</v>
      </c>
      <c r="B163" s="39">
        <f>'Biocorrect-Agile'!B163+'Biocorrect-GP'!B163+'Clinic 3'!B121+'Clinic 4'!B121+'Clinic 5'!B121+'Clinic 6'!B121+'Clinic 7'!B121+'Clinic 8'!B121+'Clinic 9'!B121+'Clinic 10'!B121+'Clinic 11'!B121+'Clinic 12'!B121+'Clinic 13'!B121+'Clinic 14'!B121+'Clinic 15'!B121</f>
        <v>0</v>
      </c>
      <c r="C163" s="39">
        <f>'Biocorrect-Agile'!C163+'Biocorrect-GP'!C163+'Clinic 3'!C121+'Clinic 4'!C121+'Clinic 5'!C121+'Clinic 6'!C121+'Clinic 7'!C121+'Clinic 8'!C121+'Clinic 9'!C121+'Clinic 10'!C121+'Clinic 11'!C121+'Clinic 12'!C121+'Clinic 13'!C121+'Clinic 14'!C121+'Clinic 15'!C121</f>
        <v>0</v>
      </c>
      <c r="D163" s="39">
        <f>'Biocorrect-Agile'!D163+'Biocorrect-GP'!D163+'Clinic 3'!D121+'Clinic 4'!D121+'Clinic 5'!D121+'Clinic 6'!D121+'Clinic 7'!D121+'Clinic 8'!D121+'Clinic 9'!D121+'Clinic 10'!D121+'Clinic 11'!D121+'Clinic 12'!D121+'Clinic 13'!D121+'Clinic 14'!D121+'Clinic 15'!D121</f>
        <v>0</v>
      </c>
      <c r="E163" s="39">
        <f>'Biocorrect-Agile'!E163+'Biocorrect-GP'!E163+'Clinic 3'!E121+'Clinic 4'!E121+'Clinic 5'!E121+'Clinic 6'!E121+'Clinic 7'!E121+'Clinic 8'!E121+'Clinic 9'!E121+'Clinic 10'!E121+'Clinic 11'!E121+'Clinic 12'!E121+'Clinic 13'!E121+'Clinic 14'!E121+'Clinic 15'!E121</f>
        <v>0</v>
      </c>
      <c r="F163" s="39">
        <f>'Biocorrect-Agile'!F163+'Biocorrect-GP'!F163+'Clinic 3'!F121+'Clinic 4'!F121+'Clinic 5'!F121+'Clinic 6'!F121+'Clinic 7'!F121+'Clinic 8'!F121+'Clinic 9'!F121+'Clinic 10'!F121+'Clinic 11'!F121+'Clinic 12'!F121+'Clinic 13'!F121+'Clinic 14'!F121+'Clinic 15'!F121</f>
        <v>0</v>
      </c>
      <c r="G163" s="39">
        <f>'Biocorrect-Agile'!G163+'Biocorrect-GP'!G163+'Clinic 3'!G121+'Clinic 4'!G121+'Clinic 5'!G121+'Clinic 6'!G121+'Clinic 7'!G121+'Clinic 8'!G121+'Clinic 9'!G121+'Clinic 10'!G121+'Clinic 11'!G121+'Clinic 12'!G121+'Clinic 13'!G121+'Clinic 14'!G121+'Clinic 15'!G121</f>
        <v>0</v>
      </c>
      <c r="H163" s="39">
        <f>'Biocorrect-Agile'!H163+'Biocorrect-GP'!H163+'Clinic 3'!H121+'Clinic 4'!H121+'Clinic 5'!H121+'Clinic 6'!H121+'Clinic 7'!H121+'Clinic 8'!H121+'Clinic 9'!H121+'Clinic 10'!H121+'Clinic 11'!H121+'Clinic 12'!H121+'Clinic 13'!H121+'Clinic 14'!H121+'Clinic 15'!H121</f>
        <v>0</v>
      </c>
      <c r="I163" s="39">
        <f>'Biocorrect-Agile'!I163+'Biocorrect-GP'!I163+'Clinic 3'!I121+'Clinic 4'!I121+'Clinic 5'!I121+'Clinic 6'!I121+'Clinic 7'!I121+'Clinic 8'!I121+'Clinic 9'!I121+'Clinic 10'!I121+'Clinic 11'!I121+'Clinic 12'!I121+'Clinic 13'!I121+'Clinic 14'!I121+'Clinic 15'!I121</f>
        <v>0</v>
      </c>
      <c r="J163" s="39">
        <f t="shared" si="16"/>
        <v>0</v>
      </c>
    </row>
    <row r="164" spans="1:16" x14ac:dyDescent="0.25">
      <c r="A164" s="1" t="s">
        <v>85</v>
      </c>
      <c r="B164" s="39">
        <f>'Biocorrect-Agile'!B164+'Biocorrect-GP'!B164+'Clinic 3'!B122+'Clinic 4'!B122+'Clinic 5'!B122+'Clinic 6'!B122+'Clinic 7'!B122+'Clinic 8'!B122+'Clinic 9'!B122+'Clinic 10'!B122+'Clinic 11'!B122+'Clinic 12'!B122+'Clinic 13'!B122+'Clinic 14'!B122+'Clinic 15'!B122</f>
        <v>0</v>
      </c>
      <c r="C164" s="39">
        <f>'Biocorrect-Agile'!C164+'Biocorrect-GP'!C164+'Clinic 3'!C122+'Clinic 4'!C122+'Clinic 5'!C122+'Clinic 6'!C122+'Clinic 7'!C122+'Clinic 8'!C122+'Clinic 9'!C122+'Clinic 10'!C122+'Clinic 11'!C122+'Clinic 12'!C122+'Clinic 13'!C122+'Clinic 14'!C122+'Clinic 15'!C122</f>
        <v>0</v>
      </c>
      <c r="D164" s="39">
        <f>'Biocorrect-Agile'!D164+'Biocorrect-GP'!D164+'Clinic 3'!D122+'Clinic 4'!D122+'Clinic 5'!D122+'Clinic 6'!D122+'Clinic 7'!D122+'Clinic 8'!D122+'Clinic 9'!D122+'Clinic 10'!D122+'Clinic 11'!D122+'Clinic 12'!D122+'Clinic 13'!D122+'Clinic 14'!D122+'Clinic 15'!D122</f>
        <v>0</v>
      </c>
      <c r="E164" s="39">
        <f>'Biocorrect-Agile'!E164+'Biocorrect-GP'!E164+'Clinic 3'!E122+'Clinic 4'!E122+'Clinic 5'!E122+'Clinic 6'!E122+'Clinic 7'!E122+'Clinic 8'!E122+'Clinic 9'!E122+'Clinic 10'!E122+'Clinic 11'!E122+'Clinic 12'!E122+'Clinic 13'!E122+'Clinic 14'!E122+'Clinic 15'!E122</f>
        <v>0</v>
      </c>
      <c r="F164" s="39">
        <f>'Biocorrect-Agile'!F164+'Biocorrect-GP'!F164+'Clinic 3'!F122+'Clinic 4'!F122+'Clinic 5'!F122+'Clinic 6'!F122+'Clinic 7'!F122+'Clinic 8'!F122+'Clinic 9'!F122+'Clinic 10'!F122+'Clinic 11'!F122+'Clinic 12'!F122+'Clinic 13'!F122+'Clinic 14'!F122+'Clinic 15'!F122</f>
        <v>0</v>
      </c>
      <c r="G164" s="39">
        <f>'Biocorrect-Agile'!G164+'Biocorrect-GP'!G164+'Clinic 3'!G122+'Clinic 4'!G122+'Clinic 5'!G122+'Clinic 6'!G122+'Clinic 7'!G122+'Clinic 8'!G122+'Clinic 9'!G122+'Clinic 10'!G122+'Clinic 11'!G122+'Clinic 12'!G122+'Clinic 13'!G122+'Clinic 14'!G122+'Clinic 15'!G122</f>
        <v>0</v>
      </c>
      <c r="H164" s="39">
        <f>'Biocorrect-Agile'!H164+'Biocorrect-GP'!H164+'Clinic 3'!H122+'Clinic 4'!H122+'Clinic 5'!H122+'Clinic 6'!H122+'Clinic 7'!H122+'Clinic 8'!H122+'Clinic 9'!H122+'Clinic 10'!H122+'Clinic 11'!H122+'Clinic 12'!H122+'Clinic 13'!H122+'Clinic 14'!H122+'Clinic 15'!H122</f>
        <v>0</v>
      </c>
      <c r="I164" s="39">
        <f>'Biocorrect-Agile'!I164+'Biocorrect-GP'!I164+'Clinic 3'!I122+'Clinic 4'!I122+'Clinic 5'!I122+'Clinic 6'!I122+'Clinic 7'!I122+'Clinic 8'!I122+'Clinic 9'!I122+'Clinic 10'!I122+'Clinic 11'!I122+'Clinic 12'!I122+'Clinic 13'!I122+'Clinic 14'!I122+'Clinic 15'!I122</f>
        <v>0</v>
      </c>
      <c r="J164" s="39">
        <f t="shared" si="16"/>
        <v>0</v>
      </c>
    </row>
    <row r="165" spans="1:16" x14ac:dyDescent="0.25">
      <c r="A165" s="1" t="s">
        <v>2</v>
      </c>
      <c r="B165" s="39">
        <f>'Biocorrect-Agile'!B165+'Biocorrect-GP'!B165+'Clinic 3'!B123+'Clinic 4'!B123+'Clinic 5'!B123+'Clinic 6'!B123+'Clinic 7'!B123+'Clinic 8'!B123+'Clinic 9'!B123+'Clinic 10'!B123+'Clinic 11'!B123+'Clinic 12'!B123+'Clinic 13'!B123+'Clinic 14'!B123+'Clinic 15'!B123</f>
        <v>0</v>
      </c>
      <c r="C165" s="39">
        <f>'Biocorrect-Agile'!C165+'Biocorrect-GP'!C165+'Clinic 3'!C123+'Clinic 4'!C123+'Clinic 5'!C123+'Clinic 6'!C123+'Clinic 7'!C123+'Clinic 8'!C123+'Clinic 9'!C123+'Clinic 10'!C123+'Clinic 11'!C123+'Clinic 12'!C123+'Clinic 13'!C123+'Clinic 14'!C123+'Clinic 15'!C123</f>
        <v>0</v>
      </c>
      <c r="D165" s="39">
        <f>'Biocorrect-Agile'!D165+'Biocorrect-GP'!D165+'Clinic 3'!D123+'Clinic 4'!D123+'Clinic 5'!D123+'Clinic 6'!D123+'Clinic 7'!D123+'Clinic 8'!D123+'Clinic 9'!D123+'Clinic 10'!D123+'Clinic 11'!D123+'Clinic 12'!D123+'Clinic 13'!D123+'Clinic 14'!D123+'Clinic 15'!D123</f>
        <v>282.54382800000008</v>
      </c>
      <c r="E165" s="39">
        <f>'Biocorrect-Agile'!E165+'Biocorrect-GP'!E165+'Clinic 3'!E123+'Clinic 4'!E123+'Clinic 5'!E123+'Clinic 6'!E123+'Clinic 7'!E123+'Clinic 8'!E123+'Clinic 9'!E123+'Clinic 10'!E123+'Clinic 11'!E123+'Clinic 12'!E123+'Clinic 13'!E123+'Clinic 14'!E123+'Clinic 15'!E123</f>
        <v>1225.9013600000001</v>
      </c>
      <c r="F165" s="39">
        <f>'Biocorrect-Agile'!F165+'Biocorrect-GP'!F165+'Clinic 3'!F123+'Clinic 4'!F123+'Clinic 5'!F123+'Clinic 6'!F123+'Clinic 7'!F123+'Clinic 8'!F123+'Clinic 9'!F123+'Clinic 10'!F123+'Clinic 11'!F123+'Clinic 12'!F123+'Clinic 13'!F123+'Clinic 14'!F123+'Clinic 15'!F123</f>
        <v>547.63254000000006</v>
      </c>
      <c r="G165" s="39">
        <f>'Biocorrect-Agile'!G165+'Biocorrect-GP'!G165+'Clinic 3'!G123+'Clinic 4'!G123+'Clinic 5'!G123+'Clinic 6'!G123+'Clinic 7'!G123+'Clinic 8'!G123+'Clinic 9'!G123+'Clinic 10'!G123+'Clinic 11'!G123+'Clinic 12'!G123+'Clinic 13'!G123+'Clinic 14'!G123+'Clinic 15'!G123</f>
        <v>1098.9976000000001</v>
      </c>
      <c r="H165" s="39">
        <f>'Biocorrect-Agile'!H165+'Biocorrect-GP'!H165+'Clinic 3'!H123+'Clinic 4'!H123+'Clinic 5'!H123+'Clinic 6'!H123+'Clinic 7'!H123+'Clinic 8'!H123+'Clinic 9'!H123+'Clinic 10'!H123+'Clinic 11'!H123+'Clinic 12'!H123+'Clinic 13'!H123+'Clinic 14'!H123+'Clinic 15'!H123</f>
        <v>1564.3450399999999</v>
      </c>
      <c r="I165" s="39">
        <f>'Biocorrect-Agile'!I165+'Biocorrect-GP'!I165+'Clinic 3'!I123+'Clinic 4'!I123+'Clinic 5'!I123+'Clinic 6'!I123+'Clinic 7'!I123+'Clinic 8'!I123+'Clinic 9'!I123+'Clinic 10'!I123+'Clinic 11'!I123+'Clinic 12'!I123+'Clinic 13'!I123+'Clinic 14'!I123+'Clinic 15'!I123</f>
        <v>978.49908000000016</v>
      </c>
      <c r="J165" s="39">
        <f t="shared" si="16"/>
        <v>5697.9194480000006</v>
      </c>
    </row>
    <row r="166" spans="1:16" x14ac:dyDescent="0.25">
      <c r="A166" s="1" t="s">
        <v>86</v>
      </c>
      <c r="B166" s="39">
        <f>'Biocorrect-Agile'!B166+'Biocorrect-GP'!B166+'Clinic 3'!B124+'Clinic 4'!B124+'Clinic 5'!B124+'Clinic 6'!B124+'Clinic 7'!B124+'Clinic 8'!B124+'Clinic 9'!B124+'Clinic 10'!B124+'Clinic 11'!B124+'Clinic 12'!B124+'Clinic 13'!B124+'Clinic 14'!B124+'Clinic 15'!B124</f>
        <v>0</v>
      </c>
      <c r="C166" s="39">
        <f>'Biocorrect-Agile'!C166+'Biocorrect-GP'!C166+'Clinic 3'!C124+'Clinic 4'!C124+'Clinic 5'!C124+'Clinic 6'!C124+'Clinic 7'!C124+'Clinic 8'!C124+'Clinic 9'!C124+'Clinic 10'!C124+'Clinic 11'!C124+'Clinic 12'!C124+'Clinic 13'!C124+'Clinic 14'!C124+'Clinic 15'!C124</f>
        <v>0</v>
      </c>
      <c r="D166" s="39">
        <f>'Biocorrect-Agile'!D166+'Biocorrect-GP'!D166+'Clinic 3'!D124+'Clinic 4'!D124+'Clinic 5'!D124+'Clinic 6'!D124+'Clinic 7'!D124+'Clinic 8'!D124+'Clinic 9'!D124+'Clinic 10'!D124+'Clinic 11'!D124+'Clinic 12'!D124+'Clinic 13'!D124+'Clinic 14'!D124+'Clinic 15'!D124</f>
        <v>0</v>
      </c>
      <c r="E166" s="39">
        <f>'Biocorrect-Agile'!E166+'Biocorrect-GP'!E166+'Clinic 3'!E124+'Clinic 4'!E124+'Clinic 5'!E124+'Clinic 6'!E124+'Clinic 7'!E124+'Clinic 8'!E124+'Clinic 9'!E124+'Clinic 10'!E124+'Clinic 11'!E124+'Clinic 12'!E124+'Clinic 13'!E124+'Clinic 14'!E124+'Clinic 15'!E124</f>
        <v>0</v>
      </c>
      <c r="F166" s="39">
        <f>'Biocorrect-Agile'!F166+'Biocorrect-GP'!F166+'Clinic 3'!F124+'Clinic 4'!F124+'Clinic 5'!F124+'Clinic 6'!F124+'Clinic 7'!F124+'Clinic 8'!F124+'Clinic 9'!F124+'Clinic 10'!F124+'Clinic 11'!F124+'Clinic 12'!F124+'Clinic 13'!F124+'Clinic 14'!F124+'Clinic 15'!F124</f>
        <v>0</v>
      </c>
      <c r="G166" s="39">
        <f>'Biocorrect-Agile'!G166+'Biocorrect-GP'!G166+'Clinic 3'!G124+'Clinic 4'!G124+'Clinic 5'!G124+'Clinic 6'!G124+'Clinic 7'!G124+'Clinic 8'!G124+'Clinic 9'!G124+'Clinic 10'!G124+'Clinic 11'!G124+'Clinic 12'!G124+'Clinic 13'!G124+'Clinic 14'!G124+'Clinic 15'!G124</f>
        <v>0</v>
      </c>
      <c r="H166" s="39">
        <f>'Biocorrect-Agile'!H166+'Biocorrect-GP'!H166+'Clinic 3'!H124+'Clinic 4'!H124+'Clinic 5'!H124+'Clinic 6'!H124+'Clinic 7'!H124+'Clinic 8'!H124+'Clinic 9'!H124+'Clinic 10'!H124+'Clinic 11'!H124+'Clinic 12'!H124+'Clinic 13'!H124+'Clinic 14'!H124+'Clinic 15'!H124</f>
        <v>0</v>
      </c>
      <c r="I166" s="39">
        <f>'Biocorrect-Agile'!I166+'Biocorrect-GP'!I166+'Clinic 3'!I124+'Clinic 4'!I124+'Clinic 5'!I124+'Clinic 6'!I124+'Clinic 7'!I124+'Clinic 8'!I124+'Clinic 9'!I124+'Clinic 10'!I124+'Clinic 11'!I124+'Clinic 12'!I124+'Clinic 13'!I124+'Clinic 14'!I124+'Clinic 15'!I124</f>
        <v>0</v>
      </c>
      <c r="J166" s="39">
        <f t="shared" si="16"/>
        <v>0</v>
      </c>
      <c r="O166" s="183" t="s">
        <v>62</v>
      </c>
    </row>
    <row r="167" spans="1:16" x14ac:dyDescent="0.25">
      <c r="A167" s="1" t="s">
        <v>29</v>
      </c>
      <c r="B167" s="39">
        <f>'Biocorrect-Agile'!B167+'Biocorrect-GP'!B167+'Clinic 3'!B125+'Clinic 4'!B125+'Clinic 5'!B125+'Clinic 6'!B125+'Clinic 7'!B125+'Clinic 8'!B125+'Clinic 9'!B125+'Clinic 10'!B125+'Clinic 11'!B125+'Clinic 12'!B125+'Clinic 13'!B125+'Clinic 14'!B125+'Clinic 15'!B125</f>
        <v>0</v>
      </c>
      <c r="C167" s="39">
        <f>'Biocorrect-Agile'!C167+'Biocorrect-GP'!C167+'Clinic 3'!C125+'Clinic 4'!C125+'Clinic 5'!C125+'Clinic 6'!C125+'Clinic 7'!C125+'Clinic 8'!C125+'Clinic 9'!C125+'Clinic 10'!C125+'Clinic 11'!C125+'Clinic 12'!C125+'Clinic 13'!C125+'Clinic 14'!C125+'Clinic 15'!C125</f>
        <v>0</v>
      </c>
      <c r="D167" s="39">
        <f>'Biocorrect-Agile'!D167+'Biocorrect-GP'!D167+'Clinic 3'!D125+'Clinic 4'!D125+'Clinic 5'!D125+'Clinic 6'!D125+'Clinic 7'!D125+'Clinic 8'!D125+'Clinic 9'!D125+'Clinic 10'!D125+'Clinic 11'!D125+'Clinic 12'!D125+'Clinic 13'!D125+'Clinic 14'!D125+'Clinic 15'!D125</f>
        <v>0</v>
      </c>
      <c r="E167" s="39">
        <f>'Biocorrect-Agile'!E167+'Biocorrect-GP'!E167+'Clinic 3'!E125+'Clinic 4'!E125+'Clinic 5'!E125+'Clinic 6'!E125+'Clinic 7'!E125+'Clinic 8'!E125+'Clinic 9'!E125+'Clinic 10'!E125+'Clinic 11'!E125+'Clinic 12'!E125+'Clinic 13'!E125+'Clinic 14'!E125+'Clinic 15'!E125</f>
        <v>0</v>
      </c>
      <c r="F167" s="39">
        <f>'Biocorrect-Agile'!F167+'Biocorrect-GP'!F167+'Clinic 3'!F125+'Clinic 4'!F125+'Clinic 5'!F125+'Clinic 6'!F125+'Clinic 7'!F125+'Clinic 8'!F125+'Clinic 9'!F125+'Clinic 10'!F125+'Clinic 11'!F125+'Clinic 12'!F125+'Clinic 13'!F125+'Clinic 14'!F125+'Clinic 15'!F125</f>
        <v>0</v>
      </c>
      <c r="G167" s="39">
        <f>'Biocorrect-Agile'!G167+'Biocorrect-GP'!G167+'Clinic 3'!G125+'Clinic 4'!G125+'Clinic 5'!G125+'Clinic 6'!G125+'Clinic 7'!G125+'Clinic 8'!G125+'Clinic 9'!G125+'Clinic 10'!G125+'Clinic 11'!G125+'Clinic 12'!G125+'Clinic 13'!G125+'Clinic 14'!G125+'Clinic 15'!G125</f>
        <v>0</v>
      </c>
      <c r="H167" s="39">
        <f>'Biocorrect-Agile'!H167+'Biocorrect-GP'!H167+'Clinic 3'!H125+'Clinic 4'!H125+'Clinic 5'!H125+'Clinic 6'!H125+'Clinic 7'!H125+'Clinic 8'!H125+'Clinic 9'!H125+'Clinic 10'!H125+'Clinic 11'!H125+'Clinic 12'!H125+'Clinic 13'!H125+'Clinic 14'!H125+'Clinic 15'!H125</f>
        <v>0</v>
      </c>
      <c r="I167" s="39">
        <f>'Biocorrect-Agile'!I167+'Biocorrect-GP'!I167+'Clinic 3'!I125+'Clinic 4'!I125+'Clinic 5'!I125+'Clinic 6'!I125+'Clinic 7'!I125+'Clinic 8'!I125+'Clinic 9'!I125+'Clinic 10'!I125+'Clinic 11'!I125+'Clinic 12'!I125+'Clinic 13'!I125+'Clinic 14'!I125+'Clinic 15'!I125</f>
        <v>0</v>
      </c>
      <c r="J167" s="39">
        <f t="shared" si="16"/>
        <v>0</v>
      </c>
      <c r="O167" s="183"/>
    </row>
    <row r="168" spans="1:16" x14ac:dyDescent="0.25">
      <c r="A168" s="1" t="s">
        <v>52</v>
      </c>
      <c r="B168" s="39">
        <f>'Biocorrect-Agile'!B168+'Biocorrect-GP'!B168+'Clinic 3'!B126+'Clinic 4'!B126+'Clinic 5'!B126+'Clinic 6'!B126+'Clinic 7'!B126+'Clinic 8'!B126+'Clinic 9'!B126+'Clinic 10'!B126+'Clinic 11'!B126+'Clinic 12'!B126+'Clinic 13'!B126+'Clinic 14'!B126+'Clinic 15'!B126</f>
        <v>0</v>
      </c>
      <c r="C168" s="39">
        <f>'Biocorrect-Agile'!C168+'Biocorrect-GP'!C168+'Clinic 3'!C126+'Clinic 4'!C126+'Clinic 5'!C126+'Clinic 6'!C126+'Clinic 7'!C126+'Clinic 8'!C126+'Clinic 9'!C126+'Clinic 10'!C126+'Clinic 11'!C126+'Clinic 12'!C126+'Clinic 13'!C126+'Clinic 14'!C126+'Clinic 15'!C126</f>
        <v>0</v>
      </c>
      <c r="D168" s="39">
        <f>'Biocorrect-Agile'!D168+'Biocorrect-GP'!D168+'Clinic 3'!D126+'Clinic 4'!D126+'Clinic 5'!D126+'Clinic 6'!D126+'Clinic 7'!D126+'Clinic 8'!D126+'Clinic 9'!D126+'Clinic 10'!D126+'Clinic 11'!D126+'Clinic 12'!D126+'Clinic 13'!D126+'Clinic 14'!D126+'Clinic 15'!D126</f>
        <v>0</v>
      </c>
      <c r="E168" s="39">
        <f>'Biocorrect-Agile'!E168+'Biocorrect-GP'!E168+'Clinic 3'!E126+'Clinic 4'!E126+'Clinic 5'!E126+'Clinic 6'!E126+'Clinic 7'!E126+'Clinic 8'!E126+'Clinic 9'!E126+'Clinic 10'!E126+'Clinic 11'!E126+'Clinic 12'!E126+'Clinic 13'!E126+'Clinic 14'!E126+'Clinic 15'!E126</f>
        <v>0</v>
      </c>
      <c r="F168" s="39">
        <f>'Biocorrect-Agile'!F168+'Biocorrect-GP'!F168+'Clinic 3'!F126+'Clinic 4'!F126+'Clinic 5'!F126+'Clinic 6'!F126+'Clinic 7'!F126+'Clinic 8'!F126+'Clinic 9'!F126+'Clinic 10'!F126+'Clinic 11'!F126+'Clinic 12'!F126+'Clinic 13'!F126+'Clinic 14'!F126+'Clinic 15'!F126</f>
        <v>0</v>
      </c>
      <c r="G168" s="39">
        <f>'Biocorrect-Agile'!G168+'Biocorrect-GP'!G168+'Clinic 3'!G126+'Clinic 4'!G126+'Clinic 5'!G126+'Clinic 6'!G126+'Clinic 7'!G126+'Clinic 8'!G126+'Clinic 9'!G126+'Clinic 10'!G126+'Clinic 11'!G126+'Clinic 12'!G126+'Clinic 13'!G126+'Clinic 14'!G126+'Clinic 15'!G126</f>
        <v>0</v>
      </c>
      <c r="H168" s="39">
        <f>'Biocorrect-Agile'!H168+'Biocorrect-GP'!H168+'Clinic 3'!H126+'Clinic 4'!H126+'Clinic 5'!H126+'Clinic 6'!H126+'Clinic 7'!H126+'Clinic 8'!H126+'Clinic 9'!H126+'Clinic 10'!H126+'Clinic 11'!H126+'Clinic 12'!H126+'Clinic 13'!H126+'Clinic 14'!H126+'Clinic 15'!H126</f>
        <v>0</v>
      </c>
      <c r="I168" s="39">
        <f>'Biocorrect-Agile'!I168+'Biocorrect-GP'!I168+'Clinic 3'!I126+'Clinic 4'!I126+'Clinic 5'!I126+'Clinic 6'!I126+'Clinic 7'!I126+'Clinic 8'!I126+'Clinic 9'!I126+'Clinic 10'!I126+'Clinic 11'!I126+'Clinic 12'!I126+'Clinic 13'!I126+'Clinic 14'!I126+'Clinic 15'!I126</f>
        <v>0</v>
      </c>
      <c r="J168" s="39">
        <f t="shared" si="16"/>
        <v>0</v>
      </c>
      <c r="N168" s="35" t="s">
        <v>278</v>
      </c>
      <c r="O168" s="183" t="s">
        <v>63</v>
      </c>
    </row>
    <row r="169" spans="1:16" x14ac:dyDescent="0.25">
      <c r="A169" s="1" t="s">
        <v>1</v>
      </c>
      <c r="B169" s="39">
        <f>'Biocorrect-Agile'!B169+'Biocorrect-GP'!B169+'Clinic 3'!B127+'Clinic 4'!B127+'Clinic 5'!B127+'Clinic 6'!B127+'Clinic 7'!B127+'Clinic 8'!B127+'Clinic 9'!B127+'Clinic 10'!B127+'Clinic 11'!B127+'Clinic 12'!B127+'Clinic 13'!B127+'Clinic 14'!B127+'Clinic 15'!B127</f>
        <v>0</v>
      </c>
      <c r="C169" s="39">
        <f>'Biocorrect-Agile'!C169+'Biocorrect-GP'!C169+'Clinic 3'!C127+'Clinic 4'!C127+'Clinic 5'!C127+'Clinic 6'!C127+'Clinic 7'!C127+'Clinic 8'!C127+'Clinic 9'!C127+'Clinic 10'!C127+'Clinic 11'!C127+'Clinic 12'!C127+'Clinic 13'!C127+'Clinic 14'!C127+'Clinic 15'!C127</f>
        <v>0</v>
      </c>
      <c r="D169" s="39">
        <f>'Biocorrect-Agile'!D169+'Biocorrect-GP'!D169+'Clinic 3'!D127+'Clinic 4'!D127+'Clinic 5'!D127+'Clinic 6'!D127+'Clinic 7'!D127+'Clinic 8'!D127+'Clinic 9'!D127+'Clinic 10'!D127+'Clinic 11'!D127+'Clinic 12'!D127+'Clinic 13'!D127+'Clinic 14'!D127+'Clinic 15'!D127</f>
        <v>0</v>
      </c>
      <c r="E169" s="39">
        <f>'Biocorrect-Agile'!E169+'Biocorrect-GP'!E169+'Clinic 3'!E127+'Clinic 4'!E127+'Clinic 5'!E127+'Clinic 6'!E127+'Clinic 7'!E127+'Clinic 8'!E127+'Clinic 9'!E127+'Clinic 10'!E127+'Clinic 11'!E127+'Clinic 12'!E127+'Clinic 13'!E127+'Clinic 14'!E127+'Clinic 15'!E127</f>
        <v>0</v>
      </c>
      <c r="F169" s="39">
        <f>'Biocorrect-Agile'!F169+'Biocorrect-GP'!F169+'Clinic 3'!F127+'Clinic 4'!F127+'Clinic 5'!F127+'Clinic 6'!F127+'Clinic 7'!F127+'Clinic 8'!F127+'Clinic 9'!F127+'Clinic 10'!F127+'Clinic 11'!F127+'Clinic 12'!F127+'Clinic 13'!F127+'Clinic 14'!F127+'Clinic 15'!F127</f>
        <v>0</v>
      </c>
      <c r="G169" s="39">
        <f>'Biocorrect-Agile'!G169+'Biocorrect-GP'!G169+'Clinic 3'!G127+'Clinic 4'!G127+'Clinic 5'!G127+'Clinic 6'!G127+'Clinic 7'!G127+'Clinic 8'!G127+'Clinic 9'!G127+'Clinic 10'!G127+'Clinic 11'!G127+'Clinic 12'!G127+'Clinic 13'!G127+'Clinic 14'!G127+'Clinic 15'!G127</f>
        <v>0</v>
      </c>
      <c r="H169" s="39">
        <f>'Biocorrect-Agile'!H169+'Biocorrect-GP'!H169+'Clinic 3'!H127+'Clinic 4'!H127+'Clinic 5'!H127+'Clinic 6'!H127+'Clinic 7'!H127+'Clinic 8'!H127+'Clinic 9'!H127+'Clinic 10'!H127+'Clinic 11'!H127+'Clinic 12'!H127+'Clinic 13'!H127+'Clinic 14'!H127+'Clinic 15'!H127</f>
        <v>0</v>
      </c>
      <c r="I169" s="39">
        <f>'Biocorrect-Agile'!I169+'Biocorrect-GP'!I169+'Clinic 3'!I127+'Clinic 4'!I127+'Clinic 5'!I127+'Clinic 6'!I127+'Clinic 7'!I127+'Clinic 8'!I127+'Clinic 9'!I127+'Clinic 10'!I127+'Clinic 11'!I127+'Clinic 12'!I127+'Clinic 13'!I127+'Clinic 14'!I127+'Clinic 15'!I127</f>
        <v>0</v>
      </c>
      <c r="J169" s="39">
        <f t="shared" si="16"/>
        <v>0</v>
      </c>
      <c r="N169" s="42" t="s">
        <v>61</v>
      </c>
      <c r="O169" s="184"/>
    </row>
    <row r="170" spans="1:16" x14ac:dyDescent="0.25">
      <c r="A170" s="4"/>
      <c r="B170" s="66">
        <f>SUM(B153:B169)</f>
        <v>0</v>
      </c>
      <c r="C170" s="66">
        <f t="shared" ref="C170:I170" si="17">SUM(C153:C169)</f>
        <v>0</v>
      </c>
      <c r="D170" s="66">
        <f t="shared" si="17"/>
        <v>282.54382800000008</v>
      </c>
      <c r="E170" s="66">
        <f t="shared" si="17"/>
        <v>1225.9013600000001</v>
      </c>
      <c r="F170" s="66">
        <f t="shared" si="17"/>
        <v>547.63254000000006</v>
      </c>
      <c r="G170" s="66">
        <f t="shared" si="17"/>
        <v>1098.9976000000001</v>
      </c>
      <c r="H170" s="66">
        <f t="shared" si="17"/>
        <v>1564.3450399999999</v>
      </c>
      <c r="I170" s="66">
        <f t="shared" si="17"/>
        <v>952.77408000000014</v>
      </c>
      <c r="J170" s="66">
        <f>ROUND(SUM(J153:J169),2)</f>
        <v>5672.19</v>
      </c>
      <c r="L170" s="7">
        <f>'Biocorrect-Agile'!J170+'Biocorrect-GP'!J170</f>
        <v>5672.1944480000002</v>
      </c>
      <c r="M170" s="7">
        <f>J170-L170</f>
        <v>-4.4480000005933107E-3</v>
      </c>
      <c r="N170" s="108">
        <f>'Biocorrect-Agile'!J170+'Biocorrect-GP'!J170</f>
        <v>5672.1944480000002</v>
      </c>
      <c r="O170" s="7">
        <f>J170-N170</f>
        <v>-4.4480000005933107E-3</v>
      </c>
      <c r="P170" s="110" t="s">
        <v>1019</v>
      </c>
    </row>
    <row r="171" spans="1:16" ht="15.75" thickBot="1" x14ac:dyDescent="0.3">
      <c r="A171" s="4"/>
      <c r="B171" s="39"/>
      <c r="C171" s="39"/>
      <c r="D171" s="39"/>
      <c r="E171" s="39"/>
      <c r="F171" s="39"/>
      <c r="G171" s="39"/>
      <c r="H171" s="39"/>
      <c r="I171" s="39"/>
      <c r="J171" s="39"/>
      <c r="N171" s="31"/>
    </row>
    <row r="172" spans="1:16" ht="15.75" thickBot="1" x14ac:dyDescent="0.3">
      <c r="A172" s="170" t="s">
        <v>30</v>
      </c>
      <c r="B172" s="171"/>
      <c r="C172" s="171"/>
      <c r="D172" s="171"/>
      <c r="E172" s="171"/>
      <c r="F172" s="171"/>
      <c r="G172" s="171"/>
      <c r="H172" s="171"/>
      <c r="I172" s="171"/>
      <c r="J172" s="172"/>
    </row>
    <row r="173" spans="1:16" x14ac:dyDescent="0.25">
      <c r="A173" s="4" t="s">
        <v>16</v>
      </c>
      <c r="B173" s="5" t="s">
        <v>15</v>
      </c>
      <c r="C173" s="5" t="s">
        <v>14</v>
      </c>
      <c r="D173" s="5" t="s">
        <v>13</v>
      </c>
      <c r="E173" s="5" t="s">
        <v>12</v>
      </c>
      <c r="F173" s="5" t="s">
        <v>93</v>
      </c>
      <c r="G173" s="5" t="s">
        <v>94</v>
      </c>
      <c r="H173" s="5" t="s">
        <v>38</v>
      </c>
      <c r="I173" s="5" t="s">
        <v>9</v>
      </c>
      <c r="J173" s="5" t="s">
        <v>0</v>
      </c>
    </row>
    <row r="174" spans="1:16" x14ac:dyDescent="0.25">
      <c r="A174" s="1" t="s">
        <v>49</v>
      </c>
      <c r="B174" s="39">
        <f>B112-B153</f>
        <v>0</v>
      </c>
      <c r="C174" s="39">
        <f t="shared" ref="C174:I174" si="18">C112-C153</f>
        <v>0</v>
      </c>
      <c r="D174" s="39">
        <f t="shared" si="18"/>
        <v>0</v>
      </c>
      <c r="E174" s="39">
        <f t="shared" si="18"/>
        <v>0</v>
      </c>
      <c r="F174" s="39">
        <f t="shared" si="18"/>
        <v>0</v>
      </c>
      <c r="G174" s="39">
        <f t="shared" si="18"/>
        <v>0</v>
      </c>
      <c r="H174" s="39">
        <f t="shared" si="18"/>
        <v>0</v>
      </c>
      <c r="I174" s="39">
        <f t="shared" si="18"/>
        <v>0</v>
      </c>
      <c r="J174" s="39">
        <f>SUM(B174:I174)</f>
        <v>0</v>
      </c>
    </row>
    <row r="175" spans="1:16" x14ac:dyDescent="0.25">
      <c r="A175" s="1" t="s">
        <v>8</v>
      </c>
      <c r="B175" s="39">
        <f t="shared" ref="B175:I190" si="19">B113-B154</f>
        <v>386.64</v>
      </c>
      <c r="C175" s="39">
        <f t="shared" si="19"/>
        <v>773.28</v>
      </c>
      <c r="D175" s="39">
        <f t="shared" si="19"/>
        <v>0</v>
      </c>
      <c r="E175" s="39">
        <f t="shared" si="19"/>
        <v>0</v>
      </c>
      <c r="F175" s="39">
        <f t="shared" si="19"/>
        <v>0</v>
      </c>
      <c r="G175" s="39">
        <f t="shared" si="19"/>
        <v>0</v>
      </c>
      <c r="H175" s="39">
        <f t="shared" si="19"/>
        <v>0</v>
      </c>
      <c r="I175" s="39">
        <f t="shared" si="19"/>
        <v>0</v>
      </c>
      <c r="J175" s="39">
        <f t="shared" ref="J175:J190" si="20">SUM(B175:I175)</f>
        <v>1159.92</v>
      </c>
    </row>
    <row r="176" spans="1:16" x14ac:dyDescent="0.25">
      <c r="A176" s="1" t="s">
        <v>7</v>
      </c>
      <c r="B176" s="39">
        <f t="shared" si="19"/>
        <v>5186.7</v>
      </c>
      <c r="C176" s="39">
        <f t="shared" si="19"/>
        <v>826.2</v>
      </c>
      <c r="D176" s="39">
        <f t="shared" si="19"/>
        <v>0</v>
      </c>
      <c r="E176" s="39">
        <f t="shared" si="19"/>
        <v>0</v>
      </c>
      <c r="F176" s="39">
        <f t="shared" si="19"/>
        <v>0</v>
      </c>
      <c r="G176" s="39">
        <f t="shared" si="19"/>
        <v>0</v>
      </c>
      <c r="H176" s="39">
        <f t="shared" si="19"/>
        <v>0</v>
      </c>
      <c r="I176" s="39">
        <f t="shared" si="19"/>
        <v>0</v>
      </c>
      <c r="J176" s="39">
        <f t="shared" si="20"/>
        <v>6012.9</v>
      </c>
    </row>
    <row r="177" spans="1:13" x14ac:dyDescent="0.25">
      <c r="A177" s="1" t="s">
        <v>42</v>
      </c>
      <c r="B177" s="39">
        <f t="shared" si="19"/>
        <v>0</v>
      </c>
      <c r="C177" s="39">
        <f t="shared" si="19"/>
        <v>0</v>
      </c>
      <c r="D177" s="39">
        <f t="shared" si="19"/>
        <v>0</v>
      </c>
      <c r="E177" s="39">
        <f t="shared" si="19"/>
        <v>0</v>
      </c>
      <c r="F177" s="39">
        <f t="shared" si="19"/>
        <v>0</v>
      </c>
      <c r="G177" s="39">
        <f t="shared" si="19"/>
        <v>0</v>
      </c>
      <c r="H177" s="39">
        <f t="shared" si="19"/>
        <v>0</v>
      </c>
      <c r="I177" s="39">
        <f t="shared" si="19"/>
        <v>0</v>
      </c>
      <c r="J177" s="39">
        <f t="shared" si="20"/>
        <v>0</v>
      </c>
    </row>
    <row r="178" spans="1:13" x14ac:dyDescent="0.25">
      <c r="A178" s="1" t="s">
        <v>6</v>
      </c>
      <c r="B178" s="39">
        <f t="shared" si="19"/>
        <v>317.52</v>
      </c>
      <c r="C178" s="39">
        <f t="shared" si="19"/>
        <v>0</v>
      </c>
      <c r="D178" s="39">
        <f t="shared" si="19"/>
        <v>0</v>
      </c>
      <c r="E178" s="39">
        <f t="shared" si="19"/>
        <v>0</v>
      </c>
      <c r="F178" s="39">
        <f t="shared" si="19"/>
        <v>0</v>
      </c>
      <c r="G178" s="39">
        <f t="shared" si="19"/>
        <v>0</v>
      </c>
      <c r="H178" s="39">
        <f t="shared" si="19"/>
        <v>0</v>
      </c>
      <c r="I178" s="39">
        <f t="shared" si="19"/>
        <v>0</v>
      </c>
      <c r="J178" s="39">
        <f t="shared" si="20"/>
        <v>317.52</v>
      </c>
    </row>
    <row r="179" spans="1:13" x14ac:dyDescent="0.25">
      <c r="A179" s="1" t="s">
        <v>50</v>
      </c>
      <c r="B179" s="39">
        <f t="shared" si="19"/>
        <v>0</v>
      </c>
      <c r="C179" s="39">
        <f t="shared" si="19"/>
        <v>0</v>
      </c>
      <c r="D179" s="39">
        <f t="shared" si="19"/>
        <v>0</v>
      </c>
      <c r="E179" s="39">
        <f t="shared" si="19"/>
        <v>0</v>
      </c>
      <c r="F179" s="39">
        <f t="shared" si="19"/>
        <v>0</v>
      </c>
      <c r="G179" s="39">
        <f t="shared" si="19"/>
        <v>0</v>
      </c>
      <c r="H179" s="39">
        <f t="shared" si="19"/>
        <v>0</v>
      </c>
      <c r="I179" s="39">
        <f t="shared" si="19"/>
        <v>0</v>
      </c>
      <c r="J179" s="39">
        <f t="shared" si="20"/>
        <v>0</v>
      </c>
    </row>
    <row r="180" spans="1:13" x14ac:dyDescent="0.25">
      <c r="A180" s="1" t="s">
        <v>89</v>
      </c>
      <c r="B180" s="39">
        <f t="shared" si="19"/>
        <v>0</v>
      </c>
      <c r="C180" s="39">
        <f t="shared" si="19"/>
        <v>0</v>
      </c>
      <c r="D180" s="39">
        <f t="shared" si="19"/>
        <v>0</v>
      </c>
      <c r="E180" s="39">
        <f t="shared" si="19"/>
        <v>0</v>
      </c>
      <c r="F180" s="39">
        <f t="shared" si="19"/>
        <v>0</v>
      </c>
      <c r="G180" s="39">
        <f t="shared" si="19"/>
        <v>0</v>
      </c>
      <c r="H180" s="39">
        <f t="shared" si="19"/>
        <v>0</v>
      </c>
      <c r="I180" s="39">
        <f t="shared" si="19"/>
        <v>0</v>
      </c>
      <c r="J180" s="39">
        <f t="shared" si="20"/>
        <v>0</v>
      </c>
    </row>
    <row r="181" spans="1:13" x14ac:dyDescent="0.25">
      <c r="A181" s="1" t="s">
        <v>5</v>
      </c>
      <c r="B181" s="39">
        <f t="shared" si="19"/>
        <v>0</v>
      </c>
      <c r="C181" s="39">
        <f t="shared" si="19"/>
        <v>0</v>
      </c>
      <c r="D181" s="39">
        <f t="shared" si="19"/>
        <v>0</v>
      </c>
      <c r="E181" s="39">
        <f t="shared" si="19"/>
        <v>0</v>
      </c>
      <c r="F181" s="39">
        <f t="shared" si="19"/>
        <v>0</v>
      </c>
      <c r="G181" s="39">
        <f t="shared" si="19"/>
        <v>0</v>
      </c>
      <c r="H181" s="39">
        <f t="shared" si="19"/>
        <v>0</v>
      </c>
      <c r="I181" s="39">
        <f t="shared" si="19"/>
        <v>0</v>
      </c>
      <c r="J181" s="39">
        <f t="shared" si="20"/>
        <v>0</v>
      </c>
    </row>
    <row r="182" spans="1:13" x14ac:dyDescent="0.25">
      <c r="A182" s="1" t="s">
        <v>84</v>
      </c>
      <c r="B182" s="39">
        <f t="shared" si="19"/>
        <v>0</v>
      </c>
      <c r="C182" s="39">
        <f t="shared" si="19"/>
        <v>0</v>
      </c>
      <c r="D182" s="39">
        <f t="shared" si="19"/>
        <v>0</v>
      </c>
      <c r="E182" s="39">
        <f t="shared" si="19"/>
        <v>0</v>
      </c>
      <c r="F182" s="39">
        <f t="shared" si="19"/>
        <v>0</v>
      </c>
      <c r="G182" s="39">
        <f t="shared" si="19"/>
        <v>0</v>
      </c>
      <c r="H182" s="39">
        <f t="shared" si="19"/>
        <v>0</v>
      </c>
      <c r="I182" s="39">
        <f t="shared" si="19"/>
        <v>0</v>
      </c>
      <c r="J182" s="39">
        <f t="shared" si="20"/>
        <v>0</v>
      </c>
    </row>
    <row r="183" spans="1:13" x14ac:dyDescent="0.25">
      <c r="A183" s="1" t="s">
        <v>4</v>
      </c>
      <c r="B183" s="39">
        <f t="shared" si="19"/>
        <v>94.175999999999988</v>
      </c>
      <c r="C183" s="39">
        <f t="shared" si="19"/>
        <v>0</v>
      </c>
      <c r="D183" s="39">
        <f t="shared" si="19"/>
        <v>0</v>
      </c>
      <c r="E183" s="39">
        <f t="shared" si="19"/>
        <v>0</v>
      </c>
      <c r="F183" s="39">
        <f t="shared" si="19"/>
        <v>0</v>
      </c>
      <c r="G183" s="39">
        <f t="shared" si="19"/>
        <v>0</v>
      </c>
      <c r="H183" s="39">
        <f t="shared" si="19"/>
        <v>0</v>
      </c>
      <c r="I183" s="39">
        <f t="shared" si="19"/>
        <v>0</v>
      </c>
      <c r="J183" s="39">
        <f t="shared" si="20"/>
        <v>94.175999999999988</v>
      </c>
    </row>
    <row r="184" spans="1:13" x14ac:dyDescent="0.25">
      <c r="A184" s="1" t="s">
        <v>51</v>
      </c>
      <c r="B184" s="39">
        <f t="shared" si="19"/>
        <v>297.64799999999997</v>
      </c>
      <c r="C184" s="39">
        <f t="shared" si="19"/>
        <v>0</v>
      </c>
      <c r="D184" s="39">
        <f t="shared" si="19"/>
        <v>0</v>
      </c>
      <c r="E184" s="39">
        <f t="shared" si="19"/>
        <v>0</v>
      </c>
      <c r="F184" s="39">
        <f t="shared" si="19"/>
        <v>0</v>
      </c>
      <c r="G184" s="39">
        <f t="shared" si="19"/>
        <v>0</v>
      </c>
      <c r="H184" s="39">
        <f t="shared" si="19"/>
        <v>0</v>
      </c>
      <c r="I184" s="39">
        <f t="shared" si="19"/>
        <v>0</v>
      </c>
      <c r="J184" s="39">
        <f t="shared" si="20"/>
        <v>297.64799999999997</v>
      </c>
    </row>
    <row r="185" spans="1:13" x14ac:dyDescent="0.25">
      <c r="A185" s="1" t="s">
        <v>85</v>
      </c>
      <c r="B185" s="39">
        <f t="shared" si="19"/>
        <v>0</v>
      </c>
      <c r="C185" s="39">
        <f t="shared" si="19"/>
        <v>0</v>
      </c>
      <c r="D185" s="39">
        <f t="shared" si="19"/>
        <v>0</v>
      </c>
      <c r="E185" s="39">
        <f t="shared" si="19"/>
        <v>0</v>
      </c>
      <c r="F185" s="39">
        <f t="shared" si="19"/>
        <v>0</v>
      </c>
      <c r="G185" s="39">
        <f t="shared" si="19"/>
        <v>0</v>
      </c>
      <c r="H185" s="39">
        <f t="shared" si="19"/>
        <v>0</v>
      </c>
      <c r="I185" s="39">
        <f t="shared" si="19"/>
        <v>0</v>
      </c>
      <c r="J185" s="39">
        <f t="shared" si="20"/>
        <v>0</v>
      </c>
    </row>
    <row r="186" spans="1:13" x14ac:dyDescent="0.25">
      <c r="A186" s="1" t="s">
        <v>2</v>
      </c>
      <c r="B186" s="39">
        <f t="shared" si="19"/>
        <v>1030.3773599999997</v>
      </c>
      <c r="C186" s="39">
        <f t="shared" si="19"/>
        <v>3348.7191399999997</v>
      </c>
      <c r="D186" s="39">
        <f t="shared" si="19"/>
        <v>2542.8944520000005</v>
      </c>
      <c r="E186" s="39">
        <f t="shared" si="19"/>
        <v>1225.9013600000001</v>
      </c>
      <c r="F186" s="39">
        <f t="shared" si="19"/>
        <v>0</v>
      </c>
      <c r="G186" s="39">
        <f t="shared" si="19"/>
        <v>0</v>
      </c>
      <c r="H186" s="39">
        <f t="shared" si="19"/>
        <v>0</v>
      </c>
      <c r="I186" s="39">
        <f t="shared" si="19"/>
        <v>0</v>
      </c>
      <c r="J186" s="39">
        <f t="shared" si="20"/>
        <v>8147.8923119999999</v>
      </c>
    </row>
    <row r="187" spans="1:13" x14ac:dyDescent="0.25">
      <c r="A187" s="1" t="s">
        <v>86</v>
      </c>
      <c r="B187" s="39">
        <f t="shared" si="19"/>
        <v>0</v>
      </c>
      <c r="C187" s="39">
        <f t="shared" si="19"/>
        <v>0</v>
      </c>
      <c r="D187" s="39">
        <f t="shared" si="19"/>
        <v>0</v>
      </c>
      <c r="E187" s="39">
        <f t="shared" si="19"/>
        <v>0</v>
      </c>
      <c r="F187" s="39">
        <f t="shared" si="19"/>
        <v>0</v>
      </c>
      <c r="G187" s="39">
        <f t="shared" si="19"/>
        <v>0</v>
      </c>
      <c r="H187" s="39">
        <f t="shared" si="19"/>
        <v>0</v>
      </c>
      <c r="I187" s="39">
        <f t="shared" si="19"/>
        <v>0</v>
      </c>
      <c r="J187" s="39">
        <f t="shared" si="20"/>
        <v>0</v>
      </c>
    </row>
    <row r="188" spans="1:13" x14ac:dyDescent="0.25">
      <c r="A188" s="1" t="s">
        <v>29</v>
      </c>
      <c r="B188" s="39">
        <f t="shared" si="19"/>
        <v>0</v>
      </c>
      <c r="C188" s="39">
        <f t="shared" si="19"/>
        <v>0</v>
      </c>
      <c r="D188" s="39">
        <f t="shared" si="19"/>
        <v>0</v>
      </c>
      <c r="E188" s="39">
        <f t="shared" si="19"/>
        <v>0</v>
      </c>
      <c r="F188" s="39">
        <f t="shared" si="19"/>
        <v>0</v>
      </c>
      <c r="G188" s="39">
        <f t="shared" si="19"/>
        <v>0</v>
      </c>
      <c r="H188" s="39">
        <f t="shared" si="19"/>
        <v>0</v>
      </c>
      <c r="I188" s="39">
        <f t="shared" si="19"/>
        <v>0</v>
      </c>
      <c r="J188" s="39">
        <f t="shared" si="20"/>
        <v>0</v>
      </c>
    </row>
    <row r="189" spans="1:13" x14ac:dyDescent="0.25">
      <c r="A189" s="1" t="s">
        <v>52</v>
      </c>
      <c r="B189" s="39">
        <f t="shared" si="19"/>
        <v>0</v>
      </c>
      <c r="C189" s="39">
        <f t="shared" si="19"/>
        <v>0</v>
      </c>
      <c r="D189" s="39">
        <f t="shared" si="19"/>
        <v>0</v>
      </c>
      <c r="E189" s="39">
        <f t="shared" si="19"/>
        <v>0</v>
      </c>
      <c r="F189" s="39">
        <f t="shared" si="19"/>
        <v>0</v>
      </c>
      <c r="G189" s="39">
        <f t="shared" si="19"/>
        <v>0</v>
      </c>
      <c r="H189" s="39">
        <f t="shared" si="19"/>
        <v>0</v>
      </c>
      <c r="I189" s="39">
        <f t="shared" si="19"/>
        <v>0</v>
      </c>
      <c r="J189" s="39">
        <f t="shared" si="20"/>
        <v>0</v>
      </c>
    </row>
    <row r="190" spans="1:13" x14ac:dyDescent="0.25">
      <c r="A190" s="1" t="s">
        <v>1</v>
      </c>
      <c r="B190" s="39">
        <f t="shared" si="19"/>
        <v>663.3</v>
      </c>
      <c r="C190" s="39">
        <f t="shared" si="19"/>
        <v>0</v>
      </c>
      <c r="D190" s="39">
        <f t="shared" si="19"/>
        <v>539.48399999999992</v>
      </c>
      <c r="E190" s="39">
        <f t="shared" si="19"/>
        <v>0</v>
      </c>
      <c r="F190" s="39">
        <f t="shared" si="19"/>
        <v>0</v>
      </c>
      <c r="G190" s="39">
        <f t="shared" si="19"/>
        <v>0</v>
      </c>
      <c r="H190" s="39">
        <f t="shared" si="19"/>
        <v>0</v>
      </c>
      <c r="I190" s="39">
        <f t="shared" si="19"/>
        <v>0</v>
      </c>
      <c r="J190" s="39">
        <f t="shared" si="20"/>
        <v>1202.7839999999999</v>
      </c>
    </row>
    <row r="191" spans="1:13" x14ac:dyDescent="0.25">
      <c r="A191" s="4"/>
      <c r="B191" s="66">
        <f>SUM(B174:B190)</f>
        <v>7976.3613600000008</v>
      </c>
      <c r="C191" s="66">
        <f t="shared" ref="C191:J191" si="21">SUM(C174:C190)</f>
        <v>4948.1991399999997</v>
      </c>
      <c r="D191" s="66">
        <f t="shared" si="21"/>
        <v>3082.3784520000004</v>
      </c>
      <c r="E191" s="66">
        <f t="shared" si="21"/>
        <v>1225.9013600000001</v>
      </c>
      <c r="F191" s="66">
        <f t="shared" si="21"/>
        <v>0</v>
      </c>
      <c r="G191" s="66">
        <f t="shared" si="21"/>
        <v>0</v>
      </c>
      <c r="H191" s="66">
        <f t="shared" si="21"/>
        <v>0</v>
      </c>
      <c r="I191" s="66">
        <f t="shared" si="21"/>
        <v>0</v>
      </c>
      <c r="J191" s="66">
        <f t="shared" si="21"/>
        <v>17232.840312</v>
      </c>
      <c r="L191" s="7">
        <f>'Biocorrect-Agile'!J191+'Biocorrect-GP'!J191</f>
        <v>17232.840312</v>
      </c>
      <c r="M191" s="7">
        <f>J191-L191</f>
        <v>0</v>
      </c>
    </row>
    <row r="192" spans="1:13" x14ac:dyDescent="0.25">
      <c r="J192" s="145">
        <f>+J191/J67</f>
        <v>0.65402553398854146</v>
      </c>
      <c r="L192" s="7">
        <f>J67-J108-J170</f>
        <v>17232.844760000004</v>
      </c>
      <c r="M192" s="7">
        <f>L191-L192</f>
        <v>-4.4480000033217948E-3</v>
      </c>
    </row>
    <row r="196" spans="1:13" x14ac:dyDescent="0.25">
      <c r="A196" t="s">
        <v>1168</v>
      </c>
      <c r="B196" s="7">
        <f>+B67</f>
        <v>10439.82</v>
      </c>
      <c r="C196" s="7">
        <f t="shared" ref="C196:J196" si="22">+C67</f>
        <v>5299.43</v>
      </c>
      <c r="D196" s="7">
        <f t="shared" si="22"/>
        <v>3561.86</v>
      </c>
      <c r="E196" s="7">
        <f t="shared" si="22"/>
        <v>2452.9</v>
      </c>
      <c r="F196" s="7">
        <f t="shared" si="22"/>
        <v>548.73</v>
      </c>
      <c r="G196" s="7">
        <f t="shared" si="22"/>
        <v>1101.2</v>
      </c>
      <c r="H196" s="7">
        <f t="shared" si="22"/>
        <v>1999.48</v>
      </c>
      <c r="I196" s="7">
        <f t="shared" si="22"/>
        <v>945.46000000000015</v>
      </c>
      <c r="J196" s="7">
        <f t="shared" si="22"/>
        <v>26348.880000000001</v>
      </c>
    </row>
    <row r="197" spans="1:13" x14ac:dyDescent="0.25">
      <c r="A197" t="s">
        <v>1169</v>
      </c>
      <c r="J197" s="2">
        <v>37090.44</v>
      </c>
      <c r="M197" s="156" t="s">
        <v>1176</v>
      </c>
    </row>
    <row r="198" spans="1:13" x14ac:dyDescent="0.25">
      <c r="A198" t="s">
        <v>1170</v>
      </c>
      <c r="J198" s="7">
        <f>+J197-J196</f>
        <v>10741.560000000001</v>
      </c>
    </row>
    <row r="199" spans="1:13" x14ac:dyDescent="0.25">
      <c r="A199" t="s">
        <v>1171</v>
      </c>
      <c r="B199">
        <f>ROUND(B196/$J196,4)</f>
        <v>0.3962</v>
      </c>
      <c r="C199">
        <f t="shared" ref="C199:I199" si="23">ROUND(C196/$J196,4)</f>
        <v>0.2011</v>
      </c>
      <c r="D199">
        <f t="shared" si="23"/>
        <v>0.13519999999999999</v>
      </c>
      <c r="E199">
        <f t="shared" si="23"/>
        <v>9.3100000000000002E-2</v>
      </c>
      <c r="F199">
        <f t="shared" si="23"/>
        <v>2.0799999999999999E-2</v>
      </c>
      <c r="G199">
        <f t="shared" si="23"/>
        <v>4.1799999999999997E-2</v>
      </c>
      <c r="H199">
        <f t="shared" si="23"/>
        <v>7.5899999999999995E-2</v>
      </c>
      <c r="I199">
        <f t="shared" si="23"/>
        <v>3.5900000000000001E-2</v>
      </c>
    </row>
    <row r="200" spans="1:13" x14ac:dyDescent="0.25">
      <c r="A200" t="s">
        <v>1172</v>
      </c>
      <c r="B200" s="2">
        <f>ROUND($J198*B199,2)</f>
        <v>4255.8100000000004</v>
      </c>
      <c r="C200" s="2">
        <f t="shared" ref="C200:I200" si="24">ROUND($J198*C199,2)</f>
        <v>2160.13</v>
      </c>
      <c r="D200" s="2">
        <f t="shared" si="24"/>
        <v>1452.26</v>
      </c>
      <c r="E200" s="2">
        <f t="shared" si="24"/>
        <v>1000.04</v>
      </c>
      <c r="F200" s="2">
        <f t="shared" si="24"/>
        <v>223.42</v>
      </c>
      <c r="G200" s="2">
        <f t="shared" si="24"/>
        <v>449</v>
      </c>
      <c r="H200" s="2">
        <f t="shared" si="24"/>
        <v>815.28</v>
      </c>
      <c r="I200" s="2">
        <f t="shared" si="24"/>
        <v>385.62</v>
      </c>
      <c r="J200" s="2">
        <f>SUM(B200:I200)</f>
        <v>10741.560000000003</v>
      </c>
    </row>
    <row r="201" spans="1:13" ht="15.75" thickBot="1" x14ac:dyDescent="0.3">
      <c r="A201" s="151" t="s">
        <v>1173</v>
      </c>
      <c r="B201" s="152">
        <f>+B196+B200</f>
        <v>14695.630000000001</v>
      </c>
      <c r="C201" s="152">
        <f t="shared" ref="C201:J201" si="25">+C196+C200</f>
        <v>7459.56</v>
      </c>
      <c r="D201" s="152">
        <f t="shared" si="25"/>
        <v>5014.12</v>
      </c>
      <c r="E201" s="152">
        <f t="shared" si="25"/>
        <v>3452.94</v>
      </c>
      <c r="F201" s="152">
        <f t="shared" si="25"/>
        <v>772.15</v>
      </c>
      <c r="G201" s="152">
        <f t="shared" si="25"/>
        <v>1550.2</v>
      </c>
      <c r="H201" s="152">
        <f t="shared" si="25"/>
        <v>2814.76</v>
      </c>
      <c r="I201" s="152">
        <f t="shared" si="25"/>
        <v>1331.0800000000002</v>
      </c>
      <c r="J201" s="152">
        <f t="shared" si="25"/>
        <v>37090.44</v>
      </c>
    </row>
    <row r="202" spans="1:13" ht="15.75" thickTop="1" x14ac:dyDescent="0.25">
      <c r="A202" s="68" t="s">
        <v>1174</v>
      </c>
      <c r="B202" s="154">
        <f>+B201/$J201</f>
        <v>0.39621072168461741</v>
      </c>
      <c r="C202" s="154">
        <f t="shared" ref="C202:J202" si="26">+C201/$J201</f>
        <v>0.20111813178813731</v>
      </c>
      <c r="D202" s="154">
        <f t="shared" si="26"/>
        <v>0.13518631755244748</v>
      </c>
      <c r="E202" s="154">
        <f t="shared" si="26"/>
        <v>9.3095147968047826E-2</v>
      </c>
      <c r="F202" s="154">
        <f t="shared" si="26"/>
        <v>2.0818032894729745E-2</v>
      </c>
      <c r="G202" s="154">
        <f t="shared" si="26"/>
        <v>4.1795136428686201E-2</v>
      </c>
      <c r="H202" s="154">
        <f t="shared" si="26"/>
        <v>7.5889097028776151E-2</v>
      </c>
      <c r="I202" s="154">
        <f t="shared" si="26"/>
        <v>3.5887414654557886E-2</v>
      </c>
      <c r="J202" s="154">
        <f t="shared" si="26"/>
        <v>1</v>
      </c>
    </row>
  </sheetData>
  <mergeCells count="15">
    <mergeCell ref="O166:O167"/>
    <mergeCell ref="O168:O169"/>
    <mergeCell ref="A172:J172"/>
    <mergeCell ref="A89:J89"/>
    <mergeCell ref="A110:J110"/>
    <mergeCell ref="A131:J131"/>
    <mergeCell ref="A151:J151"/>
    <mergeCell ref="A69:J69"/>
    <mergeCell ref="A6:J6"/>
    <mergeCell ref="A1:J1"/>
    <mergeCell ref="A2:J2"/>
    <mergeCell ref="A3:J3"/>
    <mergeCell ref="A4:J4"/>
    <mergeCell ref="A27:J27"/>
    <mergeCell ref="A48:J48"/>
  </mergeCells>
  <pageMargins left="0.7" right="0.7" top="0.75" bottom="0.75" header="0.3" footer="0.3"/>
  <pageSetup scale="2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N25"/>
  <sheetViews>
    <sheetView zoomScale="110" zoomScaleNormal="110" workbookViewId="0">
      <selection sqref="A1:H1"/>
    </sheetView>
  </sheetViews>
  <sheetFormatPr defaultRowHeight="15" x14ac:dyDescent="0.25"/>
  <cols>
    <col min="1" max="1" width="2" bestFit="1" customWidth="1"/>
    <col min="2" max="2" width="62.28515625" bestFit="1" customWidth="1"/>
    <col min="3" max="3" width="12.7109375" customWidth="1"/>
    <col min="4" max="4" width="10.7109375" customWidth="1"/>
    <col min="5" max="5" width="2.7109375" customWidth="1"/>
    <col min="6" max="6" width="12.7109375" customWidth="1"/>
    <col min="7" max="7" width="10.7109375" customWidth="1"/>
  </cols>
  <sheetData>
    <row r="1" spans="1:14" ht="18.75" x14ac:dyDescent="0.3">
      <c r="A1" s="173" t="s">
        <v>17</v>
      </c>
      <c r="B1" s="173"/>
      <c r="C1" s="173"/>
      <c r="D1" s="173"/>
      <c r="E1" s="173"/>
      <c r="F1" s="173"/>
      <c r="G1" s="173"/>
      <c r="H1" s="173"/>
      <c r="I1" s="105"/>
      <c r="J1" s="105"/>
      <c r="K1" s="105"/>
      <c r="L1" s="105"/>
      <c r="M1" s="105"/>
      <c r="N1" s="105"/>
    </row>
    <row r="2" spans="1:14" ht="15.75" x14ac:dyDescent="0.25">
      <c r="A2" s="174" t="str">
        <f>'Company Summary'!A2:J2</f>
        <v>Biocorrect</v>
      </c>
      <c r="B2" s="174"/>
      <c r="C2" s="174"/>
      <c r="D2" s="174"/>
      <c r="E2" s="174"/>
      <c r="F2" s="174"/>
      <c r="G2" s="174"/>
      <c r="H2" s="174"/>
      <c r="I2" s="106"/>
      <c r="J2" s="106"/>
      <c r="K2" s="106"/>
      <c r="L2" s="106"/>
      <c r="M2" s="106"/>
      <c r="N2" s="106"/>
    </row>
    <row r="3" spans="1:14" x14ac:dyDescent="0.25">
      <c r="A3" s="175" t="s">
        <v>257</v>
      </c>
      <c r="B3" s="175"/>
      <c r="C3" s="175"/>
      <c r="D3" s="175"/>
      <c r="E3" s="175"/>
      <c r="F3" s="175"/>
      <c r="G3" s="175"/>
      <c r="H3" s="175"/>
    </row>
    <row r="7" spans="1:14" x14ac:dyDescent="0.25">
      <c r="C7" s="185" t="s">
        <v>245</v>
      </c>
      <c r="D7" s="185"/>
      <c r="E7" s="101"/>
      <c r="F7" s="185" t="s">
        <v>246</v>
      </c>
      <c r="G7" s="185"/>
    </row>
    <row r="8" spans="1:14" ht="15.75" thickBot="1" x14ac:dyDescent="0.3">
      <c r="C8" s="43" t="s">
        <v>251</v>
      </c>
      <c r="D8" s="100" t="s">
        <v>252</v>
      </c>
      <c r="E8" s="102"/>
      <c r="F8" s="43" t="s">
        <v>251</v>
      </c>
      <c r="G8" s="100" t="s">
        <v>252</v>
      </c>
    </row>
    <row r="9" spans="1:14" x14ac:dyDescent="0.25">
      <c r="A9">
        <v>1</v>
      </c>
      <c r="B9" t="s">
        <v>243</v>
      </c>
      <c r="C9" s="42"/>
      <c r="D9" s="117"/>
      <c r="E9" s="103"/>
      <c r="F9" s="42"/>
      <c r="G9" s="116"/>
    </row>
    <row r="10" spans="1:14" x14ac:dyDescent="0.25">
      <c r="B10" s="88" t="s">
        <v>248</v>
      </c>
      <c r="C10" s="42"/>
      <c r="D10" s="117"/>
      <c r="E10" s="103"/>
      <c r="F10" s="42"/>
      <c r="G10" s="116"/>
    </row>
    <row r="11" spans="1:14" x14ac:dyDescent="0.25">
      <c r="A11">
        <v>2</v>
      </c>
      <c r="B11" t="s">
        <v>244</v>
      </c>
      <c r="C11" s="42"/>
      <c r="D11" s="117"/>
      <c r="E11" s="103"/>
      <c r="F11" s="42"/>
      <c r="G11" s="116"/>
    </row>
    <row r="12" spans="1:14" x14ac:dyDescent="0.25">
      <c r="B12" s="88" t="s">
        <v>248</v>
      </c>
      <c r="C12" s="42"/>
      <c r="D12" s="117"/>
      <c r="E12" s="103"/>
      <c r="F12" s="42"/>
      <c r="G12" s="116"/>
    </row>
    <row r="13" spans="1:14" x14ac:dyDescent="0.25">
      <c r="A13">
        <v>3</v>
      </c>
      <c r="B13" t="s">
        <v>247</v>
      </c>
      <c r="C13" s="42"/>
      <c r="D13" s="117"/>
      <c r="E13" s="103"/>
      <c r="F13" s="42"/>
      <c r="G13" s="116"/>
    </row>
    <row r="14" spans="1:14" x14ac:dyDescent="0.25">
      <c r="B14" s="88" t="s">
        <v>248</v>
      </c>
      <c r="C14" s="42"/>
      <c r="D14" s="117"/>
      <c r="E14" s="103"/>
      <c r="F14" s="42"/>
      <c r="G14" s="116"/>
    </row>
    <row r="15" spans="1:14" x14ac:dyDescent="0.25">
      <c r="A15">
        <v>4</v>
      </c>
      <c r="B15" t="s">
        <v>249</v>
      </c>
      <c r="C15" s="42"/>
      <c r="D15" s="117"/>
      <c r="E15" s="103"/>
      <c r="F15" s="42"/>
      <c r="G15" s="116"/>
    </row>
    <row r="16" spans="1:14" x14ac:dyDescent="0.25">
      <c r="B16" s="88" t="s">
        <v>248</v>
      </c>
      <c r="C16" s="42"/>
      <c r="D16" s="117"/>
      <c r="E16" s="103"/>
      <c r="F16" s="42"/>
      <c r="G16" s="116"/>
    </row>
    <row r="17" spans="1:7" x14ac:dyDescent="0.25">
      <c r="A17">
        <v>5</v>
      </c>
      <c r="B17" t="s">
        <v>250</v>
      </c>
      <c r="C17" s="42"/>
      <c r="D17" s="117"/>
      <c r="E17" s="103"/>
      <c r="F17" s="42"/>
      <c r="G17" s="116"/>
    </row>
    <row r="18" spans="1:7" x14ac:dyDescent="0.25">
      <c r="B18" s="88" t="s">
        <v>248</v>
      </c>
      <c r="C18" s="42"/>
      <c r="D18" s="117"/>
      <c r="E18" s="103"/>
      <c r="F18" s="42"/>
      <c r="G18" s="116"/>
    </row>
    <row r="19" spans="1:7" x14ac:dyDescent="0.25">
      <c r="C19" s="35"/>
      <c r="D19" s="35"/>
      <c r="E19" s="103"/>
      <c r="F19" s="35"/>
    </row>
    <row r="20" spans="1:7" x14ac:dyDescent="0.25">
      <c r="A20">
        <v>6</v>
      </c>
      <c r="B20" s="99" t="s">
        <v>253</v>
      </c>
      <c r="C20" s="42"/>
      <c r="D20" s="117"/>
      <c r="E20" s="103"/>
      <c r="F20" s="42"/>
      <c r="G20" s="116"/>
    </row>
    <row r="21" spans="1:7" x14ac:dyDescent="0.25">
      <c r="A21">
        <v>7</v>
      </c>
      <c r="B21" t="s">
        <v>254</v>
      </c>
      <c r="C21" s="42"/>
      <c r="D21" s="117"/>
      <c r="E21" s="103"/>
      <c r="F21" s="42"/>
      <c r="G21" s="116"/>
    </row>
    <row r="22" spans="1:7" x14ac:dyDescent="0.25">
      <c r="C22" s="35"/>
      <c r="D22" s="98"/>
      <c r="E22" s="103"/>
      <c r="F22" s="35"/>
      <c r="G22" s="98"/>
    </row>
    <row r="23" spans="1:7" x14ac:dyDescent="0.25">
      <c r="A23">
        <v>8</v>
      </c>
      <c r="B23" t="s">
        <v>255</v>
      </c>
      <c r="C23" s="42"/>
      <c r="D23" s="97"/>
      <c r="E23" s="103"/>
      <c r="F23" s="42"/>
      <c r="G23" s="97"/>
    </row>
    <row r="24" spans="1:7" x14ac:dyDescent="0.25">
      <c r="B24" s="88" t="s">
        <v>248</v>
      </c>
      <c r="C24" s="42"/>
      <c r="D24" s="97"/>
      <c r="E24" s="103"/>
      <c r="F24" s="42"/>
      <c r="G24" s="97"/>
    </row>
    <row r="25" spans="1:7" x14ac:dyDescent="0.25">
      <c r="A25">
        <v>9</v>
      </c>
      <c r="B25" t="s">
        <v>256</v>
      </c>
      <c r="C25" s="42"/>
      <c r="D25" s="97"/>
      <c r="E25" s="104"/>
      <c r="F25" s="42"/>
      <c r="G25" s="97"/>
    </row>
  </sheetData>
  <mergeCells count="5">
    <mergeCell ref="F7:G7"/>
    <mergeCell ref="C7:D7"/>
    <mergeCell ref="A1:H1"/>
    <mergeCell ref="A2:H2"/>
    <mergeCell ref="A3:H3"/>
  </mergeCells>
  <pageMargins left="0.7" right="0.7" top="0.75" bottom="0.75" header="0.3" footer="0.3"/>
  <pageSetup scale="73"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S200"/>
  <sheetViews>
    <sheetView zoomScale="85" zoomScaleNormal="85" workbookViewId="0">
      <selection sqref="A1:M1"/>
    </sheetView>
  </sheetViews>
  <sheetFormatPr defaultRowHeight="15" x14ac:dyDescent="0.25"/>
  <cols>
    <col min="1" max="1" width="38.85546875" bestFit="1" customWidth="1"/>
    <col min="2" max="10" width="12.7109375" customWidth="1"/>
    <col min="11" max="11" width="2.5703125" customWidth="1"/>
    <col min="12" max="12" width="12.7109375" customWidth="1"/>
    <col min="13" max="13" width="30.7109375" customWidth="1"/>
    <col min="14" max="14" width="18.5703125" customWidth="1"/>
  </cols>
  <sheetData>
    <row r="1" spans="1:17" ht="18.75" x14ac:dyDescent="0.3">
      <c r="A1" s="173" t="s">
        <v>17</v>
      </c>
      <c r="B1" s="173"/>
      <c r="C1" s="173"/>
      <c r="D1" s="173"/>
      <c r="E1" s="173"/>
      <c r="F1" s="173"/>
      <c r="G1" s="173"/>
      <c r="H1" s="173"/>
      <c r="I1" s="173"/>
      <c r="J1" s="173"/>
      <c r="K1" s="173"/>
      <c r="L1" s="173"/>
      <c r="M1" s="173"/>
      <c r="O1" s="31"/>
    </row>
    <row r="2" spans="1:17" ht="15.75" x14ac:dyDescent="0.25">
      <c r="A2" s="174" t="s">
        <v>279</v>
      </c>
      <c r="B2" s="174"/>
      <c r="C2" s="174"/>
      <c r="D2" s="174"/>
      <c r="E2" s="174"/>
      <c r="F2" s="174"/>
      <c r="G2" s="174"/>
      <c r="H2" s="174"/>
      <c r="I2" s="174"/>
      <c r="J2" s="174"/>
      <c r="K2" s="174"/>
      <c r="L2" s="174"/>
      <c r="M2" s="174"/>
      <c r="O2" s="31"/>
    </row>
    <row r="3" spans="1:17" x14ac:dyDescent="0.25">
      <c r="A3" s="175" t="s">
        <v>31</v>
      </c>
      <c r="B3" s="175"/>
      <c r="C3" s="175"/>
      <c r="D3" s="175"/>
      <c r="E3" s="175"/>
      <c r="F3" s="175"/>
      <c r="G3" s="175"/>
      <c r="H3" s="175"/>
      <c r="I3" s="175"/>
      <c r="J3" s="175"/>
      <c r="K3" s="175"/>
      <c r="L3" s="175"/>
      <c r="M3" s="175"/>
    </row>
    <row r="4" spans="1:17" ht="15.75" thickBot="1" x14ac:dyDescent="0.3">
      <c r="A4" s="187">
        <f>'Company Summary'!A4:J4</f>
        <v>45199</v>
      </c>
      <c r="B4" s="187"/>
      <c r="C4" s="187"/>
      <c r="D4" s="187"/>
      <c r="E4" s="187"/>
      <c r="F4" s="187"/>
      <c r="G4" s="187"/>
      <c r="H4" s="187"/>
      <c r="I4" s="187"/>
      <c r="J4" s="187"/>
      <c r="K4" s="187"/>
      <c r="L4" s="187"/>
      <c r="M4" s="187"/>
    </row>
    <row r="5" spans="1:17" ht="15.75" thickBot="1" x14ac:dyDescent="0.3">
      <c r="A5" s="81"/>
      <c r="B5" s="5"/>
      <c r="C5" s="5"/>
      <c r="D5" s="5"/>
      <c r="E5" s="5"/>
      <c r="F5" s="5"/>
      <c r="G5" s="5"/>
      <c r="H5" s="5"/>
      <c r="I5" s="5"/>
      <c r="J5" s="5"/>
      <c r="K5" s="81"/>
      <c r="L5" s="81"/>
      <c r="M5" s="81"/>
      <c r="N5" s="125"/>
      <c r="O5" s="126"/>
      <c r="P5" s="126"/>
      <c r="Q5" s="127"/>
    </row>
    <row r="6" spans="1:17" ht="15.75" thickBot="1" x14ac:dyDescent="0.3">
      <c r="A6" s="170" t="s">
        <v>54</v>
      </c>
      <c r="B6" s="171"/>
      <c r="C6" s="171"/>
      <c r="D6" s="171"/>
      <c r="E6" s="171"/>
      <c r="F6" s="171"/>
      <c r="G6" s="171"/>
      <c r="H6" s="171"/>
      <c r="I6" s="171"/>
      <c r="J6" s="172"/>
      <c r="L6" s="186"/>
      <c r="M6" s="186"/>
      <c r="N6" s="128">
        <f>+J25</f>
        <v>22060.260000000002</v>
      </c>
      <c r="O6" s="129" t="s">
        <v>1023</v>
      </c>
      <c r="P6" s="129"/>
      <c r="Q6" s="130"/>
    </row>
    <row r="7" spans="1:17" x14ac:dyDescent="0.25">
      <c r="A7" s="4" t="s">
        <v>16</v>
      </c>
      <c r="B7" s="5" t="s">
        <v>15</v>
      </c>
      <c r="C7" s="5" t="s">
        <v>14</v>
      </c>
      <c r="D7" s="5" t="s">
        <v>13</v>
      </c>
      <c r="E7" s="5" t="s">
        <v>12</v>
      </c>
      <c r="F7" s="5" t="s">
        <v>93</v>
      </c>
      <c r="G7" s="5" t="s">
        <v>94</v>
      </c>
      <c r="H7" s="5" t="s">
        <v>38</v>
      </c>
      <c r="I7" s="5" t="s">
        <v>9</v>
      </c>
      <c r="J7" s="5" t="s">
        <v>0</v>
      </c>
      <c r="L7" s="4"/>
      <c r="M7" s="4"/>
      <c r="N7" s="128">
        <f>'Biocorrect-GP'!J25</f>
        <v>2833.76</v>
      </c>
      <c r="O7" s="129" t="s">
        <v>1022</v>
      </c>
      <c r="P7" s="129"/>
      <c r="Q7" s="130"/>
    </row>
    <row r="8" spans="1:17" x14ac:dyDescent="0.25">
      <c r="A8" s="1" t="s">
        <v>49</v>
      </c>
      <c r="B8" s="33">
        <f>'Agile AR Aging &lt;-INPUT'!C23</f>
        <v>0</v>
      </c>
      <c r="C8" s="33">
        <f>'Agile AR Aging &lt;-INPUT'!D23</f>
        <v>0</v>
      </c>
      <c r="D8" s="33">
        <f>'Agile AR Aging &lt;-INPUT'!E23</f>
        <v>0</v>
      </c>
      <c r="E8" s="33">
        <f>'Agile AR Aging &lt;-INPUT'!F23</f>
        <v>0</v>
      </c>
      <c r="F8" s="33">
        <f>'Agile AR Aging &lt;-INPUT'!G23</f>
        <v>0</v>
      </c>
      <c r="G8" s="33">
        <f>'Agile AR Aging &lt;-INPUT'!H23</f>
        <v>0</v>
      </c>
      <c r="H8" s="33">
        <f>'Agile AR Aging &lt;-INPUT'!I23</f>
        <v>0</v>
      </c>
      <c r="I8" s="33">
        <f>'Agile AR Aging &lt;-INPUT'!J23</f>
        <v>0</v>
      </c>
      <c r="J8" s="2">
        <f>SUM(B8:I8)</f>
        <v>0</v>
      </c>
      <c r="L8" s="73"/>
      <c r="N8" s="131">
        <f>+N6+N7</f>
        <v>24894.020000000004</v>
      </c>
      <c r="O8" s="129"/>
      <c r="P8" s="129"/>
      <c r="Q8" s="130"/>
    </row>
    <row r="9" spans="1:17" x14ac:dyDescent="0.25">
      <c r="A9" s="1" t="s">
        <v>8</v>
      </c>
      <c r="B9" s="33">
        <f>'Agile AR Aging &lt;-INPUT'!C24</f>
        <v>432</v>
      </c>
      <c r="C9" s="33">
        <f>'Agile AR Aging &lt;-INPUT'!D24</f>
        <v>864</v>
      </c>
      <c r="D9" s="33">
        <f>'Agile AR Aging &lt;-INPUT'!E24</f>
        <v>0</v>
      </c>
      <c r="E9" s="33">
        <f>'Agile AR Aging &lt;-INPUT'!F24</f>
        <v>0</v>
      </c>
      <c r="F9" s="33">
        <f>'Agile AR Aging &lt;-INPUT'!G24</f>
        <v>0</v>
      </c>
      <c r="G9" s="33">
        <f>'Agile AR Aging &lt;-INPUT'!H24</f>
        <v>0</v>
      </c>
      <c r="H9" s="33">
        <f>'Agile AR Aging &lt;-INPUT'!I24</f>
        <v>0</v>
      </c>
      <c r="I9" s="33">
        <f>'Agile AR Aging &lt;-INPUT'!J24</f>
        <v>0</v>
      </c>
      <c r="J9" s="2">
        <f t="shared" ref="J9:J24" si="0">SUM(B9:I9)</f>
        <v>1296</v>
      </c>
      <c r="L9" s="67"/>
      <c r="N9" s="132">
        <f>+N10-N8</f>
        <v>19710.219999999994</v>
      </c>
      <c r="O9" s="129" t="s">
        <v>1024</v>
      </c>
      <c r="P9" s="129"/>
      <c r="Q9" s="130"/>
    </row>
    <row r="10" spans="1:17" ht="15.75" thickBot="1" x14ac:dyDescent="0.3">
      <c r="A10" s="1" t="s">
        <v>7</v>
      </c>
      <c r="B10" s="33">
        <f>'Agile AR Aging &lt;-INPUT'!C25</f>
        <v>6780</v>
      </c>
      <c r="C10" s="33">
        <f>'Agile AR Aging &lt;-INPUT'!D25</f>
        <v>1080</v>
      </c>
      <c r="D10" s="33">
        <f>'Agile AR Aging &lt;-INPUT'!E25</f>
        <v>0</v>
      </c>
      <c r="E10" s="33">
        <f>'Agile AR Aging &lt;-INPUT'!F25</f>
        <v>0</v>
      </c>
      <c r="F10" s="33">
        <f>'Agile AR Aging &lt;-INPUT'!G25</f>
        <v>0</v>
      </c>
      <c r="G10" s="33">
        <f>'Agile AR Aging &lt;-INPUT'!H25</f>
        <v>0</v>
      </c>
      <c r="H10" s="33">
        <f>'Agile AR Aging &lt;-INPUT'!I25</f>
        <v>-28.44</v>
      </c>
      <c r="I10" s="33">
        <f>'Agile AR Aging &lt;-INPUT'!J25</f>
        <v>0</v>
      </c>
      <c r="J10" s="2">
        <f t="shared" si="0"/>
        <v>7831.56</v>
      </c>
      <c r="L10" s="67"/>
      <c r="N10" s="133">
        <v>44604.24</v>
      </c>
      <c r="O10" s="129" t="s">
        <v>1025</v>
      </c>
      <c r="P10" s="129"/>
      <c r="Q10" s="130"/>
    </row>
    <row r="11" spans="1:17" ht="16.5" thickTop="1" thickBot="1" x14ac:dyDescent="0.3">
      <c r="A11" s="1" t="s">
        <v>42</v>
      </c>
      <c r="B11" s="33">
        <f>'Agile AR Aging &lt;-INPUT'!C26</f>
        <v>0</v>
      </c>
      <c r="C11" s="33">
        <f>'Agile AR Aging &lt;-INPUT'!D26</f>
        <v>0</v>
      </c>
      <c r="D11" s="33">
        <f>'Agile AR Aging &lt;-INPUT'!E26</f>
        <v>0</v>
      </c>
      <c r="E11" s="33">
        <f>'Agile AR Aging &lt;-INPUT'!F26</f>
        <v>0</v>
      </c>
      <c r="F11" s="33">
        <f>'Agile AR Aging &lt;-INPUT'!G26</f>
        <v>0</v>
      </c>
      <c r="G11" s="33">
        <f>'Agile AR Aging &lt;-INPUT'!H26</f>
        <v>0</v>
      </c>
      <c r="H11" s="33">
        <f>'Agile AR Aging &lt;-INPUT'!I26</f>
        <v>0</v>
      </c>
      <c r="I11" s="33">
        <f>'Agile AR Aging &lt;-INPUT'!J26</f>
        <v>0</v>
      </c>
      <c r="J11" s="2">
        <f t="shared" si="0"/>
        <v>0</v>
      </c>
      <c r="L11" s="67"/>
      <c r="N11" s="134"/>
      <c r="O11" s="135"/>
      <c r="P11" s="135"/>
      <c r="Q11" s="136"/>
    </row>
    <row r="12" spans="1:17" x14ac:dyDescent="0.25">
      <c r="A12" s="1" t="s">
        <v>6</v>
      </c>
      <c r="B12" s="33">
        <f>'Agile AR Aging &lt;-INPUT'!C27+'Agile AR Aging &lt;-INPUT'!C28+'Agile AR Aging &lt;-INPUT'!C35+'Agile AR Aging &lt;-INPUT'!C40</f>
        <v>432</v>
      </c>
      <c r="C12" s="33">
        <f>'Agile AR Aging &lt;-INPUT'!D27+'Agile AR Aging &lt;-INPUT'!D28+'Agile AR Aging &lt;-INPUT'!D35+'Agile AR Aging &lt;-INPUT'!D40</f>
        <v>0</v>
      </c>
      <c r="D12" s="33">
        <f>'Agile AR Aging &lt;-INPUT'!E27+'Agile AR Aging &lt;-INPUT'!E28+'Agile AR Aging &lt;-INPUT'!E35+'Agile AR Aging &lt;-INPUT'!E40</f>
        <v>0</v>
      </c>
      <c r="E12" s="33">
        <f>'Agile AR Aging &lt;-INPUT'!F27+'Agile AR Aging &lt;-INPUT'!F28+'Agile AR Aging &lt;-INPUT'!F35+'Agile AR Aging &lt;-INPUT'!F40</f>
        <v>0</v>
      </c>
      <c r="F12" s="33">
        <f>'Agile AR Aging &lt;-INPUT'!G27+'Agile AR Aging &lt;-INPUT'!G28+'Agile AR Aging &lt;-INPUT'!G35+'Agile AR Aging &lt;-INPUT'!G40</f>
        <v>0</v>
      </c>
      <c r="G12" s="33">
        <f>'Agile AR Aging &lt;-INPUT'!H27+'Agile AR Aging &lt;-INPUT'!H28+'Agile AR Aging &lt;-INPUT'!H35+'Agile AR Aging &lt;-INPUT'!H40</f>
        <v>0</v>
      </c>
      <c r="H12" s="33">
        <f>'Agile AR Aging &lt;-INPUT'!I27+'Agile AR Aging &lt;-INPUT'!I28+'Agile AR Aging &lt;-INPUT'!I35+'Agile AR Aging &lt;-INPUT'!I40</f>
        <v>0</v>
      </c>
      <c r="I12" s="33">
        <f>'Agile AR Aging &lt;-INPUT'!J27+'Agile AR Aging &lt;-INPUT'!J28+'Agile AR Aging &lt;-INPUT'!J35+'Agile AR Aging &lt;-INPUT'!J40</f>
        <v>-35</v>
      </c>
      <c r="J12" s="2">
        <f t="shared" si="0"/>
        <v>397</v>
      </c>
      <c r="L12" s="73"/>
      <c r="N12" s="68"/>
    </row>
    <row r="13" spans="1:17" x14ac:dyDescent="0.25">
      <c r="A13" s="1" t="s">
        <v>50</v>
      </c>
      <c r="B13" s="33">
        <f>'Agile AR Aging &lt;-INPUT'!C29</f>
        <v>0</v>
      </c>
      <c r="C13" s="33">
        <f>'Agile AR Aging &lt;-INPUT'!D29</f>
        <v>0</v>
      </c>
      <c r="D13" s="33">
        <f>'Agile AR Aging &lt;-INPUT'!E29</f>
        <v>0</v>
      </c>
      <c r="E13" s="33">
        <f>'Agile AR Aging &lt;-INPUT'!F29</f>
        <v>0</v>
      </c>
      <c r="F13" s="33">
        <f>'Agile AR Aging &lt;-INPUT'!G29</f>
        <v>0</v>
      </c>
      <c r="G13" s="33">
        <f>'Agile AR Aging &lt;-INPUT'!H29</f>
        <v>0</v>
      </c>
      <c r="H13" s="33">
        <f>'Agile AR Aging &lt;-INPUT'!I29</f>
        <v>0</v>
      </c>
      <c r="I13" s="33">
        <f>'Agile AR Aging &lt;-INPUT'!J29</f>
        <v>0</v>
      </c>
      <c r="J13" s="2">
        <f t="shared" si="0"/>
        <v>0</v>
      </c>
      <c r="L13" s="73"/>
      <c r="N13" s="68"/>
    </row>
    <row r="14" spans="1:17" x14ac:dyDescent="0.25">
      <c r="A14" s="1" t="s">
        <v>89</v>
      </c>
      <c r="B14" s="33">
        <f>'Agile AR Aging &lt;-INPUT'!C30</f>
        <v>0</v>
      </c>
      <c r="C14" s="33">
        <f>'Agile AR Aging &lt;-INPUT'!D30</f>
        <v>0</v>
      </c>
      <c r="D14" s="33">
        <f>'Agile AR Aging &lt;-INPUT'!E30</f>
        <v>0</v>
      </c>
      <c r="E14" s="33">
        <f>'Agile AR Aging &lt;-INPUT'!F30</f>
        <v>0</v>
      </c>
      <c r="F14" s="33">
        <f>'Agile AR Aging &lt;-INPUT'!G30</f>
        <v>0</v>
      </c>
      <c r="G14" s="33">
        <f>'Agile AR Aging &lt;-INPUT'!H30</f>
        <v>0</v>
      </c>
      <c r="H14" s="33">
        <f>'Agile AR Aging &lt;-INPUT'!I30</f>
        <v>0</v>
      </c>
      <c r="I14" s="33">
        <f>'Agile AR Aging &lt;-INPUT'!J30</f>
        <v>0</v>
      </c>
      <c r="J14" s="2">
        <f t="shared" si="0"/>
        <v>0</v>
      </c>
      <c r="L14" s="73"/>
      <c r="N14" s="68"/>
    </row>
    <row r="15" spans="1:17" x14ac:dyDescent="0.25">
      <c r="A15" s="1" t="s">
        <v>5</v>
      </c>
      <c r="B15" s="33">
        <f>'Agile AR Aging &lt;-INPUT'!C31</f>
        <v>0</v>
      </c>
      <c r="C15" s="33">
        <f>'Agile AR Aging &lt;-INPUT'!D31</f>
        <v>0</v>
      </c>
      <c r="D15" s="33">
        <f>'Agile AR Aging &lt;-INPUT'!E31</f>
        <v>0</v>
      </c>
      <c r="E15" s="33">
        <f>'Agile AR Aging &lt;-INPUT'!F31</f>
        <v>0</v>
      </c>
      <c r="F15" s="33">
        <f>'Agile AR Aging &lt;-INPUT'!G31</f>
        <v>0</v>
      </c>
      <c r="G15" s="33">
        <f>'Agile AR Aging &lt;-INPUT'!H31</f>
        <v>0</v>
      </c>
      <c r="H15" s="33">
        <f>'Agile AR Aging &lt;-INPUT'!I31</f>
        <v>0</v>
      </c>
      <c r="I15" s="33">
        <f>'Agile AR Aging &lt;-INPUT'!J31</f>
        <v>0</v>
      </c>
      <c r="J15" s="2">
        <f t="shared" si="0"/>
        <v>0</v>
      </c>
      <c r="L15" s="73"/>
      <c r="N15" s="68"/>
    </row>
    <row r="16" spans="1:17" x14ac:dyDescent="0.25">
      <c r="A16" s="1" t="s">
        <v>84</v>
      </c>
      <c r="B16" s="33">
        <f>'Agile AR Aging &lt;-INPUT'!C32</f>
        <v>0</v>
      </c>
      <c r="C16" s="33">
        <f>'Agile AR Aging &lt;-INPUT'!D32</f>
        <v>0</v>
      </c>
      <c r="D16" s="33">
        <f>'Agile AR Aging &lt;-INPUT'!E32</f>
        <v>0</v>
      </c>
      <c r="E16" s="33">
        <f>'Agile AR Aging &lt;-INPUT'!F32</f>
        <v>0</v>
      </c>
      <c r="F16" s="33">
        <f>'Agile AR Aging &lt;-INPUT'!G32</f>
        <v>0</v>
      </c>
      <c r="G16" s="33">
        <f>'Agile AR Aging &lt;-INPUT'!H32</f>
        <v>0</v>
      </c>
      <c r="H16" s="33">
        <f>'Agile AR Aging &lt;-INPUT'!I32</f>
        <v>0</v>
      </c>
      <c r="I16" s="33">
        <f>'Agile AR Aging &lt;-INPUT'!J32</f>
        <v>0</v>
      </c>
      <c r="J16" s="2">
        <f t="shared" si="0"/>
        <v>0</v>
      </c>
      <c r="L16" s="73"/>
      <c r="N16" s="68"/>
    </row>
    <row r="17" spans="1:17" x14ac:dyDescent="0.25">
      <c r="A17" s="1" t="s">
        <v>4</v>
      </c>
      <c r="B17" s="33">
        <f>'Agile AR Aging &lt;-INPUT'!C33</f>
        <v>432</v>
      </c>
      <c r="C17" s="33">
        <f>'Agile AR Aging &lt;-INPUT'!D33</f>
        <v>0</v>
      </c>
      <c r="D17" s="33">
        <f>'Agile AR Aging &lt;-INPUT'!E33</f>
        <v>0</v>
      </c>
      <c r="E17" s="33">
        <f>'Agile AR Aging &lt;-INPUT'!F33</f>
        <v>0</v>
      </c>
      <c r="F17" s="33">
        <f>'Agile AR Aging &lt;-INPUT'!G33</f>
        <v>0</v>
      </c>
      <c r="G17" s="33">
        <f>'Agile AR Aging &lt;-INPUT'!H33</f>
        <v>0</v>
      </c>
      <c r="H17" s="33">
        <f>'Agile AR Aging &lt;-INPUT'!I33</f>
        <v>0</v>
      </c>
      <c r="I17" s="33">
        <f>'Agile AR Aging &lt;-INPUT'!J33</f>
        <v>0</v>
      </c>
      <c r="J17" s="2">
        <f t="shared" si="0"/>
        <v>432</v>
      </c>
      <c r="L17" s="73"/>
      <c r="N17" s="68"/>
    </row>
    <row r="18" spans="1:17" x14ac:dyDescent="0.25">
      <c r="A18" s="1" t="s">
        <v>51</v>
      </c>
      <c r="B18" s="33">
        <f>'Agile AR Aging &lt;-INPUT'!C34</f>
        <v>432</v>
      </c>
      <c r="C18" s="33">
        <f>'Agile AR Aging &lt;-INPUT'!D34</f>
        <v>0</v>
      </c>
      <c r="D18" s="33">
        <f>'Agile AR Aging &lt;-INPUT'!E34</f>
        <v>0</v>
      </c>
      <c r="E18" s="33">
        <f>'Agile AR Aging &lt;-INPUT'!F34</f>
        <v>0</v>
      </c>
      <c r="F18" s="33">
        <f>'Agile AR Aging &lt;-INPUT'!G34</f>
        <v>0</v>
      </c>
      <c r="G18" s="33">
        <f>'Agile AR Aging &lt;-INPUT'!H34</f>
        <v>0</v>
      </c>
      <c r="H18" s="33">
        <f>'Agile AR Aging &lt;-INPUT'!I34</f>
        <v>0</v>
      </c>
      <c r="I18" s="33">
        <f>'Agile AR Aging &lt;-INPUT'!J34</f>
        <v>0</v>
      </c>
      <c r="J18" s="2">
        <f t="shared" si="0"/>
        <v>432</v>
      </c>
      <c r="L18" s="73"/>
      <c r="N18" s="68"/>
    </row>
    <row r="19" spans="1:17" x14ac:dyDescent="0.25">
      <c r="A19" s="1" t="s">
        <v>85</v>
      </c>
      <c r="B19" s="33">
        <f>'Agile AR Aging &lt;-INPUT'!C36</f>
        <v>0</v>
      </c>
      <c r="C19" s="33">
        <f>'Agile AR Aging &lt;-INPUT'!D36</f>
        <v>0</v>
      </c>
      <c r="D19" s="33">
        <f>'Agile AR Aging &lt;-INPUT'!E36</f>
        <v>0</v>
      </c>
      <c r="E19" s="33">
        <f>'Agile AR Aging &lt;-INPUT'!F36</f>
        <v>0</v>
      </c>
      <c r="F19" s="33">
        <f>'Agile AR Aging &lt;-INPUT'!G36</f>
        <v>0</v>
      </c>
      <c r="G19" s="33">
        <f>'Agile AR Aging &lt;-INPUT'!H36</f>
        <v>0</v>
      </c>
      <c r="H19" s="33">
        <f>'Agile AR Aging &lt;-INPUT'!I36</f>
        <v>432</v>
      </c>
      <c r="I19" s="33">
        <f>'Agile AR Aging &lt;-INPUT'!J36</f>
        <v>0</v>
      </c>
      <c r="J19" s="2">
        <f t="shared" si="0"/>
        <v>432</v>
      </c>
      <c r="L19" s="73"/>
      <c r="N19" s="68"/>
    </row>
    <row r="20" spans="1:17" x14ac:dyDescent="0.25">
      <c r="A20" s="1" t="s">
        <v>2</v>
      </c>
      <c r="B20" s="33">
        <f>'Agile AR Aging &lt;-INPUT'!C37</f>
        <v>721.31999999999971</v>
      </c>
      <c r="C20" s="33">
        <f>'Agile AR Aging &lt;-INPUT'!D37</f>
        <v>3355.43</v>
      </c>
      <c r="D20" s="33">
        <f>'Agile AR Aging &lt;-INPUT'!E37</f>
        <v>2210.86</v>
      </c>
      <c r="E20" s="33">
        <f>'Agile AR Aging &lt;-INPUT'!F37</f>
        <v>540.72</v>
      </c>
      <c r="F20" s="33">
        <f>'Agile AR Aging &lt;-INPUT'!G37</f>
        <v>548.73</v>
      </c>
      <c r="G20" s="33">
        <f>'Agile AR Aging &lt;-INPUT'!H37</f>
        <v>1101.2</v>
      </c>
      <c r="H20" s="33">
        <f>'Agile AR Aging &lt;-INPUT'!I37</f>
        <v>1017.48</v>
      </c>
      <c r="I20" s="33">
        <f>'Agile AR Aging &lt;-INPUT'!J37</f>
        <v>253.96000000000015</v>
      </c>
      <c r="J20" s="2">
        <f t="shared" si="0"/>
        <v>9749.7000000000007</v>
      </c>
      <c r="L20" s="73"/>
      <c r="N20" s="68"/>
    </row>
    <row r="21" spans="1:17" x14ac:dyDescent="0.25">
      <c r="A21" s="1" t="s">
        <v>86</v>
      </c>
      <c r="B21" s="33">
        <f>'Agile AR Aging &lt;-INPUT'!C38</f>
        <v>0</v>
      </c>
      <c r="C21" s="33">
        <f>'Agile AR Aging &lt;-INPUT'!D38</f>
        <v>0</v>
      </c>
      <c r="D21" s="33">
        <f>'Agile AR Aging &lt;-INPUT'!E38</f>
        <v>0</v>
      </c>
      <c r="E21" s="33">
        <f>'Agile AR Aging &lt;-INPUT'!F38</f>
        <v>0</v>
      </c>
      <c r="F21" s="33">
        <f>'Agile AR Aging &lt;-INPUT'!G38</f>
        <v>0</v>
      </c>
      <c r="G21" s="33">
        <f>'Agile AR Aging &lt;-INPUT'!H38</f>
        <v>0</v>
      </c>
      <c r="H21" s="33">
        <f>'Agile AR Aging &lt;-INPUT'!I38</f>
        <v>0</v>
      </c>
      <c r="I21" s="33">
        <f>'Agile AR Aging &lt;-INPUT'!J38</f>
        <v>0</v>
      </c>
      <c r="J21" s="2">
        <f t="shared" si="0"/>
        <v>0</v>
      </c>
      <c r="L21" s="73"/>
      <c r="N21" s="68"/>
    </row>
    <row r="22" spans="1:17" x14ac:dyDescent="0.25">
      <c r="A22" s="1" t="s">
        <v>29</v>
      </c>
      <c r="B22" s="33">
        <f>'Agile AR Aging &lt;-INPUT'!C39</f>
        <v>0</v>
      </c>
      <c r="C22" s="33">
        <f>'Agile AR Aging &lt;-INPUT'!D39</f>
        <v>0</v>
      </c>
      <c r="D22" s="33">
        <f>'Agile AR Aging &lt;-INPUT'!E39</f>
        <v>0</v>
      </c>
      <c r="E22" s="33">
        <f>'Agile AR Aging &lt;-INPUT'!F39</f>
        <v>0</v>
      </c>
      <c r="F22" s="33">
        <f>'Agile AR Aging &lt;-INPUT'!G39</f>
        <v>0</v>
      </c>
      <c r="G22" s="33">
        <f>'Agile AR Aging &lt;-INPUT'!H39</f>
        <v>0</v>
      </c>
      <c r="H22" s="33">
        <f>'Agile AR Aging &lt;-INPUT'!I39</f>
        <v>0</v>
      </c>
      <c r="I22" s="33">
        <f>'Agile AR Aging &lt;-INPUT'!J39</f>
        <v>0</v>
      </c>
      <c r="J22" s="2">
        <f t="shared" si="0"/>
        <v>0</v>
      </c>
      <c r="L22" s="73"/>
      <c r="N22" s="68"/>
    </row>
    <row r="23" spans="1:17" x14ac:dyDescent="0.25">
      <c r="A23" s="1" t="s">
        <v>52</v>
      </c>
      <c r="B23" s="33">
        <f>'Agile AR Aging &lt;-INPUT'!C41</f>
        <v>0</v>
      </c>
      <c r="C23" s="33">
        <f>'Agile AR Aging &lt;-INPUT'!D41</f>
        <v>0</v>
      </c>
      <c r="D23" s="33">
        <f>'Agile AR Aging &lt;-INPUT'!E41</f>
        <v>0</v>
      </c>
      <c r="E23" s="33">
        <f>'Agile AR Aging &lt;-INPUT'!F41</f>
        <v>0</v>
      </c>
      <c r="F23" s="33">
        <f>'Agile AR Aging &lt;-INPUT'!G41</f>
        <v>0</v>
      </c>
      <c r="G23" s="33">
        <f>'Agile AR Aging &lt;-INPUT'!H41</f>
        <v>0</v>
      </c>
      <c r="H23" s="33">
        <f>'Agile AR Aging &lt;-INPUT'!I41</f>
        <v>0</v>
      </c>
      <c r="I23" s="33">
        <f>'Agile AR Aging &lt;-INPUT'!J41</f>
        <v>0</v>
      </c>
      <c r="J23" s="2">
        <f t="shared" si="0"/>
        <v>0</v>
      </c>
      <c r="L23" s="73"/>
      <c r="N23" s="68"/>
    </row>
    <row r="24" spans="1:17" x14ac:dyDescent="0.25">
      <c r="A24" s="1" t="s">
        <v>1</v>
      </c>
      <c r="B24" s="32">
        <f>'Agile AR Aging &lt;-INPUT'!C42</f>
        <v>900</v>
      </c>
      <c r="C24" s="32">
        <f>'Agile AR Aging &lt;-INPUT'!D42</f>
        <v>0</v>
      </c>
      <c r="D24" s="32">
        <f>'Agile AR Aging &lt;-INPUT'!E42</f>
        <v>732</v>
      </c>
      <c r="E24" s="32">
        <f>'Agile AR Aging &lt;-INPUT'!F42</f>
        <v>0</v>
      </c>
      <c r="F24" s="32">
        <f>'Agile AR Aging &lt;-INPUT'!G42</f>
        <v>0</v>
      </c>
      <c r="G24" s="32">
        <f>'Agile AR Aging &lt;-INPUT'!H42</f>
        <v>0</v>
      </c>
      <c r="H24" s="32">
        <f>'Agile AR Aging &lt;-INPUT'!I42</f>
        <v>-142</v>
      </c>
      <c r="I24" s="32">
        <f>'Agile AR Aging &lt;-INPUT'!J42</f>
        <v>0</v>
      </c>
      <c r="J24" s="2">
        <f t="shared" si="0"/>
        <v>1490</v>
      </c>
      <c r="L24" s="73"/>
      <c r="N24" s="68"/>
    </row>
    <row r="25" spans="1:17" x14ac:dyDescent="0.25">
      <c r="A25" s="1" t="s">
        <v>0</v>
      </c>
      <c r="B25" s="10">
        <f t="shared" ref="B25:J25" si="1">SUM(B8:B24)</f>
        <v>10129.32</v>
      </c>
      <c r="C25" s="10">
        <f t="shared" si="1"/>
        <v>5299.43</v>
      </c>
      <c r="D25" s="10">
        <f t="shared" si="1"/>
        <v>2942.86</v>
      </c>
      <c r="E25" s="10">
        <f t="shared" si="1"/>
        <v>540.72</v>
      </c>
      <c r="F25" s="10">
        <f t="shared" si="1"/>
        <v>548.73</v>
      </c>
      <c r="G25" s="10">
        <f t="shared" si="1"/>
        <v>1101.2</v>
      </c>
      <c r="H25" s="10">
        <f t="shared" si="1"/>
        <v>1279.04</v>
      </c>
      <c r="I25" s="10">
        <f t="shared" si="1"/>
        <v>218.96000000000015</v>
      </c>
      <c r="J25" s="10">
        <f t="shared" si="1"/>
        <v>22060.260000000002</v>
      </c>
      <c r="L25" s="122">
        <v>34646.949999999997</v>
      </c>
      <c r="M25" s="123">
        <f>+J25-L25</f>
        <v>-12586.689999999995</v>
      </c>
    </row>
    <row r="26" spans="1:17" ht="15.75" thickBot="1" x14ac:dyDescent="0.3">
      <c r="A26" s="1"/>
      <c r="B26" s="9"/>
      <c r="C26" s="9"/>
      <c r="D26" s="9"/>
      <c r="E26" s="9"/>
      <c r="F26" s="9"/>
      <c r="G26" s="9"/>
      <c r="H26" s="9"/>
      <c r="I26" s="9"/>
      <c r="J26" s="9"/>
      <c r="L26" s="31"/>
      <c r="Q26" s="1"/>
    </row>
    <row r="27" spans="1:17" ht="15.75" thickBot="1" x14ac:dyDescent="0.3">
      <c r="A27" s="177" t="s">
        <v>1029</v>
      </c>
      <c r="B27" s="178"/>
      <c r="C27" s="178"/>
      <c r="D27" s="178"/>
      <c r="E27" s="178"/>
      <c r="F27" s="178"/>
      <c r="G27" s="178"/>
      <c r="H27" s="178"/>
      <c r="I27" s="178"/>
      <c r="J27" s="179"/>
      <c r="L27" s="31"/>
      <c r="Q27" s="1"/>
    </row>
    <row r="28" spans="1:17" x14ac:dyDescent="0.25">
      <c r="A28" s="4" t="s">
        <v>16</v>
      </c>
      <c r="B28" s="5" t="s">
        <v>15</v>
      </c>
      <c r="C28" s="5" t="s">
        <v>14</v>
      </c>
      <c r="D28" s="5" t="s">
        <v>13</v>
      </c>
      <c r="E28" s="5" t="s">
        <v>12</v>
      </c>
      <c r="F28" s="5" t="s">
        <v>93</v>
      </c>
      <c r="G28" s="5" t="s">
        <v>94</v>
      </c>
      <c r="H28" s="5" t="s">
        <v>38</v>
      </c>
      <c r="I28" s="5" t="s">
        <v>9</v>
      </c>
      <c r="J28" s="5" t="s">
        <v>0</v>
      </c>
      <c r="L28" s="31"/>
      <c r="Q28" s="1"/>
    </row>
    <row r="29" spans="1:17" x14ac:dyDescent="0.25">
      <c r="A29" s="1" t="s">
        <v>49</v>
      </c>
      <c r="B29" s="9"/>
      <c r="C29" s="9"/>
      <c r="D29" s="9"/>
      <c r="E29" s="9"/>
      <c r="F29" s="9"/>
      <c r="G29" s="9"/>
      <c r="H29" s="9"/>
      <c r="I29" s="9"/>
      <c r="J29" s="9">
        <f>SUM(B29:I29)</f>
        <v>0</v>
      </c>
      <c r="L29" s="31"/>
      <c r="Q29" s="1"/>
    </row>
    <row r="30" spans="1:17" x14ac:dyDescent="0.25">
      <c r="A30" s="1" t="s">
        <v>8</v>
      </c>
      <c r="B30" s="9"/>
      <c r="C30" s="9"/>
      <c r="D30" s="9"/>
      <c r="E30" s="9"/>
      <c r="F30" s="9"/>
      <c r="G30" s="9"/>
      <c r="H30" s="9"/>
      <c r="I30" s="9"/>
      <c r="J30" s="9">
        <f t="shared" ref="J30:J45" si="2">SUM(B30:I30)</f>
        <v>0</v>
      </c>
      <c r="L30" s="31"/>
      <c r="Q30" s="1"/>
    </row>
    <row r="31" spans="1:17" x14ac:dyDescent="0.25">
      <c r="A31" s="1" t="s">
        <v>7</v>
      </c>
      <c r="B31" s="137"/>
      <c r="C31" s="137"/>
      <c r="D31" s="137"/>
      <c r="E31" s="137"/>
      <c r="F31" s="137"/>
      <c r="G31" s="137"/>
      <c r="H31" s="137">
        <v>-28.44</v>
      </c>
      <c r="I31" s="137"/>
      <c r="J31" s="9">
        <f t="shared" si="2"/>
        <v>-28.44</v>
      </c>
      <c r="L31" s="31"/>
      <c r="Q31" s="1"/>
    </row>
    <row r="32" spans="1:17" x14ac:dyDescent="0.25">
      <c r="A32" s="1" t="s">
        <v>42</v>
      </c>
      <c r="B32" s="9"/>
      <c r="C32" s="9"/>
      <c r="D32" s="9"/>
      <c r="E32" s="9"/>
      <c r="F32" s="9"/>
      <c r="G32" s="9"/>
      <c r="H32" s="9"/>
      <c r="I32" s="9"/>
      <c r="J32" s="9">
        <f t="shared" si="2"/>
        <v>0</v>
      </c>
      <c r="L32" s="31"/>
      <c r="Q32" s="1"/>
    </row>
    <row r="33" spans="1:17" x14ac:dyDescent="0.25">
      <c r="A33" s="1" t="s">
        <v>6</v>
      </c>
      <c r="B33" s="137"/>
      <c r="C33" s="137"/>
      <c r="D33" s="137"/>
      <c r="E33" s="137"/>
      <c r="F33" s="137"/>
      <c r="G33" s="137"/>
      <c r="H33" s="137"/>
      <c r="I33" s="137"/>
      <c r="J33" s="9">
        <f t="shared" si="2"/>
        <v>0</v>
      </c>
      <c r="L33" s="31"/>
      <c r="Q33" s="1"/>
    </row>
    <row r="34" spans="1:17" x14ac:dyDescent="0.25">
      <c r="A34" s="1" t="s">
        <v>50</v>
      </c>
      <c r="B34" s="9"/>
      <c r="C34" s="9"/>
      <c r="D34" s="9"/>
      <c r="E34" s="9"/>
      <c r="F34" s="9"/>
      <c r="G34" s="9"/>
      <c r="H34" s="9"/>
      <c r="I34" s="9"/>
      <c r="J34" s="9">
        <f t="shared" si="2"/>
        <v>0</v>
      </c>
      <c r="L34" s="31"/>
      <c r="Q34" s="1"/>
    </row>
    <row r="35" spans="1:17" x14ac:dyDescent="0.25">
      <c r="A35" s="1" t="s">
        <v>89</v>
      </c>
      <c r="B35" s="9"/>
      <c r="C35" s="9"/>
      <c r="D35" s="9"/>
      <c r="E35" s="9"/>
      <c r="F35" s="9"/>
      <c r="G35" s="9"/>
      <c r="H35" s="9"/>
      <c r="I35" s="9"/>
      <c r="J35" s="9">
        <f t="shared" si="2"/>
        <v>0</v>
      </c>
      <c r="L35" s="31"/>
      <c r="Q35" s="1"/>
    </row>
    <row r="36" spans="1:17" x14ac:dyDescent="0.25">
      <c r="A36" s="1" t="s">
        <v>5</v>
      </c>
      <c r="B36" s="9"/>
      <c r="C36" s="9"/>
      <c r="D36" s="9"/>
      <c r="E36" s="9"/>
      <c r="F36" s="9"/>
      <c r="G36" s="9"/>
      <c r="H36" s="9"/>
      <c r="I36" s="9"/>
      <c r="J36" s="9">
        <f t="shared" si="2"/>
        <v>0</v>
      </c>
      <c r="L36" s="31"/>
      <c r="Q36" s="1"/>
    </row>
    <row r="37" spans="1:17" x14ac:dyDescent="0.25">
      <c r="A37" s="1" t="s">
        <v>84</v>
      </c>
      <c r="B37" s="9"/>
      <c r="C37" s="9"/>
      <c r="D37" s="9"/>
      <c r="E37" s="9"/>
      <c r="F37" s="9"/>
      <c r="G37" s="9"/>
      <c r="H37" s="9"/>
      <c r="I37" s="9"/>
      <c r="J37" s="9">
        <f t="shared" si="2"/>
        <v>0</v>
      </c>
      <c r="L37" s="31" t="s">
        <v>1253</v>
      </c>
      <c r="Q37" s="1"/>
    </row>
    <row r="38" spans="1:17" x14ac:dyDescent="0.25">
      <c r="A38" s="1" t="s">
        <v>4</v>
      </c>
      <c r="B38" s="149"/>
      <c r="C38" s="149"/>
      <c r="D38" s="149"/>
      <c r="E38" s="149"/>
      <c r="F38" s="149"/>
      <c r="G38" s="149"/>
      <c r="H38" s="149"/>
      <c r="I38" s="149"/>
      <c r="J38" s="9">
        <f t="shared" si="2"/>
        <v>0</v>
      </c>
      <c r="L38" s="31"/>
      <c r="Q38" s="1"/>
    </row>
    <row r="39" spans="1:17" x14ac:dyDescent="0.25">
      <c r="A39" s="1" t="s">
        <v>51</v>
      </c>
      <c r="B39" s="149"/>
      <c r="C39" s="149"/>
      <c r="D39" s="149"/>
      <c r="E39" s="149"/>
      <c r="F39" s="149"/>
      <c r="G39" s="149"/>
      <c r="H39" s="149"/>
      <c r="I39" s="149"/>
      <c r="J39" s="9">
        <f t="shared" si="2"/>
        <v>0</v>
      </c>
      <c r="L39" s="31"/>
      <c r="Q39" s="1"/>
    </row>
    <row r="40" spans="1:17" x14ac:dyDescent="0.25">
      <c r="A40" s="1" t="s">
        <v>85</v>
      </c>
      <c r="B40" s="9"/>
      <c r="C40" s="9"/>
      <c r="D40" s="9"/>
      <c r="E40" s="9"/>
      <c r="F40" s="9"/>
      <c r="G40" s="9"/>
      <c r="H40" s="9"/>
      <c r="I40" s="9"/>
      <c r="J40" s="9">
        <f t="shared" si="2"/>
        <v>0</v>
      </c>
      <c r="L40" s="31"/>
      <c r="Q40" s="1"/>
    </row>
    <row r="41" spans="1:17" x14ac:dyDescent="0.25">
      <c r="A41" s="1" t="s">
        <v>2</v>
      </c>
      <c r="B41" s="149"/>
      <c r="C41" s="149"/>
      <c r="D41" s="149"/>
      <c r="E41" s="2">
        <v>-7.92</v>
      </c>
      <c r="F41" s="2"/>
      <c r="G41" s="149"/>
      <c r="H41" s="149">
        <v>-550</v>
      </c>
      <c r="I41" s="149">
        <f>-35-691.5</f>
        <v>-726.5</v>
      </c>
      <c r="J41" s="9">
        <f t="shared" si="2"/>
        <v>-1284.42</v>
      </c>
      <c r="L41" s="31"/>
      <c r="Q41" s="1"/>
    </row>
    <row r="42" spans="1:17" x14ac:dyDescent="0.25">
      <c r="A42" s="1" t="s">
        <v>86</v>
      </c>
      <c r="B42" s="9"/>
      <c r="C42" s="9"/>
      <c r="D42" s="9"/>
      <c r="E42" s="9"/>
      <c r="F42" s="9"/>
      <c r="G42" s="9"/>
      <c r="H42" s="9"/>
      <c r="I42" s="9"/>
      <c r="J42" s="9">
        <f t="shared" si="2"/>
        <v>0</v>
      </c>
      <c r="L42" s="31"/>
      <c r="Q42" s="1"/>
    </row>
    <row r="43" spans="1:17" x14ac:dyDescent="0.25">
      <c r="A43" s="1" t="s">
        <v>29</v>
      </c>
      <c r="B43" s="137"/>
      <c r="C43" s="137"/>
      <c r="D43" s="137"/>
      <c r="E43" s="137"/>
      <c r="F43" s="137"/>
      <c r="G43" s="137"/>
      <c r="H43" s="137"/>
      <c r="I43" s="137"/>
      <c r="J43" s="9">
        <f t="shared" si="2"/>
        <v>0</v>
      </c>
      <c r="L43" s="31"/>
      <c r="Q43" s="1"/>
    </row>
    <row r="44" spans="1:17" x14ac:dyDescent="0.25">
      <c r="A44" s="1" t="s">
        <v>52</v>
      </c>
      <c r="B44" s="9"/>
      <c r="C44" s="9"/>
      <c r="D44" s="9"/>
      <c r="E44" s="9"/>
      <c r="F44" s="9"/>
      <c r="G44" s="9"/>
      <c r="H44" s="9"/>
      <c r="I44" s="9"/>
      <c r="J44" s="9">
        <f t="shared" si="2"/>
        <v>0</v>
      </c>
      <c r="L44" s="31"/>
      <c r="Q44" s="1"/>
    </row>
    <row r="45" spans="1:17" x14ac:dyDescent="0.25">
      <c r="A45" s="1" t="s">
        <v>1</v>
      </c>
      <c r="B45" s="3"/>
      <c r="C45" s="3"/>
      <c r="D45" s="3"/>
      <c r="E45" s="3"/>
      <c r="F45" s="3"/>
      <c r="G45" s="3"/>
      <c r="H45" s="3">
        <v>-142</v>
      </c>
      <c r="I45" s="3"/>
      <c r="J45" s="3">
        <f t="shared" si="2"/>
        <v>-142</v>
      </c>
      <c r="L45" s="31"/>
      <c r="Q45" s="1"/>
    </row>
    <row r="46" spans="1:17" x14ac:dyDescent="0.25">
      <c r="A46" s="1" t="s">
        <v>0</v>
      </c>
      <c r="B46" s="9">
        <f>SUM(B29:B45)</f>
        <v>0</v>
      </c>
      <c r="C46" s="9">
        <f t="shared" ref="C46:J46" si="3">SUM(C29:C45)</f>
        <v>0</v>
      </c>
      <c r="D46" s="9">
        <f t="shared" si="3"/>
        <v>0</v>
      </c>
      <c r="E46" s="9">
        <f t="shared" si="3"/>
        <v>-7.92</v>
      </c>
      <c r="F46" s="9">
        <f t="shared" si="3"/>
        <v>0</v>
      </c>
      <c r="G46" s="9">
        <f t="shared" si="3"/>
        <v>0</v>
      </c>
      <c r="H46" s="9">
        <f t="shared" si="3"/>
        <v>-720.44</v>
      </c>
      <c r="I46" s="9">
        <f t="shared" si="3"/>
        <v>-726.5</v>
      </c>
      <c r="J46" s="9">
        <f t="shared" si="3"/>
        <v>-1454.8600000000001</v>
      </c>
      <c r="L46" s="31"/>
      <c r="Q46" s="1"/>
    </row>
    <row r="47" spans="1:17" ht="15.75" thickBot="1" x14ac:dyDescent="0.3">
      <c r="A47" s="1"/>
      <c r="B47" s="9"/>
      <c r="C47" s="9"/>
      <c r="D47" s="9"/>
      <c r="E47" s="9"/>
      <c r="F47" s="9"/>
      <c r="G47" s="9"/>
      <c r="H47" s="9"/>
      <c r="I47" s="9"/>
      <c r="J47" s="9"/>
      <c r="L47" s="31"/>
      <c r="Q47" s="1"/>
    </row>
    <row r="48" spans="1:17" ht="15.75" thickBot="1" x14ac:dyDescent="0.3">
      <c r="A48" s="180" t="s">
        <v>54</v>
      </c>
      <c r="B48" s="181"/>
      <c r="C48" s="181"/>
      <c r="D48" s="181"/>
      <c r="E48" s="181"/>
      <c r="F48" s="181"/>
      <c r="G48" s="181"/>
      <c r="H48" s="181"/>
      <c r="I48" s="181"/>
      <c r="J48" s="182"/>
      <c r="L48" s="31"/>
      <c r="Q48" s="1"/>
    </row>
    <row r="49" spans="1:17" x14ac:dyDescent="0.25">
      <c r="A49" s="4" t="s">
        <v>16</v>
      </c>
      <c r="B49" s="5" t="s">
        <v>15</v>
      </c>
      <c r="C49" s="5" t="s">
        <v>14</v>
      </c>
      <c r="D49" s="5" t="s">
        <v>13</v>
      </c>
      <c r="E49" s="5" t="s">
        <v>12</v>
      </c>
      <c r="F49" s="5" t="s">
        <v>93</v>
      </c>
      <c r="G49" s="5" t="s">
        <v>94</v>
      </c>
      <c r="H49" s="5" t="s">
        <v>38</v>
      </c>
      <c r="I49" s="5" t="s">
        <v>9</v>
      </c>
      <c r="J49" s="5" t="s">
        <v>0</v>
      </c>
      <c r="L49" s="31"/>
      <c r="Q49" s="1"/>
    </row>
    <row r="50" spans="1:17" x14ac:dyDescent="0.25">
      <c r="A50" s="1" t="s">
        <v>49</v>
      </c>
      <c r="B50" s="9">
        <f>B8-B29</f>
        <v>0</v>
      </c>
      <c r="C50" s="9">
        <f t="shared" ref="C50:I50" si="4">C8-C29</f>
        <v>0</v>
      </c>
      <c r="D50" s="9">
        <f t="shared" si="4"/>
        <v>0</v>
      </c>
      <c r="E50" s="9">
        <f t="shared" si="4"/>
        <v>0</v>
      </c>
      <c r="F50" s="9">
        <f t="shared" si="4"/>
        <v>0</v>
      </c>
      <c r="G50" s="9">
        <f t="shared" si="4"/>
        <v>0</v>
      </c>
      <c r="H50" s="9">
        <f t="shared" si="4"/>
        <v>0</v>
      </c>
      <c r="I50" s="9">
        <f t="shared" si="4"/>
        <v>0</v>
      </c>
      <c r="J50" s="9">
        <f>SUM(B50:I50)</f>
        <v>0</v>
      </c>
      <c r="L50" s="31"/>
      <c r="Q50" s="1"/>
    </row>
    <row r="51" spans="1:17" x14ac:dyDescent="0.25">
      <c r="A51" s="1" t="s">
        <v>8</v>
      </c>
      <c r="B51" s="9">
        <f t="shared" ref="B51:I51" si="5">B9-B30</f>
        <v>432</v>
      </c>
      <c r="C51" s="9">
        <f t="shared" si="5"/>
        <v>864</v>
      </c>
      <c r="D51" s="9">
        <f t="shared" si="5"/>
        <v>0</v>
      </c>
      <c r="E51" s="9">
        <f t="shared" si="5"/>
        <v>0</v>
      </c>
      <c r="F51" s="9">
        <f t="shared" si="5"/>
        <v>0</v>
      </c>
      <c r="G51" s="9">
        <f t="shared" si="5"/>
        <v>0</v>
      </c>
      <c r="H51" s="9">
        <f t="shared" si="5"/>
        <v>0</v>
      </c>
      <c r="I51" s="9">
        <f t="shared" si="5"/>
        <v>0</v>
      </c>
      <c r="J51" s="9">
        <f t="shared" ref="J51:J66" si="6">SUM(B51:I51)</f>
        <v>1296</v>
      </c>
      <c r="L51" s="31"/>
      <c r="Q51" s="1"/>
    </row>
    <row r="52" spans="1:17" x14ac:dyDescent="0.25">
      <c r="A52" s="1" t="s">
        <v>7</v>
      </c>
      <c r="B52" s="9">
        <f t="shared" ref="B52:I52" si="7">B10-B31</f>
        <v>6780</v>
      </c>
      <c r="C52" s="9">
        <f t="shared" si="7"/>
        <v>1080</v>
      </c>
      <c r="D52" s="9">
        <f t="shared" si="7"/>
        <v>0</v>
      </c>
      <c r="E52" s="9">
        <f t="shared" si="7"/>
        <v>0</v>
      </c>
      <c r="F52" s="9">
        <f t="shared" si="7"/>
        <v>0</v>
      </c>
      <c r="G52" s="9">
        <f t="shared" si="7"/>
        <v>0</v>
      </c>
      <c r="H52" s="9">
        <f t="shared" si="7"/>
        <v>0</v>
      </c>
      <c r="I52" s="9">
        <f t="shared" si="7"/>
        <v>0</v>
      </c>
      <c r="J52" s="9">
        <f t="shared" si="6"/>
        <v>7860</v>
      </c>
      <c r="L52" s="31"/>
      <c r="Q52" s="1"/>
    </row>
    <row r="53" spans="1:17" x14ac:dyDescent="0.25">
      <c r="A53" s="1" t="s">
        <v>42</v>
      </c>
      <c r="B53" s="9">
        <f t="shared" ref="B53:I53" si="8">B11-B32</f>
        <v>0</v>
      </c>
      <c r="C53" s="9">
        <f t="shared" si="8"/>
        <v>0</v>
      </c>
      <c r="D53" s="9">
        <f t="shared" si="8"/>
        <v>0</v>
      </c>
      <c r="E53" s="9">
        <f t="shared" si="8"/>
        <v>0</v>
      </c>
      <c r="F53" s="9">
        <f t="shared" si="8"/>
        <v>0</v>
      </c>
      <c r="G53" s="9">
        <f t="shared" si="8"/>
        <v>0</v>
      </c>
      <c r="H53" s="9">
        <f t="shared" si="8"/>
        <v>0</v>
      </c>
      <c r="I53" s="9">
        <f t="shared" si="8"/>
        <v>0</v>
      </c>
      <c r="J53" s="9">
        <f t="shared" si="6"/>
        <v>0</v>
      </c>
      <c r="L53" s="31"/>
      <c r="Q53" s="1"/>
    </row>
    <row r="54" spans="1:17" x14ac:dyDescent="0.25">
      <c r="A54" s="1" t="s">
        <v>6</v>
      </c>
      <c r="B54" s="9">
        <f t="shared" ref="B54:I54" si="9">B12-B33</f>
        <v>432</v>
      </c>
      <c r="C54" s="9">
        <f t="shared" si="9"/>
        <v>0</v>
      </c>
      <c r="D54" s="9">
        <f t="shared" si="9"/>
        <v>0</v>
      </c>
      <c r="E54" s="9">
        <f t="shared" si="9"/>
        <v>0</v>
      </c>
      <c r="F54" s="9">
        <f t="shared" si="9"/>
        <v>0</v>
      </c>
      <c r="G54" s="9">
        <f t="shared" si="9"/>
        <v>0</v>
      </c>
      <c r="H54" s="9">
        <f t="shared" si="9"/>
        <v>0</v>
      </c>
      <c r="I54" s="9">
        <f t="shared" si="9"/>
        <v>-35</v>
      </c>
      <c r="J54" s="9">
        <f t="shared" si="6"/>
        <v>397</v>
      </c>
      <c r="L54" s="31"/>
      <c r="Q54" s="1"/>
    </row>
    <row r="55" spans="1:17" x14ac:dyDescent="0.25">
      <c r="A55" s="1" t="s">
        <v>50</v>
      </c>
      <c r="B55" s="9">
        <f t="shared" ref="B55:I55" si="10">B13-B34</f>
        <v>0</v>
      </c>
      <c r="C55" s="9">
        <f t="shared" si="10"/>
        <v>0</v>
      </c>
      <c r="D55" s="9">
        <f t="shared" si="10"/>
        <v>0</v>
      </c>
      <c r="E55" s="9">
        <f t="shared" si="10"/>
        <v>0</v>
      </c>
      <c r="F55" s="9">
        <f t="shared" si="10"/>
        <v>0</v>
      </c>
      <c r="G55" s="9">
        <f t="shared" si="10"/>
        <v>0</v>
      </c>
      <c r="H55" s="9">
        <f t="shared" si="10"/>
        <v>0</v>
      </c>
      <c r="I55" s="9">
        <f t="shared" si="10"/>
        <v>0</v>
      </c>
      <c r="J55" s="9">
        <f t="shared" si="6"/>
        <v>0</v>
      </c>
      <c r="L55" s="31"/>
      <c r="Q55" s="1"/>
    </row>
    <row r="56" spans="1:17" x14ac:dyDescent="0.25">
      <c r="A56" s="1" t="s">
        <v>89</v>
      </c>
      <c r="B56" s="9">
        <f t="shared" ref="B56:I56" si="11">B14-B35</f>
        <v>0</v>
      </c>
      <c r="C56" s="9">
        <f t="shared" si="11"/>
        <v>0</v>
      </c>
      <c r="D56" s="9">
        <f t="shared" si="11"/>
        <v>0</v>
      </c>
      <c r="E56" s="9">
        <f t="shared" si="11"/>
        <v>0</v>
      </c>
      <c r="F56" s="9">
        <f t="shared" si="11"/>
        <v>0</v>
      </c>
      <c r="G56" s="9">
        <f t="shared" si="11"/>
        <v>0</v>
      </c>
      <c r="H56" s="9">
        <f t="shared" si="11"/>
        <v>0</v>
      </c>
      <c r="I56" s="9">
        <f t="shared" si="11"/>
        <v>0</v>
      </c>
      <c r="J56" s="9">
        <f t="shared" si="6"/>
        <v>0</v>
      </c>
      <c r="L56" s="31"/>
      <c r="Q56" s="1"/>
    </row>
    <row r="57" spans="1:17" x14ac:dyDescent="0.25">
      <c r="A57" s="1" t="s">
        <v>5</v>
      </c>
      <c r="B57" s="9">
        <f t="shared" ref="B57:I57" si="12">B15-B36</f>
        <v>0</v>
      </c>
      <c r="C57" s="9">
        <f t="shared" si="12"/>
        <v>0</v>
      </c>
      <c r="D57" s="9">
        <f t="shared" si="12"/>
        <v>0</v>
      </c>
      <c r="E57" s="9">
        <f t="shared" si="12"/>
        <v>0</v>
      </c>
      <c r="F57" s="9">
        <f t="shared" si="12"/>
        <v>0</v>
      </c>
      <c r="G57" s="9">
        <f t="shared" si="12"/>
        <v>0</v>
      </c>
      <c r="H57" s="9">
        <f t="shared" si="12"/>
        <v>0</v>
      </c>
      <c r="I57" s="9">
        <f t="shared" si="12"/>
        <v>0</v>
      </c>
      <c r="J57" s="9">
        <f t="shared" si="6"/>
        <v>0</v>
      </c>
      <c r="L57" s="31"/>
      <c r="Q57" s="1"/>
    </row>
    <row r="58" spans="1:17" x14ac:dyDescent="0.25">
      <c r="A58" s="1" t="s">
        <v>84</v>
      </c>
      <c r="B58" s="9">
        <f t="shared" ref="B58:I58" si="13">B16-B37</f>
        <v>0</v>
      </c>
      <c r="C58" s="9">
        <f t="shared" si="13"/>
        <v>0</v>
      </c>
      <c r="D58" s="9">
        <f t="shared" si="13"/>
        <v>0</v>
      </c>
      <c r="E58" s="9">
        <f t="shared" si="13"/>
        <v>0</v>
      </c>
      <c r="F58" s="9">
        <f t="shared" si="13"/>
        <v>0</v>
      </c>
      <c r="G58" s="9">
        <f t="shared" si="13"/>
        <v>0</v>
      </c>
      <c r="H58" s="9">
        <f t="shared" si="13"/>
        <v>0</v>
      </c>
      <c r="I58" s="9">
        <f t="shared" si="13"/>
        <v>0</v>
      </c>
      <c r="J58" s="9">
        <f t="shared" si="6"/>
        <v>0</v>
      </c>
      <c r="L58" s="31"/>
      <c r="Q58" s="1"/>
    </row>
    <row r="59" spans="1:17" x14ac:dyDescent="0.25">
      <c r="A59" s="1" t="s">
        <v>4</v>
      </c>
      <c r="B59" s="9">
        <f t="shared" ref="B59:I59" si="14">B17-B38</f>
        <v>432</v>
      </c>
      <c r="C59" s="9">
        <f t="shared" si="14"/>
        <v>0</v>
      </c>
      <c r="D59" s="9">
        <f t="shared" si="14"/>
        <v>0</v>
      </c>
      <c r="E59" s="9">
        <f t="shared" si="14"/>
        <v>0</v>
      </c>
      <c r="F59" s="9">
        <f t="shared" si="14"/>
        <v>0</v>
      </c>
      <c r="G59" s="9">
        <f t="shared" si="14"/>
        <v>0</v>
      </c>
      <c r="H59" s="9">
        <f t="shared" si="14"/>
        <v>0</v>
      </c>
      <c r="I59" s="9">
        <f t="shared" si="14"/>
        <v>0</v>
      </c>
      <c r="J59" s="9">
        <f t="shared" si="6"/>
        <v>432</v>
      </c>
      <c r="L59" s="31"/>
      <c r="Q59" s="1"/>
    </row>
    <row r="60" spans="1:17" x14ac:dyDescent="0.25">
      <c r="A60" s="1" t="s">
        <v>51</v>
      </c>
      <c r="B60" s="9">
        <f t="shared" ref="B60:I60" si="15">B18-B39</f>
        <v>432</v>
      </c>
      <c r="C60" s="9">
        <f t="shared" si="15"/>
        <v>0</v>
      </c>
      <c r="D60" s="9">
        <f t="shared" si="15"/>
        <v>0</v>
      </c>
      <c r="E60" s="9">
        <f t="shared" si="15"/>
        <v>0</v>
      </c>
      <c r="F60" s="9">
        <f t="shared" si="15"/>
        <v>0</v>
      </c>
      <c r="G60" s="9">
        <f t="shared" si="15"/>
        <v>0</v>
      </c>
      <c r="H60" s="9">
        <f t="shared" si="15"/>
        <v>0</v>
      </c>
      <c r="I60" s="9">
        <f t="shared" si="15"/>
        <v>0</v>
      </c>
      <c r="J60" s="9">
        <f t="shared" si="6"/>
        <v>432</v>
      </c>
      <c r="L60" s="31"/>
      <c r="Q60" s="1"/>
    </row>
    <row r="61" spans="1:17" x14ac:dyDescent="0.25">
      <c r="A61" s="1" t="s">
        <v>85</v>
      </c>
      <c r="B61" s="9">
        <f t="shared" ref="B61:I61" si="16">B19-B40</f>
        <v>0</v>
      </c>
      <c r="C61" s="9">
        <f t="shared" si="16"/>
        <v>0</v>
      </c>
      <c r="D61" s="9">
        <f t="shared" si="16"/>
        <v>0</v>
      </c>
      <c r="E61" s="9">
        <f t="shared" si="16"/>
        <v>0</v>
      </c>
      <c r="F61" s="9">
        <f t="shared" si="16"/>
        <v>0</v>
      </c>
      <c r="G61" s="9">
        <f t="shared" si="16"/>
        <v>0</v>
      </c>
      <c r="H61" s="9">
        <f t="shared" si="16"/>
        <v>432</v>
      </c>
      <c r="I61" s="9">
        <f t="shared" si="16"/>
        <v>0</v>
      </c>
      <c r="J61" s="9">
        <f t="shared" si="6"/>
        <v>432</v>
      </c>
      <c r="L61" s="31"/>
      <c r="Q61" s="1"/>
    </row>
    <row r="62" spans="1:17" x14ac:dyDescent="0.25">
      <c r="A62" s="1" t="s">
        <v>2</v>
      </c>
      <c r="B62" s="9">
        <f t="shared" ref="B62:I62" si="17">B20-B41</f>
        <v>721.31999999999971</v>
      </c>
      <c r="C62" s="9">
        <f t="shared" si="17"/>
        <v>3355.43</v>
      </c>
      <c r="D62" s="9">
        <f t="shared" si="17"/>
        <v>2210.86</v>
      </c>
      <c r="E62" s="9">
        <f t="shared" si="17"/>
        <v>548.64</v>
      </c>
      <c r="F62" s="9">
        <f t="shared" si="17"/>
        <v>548.73</v>
      </c>
      <c r="G62" s="9">
        <f t="shared" si="17"/>
        <v>1101.2</v>
      </c>
      <c r="H62" s="9">
        <f t="shared" si="17"/>
        <v>1567.48</v>
      </c>
      <c r="I62" s="9">
        <f t="shared" si="17"/>
        <v>980.46000000000015</v>
      </c>
      <c r="J62" s="9">
        <f t="shared" si="6"/>
        <v>11034.12</v>
      </c>
      <c r="L62" s="31"/>
      <c r="Q62" s="1"/>
    </row>
    <row r="63" spans="1:17" x14ac:dyDescent="0.25">
      <c r="A63" s="1" t="s">
        <v>86</v>
      </c>
      <c r="B63" s="9">
        <f t="shared" ref="B63:I63" si="18">B21-B42</f>
        <v>0</v>
      </c>
      <c r="C63" s="9">
        <f t="shared" si="18"/>
        <v>0</v>
      </c>
      <c r="D63" s="9">
        <f t="shared" si="18"/>
        <v>0</v>
      </c>
      <c r="E63" s="9">
        <f t="shared" si="18"/>
        <v>0</v>
      </c>
      <c r="F63" s="9">
        <f t="shared" si="18"/>
        <v>0</v>
      </c>
      <c r="G63" s="9">
        <f t="shared" si="18"/>
        <v>0</v>
      </c>
      <c r="H63" s="9">
        <f t="shared" si="18"/>
        <v>0</v>
      </c>
      <c r="I63" s="9">
        <f t="shared" si="18"/>
        <v>0</v>
      </c>
      <c r="J63" s="9">
        <f t="shared" si="6"/>
        <v>0</v>
      </c>
      <c r="L63" s="31"/>
      <c r="Q63" s="1"/>
    </row>
    <row r="64" spans="1:17" x14ac:dyDescent="0.25">
      <c r="A64" s="1" t="s">
        <v>29</v>
      </c>
      <c r="B64" s="9">
        <f t="shared" ref="B64:I64" si="19">B22-B43</f>
        <v>0</v>
      </c>
      <c r="C64" s="9">
        <f t="shared" si="19"/>
        <v>0</v>
      </c>
      <c r="D64" s="9">
        <f t="shared" si="19"/>
        <v>0</v>
      </c>
      <c r="E64" s="9">
        <f t="shared" si="19"/>
        <v>0</v>
      </c>
      <c r="F64" s="9">
        <f t="shared" si="19"/>
        <v>0</v>
      </c>
      <c r="G64" s="9">
        <f t="shared" si="19"/>
        <v>0</v>
      </c>
      <c r="H64" s="9">
        <f t="shared" si="19"/>
        <v>0</v>
      </c>
      <c r="I64" s="9">
        <f t="shared" si="19"/>
        <v>0</v>
      </c>
      <c r="J64" s="9">
        <f t="shared" si="6"/>
        <v>0</v>
      </c>
      <c r="L64" s="31"/>
      <c r="Q64" s="1"/>
    </row>
    <row r="65" spans="1:17" x14ac:dyDescent="0.25">
      <c r="A65" s="1" t="s">
        <v>52</v>
      </c>
      <c r="B65" s="9">
        <f t="shared" ref="B65:I65" si="20">B23-B44</f>
        <v>0</v>
      </c>
      <c r="C65" s="9">
        <f t="shared" si="20"/>
        <v>0</v>
      </c>
      <c r="D65" s="9">
        <f t="shared" si="20"/>
        <v>0</v>
      </c>
      <c r="E65" s="9">
        <f t="shared" si="20"/>
        <v>0</v>
      </c>
      <c r="F65" s="9">
        <f t="shared" si="20"/>
        <v>0</v>
      </c>
      <c r="G65" s="9">
        <f t="shared" si="20"/>
        <v>0</v>
      </c>
      <c r="H65" s="9">
        <f t="shared" si="20"/>
        <v>0</v>
      </c>
      <c r="I65" s="9">
        <f t="shared" si="20"/>
        <v>0</v>
      </c>
      <c r="J65" s="9">
        <f t="shared" si="6"/>
        <v>0</v>
      </c>
      <c r="L65" s="31"/>
      <c r="Q65" s="1"/>
    </row>
    <row r="66" spans="1:17" x14ac:dyDescent="0.25">
      <c r="A66" s="1" t="s">
        <v>1</v>
      </c>
      <c r="B66" s="3">
        <f t="shared" ref="B66:I66" si="21">B24-B45</f>
        <v>900</v>
      </c>
      <c r="C66" s="3">
        <f t="shared" si="21"/>
        <v>0</v>
      </c>
      <c r="D66" s="3">
        <f t="shared" si="21"/>
        <v>732</v>
      </c>
      <c r="E66" s="3">
        <f t="shared" si="21"/>
        <v>0</v>
      </c>
      <c r="F66" s="3">
        <f t="shared" si="21"/>
        <v>0</v>
      </c>
      <c r="G66" s="3">
        <f t="shared" si="21"/>
        <v>0</v>
      </c>
      <c r="H66" s="3">
        <f t="shared" si="21"/>
        <v>0</v>
      </c>
      <c r="I66" s="3">
        <f t="shared" si="21"/>
        <v>0</v>
      </c>
      <c r="J66" s="3">
        <f t="shared" si="6"/>
        <v>1632</v>
      </c>
      <c r="L66" s="31"/>
      <c r="Q66" s="1"/>
    </row>
    <row r="67" spans="1:17" x14ac:dyDescent="0.25">
      <c r="A67" s="1" t="s">
        <v>0</v>
      </c>
      <c r="B67" s="9">
        <f>SUM(B50:B66)</f>
        <v>10129.32</v>
      </c>
      <c r="C67" s="9">
        <f t="shared" ref="C67:J67" si="22">SUM(C50:C66)</f>
        <v>5299.43</v>
      </c>
      <c r="D67" s="9">
        <f t="shared" si="22"/>
        <v>2942.86</v>
      </c>
      <c r="E67" s="9">
        <f t="shared" si="22"/>
        <v>548.64</v>
      </c>
      <c r="F67" s="9">
        <f t="shared" si="22"/>
        <v>548.73</v>
      </c>
      <c r="G67" s="9">
        <f t="shared" si="22"/>
        <v>1101.2</v>
      </c>
      <c r="H67" s="9">
        <f t="shared" si="22"/>
        <v>1999.48</v>
      </c>
      <c r="I67" s="9">
        <f t="shared" si="22"/>
        <v>945.46000000000015</v>
      </c>
      <c r="J67" s="9">
        <f t="shared" si="22"/>
        <v>23515.120000000003</v>
      </c>
      <c r="L67" s="31"/>
      <c r="Q67" s="1"/>
    </row>
    <row r="68" spans="1:17" ht="15.75" thickBot="1" x14ac:dyDescent="0.3">
      <c r="A68" s="1"/>
      <c r="B68" s="9"/>
      <c r="C68" s="9"/>
      <c r="D68" s="9"/>
      <c r="E68" s="9"/>
      <c r="F68" s="9"/>
      <c r="G68" s="9"/>
      <c r="H68" s="9"/>
      <c r="I68" s="9"/>
      <c r="J68" s="9"/>
      <c r="L68" s="31"/>
      <c r="Q68" s="1"/>
    </row>
    <row r="69" spans="1:17" ht="15.75" thickBot="1" x14ac:dyDescent="0.3">
      <c r="A69" s="167" t="s">
        <v>55</v>
      </c>
      <c r="B69" s="168"/>
      <c r="C69" s="168"/>
      <c r="D69" s="168"/>
      <c r="E69" s="168"/>
      <c r="F69" s="168"/>
      <c r="G69" s="168"/>
      <c r="H69" s="168"/>
      <c r="I69" s="168"/>
      <c r="J69" s="169"/>
      <c r="Q69" s="1"/>
    </row>
    <row r="70" spans="1:17" x14ac:dyDescent="0.25">
      <c r="A70" s="4" t="s">
        <v>16</v>
      </c>
      <c r="B70" s="5" t="s">
        <v>15</v>
      </c>
      <c r="C70" s="5" t="s">
        <v>14</v>
      </c>
      <c r="D70" s="5" t="s">
        <v>13</v>
      </c>
      <c r="E70" s="5" t="s">
        <v>12</v>
      </c>
      <c r="F70" s="5" t="s">
        <v>93</v>
      </c>
      <c r="G70" s="5" t="s">
        <v>94</v>
      </c>
      <c r="H70" s="5" t="s">
        <v>38</v>
      </c>
      <c r="I70" s="5" t="s">
        <v>9</v>
      </c>
      <c r="J70" s="5" t="s">
        <v>0</v>
      </c>
      <c r="Q70" s="1"/>
    </row>
    <row r="71" spans="1:17" x14ac:dyDescent="0.25">
      <c r="A71" s="1" t="s">
        <v>49</v>
      </c>
      <c r="B71" s="36">
        <f>'Reimbursement Rates &lt;-INPUT'!B9</f>
        <v>0</v>
      </c>
      <c r="C71" s="36">
        <f t="shared" ref="C71:C87" si="23">B71</f>
        <v>0</v>
      </c>
      <c r="D71" s="36">
        <f t="shared" ref="D71:D87" si="24">C71</f>
        <v>0</v>
      </c>
      <c r="E71" s="36">
        <f t="shared" ref="E71:E87" si="25">D71</f>
        <v>0</v>
      </c>
      <c r="F71" s="36">
        <f t="shared" ref="F71:F87" si="26">E71</f>
        <v>0</v>
      </c>
      <c r="G71" s="36">
        <f t="shared" ref="G71:G87" si="27">F71</f>
        <v>0</v>
      </c>
      <c r="H71" s="36">
        <f t="shared" ref="H71:H87" si="28">G71</f>
        <v>0</v>
      </c>
      <c r="I71" s="36">
        <f>H71</f>
        <v>0</v>
      </c>
      <c r="J71" s="36">
        <f t="shared" ref="J71:J87" si="29">H71</f>
        <v>0</v>
      </c>
    </row>
    <row r="72" spans="1:17" x14ac:dyDescent="0.25">
      <c r="A72" s="1" t="s">
        <v>8</v>
      </c>
      <c r="B72" s="36">
        <f>'Reimbursement Rates &lt;-INPUT'!B10</f>
        <v>0.89500000000000002</v>
      </c>
      <c r="C72" s="36">
        <f t="shared" si="23"/>
        <v>0.89500000000000002</v>
      </c>
      <c r="D72" s="36">
        <f t="shared" si="24"/>
        <v>0.89500000000000002</v>
      </c>
      <c r="E72" s="36">
        <f t="shared" si="25"/>
        <v>0.89500000000000002</v>
      </c>
      <c r="F72" s="36">
        <f t="shared" si="26"/>
        <v>0.89500000000000002</v>
      </c>
      <c r="G72" s="36">
        <f t="shared" si="27"/>
        <v>0.89500000000000002</v>
      </c>
      <c r="H72" s="36">
        <f t="shared" si="28"/>
        <v>0.89500000000000002</v>
      </c>
      <c r="I72" s="36">
        <f t="shared" ref="I72:I87" si="30">H72</f>
        <v>0.89500000000000002</v>
      </c>
      <c r="J72" s="36">
        <f t="shared" si="29"/>
        <v>0.89500000000000002</v>
      </c>
      <c r="Q72" s="1"/>
    </row>
    <row r="73" spans="1:17" x14ac:dyDescent="0.25">
      <c r="A73" s="1" t="s">
        <v>7</v>
      </c>
      <c r="B73" s="36">
        <f>'Reimbursement Rates &lt;-INPUT'!B11</f>
        <v>0.76500000000000001</v>
      </c>
      <c r="C73" s="36">
        <f t="shared" si="23"/>
        <v>0.76500000000000001</v>
      </c>
      <c r="D73" s="36">
        <f t="shared" si="24"/>
        <v>0.76500000000000001</v>
      </c>
      <c r="E73" s="36">
        <f t="shared" si="25"/>
        <v>0.76500000000000001</v>
      </c>
      <c r="F73" s="36">
        <f t="shared" si="26"/>
        <v>0.76500000000000001</v>
      </c>
      <c r="G73" s="36">
        <f t="shared" si="27"/>
        <v>0.76500000000000001</v>
      </c>
      <c r="H73" s="36">
        <f t="shared" si="28"/>
        <v>0.76500000000000001</v>
      </c>
      <c r="I73" s="36">
        <f t="shared" si="30"/>
        <v>0.76500000000000001</v>
      </c>
      <c r="J73" s="36">
        <f t="shared" si="29"/>
        <v>0.76500000000000001</v>
      </c>
    </row>
    <row r="74" spans="1:17" x14ac:dyDescent="0.25">
      <c r="A74" s="1" t="s">
        <v>42</v>
      </c>
      <c r="B74" s="36">
        <f>'Reimbursement Rates &lt;-INPUT'!B12</f>
        <v>0.73499999999999999</v>
      </c>
      <c r="C74" s="36">
        <f t="shared" si="23"/>
        <v>0.73499999999999999</v>
      </c>
      <c r="D74" s="36">
        <f t="shared" si="24"/>
        <v>0.73499999999999999</v>
      </c>
      <c r="E74" s="36">
        <f t="shared" si="25"/>
        <v>0.73499999999999999</v>
      </c>
      <c r="F74" s="36">
        <f t="shared" si="26"/>
        <v>0.73499999999999999</v>
      </c>
      <c r="G74" s="36">
        <f t="shared" si="27"/>
        <v>0.73499999999999999</v>
      </c>
      <c r="H74" s="36">
        <f t="shared" si="28"/>
        <v>0.73499999999999999</v>
      </c>
      <c r="I74" s="36">
        <f t="shared" si="30"/>
        <v>0.73499999999999999</v>
      </c>
      <c r="J74" s="36">
        <f t="shared" si="29"/>
        <v>0.73499999999999999</v>
      </c>
    </row>
    <row r="75" spans="1:17" x14ac:dyDescent="0.25">
      <c r="A75" s="1" t="s">
        <v>6</v>
      </c>
      <c r="B75" s="36">
        <f>'Reimbursement Rates &lt;-INPUT'!B13</f>
        <v>0.73499999999999999</v>
      </c>
      <c r="C75" s="36">
        <f t="shared" si="23"/>
        <v>0.73499999999999999</v>
      </c>
      <c r="D75" s="36">
        <f t="shared" si="24"/>
        <v>0.73499999999999999</v>
      </c>
      <c r="E75" s="36">
        <f t="shared" si="25"/>
        <v>0.73499999999999999</v>
      </c>
      <c r="F75" s="36">
        <f t="shared" si="26"/>
        <v>0.73499999999999999</v>
      </c>
      <c r="G75" s="36">
        <f t="shared" si="27"/>
        <v>0.73499999999999999</v>
      </c>
      <c r="H75" s="36">
        <f t="shared" si="28"/>
        <v>0.73499999999999999</v>
      </c>
      <c r="I75" s="36">
        <f t="shared" si="30"/>
        <v>0.73499999999999999</v>
      </c>
      <c r="J75" s="36">
        <f t="shared" si="29"/>
        <v>0.73499999999999999</v>
      </c>
      <c r="Q75" s="1"/>
    </row>
    <row r="76" spans="1:17" x14ac:dyDescent="0.25">
      <c r="A76" s="1" t="s">
        <v>50</v>
      </c>
      <c r="B76" s="36">
        <f>'Reimbursement Rates &lt;-INPUT'!B15</f>
        <v>0.76200000000000001</v>
      </c>
      <c r="C76" s="36">
        <f t="shared" si="23"/>
        <v>0.76200000000000001</v>
      </c>
      <c r="D76" s="36">
        <f t="shared" si="24"/>
        <v>0.76200000000000001</v>
      </c>
      <c r="E76" s="36">
        <f t="shared" si="25"/>
        <v>0.76200000000000001</v>
      </c>
      <c r="F76" s="36">
        <f t="shared" si="26"/>
        <v>0.76200000000000001</v>
      </c>
      <c r="G76" s="36">
        <f t="shared" si="27"/>
        <v>0.76200000000000001</v>
      </c>
      <c r="H76" s="36">
        <f t="shared" si="28"/>
        <v>0.76200000000000001</v>
      </c>
      <c r="I76" s="36">
        <f t="shared" si="30"/>
        <v>0.76200000000000001</v>
      </c>
      <c r="J76" s="36">
        <f t="shared" si="29"/>
        <v>0.76200000000000001</v>
      </c>
      <c r="M76" s="7"/>
    </row>
    <row r="77" spans="1:17" x14ac:dyDescent="0.25">
      <c r="A77" s="1" t="s">
        <v>89</v>
      </c>
      <c r="B77" s="36">
        <f>'Reimbursement Rates &lt;-INPUT'!B16</f>
        <v>0</v>
      </c>
      <c r="C77" s="36">
        <f t="shared" si="23"/>
        <v>0</v>
      </c>
      <c r="D77" s="36">
        <f t="shared" si="24"/>
        <v>0</v>
      </c>
      <c r="E77" s="36">
        <f t="shared" si="25"/>
        <v>0</v>
      </c>
      <c r="F77" s="36">
        <f t="shared" si="26"/>
        <v>0</v>
      </c>
      <c r="G77" s="36">
        <f t="shared" si="27"/>
        <v>0</v>
      </c>
      <c r="H77" s="36">
        <f t="shared" si="28"/>
        <v>0</v>
      </c>
      <c r="I77" s="36">
        <f t="shared" si="30"/>
        <v>0</v>
      </c>
      <c r="J77" s="36">
        <f t="shared" si="29"/>
        <v>0</v>
      </c>
      <c r="M77" s="7"/>
    </row>
    <row r="78" spans="1:17" x14ac:dyDescent="0.25">
      <c r="A78" s="1" t="s">
        <v>5</v>
      </c>
      <c r="B78" s="36">
        <f>'Reimbursement Rates &lt;-INPUT'!B17</f>
        <v>0.69</v>
      </c>
      <c r="C78" s="36">
        <f t="shared" si="23"/>
        <v>0.69</v>
      </c>
      <c r="D78" s="36">
        <f t="shared" si="24"/>
        <v>0.69</v>
      </c>
      <c r="E78" s="36">
        <f t="shared" si="25"/>
        <v>0.69</v>
      </c>
      <c r="F78" s="36">
        <f t="shared" si="26"/>
        <v>0.69</v>
      </c>
      <c r="G78" s="36">
        <f t="shared" si="27"/>
        <v>0.69</v>
      </c>
      <c r="H78" s="36">
        <f t="shared" si="28"/>
        <v>0.69</v>
      </c>
      <c r="I78" s="36">
        <f t="shared" si="30"/>
        <v>0.69</v>
      </c>
      <c r="J78" s="36">
        <f t="shared" si="29"/>
        <v>0.69</v>
      </c>
      <c r="M78" s="7"/>
      <c r="Q78" s="1"/>
    </row>
    <row r="79" spans="1:17" x14ac:dyDescent="0.25">
      <c r="A79" s="1" t="s">
        <v>84</v>
      </c>
      <c r="B79" s="36">
        <f>'Reimbursement Rates &lt;-INPUT'!B18</f>
        <v>0</v>
      </c>
      <c r="C79" s="36">
        <f t="shared" si="23"/>
        <v>0</v>
      </c>
      <c r="D79" s="36">
        <f t="shared" si="24"/>
        <v>0</v>
      </c>
      <c r="E79" s="36">
        <f t="shared" si="25"/>
        <v>0</v>
      </c>
      <c r="F79" s="36">
        <f t="shared" si="26"/>
        <v>0</v>
      </c>
      <c r="G79" s="36">
        <f t="shared" si="27"/>
        <v>0</v>
      </c>
      <c r="H79" s="36">
        <f t="shared" si="28"/>
        <v>0</v>
      </c>
      <c r="I79" s="36">
        <f t="shared" si="30"/>
        <v>0</v>
      </c>
      <c r="J79" s="36">
        <f t="shared" si="29"/>
        <v>0</v>
      </c>
      <c r="M79" s="7"/>
      <c r="Q79" s="1"/>
    </row>
    <row r="80" spans="1:17" x14ac:dyDescent="0.25">
      <c r="A80" s="1" t="s">
        <v>4</v>
      </c>
      <c r="B80" s="36">
        <f>'Reimbursement Rates &lt;-INPUT'!B19</f>
        <v>0.218</v>
      </c>
      <c r="C80" s="36">
        <f t="shared" si="23"/>
        <v>0.218</v>
      </c>
      <c r="D80" s="36">
        <f t="shared" si="24"/>
        <v>0.218</v>
      </c>
      <c r="E80" s="36">
        <f t="shared" si="25"/>
        <v>0.218</v>
      </c>
      <c r="F80" s="36">
        <f t="shared" si="26"/>
        <v>0.218</v>
      </c>
      <c r="G80" s="36">
        <f t="shared" si="27"/>
        <v>0.218</v>
      </c>
      <c r="H80" s="36">
        <f t="shared" si="28"/>
        <v>0.218</v>
      </c>
      <c r="I80" s="36">
        <f t="shared" si="30"/>
        <v>0.218</v>
      </c>
      <c r="J80" s="36">
        <f t="shared" si="29"/>
        <v>0.218</v>
      </c>
      <c r="M80" s="7"/>
    </row>
    <row r="81" spans="1:17" x14ac:dyDescent="0.25">
      <c r="A81" s="1" t="s">
        <v>51</v>
      </c>
      <c r="B81" s="36">
        <f>'Reimbursement Rates &lt;-INPUT'!B20</f>
        <v>0.68899999999999995</v>
      </c>
      <c r="C81" s="36">
        <f t="shared" si="23"/>
        <v>0.68899999999999995</v>
      </c>
      <c r="D81" s="36">
        <f t="shared" si="24"/>
        <v>0.68899999999999995</v>
      </c>
      <c r="E81" s="36">
        <f t="shared" si="25"/>
        <v>0.68899999999999995</v>
      </c>
      <c r="F81" s="36">
        <f t="shared" si="26"/>
        <v>0.68899999999999995</v>
      </c>
      <c r="G81" s="36">
        <f t="shared" si="27"/>
        <v>0.68899999999999995</v>
      </c>
      <c r="H81" s="36">
        <f t="shared" si="28"/>
        <v>0.68899999999999995</v>
      </c>
      <c r="I81" s="36">
        <f t="shared" si="30"/>
        <v>0.68899999999999995</v>
      </c>
      <c r="J81" s="36">
        <f t="shared" si="29"/>
        <v>0.68899999999999995</v>
      </c>
      <c r="M81" s="7"/>
      <c r="Q81" s="1"/>
    </row>
    <row r="82" spans="1:17" x14ac:dyDescent="0.25">
      <c r="A82" s="1" t="s">
        <v>85</v>
      </c>
      <c r="B82" s="36">
        <f>'Reimbursement Rates &lt;-INPUT'!B22</f>
        <v>0</v>
      </c>
      <c r="C82" s="36">
        <f t="shared" si="23"/>
        <v>0</v>
      </c>
      <c r="D82" s="36">
        <f t="shared" si="24"/>
        <v>0</v>
      </c>
      <c r="E82" s="36">
        <f t="shared" si="25"/>
        <v>0</v>
      </c>
      <c r="F82" s="36">
        <f t="shared" si="26"/>
        <v>0</v>
      </c>
      <c r="G82" s="36">
        <f t="shared" si="27"/>
        <v>0</v>
      </c>
      <c r="H82" s="36">
        <f t="shared" si="28"/>
        <v>0</v>
      </c>
      <c r="I82" s="36">
        <f t="shared" si="30"/>
        <v>0</v>
      </c>
      <c r="J82" s="36">
        <f t="shared" si="29"/>
        <v>0</v>
      </c>
      <c r="M82" s="7"/>
      <c r="Q82" s="1"/>
    </row>
    <row r="83" spans="1:17" x14ac:dyDescent="0.25">
      <c r="A83" s="1" t="s">
        <v>2</v>
      </c>
      <c r="B83" s="36">
        <f>'Reimbursement Rates &lt;-INPUT'!B23</f>
        <v>0.998</v>
      </c>
      <c r="C83" s="36">
        <f t="shared" si="23"/>
        <v>0.998</v>
      </c>
      <c r="D83" s="36">
        <f t="shared" si="24"/>
        <v>0.998</v>
      </c>
      <c r="E83" s="36">
        <f t="shared" si="25"/>
        <v>0.998</v>
      </c>
      <c r="F83" s="36">
        <f t="shared" si="26"/>
        <v>0.998</v>
      </c>
      <c r="G83" s="36">
        <f t="shared" si="27"/>
        <v>0.998</v>
      </c>
      <c r="H83" s="36">
        <f t="shared" si="28"/>
        <v>0.998</v>
      </c>
      <c r="I83" s="36">
        <f t="shared" si="30"/>
        <v>0.998</v>
      </c>
      <c r="J83" s="36">
        <f t="shared" si="29"/>
        <v>0.998</v>
      </c>
      <c r="M83" s="7"/>
      <c r="Q83" s="1"/>
    </row>
    <row r="84" spans="1:17" x14ac:dyDescent="0.25">
      <c r="A84" s="1" t="s">
        <v>86</v>
      </c>
      <c r="B84" s="36">
        <f>'Reimbursement Rates &lt;-INPUT'!B24</f>
        <v>0.88500000000000001</v>
      </c>
      <c r="C84" s="36">
        <f t="shared" si="23"/>
        <v>0.88500000000000001</v>
      </c>
      <c r="D84" s="36">
        <f t="shared" si="24"/>
        <v>0.88500000000000001</v>
      </c>
      <c r="E84" s="36">
        <f t="shared" si="25"/>
        <v>0.88500000000000001</v>
      </c>
      <c r="F84" s="36">
        <f t="shared" si="26"/>
        <v>0.88500000000000001</v>
      </c>
      <c r="G84" s="36">
        <f t="shared" si="27"/>
        <v>0.88500000000000001</v>
      </c>
      <c r="H84" s="36">
        <f t="shared" si="28"/>
        <v>0.88500000000000001</v>
      </c>
      <c r="I84" s="36">
        <f t="shared" si="30"/>
        <v>0.88500000000000001</v>
      </c>
      <c r="J84" s="36">
        <f t="shared" si="29"/>
        <v>0.88500000000000001</v>
      </c>
      <c r="M84" s="7"/>
    </row>
    <row r="85" spans="1:17" x14ac:dyDescent="0.25">
      <c r="A85" s="1" t="s">
        <v>29</v>
      </c>
      <c r="B85" s="36">
        <f>'Reimbursement Rates &lt;-INPUT'!B25</f>
        <v>1</v>
      </c>
      <c r="C85" s="36">
        <f t="shared" si="23"/>
        <v>1</v>
      </c>
      <c r="D85" s="36">
        <f t="shared" si="24"/>
        <v>1</v>
      </c>
      <c r="E85" s="36">
        <f t="shared" si="25"/>
        <v>1</v>
      </c>
      <c r="F85" s="36">
        <f t="shared" si="26"/>
        <v>1</v>
      </c>
      <c r="G85" s="36">
        <f t="shared" si="27"/>
        <v>1</v>
      </c>
      <c r="H85" s="36">
        <f t="shared" si="28"/>
        <v>1</v>
      </c>
      <c r="I85" s="36">
        <f t="shared" si="30"/>
        <v>1</v>
      </c>
      <c r="J85" s="36">
        <f t="shared" si="29"/>
        <v>1</v>
      </c>
      <c r="M85" s="7"/>
    </row>
    <row r="86" spans="1:17" x14ac:dyDescent="0.25">
      <c r="A86" s="1" t="s">
        <v>52</v>
      </c>
      <c r="B86" s="36">
        <f>'Reimbursement Rates &lt;-INPUT'!B26</f>
        <v>0</v>
      </c>
      <c r="C86" s="36">
        <f t="shared" si="23"/>
        <v>0</v>
      </c>
      <c r="D86" s="36">
        <f t="shared" si="24"/>
        <v>0</v>
      </c>
      <c r="E86" s="36">
        <f t="shared" si="25"/>
        <v>0</v>
      </c>
      <c r="F86" s="36">
        <f t="shared" si="26"/>
        <v>0</v>
      </c>
      <c r="G86" s="36">
        <f t="shared" si="27"/>
        <v>0</v>
      </c>
      <c r="H86" s="36">
        <f t="shared" si="28"/>
        <v>0</v>
      </c>
      <c r="I86" s="36">
        <f t="shared" si="30"/>
        <v>0</v>
      </c>
      <c r="J86" s="36">
        <f t="shared" si="29"/>
        <v>0</v>
      </c>
      <c r="M86" s="7"/>
      <c r="Q86" s="1"/>
    </row>
    <row r="87" spans="1:17" x14ac:dyDescent="0.25">
      <c r="A87" s="1" t="s">
        <v>1</v>
      </c>
      <c r="B87" s="36">
        <f>'Reimbursement Rates &lt;-INPUT'!B28</f>
        <v>0.73699999999999999</v>
      </c>
      <c r="C87" s="36">
        <f t="shared" si="23"/>
        <v>0.73699999999999999</v>
      </c>
      <c r="D87" s="36">
        <f t="shared" si="24"/>
        <v>0.73699999999999999</v>
      </c>
      <c r="E87" s="36">
        <f t="shared" si="25"/>
        <v>0.73699999999999999</v>
      </c>
      <c r="F87" s="36">
        <f t="shared" si="26"/>
        <v>0.73699999999999999</v>
      </c>
      <c r="G87" s="36">
        <f t="shared" si="27"/>
        <v>0.73699999999999999</v>
      </c>
      <c r="H87" s="36">
        <f t="shared" si="28"/>
        <v>0.73699999999999999</v>
      </c>
      <c r="I87" s="36">
        <f t="shared" si="30"/>
        <v>0.73699999999999999</v>
      </c>
      <c r="J87" s="36">
        <f t="shared" si="29"/>
        <v>0.73699999999999999</v>
      </c>
      <c r="M87" s="7"/>
      <c r="Q87" s="1"/>
    </row>
    <row r="88" spans="1:17" ht="15.75" thickBot="1" x14ac:dyDescent="0.3">
      <c r="A88" s="1"/>
      <c r="B88" s="9"/>
      <c r="C88" s="9"/>
      <c r="D88" s="9"/>
      <c r="E88" s="9"/>
      <c r="F88" s="9"/>
      <c r="G88" s="9"/>
      <c r="H88" s="9"/>
      <c r="I88" s="9"/>
      <c r="J88" s="9"/>
      <c r="M88" s="7"/>
      <c r="Q88" s="1"/>
    </row>
    <row r="89" spans="1:17" ht="15.75" thickBot="1" x14ac:dyDescent="0.3">
      <c r="A89" s="170" t="s">
        <v>33</v>
      </c>
      <c r="B89" s="171"/>
      <c r="C89" s="171"/>
      <c r="D89" s="171"/>
      <c r="E89" s="171"/>
      <c r="F89" s="171"/>
      <c r="G89" s="171"/>
      <c r="H89" s="171"/>
      <c r="I89" s="171"/>
      <c r="J89" s="172"/>
      <c r="L89" s="31"/>
      <c r="M89" s="7"/>
      <c r="Q89" s="1"/>
    </row>
    <row r="90" spans="1:17" x14ac:dyDescent="0.25">
      <c r="A90" s="4" t="s">
        <v>16</v>
      </c>
      <c r="B90" s="5" t="s">
        <v>15</v>
      </c>
      <c r="C90" s="5" t="s">
        <v>14</v>
      </c>
      <c r="D90" s="5" t="s">
        <v>13</v>
      </c>
      <c r="E90" s="5" t="s">
        <v>12</v>
      </c>
      <c r="F90" s="5" t="s">
        <v>93</v>
      </c>
      <c r="G90" s="5" t="s">
        <v>94</v>
      </c>
      <c r="H90" s="5" t="s">
        <v>38</v>
      </c>
      <c r="I90" s="5" t="s">
        <v>9</v>
      </c>
      <c r="J90" s="5" t="s">
        <v>0</v>
      </c>
      <c r="M90" s="7"/>
    </row>
    <row r="91" spans="1:17" x14ac:dyDescent="0.25">
      <c r="A91" s="1" t="s">
        <v>49</v>
      </c>
      <c r="B91" s="112">
        <f>B50*(1-B71)</f>
        <v>0</v>
      </c>
      <c r="C91" s="112">
        <f t="shared" ref="C91:I91" si="31">C50*(1-C71)</f>
        <v>0</v>
      </c>
      <c r="D91" s="112">
        <f t="shared" si="31"/>
        <v>0</v>
      </c>
      <c r="E91" s="112">
        <f t="shared" si="31"/>
        <v>0</v>
      </c>
      <c r="F91" s="112">
        <f t="shared" si="31"/>
        <v>0</v>
      </c>
      <c r="G91" s="112">
        <f t="shared" si="31"/>
        <v>0</v>
      </c>
      <c r="H91" s="112">
        <f t="shared" si="31"/>
        <v>0</v>
      </c>
      <c r="I91" s="112">
        <f t="shared" si="31"/>
        <v>0</v>
      </c>
      <c r="J91" s="37">
        <f>SUM(B91:I91)</f>
        <v>0</v>
      </c>
      <c r="M91" s="7"/>
      <c r="Q91" s="1"/>
    </row>
    <row r="92" spans="1:17" x14ac:dyDescent="0.25">
      <c r="A92" s="1" t="s">
        <v>8</v>
      </c>
      <c r="B92" s="37">
        <f t="shared" ref="B92:I92" si="32">B51*(1-B72)</f>
        <v>45.359999999999992</v>
      </c>
      <c r="C92" s="37">
        <f t="shared" si="32"/>
        <v>90.719999999999985</v>
      </c>
      <c r="D92" s="37">
        <f t="shared" si="32"/>
        <v>0</v>
      </c>
      <c r="E92" s="37">
        <f t="shared" si="32"/>
        <v>0</v>
      </c>
      <c r="F92" s="37">
        <f t="shared" si="32"/>
        <v>0</v>
      </c>
      <c r="G92" s="37">
        <f t="shared" si="32"/>
        <v>0</v>
      </c>
      <c r="H92" s="37">
        <f t="shared" si="32"/>
        <v>0</v>
      </c>
      <c r="I92" s="37">
        <f t="shared" si="32"/>
        <v>0</v>
      </c>
      <c r="J92" s="37">
        <f t="shared" ref="J92:J107" si="33">SUM(B92:I92)</f>
        <v>136.07999999999998</v>
      </c>
      <c r="M92" s="7"/>
      <c r="Q92" s="7"/>
    </row>
    <row r="93" spans="1:17" x14ac:dyDescent="0.25">
      <c r="A93" s="1" t="s">
        <v>7</v>
      </c>
      <c r="B93" s="37">
        <f>B52*(1-B73)</f>
        <v>1593.3</v>
      </c>
      <c r="C93" s="37">
        <f t="shared" ref="C93:I93" si="34">C52*(1-C73)</f>
        <v>253.79999999999998</v>
      </c>
      <c r="D93" s="37">
        <f t="shared" si="34"/>
        <v>0</v>
      </c>
      <c r="E93" s="37">
        <f t="shared" si="34"/>
        <v>0</v>
      </c>
      <c r="F93" s="37">
        <f t="shared" si="34"/>
        <v>0</v>
      </c>
      <c r="G93" s="37">
        <f t="shared" si="34"/>
        <v>0</v>
      </c>
      <c r="H93" s="37">
        <f t="shared" si="34"/>
        <v>0</v>
      </c>
      <c r="I93" s="37">
        <f t="shared" si="34"/>
        <v>0</v>
      </c>
      <c r="J93" s="37">
        <f t="shared" si="33"/>
        <v>1847.1</v>
      </c>
      <c r="M93" s="7"/>
    </row>
    <row r="94" spans="1:17" x14ac:dyDescent="0.25">
      <c r="A94" s="1" t="s">
        <v>42</v>
      </c>
      <c r="B94" s="37">
        <f t="shared" ref="B94:I94" si="35">B53*(1-B74)</f>
        <v>0</v>
      </c>
      <c r="C94" s="37">
        <f t="shared" si="35"/>
        <v>0</v>
      </c>
      <c r="D94" s="37">
        <f t="shared" si="35"/>
        <v>0</v>
      </c>
      <c r="E94" s="37">
        <f t="shared" si="35"/>
        <v>0</v>
      </c>
      <c r="F94" s="37">
        <f t="shared" si="35"/>
        <v>0</v>
      </c>
      <c r="G94" s="37">
        <f t="shared" si="35"/>
        <v>0</v>
      </c>
      <c r="H94" s="37">
        <f t="shared" si="35"/>
        <v>0</v>
      </c>
      <c r="I94" s="37">
        <f t="shared" si="35"/>
        <v>0</v>
      </c>
      <c r="J94" s="37">
        <f t="shared" si="33"/>
        <v>0</v>
      </c>
      <c r="M94" s="7"/>
    </row>
    <row r="95" spans="1:17" x14ac:dyDescent="0.25">
      <c r="A95" s="1" t="s">
        <v>6</v>
      </c>
      <c r="B95" s="37">
        <f t="shared" ref="B95:I95" si="36">B54*(1-B75)</f>
        <v>114.48</v>
      </c>
      <c r="C95" s="37">
        <f t="shared" si="36"/>
        <v>0</v>
      </c>
      <c r="D95" s="37">
        <f t="shared" si="36"/>
        <v>0</v>
      </c>
      <c r="E95" s="37">
        <f t="shared" si="36"/>
        <v>0</v>
      </c>
      <c r="F95" s="37">
        <f t="shared" si="36"/>
        <v>0</v>
      </c>
      <c r="G95" s="37">
        <f t="shared" si="36"/>
        <v>0</v>
      </c>
      <c r="H95" s="37">
        <f t="shared" si="36"/>
        <v>0</v>
      </c>
      <c r="I95" s="37">
        <f t="shared" si="36"/>
        <v>-9.2750000000000004</v>
      </c>
      <c r="J95" s="37">
        <f t="shared" si="33"/>
        <v>105.205</v>
      </c>
      <c r="M95" s="7"/>
    </row>
    <row r="96" spans="1:17" x14ac:dyDescent="0.25">
      <c r="A96" s="1" t="s">
        <v>50</v>
      </c>
      <c r="B96" s="37">
        <f t="shared" ref="B96:I96" si="37">B55*(1-B76)</f>
        <v>0</v>
      </c>
      <c r="C96" s="37">
        <f t="shared" si="37"/>
        <v>0</v>
      </c>
      <c r="D96" s="37">
        <f t="shared" si="37"/>
        <v>0</v>
      </c>
      <c r="E96" s="37">
        <f t="shared" si="37"/>
        <v>0</v>
      </c>
      <c r="F96" s="37">
        <f t="shared" si="37"/>
        <v>0</v>
      </c>
      <c r="G96" s="37">
        <f t="shared" si="37"/>
        <v>0</v>
      </c>
      <c r="H96" s="37">
        <f t="shared" si="37"/>
        <v>0</v>
      </c>
      <c r="I96" s="37">
        <f t="shared" si="37"/>
        <v>0</v>
      </c>
      <c r="J96" s="37">
        <f t="shared" si="33"/>
        <v>0</v>
      </c>
      <c r="M96" s="7"/>
    </row>
    <row r="97" spans="1:13" x14ac:dyDescent="0.25">
      <c r="A97" s="1" t="s">
        <v>89</v>
      </c>
      <c r="B97" s="37">
        <f t="shared" ref="B97:I97" si="38">B56*(1-B77)</f>
        <v>0</v>
      </c>
      <c r="C97" s="37">
        <f t="shared" si="38"/>
        <v>0</v>
      </c>
      <c r="D97" s="37">
        <f t="shared" si="38"/>
        <v>0</v>
      </c>
      <c r="E97" s="37">
        <f t="shared" si="38"/>
        <v>0</v>
      </c>
      <c r="F97" s="37">
        <f t="shared" si="38"/>
        <v>0</v>
      </c>
      <c r="G97" s="37">
        <f t="shared" si="38"/>
        <v>0</v>
      </c>
      <c r="H97" s="37">
        <f t="shared" si="38"/>
        <v>0</v>
      </c>
      <c r="I97" s="37">
        <f t="shared" si="38"/>
        <v>0</v>
      </c>
      <c r="J97" s="37">
        <f t="shared" si="33"/>
        <v>0</v>
      </c>
      <c r="M97" s="7"/>
    </row>
    <row r="98" spans="1:13" x14ac:dyDescent="0.25">
      <c r="A98" s="1" t="s">
        <v>5</v>
      </c>
      <c r="B98" s="37">
        <f t="shared" ref="B98:I98" si="39">B57*(1-B78)</f>
        <v>0</v>
      </c>
      <c r="C98" s="37">
        <f t="shared" si="39"/>
        <v>0</v>
      </c>
      <c r="D98" s="37">
        <f t="shared" si="39"/>
        <v>0</v>
      </c>
      <c r="E98" s="37">
        <f t="shared" si="39"/>
        <v>0</v>
      </c>
      <c r="F98" s="37">
        <f t="shared" si="39"/>
        <v>0</v>
      </c>
      <c r="G98" s="37">
        <f t="shared" si="39"/>
        <v>0</v>
      </c>
      <c r="H98" s="37">
        <f t="shared" si="39"/>
        <v>0</v>
      </c>
      <c r="I98" s="37">
        <f t="shared" si="39"/>
        <v>0</v>
      </c>
      <c r="J98" s="37">
        <f t="shared" si="33"/>
        <v>0</v>
      </c>
      <c r="M98" s="7"/>
    </row>
    <row r="99" spans="1:13" x14ac:dyDescent="0.25">
      <c r="A99" s="1" t="s">
        <v>84</v>
      </c>
      <c r="B99" s="37">
        <f t="shared" ref="B99:I99" si="40">B58*(1-B79)</f>
        <v>0</v>
      </c>
      <c r="C99" s="37">
        <f t="shared" si="40"/>
        <v>0</v>
      </c>
      <c r="D99" s="37">
        <f t="shared" si="40"/>
        <v>0</v>
      </c>
      <c r="E99" s="37">
        <f t="shared" si="40"/>
        <v>0</v>
      </c>
      <c r="F99" s="37">
        <f t="shared" si="40"/>
        <v>0</v>
      </c>
      <c r="G99" s="37">
        <f t="shared" si="40"/>
        <v>0</v>
      </c>
      <c r="H99" s="37">
        <f t="shared" si="40"/>
        <v>0</v>
      </c>
      <c r="I99" s="37">
        <f t="shared" si="40"/>
        <v>0</v>
      </c>
      <c r="J99" s="37">
        <f t="shared" si="33"/>
        <v>0</v>
      </c>
      <c r="M99" s="7"/>
    </row>
    <row r="100" spans="1:13" x14ac:dyDescent="0.25">
      <c r="A100" s="1" t="s">
        <v>4</v>
      </c>
      <c r="B100" s="37">
        <f t="shared" ref="B100:I100" si="41">B59*(1-B80)</f>
        <v>337.82400000000001</v>
      </c>
      <c r="C100" s="37">
        <f t="shared" si="41"/>
        <v>0</v>
      </c>
      <c r="D100" s="37">
        <f t="shared" si="41"/>
        <v>0</v>
      </c>
      <c r="E100" s="37">
        <f t="shared" si="41"/>
        <v>0</v>
      </c>
      <c r="F100" s="37">
        <f t="shared" si="41"/>
        <v>0</v>
      </c>
      <c r="G100" s="37">
        <f t="shared" si="41"/>
        <v>0</v>
      </c>
      <c r="H100" s="37">
        <f t="shared" si="41"/>
        <v>0</v>
      </c>
      <c r="I100" s="37">
        <f t="shared" si="41"/>
        <v>0</v>
      </c>
      <c r="J100" s="37">
        <f t="shared" si="33"/>
        <v>337.82400000000001</v>
      </c>
      <c r="K100" s="31"/>
      <c r="M100" s="7"/>
    </row>
    <row r="101" spans="1:13" x14ac:dyDescent="0.25">
      <c r="A101" s="1" t="s">
        <v>51</v>
      </c>
      <c r="B101" s="37">
        <f t="shared" ref="B101:I101" si="42">B60*(1-B81)</f>
        <v>134.35200000000003</v>
      </c>
      <c r="C101" s="37">
        <f t="shared" si="42"/>
        <v>0</v>
      </c>
      <c r="D101" s="37">
        <f t="shared" si="42"/>
        <v>0</v>
      </c>
      <c r="E101" s="37">
        <f t="shared" si="42"/>
        <v>0</v>
      </c>
      <c r="F101" s="37">
        <f t="shared" si="42"/>
        <v>0</v>
      </c>
      <c r="G101" s="37">
        <f t="shared" si="42"/>
        <v>0</v>
      </c>
      <c r="H101" s="37">
        <f t="shared" si="42"/>
        <v>0</v>
      </c>
      <c r="I101" s="37">
        <f t="shared" si="42"/>
        <v>0</v>
      </c>
      <c r="J101" s="37">
        <f t="shared" si="33"/>
        <v>134.35200000000003</v>
      </c>
      <c r="M101" s="7"/>
    </row>
    <row r="102" spans="1:13" x14ac:dyDescent="0.25">
      <c r="A102" s="1" t="s">
        <v>85</v>
      </c>
      <c r="B102" s="37">
        <f t="shared" ref="B102:I102" si="43">B61*(1-B82)</f>
        <v>0</v>
      </c>
      <c r="C102" s="37">
        <f t="shared" si="43"/>
        <v>0</v>
      </c>
      <c r="D102" s="37">
        <f t="shared" si="43"/>
        <v>0</v>
      </c>
      <c r="E102" s="37">
        <f t="shared" si="43"/>
        <v>0</v>
      </c>
      <c r="F102" s="37">
        <f t="shared" si="43"/>
        <v>0</v>
      </c>
      <c r="G102" s="37">
        <f t="shared" si="43"/>
        <v>0</v>
      </c>
      <c r="H102" s="37">
        <f t="shared" si="43"/>
        <v>432</v>
      </c>
      <c r="I102" s="37">
        <f t="shared" si="43"/>
        <v>0</v>
      </c>
      <c r="J102" s="37">
        <f t="shared" si="33"/>
        <v>432</v>
      </c>
      <c r="M102" s="7"/>
    </row>
    <row r="103" spans="1:13" x14ac:dyDescent="0.25">
      <c r="A103" s="1" t="s">
        <v>2</v>
      </c>
      <c r="B103" s="37">
        <f t="shared" ref="B103:I103" si="44">B62*(1-B83)</f>
        <v>1.4426400000000006</v>
      </c>
      <c r="C103" s="37">
        <f t="shared" si="44"/>
        <v>6.7108600000000056</v>
      </c>
      <c r="D103" s="37">
        <f t="shared" si="44"/>
        <v>4.4217200000000041</v>
      </c>
      <c r="E103" s="37">
        <f t="shared" si="44"/>
        <v>1.0972800000000009</v>
      </c>
      <c r="F103" s="37">
        <f t="shared" si="44"/>
        <v>1.097460000000001</v>
      </c>
      <c r="G103" s="37">
        <f t="shared" si="44"/>
        <v>2.2024000000000021</v>
      </c>
      <c r="H103" s="37">
        <f t="shared" si="44"/>
        <v>3.1349600000000026</v>
      </c>
      <c r="I103" s="37">
        <f t="shared" si="44"/>
        <v>1.960920000000002</v>
      </c>
      <c r="J103" s="37">
        <f t="shared" si="33"/>
        <v>22.068240000000021</v>
      </c>
      <c r="M103" s="7"/>
    </row>
    <row r="104" spans="1:13" x14ac:dyDescent="0.25">
      <c r="A104" s="1" t="s">
        <v>86</v>
      </c>
      <c r="B104" s="37">
        <f t="shared" ref="B104:I104" si="45">B63*(1-B84)</f>
        <v>0</v>
      </c>
      <c r="C104" s="37">
        <f t="shared" si="45"/>
        <v>0</v>
      </c>
      <c r="D104" s="37">
        <f t="shared" si="45"/>
        <v>0</v>
      </c>
      <c r="E104" s="37">
        <f t="shared" si="45"/>
        <v>0</v>
      </c>
      <c r="F104" s="37">
        <f t="shared" si="45"/>
        <v>0</v>
      </c>
      <c r="G104" s="37">
        <f t="shared" si="45"/>
        <v>0</v>
      </c>
      <c r="H104" s="37">
        <f t="shared" si="45"/>
        <v>0</v>
      </c>
      <c r="I104" s="37">
        <f t="shared" si="45"/>
        <v>0</v>
      </c>
      <c r="J104" s="37">
        <f t="shared" si="33"/>
        <v>0</v>
      </c>
      <c r="M104" s="183" t="s">
        <v>62</v>
      </c>
    </row>
    <row r="105" spans="1:13" x14ac:dyDescent="0.25">
      <c r="A105" s="1" t="s">
        <v>29</v>
      </c>
      <c r="B105" s="37">
        <f t="shared" ref="B105:I105" si="46">B64*(1-B85)</f>
        <v>0</v>
      </c>
      <c r="C105" s="37">
        <f t="shared" si="46"/>
        <v>0</v>
      </c>
      <c r="D105" s="37">
        <f t="shared" si="46"/>
        <v>0</v>
      </c>
      <c r="E105" s="37">
        <f t="shared" si="46"/>
        <v>0</v>
      </c>
      <c r="F105" s="37">
        <f t="shared" si="46"/>
        <v>0</v>
      </c>
      <c r="G105" s="37">
        <f t="shared" si="46"/>
        <v>0</v>
      </c>
      <c r="H105" s="37">
        <f t="shared" si="46"/>
        <v>0</v>
      </c>
      <c r="I105" s="37">
        <f t="shared" si="46"/>
        <v>0</v>
      </c>
      <c r="J105" s="37">
        <f t="shared" si="33"/>
        <v>0</v>
      </c>
      <c r="M105" s="183"/>
    </row>
    <row r="106" spans="1:13" x14ac:dyDescent="0.25">
      <c r="A106" s="1" t="s">
        <v>52</v>
      </c>
      <c r="B106" s="37">
        <f t="shared" ref="B106:I106" si="47">B65*(1-B86)</f>
        <v>0</v>
      </c>
      <c r="C106" s="37">
        <f t="shared" si="47"/>
        <v>0</v>
      </c>
      <c r="D106" s="37">
        <f t="shared" si="47"/>
        <v>0</v>
      </c>
      <c r="E106" s="37">
        <f t="shared" si="47"/>
        <v>0</v>
      </c>
      <c r="F106" s="37">
        <f t="shared" si="47"/>
        <v>0</v>
      </c>
      <c r="G106" s="37">
        <f t="shared" si="47"/>
        <v>0</v>
      </c>
      <c r="H106" s="37">
        <f t="shared" si="47"/>
        <v>0</v>
      </c>
      <c r="I106" s="37">
        <f t="shared" si="47"/>
        <v>0</v>
      </c>
      <c r="J106" s="37">
        <f t="shared" si="33"/>
        <v>0</v>
      </c>
      <c r="L106" s="35" t="s">
        <v>277</v>
      </c>
      <c r="M106" s="183" t="s">
        <v>63</v>
      </c>
    </row>
    <row r="107" spans="1:13" x14ac:dyDescent="0.25">
      <c r="A107" s="1" t="s">
        <v>1</v>
      </c>
      <c r="B107" s="38">
        <f t="shared" ref="B107:I107" si="48">B66*(1-B87)</f>
        <v>236.70000000000002</v>
      </c>
      <c r="C107" s="38">
        <f t="shared" si="48"/>
        <v>0</v>
      </c>
      <c r="D107" s="38">
        <f t="shared" si="48"/>
        <v>192.51600000000002</v>
      </c>
      <c r="E107" s="38">
        <f t="shared" si="48"/>
        <v>0</v>
      </c>
      <c r="F107" s="38">
        <f t="shared" si="48"/>
        <v>0</v>
      </c>
      <c r="G107" s="38">
        <f t="shared" si="48"/>
        <v>0</v>
      </c>
      <c r="H107" s="38">
        <f t="shared" si="48"/>
        <v>0</v>
      </c>
      <c r="I107" s="38">
        <f t="shared" si="48"/>
        <v>0</v>
      </c>
      <c r="J107" s="38">
        <f t="shared" si="33"/>
        <v>429.21600000000001</v>
      </c>
      <c r="L107" s="42" t="s">
        <v>61</v>
      </c>
      <c r="M107" s="184"/>
    </row>
    <row r="108" spans="1:13" x14ac:dyDescent="0.25">
      <c r="A108" s="1"/>
      <c r="B108" s="9">
        <f>SUM(B91:B107)</f>
        <v>2463.4586399999998</v>
      </c>
      <c r="C108" s="9">
        <f t="shared" ref="C108:J108" si="49">SUM(C91:C107)</f>
        <v>351.23086000000001</v>
      </c>
      <c r="D108" s="9">
        <f t="shared" si="49"/>
        <v>196.93772000000001</v>
      </c>
      <c r="E108" s="9">
        <f t="shared" si="49"/>
        <v>1.0972800000000009</v>
      </c>
      <c r="F108" s="9">
        <f t="shared" si="49"/>
        <v>1.097460000000001</v>
      </c>
      <c r="G108" s="9">
        <f t="shared" si="49"/>
        <v>2.2024000000000021</v>
      </c>
      <c r="H108" s="9">
        <f t="shared" si="49"/>
        <v>435.13495999999998</v>
      </c>
      <c r="I108" s="9">
        <f t="shared" si="49"/>
        <v>-7.3140799999999988</v>
      </c>
      <c r="J108" s="9">
        <f t="shared" si="49"/>
        <v>3443.8452399999996</v>
      </c>
      <c r="L108" s="108">
        <v>3410.46</v>
      </c>
      <c r="M108" s="7">
        <f>J108-L108</f>
        <v>33.385239999999612</v>
      </c>
    </row>
    <row r="109" spans="1:13" ht="15.75" thickBot="1" x14ac:dyDescent="0.3">
      <c r="A109" s="1"/>
      <c r="B109" s="9"/>
      <c r="C109" s="9"/>
      <c r="D109" s="9"/>
      <c r="E109" s="9"/>
      <c r="F109" s="9"/>
      <c r="G109" s="9"/>
      <c r="H109" s="9"/>
      <c r="I109" s="9"/>
      <c r="J109" s="9"/>
      <c r="L109" s="114"/>
      <c r="M109" s="7"/>
    </row>
    <row r="110" spans="1:13" ht="15.75" thickBot="1" x14ac:dyDescent="0.3">
      <c r="A110" s="170" t="s">
        <v>64</v>
      </c>
      <c r="B110" s="171"/>
      <c r="C110" s="171"/>
      <c r="D110" s="171"/>
      <c r="E110" s="171"/>
      <c r="F110" s="171"/>
      <c r="G110" s="171"/>
      <c r="H110" s="171"/>
      <c r="I110" s="171"/>
      <c r="J110" s="172"/>
      <c r="M110" s="7"/>
    </row>
    <row r="111" spans="1:13" x14ac:dyDescent="0.25">
      <c r="A111" s="4" t="s">
        <v>16</v>
      </c>
      <c r="B111" s="5" t="s">
        <v>15</v>
      </c>
      <c r="C111" s="5" t="s">
        <v>14</v>
      </c>
      <c r="D111" s="5" t="s">
        <v>13</v>
      </c>
      <c r="E111" s="5" t="s">
        <v>12</v>
      </c>
      <c r="F111" s="5" t="s">
        <v>93</v>
      </c>
      <c r="G111" s="5" t="s">
        <v>94</v>
      </c>
      <c r="H111" s="5" t="s">
        <v>38</v>
      </c>
      <c r="I111" s="5" t="s">
        <v>9</v>
      </c>
      <c r="J111" s="5" t="s">
        <v>0</v>
      </c>
      <c r="M111" s="7"/>
    </row>
    <row r="112" spans="1:13" x14ac:dyDescent="0.25">
      <c r="A112" s="1" t="s">
        <v>49</v>
      </c>
      <c r="B112" s="39">
        <f>B50-B91</f>
        <v>0</v>
      </c>
      <c r="C112" s="39">
        <f t="shared" ref="C112:I112" si="50">C50-C91</f>
        <v>0</v>
      </c>
      <c r="D112" s="39">
        <f t="shared" si="50"/>
        <v>0</v>
      </c>
      <c r="E112" s="39">
        <f t="shared" si="50"/>
        <v>0</v>
      </c>
      <c r="F112" s="39">
        <f t="shared" si="50"/>
        <v>0</v>
      </c>
      <c r="G112" s="39">
        <f t="shared" si="50"/>
        <v>0</v>
      </c>
      <c r="H112" s="39">
        <f t="shared" si="50"/>
        <v>0</v>
      </c>
      <c r="I112" s="39">
        <f t="shared" si="50"/>
        <v>0</v>
      </c>
      <c r="J112" s="39">
        <f>SUM(B112:I112)</f>
        <v>0</v>
      </c>
      <c r="M112" s="7"/>
    </row>
    <row r="113" spans="1:13" x14ac:dyDescent="0.25">
      <c r="A113" s="1" t="s">
        <v>8</v>
      </c>
      <c r="B113" s="39">
        <f t="shared" ref="B113:I113" si="51">B51-B92</f>
        <v>386.64</v>
      </c>
      <c r="C113" s="39">
        <f t="shared" si="51"/>
        <v>773.28</v>
      </c>
      <c r="D113" s="39">
        <f t="shared" si="51"/>
        <v>0</v>
      </c>
      <c r="E113" s="39">
        <f t="shared" si="51"/>
        <v>0</v>
      </c>
      <c r="F113" s="39">
        <f t="shared" si="51"/>
        <v>0</v>
      </c>
      <c r="G113" s="39">
        <f t="shared" si="51"/>
        <v>0</v>
      </c>
      <c r="H113" s="39">
        <f t="shared" si="51"/>
        <v>0</v>
      </c>
      <c r="I113" s="39">
        <f t="shared" si="51"/>
        <v>0</v>
      </c>
      <c r="J113" s="39">
        <f t="shared" ref="J113:J128" si="52">SUM(B113:I113)</f>
        <v>1159.92</v>
      </c>
      <c r="M113" s="7"/>
    </row>
    <row r="114" spans="1:13" x14ac:dyDescent="0.25">
      <c r="A114" s="1" t="s">
        <v>7</v>
      </c>
      <c r="B114" s="39">
        <f t="shared" ref="B114:I114" si="53">B52-B93</f>
        <v>5186.7</v>
      </c>
      <c r="C114" s="39">
        <f t="shared" si="53"/>
        <v>826.2</v>
      </c>
      <c r="D114" s="39">
        <f t="shared" si="53"/>
        <v>0</v>
      </c>
      <c r="E114" s="39">
        <f t="shared" si="53"/>
        <v>0</v>
      </c>
      <c r="F114" s="39">
        <f t="shared" si="53"/>
        <v>0</v>
      </c>
      <c r="G114" s="39">
        <f t="shared" si="53"/>
        <v>0</v>
      </c>
      <c r="H114" s="39">
        <f t="shared" si="53"/>
        <v>0</v>
      </c>
      <c r="I114" s="39">
        <f t="shared" si="53"/>
        <v>0</v>
      </c>
      <c r="J114" s="39">
        <f t="shared" si="52"/>
        <v>6012.9</v>
      </c>
      <c r="M114" s="7"/>
    </row>
    <row r="115" spans="1:13" x14ac:dyDescent="0.25">
      <c r="A115" s="1" t="s">
        <v>42</v>
      </c>
      <c r="B115" s="39">
        <f t="shared" ref="B115:I115" si="54">B53-B94</f>
        <v>0</v>
      </c>
      <c r="C115" s="39">
        <f t="shared" si="54"/>
        <v>0</v>
      </c>
      <c r="D115" s="39">
        <f t="shared" si="54"/>
        <v>0</v>
      </c>
      <c r="E115" s="39">
        <f t="shared" si="54"/>
        <v>0</v>
      </c>
      <c r="F115" s="39">
        <f t="shared" si="54"/>
        <v>0</v>
      </c>
      <c r="G115" s="39">
        <f t="shared" si="54"/>
        <v>0</v>
      </c>
      <c r="H115" s="39">
        <f t="shared" si="54"/>
        <v>0</v>
      </c>
      <c r="I115" s="39">
        <f t="shared" si="54"/>
        <v>0</v>
      </c>
      <c r="J115" s="39">
        <f t="shared" si="52"/>
        <v>0</v>
      </c>
      <c r="M115" s="7"/>
    </row>
    <row r="116" spans="1:13" x14ac:dyDescent="0.25">
      <c r="A116" s="1" t="s">
        <v>6</v>
      </c>
      <c r="B116" s="39">
        <f t="shared" ref="B116:I116" si="55">B54-B95</f>
        <v>317.52</v>
      </c>
      <c r="C116" s="39">
        <f t="shared" si="55"/>
        <v>0</v>
      </c>
      <c r="D116" s="39">
        <f t="shared" si="55"/>
        <v>0</v>
      </c>
      <c r="E116" s="39">
        <f t="shared" si="55"/>
        <v>0</v>
      </c>
      <c r="F116" s="39">
        <f t="shared" si="55"/>
        <v>0</v>
      </c>
      <c r="G116" s="39">
        <f t="shared" si="55"/>
        <v>0</v>
      </c>
      <c r="H116" s="39">
        <f t="shared" si="55"/>
        <v>0</v>
      </c>
      <c r="I116" s="39">
        <f t="shared" si="55"/>
        <v>-25.725000000000001</v>
      </c>
      <c r="J116" s="39">
        <f t="shared" si="52"/>
        <v>291.79499999999996</v>
      </c>
      <c r="M116" s="7"/>
    </row>
    <row r="117" spans="1:13" x14ac:dyDescent="0.25">
      <c r="A117" s="1" t="s">
        <v>50</v>
      </c>
      <c r="B117" s="39">
        <f t="shared" ref="B117:I117" si="56">B55-B96</f>
        <v>0</v>
      </c>
      <c r="C117" s="39">
        <f t="shared" si="56"/>
        <v>0</v>
      </c>
      <c r="D117" s="39">
        <f t="shared" si="56"/>
        <v>0</v>
      </c>
      <c r="E117" s="39">
        <f t="shared" si="56"/>
        <v>0</v>
      </c>
      <c r="F117" s="39">
        <f t="shared" si="56"/>
        <v>0</v>
      </c>
      <c r="G117" s="39">
        <f t="shared" si="56"/>
        <v>0</v>
      </c>
      <c r="H117" s="39">
        <f t="shared" si="56"/>
        <v>0</v>
      </c>
      <c r="I117" s="39">
        <f t="shared" si="56"/>
        <v>0</v>
      </c>
      <c r="J117" s="39">
        <f t="shared" si="52"/>
        <v>0</v>
      </c>
      <c r="M117" s="7"/>
    </row>
    <row r="118" spans="1:13" x14ac:dyDescent="0.25">
      <c r="A118" s="1" t="s">
        <v>89</v>
      </c>
      <c r="B118" s="39">
        <f t="shared" ref="B118:I118" si="57">B56-B97</f>
        <v>0</v>
      </c>
      <c r="C118" s="39">
        <f t="shared" si="57"/>
        <v>0</v>
      </c>
      <c r="D118" s="39">
        <f t="shared" si="57"/>
        <v>0</v>
      </c>
      <c r="E118" s="39">
        <f t="shared" si="57"/>
        <v>0</v>
      </c>
      <c r="F118" s="39">
        <f t="shared" si="57"/>
        <v>0</v>
      </c>
      <c r="G118" s="39">
        <f t="shared" si="57"/>
        <v>0</v>
      </c>
      <c r="H118" s="39">
        <f t="shared" si="57"/>
        <v>0</v>
      </c>
      <c r="I118" s="39">
        <f t="shared" si="57"/>
        <v>0</v>
      </c>
      <c r="J118" s="39">
        <f t="shared" si="52"/>
        <v>0</v>
      </c>
      <c r="M118" s="7"/>
    </row>
    <row r="119" spans="1:13" x14ac:dyDescent="0.25">
      <c r="A119" s="1" t="s">
        <v>5</v>
      </c>
      <c r="B119" s="39">
        <f t="shared" ref="B119:I119" si="58">B57-B98</f>
        <v>0</v>
      </c>
      <c r="C119" s="39">
        <f t="shared" si="58"/>
        <v>0</v>
      </c>
      <c r="D119" s="39">
        <f t="shared" si="58"/>
        <v>0</v>
      </c>
      <c r="E119" s="39">
        <f t="shared" si="58"/>
        <v>0</v>
      </c>
      <c r="F119" s="39">
        <f t="shared" si="58"/>
        <v>0</v>
      </c>
      <c r="G119" s="39">
        <f t="shared" si="58"/>
        <v>0</v>
      </c>
      <c r="H119" s="39">
        <f t="shared" si="58"/>
        <v>0</v>
      </c>
      <c r="I119" s="39">
        <f t="shared" si="58"/>
        <v>0</v>
      </c>
      <c r="J119" s="39">
        <f t="shared" si="52"/>
        <v>0</v>
      </c>
      <c r="M119" s="7"/>
    </row>
    <row r="120" spans="1:13" x14ac:dyDescent="0.25">
      <c r="A120" s="1" t="s">
        <v>84</v>
      </c>
      <c r="B120" s="39">
        <f t="shared" ref="B120:I120" si="59">B58-B99</f>
        <v>0</v>
      </c>
      <c r="C120" s="39">
        <f t="shared" si="59"/>
        <v>0</v>
      </c>
      <c r="D120" s="39">
        <f t="shared" si="59"/>
        <v>0</v>
      </c>
      <c r="E120" s="39">
        <f t="shared" si="59"/>
        <v>0</v>
      </c>
      <c r="F120" s="39">
        <f t="shared" si="59"/>
        <v>0</v>
      </c>
      <c r="G120" s="39">
        <f t="shared" si="59"/>
        <v>0</v>
      </c>
      <c r="H120" s="39">
        <f t="shared" si="59"/>
        <v>0</v>
      </c>
      <c r="I120" s="39">
        <f t="shared" si="59"/>
        <v>0</v>
      </c>
      <c r="J120" s="39">
        <f t="shared" si="52"/>
        <v>0</v>
      </c>
      <c r="M120" s="7"/>
    </row>
    <row r="121" spans="1:13" x14ac:dyDescent="0.25">
      <c r="A121" s="1" t="s">
        <v>4</v>
      </c>
      <c r="B121" s="39">
        <f t="shared" ref="B121:I121" si="60">B59-B100</f>
        <v>94.175999999999988</v>
      </c>
      <c r="C121" s="39">
        <f t="shared" si="60"/>
        <v>0</v>
      </c>
      <c r="D121" s="39">
        <f t="shared" si="60"/>
        <v>0</v>
      </c>
      <c r="E121" s="39">
        <f t="shared" si="60"/>
        <v>0</v>
      </c>
      <c r="F121" s="39">
        <f t="shared" si="60"/>
        <v>0</v>
      </c>
      <c r="G121" s="39">
        <f t="shared" si="60"/>
        <v>0</v>
      </c>
      <c r="H121" s="39">
        <f t="shared" si="60"/>
        <v>0</v>
      </c>
      <c r="I121" s="39">
        <f t="shared" si="60"/>
        <v>0</v>
      </c>
      <c r="J121" s="39">
        <f t="shared" si="52"/>
        <v>94.175999999999988</v>
      </c>
      <c r="M121" s="7"/>
    </row>
    <row r="122" spans="1:13" x14ac:dyDescent="0.25">
      <c r="A122" s="1" t="s">
        <v>51</v>
      </c>
      <c r="B122" s="39">
        <f t="shared" ref="B122:I122" si="61">B60-B101</f>
        <v>297.64799999999997</v>
      </c>
      <c r="C122" s="39">
        <f t="shared" si="61"/>
        <v>0</v>
      </c>
      <c r="D122" s="39">
        <f t="shared" si="61"/>
        <v>0</v>
      </c>
      <c r="E122" s="39">
        <f t="shared" si="61"/>
        <v>0</v>
      </c>
      <c r="F122" s="39">
        <f t="shared" si="61"/>
        <v>0</v>
      </c>
      <c r="G122" s="39">
        <f t="shared" si="61"/>
        <v>0</v>
      </c>
      <c r="H122" s="39">
        <f t="shared" si="61"/>
        <v>0</v>
      </c>
      <c r="I122" s="39">
        <f t="shared" si="61"/>
        <v>0</v>
      </c>
      <c r="J122" s="39">
        <f t="shared" si="52"/>
        <v>297.64799999999997</v>
      </c>
      <c r="M122" s="7"/>
    </row>
    <row r="123" spans="1:13" x14ac:dyDescent="0.25">
      <c r="A123" s="1" t="s">
        <v>85</v>
      </c>
      <c r="B123" s="39">
        <f t="shared" ref="B123:I123" si="62">B61-B102</f>
        <v>0</v>
      </c>
      <c r="C123" s="39">
        <f t="shared" si="62"/>
        <v>0</v>
      </c>
      <c r="D123" s="39">
        <f t="shared" si="62"/>
        <v>0</v>
      </c>
      <c r="E123" s="39">
        <f t="shared" si="62"/>
        <v>0</v>
      </c>
      <c r="F123" s="39">
        <f t="shared" si="62"/>
        <v>0</v>
      </c>
      <c r="G123" s="39">
        <f t="shared" si="62"/>
        <v>0</v>
      </c>
      <c r="H123" s="39">
        <f t="shared" si="62"/>
        <v>0</v>
      </c>
      <c r="I123" s="39">
        <f t="shared" si="62"/>
        <v>0</v>
      </c>
      <c r="J123" s="39">
        <f t="shared" si="52"/>
        <v>0</v>
      </c>
      <c r="M123" s="7"/>
    </row>
    <row r="124" spans="1:13" x14ac:dyDescent="0.25">
      <c r="A124" s="1" t="s">
        <v>2</v>
      </c>
      <c r="B124" s="39">
        <f t="shared" ref="B124:I124" si="63">B62-B103</f>
        <v>719.87735999999973</v>
      </c>
      <c r="C124" s="39">
        <f t="shared" si="63"/>
        <v>3348.7191399999997</v>
      </c>
      <c r="D124" s="39">
        <f t="shared" si="63"/>
        <v>2206.4382800000003</v>
      </c>
      <c r="E124" s="39">
        <f t="shared" si="63"/>
        <v>547.54272000000003</v>
      </c>
      <c r="F124" s="39">
        <f t="shared" si="63"/>
        <v>547.63254000000006</v>
      </c>
      <c r="G124" s="39">
        <f t="shared" si="63"/>
        <v>1098.9976000000001</v>
      </c>
      <c r="H124" s="39">
        <f t="shared" si="63"/>
        <v>1564.3450399999999</v>
      </c>
      <c r="I124" s="39">
        <f t="shared" si="63"/>
        <v>978.49908000000016</v>
      </c>
      <c r="J124" s="39">
        <f t="shared" si="52"/>
        <v>11012.05176</v>
      </c>
      <c r="M124" s="7"/>
    </row>
    <row r="125" spans="1:13" x14ac:dyDescent="0.25">
      <c r="A125" s="1" t="s">
        <v>86</v>
      </c>
      <c r="B125" s="39">
        <f t="shared" ref="B125:I125" si="64">B63-B104</f>
        <v>0</v>
      </c>
      <c r="C125" s="39">
        <f t="shared" si="64"/>
        <v>0</v>
      </c>
      <c r="D125" s="39">
        <f t="shared" si="64"/>
        <v>0</v>
      </c>
      <c r="E125" s="39">
        <f t="shared" si="64"/>
        <v>0</v>
      </c>
      <c r="F125" s="39">
        <f t="shared" si="64"/>
        <v>0</v>
      </c>
      <c r="G125" s="39">
        <f t="shared" si="64"/>
        <v>0</v>
      </c>
      <c r="H125" s="39">
        <f t="shared" si="64"/>
        <v>0</v>
      </c>
      <c r="I125" s="39">
        <f t="shared" si="64"/>
        <v>0</v>
      </c>
      <c r="J125" s="39">
        <f t="shared" si="52"/>
        <v>0</v>
      </c>
      <c r="M125" s="7"/>
    </row>
    <row r="126" spans="1:13" x14ac:dyDescent="0.25">
      <c r="A126" s="1" t="s">
        <v>29</v>
      </c>
      <c r="B126" s="39">
        <f t="shared" ref="B126:I126" si="65">B64-B105</f>
        <v>0</v>
      </c>
      <c r="C126" s="39">
        <f t="shared" si="65"/>
        <v>0</v>
      </c>
      <c r="D126" s="39">
        <f t="shared" si="65"/>
        <v>0</v>
      </c>
      <c r="E126" s="39">
        <f t="shared" si="65"/>
        <v>0</v>
      </c>
      <c r="F126" s="39">
        <f t="shared" si="65"/>
        <v>0</v>
      </c>
      <c r="G126" s="39">
        <f t="shared" si="65"/>
        <v>0</v>
      </c>
      <c r="H126" s="39">
        <f t="shared" si="65"/>
        <v>0</v>
      </c>
      <c r="I126" s="39">
        <f t="shared" si="65"/>
        <v>0</v>
      </c>
      <c r="J126" s="39">
        <f t="shared" si="52"/>
        <v>0</v>
      </c>
      <c r="M126" s="7"/>
    </row>
    <row r="127" spans="1:13" x14ac:dyDescent="0.25">
      <c r="A127" s="1" t="s">
        <v>52</v>
      </c>
      <c r="B127" s="39">
        <f t="shared" ref="B127:I127" si="66">B65-B106</f>
        <v>0</v>
      </c>
      <c r="C127" s="39">
        <f t="shared" si="66"/>
        <v>0</v>
      </c>
      <c r="D127" s="39">
        <f t="shared" si="66"/>
        <v>0</v>
      </c>
      <c r="E127" s="39">
        <f t="shared" si="66"/>
        <v>0</v>
      </c>
      <c r="F127" s="39">
        <f t="shared" si="66"/>
        <v>0</v>
      </c>
      <c r="G127" s="39">
        <f t="shared" si="66"/>
        <v>0</v>
      </c>
      <c r="H127" s="39">
        <f t="shared" si="66"/>
        <v>0</v>
      </c>
      <c r="I127" s="39">
        <f t="shared" si="66"/>
        <v>0</v>
      </c>
      <c r="J127" s="39">
        <f t="shared" si="52"/>
        <v>0</v>
      </c>
      <c r="M127" s="7"/>
    </row>
    <row r="128" spans="1:13" x14ac:dyDescent="0.25">
      <c r="A128" s="1" t="s">
        <v>1</v>
      </c>
      <c r="B128" s="40">
        <f t="shared" ref="B128:I128" si="67">B66-B107</f>
        <v>663.3</v>
      </c>
      <c r="C128" s="40">
        <f t="shared" si="67"/>
        <v>0</v>
      </c>
      <c r="D128" s="40">
        <f t="shared" si="67"/>
        <v>539.48399999999992</v>
      </c>
      <c r="E128" s="40">
        <f t="shared" si="67"/>
        <v>0</v>
      </c>
      <c r="F128" s="40">
        <f t="shared" si="67"/>
        <v>0</v>
      </c>
      <c r="G128" s="40">
        <f t="shared" si="67"/>
        <v>0</v>
      </c>
      <c r="H128" s="40">
        <f t="shared" si="67"/>
        <v>0</v>
      </c>
      <c r="I128" s="40">
        <f t="shared" si="67"/>
        <v>0</v>
      </c>
      <c r="J128" s="40">
        <f t="shared" si="52"/>
        <v>1202.7839999999999</v>
      </c>
      <c r="M128" s="7"/>
    </row>
    <row r="129" spans="1:13" x14ac:dyDescent="0.25">
      <c r="A129" s="4"/>
      <c r="B129" s="39">
        <f>SUM(B112:B128)</f>
        <v>7665.8613600000008</v>
      </c>
      <c r="C129" s="39">
        <f t="shared" ref="C129:J129" si="68">SUM(C112:C128)</f>
        <v>4948.1991399999997</v>
      </c>
      <c r="D129" s="39">
        <f t="shared" si="68"/>
        <v>2745.9222800000002</v>
      </c>
      <c r="E129" s="39">
        <f t="shared" si="68"/>
        <v>547.54272000000003</v>
      </c>
      <c r="F129" s="39">
        <f t="shared" si="68"/>
        <v>547.63254000000006</v>
      </c>
      <c r="G129" s="39">
        <f t="shared" si="68"/>
        <v>1098.9976000000001</v>
      </c>
      <c r="H129" s="39">
        <f t="shared" si="68"/>
        <v>1564.3450399999999</v>
      </c>
      <c r="I129" s="39">
        <f t="shared" si="68"/>
        <v>952.77408000000014</v>
      </c>
      <c r="J129" s="39">
        <f t="shared" si="68"/>
        <v>20071.27476</v>
      </c>
      <c r="M129" s="7"/>
    </row>
    <row r="130" spans="1:13" ht="15.75" thickBot="1" x14ac:dyDescent="0.3">
      <c r="A130" s="4"/>
      <c r="B130" s="39"/>
      <c r="C130" s="39"/>
      <c r="D130" s="39"/>
      <c r="E130" s="39"/>
      <c r="F130" s="39"/>
      <c r="G130" s="39"/>
      <c r="H130" s="39"/>
      <c r="I130" s="39"/>
      <c r="J130" s="39"/>
      <c r="M130" s="7"/>
    </row>
    <row r="131" spans="1:13" ht="15.75" thickBot="1" x14ac:dyDescent="0.3">
      <c r="A131" s="167" t="s">
        <v>59</v>
      </c>
      <c r="B131" s="168"/>
      <c r="C131" s="168"/>
      <c r="D131" s="168"/>
      <c r="E131" s="168"/>
      <c r="F131" s="168"/>
      <c r="G131" s="168"/>
      <c r="H131" s="168"/>
      <c r="I131" s="168"/>
      <c r="J131" s="169"/>
      <c r="M131" s="7"/>
    </row>
    <row r="132" spans="1:13" x14ac:dyDescent="0.25">
      <c r="A132" s="4" t="s">
        <v>16</v>
      </c>
      <c r="B132" s="5" t="s">
        <v>15</v>
      </c>
      <c r="C132" s="5" t="s">
        <v>14</v>
      </c>
      <c r="D132" s="5" t="s">
        <v>13</v>
      </c>
      <c r="E132" s="5" t="s">
        <v>12</v>
      </c>
      <c r="F132" s="5" t="s">
        <v>93</v>
      </c>
      <c r="G132" s="5" t="s">
        <v>94</v>
      </c>
      <c r="H132" s="5" t="s">
        <v>38</v>
      </c>
      <c r="I132" s="5" t="s">
        <v>9</v>
      </c>
      <c r="J132" s="5" t="s">
        <v>0</v>
      </c>
      <c r="M132" s="7"/>
    </row>
    <row r="133" spans="1:13" x14ac:dyDescent="0.25">
      <c r="A133" s="1" t="s">
        <v>49</v>
      </c>
      <c r="B133" s="41">
        <v>0</v>
      </c>
      <c r="C133" s="41">
        <v>0</v>
      </c>
      <c r="D133" s="41">
        <v>0</v>
      </c>
      <c r="E133" s="41">
        <v>0.1</v>
      </c>
      <c r="F133" s="41">
        <v>0.15</v>
      </c>
      <c r="G133" s="41">
        <v>0.15</v>
      </c>
      <c r="H133" s="41">
        <v>0.2</v>
      </c>
      <c r="I133" s="41">
        <v>0.3</v>
      </c>
      <c r="J133" s="39"/>
      <c r="M133" s="7"/>
    </row>
    <row r="134" spans="1:13" x14ac:dyDescent="0.25">
      <c r="A134" s="1" t="s">
        <v>8</v>
      </c>
      <c r="B134" s="41">
        <v>0</v>
      </c>
      <c r="C134" s="41">
        <v>0</v>
      </c>
      <c r="D134" s="41">
        <v>0</v>
      </c>
      <c r="E134" s="41">
        <v>0.1</v>
      </c>
      <c r="F134" s="41">
        <v>0.15</v>
      </c>
      <c r="G134" s="41">
        <v>0.15</v>
      </c>
      <c r="H134" s="41">
        <v>0.2</v>
      </c>
      <c r="I134" s="41">
        <v>1</v>
      </c>
      <c r="J134" s="39"/>
      <c r="M134" s="7"/>
    </row>
    <row r="135" spans="1:13" x14ac:dyDescent="0.25">
      <c r="A135" s="1" t="s">
        <v>7</v>
      </c>
      <c r="B135" s="41">
        <v>0</v>
      </c>
      <c r="C135" s="41">
        <v>0</v>
      </c>
      <c r="D135" s="41">
        <v>0</v>
      </c>
      <c r="E135" s="41">
        <v>0.1</v>
      </c>
      <c r="F135" s="41">
        <v>0.15</v>
      </c>
      <c r="G135" s="41">
        <v>0.15</v>
      </c>
      <c r="H135" s="41">
        <v>0.2</v>
      </c>
      <c r="I135" s="41">
        <v>1</v>
      </c>
      <c r="J135" s="39"/>
      <c r="M135" s="7"/>
    </row>
    <row r="136" spans="1:13" x14ac:dyDescent="0.25">
      <c r="A136" s="1" t="s">
        <v>42</v>
      </c>
      <c r="B136" s="41">
        <v>0</v>
      </c>
      <c r="C136" s="41">
        <v>0</v>
      </c>
      <c r="D136" s="41">
        <v>0</v>
      </c>
      <c r="E136" s="41">
        <v>0.1</v>
      </c>
      <c r="F136" s="41">
        <v>0.15</v>
      </c>
      <c r="G136" s="41">
        <v>0.15</v>
      </c>
      <c r="H136" s="41">
        <v>0.2</v>
      </c>
      <c r="I136" s="41">
        <v>1</v>
      </c>
      <c r="J136" s="39"/>
      <c r="M136" s="7"/>
    </row>
    <row r="137" spans="1:13" x14ac:dyDescent="0.25">
      <c r="A137" s="1" t="s">
        <v>6</v>
      </c>
      <c r="B137" s="41">
        <v>0</v>
      </c>
      <c r="C137" s="41">
        <v>0</v>
      </c>
      <c r="D137" s="41">
        <v>0</v>
      </c>
      <c r="E137" s="41">
        <v>0.1</v>
      </c>
      <c r="F137" s="41">
        <v>0.15</v>
      </c>
      <c r="G137" s="41">
        <v>0.15</v>
      </c>
      <c r="H137" s="41">
        <v>0.2</v>
      </c>
      <c r="I137" s="41">
        <v>1</v>
      </c>
      <c r="J137" s="39"/>
      <c r="M137" s="7"/>
    </row>
    <row r="138" spans="1:13" x14ac:dyDescent="0.25">
      <c r="A138" s="1" t="s">
        <v>50</v>
      </c>
      <c r="B138" s="41">
        <v>0</v>
      </c>
      <c r="C138" s="41">
        <v>0</v>
      </c>
      <c r="D138" s="41">
        <v>0</v>
      </c>
      <c r="E138" s="41">
        <v>0.1</v>
      </c>
      <c r="F138" s="41">
        <v>0.15</v>
      </c>
      <c r="G138" s="41">
        <v>0.15</v>
      </c>
      <c r="H138" s="41">
        <v>0.2</v>
      </c>
      <c r="I138" s="41">
        <v>1</v>
      </c>
      <c r="J138" s="39"/>
      <c r="M138" s="7"/>
    </row>
    <row r="139" spans="1:13" x14ac:dyDescent="0.25">
      <c r="A139" s="1" t="s">
        <v>89</v>
      </c>
      <c r="B139" s="41">
        <v>0</v>
      </c>
      <c r="C139" s="41">
        <v>0</v>
      </c>
      <c r="D139" s="41">
        <v>0</v>
      </c>
      <c r="E139" s="41">
        <v>0.1</v>
      </c>
      <c r="F139" s="41">
        <v>0.15</v>
      </c>
      <c r="G139" s="41">
        <v>0.15</v>
      </c>
      <c r="H139" s="41">
        <v>0.2</v>
      </c>
      <c r="I139" s="41">
        <v>0.3</v>
      </c>
      <c r="J139" s="39"/>
      <c r="M139" s="7"/>
    </row>
    <row r="140" spans="1:13" x14ac:dyDescent="0.25">
      <c r="A140" s="1" t="s">
        <v>5</v>
      </c>
      <c r="B140" s="41">
        <v>0</v>
      </c>
      <c r="C140" s="41">
        <v>0</v>
      </c>
      <c r="D140" s="41">
        <v>0</v>
      </c>
      <c r="E140" s="41">
        <v>0.1</v>
      </c>
      <c r="F140" s="41">
        <v>0.15</v>
      </c>
      <c r="G140" s="41">
        <v>0.15</v>
      </c>
      <c r="H140" s="41">
        <v>0.2</v>
      </c>
      <c r="I140" s="41">
        <v>1</v>
      </c>
      <c r="J140" s="39"/>
      <c r="M140" s="7"/>
    </row>
    <row r="141" spans="1:13" x14ac:dyDescent="0.25">
      <c r="A141" s="1" t="s">
        <v>84</v>
      </c>
      <c r="B141" s="41">
        <v>0</v>
      </c>
      <c r="C141" s="41">
        <v>0</v>
      </c>
      <c r="D141" s="41">
        <v>0</v>
      </c>
      <c r="E141" s="41">
        <v>0.1</v>
      </c>
      <c r="F141" s="41">
        <v>0.15</v>
      </c>
      <c r="G141" s="41">
        <v>0.15</v>
      </c>
      <c r="H141" s="41">
        <v>0.2</v>
      </c>
      <c r="I141" s="41">
        <v>1</v>
      </c>
      <c r="J141" s="39"/>
      <c r="M141" s="7"/>
    </row>
    <row r="142" spans="1:13" x14ac:dyDescent="0.25">
      <c r="A142" s="1" t="s">
        <v>4</v>
      </c>
      <c r="B142" s="41">
        <v>0</v>
      </c>
      <c r="C142" s="41">
        <v>0</v>
      </c>
      <c r="D142" s="41">
        <v>0</v>
      </c>
      <c r="E142" s="41">
        <v>0.1</v>
      </c>
      <c r="F142" s="41">
        <v>0.15</v>
      </c>
      <c r="G142" s="41">
        <v>0.15</v>
      </c>
      <c r="H142" s="41">
        <v>0.2</v>
      </c>
      <c r="I142" s="41">
        <v>1</v>
      </c>
      <c r="J142" s="39"/>
      <c r="M142" s="7"/>
    </row>
    <row r="143" spans="1:13" x14ac:dyDescent="0.25">
      <c r="A143" s="1" t="s">
        <v>51</v>
      </c>
      <c r="B143" s="41">
        <v>0</v>
      </c>
      <c r="C143" s="41">
        <v>0</v>
      </c>
      <c r="D143" s="41">
        <v>0</v>
      </c>
      <c r="E143" s="41">
        <v>0.1</v>
      </c>
      <c r="F143" s="41">
        <v>0.15</v>
      </c>
      <c r="G143" s="41">
        <v>0.15</v>
      </c>
      <c r="H143" s="41">
        <v>0.2</v>
      </c>
      <c r="I143" s="41">
        <v>1</v>
      </c>
      <c r="J143" s="39"/>
      <c r="M143" s="7"/>
    </row>
    <row r="144" spans="1:13" x14ac:dyDescent="0.25">
      <c r="A144" s="1" t="s">
        <v>85</v>
      </c>
      <c r="B144" s="41">
        <v>0</v>
      </c>
      <c r="C144" s="41">
        <v>0</v>
      </c>
      <c r="D144" s="41">
        <v>0</v>
      </c>
      <c r="E144" s="41">
        <v>0.1</v>
      </c>
      <c r="F144" s="41">
        <v>0.15</v>
      </c>
      <c r="G144" s="41">
        <v>0.15</v>
      </c>
      <c r="H144" s="41">
        <v>0.2</v>
      </c>
      <c r="I144" s="41">
        <v>1</v>
      </c>
      <c r="J144" s="39"/>
      <c r="M144" s="7"/>
    </row>
    <row r="145" spans="1:13" x14ac:dyDescent="0.25">
      <c r="A145" s="1" t="s">
        <v>2</v>
      </c>
      <c r="B145" s="41">
        <v>0</v>
      </c>
      <c r="C145" s="41">
        <v>0</v>
      </c>
      <c r="D145" s="41">
        <v>0.1</v>
      </c>
      <c r="E145" s="41">
        <v>0.5</v>
      </c>
      <c r="F145" s="41">
        <v>1</v>
      </c>
      <c r="G145" s="41">
        <v>1</v>
      </c>
      <c r="H145" s="41">
        <v>1</v>
      </c>
      <c r="I145" s="41">
        <v>1</v>
      </c>
      <c r="J145" s="39"/>
      <c r="M145" s="7"/>
    </row>
    <row r="146" spans="1:13" x14ac:dyDescent="0.25">
      <c r="A146" s="1" t="s">
        <v>86</v>
      </c>
      <c r="B146" s="41">
        <v>0</v>
      </c>
      <c r="C146" s="41">
        <v>0</v>
      </c>
      <c r="D146" s="41">
        <v>0</v>
      </c>
      <c r="E146" s="41">
        <v>0.1</v>
      </c>
      <c r="F146" s="41">
        <v>0.15</v>
      </c>
      <c r="G146" s="41">
        <v>0.15</v>
      </c>
      <c r="H146" s="41">
        <v>0.2</v>
      </c>
      <c r="I146" s="41">
        <v>1</v>
      </c>
      <c r="J146" s="39"/>
      <c r="M146" s="7"/>
    </row>
    <row r="147" spans="1:13" x14ac:dyDescent="0.25">
      <c r="A147" s="1" t="s">
        <v>29</v>
      </c>
      <c r="B147" s="41">
        <v>0</v>
      </c>
      <c r="C147" s="41">
        <v>0</v>
      </c>
      <c r="D147" s="41">
        <v>0</v>
      </c>
      <c r="E147" s="41">
        <v>0.1</v>
      </c>
      <c r="F147" s="41">
        <v>0.15</v>
      </c>
      <c r="G147" s="41">
        <v>0.15</v>
      </c>
      <c r="H147" s="41">
        <v>0.2</v>
      </c>
      <c r="I147" s="41">
        <v>1</v>
      </c>
      <c r="J147" s="39"/>
      <c r="M147" s="7"/>
    </row>
    <row r="148" spans="1:13" x14ac:dyDescent="0.25">
      <c r="A148" s="1" t="s">
        <v>52</v>
      </c>
      <c r="B148" s="41">
        <v>0</v>
      </c>
      <c r="C148" s="41">
        <v>0</v>
      </c>
      <c r="D148" s="41">
        <v>0</v>
      </c>
      <c r="E148" s="41">
        <v>0.1</v>
      </c>
      <c r="F148" s="41">
        <v>0.15</v>
      </c>
      <c r="G148" s="41">
        <v>0.15</v>
      </c>
      <c r="H148" s="41">
        <v>0.2</v>
      </c>
      <c r="I148" s="41">
        <v>1</v>
      </c>
      <c r="J148" s="39"/>
      <c r="M148" s="7"/>
    </row>
    <row r="149" spans="1:13" x14ac:dyDescent="0.25">
      <c r="A149" s="1" t="s">
        <v>1</v>
      </c>
      <c r="B149" s="41">
        <v>0</v>
      </c>
      <c r="C149" s="41">
        <v>0</v>
      </c>
      <c r="D149" s="41">
        <v>0</v>
      </c>
      <c r="E149" s="41">
        <v>0.1</v>
      </c>
      <c r="F149" s="41">
        <v>0.15</v>
      </c>
      <c r="G149" s="41">
        <v>0.15</v>
      </c>
      <c r="H149" s="41">
        <v>0.2</v>
      </c>
      <c r="I149" s="41">
        <v>1</v>
      </c>
      <c r="J149" s="39"/>
      <c r="M149" s="7"/>
    </row>
    <row r="150" spans="1:13" ht="15.75" thickBot="1" x14ac:dyDescent="0.3">
      <c r="A150" s="4"/>
      <c r="B150" s="39"/>
      <c r="C150" s="39"/>
      <c r="D150" s="39"/>
      <c r="E150" s="39"/>
      <c r="F150" s="39"/>
      <c r="G150" s="39"/>
      <c r="H150" s="39"/>
      <c r="I150" s="39"/>
      <c r="J150" s="39"/>
      <c r="M150" s="7"/>
    </row>
    <row r="151" spans="1:13" ht="15.75" thickBot="1" x14ac:dyDescent="0.3">
      <c r="A151" s="170" t="s">
        <v>60</v>
      </c>
      <c r="B151" s="171"/>
      <c r="C151" s="171"/>
      <c r="D151" s="171"/>
      <c r="E151" s="171"/>
      <c r="F151" s="171"/>
      <c r="G151" s="171"/>
      <c r="H151" s="171"/>
      <c r="I151" s="171"/>
      <c r="J151" s="172"/>
      <c r="M151" s="7"/>
    </row>
    <row r="152" spans="1:13" x14ac:dyDescent="0.25">
      <c r="A152" s="4" t="s">
        <v>16</v>
      </c>
      <c r="B152" s="4" t="s">
        <v>15</v>
      </c>
      <c r="C152" s="4" t="s">
        <v>14</v>
      </c>
      <c r="D152" s="4" t="s">
        <v>13</v>
      </c>
      <c r="E152" s="4" t="s">
        <v>12</v>
      </c>
      <c r="F152" s="4" t="s">
        <v>93</v>
      </c>
      <c r="G152" s="4" t="s">
        <v>94</v>
      </c>
      <c r="H152" s="4" t="s">
        <v>38</v>
      </c>
      <c r="I152" s="4" t="s">
        <v>9</v>
      </c>
      <c r="J152" s="5" t="s">
        <v>0</v>
      </c>
      <c r="M152" s="7"/>
    </row>
    <row r="153" spans="1:13" x14ac:dyDescent="0.25">
      <c r="A153" s="1" t="s">
        <v>49</v>
      </c>
      <c r="B153" s="66">
        <f>B112*B133</f>
        <v>0</v>
      </c>
      <c r="C153" s="66">
        <f t="shared" ref="C153:I153" si="69">C112*C133</f>
        <v>0</v>
      </c>
      <c r="D153" s="66">
        <f t="shared" si="69"/>
        <v>0</v>
      </c>
      <c r="E153" s="66">
        <f t="shared" si="69"/>
        <v>0</v>
      </c>
      <c r="F153" s="66">
        <f t="shared" si="69"/>
        <v>0</v>
      </c>
      <c r="G153" s="66">
        <f t="shared" si="69"/>
        <v>0</v>
      </c>
      <c r="H153" s="66">
        <f t="shared" si="69"/>
        <v>0</v>
      </c>
      <c r="I153" s="66">
        <f t="shared" si="69"/>
        <v>0</v>
      </c>
      <c r="J153" s="66">
        <f>SUM(B153:I153)</f>
        <v>0</v>
      </c>
      <c r="M153" s="7"/>
    </row>
    <row r="154" spans="1:13" x14ac:dyDescent="0.25">
      <c r="A154" s="1" t="s">
        <v>8</v>
      </c>
      <c r="B154" s="39">
        <f t="shared" ref="B154:I169" si="70">B113*B134</f>
        <v>0</v>
      </c>
      <c r="C154" s="39">
        <f t="shared" si="70"/>
        <v>0</v>
      </c>
      <c r="D154" s="39">
        <f t="shared" si="70"/>
        <v>0</v>
      </c>
      <c r="E154" s="39">
        <f t="shared" si="70"/>
        <v>0</v>
      </c>
      <c r="F154" s="39">
        <f t="shared" si="70"/>
        <v>0</v>
      </c>
      <c r="G154" s="39">
        <f t="shared" si="70"/>
        <v>0</v>
      </c>
      <c r="H154" s="39">
        <f t="shared" si="70"/>
        <v>0</v>
      </c>
      <c r="I154" s="39">
        <f t="shared" si="70"/>
        <v>0</v>
      </c>
      <c r="J154" s="39">
        <f t="shared" ref="J154:J169" si="71">SUM(B154:I154)</f>
        <v>0</v>
      </c>
      <c r="M154" s="7"/>
    </row>
    <row r="155" spans="1:13" x14ac:dyDescent="0.25">
      <c r="A155" s="1" t="s">
        <v>7</v>
      </c>
      <c r="B155" s="39">
        <f t="shared" si="70"/>
        <v>0</v>
      </c>
      <c r="C155" s="39">
        <f t="shared" si="70"/>
        <v>0</v>
      </c>
      <c r="D155" s="39">
        <f t="shared" si="70"/>
        <v>0</v>
      </c>
      <c r="E155" s="39">
        <f t="shared" si="70"/>
        <v>0</v>
      </c>
      <c r="F155" s="39">
        <f t="shared" si="70"/>
        <v>0</v>
      </c>
      <c r="G155" s="39">
        <f t="shared" si="70"/>
        <v>0</v>
      </c>
      <c r="H155" s="39">
        <f t="shared" si="70"/>
        <v>0</v>
      </c>
      <c r="I155" s="39">
        <f t="shared" si="70"/>
        <v>0</v>
      </c>
      <c r="J155" s="39">
        <f t="shared" si="71"/>
        <v>0</v>
      </c>
      <c r="M155" s="7"/>
    </row>
    <row r="156" spans="1:13" x14ac:dyDescent="0.25">
      <c r="A156" s="1" t="s">
        <v>42</v>
      </c>
      <c r="B156" s="39">
        <f t="shared" si="70"/>
        <v>0</v>
      </c>
      <c r="C156" s="39">
        <f t="shared" si="70"/>
        <v>0</v>
      </c>
      <c r="D156" s="39">
        <f t="shared" si="70"/>
        <v>0</v>
      </c>
      <c r="E156" s="39">
        <f t="shared" si="70"/>
        <v>0</v>
      </c>
      <c r="F156" s="39">
        <f t="shared" si="70"/>
        <v>0</v>
      </c>
      <c r="G156" s="39">
        <f t="shared" si="70"/>
        <v>0</v>
      </c>
      <c r="H156" s="39">
        <f t="shared" si="70"/>
        <v>0</v>
      </c>
      <c r="I156" s="39">
        <f t="shared" si="70"/>
        <v>0</v>
      </c>
      <c r="J156" s="39">
        <f t="shared" si="71"/>
        <v>0</v>
      </c>
      <c r="M156" s="7"/>
    </row>
    <row r="157" spans="1:13" x14ac:dyDescent="0.25">
      <c r="A157" s="1" t="s">
        <v>6</v>
      </c>
      <c r="B157" s="39">
        <f t="shared" si="70"/>
        <v>0</v>
      </c>
      <c r="C157" s="39">
        <f t="shared" si="70"/>
        <v>0</v>
      </c>
      <c r="D157" s="39">
        <f t="shared" si="70"/>
        <v>0</v>
      </c>
      <c r="E157" s="39">
        <f t="shared" si="70"/>
        <v>0</v>
      </c>
      <c r="F157" s="39">
        <f t="shared" si="70"/>
        <v>0</v>
      </c>
      <c r="G157" s="39">
        <f t="shared" si="70"/>
        <v>0</v>
      </c>
      <c r="H157" s="39">
        <f t="shared" si="70"/>
        <v>0</v>
      </c>
      <c r="I157" s="39">
        <f t="shared" si="70"/>
        <v>-25.725000000000001</v>
      </c>
      <c r="J157" s="39">
        <f t="shared" si="71"/>
        <v>-25.725000000000001</v>
      </c>
      <c r="M157" s="7"/>
    </row>
    <row r="158" spans="1:13" x14ac:dyDescent="0.25">
      <c r="A158" s="1" t="s">
        <v>50</v>
      </c>
      <c r="B158" s="39">
        <f t="shared" si="70"/>
        <v>0</v>
      </c>
      <c r="C158" s="39">
        <f t="shared" si="70"/>
        <v>0</v>
      </c>
      <c r="D158" s="39">
        <f t="shared" si="70"/>
        <v>0</v>
      </c>
      <c r="E158" s="39">
        <f t="shared" si="70"/>
        <v>0</v>
      </c>
      <c r="F158" s="39">
        <f t="shared" si="70"/>
        <v>0</v>
      </c>
      <c r="G158" s="39">
        <f t="shared" si="70"/>
        <v>0</v>
      </c>
      <c r="H158" s="39">
        <f t="shared" si="70"/>
        <v>0</v>
      </c>
      <c r="I158" s="39">
        <f t="shared" si="70"/>
        <v>0</v>
      </c>
      <c r="J158" s="39">
        <f t="shared" si="71"/>
        <v>0</v>
      </c>
      <c r="M158" s="7"/>
    </row>
    <row r="159" spans="1:13" x14ac:dyDescent="0.25">
      <c r="A159" s="1" t="s">
        <v>89</v>
      </c>
      <c r="B159" s="39">
        <f t="shared" si="70"/>
        <v>0</v>
      </c>
      <c r="C159" s="39">
        <f t="shared" si="70"/>
        <v>0</v>
      </c>
      <c r="D159" s="39">
        <f t="shared" si="70"/>
        <v>0</v>
      </c>
      <c r="E159" s="39">
        <f t="shared" si="70"/>
        <v>0</v>
      </c>
      <c r="F159" s="39">
        <f t="shared" si="70"/>
        <v>0</v>
      </c>
      <c r="G159" s="39">
        <f t="shared" si="70"/>
        <v>0</v>
      </c>
      <c r="H159" s="39">
        <f t="shared" si="70"/>
        <v>0</v>
      </c>
      <c r="I159" s="39">
        <f t="shared" si="70"/>
        <v>0</v>
      </c>
      <c r="J159" s="39">
        <f t="shared" si="71"/>
        <v>0</v>
      </c>
      <c r="M159" s="7"/>
    </row>
    <row r="160" spans="1:13" x14ac:dyDescent="0.25">
      <c r="A160" s="1" t="s">
        <v>5</v>
      </c>
      <c r="B160" s="39">
        <f t="shared" si="70"/>
        <v>0</v>
      </c>
      <c r="C160" s="39">
        <f t="shared" si="70"/>
        <v>0</v>
      </c>
      <c r="D160" s="39">
        <f t="shared" si="70"/>
        <v>0</v>
      </c>
      <c r="E160" s="39">
        <f t="shared" si="70"/>
        <v>0</v>
      </c>
      <c r="F160" s="39">
        <f t="shared" si="70"/>
        <v>0</v>
      </c>
      <c r="G160" s="39">
        <f t="shared" si="70"/>
        <v>0</v>
      </c>
      <c r="H160" s="39">
        <f t="shared" si="70"/>
        <v>0</v>
      </c>
      <c r="I160" s="39">
        <f t="shared" si="70"/>
        <v>0</v>
      </c>
      <c r="J160" s="39">
        <f t="shared" si="71"/>
        <v>0</v>
      </c>
      <c r="M160" s="7"/>
    </row>
    <row r="161" spans="1:19" x14ac:dyDescent="0.25">
      <c r="A161" s="1" t="s">
        <v>84</v>
      </c>
      <c r="B161" s="39">
        <f t="shared" si="70"/>
        <v>0</v>
      </c>
      <c r="C161" s="39">
        <f t="shared" si="70"/>
        <v>0</v>
      </c>
      <c r="D161" s="39">
        <f t="shared" si="70"/>
        <v>0</v>
      </c>
      <c r="E161" s="39">
        <f t="shared" si="70"/>
        <v>0</v>
      </c>
      <c r="F161" s="39">
        <f t="shared" si="70"/>
        <v>0</v>
      </c>
      <c r="G161" s="39">
        <f t="shared" si="70"/>
        <v>0</v>
      </c>
      <c r="H161" s="39">
        <f t="shared" si="70"/>
        <v>0</v>
      </c>
      <c r="I161" s="39">
        <f t="shared" si="70"/>
        <v>0</v>
      </c>
      <c r="J161" s="39">
        <f t="shared" si="71"/>
        <v>0</v>
      </c>
      <c r="M161" s="7"/>
    </row>
    <row r="162" spans="1:19" x14ac:dyDescent="0.25">
      <c r="A162" s="1" t="s">
        <v>4</v>
      </c>
      <c r="B162" s="39">
        <f t="shared" si="70"/>
        <v>0</v>
      </c>
      <c r="C162" s="39">
        <f t="shared" si="70"/>
        <v>0</v>
      </c>
      <c r="D162" s="39">
        <f t="shared" si="70"/>
        <v>0</v>
      </c>
      <c r="E162" s="39">
        <f t="shared" si="70"/>
        <v>0</v>
      </c>
      <c r="F162" s="39">
        <f t="shared" si="70"/>
        <v>0</v>
      </c>
      <c r="G162" s="39">
        <f t="shared" si="70"/>
        <v>0</v>
      </c>
      <c r="H162" s="39">
        <f t="shared" si="70"/>
        <v>0</v>
      </c>
      <c r="I162" s="39">
        <f t="shared" si="70"/>
        <v>0</v>
      </c>
      <c r="J162" s="39">
        <f t="shared" si="71"/>
        <v>0</v>
      </c>
      <c r="M162" s="7"/>
    </row>
    <row r="163" spans="1:19" x14ac:dyDescent="0.25">
      <c r="A163" s="1" t="s">
        <v>51</v>
      </c>
      <c r="B163" s="39">
        <f t="shared" si="70"/>
        <v>0</v>
      </c>
      <c r="C163" s="39">
        <f t="shared" si="70"/>
        <v>0</v>
      </c>
      <c r="D163" s="39">
        <f t="shared" si="70"/>
        <v>0</v>
      </c>
      <c r="E163" s="39">
        <f t="shared" si="70"/>
        <v>0</v>
      </c>
      <c r="F163" s="39">
        <f t="shared" si="70"/>
        <v>0</v>
      </c>
      <c r="G163" s="39">
        <f t="shared" si="70"/>
        <v>0</v>
      </c>
      <c r="H163" s="39">
        <f t="shared" si="70"/>
        <v>0</v>
      </c>
      <c r="I163" s="39">
        <f t="shared" si="70"/>
        <v>0</v>
      </c>
      <c r="J163" s="39">
        <f t="shared" si="71"/>
        <v>0</v>
      </c>
      <c r="M163" s="7"/>
    </row>
    <row r="164" spans="1:19" x14ac:dyDescent="0.25">
      <c r="A164" s="1" t="s">
        <v>85</v>
      </c>
      <c r="B164" s="39">
        <f t="shared" si="70"/>
        <v>0</v>
      </c>
      <c r="C164" s="39">
        <f t="shared" si="70"/>
        <v>0</v>
      </c>
      <c r="D164" s="39">
        <f t="shared" si="70"/>
        <v>0</v>
      </c>
      <c r="E164" s="39">
        <f t="shared" si="70"/>
        <v>0</v>
      </c>
      <c r="F164" s="39">
        <f t="shared" si="70"/>
        <v>0</v>
      </c>
      <c r="G164" s="39">
        <f t="shared" si="70"/>
        <v>0</v>
      </c>
      <c r="H164" s="39">
        <f t="shared" si="70"/>
        <v>0</v>
      </c>
      <c r="I164" s="39">
        <f t="shared" si="70"/>
        <v>0</v>
      </c>
      <c r="J164" s="39">
        <f t="shared" si="71"/>
        <v>0</v>
      </c>
      <c r="M164" s="7"/>
    </row>
    <row r="165" spans="1:19" x14ac:dyDescent="0.25">
      <c r="A165" s="1" t="s">
        <v>2</v>
      </c>
      <c r="B165" s="39">
        <f t="shared" si="70"/>
        <v>0</v>
      </c>
      <c r="C165" s="39">
        <f t="shared" si="70"/>
        <v>0</v>
      </c>
      <c r="D165" s="39">
        <f t="shared" si="70"/>
        <v>220.64382800000004</v>
      </c>
      <c r="E165" s="39">
        <f t="shared" si="70"/>
        <v>273.77136000000002</v>
      </c>
      <c r="F165" s="39">
        <f t="shared" si="70"/>
        <v>547.63254000000006</v>
      </c>
      <c r="G165" s="39">
        <f t="shared" si="70"/>
        <v>1098.9976000000001</v>
      </c>
      <c r="H165" s="39">
        <f t="shared" si="70"/>
        <v>1564.3450399999999</v>
      </c>
      <c r="I165" s="39">
        <f t="shared" si="70"/>
        <v>978.49908000000016</v>
      </c>
      <c r="J165" s="39">
        <f t="shared" si="71"/>
        <v>4683.8894480000008</v>
      </c>
      <c r="M165" s="7"/>
    </row>
    <row r="166" spans="1:19" x14ac:dyDescent="0.25">
      <c r="A166" s="1" t="s">
        <v>86</v>
      </c>
      <c r="B166" s="39">
        <f t="shared" si="70"/>
        <v>0</v>
      </c>
      <c r="C166" s="39">
        <f t="shared" si="70"/>
        <v>0</v>
      </c>
      <c r="D166" s="39">
        <f t="shared" si="70"/>
        <v>0</v>
      </c>
      <c r="E166" s="39">
        <f t="shared" si="70"/>
        <v>0</v>
      </c>
      <c r="F166" s="39">
        <f t="shared" si="70"/>
        <v>0</v>
      </c>
      <c r="G166" s="39">
        <f t="shared" si="70"/>
        <v>0</v>
      </c>
      <c r="H166" s="39">
        <f t="shared" si="70"/>
        <v>0</v>
      </c>
      <c r="I166" s="39">
        <f t="shared" si="70"/>
        <v>0</v>
      </c>
      <c r="J166" s="39">
        <f t="shared" si="71"/>
        <v>0</v>
      </c>
      <c r="M166" s="183" t="s">
        <v>62</v>
      </c>
    </row>
    <row r="167" spans="1:19" x14ac:dyDescent="0.25">
      <c r="A167" s="1" t="s">
        <v>29</v>
      </c>
      <c r="B167" s="39">
        <f t="shared" si="70"/>
        <v>0</v>
      </c>
      <c r="C167" s="39">
        <f t="shared" si="70"/>
        <v>0</v>
      </c>
      <c r="D167" s="39">
        <f t="shared" si="70"/>
        <v>0</v>
      </c>
      <c r="E167" s="39">
        <f t="shared" si="70"/>
        <v>0</v>
      </c>
      <c r="F167" s="39">
        <f t="shared" si="70"/>
        <v>0</v>
      </c>
      <c r="G167" s="39">
        <f t="shared" si="70"/>
        <v>0</v>
      </c>
      <c r="H167" s="39">
        <f t="shared" si="70"/>
        <v>0</v>
      </c>
      <c r="I167" s="39">
        <f t="shared" si="70"/>
        <v>0</v>
      </c>
      <c r="J167" s="39">
        <f t="shared" si="71"/>
        <v>0</v>
      </c>
      <c r="M167" s="183"/>
    </row>
    <row r="168" spans="1:19" x14ac:dyDescent="0.25">
      <c r="A168" s="1" t="s">
        <v>52</v>
      </c>
      <c r="B168" s="39">
        <f t="shared" si="70"/>
        <v>0</v>
      </c>
      <c r="C168" s="39">
        <f t="shared" si="70"/>
        <v>0</v>
      </c>
      <c r="D168" s="39">
        <f t="shared" si="70"/>
        <v>0</v>
      </c>
      <c r="E168" s="39">
        <f t="shared" si="70"/>
        <v>0</v>
      </c>
      <c r="F168" s="39">
        <f t="shared" si="70"/>
        <v>0</v>
      </c>
      <c r="G168" s="39">
        <f t="shared" si="70"/>
        <v>0</v>
      </c>
      <c r="H168" s="39">
        <f t="shared" si="70"/>
        <v>0</v>
      </c>
      <c r="I168" s="39">
        <f t="shared" si="70"/>
        <v>0</v>
      </c>
      <c r="J168" s="39">
        <f t="shared" si="71"/>
        <v>0</v>
      </c>
      <c r="L168" s="35" t="s">
        <v>278</v>
      </c>
      <c r="M168" s="183" t="s">
        <v>63</v>
      </c>
    </row>
    <row r="169" spans="1:19" x14ac:dyDescent="0.25">
      <c r="A169" s="1" t="s">
        <v>1</v>
      </c>
      <c r="B169" s="40">
        <f t="shared" si="70"/>
        <v>0</v>
      </c>
      <c r="C169" s="40">
        <f t="shared" si="70"/>
        <v>0</v>
      </c>
      <c r="D169" s="40">
        <f t="shared" si="70"/>
        <v>0</v>
      </c>
      <c r="E169" s="40">
        <f t="shared" si="70"/>
        <v>0</v>
      </c>
      <c r="F169" s="40">
        <f t="shared" si="70"/>
        <v>0</v>
      </c>
      <c r="G169" s="40">
        <f t="shared" si="70"/>
        <v>0</v>
      </c>
      <c r="H169" s="40">
        <f t="shared" si="70"/>
        <v>0</v>
      </c>
      <c r="I169" s="40">
        <f t="shared" si="70"/>
        <v>0</v>
      </c>
      <c r="J169" s="40">
        <f t="shared" si="71"/>
        <v>0</v>
      </c>
      <c r="L169" s="42" t="s">
        <v>61</v>
      </c>
      <c r="M169" s="184"/>
    </row>
    <row r="170" spans="1:19" x14ac:dyDescent="0.25">
      <c r="A170" s="4"/>
      <c r="B170" s="39">
        <f>SUM(B153:B169)</f>
        <v>0</v>
      </c>
      <c r="C170" s="39">
        <f t="shared" ref="C170:I170" si="72">SUM(C153:C169)</f>
        <v>0</v>
      </c>
      <c r="D170" s="39">
        <f t="shared" si="72"/>
        <v>220.64382800000004</v>
      </c>
      <c r="E170" s="39">
        <f t="shared" si="72"/>
        <v>273.77136000000002</v>
      </c>
      <c r="F170" s="39">
        <f t="shared" si="72"/>
        <v>547.63254000000006</v>
      </c>
      <c r="G170" s="39">
        <f t="shared" si="72"/>
        <v>1098.9976000000001</v>
      </c>
      <c r="H170" s="39">
        <f t="shared" si="72"/>
        <v>1564.3450399999999</v>
      </c>
      <c r="I170" s="39">
        <f t="shared" si="72"/>
        <v>952.77408000000014</v>
      </c>
      <c r="J170" s="39">
        <f>SUM(J153:J169)</f>
        <v>4658.1644480000004</v>
      </c>
      <c r="L170" s="108">
        <v>0</v>
      </c>
      <c r="M170" s="7">
        <f>J170-L170</f>
        <v>4658.1644480000004</v>
      </c>
      <c r="N170" s="115" t="s">
        <v>290</v>
      </c>
      <c r="O170" s="115"/>
      <c r="P170" s="115"/>
      <c r="Q170" s="115"/>
      <c r="R170" s="115"/>
      <c r="S170" s="115"/>
    </row>
    <row r="171" spans="1:19" ht="15.75" thickBot="1" x14ac:dyDescent="0.3">
      <c r="A171" s="4"/>
      <c r="B171" s="39"/>
      <c r="C171" s="39"/>
      <c r="D171" s="39"/>
      <c r="E171" s="39"/>
      <c r="F171" s="39"/>
      <c r="G171" s="39"/>
      <c r="H171" s="39"/>
      <c r="I171" s="39"/>
      <c r="J171" s="39"/>
      <c r="L171" s="114"/>
      <c r="M171" s="7"/>
    </row>
    <row r="172" spans="1:19" ht="15.75" thickBot="1" x14ac:dyDescent="0.3">
      <c r="A172" s="170" t="s">
        <v>30</v>
      </c>
      <c r="B172" s="171"/>
      <c r="C172" s="171"/>
      <c r="D172" s="171"/>
      <c r="E172" s="171"/>
      <c r="F172" s="171"/>
      <c r="G172" s="171"/>
      <c r="H172" s="171"/>
      <c r="I172" s="171"/>
      <c r="J172" s="172"/>
      <c r="M172" s="7"/>
    </row>
    <row r="173" spans="1:19" x14ac:dyDescent="0.25">
      <c r="A173" s="4" t="s">
        <v>16</v>
      </c>
      <c r="B173" s="5" t="s">
        <v>15</v>
      </c>
      <c r="C173" s="5" t="s">
        <v>14</v>
      </c>
      <c r="D173" s="5" t="s">
        <v>13</v>
      </c>
      <c r="E173" s="5" t="s">
        <v>12</v>
      </c>
      <c r="F173" s="5" t="s">
        <v>93</v>
      </c>
      <c r="G173" s="5" t="s">
        <v>94</v>
      </c>
      <c r="H173" s="5" t="s">
        <v>38</v>
      </c>
      <c r="I173" s="5" t="s">
        <v>9</v>
      </c>
      <c r="J173" s="5" t="s">
        <v>0</v>
      </c>
      <c r="M173" s="7"/>
    </row>
    <row r="174" spans="1:19" x14ac:dyDescent="0.25">
      <c r="A174" s="1" t="s">
        <v>49</v>
      </c>
      <c r="B174" s="39">
        <f>B112-B153</f>
        <v>0</v>
      </c>
      <c r="C174" s="39">
        <f t="shared" ref="C174:I174" si="73">C112-C153</f>
        <v>0</v>
      </c>
      <c r="D174" s="39">
        <f t="shared" si="73"/>
        <v>0</v>
      </c>
      <c r="E174" s="39">
        <f t="shared" si="73"/>
        <v>0</v>
      </c>
      <c r="F174" s="39">
        <f t="shared" si="73"/>
        <v>0</v>
      </c>
      <c r="G174" s="39">
        <f t="shared" si="73"/>
        <v>0</v>
      </c>
      <c r="H174" s="39">
        <f t="shared" si="73"/>
        <v>0</v>
      </c>
      <c r="I174" s="39">
        <f t="shared" si="73"/>
        <v>0</v>
      </c>
      <c r="J174" s="39">
        <f>SUM(B174:I174)</f>
        <v>0</v>
      </c>
      <c r="M174" s="7"/>
    </row>
    <row r="175" spans="1:19" x14ac:dyDescent="0.25">
      <c r="A175" s="1" t="s">
        <v>8</v>
      </c>
      <c r="B175" s="39">
        <f>B113-B154</f>
        <v>386.64</v>
      </c>
      <c r="C175" s="39">
        <f t="shared" ref="C175:I175" si="74">C113-C154</f>
        <v>773.28</v>
      </c>
      <c r="D175" s="39">
        <f t="shared" si="74"/>
        <v>0</v>
      </c>
      <c r="E175" s="39">
        <f t="shared" si="74"/>
        <v>0</v>
      </c>
      <c r="F175" s="39">
        <f t="shared" si="74"/>
        <v>0</v>
      </c>
      <c r="G175" s="39">
        <f t="shared" si="74"/>
        <v>0</v>
      </c>
      <c r="H175" s="39">
        <f t="shared" si="74"/>
        <v>0</v>
      </c>
      <c r="I175" s="39">
        <f t="shared" si="74"/>
        <v>0</v>
      </c>
      <c r="J175" s="39">
        <f t="shared" ref="J175:J190" si="75">SUM(B175:I175)</f>
        <v>1159.92</v>
      </c>
      <c r="M175" s="7"/>
    </row>
    <row r="176" spans="1:19" x14ac:dyDescent="0.25">
      <c r="A176" s="1" t="s">
        <v>7</v>
      </c>
      <c r="B176" s="39">
        <f>B114-B155</f>
        <v>5186.7</v>
      </c>
      <c r="C176" s="39">
        <f t="shared" ref="C176:I176" si="76">C114-C155</f>
        <v>826.2</v>
      </c>
      <c r="D176" s="39">
        <f t="shared" si="76"/>
        <v>0</v>
      </c>
      <c r="E176" s="39">
        <f t="shared" si="76"/>
        <v>0</v>
      </c>
      <c r="F176" s="39">
        <f t="shared" si="76"/>
        <v>0</v>
      </c>
      <c r="G176" s="39">
        <f t="shared" si="76"/>
        <v>0</v>
      </c>
      <c r="H176" s="39">
        <f t="shared" si="76"/>
        <v>0</v>
      </c>
      <c r="I176" s="39">
        <f t="shared" si="76"/>
        <v>0</v>
      </c>
      <c r="J176" s="39">
        <f t="shared" si="75"/>
        <v>6012.9</v>
      </c>
      <c r="M176" s="7"/>
    </row>
    <row r="177" spans="1:13" x14ac:dyDescent="0.25">
      <c r="A177" s="1" t="s">
        <v>42</v>
      </c>
      <c r="B177" s="39">
        <f t="shared" ref="B177:I187" si="77">B115-B156</f>
        <v>0</v>
      </c>
      <c r="C177" s="39">
        <f t="shared" si="77"/>
        <v>0</v>
      </c>
      <c r="D177" s="39">
        <f t="shared" si="77"/>
        <v>0</v>
      </c>
      <c r="E177" s="39">
        <f t="shared" si="77"/>
        <v>0</v>
      </c>
      <c r="F177" s="39">
        <f t="shared" si="77"/>
        <v>0</v>
      </c>
      <c r="G177" s="39">
        <f t="shared" si="77"/>
        <v>0</v>
      </c>
      <c r="H177" s="39">
        <f t="shared" si="77"/>
        <v>0</v>
      </c>
      <c r="I177" s="39">
        <f t="shared" si="77"/>
        <v>0</v>
      </c>
      <c r="J177" s="39">
        <f t="shared" si="75"/>
        <v>0</v>
      </c>
      <c r="M177" s="7"/>
    </row>
    <row r="178" spans="1:13" x14ac:dyDescent="0.25">
      <c r="A178" s="1" t="s">
        <v>6</v>
      </c>
      <c r="B178" s="39">
        <f t="shared" si="77"/>
        <v>317.52</v>
      </c>
      <c r="C178" s="39">
        <f t="shared" si="77"/>
        <v>0</v>
      </c>
      <c r="D178" s="39">
        <f t="shared" si="77"/>
        <v>0</v>
      </c>
      <c r="E178" s="39">
        <f t="shared" si="77"/>
        <v>0</v>
      </c>
      <c r="F178" s="39">
        <f t="shared" si="77"/>
        <v>0</v>
      </c>
      <c r="G178" s="39">
        <f t="shared" si="77"/>
        <v>0</v>
      </c>
      <c r="H178" s="39">
        <f t="shared" si="77"/>
        <v>0</v>
      </c>
      <c r="I178" s="39">
        <f t="shared" si="77"/>
        <v>0</v>
      </c>
      <c r="J178" s="39">
        <f t="shared" si="75"/>
        <v>317.52</v>
      </c>
      <c r="M178" s="7"/>
    </row>
    <row r="179" spans="1:13" x14ac:dyDescent="0.25">
      <c r="A179" s="1" t="s">
        <v>50</v>
      </c>
      <c r="B179" s="39">
        <f t="shared" si="77"/>
        <v>0</v>
      </c>
      <c r="C179" s="39">
        <f t="shared" si="77"/>
        <v>0</v>
      </c>
      <c r="D179" s="39">
        <f t="shared" si="77"/>
        <v>0</v>
      </c>
      <c r="E179" s="39">
        <f t="shared" si="77"/>
        <v>0</v>
      </c>
      <c r="F179" s="39">
        <f t="shared" si="77"/>
        <v>0</v>
      </c>
      <c r="G179" s="39">
        <f t="shared" si="77"/>
        <v>0</v>
      </c>
      <c r="H179" s="39">
        <f t="shared" si="77"/>
        <v>0</v>
      </c>
      <c r="I179" s="39">
        <f t="shared" si="77"/>
        <v>0</v>
      </c>
      <c r="J179" s="39">
        <f t="shared" si="75"/>
        <v>0</v>
      </c>
      <c r="M179" s="7"/>
    </row>
    <row r="180" spans="1:13" x14ac:dyDescent="0.25">
      <c r="A180" s="1" t="s">
        <v>89</v>
      </c>
      <c r="B180" s="39">
        <f t="shared" si="77"/>
        <v>0</v>
      </c>
      <c r="C180" s="39">
        <f t="shared" si="77"/>
        <v>0</v>
      </c>
      <c r="D180" s="39">
        <f t="shared" si="77"/>
        <v>0</v>
      </c>
      <c r="E180" s="39">
        <f t="shared" si="77"/>
        <v>0</v>
      </c>
      <c r="F180" s="39">
        <f t="shared" si="77"/>
        <v>0</v>
      </c>
      <c r="G180" s="39">
        <f t="shared" si="77"/>
        <v>0</v>
      </c>
      <c r="H180" s="39">
        <f t="shared" si="77"/>
        <v>0</v>
      </c>
      <c r="I180" s="39">
        <f t="shared" si="77"/>
        <v>0</v>
      </c>
      <c r="J180" s="39">
        <f t="shared" si="75"/>
        <v>0</v>
      </c>
      <c r="M180" s="7"/>
    </row>
    <row r="181" spans="1:13" x14ac:dyDescent="0.25">
      <c r="A181" s="1" t="s">
        <v>5</v>
      </c>
      <c r="B181" s="39">
        <f t="shared" si="77"/>
        <v>0</v>
      </c>
      <c r="C181" s="39">
        <f t="shared" si="77"/>
        <v>0</v>
      </c>
      <c r="D181" s="39">
        <f t="shared" si="77"/>
        <v>0</v>
      </c>
      <c r="E181" s="39">
        <f t="shared" si="77"/>
        <v>0</v>
      </c>
      <c r="F181" s="39">
        <f t="shared" si="77"/>
        <v>0</v>
      </c>
      <c r="G181" s="39">
        <f t="shared" si="77"/>
        <v>0</v>
      </c>
      <c r="H181" s="39">
        <f t="shared" si="77"/>
        <v>0</v>
      </c>
      <c r="I181" s="39">
        <f t="shared" si="77"/>
        <v>0</v>
      </c>
      <c r="J181" s="39">
        <f t="shared" si="75"/>
        <v>0</v>
      </c>
      <c r="M181" s="7"/>
    </row>
    <row r="182" spans="1:13" x14ac:dyDescent="0.25">
      <c r="A182" s="1" t="s">
        <v>84</v>
      </c>
      <c r="B182" s="39">
        <f t="shared" si="77"/>
        <v>0</v>
      </c>
      <c r="C182" s="39">
        <f t="shared" si="77"/>
        <v>0</v>
      </c>
      <c r="D182" s="39">
        <f t="shared" si="77"/>
        <v>0</v>
      </c>
      <c r="E182" s="39">
        <f t="shared" si="77"/>
        <v>0</v>
      </c>
      <c r="F182" s="39">
        <f t="shared" si="77"/>
        <v>0</v>
      </c>
      <c r="G182" s="39">
        <f t="shared" si="77"/>
        <v>0</v>
      </c>
      <c r="H182" s="39">
        <f t="shared" si="77"/>
        <v>0</v>
      </c>
      <c r="I182" s="39">
        <f t="shared" si="77"/>
        <v>0</v>
      </c>
      <c r="J182" s="39">
        <f t="shared" si="75"/>
        <v>0</v>
      </c>
      <c r="M182" s="7"/>
    </row>
    <row r="183" spans="1:13" x14ac:dyDescent="0.25">
      <c r="A183" s="1" t="s">
        <v>4</v>
      </c>
      <c r="B183" s="39">
        <f t="shared" si="77"/>
        <v>94.175999999999988</v>
      </c>
      <c r="C183" s="39">
        <f t="shared" si="77"/>
        <v>0</v>
      </c>
      <c r="D183" s="39">
        <f t="shared" si="77"/>
        <v>0</v>
      </c>
      <c r="E183" s="39">
        <f t="shared" si="77"/>
        <v>0</v>
      </c>
      <c r="F183" s="39">
        <f t="shared" si="77"/>
        <v>0</v>
      </c>
      <c r="G183" s="39">
        <f t="shared" si="77"/>
        <v>0</v>
      </c>
      <c r="H183" s="39">
        <f t="shared" si="77"/>
        <v>0</v>
      </c>
      <c r="I183" s="39">
        <f t="shared" si="77"/>
        <v>0</v>
      </c>
      <c r="J183" s="39">
        <f t="shared" si="75"/>
        <v>94.175999999999988</v>
      </c>
      <c r="M183" s="7"/>
    </row>
    <row r="184" spans="1:13" x14ac:dyDescent="0.25">
      <c r="A184" s="1" t="s">
        <v>51</v>
      </c>
      <c r="B184" s="39">
        <f t="shared" si="77"/>
        <v>297.64799999999997</v>
      </c>
      <c r="C184" s="39">
        <f t="shared" si="77"/>
        <v>0</v>
      </c>
      <c r="D184" s="39">
        <f t="shared" si="77"/>
        <v>0</v>
      </c>
      <c r="E184" s="39">
        <f t="shared" si="77"/>
        <v>0</v>
      </c>
      <c r="F184" s="39">
        <f t="shared" si="77"/>
        <v>0</v>
      </c>
      <c r="G184" s="39">
        <f t="shared" si="77"/>
        <v>0</v>
      </c>
      <c r="H184" s="39">
        <f t="shared" si="77"/>
        <v>0</v>
      </c>
      <c r="I184" s="39">
        <f t="shared" si="77"/>
        <v>0</v>
      </c>
      <c r="J184" s="39">
        <f t="shared" si="75"/>
        <v>297.64799999999997</v>
      </c>
      <c r="M184" s="7"/>
    </row>
    <row r="185" spans="1:13" x14ac:dyDescent="0.25">
      <c r="A185" s="1" t="s">
        <v>85</v>
      </c>
      <c r="B185" s="39">
        <f t="shared" si="77"/>
        <v>0</v>
      </c>
      <c r="C185" s="39">
        <f t="shared" si="77"/>
        <v>0</v>
      </c>
      <c r="D185" s="39">
        <f t="shared" si="77"/>
        <v>0</v>
      </c>
      <c r="E185" s="39">
        <f t="shared" si="77"/>
        <v>0</v>
      </c>
      <c r="F185" s="39">
        <f t="shared" si="77"/>
        <v>0</v>
      </c>
      <c r="G185" s="39">
        <f t="shared" si="77"/>
        <v>0</v>
      </c>
      <c r="H185" s="39">
        <f t="shared" si="77"/>
        <v>0</v>
      </c>
      <c r="I185" s="39">
        <f t="shared" si="77"/>
        <v>0</v>
      </c>
      <c r="J185" s="39">
        <f t="shared" si="75"/>
        <v>0</v>
      </c>
      <c r="M185" s="7"/>
    </row>
    <row r="186" spans="1:13" x14ac:dyDescent="0.25">
      <c r="A186" s="1" t="s">
        <v>2</v>
      </c>
      <c r="B186" s="39">
        <f t="shared" si="77"/>
        <v>719.87735999999973</v>
      </c>
      <c r="C186" s="39">
        <f t="shared" si="77"/>
        <v>3348.7191399999997</v>
      </c>
      <c r="D186" s="39">
        <f t="shared" si="77"/>
        <v>1985.7944520000003</v>
      </c>
      <c r="E186" s="39">
        <f t="shared" si="77"/>
        <v>273.77136000000002</v>
      </c>
      <c r="F186" s="39">
        <f t="shared" si="77"/>
        <v>0</v>
      </c>
      <c r="G186" s="39">
        <f t="shared" si="77"/>
        <v>0</v>
      </c>
      <c r="H186" s="39">
        <f t="shared" si="77"/>
        <v>0</v>
      </c>
      <c r="I186" s="39">
        <f t="shared" si="77"/>
        <v>0</v>
      </c>
      <c r="J186" s="39">
        <f t="shared" si="75"/>
        <v>6328.1623119999995</v>
      </c>
      <c r="M186" s="7"/>
    </row>
    <row r="187" spans="1:13" x14ac:dyDescent="0.25">
      <c r="A187" s="1" t="s">
        <v>86</v>
      </c>
      <c r="B187" s="39">
        <f t="shared" si="77"/>
        <v>0</v>
      </c>
      <c r="C187" s="39">
        <f t="shared" si="77"/>
        <v>0</v>
      </c>
      <c r="D187" s="39">
        <f t="shared" si="77"/>
        <v>0</v>
      </c>
      <c r="E187" s="39">
        <f t="shared" si="77"/>
        <v>0</v>
      </c>
      <c r="F187" s="39">
        <f t="shared" si="77"/>
        <v>0</v>
      </c>
      <c r="G187" s="39">
        <f t="shared" si="77"/>
        <v>0</v>
      </c>
      <c r="H187" s="39">
        <f t="shared" si="77"/>
        <v>0</v>
      </c>
      <c r="I187" s="39">
        <f t="shared" si="77"/>
        <v>0</v>
      </c>
      <c r="J187" s="39">
        <f t="shared" si="75"/>
        <v>0</v>
      </c>
      <c r="M187" s="7"/>
    </row>
    <row r="188" spans="1:13" x14ac:dyDescent="0.25">
      <c r="A188" s="1" t="s">
        <v>29</v>
      </c>
      <c r="B188" s="39">
        <f t="shared" ref="B188:I190" si="78">B126-B167</f>
        <v>0</v>
      </c>
      <c r="C188" s="39">
        <f t="shared" si="78"/>
        <v>0</v>
      </c>
      <c r="D188" s="39">
        <f t="shared" si="78"/>
        <v>0</v>
      </c>
      <c r="E188" s="39">
        <f t="shared" si="78"/>
        <v>0</v>
      </c>
      <c r="F188" s="39">
        <f t="shared" si="78"/>
        <v>0</v>
      </c>
      <c r="G188" s="39">
        <f t="shared" si="78"/>
        <v>0</v>
      </c>
      <c r="H188" s="39">
        <f t="shared" si="78"/>
        <v>0</v>
      </c>
      <c r="I188" s="39">
        <f t="shared" si="78"/>
        <v>0</v>
      </c>
      <c r="J188" s="39">
        <f>SUM(B188:I188)</f>
        <v>0</v>
      </c>
      <c r="M188" s="7"/>
    </row>
    <row r="189" spans="1:13" x14ac:dyDescent="0.25">
      <c r="A189" s="1" t="s">
        <v>52</v>
      </c>
      <c r="B189" s="39">
        <f t="shared" si="78"/>
        <v>0</v>
      </c>
      <c r="C189" s="39">
        <f t="shared" si="78"/>
        <v>0</v>
      </c>
      <c r="D189" s="39">
        <f t="shared" si="78"/>
        <v>0</v>
      </c>
      <c r="E189" s="39">
        <f t="shared" si="78"/>
        <v>0</v>
      </c>
      <c r="F189" s="39">
        <f t="shared" si="78"/>
        <v>0</v>
      </c>
      <c r="G189" s="39">
        <f t="shared" si="78"/>
        <v>0</v>
      </c>
      <c r="H189" s="39">
        <f t="shared" si="78"/>
        <v>0</v>
      </c>
      <c r="I189" s="39">
        <f t="shared" si="78"/>
        <v>0</v>
      </c>
      <c r="J189" s="39">
        <f t="shared" si="75"/>
        <v>0</v>
      </c>
      <c r="M189" s="7"/>
    </row>
    <row r="190" spans="1:13" x14ac:dyDescent="0.25">
      <c r="A190" s="1" t="s">
        <v>1</v>
      </c>
      <c r="B190" s="40">
        <f t="shared" si="78"/>
        <v>663.3</v>
      </c>
      <c r="C190" s="40">
        <f t="shared" si="78"/>
        <v>0</v>
      </c>
      <c r="D190" s="40">
        <f t="shared" si="78"/>
        <v>539.48399999999992</v>
      </c>
      <c r="E190" s="40">
        <f t="shared" si="78"/>
        <v>0</v>
      </c>
      <c r="F190" s="40">
        <f t="shared" si="78"/>
        <v>0</v>
      </c>
      <c r="G190" s="40">
        <f t="shared" si="78"/>
        <v>0</v>
      </c>
      <c r="H190" s="40">
        <f t="shared" si="78"/>
        <v>0</v>
      </c>
      <c r="I190" s="40">
        <f t="shared" si="78"/>
        <v>0</v>
      </c>
      <c r="J190" s="40">
        <f t="shared" si="75"/>
        <v>1202.7839999999999</v>
      </c>
      <c r="M190" s="7"/>
    </row>
    <row r="191" spans="1:13" x14ac:dyDescent="0.25">
      <c r="A191" s="4"/>
      <c r="B191" s="39">
        <f>SUM(B174:B190)</f>
        <v>7665.8613600000008</v>
      </c>
      <c r="C191" s="39">
        <f t="shared" ref="C191:J191" si="79">SUM(C174:C190)</f>
        <v>4948.1991399999997</v>
      </c>
      <c r="D191" s="39">
        <f t="shared" si="79"/>
        <v>2525.2784520000005</v>
      </c>
      <c r="E191" s="39">
        <f t="shared" si="79"/>
        <v>273.77136000000002</v>
      </c>
      <c r="F191" s="39">
        <f t="shared" si="79"/>
        <v>0</v>
      </c>
      <c r="G191" s="39">
        <f t="shared" si="79"/>
        <v>0</v>
      </c>
      <c r="H191" s="39">
        <f t="shared" si="79"/>
        <v>0</v>
      </c>
      <c r="I191" s="39">
        <f t="shared" si="79"/>
        <v>0</v>
      </c>
      <c r="J191" s="39">
        <f t="shared" si="79"/>
        <v>15413.110312000001</v>
      </c>
      <c r="L191" s="33">
        <v>11114.6</v>
      </c>
      <c r="M191" s="7">
        <f>+L191-J191</f>
        <v>-4298.5103120000003</v>
      </c>
    </row>
    <row r="192" spans="1:13" x14ac:dyDescent="0.25">
      <c r="A192" s="4"/>
      <c r="B192" s="39"/>
      <c r="C192" s="39"/>
      <c r="D192" s="39"/>
      <c r="E192" s="39"/>
      <c r="F192" s="39"/>
      <c r="G192" s="39"/>
      <c r="H192" s="39"/>
      <c r="I192" s="39"/>
      <c r="J192" s="39"/>
      <c r="L192" s="7"/>
      <c r="M192" s="7"/>
    </row>
    <row r="193" spans="1:13" x14ac:dyDescent="0.25">
      <c r="A193" s="4"/>
      <c r="B193" s="39"/>
      <c r="C193" s="39"/>
      <c r="D193" s="39"/>
      <c r="E193" s="39"/>
      <c r="F193" s="39"/>
      <c r="G193" s="39"/>
      <c r="H193" s="39"/>
      <c r="I193" s="39"/>
      <c r="J193" s="39"/>
      <c r="L193" s="7"/>
      <c r="M193" s="7"/>
    </row>
    <row r="194" spans="1:13" x14ac:dyDescent="0.25">
      <c r="A194" s="4"/>
      <c r="B194" s="39"/>
      <c r="C194" s="39"/>
      <c r="D194" s="39"/>
      <c r="E194" s="39"/>
      <c r="F194" s="39"/>
      <c r="G194" s="39"/>
      <c r="H194" s="39"/>
      <c r="I194" s="39"/>
      <c r="J194" s="39"/>
      <c r="M194" s="7"/>
    </row>
    <row r="195" spans="1:13" x14ac:dyDescent="0.25">
      <c r="A195" s="4"/>
      <c r="B195" s="39"/>
      <c r="C195" s="39"/>
      <c r="D195" s="39"/>
      <c r="E195" s="39"/>
      <c r="F195" s="39"/>
      <c r="G195" s="39"/>
      <c r="H195" s="39"/>
      <c r="I195" s="39"/>
      <c r="J195" s="39"/>
      <c r="M195" s="7"/>
    </row>
    <row r="196" spans="1:13" x14ac:dyDescent="0.25">
      <c r="A196" s="4"/>
      <c r="B196" s="39"/>
      <c r="C196" s="39"/>
      <c r="D196" s="39"/>
      <c r="E196" s="39"/>
      <c r="F196" s="39"/>
      <c r="G196" s="39"/>
      <c r="H196" s="39"/>
      <c r="I196" s="39"/>
      <c r="J196" s="39"/>
      <c r="M196" s="7"/>
    </row>
    <row r="197" spans="1:13" x14ac:dyDescent="0.25">
      <c r="A197" s="4"/>
      <c r="B197" s="39"/>
      <c r="C197" s="39"/>
      <c r="D197" s="39"/>
      <c r="E197" s="39"/>
      <c r="F197" s="39"/>
      <c r="G197" s="39"/>
      <c r="H197" s="39"/>
      <c r="I197" s="39"/>
      <c r="J197" s="39"/>
      <c r="M197" s="7"/>
    </row>
    <row r="198" spans="1:13" x14ac:dyDescent="0.25">
      <c r="A198" s="4"/>
      <c r="B198" s="39"/>
      <c r="C198" s="39"/>
      <c r="D198" s="39"/>
      <c r="E198" s="39"/>
      <c r="F198" s="39"/>
      <c r="G198" s="39"/>
      <c r="H198" s="39"/>
      <c r="I198" s="39"/>
      <c r="J198" s="39"/>
      <c r="M198" s="7"/>
    </row>
    <row r="199" spans="1:13" x14ac:dyDescent="0.25">
      <c r="A199" s="1"/>
      <c r="B199" s="9"/>
      <c r="C199" s="9"/>
      <c r="D199" s="9"/>
      <c r="E199" s="9"/>
      <c r="F199" s="9"/>
      <c r="G199" s="9"/>
      <c r="H199" s="9"/>
      <c r="I199" s="9"/>
      <c r="J199" s="9"/>
      <c r="M199" s="7"/>
    </row>
    <row r="200" spans="1:13" x14ac:dyDescent="0.25">
      <c r="A200" s="1"/>
      <c r="B200" s="9"/>
      <c r="C200" s="9"/>
      <c r="D200" s="9"/>
      <c r="E200" s="9"/>
      <c r="F200" s="9"/>
      <c r="G200" s="9"/>
      <c r="H200" s="9"/>
      <c r="I200" s="9"/>
      <c r="J200" s="9"/>
      <c r="M200" s="7"/>
    </row>
  </sheetData>
  <mergeCells count="18">
    <mergeCell ref="A27:J27"/>
    <mergeCell ref="A48:J48"/>
    <mergeCell ref="L6:M6"/>
    <mergeCell ref="A1:M1"/>
    <mergeCell ref="A2:M2"/>
    <mergeCell ref="A3:M3"/>
    <mergeCell ref="A4:M4"/>
    <mergeCell ref="A6:J6"/>
    <mergeCell ref="A172:J172"/>
    <mergeCell ref="M104:M105"/>
    <mergeCell ref="M106:M107"/>
    <mergeCell ref="A69:J69"/>
    <mergeCell ref="A89:J89"/>
    <mergeCell ref="A110:J110"/>
    <mergeCell ref="A131:J131"/>
    <mergeCell ref="A151:J151"/>
    <mergeCell ref="M166:M167"/>
    <mergeCell ref="M168:M169"/>
  </mergeCells>
  <pageMargins left="0.7" right="0.7" top="0.75" bottom="0.75" header="0.3" footer="0.3"/>
  <pageSetup scale="24"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Z64"/>
  <sheetViews>
    <sheetView workbookViewId="0">
      <selection activeCell="N35" sqref="N35"/>
    </sheetView>
  </sheetViews>
  <sheetFormatPr defaultColWidth="9.140625" defaultRowHeight="15" x14ac:dyDescent="0.25"/>
  <cols>
    <col min="1" max="1" width="38.85546875" bestFit="1" customWidth="1"/>
    <col min="2" max="2" width="14.28515625" bestFit="1" customWidth="1"/>
    <col min="3" max="3" width="13.28515625" bestFit="1" customWidth="1"/>
    <col min="4" max="4" width="11.28515625" bestFit="1" customWidth="1"/>
    <col min="5" max="5" width="14.28515625" bestFit="1" customWidth="1"/>
    <col min="6" max="7" width="12.28515625" bestFit="1" customWidth="1"/>
    <col min="8" max="8" width="9.5703125" bestFit="1" customWidth="1"/>
    <col min="9" max="9" width="15" bestFit="1" customWidth="1"/>
    <col min="10" max="10" width="2.7109375" customWidth="1"/>
    <col min="11" max="11" width="11.5703125" bestFit="1" customWidth="1"/>
    <col min="12" max="12" width="18.85546875" customWidth="1"/>
    <col min="13" max="13" width="11.5703125" bestFit="1" customWidth="1"/>
    <col min="14" max="14" width="11.28515625" bestFit="1" customWidth="1"/>
    <col min="15" max="16" width="12.28515625" bestFit="1" customWidth="1"/>
    <col min="17" max="17" width="9.5703125" bestFit="1" customWidth="1"/>
    <col min="19" max="20" width="10.5703125" bestFit="1" customWidth="1"/>
    <col min="21" max="21" width="11" customWidth="1"/>
    <col min="22" max="22" width="10.28515625" customWidth="1"/>
    <col min="23" max="23" width="11.5703125" customWidth="1"/>
    <col min="24" max="24" width="11.42578125" customWidth="1"/>
    <col min="25" max="25" width="11.5703125" customWidth="1"/>
    <col min="26" max="26" width="11.7109375" customWidth="1"/>
  </cols>
  <sheetData>
    <row r="1" spans="1:22" ht="18.75" x14ac:dyDescent="0.3">
      <c r="A1" s="173" t="s">
        <v>17</v>
      </c>
      <c r="B1" s="173"/>
      <c r="C1" s="173"/>
      <c r="D1" s="173"/>
      <c r="E1" s="173"/>
      <c r="F1" s="173"/>
      <c r="G1" s="173"/>
      <c r="H1" s="173"/>
      <c r="I1" s="173"/>
    </row>
    <row r="2" spans="1:22" ht="15.75" x14ac:dyDescent="0.25">
      <c r="A2" s="188" t="s">
        <v>40</v>
      </c>
      <c r="B2" s="188"/>
      <c r="C2" s="188"/>
      <c r="D2" s="188"/>
      <c r="E2" s="188"/>
      <c r="F2" s="188"/>
      <c r="G2" s="188"/>
      <c r="H2" s="188"/>
      <c r="I2" s="188"/>
    </row>
    <row r="3" spans="1:22" x14ac:dyDescent="0.25">
      <c r="A3" s="175" t="s">
        <v>31</v>
      </c>
      <c r="B3" s="175"/>
      <c r="C3" s="175"/>
      <c r="D3" s="175"/>
      <c r="E3" s="175"/>
      <c r="F3" s="175"/>
      <c r="G3" s="175"/>
      <c r="H3" s="175"/>
      <c r="I3" s="175"/>
    </row>
    <row r="4" spans="1:22" x14ac:dyDescent="0.25">
      <c r="A4" s="187">
        <v>41243</v>
      </c>
      <c r="B4" s="187"/>
      <c r="C4" s="187"/>
      <c r="D4" s="187"/>
      <c r="E4" s="187"/>
      <c r="F4" s="187"/>
      <c r="G4" s="187"/>
      <c r="H4" s="187"/>
      <c r="I4" s="187"/>
      <c r="S4" s="22">
        <v>5538.29</v>
      </c>
    </row>
    <row r="5" spans="1:22" x14ac:dyDescent="0.25">
      <c r="A5" s="23" t="s">
        <v>46</v>
      </c>
      <c r="B5" s="25"/>
      <c r="C5" s="24">
        <f>+B5/0.55</f>
        <v>0</v>
      </c>
      <c r="K5" s="186" t="s">
        <v>44</v>
      </c>
      <c r="L5" s="186"/>
      <c r="M5" s="186"/>
      <c r="N5" s="186"/>
      <c r="O5" s="186"/>
      <c r="P5" s="186"/>
      <c r="Q5" s="186"/>
    </row>
    <row r="6" spans="1:22" x14ac:dyDescent="0.25">
      <c r="A6" s="4" t="s">
        <v>16</v>
      </c>
      <c r="B6" s="5" t="s">
        <v>15</v>
      </c>
      <c r="C6" s="5" t="s">
        <v>14</v>
      </c>
      <c r="D6" s="5" t="s">
        <v>13</v>
      </c>
      <c r="E6" s="5" t="s">
        <v>12</v>
      </c>
      <c r="F6" s="5" t="s">
        <v>37</v>
      </c>
      <c r="G6" s="5" t="s">
        <v>38</v>
      </c>
      <c r="H6" s="5" t="s">
        <v>9</v>
      </c>
      <c r="I6" s="5" t="s">
        <v>0</v>
      </c>
      <c r="K6" s="5" t="s">
        <v>15</v>
      </c>
      <c r="L6" s="5" t="s">
        <v>14</v>
      </c>
      <c r="M6" s="5" t="s">
        <v>13</v>
      </c>
      <c r="N6" s="5" t="s">
        <v>12</v>
      </c>
      <c r="O6" s="5" t="s">
        <v>11</v>
      </c>
      <c r="P6" s="5" t="s">
        <v>10</v>
      </c>
      <c r="Q6" s="5" t="s">
        <v>9</v>
      </c>
    </row>
    <row r="7" spans="1:22" x14ac:dyDescent="0.25">
      <c r="A7" s="1" t="s">
        <v>8</v>
      </c>
      <c r="B7" s="2" t="e">
        <f>+'Company Summary'!B7-S20</f>
        <v>#VALUE!</v>
      </c>
      <c r="C7" s="2" t="e">
        <f>+'Company Summary'!C7-T20</f>
        <v>#VALUE!</v>
      </c>
      <c r="D7" s="2" t="e">
        <f>+'Company Summary'!D7-U20</f>
        <v>#VALUE!</v>
      </c>
      <c r="E7" s="2" t="e">
        <f>+'Company Summary'!E7-V20</f>
        <v>#VALUE!</v>
      </c>
      <c r="F7" s="2" t="e">
        <f>+'Company Summary'!F7-W20</f>
        <v>#VALUE!</v>
      </c>
      <c r="G7" s="2" t="e">
        <f>+'Company Summary'!G7-X20</f>
        <v>#VALUE!</v>
      </c>
      <c r="H7" s="2" t="e">
        <f>+'Company Summary'!H7-Y20</f>
        <v>#VALUE!</v>
      </c>
      <c r="I7" s="2" t="e">
        <f t="shared" ref="I7:I17" si="0">SUM(B7:H7)</f>
        <v>#VALUE!</v>
      </c>
      <c r="K7" s="14" t="e">
        <f>IF(B7&lt;&gt;0,1-(B20/B7),0)</f>
        <v>#VALUE!</v>
      </c>
      <c r="L7" s="14" t="e">
        <f t="shared" ref="L7:Q16" si="1">IF(C7&lt;&gt;0,1-(C20/C7),0)</f>
        <v>#VALUE!</v>
      </c>
      <c r="M7" s="14" t="e">
        <f t="shared" si="1"/>
        <v>#VALUE!</v>
      </c>
      <c r="N7" s="14" t="e">
        <f t="shared" si="1"/>
        <v>#VALUE!</v>
      </c>
      <c r="O7" s="14" t="e">
        <f t="shared" si="1"/>
        <v>#VALUE!</v>
      </c>
      <c r="P7" s="14" t="e">
        <f t="shared" si="1"/>
        <v>#VALUE!</v>
      </c>
      <c r="Q7" s="14" t="e">
        <f t="shared" si="1"/>
        <v>#VALUE!</v>
      </c>
      <c r="S7" s="26">
        <f>(Z38/$Z$48)*$S$4</f>
        <v>0</v>
      </c>
      <c r="T7" s="2">
        <f>+S7/0.55</f>
        <v>0</v>
      </c>
      <c r="V7" s="1" t="s">
        <v>8</v>
      </c>
    </row>
    <row r="8" spans="1:22" x14ac:dyDescent="0.25">
      <c r="A8" s="1" t="s">
        <v>7</v>
      </c>
      <c r="B8" s="2">
        <f>+'Company Summary'!B8-S21</f>
        <v>-3997.5167053901432</v>
      </c>
      <c r="C8" s="2">
        <f>+'Company Summary'!C8-T21</f>
        <v>-203.62743242092475</v>
      </c>
      <c r="D8" s="2">
        <f>+'Company Summary'!D8-U21</f>
        <v>-71.037870771204098</v>
      </c>
      <c r="E8" s="2">
        <f>+'Company Summary'!E8-V21</f>
        <v>-135.39966939401495</v>
      </c>
      <c r="F8" s="2">
        <f>+'Company Summary'!F8-W21</f>
        <v>-67.855837001929686</v>
      </c>
      <c r="G8" s="2">
        <f>+'Company Summary'!G8-X21</f>
        <v>0</v>
      </c>
      <c r="H8" s="2">
        <f>+'Company Summary'!H8-Y21</f>
        <v>0</v>
      </c>
      <c r="I8" s="2">
        <f t="shared" si="0"/>
        <v>-4475.4375149782172</v>
      </c>
      <c r="K8" s="6">
        <f t="shared" ref="K8:K16" si="2">IF(B8&lt;&gt;0,1-(B21/B8),0)</f>
        <v>0.68</v>
      </c>
      <c r="L8" s="6">
        <f t="shared" si="1"/>
        <v>0.68</v>
      </c>
      <c r="M8" s="6">
        <f t="shared" si="1"/>
        <v>0.68</v>
      </c>
      <c r="N8" s="6">
        <f t="shared" si="1"/>
        <v>0.68</v>
      </c>
      <c r="O8" s="6">
        <f t="shared" si="1"/>
        <v>0.68</v>
      </c>
      <c r="P8" s="6">
        <f t="shared" si="1"/>
        <v>0</v>
      </c>
      <c r="Q8" s="6">
        <f t="shared" si="1"/>
        <v>0</v>
      </c>
      <c r="S8" s="26">
        <f t="shared" ref="S8:S16" si="3">(Z39/$Z$48)*$S$4</f>
        <v>2461.4906332380197</v>
      </c>
      <c r="T8" s="2">
        <f t="shared" ref="T8:T16" si="4">+S8/0.55</f>
        <v>4475.4375149782172</v>
      </c>
      <c r="V8" s="1" t="s">
        <v>7</v>
      </c>
    </row>
    <row r="9" spans="1:22" x14ac:dyDescent="0.25">
      <c r="A9" s="1" t="s">
        <v>6</v>
      </c>
      <c r="B9" s="2">
        <f>+'Company Summary'!B9-S22</f>
        <v>-701.57060272428907</v>
      </c>
      <c r="C9" s="2">
        <f>+'Company Summary'!C9-T22</f>
        <v>616.35099001128856</v>
      </c>
      <c r="D9" s="2">
        <f>+'Company Summary'!D9-U22</f>
        <v>-151.24991682525135</v>
      </c>
      <c r="E9" s="2">
        <f>+'Company Summary'!E9-V22</f>
        <v>-142.03028391713289</v>
      </c>
      <c r="F9" s="2">
        <f>+'Company Summary'!F9-W22</f>
        <v>-228.73450536277764</v>
      </c>
      <c r="G9" s="2">
        <f>+'Company Summary'!G9-X22</f>
        <v>0</v>
      </c>
      <c r="H9" s="2">
        <f>+'Company Summary'!H9-Y22</f>
        <v>0</v>
      </c>
      <c r="I9" s="2">
        <f t="shared" si="0"/>
        <v>-607.23431881816236</v>
      </c>
      <c r="K9" s="6">
        <f t="shared" si="2"/>
        <v>0.59</v>
      </c>
      <c r="L9" s="6">
        <f t="shared" si="1"/>
        <v>0.59</v>
      </c>
      <c r="M9" s="6">
        <f t="shared" si="1"/>
        <v>0.59</v>
      </c>
      <c r="N9" s="6">
        <f t="shared" si="1"/>
        <v>0.59</v>
      </c>
      <c r="O9" s="6">
        <f t="shared" si="1"/>
        <v>0.59</v>
      </c>
      <c r="P9" s="6">
        <f t="shared" si="1"/>
        <v>0</v>
      </c>
      <c r="Q9" s="6">
        <f t="shared" si="1"/>
        <v>0</v>
      </c>
      <c r="S9" s="26">
        <f t="shared" si="3"/>
        <v>1046.7788753499892</v>
      </c>
      <c r="T9" s="2">
        <f t="shared" si="4"/>
        <v>1903.2343188181621</v>
      </c>
      <c r="V9" s="1" t="s">
        <v>6</v>
      </c>
    </row>
    <row r="10" spans="1:22" x14ac:dyDescent="0.25">
      <c r="A10" s="1" t="s">
        <v>5</v>
      </c>
      <c r="B10" s="2">
        <f>+'Company Summary'!B10-S23</f>
        <v>6780</v>
      </c>
      <c r="C10" s="2">
        <f>+'Company Summary'!C10-T23</f>
        <v>1080</v>
      </c>
      <c r="D10" s="2">
        <f>+'Company Summary'!D10-U23</f>
        <v>0</v>
      </c>
      <c r="E10" s="2">
        <f>+'Company Summary'!E10-V23</f>
        <v>0</v>
      </c>
      <c r="F10" s="2">
        <f>+'Company Summary'!F10-W23</f>
        <v>0</v>
      </c>
      <c r="G10" s="2">
        <f>+'Company Summary'!G10-X23</f>
        <v>0</v>
      </c>
      <c r="H10" s="2">
        <f>+'Company Summary'!H10-Y23</f>
        <v>-28.44</v>
      </c>
      <c r="I10" s="2">
        <f t="shared" si="0"/>
        <v>7831.56</v>
      </c>
      <c r="K10" s="6">
        <f t="shared" si="2"/>
        <v>0</v>
      </c>
      <c r="L10" s="6">
        <f t="shared" si="1"/>
        <v>0</v>
      </c>
      <c r="M10" s="6">
        <f t="shared" si="1"/>
        <v>0</v>
      </c>
      <c r="N10" s="6">
        <f t="shared" si="1"/>
        <v>0</v>
      </c>
      <c r="O10" s="6">
        <f t="shared" si="1"/>
        <v>0</v>
      </c>
      <c r="P10" s="6">
        <f t="shared" si="1"/>
        <v>0</v>
      </c>
      <c r="Q10" s="6">
        <f t="shared" si="1"/>
        <v>0</v>
      </c>
      <c r="S10" s="26">
        <f t="shared" si="3"/>
        <v>0</v>
      </c>
      <c r="T10" s="2">
        <f t="shared" si="4"/>
        <v>0</v>
      </c>
      <c r="V10" s="1" t="s">
        <v>5</v>
      </c>
    </row>
    <row r="11" spans="1:22" x14ac:dyDescent="0.25">
      <c r="A11" s="1" t="s">
        <v>4</v>
      </c>
      <c r="B11" s="2">
        <f>+'Company Summary'!B11-S24</f>
        <v>-17.356547832405894</v>
      </c>
      <c r="C11" s="2">
        <f>+'Company Summary'!C11-T24</f>
        <v>-8.6266175238445957</v>
      </c>
      <c r="D11" s="2">
        <f>+'Company Summary'!D11-U24</f>
        <v>-4.5457625275348761</v>
      </c>
      <c r="E11" s="2">
        <f>+'Company Summary'!E11-V24</f>
        <v>-56.200088630191409</v>
      </c>
      <c r="F11" s="2">
        <f>+'Company Summary'!F11-W24</f>
        <v>-31.814138925661133</v>
      </c>
      <c r="G11" s="2">
        <f>+'Company Summary'!G11-X24</f>
        <v>0</v>
      </c>
      <c r="H11" s="2">
        <f>+'Company Summary'!H11-Y24</f>
        <v>0</v>
      </c>
      <c r="I11" s="2">
        <f t="shared" si="0"/>
        <v>-118.5431554396379</v>
      </c>
      <c r="K11" s="6">
        <f t="shared" si="2"/>
        <v>0.68</v>
      </c>
      <c r="L11" s="6">
        <f t="shared" si="1"/>
        <v>0.68</v>
      </c>
      <c r="M11" s="6">
        <f t="shared" si="1"/>
        <v>0.68</v>
      </c>
      <c r="N11" s="6">
        <f t="shared" si="1"/>
        <v>0.68</v>
      </c>
      <c r="O11" s="6">
        <f t="shared" si="1"/>
        <v>0.68</v>
      </c>
      <c r="P11" s="6">
        <f t="shared" si="1"/>
        <v>0</v>
      </c>
      <c r="Q11" s="6">
        <f t="shared" si="1"/>
        <v>0</v>
      </c>
      <c r="S11" s="26">
        <f t="shared" si="3"/>
        <v>65.198735491800861</v>
      </c>
      <c r="T11" s="2">
        <f t="shared" si="4"/>
        <v>118.54315543963791</v>
      </c>
      <c r="V11" s="1" t="s">
        <v>4</v>
      </c>
    </row>
    <row r="12" spans="1:22" x14ac:dyDescent="0.25">
      <c r="A12" s="1" t="s">
        <v>3</v>
      </c>
      <c r="B12" s="2">
        <f>+'Company Summary'!B12-S25</f>
        <v>432</v>
      </c>
      <c r="C12" s="2">
        <f>+'Company Summary'!C12-T25</f>
        <v>0</v>
      </c>
      <c r="D12" s="2">
        <f>+'Company Summary'!D12-U25</f>
        <v>0</v>
      </c>
      <c r="E12" s="2">
        <f>+'Company Summary'!E12-V25</f>
        <v>0</v>
      </c>
      <c r="F12" s="2">
        <f>+'Company Summary'!F12-W25</f>
        <v>0</v>
      </c>
      <c r="G12" s="2">
        <f>+'Company Summary'!G12-X25</f>
        <v>0</v>
      </c>
      <c r="H12" s="2">
        <f>+'Company Summary'!H12-Y25</f>
        <v>0</v>
      </c>
      <c r="I12" s="2">
        <f t="shared" si="0"/>
        <v>432</v>
      </c>
      <c r="K12" s="6">
        <f t="shared" si="2"/>
        <v>0</v>
      </c>
      <c r="L12" s="6">
        <f t="shared" si="1"/>
        <v>0</v>
      </c>
      <c r="M12" s="6">
        <f t="shared" si="1"/>
        <v>0</v>
      </c>
      <c r="N12" s="6">
        <f t="shared" si="1"/>
        <v>0</v>
      </c>
      <c r="O12" s="6">
        <f t="shared" si="1"/>
        <v>0</v>
      </c>
      <c r="P12" s="6">
        <f t="shared" si="1"/>
        <v>0</v>
      </c>
      <c r="Q12" s="6">
        <f t="shared" si="1"/>
        <v>0</v>
      </c>
      <c r="S12" s="26">
        <f t="shared" si="3"/>
        <v>0</v>
      </c>
      <c r="T12" s="2">
        <f t="shared" si="4"/>
        <v>0</v>
      </c>
      <c r="V12" s="1" t="s">
        <v>3</v>
      </c>
    </row>
    <row r="13" spans="1:22" x14ac:dyDescent="0.25">
      <c r="A13" s="1" t="s">
        <v>43</v>
      </c>
      <c r="B13" s="2">
        <f>+'Company Summary'!B13-S26</f>
        <v>0</v>
      </c>
      <c r="C13" s="2">
        <f>+'Company Summary'!C13-T26</f>
        <v>0</v>
      </c>
      <c r="D13" s="2">
        <f>+'Company Summary'!D13-U26</f>
        <v>0</v>
      </c>
      <c r="E13" s="2">
        <f>+'Company Summary'!E13-V26</f>
        <v>0</v>
      </c>
      <c r="F13" s="2">
        <f>+'Company Summary'!F13-W26</f>
        <v>0</v>
      </c>
      <c r="G13" s="2">
        <f>+'Company Summary'!G13-X26</f>
        <v>0</v>
      </c>
      <c r="H13" s="2">
        <f>+'Company Summary'!H13-Y26</f>
        <v>0</v>
      </c>
      <c r="I13" s="2">
        <f t="shared" si="0"/>
        <v>0</v>
      </c>
      <c r="K13" s="6">
        <f t="shared" si="2"/>
        <v>0</v>
      </c>
      <c r="L13" s="6">
        <f t="shared" si="1"/>
        <v>0</v>
      </c>
      <c r="M13" s="6">
        <f t="shared" si="1"/>
        <v>0</v>
      </c>
      <c r="N13" s="6">
        <f t="shared" si="1"/>
        <v>0</v>
      </c>
      <c r="O13" s="6">
        <f t="shared" si="1"/>
        <v>0</v>
      </c>
      <c r="P13" s="6">
        <f t="shared" si="1"/>
        <v>0</v>
      </c>
      <c r="Q13" s="6">
        <f t="shared" si="1"/>
        <v>0</v>
      </c>
      <c r="S13" s="26">
        <f t="shared" si="3"/>
        <v>0</v>
      </c>
      <c r="T13" s="2">
        <f t="shared" si="4"/>
        <v>0</v>
      </c>
      <c r="V13" s="1" t="s">
        <v>47</v>
      </c>
    </row>
    <row r="14" spans="1:22" x14ac:dyDescent="0.25">
      <c r="A14" s="1" t="s">
        <v>2</v>
      </c>
      <c r="B14" s="2">
        <f>+'Company Summary'!B14-S27</f>
        <v>-239.37572218859793</v>
      </c>
      <c r="C14" s="2">
        <f>+'Company Summary'!C14-T27</f>
        <v>-362.58861549743074</v>
      </c>
      <c r="D14" s="2">
        <f>+'Company Summary'!D14-U27</f>
        <v>-338.44028519774884</v>
      </c>
      <c r="E14" s="2">
        <f>+'Company Summary'!E14-V27</f>
        <v>-451.35909263740945</v>
      </c>
      <c r="F14" s="2">
        <f>+'Company Summary'!F14-W27</f>
        <v>-26.034821748608834</v>
      </c>
      <c r="G14" s="2">
        <f>+'Company Summary'!G14-X27</f>
        <v>0</v>
      </c>
      <c r="H14" s="2">
        <f>+'Company Summary'!H14-Y27</f>
        <v>0</v>
      </c>
      <c r="I14" s="2">
        <f t="shared" si="0"/>
        <v>-1417.7985372697958</v>
      </c>
      <c r="K14" s="6">
        <f t="shared" si="2"/>
        <v>1</v>
      </c>
      <c r="L14" s="6">
        <f t="shared" si="1"/>
        <v>1</v>
      </c>
      <c r="M14" s="6">
        <f t="shared" si="1"/>
        <v>1</v>
      </c>
      <c r="N14" s="6">
        <f t="shared" si="1"/>
        <v>1</v>
      </c>
      <c r="O14" s="6">
        <f t="shared" si="1"/>
        <v>1</v>
      </c>
      <c r="P14" s="6">
        <f t="shared" si="1"/>
        <v>0</v>
      </c>
      <c r="Q14" s="6">
        <f t="shared" si="1"/>
        <v>0</v>
      </c>
      <c r="S14" s="26">
        <f t="shared" si="3"/>
        <v>779.78919549838781</v>
      </c>
      <c r="T14" s="2">
        <f t="shared" si="4"/>
        <v>1417.7985372697958</v>
      </c>
      <c r="V14" s="1" t="s">
        <v>2</v>
      </c>
    </row>
    <row r="15" spans="1:22" x14ac:dyDescent="0.25">
      <c r="A15" s="1" t="s">
        <v>29</v>
      </c>
      <c r="B15" s="2">
        <f>+'Company Summary'!B18-S28</f>
        <v>-919.37048295265095</v>
      </c>
      <c r="C15" s="2">
        <f>+'Company Summary'!C18-T28</f>
        <v>-149.34689533076966</v>
      </c>
      <c r="D15" s="2">
        <f>+'Company Summary'!D18-U28</f>
        <v>-234.72664687634634</v>
      </c>
      <c r="E15" s="2">
        <f>+'Company Summary'!E18-V28</f>
        <v>-149.5969122697841</v>
      </c>
      <c r="F15" s="2">
        <f>+'Company Summary'!F18-W28</f>
        <v>-2.1902310359940764</v>
      </c>
      <c r="G15" s="2">
        <f>+'Company Summary'!G18-X28</f>
        <v>0</v>
      </c>
      <c r="H15" s="2">
        <f>+'Company Summary'!H18-Y28</f>
        <v>0</v>
      </c>
      <c r="I15" s="2">
        <f t="shared" si="0"/>
        <v>-1455.2311684655451</v>
      </c>
      <c r="K15" s="6">
        <f t="shared" si="2"/>
        <v>0.34000000000000008</v>
      </c>
      <c r="L15" s="6">
        <f t="shared" si="1"/>
        <v>0.34000000000000008</v>
      </c>
      <c r="M15" s="6">
        <f t="shared" si="1"/>
        <v>0.34000000000000008</v>
      </c>
      <c r="N15" s="6">
        <f t="shared" si="1"/>
        <v>0.34000000000000008</v>
      </c>
      <c r="O15" s="6">
        <f t="shared" si="1"/>
        <v>0.34000000000000008</v>
      </c>
      <c r="P15" s="6">
        <f t="shared" si="1"/>
        <v>0</v>
      </c>
      <c r="Q15" s="6">
        <f t="shared" si="1"/>
        <v>0</v>
      </c>
      <c r="S15" s="26">
        <f t="shared" si="3"/>
        <v>1037.9771426560499</v>
      </c>
      <c r="T15" s="2">
        <f t="shared" si="4"/>
        <v>1887.2311684655451</v>
      </c>
      <c r="V15" s="1" t="s">
        <v>29</v>
      </c>
    </row>
    <row r="16" spans="1:22" ht="17.25" x14ac:dyDescent="0.4">
      <c r="A16" s="1" t="s">
        <v>1</v>
      </c>
      <c r="B16" s="3">
        <f>+'Company Summary'!B19-S29</f>
        <v>-236.37965143181353</v>
      </c>
      <c r="C16" s="3">
        <f>+'Company Summary'!C19-T29</f>
        <v>0</v>
      </c>
      <c r="D16" s="3">
        <f>+'Company Summary'!D19-U29</f>
        <v>-20.662556943340345</v>
      </c>
      <c r="E16" s="3">
        <f>+'Company Summary'!E19-V29</f>
        <v>-10.331278471670172</v>
      </c>
      <c r="F16" s="3">
        <f>+'Company Summary'!F19-W29</f>
        <v>0</v>
      </c>
      <c r="G16" s="3">
        <f>+'Company Summary'!G19-X29</f>
        <v>0</v>
      </c>
      <c r="H16" s="3">
        <f>+'Company Summary'!H19-Y29</f>
        <v>432</v>
      </c>
      <c r="I16" s="3">
        <f t="shared" si="0"/>
        <v>164.62651315317601</v>
      </c>
      <c r="K16" s="6">
        <f t="shared" si="2"/>
        <v>0.43999999999999995</v>
      </c>
      <c r="L16" s="6">
        <f t="shared" si="1"/>
        <v>0</v>
      </c>
      <c r="M16" s="6">
        <f t="shared" si="1"/>
        <v>0.43999999999999995</v>
      </c>
      <c r="N16" s="6">
        <f t="shared" si="1"/>
        <v>0.43999999999999995</v>
      </c>
      <c r="O16" s="6">
        <f t="shared" si="1"/>
        <v>0</v>
      </c>
      <c r="P16" s="6">
        <f t="shared" si="1"/>
        <v>0</v>
      </c>
      <c r="Q16" s="6">
        <f t="shared" si="1"/>
        <v>0</v>
      </c>
      <c r="S16" s="20">
        <f t="shared" si="3"/>
        <v>147.05541776575325</v>
      </c>
      <c r="T16" s="30">
        <f t="shared" si="4"/>
        <v>267.37348684682405</v>
      </c>
      <c r="V16" s="1" t="s">
        <v>1</v>
      </c>
    </row>
    <row r="17" spans="1:26" x14ac:dyDescent="0.25">
      <c r="A17" s="1" t="s">
        <v>0</v>
      </c>
      <c r="B17" s="2" t="e">
        <f t="shared" ref="B17:H17" si="5">SUM(B7:B16)</f>
        <v>#VALUE!</v>
      </c>
      <c r="C17" s="2" t="e">
        <f t="shared" si="5"/>
        <v>#VALUE!</v>
      </c>
      <c r="D17" s="2" t="e">
        <f t="shared" si="5"/>
        <v>#VALUE!</v>
      </c>
      <c r="E17" s="2" t="e">
        <f t="shared" si="5"/>
        <v>#VALUE!</v>
      </c>
      <c r="F17" s="2" t="e">
        <f t="shared" si="5"/>
        <v>#VALUE!</v>
      </c>
      <c r="G17" s="2" t="e">
        <f t="shared" si="5"/>
        <v>#VALUE!</v>
      </c>
      <c r="H17" s="2" t="e">
        <f t="shared" si="5"/>
        <v>#VALUE!</v>
      </c>
      <c r="I17" s="2" t="e">
        <f t="shared" si="0"/>
        <v>#VALUE!</v>
      </c>
      <c r="S17" s="27">
        <f>SUM(S7:S16)</f>
        <v>5538.2900000000009</v>
      </c>
      <c r="T17" s="27">
        <f>SUM(T7:T16)</f>
        <v>10069.618181818183</v>
      </c>
    </row>
    <row r="18" spans="1:26" x14ac:dyDescent="0.25">
      <c r="A18" s="1"/>
    </row>
    <row r="19" spans="1:26" ht="17.25" x14ac:dyDescent="0.4">
      <c r="A19" s="1" t="s">
        <v>33</v>
      </c>
      <c r="B19" s="2"/>
      <c r="C19" s="2"/>
      <c r="D19" s="2"/>
      <c r="E19" s="2"/>
      <c r="F19" s="2"/>
      <c r="G19" s="2"/>
      <c r="H19" s="2"/>
      <c r="I19" s="2"/>
      <c r="M19" s="16"/>
    </row>
    <row r="20" spans="1:26" x14ac:dyDescent="0.25">
      <c r="A20" s="1" t="s">
        <v>8</v>
      </c>
      <c r="B20" s="2" t="e">
        <f>B7*(1-K20)</f>
        <v>#VALUE!</v>
      </c>
      <c r="C20" s="2" t="e">
        <f t="shared" ref="C20:H29" si="6">C7*(1-L20)</f>
        <v>#VALUE!</v>
      </c>
      <c r="D20" s="2" t="e">
        <f t="shared" si="6"/>
        <v>#VALUE!</v>
      </c>
      <c r="E20" s="2" t="e">
        <f t="shared" si="6"/>
        <v>#VALUE!</v>
      </c>
      <c r="F20" s="2" t="e">
        <f t="shared" si="6"/>
        <v>#VALUE!</v>
      </c>
      <c r="G20" s="2" t="e">
        <f t="shared" si="6"/>
        <v>#VALUE!</v>
      </c>
      <c r="H20" s="2" t="e">
        <f t="shared" si="6"/>
        <v>#VALUE!</v>
      </c>
      <c r="I20" s="2" t="e">
        <f>SUM(B20:H20)</f>
        <v>#VALUE!</v>
      </c>
      <c r="K20" s="17">
        <v>0</v>
      </c>
      <c r="L20" s="17">
        <v>0</v>
      </c>
      <c r="M20" s="17">
        <v>0</v>
      </c>
      <c r="N20" s="17">
        <v>0</v>
      </c>
      <c r="O20" s="17">
        <v>0</v>
      </c>
      <c r="P20" s="17">
        <v>0</v>
      </c>
      <c r="Q20" s="17">
        <v>0</v>
      </c>
      <c r="S20" s="19" t="str">
        <f>IF($T$7=0,"0",$T$7*(S38/$Z$38))</f>
        <v>0</v>
      </c>
      <c r="T20" s="19" t="str">
        <f t="shared" ref="T20:Y20" si="7">IF($T$7=0,"0",$T$7*(T38/$Z$38))</f>
        <v>0</v>
      </c>
      <c r="U20" s="19" t="str">
        <f t="shared" si="7"/>
        <v>0</v>
      </c>
      <c r="V20" s="19" t="str">
        <f t="shared" si="7"/>
        <v>0</v>
      </c>
      <c r="W20" s="19" t="str">
        <f t="shared" si="7"/>
        <v>0</v>
      </c>
      <c r="X20" s="19" t="str">
        <f t="shared" si="7"/>
        <v>0</v>
      </c>
      <c r="Y20" s="19" t="str">
        <f t="shared" si="7"/>
        <v>0</v>
      </c>
      <c r="Z20" s="7">
        <f>SUM(S20:Y20)</f>
        <v>0</v>
      </c>
    </row>
    <row r="21" spans="1:26" x14ac:dyDescent="0.25">
      <c r="A21" s="1" t="s">
        <v>7</v>
      </c>
      <c r="B21" s="2">
        <f t="shared" ref="B21:B29" si="8">B8*(1-K21)</f>
        <v>-1279.2053457248455</v>
      </c>
      <c r="C21" s="2">
        <f t="shared" si="6"/>
        <v>-65.160778374695909</v>
      </c>
      <c r="D21" s="2">
        <f t="shared" si="6"/>
        <v>-22.73211864678531</v>
      </c>
      <c r="E21" s="2">
        <f t="shared" si="6"/>
        <v>-43.327894206084778</v>
      </c>
      <c r="F21" s="2">
        <f t="shared" si="6"/>
        <v>-21.713867840617496</v>
      </c>
      <c r="G21" s="2">
        <f t="shared" si="6"/>
        <v>0</v>
      </c>
      <c r="H21" s="2">
        <f t="shared" si="6"/>
        <v>0</v>
      </c>
      <c r="I21" s="2">
        <f t="shared" ref="I21:I29" si="9">SUM(B21:H21)</f>
        <v>-1432.1400047930288</v>
      </c>
      <c r="K21" s="17">
        <v>0.68</v>
      </c>
      <c r="L21" s="17">
        <v>0.68</v>
      </c>
      <c r="M21" s="17">
        <v>0.68</v>
      </c>
      <c r="N21" s="17">
        <v>0.68</v>
      </c>
      <c r="O21" s="17">
        <v>0.68</v>
      </c>
      <c r="P21" s="17">
        <v>0</v>
      </c>
      <c r="Q21" s="17">
        <v>0</v>
      </c>
      <c r="S21" s="2">
        <f>$T$8*(S39/$Z$39)</f>
        <v>3997.5167053901432</v>
      </c>
      <c r="T21" s="2">
        <f t="shared" ref="T21:Y21" si="10">$T$8*(T39/$Z$39)</f>
        <v>203.62743242092475</v>
      </c>
      <c r="U21" s="2">
        <f t="shared" si="10"/>
        <v>71.037870771204098</v>
      </c>
      <c r="V21" s="2">
        <f t="shared" si="10"/>
        <v>135.39966939401495</v>
      </c>
      <c r="W21" s="2">
        <f t="shared" si="10"/>
        <v>67.855837001929686</v>
      </c>
      <c r="X21" s="2">
        <f t="shared" si="10"/>
        <v>0</v>
      </c>
      <c r="Y21" s="2">
        <f t="shared" si="10"/>
        <v>0</v>
      </c>
      <c r="Z21" s="7">
        <f t="shared" ref="Z21:Z29" si="11">SUM(S21:Y21)</f>
        <v>4475.4375149782172</v>
      </c>
    </row>
    <row r="22" spans="1:26" x14ac:dyDescent="0.25">
      <c r="A22" s="1" t="s">
        <v>6</v>
      </c>
      <c r="B22" s="2">
        <f t="shared" si="8"/>
        <v>-287.64394711695854</v>
      </c>
      <c r="C22" s="2">
        <f t="shared" si="6"/>
        <v>252.70390590462833</v>
      </c>
      <c r="D22" s="2">
        <f t="shared" si="6"/>
        <v>-62.012465898353057</v>
      </c>
      <c r="E22" s="2">
        <f t="shared" si="6"/>
        <v>-58.232416406024491</v>
      </c>
      <c r="F22" s="2">
        <f t="shared" si="6"/>
        <v>-93.781147198738836</v>
      </c>
      <c r="G22" s="2">
        <f t="shared" si="6"/>
        <v>0</v>
      </c>
      <c r="H22" s="2">
        <f t="shared" si="6"/>
        <v>0</v>
      </c>
      <c r="I22" s="2">
        <f t="shared" si="9"/>
        <v>-248.96607071544659</v>
      </c>
      <c r="K22" s="17">
        <v>0.59</v>
      </c>
      <c r="L22" s="18">
        <v>0.59</v>
      </c>
      <c r="M22" s="18">
        <v>0.59</v>
      </c>
      <c r="N22" s="17">
        <v>0.59</v>
      </c>
      <c r="O22" s="17">
        <v>0.59</v>
      </c>
      <c r="P22" s="17">
        <v>0</v>
      </c>
      <c r="Q22" s="17">
        <v>0</v>
      </c>
      <c r="S22" s="2">
        <f>$T$9*(S40/$Z$40)</f>
        <v>1133.5706027242891</v>
      </c>
      <c r="T22" s="2">
        <f t="shared" ref="T22:Y22" si="12">$T$9*(T40/$Z$40)</f>
        <v>247.64900998871138</v>
      </c>
      <c r="U22" s="2">
        <f t="shared" si="12"/>
        <v>151.24991682525135</v>
      </c>
      <c r="V22" s="2">
        <f t="shared" si="12"/>
        <v>142.03028391713289</v>
      </c>
      <c r="W22" s="2">
        <f t="shared" si="12"/>
        <v>228.73450536277764</v>
      </c>
      <c r="X22" s="2">
        <f t="shared" si="12"/>
        <v>0</v>
      </c>
      <c r="Y22" s="2">
        <f t="shared" si="12"/>
        <v>0</v>
      </c>
      <c r="Z22" s="7">
        <f t="shared" si="11"/>
        <v>1903.2343188181624</v>
      </c>
    </row>
    <row r="23" spans="1:26" x14ac:dyDescent="0.25">
      <c r="A23" s="1" t="s">
        <v>5</v>
      </c>
      <c r="B23" s="2">
        <f t="shared" si="8"/>
        <v>6780</v>
      </c>
      <c r="C23" s="2">
        <f t="shared" si="6"/>
        <v>1080</v>
      </c>
      <c r="D23" s="2">
        <f t="shared" si="6"/>
        <v>0</v>
      </c>
      <c r="E23" s="2">
        <f t="shared" si="6"/>
        <v>0</v>
      </c>
      <c r="F23" s="2">
        <f t="shared" si="6"/>
        <v>0</v>
      </c>
      <c r="G23" s="2">
        <f t="shared" si="6"/>
        <v>0</v>
      </c>
      <c r="H23" s="2">
        <f t="shared" si="6"/>
        <v>-28.44</v>
      </c>
      <c r="I23" s="2">
        <f t="shared" si="9"/>
        <v>7831.56</v>
      </c>
      <c r="K23" s="17">
        <v>0</v>
      </c>
      <c r="L23" s="18">
        <v>0</v>
      </c>
      <c r="M23" s="18">
        <v>0</v>
      </c>
      <c r="N23" s="17">
        <v>0</v>
      </c>
      <c r="O23" s="17">
        <v>0</v>
      </c>
      <c r="P23" s="17">
        <v>0</v>
      </c>
      <c r="Q23" s="17">
        <v>0</v>
      </c>
      <c r="S23" s="19" t="str">
        <f>IF($T$10=0,"0",$T$9*(S41/$Z$41))</f>
        <v>0</v>
      </c>
      <c r="T23" s="19" t="str">
        <f t="shared" ref="T23:Y23" si="13">IF($T$10=0,"0",$T$9*(T41/$Z$41))</f>
        <v>0</v>
      </c>
      <c r="U23" s="19" t="str">
        <f t="shared" si="13"/>
        <v>0</v>
      </c>
      <c r="V23" s="19" t="str">
        <f t="shared" si="13"/>
        <v>0</v>
      </c>
      <c r="W23" s="19" t="str">
        <f t="shared" si="13"/>
        <v>0</v>
      </c>
      <c r="X23" s="19" t="str">
        <f t="shared" si="13"/>
        <v>0</v>
      </c>
      <c r="Y23" s="19" t="str">
        <f t="shared" si="13"/>
        <v>0</v>
      </c>
      <c r="Z23" s="7">
        <f t="shared" si="11"/>
        <v>0</v>
      </c>
    </row>
    <row r="24" spans="1:26" x14ac:dyDescent="0.25">
      <c r="A24" s="1" t="s">
        <v>4</v>
      </c>
      <c r="B24" s="2">
        <f t="shared" si="8"/>
        <v>-5.5540953063698852</v>
      </c>
      <c r="C24" s="2">
        <f t="shared" si="6"/>
        <v>-2.7605176076302702</v>
      </c>
      <c r="D24" s="2">
        <f t="shared" si="6"/>
        <v>-1.4546440088111601</v>
      </c>
      <c r="E24" s="2">
        <f t="shared" si="6"/>
        <v>-17.984028361661249</v>
      </c>
      <c r="F24" s="2">
        <f t="shared" si="6"/>
        <v>-10.180524456211561</v>
      </c>
      <c r="G24" s="2">
        <f t="shared" si="6"/>
        <v>0</v>
      </c>
      <c r="H24" s="2">
        <f t="shared" si="6"/>
        <v>0</v>
      </c>
      <c r="I24" s="2">
        <f t="shared" si="9"/>
        <v>-37.933809740684126</v>
      </c>
      <c r="K24" s="17">
        <v>0.68</v>
      </c>
      <c r="L24" s="17">
        <v>0.68</v>
      </c>
      <c r="M24" s="17">
        <v>0.68</v>
      </c>
      <c r="N24" s="17">
        <v>0.68</v>
      </c>
      <c r="O24" s="17">
        <v>0.68</v>
      </c>
      <c r="P24" s="17">
        <v>0</v>
      </c>
      <c r="Q24" s="17">
        <v>0</v>
      </c>
      <c r="S24" s="2">
        <f>$T$11*(S42/$Z$42)</f>
        <v>17.356547832405894</v>
      </c>
      <c r="T24" s="2">
        <f t="shared" ref="T24:Y24" si="14">$T$11*(T42/$Z$42)</f>
        <v>8.6266175238445957</v>
      </c>
      <c r="U24" s="2">
        <f t="shared" si="14"/>
        <v>4.5457625275348761</v>
      </c>
      <c r="V24" s="2">
        <f t="shared" si="14"/>
        <v>56.200088630191409</v>
      </c>
      <c r="W24" s="2">
        <f t="shared" si="14"/>
        <v>31.814138925661133</v>
      </c>
      <c r="X24" s="2">
        <f t="shared" si="14"/>
        <v>0</v>
      </c>
      <c r="Y24" s="2">
        <f t="shared" si="14"/>
        <v>0</v>
      </c>
      <c r="Z24" s="7">
        <f t="shared" si="11"/>
        <v>118.5431554396379</v>
      </c>
    </row>
    <row r="25" spans="1:26" x14ac:dyDescent="0.25">
      <c r="A25" s="1" t="s">
        <v>3</v>
      </c>
      <c r="B25" s="2">
        <f t="shared" si="8"/>
        <v>432</v>
      </c>
      <c r="C25" s="2">
        <f t="shared" si="6"/>
        <v>0</v>
      </c>
      <c r="D25" s="2">
        <f t="shared" si="6"/>
        <v>0</v>
      </c>
      <c r="E25" s="2">
        <f t="shared" si="6"/>
        <v>0</v>
      </c>
      <c r="F25" s="2">
        <f t="shared" si="6"/>
        <v>0</v>
      </c>
      <c r="G25" s="2">
        <f t="shared" si="6"/>
        <v>0</v>
      </c>
      <c r="H25" s="2">
        <f t="shared" si="6"/>
        <v>0</v>
      </c>
      <c r="I25" s="2">
        <f t="shared" si="9"/>
        <v>432</v>
      </c>
      <c r="K25" s="17">
        <v>0</v>
      </c>
      <c r="L25" s="17">
        <v>0</v>
      </c>
      <c r="M25" s="17">
        <v>0</v>
      </c>
      <c r="N25" s="17">
        <v>0</v>
      </c>
      <c r="O25" s="17">
        <v>0</v>
      </c>
      <c r="P25" s="17">
        <v>0</v>
      </c>
      <c r="Q25" s="17">
        <v>0</v>
      </c>
      <c r="S25" s="19" t="str">
        <f>IF($T$12=0,"0",$T$12*(S43/$Z$43))</f>
        <v>0</v>
      </c>
      <c r="T25" s="19" t="str">
        <f t="shared" ref="T25:Y25" si="15">IF($T$12=0,"0",$T$12*(T43/$Z$43))</f>
        <v>0</v>
      </c>
      <c r="U25" s="19" t="str">
        <f t="shared" si="15"/>
        <v>0</v>
      </c>
      <c r="V25" s="19" t="str">
        <f t="shared" si="15"/>
        <v>0</v>
      </c>
      <c r="W25" s="19" t="str">
        <f t="shared" si="15"/>
        <v>0</v>
      </c>
      <c r="X25" s="19" t="str">
        <f t="shared" si="15"/>
        <v>0</v>
      </c>
      <c r="Y25" s="19" t="str">
        <f t="shared" si="15"/>
        <v>0</v>
      </c>
      <c r="Z25" s="7">
        <f t="shared" si="11"/>
        <v>0</v>
      </c>
    </row>
    <row r="26" spans="1:26" x14ac:dyDescent="0.25">
      <c r="A26" s="1" t="s">
        <v>43</v>
      </c>
      <c r="B26" s="2">
        <f t="shared" si="8"/>
        <v>0</v>
      </c>
      <c r="C26" s="2">
        <f t="shared" si="6"/>
        <v>0</v>
      </c>
      <c r="D26" s="2">
        <f t="shared" si="6"/>
        <v>0</v>
      </c>
      <c r="E26" s="2">
        <f t="shared" si="6"/>
        <v>0</v>
      </c>
      <c r="F26" s="2">
        <f t="shared" si="6"/>
        <v>0</v>
      </c>
      <c r="G26" s="2">
        <f t="shared" si="6"/>
        <v>0</v>
      </c>
      <c r="H26" s="2">
        <f t="shared" si="6"/>
        <v>0</v>
      </c>
      <c r="I26" s="2">
        <f t="shared" si="9"/>
        <v>0</v>
      </c>
      <c r="K26" s="17">
        <v>0</v>
      </c>
      <c r="L26" s="17">
        <v>0</v>
      </c>
      <c r="M26" s="17">
        <v>0</v>
      </c>
      <c r="N26" s="17">
        <v>0</v>
      </c>
      <c r="O26" s="17">
        <v>0</v>
      </c>
      <c r="P26" s="17">
        <v>0</v>
      </c>
      <c r="Q26" s="17">
        <v>0</v>
      </c>
      <c r="S26" s="19" t="str">
        <f>IF($T$13=0,"0",$T$13*(S44/$Z$44))</f>
        <v>0</v>
      </c>
      <c r="T26" s="19" t="str">
        <f t="shared" ref="T26:Y26" si="16">IF($T$13=0,"0",$T$13*(T44/$Z$44))</f>
        <v>0</v>
      </c>
      <c r="U26" s="19" t="str">
        <f t="shared" si="16"/>
        <v>0</v>
      </c>
      <c r="V26" s="19" t="str">
        <f t="shared" si="16"/>
        <v>0</v>
      </c>
      <c r="W26" s="19" t="str">
        <f t="shared" si="16"/>
        <v>0</v>
      </c>
      <c r="X26" s="19" t="str">
        <f t="shared" si="16"/>
        <v>0</v>
      </c>
      <c r="Y26" s="19" t="str">
        <f t="shared" si="16"/>
        <v>0</v>
      </c>
      <c r="Z26" s="7">
        <f t="shared" si="11"/>
        <v>0</v>
      </c>
    </row>
    <row r="27" spans="1:26" x14ac:dyDescent="0.25">
      <c r="A27" s="1" t="s">
        <v>2</v>
      </c>
      <c r="B27" s="2">
        <f t="shared" si="8"/>
        <v>0</v>
      </c>
      <c r="C27" s="2">
        <f t="shared" si="6"/>
        <v>0</v>
      </c>
      <c r="D27" s="2">
        <f t="shared" si="6"/>
        <v>0</v>
      </c>
      <c r="E27" s="2">
        <f t="shared" si="6"/>
        <v>0</v>
      </c>
      <c r="F27" s="2">
        <f t="shared" si="6"/>
        <v>0</v>
      </c>
      <c r="G27" s="2">
        <f t="shared" si="6"/>
        <v>0</v>
      </c>
      <c r="H27" s="2">
        <f t="shared" si="6"/>
        <v>0</v>
      </c>
      <c r="I27" s="2">
        <f t="shared" si="9"/>
        <v>0</v>
      </c>
      <c r="K27" s="17">
        <v>1</v>
      </c>
      <c r="L27" s="17">
        <v>1</v>
      </c>
      <c r="M27" s="17">
        <v>1</v>
      </c>
      <c r="N27" s="17">
        <v>1</v>
      </c>
      <c r="O27" s="17">
        <v>1</v>
      </c>
      <c r="P27" s="17">
        <v>0</v>
      </c>
      <c r="Q27" s="17">
        <v>0</v>
      </c>
      <c r="S27" s="2">
        <f>$T$14*(S45/$Z$45)</f>
        <v>239.37572218859793</v>
      </c>
      <c r="T27" s="2">
        <f t="shared" ref="T27:Y27" si="17">$T$14*(T45/$Z$45)</f>
        <v>362.58861549743074</v>
      </c>
      <c r="U27" s="2">
        <f t="shared" si="17"/>
        <v>338.44028519774884</v>
      </c>
      <c r="V27" s="2">
        <f t="shared" si="17"/>
        <v>451.35909263740945</v>
      </c>
      <c r="W27" s="2">
        <f t="shared" si="17"/>
        <v>26.034821748608834</v>
      </c>
      <c r="X27" s="2">
        <f t="shared" si="17"/>
        <v>0</v>
      </c>
      <c r="Y27" s="2">
        <f t="shared" si="17"/>
        <v>0</v>
      </c>
      <c r="Z27" s="7">
        <f t="shared" si="11"/>
        <v>1417.7985372697958</v>
      </c>
    </row>
    <row r="28" spans="1:26" x14ac:dyDescent="0.25">
      <c r="A28" s="1" t="s">
        <v>29</v>
      </c>
      <c r="B28" s="2">
        <f t="shared" si="8"/>
        <v>-606.78451874874952</v>
      </c>
      <c r="C28" s="2">
        <f t="shared" si="6"/>
        <v>-98.568950918307962</v>
      </c>
      <c r="D28" s="2">
        <f t="shared" si="6"/>
        <v>-154.91958693838856</v>
      </c>
      <c r="E28" s="2">
        <f t="shared" si="6"/>
        <v>-98.733962098057489</v>
      </c>
      <c r="F28" s="2">
        <f t="shared" si="6"/>
        <v>-1.4455524837560902</v>
      </c>
      <c r="G28" s="2">
        <f t="shared" si="6"/>
        <v>0</v>
      </c>
      <c r="H28" s="2">
        <f t="shared" si="6"/>
        <v>0</v>
      </c>
      <c r="I28" s="2">
        <f t="shared" si="9"/>
        <v>-960.45257118725954</v>
      </c>
      <c r="K28" s="17">
        <v>0.34000000000000008</v>
      </c>
      <c r="L28" s="17">
        <v>0.34000000000000008</v>
      </c>
      <c r="M28" s="17">
        <v>0.34000000000000008</v>
      </c>
      <c r="N28" s="17">
        <v>0.34000000000000008</v>
      </c>
      <c r="O28" s="17">
        <v>0.34000000000000008</v>
      </c>
      <c r="P28" s="17">
        <v>0</v>
      </c>
      <c r="Q28" s="17">
        <v>0</v>
      </c>
      <c r="S28" s="2">
        <f>$T$15*(S46/$Z$46)</f>
        <v>1351.3704829526509</v>
      </c>
      <c r="T28" s="2">
        <f t="shared" ref="T28:Y28" si="18">$T$15*(T46/$Z$46)</f>
        <v>149.34689533076966</v>
      </c>
      <c r="U28" s="2">
        <f t="shared" si="18"/>
        <v>234.72664687634634</v>
      </c>
      <c r="V28" s="2">
        <f t="shared" si="18"/>
        <v>149.5969122697841</v>
      </c>
      <c r="W28" s="2">
        <f t="shared" si="18"/>
        <v>2.1902310359940764</v>
      </c>
      <c r="X28" s="2">
        <f t="shared" si="18"/>
        <v>0</v>
      </c>
      <c r="Y28" s="2">
        <f t="shared" si="18"/>
        <v>0</v>
      </c>
      <c r="Z28" s="7">
        <f t="shared" si="11"/>
        <v>1887.2311684655451</v>
      </c>
    </row>
    <row r="29" spans="1:26" x14ac:dyDescent="0.25">
      <c r="A29" s="1" t="s">
        <v>1</v>
      </c>
      <c r="B29" s="2">
        <f t="shared" si="8"/>
        <v>-132.37260480181558</v>
      </c>
      <c r="C29" s="2">
        <f t="shared" si="6"/>
        <v>0</v>
      </c>
      <c r="D29" s="2">
        <f t="shared" si="6"/>
        <v>-11.571031888270594</v>
      </c>
      <c r="E29" s="2">
        <f t="shared" si="6"/>
        <v>-5.7855159441352972</v>
      </c>
      <c r="F29" s="2">
        <f t="shared" si="6"/>
        <v>0</v>
      </c>
      <c r="G29" s="2">
        <f t="shared" si="6"/>
        <v>0</v>
      </c>
      <c r="H29" s="2">
        <f t="shared" si="6"/>
        <v>432</v>
      </c>
      <c r="I29" s="2">
        <f t="shared" si="9"/>
        <v>282.27084736577854</v>
      </c>
      <c r="K29" s="17">
        <v>0.43999999999999995</v>
      </c>
      <c r="L29" s="17">
        <v>0</v>
      </c>
      <c r="M29" s="17">
        <v>0.43999999999999995</v>
      </c>
      <c r="N29" s="17">
        <v>0.43999999999999995</v>
      </c>
      <c r="O29" s="17">
        <v>0</v>
      </c>
      <c r="P29" s="17">
        <v>0</v>
      </c>
      <c r="Q29" s="17">
        <v>0</v>
      </c>
      <c r="S29" s="3">
        <f>$T$16*(S47/$Z$47)</f>
        <v>236.37965143181353</v>
      </c>
      <c r="T29" s="3">
        <f t="shared" ref="T29:Y29" si="19">$T$16*(T47/$Z$47)</f>
        <v>0</v>
      </c>
      <c r="U29" s="3">
        <f t="shared" si="19"/>
        <v>20.662556943340345</v>
      </c>
      <c r="V29" s="3">
        <f t="shared" si="19"/>
        <v>10.331278471670172</v>
      </c>
      <c r="W29" s="3">
        <f t="shared" si="19"/>
        <v>0</v>
      </c>
      <c r="X29" s="3">
        <f t="shared" si="19"/>
        <v>0</v>
      </c>
      <c r="Y29" s="3">
        <f t="shared" si="19"/>
        <v>0</v>
      </c>
      <c r="Z29" s="29">
        <f t="shared" si="11"/>
        <v>267.37348684682399</v>
      </c>
    </row>
    <row r="30" spans="1:26" x14ac:dyDescent="0.25">
      <c r="A30" s="1" t="s">
        <v>0</v>
      </c>
      <c r="B30" s="10" t="e">
        <f>SUM(B20:B29)</f>
        <v>#VALUE!</v>
      </c>
      <c r="C30" s="10" t="e">
        <f t="shared" ref="C30:H30" si="20">SUM(C20:C29)</f>
        <v>#VALUE!</v>
      </c>
      <c r="D30" s="10" t="e">
        <f t="shared" si="20"/>
        <v>#VALUE!</v>
      </c>
      <c r="E30" s="10" t="e">
        <f t="shared" si="20"/>
        <v>#VALUE!</v>
      </c>
      <c r="F30" s="10" t="e">
        <f t="shared" si="20"/>
        <v>#VALUE!</v>
      </c>
      <c r="G30" s="10" t="e">
        <f t="shared" si="20"/>
        <v>#VALUE!</v>
      </c>
      <c r="H30" s="10" t="e">
        <f t="shared" si="20"/>
        <v>#VALUE!</v>
      </c>
      <c r="I30" s="10" t="e">
        <f>SUM(I20:I29)</f>
        <v>#VALUE!</v>
      </c>
      <c r="S30" s="28">
        <f>SUM(S20:S29)</f>
        <v>6975.5697125199013</v>
      </c>
      <c r="T30" s="28">
        <f t="shared" ref="T30:Y30" si="21">SUM(T20:T29)</f>
        <v>971.83857076168124</v>
      </c>
      <c r="U30" s="28">
        <f t="shared" si="21"/>
        <v>820.66303914142577</v>
      </c>
      <c r="V30" s="28">
        <f t="shared" si="21"/>
        <v>944.91732532020296</v>
      </c>
      <c r="W30" s="28">
        <f t="shared" si="21"/>
        <v>356.62953407497139</v>
      </c>
      <c r="X30" s="28">
        <f t="shared" si="21"/>
        <v>0</v>
      </c>
      <c r="Y30" s="28">
        <f t="shared" si="21"/>
        <v>0</v>
      </c>
      <c r="Z30" s="28">
        <f>SUM(Z20:Z29)</f>
        <v>10069.618181818183</v>
      </c>
    </row>
    <row r="31" spans="1:26" x14ac:dyDescent="0.25">
      <c r="A31" s="1"/>
    </row>
    <row r="32" spans="1:26" x14ac:dyDescent="0.25">
      <c r="A32" s="1" t="s">
        <v>32</v>
      </c>
      <c r="B32" s="8" t="e">
        <f>B17-B30</f>
        <v>#VALUE!</v>
      </c>
      <c r="C32" s="8" t="e">
        <f t="shared" ref="C32:I32" si="22">C17-C30</f>
        <v>#VALUE!</v>
      </c>
      <c r="D32" s="8" t="e">
        <f t="shared" si="22"/>
        <v>#VALUE!</v>
      </c>
      <c r="E32" s="8" t="e">
        <f t="shared" si="22"/>
        <v>#VALUE!</v>
      </c>
      <c r="F32" s="8" t="e">
        <f t="shared" si="22"/>
        <v>#VALUE!</v>
      </c>
      <c r="G32" s="8" t="e">
        <f t="shared" si="22"/>
        <v>#VALUE!</v>
      </c>
      <c r="H32" s="8" t="e">
        <f t="shared" si="22"/>
        <v>#VALUE!</v>
      </c>
      <c r="I32" s="8" t="e">
        <f t="shared" si="22"/>
        <v>#VALUE!</v>
      </c>
      <c r="K32" s="7"/>
    </row>
    <row r="33" spans="1:26" x14ac:dyDescent="0.25">
      <c r="A33" s="1"/>
    </row>
    <row r="34" spans="1:26" x14ac:dyDescent="0.25">
      <c r="A34" s="1" t="s">
        <v>20</v>
      </c>
      <c r="B34" s="2"/>
      <c r="C34" s="2"/>
      <c r="D34" s="2"/>
      <c r="E34" s="2"/>
      <c r="F34" s="2"/>
      <c r="G34" s="2"/>
      <c r="H34" s="2"/>
      <c r="I34" s="2"/>
    </row>
    <row r="35" spans="1:26" x14ac:dyDescent="0.25">
      <c r="A35" s="1" t="s">
        <v>18</v>
      </c>
      <c r="B35" s="11">
        <v>0</v>
      </c>
      <c r="C35" s="11">
        <v>0</v>
      </c>
      <c r="D35" s="11">
        <v>0</v>
      </c>
      <c r="E35" s="11">
        <v>0.1</v>
      </c>
      <c r="F35" s="11">
        <v>0.15</v>
      </c>
      <c r="G35" s="11">
        <v>0.2</v>
      </c>
      <c r="H35" s="11">
        <v>1</v>
      </c>
      <c r="I35" s="7"/>
    </row>
    <row r="36" spans="1:26" x14ac:dyDescent="0.25">
      <c r="A36" s="1" t="s">
        <v>19</v>
      </c>
      <c r="B36" s="11">
        <v>0</v>
      </c>
      <c r="C36" s="11">
        <v>0</v>
      </c>
      <c r="D36" s="11">
        <v>0.1</v>
      </c>
      <c r="E36" s="11">
        <v>0.5</v>
      </c>
      <c r="F36" s="11">
        <v>1</v>
      </c>
      <c r="G36" s="11">
        <v>1</v>
      </c>
      <c r="H36" s="11">
        <v>1</v>
      </c>
      <c r="I36" s="7"/>
    </row>
    <row r="37" spans="1:26" x14ac:dyDescent="0.25">
      <c r="A37" s="1"/>
      <c r="S37" s="1" t="s">
        <v>48</v>
      </c>
    </row>
    <row r="38" spans="1:26" x14ac:dyDescent="0.25">
      <c r="A38" s="1" t="s">
        <v>34</v>
      </c>
      <c r="B38" s="2" t="e">
        <f>((B32-B14)*B35)</f>
        <v>#VALUE!</v>
      </c>
      <c r="C38" s="2" t="e">
        <f t="shared" ref="C38:H38" si="23">((C32-C14)*C35)</f>
        <v>#VALUE!</v>
      </c>
      <c r="D38" s="2" t="e">
        <f t="shared" si="23"/>
        <v>#VALUE!</v>
      </c>
      <c r="E38" s="2" t="e">
        <f t="shared" si="23"/>
        <v>#VALUE!</v>
      </c>
      <c r="F38" s="2" t="e">
        <f t="shared" si="23"/>
        <v>#VALUE!</v>
      </c>
      <c r="G38" s="2" t="e">
        <f t="shared" si="23"/>
        <v>#VALUE!</v>
      </c>
      <c r="H38" s="2" t="e">
        <f t="shared" si="23"/>
        <v>#VALUE!</v>
      </c>
      <c r="I38" s="2" t="e">
        <f>SUM(B38:H38)</f>
        <v>#VALUE!</v>
      </c>
      <c r="S38" s="26">
        <v>0</v>
      </c>
      <c r="T38" s="26">
        <v>0</v>
      </c>
      <c r="U38" s="26">
        <v>0</v>
      </c>
      <c r="V38" s="26">
        <v>0</v>
      </c>
      <c r="W38" s="26">
        <v>0</v>
      </c>
      <c r="X38" s="26">
        <v>0</v>
      </c>
      <c r="Y38" s="26">
        <v>0</v>
      </c>
      <c r="Z38" s="26">
        <v>0</v>
      </c>
    </row>
    <row r="39" spans="1:26" x14ac:dyDescent="0.25">
      <c r="A39" s="1" t="s">
        <v>35</v>
      </c>
      <c r="B39" s="2">
        <f>+(B14*B36)</f>
        <v>0</v>
      </c>
      <c r="C39" s="2">
        <f t="shared" ref="C39:H39" si="24">+(C14*C36)</f>
        <v>0</v>
      </c>
      <c r="D39" s="2">
        <f t="shared" si="24"/>
        <v>-33.844028519774888</v>
      </c>
      <c r="E39" s="2">
        <f t="shared" si="24"/>
        <v>-225.67954631870472</v>
      </c>
      <c r="F39" s="2">
        <f t="shared" si="24"/>
        <v>-26.034821748608834</v>
      </c>
      <c r="G39" s="2">
        <f t="shared" si="24"/>
        <v>0</v>
      </c>
      <c r="H39" s="2">
        <f t="shared" si="24"/>
        <v>0</v>
      </c>
      <c r="I39" s="2">
        <f>SUM(B39:H39)</f>
        <v>-285.5583965870884</v>
      </c>
      <c r="S39" s="26">
        <v>19346.669999999998</v>
      </c>
      <c r="T39" s="26">
        <v>985.49</v>
      </c>
      <c r="U39" s="26">
        <v>343.8</v>
      </c>
      <c r="V39" s="26">
        <v>655.29</v>
      </c>
      <c r="W39" s="26">
        <v>328.4</v>
      </c>
      <c r="X39" s="26">
        <v>0</v>
      </c>
      <c r="Y39" s="26">
        <v>0</v>
      </c>
      <c r="Z39" s="26">
        <v>21659.65</v>
      </c>
    </row>
    <row r="40" spans="1:26" x14ac:dyDescent="0.25">
      <c r="A40" s="1" t="s">
        <v>20</v>
      </c>
      <c r="B40" s="10" t="e">
        <f>SUM(B38:B39)</f>
        <v>#VALUE!</v>
      </c>
      <c r="C40" s="10" t="e">
        <f t="shared" ref="C40:H40" si="25">SUM(C38:C39)</f>
        <v>#VALUE!</v>
      </c>
      <c r="D40" s="10" t="e">
        <f t="shared" si="25"/>
        <v>#VALUE!</v>
      </c>
      <c r="E40" s="10" t="e">
        <f t="shared" si="25"/>
        <v>#VALUE!</v>
      </c>
      <c r="F40" s="10" t="e">
        <f t="shared" si="25"/>
        <v>#VALUE!</v>
      </c>
      <c r="G40" s="10" t="e">
        <f t="shared" si="25"/>
        <v>#VALUE!</v>
      </c>
      <c r="H40" s="10" t="e">
        <f t="shared" si="25"/>
        <v>#VALUE!</v>
      </c>
      <c r="I40" s="10" t="e">
        <f>SUM(B40:H40)</f>
        <v>#VALUE!</v>
      </c>
      <c r="S40" s="26">
        <v>5486.11</v>
      </c>
      <c r="T40" s="26">
        <v>1198.54</v>
      </c>
      <c r="U40" s="26">
        <v>732</v>
      </c>
      <c r="V40" s="26">
        <v>687.38</v>
      </c>
      <c r="W40" s="26">
        <v>1107</v>
      </c>
      <c r="X40" s="26">
        <v>0</v>
      </c>
      <c r="Y40" s="26">
        <v>0</v>
      </c>
      <c r="Z40" s="26">
        <v>9211.0299999999988</v>
      </c>
    </row>
    <row r="41" spans="1:26" x14ac:dyDescent="0.25">
      <c r="S41" s="26">
        <v>0</v>
      </c>
      <c r="T41" s="26">
        <v>0</v>
      </c>
      <c r="U41" s="26">
        <v>0</v>
      </c>
      <c r="V41" s="26">
        <v>0</v>
      </c>
      <c r="W41" s="26">
        <v>0</v>
      </c>
      <c r="X41" s="26">
        <v>0</v>
      </c>
      <c r="Y41" s="26">
        <v>0</v>
      </c>
      <c r="Z41" s="26">
        <v>0</v>
      </c>
    </row>
    <row r="42" spans="1:26" x14ac:dyDescent="0.25">
      <c r="A42" s="1" t="s">
        <v>21</v>
      </c>
      <c r="B42" s="7" t="e">
        <f>B30+B40</f>
        <v>#VALUE!</v>
      </c>
      <c r="C42" s="7" t="e">
        <f t="shared" ref="C42:I42" si="26">C30+C40</f>
        <v>#VALUE!</v>
      </c>
      <c r="D42" s="7" t="e">
        <f t="shared" si="26"/>
        <v>#VALUE!</v>
      </c>
      <c r="E42" s="7" t="e">
        <f t="shared" si="26"/>
        <v>#VALUE!</v>
      </c>
      <c r="F42" s="7" t="e">
        <f t="shared" si="26"/>
        <v>#VALUE!</v>
      </c>
      <c r="G42" s="7" t="e">
        <f t="shared" si="26"/>
        <v>#VALUE!</v>
      </c>
      <c r="H42" s="7" t="e">
        <f t="shared" si="26"/>
        <v>#VALUE!</v>
      </c>
      <c r="I42" s="7" t="e">
        <f t="shared" si="26"/>
        <v>#VALUE!</v>
      </c>
      <c r="S42" s="26">
        <v>84</v>
      </c>
      <c r="T42" s="26">
        <v>41.75</v>
      </c>
      <c r="U42" s="26">
        <v>22</v>
      </c>
      <c r="V42" s="26">
        <v>271.99</v>
      </c>
      <c r="W42" s="26">
        <v>153.97</v>
      </c>
      <c r="X42" s="26">
        <v>0</v>
      </c>
      <c r="Y42" s="26">
        <v>0</v>
      </c>
      <c r="Z42" s="26">
        <v>573.71</v>
      </c>
    </row>
    <row r="43" spans="1:26" x14ac:dyDescent="0.25">
      <c r="A43" s="1" t="s">
        <v>30</v>
      </c>
      <c r="B43" s="8" t="e">
        <f t="shared" ref="B43:I43" si="27">B17-B42</f>
        <v>#VALUE!</v>
      </c>
      <c r="C43" s="8" t="e">
        <f t="shared" si="27"/>
        <v>#VALUE!</v>
      </c>
      <c r="D43" s="8" t="e">
        <f t="shared" si="27"/>
        <v>#VALUE!</v>
      </c>
      <c r="E43" s="8" t="e">
        <f t="shared" si="27"/>
        <v>#VALUE!</v>
      </c>
      <c r="F43" s="8" t="e">
        <f t="shared" si="27"/>
        <v>#VALUE!</v>
      </c>
      <c r="G43" s="8" t="e">
        <f t="shared" si="27"/>
        <v>#VALUE!</v>
      </c>
      <c r="H43" s="8" t="e">
        <f t="shared" si="27"/>
        <v>#VALUE!</v>
      </c>
      <c r="I43" s="8" t="e">
        <f t="shared" si="27"/>
        <v>#VALUE!</v>
      </c>
      <c r="K43" s="7"/>
      <c r="S43" s="26">
        <v>0</v>
      </c>
      <c r="T43" s="26">
        <v>0</v>
      </c>
      <c r="U43" s="26">
        <v>0</v>
      </c>
      <c r="V43" s="26">
        <v>0</v>
      </c>
      <c r="W43" s="26">
        <v>0</v>
      </c>
      <c r="X43" s="26">
        <v>0</v>
      </c>
      <c r="Y43" s="26">
        <v>0</v>
      </c>
      <c r="Z43" s="26">
        <v>0</v>
      </c>
    </row>
    <row r="44" spans="1:26" x14ac:dyDescent="0.25">
      <c r="A44" s="1" t="s">
        <v>36</v>
      </c>
      <c r="B44" s="12" t="e">
        <f>B43/$I43</f>
        <v>#VALUE!</v>
      </c>
      <c r="C44" s="12" t="e">
        <f t="shared" ref="C44:H44" si="28">C43/$I43</f>
        <v>#VALUE!</v>
      </c>
      <c r="D44" s="12" t="e">
        <f t="shared" si="28"/>
        <v>#VALUE!</v>
      </c>
      <c r="E44" s="12" t="e">
        <f t="shared" si="28"/>
        <v>#VALUE!</v>
      </c>
      <c r="F44" s="12" t="e">
        <f t="shared" si="28"/>
        <v>#VALUE!</v>
      </c>
      <c r="G44" s="12" t="e">
        <f t="shared" si="28"/>
        <v>#VALUE!</v>
      </c>
      <c r="H44" s="12" t="e">
        <f t="shared" si="28"/>
        <v>#VALUE!</v>
      </c>
      <c r="I44" s="13" t="e">
        <f>SUM(B44:H44)</f>
        <v>#VALUE!</v>
      </c>
      <c r="S44" s="26">
        <v>0</v>
      </c>
      <c r="T44" s="26">
        <v>0</v>
      </c>
      <c r="U44" s="26">
        <v>0</v>
      </c>
      <c r="V44" s="26">
        <v>0</v>
      </c>
      <c r="W44" s="26">
        <v>0</v>
      </c>
      <c r="X44" s="26">
        <v>0</v>
      </c>
      <c r="Y44" s="26">
        <v>0</v>
      </c>
      <c r="Z44" s="26">
        <v>0</v>
      </c>
    </row>
    <row r="45" spans="1:26" x14ac:dyDescent="0.25">
      <c r="S45" s="26">
        <v>1158.5000000000002</v>
      </c>
      <c r="T45" s="26">
        <v>1754.81</v>
      </c>
      <c r="U45" s="26">
        <v>1637.94</v>
      </c>
      <c r="V45" s="26">
        <v>2184.4299999999998</v>
      </c>
      <c r="W45" s="26">
        <v>126</v>
      </c>
      <c r="X45" s="26">
        <v>0</v>
      </c>
      <c r="Y45" s="26">
        <v>0</v>
      </c>
      <c r="Z45" s="26">
        <v>6861.68</v>
      </c>
    </row>
    <row r="46" spans="1:26" x14ac:dyDescent="0.25">
      <c r="A46" s="1" t="s">
        <v>22</v>
      </c>
      <c r="S46" s="26">
        <v>6540.19</v>
      </c>
      <c r="T46" s="26">
        <v>722.79</v>
      </c>
      <c r="U46" s="26">
        <v>1136</v>
      </c>
      <c r="V46" s="26">
        <v>724</v>
      </c>
      <c r="W46" s="26">
        <v>10.6</v>
      </c>
      <c r="X46" s="26">
        <v>0</v>
      </c>
      <c r="Y46" s="26">
        <v>0</v>
      </c>
      <c r="Z46" s="26">
        <v>9133.58</v>
      </c>
    </row>
    <row r="47" spans="1:26" x14ac:dyDescent="0.25">
      <c r="A47" s="1" t="s">
        <v>23</v>
      </c>
      <c r="B47" s="2">
        <f>(IF(B10&lt;&gt;0,B10*K10,0))-(IF(B10&lt;&gt;0,((B10-B23)*B$35),0))</f>
        <v>0</v>
      </c>
      <c r="C47" s="2">
        <f t="shared" ref="C47:H48" si="29">(IF(C10&lt;&gt;0,C10*L10,0))-(IF(C10&lt;&gt;0,((C10-C23)*C$35),0))</f>
        <v>0</v>
      </c>
      <c r="D47" s="2">
        <f t="shared" si="29"/>
        <v>0</v>
      </c>
      <c r="E47" s="2">
        <f t="shared" si="29"/>
        <v>0</v>
      </c>
      <c r="F47" s="2">
        <f t="shared" si="29"/>
        <v>0</v>
      </c>
      <c r="G47" s="2">
        <f t="shared" si="29"/>
        <v>0</v>
      </c>
      <c r="H47" s="2">
        <f t="shared" si="29"/>
        <v>0</v>
      </c>
      <c r="I47" s="7">
        <f>SUM(B47:H47)</f>
        <v>0</v>
      </c>
      <c r="S47" s="21">
        <v>1144</v>
      </c>
      <c r="T47" s="21">
        <v>0</v>
      </c>
      <c r="U47" s="21">
        <v>100</v>
      </c>
      <c r="V47" s="21">
        <v>50</v>
      </c>
      <c r="W47" s="21">
        <v>0</v>
      </c>
      <c r="X47" s="21">
        <v>0</v>
      </c>
      <c r="Y47" s="21">
        <v>0</v>
      </c>
      <c r="Z47" s="21">
        <v>1294</v>
      </c>
    </row>
    <row r="48" spans="1:26" x14ac:dyDescent="0.25">
      <c r="A48" s="1" t="s">
        <v>24</v>
      </c>
      <c r="B48" s="2">
        <f>(IF(B11&lt;&gt;0,B11*K11,0))-(IF(B11&lt;&gt;0,((B11-B24)*B$35),0))</f>
        <v>-11.802452526036008</v>
      </c>
      <c r="C48" s="2">
        <f t="shared" si="29"/>
        <v>-5.8660999162143259</v>
      </c>
      <c r="D48" s="2">
        <f t="shared" si="29"/>
        <v>-3.0911185187237158</v>
      </c>
      <c r="E48" s="2">
        <f t="shared" si="29"/>
        <v>-34.394454241677145</v>
      </c>
      <c r="F48" s="2">
        <f t="shared" si="29"/>
        <v>-18.388572299032138</v>
      </c>
      <c r="G48" s="2">
        <f t="shared" si="29"/>
        <v>0</v>
      </c>
      <c r="H48" s="2">
        <f t="shared" si="29"/>
        <v>0</v>
      </c>
      <c r="I48" s="7">
        <f>SUM(B48:H48)</f>
        <v>-73.542697501683335</v>
      </c>
      <c r="S48" s="26">
        <v>33759.47</v>
      </c>
      <c r="T48" s="26">
        <v>4703.3799999999992</v>
      </c>
      <c r="U48" s="26">
        <v>3971.74</v>
      </c>
      <c r="V48" s="26">
        <v>4573.09</v>
      </c>
      <c r="W48" s="26">
        <v>1725.97</v>
      </c>
      <c r="X48" s="26">
        <v>0</v>
      </c>
      <c r="Y48" s="26">
        <v>0</v>
      </c>
      <c r="Z48" s="26">
        <v>48733.649999999994</v>
      </c>
    </row>
    <row r="49" spans="1:9" x14ac:dyDescent="0.25">
      <c r="A49" s="1" t="s">
        <v>28</v>
      </c>
      <c r="B49" s="8">
        <f>SUM(B47:B48)</f>
        <v>-11.802452526036008</v>
      </c>
      <c r="C49" s="8">
        <f t="shared" ref="C49:I49" si="30">SUM(C47:C48)</f>
        <v>-5.8660999162143259</v>
      </c>
      <c r="D49" s="8">
        <f t="shared" si="30"/>
        <v>-3.0911185187237158</v>
      </c>
      <c r="E49" s="8">
        <f t="shared" si="30"/>
        <v>-34.394454241677145</v>
      </c>
      <c r="F49" s="8">
        <f t="shared" si="30"/>
        <v>-18.388572299032138</v>
      </c>
      <c r="G49" s="8">
        <f t="shared" si="30"/>
        <v>0</v>
      </c>
      <c r="H49" s="8">
        <f t="shared" si="30"/>
        <v>0</v>
      </c>
      <c r="I49" s="8">
        <f t="shared" si="30"/>
        <v>-73.542697501683335</v>
      </c>
    </row>
    <row r="51" spans="1:9" x14ac:dyDescent="0.25">
      <c r="A51" s="1" t="s">
        <v>26</v>
      </c>
    </row>
    <row r="52" spans="1:9" x14ac:dyDescent="0.25">
      <c r="A52" s="1" t="s">
        <v>8</v>
      </c>
      <c r="B52" s="2" t="e">
        <f>(IF($I7&lt;&gt;0,(IF((SUM($E7:$H7)/$I7)&gt;0.25,B7*K7,0)),0))-(IF(B7&lt;&gt;0,(IF(((SUM($E7:$H7)/$I7)&gt;0.25),((B7-B20)*B$35),0)),0))</f>
        <v>#VALUE!</v>
      </c>
      <c r="C52" s="2" t="e">
        <f t="shared" ref="C52:D52" si="31">(IF($I7&lt;&gt;0,(IF((SUM($E7:$H7)/$I7)&gt;0.25,C7*L7,0)),0))-(IF(C7&lt;&gt;0,(IF(((SUM($E7:$H7)/$I7)&gt;0.25),((C7-C20)*C$35),0)),0))</f>
        <v>#VALUE!</v>
      </c>
      <c r="D52" s="2" t="e">
        <f t="shared" si="31"/>
        <v>#VALUE!</v>
      </c>
      <c r="E52" s="2" t="e">
        <f>(IF(E7&lt;&gt;0,E7*N7,0))-(IF(E7&lt;&gt;0,((E7-E20)*E$35),0))</f>
        <v>#VALUE!</v>
      </c>
      <c r="F52" s="2" t="e">
        <f t="shared" ref="F52:H54" si="32">(IF(F7&lt;&gt;0,F7*O7,0))-(IF(F7&lt;&gt;0,((F7-F20)*F$35),0))</f>
        <v>#VALUE!</v>
      </c>
      <c r="G52" s="2" t="e">
        <f t="shared" si="32"/>
        <v>#VALUE!</v>
      </c>
      <c r="H52" s="2" t="e">
        <f t="shared" si="32"/>
        <v>#VALUE!</v>
      </c>
      <c r="I52" s="7" t="e">
        <f>SUM(B52:H52)</f>
        <v>#VALUE!</v>
      </c>
    </row>
    <row r="53" spans="1:9" x14ac:dyDescent="0.25">
      <c r="A53" s="1" t="s">
        <v>7</v>
      </c>
      <c r="B53" s="2">
        <f>(IF($I8&lt;&gt;0,(IF((SUM($E8:$H8)/$I8)&gt;0.25,B8*K8,0)),0))-(IF(B8&lt;&gt;0,(IF(((SUM($E8:$H8)/$I8)&gt;0.25),((B8-B21)*B$35),0)),0))</f>
        <v>0</v>
      </c>
      <c r="C53" s="2">
        <f t="shared" ref="C53:D53" si="33">(IF($I8&lt;&gt;0,(IF((SUM($E8:$H8)/$I8)&gt;0.25,C8*L8,0)),0))-(IF(C8&lt;&gt;0,(IF(((SUM($E8:$H8)/$I8)&gt;0.25),((C8-C21)*C$35),0)),0))</f>
        <v>0</v>
      </c>
      <c r="D53" s="2">
        <f t="shared" si="33"/>
        <v>0</v>
      </c>
      <c r="E53" s="2">
        <f>(IF(E8&lt;&gt;0,E8*N8,0))-(IF(E8&lt;&gt;0,((E8-E21)*E$35),0))</f>
        <v>-82.864597669137154</v>
      </c>
      <c r="F53" s="2">
        <f t="shared" si="32"/>
        <v>-39.220673787115359</v>
      </c>
      <c r="G53" s="2">
        <f t="shared" si="32"/>
        <v>0</v>
      </c>
      <c r="H53" s="2">
        <f t="shared" si="32"/>
        <v>0</v>
      </c>
      <c r="I53" s="7">
        <f t="shared" ref="I53:I59" si="34">SUM(B53:H53)</f>
        <v>-122.08527145625251</v>
      </c>
    </row>
    <row r="54" spans="1:9" x14ac:dyDescent="0.25">
      <c r="A54" s="1" t="s">
        <v>6</v>
      </c>
      <c r="B54" s="2">
        <f>(IF($I9&lt;&gt;0,(IF((SUM($E9:$H9)/$I9)&gt;0.25,B9*K9,0)),0))-(IF(B9&lt;&gt;0,(IF(((SUM($E9:$H9)/$I9)&gt;0.25),((B9-B22)*B$35),0)),0))</f>
        <v>-413.92665560733053</v>
      </c>
      <c r="C54" s="2">
        <f t="shared" ref="C54:D54" si="35">(IF($I9&lt;&gt;0,(IF((SUM($E9:$H9)/$I9)&gt;0.25,C9*L9,0)),0))-(IF(C9&lt;&gt;0,(IF(((SUM($E9:$H9)/$I9)&gt;0.25),((C9-C22)*C$35),0)),0))</f>
        <v>363.64708410666026</v>
      </c>
      <c r="D54" s="2">
        <f t="shared" si="35"/>
        <v>-89.237450926898291</v>
      </c>
      <c r="E54" s="2">
        <f>(IF(E9&lt;&gt;0,E9*N9,0))-(IF(E9&lt;&gt;0,((E9-E22)*E$35),0))</f>
        <v>-75.418080759997565</v>
      </c>
      <c r="F54" s="2">
        <f t="shared" si="32"/>
        <v>-114.71035443943299</v>
      </c>
      <c r="G54" s="2">
        <f t="shared" si="32"/>
        <v>0</v>
      </c>
      <c r="H54" s="2">
        <f t="shared" si="32"/>
        <v>0</v>
      </c>
      <c r="I54" s="7">
        <f t="shared" si="34"/>
        <v>-329.64545762699913</v>
      </c>
    </row>
    <row r="55" spans="1:9" x14ac:dyDescent="0.25">
      <c r="A55" s="1" t="s">
        <v>3</v>
      </c>
      <c r="B55" s="2">
        <f>(IF($I12&lt;&gt;0,(IF((SUM($E12:$H12)/$I12)&gt;0.25,B12*K12,0)),0))-(IF(B12&lt;&gt;0,(IF(((SUM($E12:$H12)/$I12)&gt;0.25),(((B12*$K12)/B$32)*B$38),0)),0))</f>
        <v>0</v>
      </c>
      <c r="C55" s="2">
        <f t="shared" ref="C55:D55" si="36">(IF($I12&lt;&gt;0,(IF((SUM($E12:$H12)/$I12)&gt;0.25,C12*L12,0)),0))-(IF(C12&lt;&gt;0,(IF(((SUM($E12:$H12)/$I12)&gt;0.25),(((C12*$K12)/C$32)*C$38),0)),0))</f>
        <v>0</v>
      </c>
      <c r="D55" s="2">
        <f t="shared" si="36"/>
        <v>0</v>
      </c>
      <c r="E55" s="2">
        <f>(IF(E12&lt;&gt;0,E12*N12,0))-(IF(E12&lt;&gt;0,((E12-E25)*E$35),0))</f>
        <v>0</v>
      </c>
      <c r="F55" s="2">
        <f t="shared" ref="F55:H56" si="37">(IF(F12&lt;&gt;0,F12*O12,0))-(IF(F12&lt;&gt;0,((F12-F25)*F$35),0))</f>
        <v>0</v>
      </c>
      <c r="G55" s="2">
        <f t="shared" si="37"/>
        <v>0</v>
      </c>
      <c r="H55" s="2">
        <f t="shared" si="37"/>
        <v>0</v>
      </c>
      <c r="I55" s="7">
        <f t="shared" si="34"/>
        <v>0</v>
      </c>
    </row>
    <row r="56" spans="1:9" x14ac:dyDescent="0.25">
      <c r="A56" s="1" t="s">
        <v>43</v>
      </c>
      <c r="B56" s="2">
        <f>(IF($I13&lt;&gt;0,(IF((SUM($E13:$H13)/$I13)&gt;0.25,B13*K13,0)),0))-(IF(B13&lt;&gt;0,(IF(((SUM($E13:$H13)/$I13)&gt;0.25),(((B13*$K13)/B$32)*B$38),0)),0))</f>
        <v>0</v>
      </c>
      <c r="C56" s="2">
        <f t="shared" ref="C56:D56" si="38">(IF($I13&lt;&gt;0,(IF((SUM($E13:$H13)/$I13)&gt;0.25,C13*L13,0)),0))-(IF(C13&lt;&gt;0,(IF(((SUM($E13:$H13)/$I13)&gt;0.25),(((C13*$K13)/C$32)*C$38),0)),0))</f>
        <v>0</v>
      </c>
      <c r="D56" s="2">
        <f t="shared" si="38"/>
        <v>0</v>
      </c>
      <c r="E56" s="2">
        <f>(IF(E13&lt;&gt;0,E13*N13,0))-(IF(E13&lt;&gt;0,((E13-E26)*E$35),0))</f>
        <v>0</v>
      </c>
      <c r="F56" s="2">
        <f t="shared" si="37"/>
        <v>0</v>
      </c>
      <c r="G56" s="2">
        <f t="shared" si="37"/>
        <v>0</v>
      </c>
      <c r="H56" s="2">
        <f t="shared" si="37"/>
        <v>0</v>
      </c>
      <c r="I56" s="7">
        <f t="shared" si="34"/>
        <v>0</v>
      </c>
    </row>
    <row r="57" spans="1:9" x14ac:dyDescent="0.25">
      <c r="A57" s="1" t="s">
        <v>2</v>
      </c>
      <c r="B57" s="2">
        <f>(IF($I14&lt;&gt;0,(IF((SUM($E14:$H14)/$I14)&gt;0.25,B14*K14,0)),0))-(IF(B14&lt;&gt;0,(IF(((SUM($E14:$H14)/$I14)&gt;0.25),(B$39),0)),0))</f>
        <v>-239.37572218859793</v>
      </c>
      <c r="C57" s="2">
        <f t="shared" ref="C57:D57" si="39">(IF($I14&lt;&gt;0,(IF((SUM($E14:$H14)/$I14)&gt;0.25,C14*L14,0)),0))-(IF(C14&lt;&gt;0,(IF(((SUM($E14:$H14)/$I14)&gt;0.25),(C$39),0)),0))</f>
        <v>-362.58861549743074</v>
      </c>
      <c r="D57" s="2">
        <f t="shared" si="39"/>
        <v>-304.59625667797394</v>
      </c>
      <c r="E57" s="2">
        <f>(IF(E14&lt;&gt;0,E14*N14,0))-(IF(E14&lt;&gt;0,(E$39),0))</f>
        <v>-225.67954631870472</v>
      </c>
      <c r="F57" s="2">
        <f t="shared" ref="F57:H57" si="40">(IF(F14&lt;&gt;0,F14*O14,0))-(IF(F14&lt;&gt;0,(F$39),0))</f>
        <v>0</v>
      </c>
      <c r="G57" s="2">
        <f t="shared" si="40"/>
        <v>0</v>
      </c>
      <c r="H57" s="2">
        <f t="shared" si="40"/>
        <v>0</v>
      </c>
      <c r="I57" s="7">
        <f t="shared" si="34"/>
        <v>-1132.2401406827073</v>
      </c>
    </row>
    <row r="58" spans="1:9" x14ac:dyDescent="0.25">
      <c r="A58" s="1" t="s">
        <v>29</v>
      </c>
      <c r="B58" s="2">
        <f>(IF($I15&lt;&gt;0,(IF((SUM($E15:$H15)/$I15)&gt;0.25,B15*K15,0)),0))-(IF(B15&lt;&gt;0,(IF(((SUM($E15:$H15)/$I15)&gt;0.25),(((B15*$K15)/B$32)*B$38),0)),0))</f>
        <v>0</v>
      </c>
      <c r="C58" s="2">
        <f t="shared" ref="C58:D58" si="41">(IF($I15&lt;&gt;0,(IF((SUM($E15:$H15)/$I15)&gt;0.25,C15*L15,0)),0))-(IF(C15&lt;&gt;0,(IF(((SUM($E15:$H15)/$I15)&gt;0.25),(((C15*$K15)/C$32)*C$38),0)),0))</f>
        <v>0</v>
      </c>
      <c r="D58" s="2">
        <f t="shared" si="41"/>
        <v>0</v>
      </c>
      <c r="E58" s="2">
        <f>(IF(E15&lt;&gt;0,E15*N15,0))-(IF(E15&lt;&gt;0,((E15-E28)*E$35),0))</f>
        <v>-45.776655154553943</v>
      </c>
      <c r="F58" s="2">
        <f t="shared" ref="F58:H59" si="42">(IF(F15&lt;&gt;0,F15*O15,0))-(IF(F15&lt;&gt;0,((F15-F28)*F$35),0))</f>
        <v>-0.63297676940228831</v>
      </c>
      <c r="G58" s="2">
        <f t="shared" si="42"/>
        <v>0</v>
      </c>
      <c r="H58" s="2">
        <f t="shared" si="42"/>
        <v>0</v>
      </c>
      <c r="I58" s="7">
        <f t="shared" si="34"/>
        <v>-46.409631923956233</v>
      </c>
    </row>
    <row r="59" spans="1:9" x14ac:dyDescent="0.25">
      <c r="A59" s="1" t="s">
        <v>1</v>
      </c>
      <c r="B59" s="2" t="e">
        <f>(IF($I16&lt;&gt;0,(IF((SUM($E16:$H16)/$I16)&gt;0.25,B16*K16,0)),0))-(IF(B16&lt;&gt;0,(IF(((SUM($E16:$H16)/$I16)&gt;0.25),(((B16*$K16)/B$32)*B$38),0)),0))</f>
        <v>#VALUE!</v>
      </c>
      <c r="C59" s="2">
        <f t="shared" ref="C59:D59" si="43">(IF($I16&lt;&gt;0,(IF((SUM($E16:$H16)/$I16)&gt;0.25,C16*L16,0)),0))-(IF(C16&lt;&gt;0,(IF(((SUM($E16:$H16)/$I16)&gt;0.25),(((C16*$K16)/C$32)*C$38),0)),0))</f>
        <v>0</v>
      </c>
      <c r="D59" s="2" t="e">
        <f t="shared" si="43"/>
        <v>#VALUE!</v>
      </c>
      <c r="E59" s="2">
        <f>(IF(E16&lt;&gt;0,E16*N16,0))-(IF(E16&lt;&gt;0,((E16-E29)*E$35),0))</f>
        <v>-4.0911862747813874</v>
      </c>
      <c r="F59" s="2">
        <f t="shared" si="42"/>
        <v>0</v>
      </c>
      <c r="G59" s="2">
        <f t="shared" si="42"/>
        <v>0</v>
      </c>
      <c r="H59" s="2">
        <f t="shared" si="42"/>
        <v>0</v>
      </c>
      <c r="I59" s="7" t="e">
        <f t="shared" si="34"/>
        <v>#VALUE!</v>
      </c>
    </row>
    <row r="60" spans="1:9" x14ac:dyDescent="0.25">
      <c r="B60" s="8" t="e">
        <f>SUM(B52:B59)</f>
        <v>#VALUE!</v>
      </c>
      <c r="C60" s="8" t="e">
        <f t="shared" ref="C60:I60" si="44">SUM(C52:C59)</f>
        <v>#VALUE!</v>
      </c>
      <c r="D60" s="8" t="e">
        <f t="shared" si="44"/>
        <v>#VALUE!</v>
      </c>
      <c r="E60" s="8" t="e">
        <f t="shared" si="44"/>
        <v>#VALUE!</v>
      </c>
      <c r="F60" s="8" t="e">
        <f t="shared" si="44"/>
        <v>#VALUE!</v>
      </c>
      <c r="G60" s="8" t="e">
        <f t="shared" si="44"/>
        <v>#VALUE!</v>
      </c>
      <c r="H60" s="8" t="e">
        <f t="shared" si="44"/>
        <v>#VALUE!</v>
      </c>
      <c r="I60" s="8" t="e">
        <f t="shared" si="44"/>
        <v>#VALUE!</v>
      </c>
    </row>
    <row r="61" spans="1:9" x14ac:dyDescent="0.25">
      <c r="D61" s="7"/>
      <c r="E61" s="7"/>
    </row>
    <row r="62" spans="1:9" x14ac:dyDescent="0.25">
      <c r="A62" s="1" t="s">
        <v>27</v>
      </c>
      <c r="B62" s="8" t="e">
        <f>B60+B49</f>
        <v>#VALUE!</v>
      </c>
      <c r="C62" s="8" t="e">
        <f t="shared" ref="C62:I62" si="45">C60+C49</f>
        <v>#VALUE!</v>
      </c>
      <c r="D62" s="8" t="e">
        <f t="shared" si="45"/>
        <v>#VALUE!</v>
      </c>
      <c r="E62" s="8" t="e">
        <f t="shared" si="45"/>
        <v>#VALUE!</v>
      </c>
      <c r="F62" s="8" t="e">
        <f t="shared" si="45"/>
        <v>#VALUE!</v>
      </c>
      <c r="G62" s="8" t="e">
        <f t="shared" si="45"/>
        <v>#VALUE!</v>
      </c>
      <c r="H62" s="8" t="e">
        <f t="shared" si="45"/>
        <v>#VALUE!</v>
      </c>
      <c r="I62" s="8" t="e">
        <f t="shared" si="45"/>
        <v>#VALUE!</v>
      </c>
    </row>
    <row r="64" spans="1:9" x14ac:dyDescent="0.25">
      <c r="A64" s="1" t="s">
        <v>25</v>
      </c>
      <c r="B64" s="8" t="e">
        <f>B43-B62</f>
        <v>#VALUE!</v>
      </c>
      <c r="C64" s="8" t="e">
        <f t="shared" ref="C64:I64" si="46">C43-C62</f>
        <v>#VALUE!</v>
      </c>
      <c r="D64" s="8" t="e">
        <f t="shared" si="46"/>
        <v>#VALUE!</v>
      </c>
      <c r="E64" s="8" t="e">
        <f t="shared" si="46"/>
        <v>#VALUE!</v>
      </c>
      <c r="F64" s="8" t="e">
        <f t="shared" si="46"/>
        <v>#VALUE!</v>
      </c>
      <c r="G64" s="8" t="e">
        <f t="shared" si="46"/>
        <v>#VALUE!</v>
      </c>
      <c r="H64" s="8" t="e">
        <f t="shared" si="46"/>
        <v>#VALUE!</v>
      </c>
      <c r="I64" s="8" t="e">
        <f t="shared" si="46"/>
        <v>#VALUE!</v>
      </c>
    </row>
  </sheetData>
  <mergeCells count="5">
    <mergeCell ref="A1:I1"/>
    <mergeCell ref="A2:I2"/>
    <mergeCell ref="A3:I3"/>
    <mergeCell ref="A4:I4"/>
    <mergeCell ref="K5:Q5"/>
  </mergeCells>
  <pageMargins left="0.7" right="0.7" top="0.75" bottom="0.75" header="0.3" footer="0.3"/>
  <pageSetup scale="37" orientation="landscape"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S200"/>
  <sheetViews>
    <sheetView zoomScale="85" zoomScaleNormal="85" workbookViewId="0">
      <selection sqref="A1:M1"/>
    </sheetView>
  </sheetViews>
  <sheetFormatPr defaultColWidth="9.140625" defaultRowHeight="15" x14ac:dyDescent="0.25"/>
  <cols>
    <col min="1" max="1" width="38.85546875" bestFit="1" customWidth="1"/>
    <col min="2" max="10" width="12.7109375" customWidth="1"/>
    <col min="11" max="11" width="2.5703125" customWidth="1"/>
    <col min="12" max="12" width="12.7109375" customWidth="1"/>
    <col min="13" max="13" width="30.7109375" customWidth="1"/>
    <col min="14" max="14" width="18.5703125" customWidth="1"/>
  </cols>
  <sheetData>
    <row r="1" spans="1:15" ht="18.75" x14ac:dyDescent="0.3">
      <c r="A1" s="173" t="s">
        <v>17</v>
      </c>
      <c r="B1" s="173"/>
      <c r="C1" s="173"/>
      <c r="D1" s="173"/>
      <c r="E1" s="173"/>
      <c r="F1" s="173"/>
      <c r="G1" s="173"/>
      <c r="H1" s="173"/>
      <c r="I1" s="173"/>
      <c r="J1" s="173"/>
      <c r="K1" s="173"/>
      <c r="L1" s="173"/>
      <c r="M1" s="173"/>
      <c r="O1" s="31"/>
    </row>
    <row r="2" spans="1:15" ht="15.75" x14ac:dyDescent="0.25">
      <c r="A2" s="174" t="s">
        <v>280</v>
      </c>
      <c r="B2" s="174"/>
      <c r="C2" s="174"/>
      <c r="D2" s="174"/>
      <c r="E2" s="174"/>
      <c r="F2" s="174"/>
      <c r="G2" s="174"/>
      <c r="H2" s="174"/>
      <c r="I2" s="174"/>
      <c r="J2" s="174"/>
      <c r="K2" s="174"/>
      <c r="L2" s="174"/>
      <c r="M2" s="174"/>
      <c r="O2" s="31"/>
    </row>
    <row r="3" spans="1:15" x14ac:dyDescent="0.25">
      <c r="A3" s="175" t="s">
        <v>31</v>
      </c>
      <c r="B3" s="175"/>
      <c r="C3" s="175"/>
      <c r="D3" s="175"/>
      <c r="E3" s="175"/>
      <c r="F3" s="175"/>
      <c r="G3" s="175"/>
      <c r="H3" s="175"/>
      <c r="I3" s="175"/>
      <c r="J3" s="175"/>
      <c r="K3" s="175"/>
      <c r="L3" s="175"/>
      <c r="M3" s="175"/>
    </row>
    <row r="4" spans="1:15" x14ac:dyDescent="0.25">
      <c r="A4" s="187">
        <f>'Company Summary'!A4:J4</f>
        <v>45199</v>
      </c>
      <c r="B4" s="187"/>
      <c r="C4" s="187"/>
      <c r="D4" s="187"/>
      <c r="E4" s="187"/>
      <c r="F4" s="187"/>
      <c r="G4" s="187"/>
      <c r="H4" s="187"/>
      <c r="I4" s="187"/>
      <c r="J4" s="187"/>
      <c r="K4" s="187"/>
      <c r="L4" s="187"/>
      <c r="M4" s="187"/>
    </row>
    <row r="5" spans="1:15" ht="15.75" thickBot="1" x14ac:dyDescent="0.3">
      <c r="A5" s="81"/>
      <c r="B5" s="81"/>
      <c r="C5" s="81"/>
      <c r="D5" s="81"/>
      <c r="E5" s="81"/>
      <c r="F5" s="81"/>
      <c r="G5" s="81"/>
      <c r="H5" s="81"/>
      <c r="I5" s="81"/>
      <c r="J5" s="81"/>
      <c r="K5" s="81"/>
      <c r="L5" s="81"/>
      <c r="M5" s="81"/>
    </row>
    <row r="6" spans="1:15" ht="15.75" thickBot="1" x14ac:dyDescent="0.3">
      <c r="A6" s="170" t="s">
        <v>54</v>
      </c>
      <c r="B6" s="171"/>
      <c r="C6" s="171"/>
      <c r="D6" s="171"/>
      <c r="E6" s="171"/>
      <c r="F6" s="171"/>
      <c r="G6" s="171"/>
      <c r="H6" s="171"/>
      <c r="I6" s="171"/>
      <c r="J6" s="172"/>
      <c r="L6" s="186"/>
      <c r="M6" s="186"/>
    </row>
    <row r="7" spans="1:15" x14ac:dyDescent="0.25">
      <c r="A7" s="4" t="s">
        <v>16</v>
      </c>
      <c r="B7" s="5" t="s">
        <v>15</v>
      </c>
      <c r="C7" s="5" t="s">
        <v>14</v>
      </c>
      <c r="D7" s="5" t="s">
        <v>13</v>
      </c>
      <c r="E7" s="5" t="s">
        <v>12</v>
      </c>
      <c r="F7" s="5" t="s">
        <v>93</v>
      </c>
      <c r="G7" s="5" t="s">
        <v>94</v>
      </c>
      <c r="H7" s="5" t="s">
        <v>38</v>
      </c>
      <c r="I7" s="5" t="s">
        <v>9</v>
      </c>
      <c r="J7" s="5" t="s">
        <v>0</v>
      </c>
      <c r="L7" s="4"/>
      <c r="M7" s="4"/>
    </row>
    <row r="8" spans="1:15" x14ac:dyDescent="0.25">
      <c r="A8" s="1" t="s">
        <v>49</v>
      </c>
      <c r="B8" s="33">
        <f>'Agile AR Aging &lt;-INPUT'!C49</f>
        <v>0</v>
      </c>
      <c r="C8" s="33">
        <f>'Agile AR Aging &lt;-INPUT'!D49</f>
        <v>0</v>
      </c>
      <c r="D8" s="33">
        <f>'Agile AR Aging &lt;-INPUT'!E49</f>
        <v>0</v>
      </c>
      <c r="E8" s="33">
        <f>'Agile AR Aging &lt;-INPUT'!F49</f>
        <v>0</v>
      </c>
      <c r="F8" s="33">
        <f>'Agile AR Aging &lt;-INPUT'!G49</f>
        <v>0</v>
      </c>
      <c r="G8" s="33">
        <f>'Agile AR Aging &lt;-INPUT'!H49</f>
        <v>0</v>
      </c>
      <c r="H8" s="33">
        <f>'Agile AR Aging &lt;-INPUT'!I49</f>
        <v>0</v>
      </c>
      <c r="I8" s="33">
        <f>'Agile AR Aging &lt;-INPUT'!J49</f>
        <v>0</v>
      </c>
      <c r="J8" s="2">
        <f>SUM(B8:I8)</f>
        <v>0</v>
      </c>
      <c r="L8" s="67"/>
    </row>
    <row r="9" spans="1:15" x14ac:dyDescent="0.25">
      <c r="A9" s="1" t="s">
        <v>8</v>
      </c>
      <c r="B9" s="33">
        <f>'Agile AR Aging &lt;-INPUT'!C50</f>
        <v>0</v>
      </c>
      <c r="C9" s="33">
        <f>'Agile AR Aging &lt;-INPUT'!D50</f>
        <v>0</v>
      </c>
      <c r="D9" s="33">
        <f>'Agile AR Aging &lt;-INPUT'!E50</f>
        <v>0</v>
      </c>
      <c r="E9" s="33">
        <f>'Agile AR Aging &lt;-INPUT'!F50</f>
        <v>0</v>
      </c>
      <c r="F9" s="33">
        <f>'Agile AR Aging &lt;-INPUT'!G50</f>
        <v>0</v>
      </c>
      <c r="G9" s="33">
        <f>'Agile AR Aging &lt;-INPUT'!H50</f>
        <v>0</v>
      </c>
      <c r="H9" s="33">
        <f>'Agile AR Aging &lt;-INPUT'!I50</f>
        <v>0</v>
      </c>
      <c r="I9" s="33">
        <f>'Agile AR Aging &lt;-INPUT'!J50</f>
        <v>0</v>
      </c>
      <c r="J9" s="2">
        <f t="shared" ref="J9:J24" si="0">SUM(B9:I9)</f>
        <v>0</v>
      </c>
      <c r="L9" s="67"/>
      <c r="N9" s="68"/>
    </row>
    <row r="10" spans="1:15" x14ac:dyDescent="0.25">
      <c r="A10" s="1" t="s">
        <v>7</v>
      </c>
      <c r="B10" s="33">
        <f>'Agile AR Aging &lt;-INPUT'!C51</f>
        <v>0</v>
      </c>
      <c r="C10" s="33">
        <f>'Agile AR Aging &lt;-INPUT'!D51</f>
        <v>0</v>
      </c>
      <c r="D10" s="33">
        <f>'Agile AR Aging &lt;-INPUT'!E51</f>
        <v>0</v>
      </c>
      <c r="E10" s="33">
        <f>'Agile AR Aging &lt;-INPUT'!F51</f>
        <v>0</v>
      </c>
      <c r="F10" s="33">
        <f>'Agile AR Aging &lt;-INPUT'!G51</f>
        <v>0</v>
      </c>
      <c r="G10" s="33">
        <f>'Agile AR Aging &lt;-INPUT'!H51</f>
        <v>0</v>
      </c>
      <c r="H10" s="33">
        <f>'Agile AR Aging &lt;-INPUT'!I51</f>
        <v>0</v>
      </c>
      <c r="I10" s="33">
        <f>'Agile AR Aging &lt;-INPUT'!J51</f>
        <v>0</v>
      </c>
      <c r="J10" s="2">
        <f t="shared" si="0"/>
        <v>0</v>
      </c>
      <c r="L10" s="67"/>
      <c r="N10" s="68"/>
    </row>
    <row r="11" spans="1:15" x14ac:dyDescent="0.25">
      <c r="A11" s="1" t="s">
        <v>42</v>
      </c>
      <c r="B11" s="33">
        <f>'Agile AR Aging &lt;-INPUT'!C52</f>
        <v>0</v>
      </c>
      <c r="C11" s="33">
        <f>'Agile AR Aging &lt;-INPUT'!D52</f>
        <v>0</v>
      </c>
      <c r="D11" s="33">
        <f>'Agile AR Aging &lt;-INPUT'!E52</f>
        <v>0</v>
      </c>
      <c r="E11" s="33">
        <f>'Agile AR Aging &lt;-INPUT'!F52</f>
        <v>0</v>
      </c>
      <c r="F11" s="33">
        <f>'Agile AR Aging &lt;-INPUT'!G52</f>
        <v>0</v>
      </c>
      <c r="G11" s="33">
        <f>'Agile AR Aging &lt;-INPUT'!H52</f>
        <v>0</v>
      </c>
      <c r="H11" s="33">
        <f>'Agile AR Aging &lt;-INPUT'!I52</f>
        <v>0</v>
      </c>
      <c r="I11" s="33">
        <f>'Agile AR Aging &lt;-INPUT'!J52</f>
        <v>0</v>
      </c>
      <c r="J11" s="2">
        <f t="shared" si="0"/>
        <v>0</v>
      </c>
      <c r="L11" s="67"/>
      <c r="N11" s="68"/>
    </row>
    <row r="12" spans="1:15" x14ac:dyDescent="0.25">
      <c r="A12" s="1" t="s">
        <v>6</v>
      </c>
      <c r="B12" s="33">
        <f>'Agile AR Aging &lt;-INPUT'!C53+'Agile AR Aging &lt;-INPUT'!C54+'Agile AR Aging &lt;-INPUT'!C61+'Agile AR Aging &lt;-INPUT'!C66</f>
        <v>0</v>
      </c>
      <c r="C12" s="33">
        <f>'Agile AR Aging &lt;-INPUT'!D53+'Agile AR Aging &lt;-INPUT'!D54+'Agile AR Aging &lt;-INPUT'!D61+'Agile AR Aging &lt;-INPUT'!D66</f>
        <v>0</v>
      </c>
      <c r="D12" s="33">
        <f>'Agile AR Aging &lt;-INPUT'!E53+'Agile AR Aging &lt;-INPUT'!E54+'Agile AR Aging &lt;-INPUT'!E61+'Agile AR Aging &lt;-INPUT'!E66</f>
        <v>0</v>
      </c>
      <c r="E12" s="33">
        <f>'Agile AR Aging &lt;-INPUT'!F53+'Agile AR Aging &lt;-INPUT'!F54+'Agile AR Aging &lt;-INPUT'!F61+'Agile AR Aging &lt;-INPUT'!F66</f>
        <v>0</v>
      </c>
      <c r="F12" s="33">
        <f>'Agile AR Aging &lt;-INPUT'!G53+'Agile AR Aging &lt;-INPUT'!G54+'Agile AR Aging &lt;-INPUT'!G61+'Agile AR Aging &lt;-INPUT'!G66</f>
        <v>0</v>
      </c>
      <c r="G12" s="33">
        <f>'Agile AR Aging &lt;-INPUT'!H53+'Agile AR Aging &lt;-INPUT'!H54+'Agile AR Aging &lt;-INPUT'!H61+'Agile AR Aging &lt;-INPUT'!H66</f>
        <v>0</v>
      </c>
      <c r="H12" s="33">
        <f>'Agile AR Aging &lt;-INPUT'!I53+'Agile AR Aging &lt;-INPUT'!I54+'Agile AR Aging &lt;-INPUT'!I61+'Agile AR Aging &lt;-INPUT'!I66</f>
        <v>0</v>
      </c>
      <c r="I12" s="33">
        <f>'Agile AR Aging &lt;-INPUT'!J53+'Agile AR Aging &lt;-INPUT'!J54+'Agile AR Aging &lt;-INPUT'!J61+'Agile AR Aging &lt;-INPUT'!J66</f>
        <v>0</v>
      </c>
      <c r="J12" s="2">
        <f t="shared" si="0"/>
        <v>0</v>
      </c>
      <c r="L12" s="73"/>
      <c r="N12" s="68"/>
    </row>
    <row r="13" spans="1:15" x14ac:dyDescent="0.25">
      <c r="A13" s="1" t="s">
        <v>50</v>
      </c>
      <c r="B13" s="33">
        <f>'Agile AR Aging &lt;-INPUT'!C55</f>
        <v>0</v>
      </c>
      <c r="C13" s="33">
        <f>'Agile AR Aging &lt;-INPUT'!D55</f>
        <v>0</v>
      </c>
      <c r="D13" s="33">
        <f>'Agile AR Aging &lt;-INPUT'!E55</f>
        <v>0</v>
      </c>
      <c r="E13" s="33">
        <f>'Agile AR Aging &lt;-INPUT'!F55</f>
        <v>0</v>
      </c>
      <c r="F13" s="33">
        <f>'Agile AR Aging &lt;-INPUT'!G55</f>
        <v>0</v>
      </c>
      <c r="G13" s="33">
        <f>'Agile AR Aging &lt;-INPUT'!H55</f>
        <v>0</v>
      </c>
      <c r="H13" s="33">
        <f>'Agile AR Aging &lt;-INPUT'!I55</f>
        <v>0</v>
      </c>
      <c r="I13" s="33">
        <f>'Agile AR Aging &lt;-INPUT'!J55</f>
        <v>0</v>
      </c>
      <c r="J13" s="2">
        <f t="shared" si="0"/>
        <v>0</v>
      </c>
      <c r="L13" s="73"/>
      <c r="N13" s="68"/>
    </row>
    <row r="14" spans="1:15" x14ac:dyDescent="0.25">
      <c r="A14" s="1" t="s">
        <v>89</v>
      </c>
      <c r="B14" s="33">
        <f>'Agile AR Aging &lt;-INPUT'!C56</f>
        <v>0</v>
      </c>
      <c r="C14" s="33">
        <f>'Agile AR Aging &lt;-INPUT'!D56</f>
        <v>0</v>
      </c>
      <c r="D14" s="33">
        <f>'Agile AR Aging &lt;-INPUT'!E56</f>
        <v>0</v>
      </c>
      <c r="E14" s="33">
        <f>'Agile AR Aging &lt;-INPUT'!F56</f>
        <v>0</v>
      </c>
      <c r="F14" s="33">
        <f>'Agile AR Aging &lt;-INPUT'!G56</f>
        <v>0</v>
      </c>
      <c r="G14" s="33">
        <f>'Agile AR Aging &lt;-INPUT'!H56</f>
        <v>0</v>
      </c>
      <c r="H14" s="33">
        <f>'Agile AR Aging &lt;-INPUT'!I56</f>
        <v>0</v>
      </c>
      <c r="I14" s="33">
        <f>'Agile AR Aging &lt;-INPUT'!J56</f>
        <v>0</v>
      </c>
      <c r="J14" s="2">
        <f t="shared" si="0"/>
        <v>0</v>
      </c>
      <c r="L14" s="73"/>
      <c r="N14" s="68"/>
    </row>
    <row r="15" spans="1:15" x14ac:dyDescent="0.25">
      <c r="A15" s="1" t="s">
        <v>5</v>
      </c>
      <c r="B15" s="33">
        <f>'Agile AR Aging &lt;-INPUT'!C57</f>
        <v>0</v>
      </c>
      <c r="C15" s="33">
        <f>'Agile AR Aging &lt;-INPUT'!D57</f>
        <v>0</v>
      </c>
      <c r="D15" s="33">
        <f>'Agile AR Aging &lt;-INPUT'!E57</f>
        <v>0</v>
      </c>
      <c r="E15" s="33">
        <f>'Agile AR Aging &lt;-INPUT'!F57</f>
        <v>0</v>
      </c>
      <c r="F15" s="33">
        <f>'Agile AR Aging &lt;-INPUT'!G57</f>
        <v>0</v>
      </c>
      <c r="G15" s="33">
        <f>'Agile AR Aging &lt;-INPUT'!H57</f>
        <v>0</v>
      </c>
      <c r="H15" s="33">
        <f>'Agile AR Aging &lt;-INPUT'!I57</f>
        <v>0</v>
      </c>
      <c r="I15" s="33">
        <f>'Agile AR Aging &lt;-INPUT'!J57</f>
        <v>0</v>
      </c>
      <c r="J15" s="2">
        <f t="shared" si="0"/>
        <v>0</v>
      </c>
      <c r="L15" s="73"/>
      <c r="N15" s="68"/>
    </row>
    <row r="16" spans="1:15" x14ac:dyDescent="0.25">
      <c r="A16" s="1" t="s">
        <v>84</v>
      </c>
      <c r="B16" s="33">
        <f>'Agile AR Aging &lt;-INPUT'!C58</f>
        <v>0</v>
      </c>
      <c r="C16" s="33">
        <f>'Agile AR Aging &lt;-INPUT'!D58</f>
        <v>0</v>
      </c>
      <c r="D16" s="33">
        <f>'Agile AR Aging &lt;-INPUT'!E58</f>
        <v>0</v>
      </c>
      <c r="E16" s="33">
        <f>'Agile AR Aging &lt;-INPUT'!F58</f>
        <v>0</v>
      </c>
      <c r="F16" s="33">
        <f>'Agile AR Aging &lt;-INPUT'!G58</f>
        <v>0</v>
      </c>
      <c r="G16" s="33">
        <f>'Agile AR Aging &lt;-INPUT'!H58</f>
        <v>0</v>
      </c>
      <c r="H16" s="33">
        <f>'Agile AR Aging &lt;-INPUT'!I58</f>
        <v>0</v>
      </c>
      <c r="I16" s="33">
        <f>'Agile AR Aging &lt;-INPUT'!J58</f>
        <v>0</v>
      </c>
      <c r="J16" s="2">
        <f t="shared" si="0"/>
        <v>0</v>
      </c>
      <c r="L16" s="73"/>
      <c r="N16" s="68"/>
    </row>
    <row r="17" spans="1:17" x14ac:dyDescent="0.25">
      <c r="A17" s="1" t="s">
        <v>4</v>
      </c>
      <c r="B17" s="33">
        <f>'Agile AR Aging &lt;-INPUT'!C59</f>
        <v>0</v>
      </c>
      <c r="C17" s="33">
        <f>'Agile AR Aging &lt;-INPUT'!D59</f>
        <v>0</v>
      </c>
      <c r="D17" s="33">
        <f>'Agile AR Aging &lt;-INPUT'!E59</f>
        <v>0</v>
      </c>
      <c r="E17" s="33">
        <f>'Agile AR Aging &lt;-INPUT'!F59</f>
        <v>0</v>
      </c>
      <c r="F17" s="33">
        <f>'Agile AR Aging &lt;-INPUT'!G59</f>
        <v>0</v>
      </c>
      <c r="G17" s="33">
        <f>'Agile AR Aging &lt;-INPUT'!H59</f>
        <v>0</v>
      </c>
      <c r="H17" s="33">
        <f>'Agile AR Aging &lt;-INPUT'!I59</f>
        <v>0</v>
      </c>
      <c r="I17" s="33">
        <f>'Agile AR Aging &lt;-INPUT'!J59</f>
        <v>0</v>
      </c>
      <c r="J17" s="2">
        <f>SUM(B17:I17)</f>
        <v>0</v>
      </c>
      <c r="L17" s="73"/>
      <c r="N17" s="68"/>
    </row>
    <row r="18" spans="1:17" x14ac:dyDescent="0.25">
      <c r="A18" s="1" t="s">
        <v>51</v>
      </c>
      <c r="B18" s="33">
        <f>'Agile AR Aging &lt;-INPUT'!C60</f>
        <v>0</v>
      </c>
      <c r="C18" s="33">
        <f>'Agile AR Aging &lt;-INPUT'!D60</f>
        <v>0</v>
      </c>
      <c r="D18" s="33">
        <f>'Agile AR Aging &lt;-INPUT'!E60</f>
        <v>0</v>
      </c>
      <c r="E18" s="33">
        <f>'Agile AR Aging &lt;-INPUT'!F60</f>
        <v>0</v>
      </c>
      <c r="F18" s="33">
        <f>'Agile AR Aging &lt;-INPUT'!G60</f>
        <v>0</v>
      </c>
      <c r="G18" s="33">
        <f>'Agile AR Aging &lt;-INPUT'!H60</f>
        <v>0</v>
      </c>
      <c r="H18" s="33">
        <f>'Agile AR Aging &lt;-INPUT'!I60</f>
        <v>0</v>
      </c>
      <c r="I18" s="33">
        <f>'Agile AR Aging &lt;-INPUT'!J60</f>
        <v>0</v>
      </c>
      <c r="J18" s="2">
        <f t="shared" si="0"/>
        <v>0</v>
      </c>
      <c r="L18" s="73"/>
      <c r="N18" s="68"/>
    </row>
    <row r="19" spans="1:17" x14ac:dyDescent="0.25">
      <c r="A19" s="1" t="s">
        <v>85</v>
      </c>
      <c r="B19" s="33">
        <f>'Agile AR Aging &lt;-INPUT'!C62</f>
        <v>0</v>
      </c>
      <c r="C19" s="33">
        <f>'Agile AR Aging &lt;-INPUT'!D62</f>
        <v>0</v>
      </c>
      <c r="D19" s="33">
        <f>'Agile AR Aging &lt;-INPUT'!E62</f>
        <v>0</v>
      </c>
      <c r="E19" s="33">
        <f>'Agile AR Aging &lt;-INPUT'!F62</f>
        <v>0</v>
      </c>
      <c r="F19" s="33">
        <f>'Agile AR Aging &lt;-INPUT'!G62</f>
        <v>0</v>
      </c>
      <c r="G19" s="33">
        <f>'Agile AR Aging &lt;-INPUT'!H62</f>
        <v>0</v>
      </c>
      <c r="H19" s="33">
        <f>'Agile AR Aging &lt;-INPUT'!I62</f>
        <v>0</v>
      </c>
      <c r="I19" s="33">
        <f>'Agile AR Aging &lt;-INPUT'!J62</f>
        <v>0</v>
      </c>
      <c r="J19" s="2">
        <f t="shared" si="0"/>
        <v>0</v>
      </c>
      <c r="L19" s="73"/>
      <c r="N19" s="68"/>
    </row>
    <row r="20" spans="1:17" x14ac:dyDescent="0.25">
      <c r="A20" s="1" t="s">
        <v>2</v>
      </c>
      <c r="B20" s="33">
        <f>'Agile AR Aging &lt;-INPUT'!C63</f>
        <v>310.5</v>
      </c>
      <c r="C20" s="33">
        <f>'Agile AR Aging &lt;-INPUT'!D63</f>
        <v>0</v>
      </c>
      <c r="D20" s="33">
        <f>'Agile AR Aging &lt;-INPUT'!E63</f>
        <v>619</v>
      </c>
      <c r="E20" s="33">
        <f>'Agile AR Aging &lt;-INPUT'!F63</f>
        <v>1904.26</v>
      </c>
      <c r="F20" s="33">
        <f>'Agile AR Aging &lt;-INPUT'!G63</f>
        <v>0</v>
      </c>
      <c r="G20" s="33">
        <f>'Agile AR Aging &lt;-INPUT'!H63</f>
        <v>0</v>
      </c>
      <c r="H20" s="33">
        <f>'Agile AR Aging &lt;-INPUT'!I63</f>
        <v>0</v>
      </c>
      <c r="I20" s="33">
        <f>'Agile AR Aging &lt;-INPUT'!J63</f>
        <v>0</v>
      </c>
      <c r="J20" s="2">
        <f t="shared" ref="J20" si="1">SUM(B20:I20)</f>
        <v>2833.76</v>
      </c>
      <c r="L20" s="73"/>
      <c r="N20" s="68"/>
    </row>
    <row r="21" spans="1:17" x14ac:dyDescent="0.25">
      <c r="A21" s="1" t="s">
        <v>86</v>
      </c>
      <c r="B21" s="33">
        <f>'Agile AR Aging &lt;-INPUT'!C64</f>
        <v>0</v>
      </c>
      <c r="C21" s="33">
        <f>'Agile AR Aging &lt;-INPUT'!D64</f>
        <v>0</v>
      </c>
      <c r="D21" s="33">
        <f>'Agile AR Aging &lt;-INPUT'!E64</f>
        <v>0</v>
      </c>
      <c r="E21" s="33">
        <f>'Agile AR Aging &lt;-INPUT'!F64</f>
        <v>0</v>
      </c>
      <c r="F21" s="33">
        <f>'Agile AR Aging &lt;-INPUT'!G64</f>
        <v>0</v>
      </c>
      <c r="G21" s="33">
        <f>'Agile AR Aging &lt;-INPUT'!H64</f>
        <v>0</v>
      </c>
      <c r="H21" s="33">
        <f>'Agile AR Aging &lt;-INPUT'!I64</f>
        <v>0</v>
      </c>
      <c r="I21" s="33">
        <f>'Agile AR Aging &lt;-INPUT'!J64</f>
        <v>0</v>
      </c>
      <c r="J21" s="2">
        <f t="shared" si="0"/>
        <v>0</v>
      </c>
      <c r="L21" s="73"/>
      <c r="N21" s="68"/>
    </row>
    <row r="22" spans="1:17" x14ac:dyDescent="0.25">
      <c r="A22" s="1" t="s">
        <v>29</v>
      </c>
      <c r="B22" s="33">
        <f>'Agile AR Aging &lt;-INPUT'!C65</f>
        <v>0</v>
      </c>
      <c r="C22" s="33">
        <f>'Agile AR Aging &lt;-INPUT'!D65</f>
        <v>0</v>
      </c>
      <c r="D22" s="33">
        <f>'Agile AR Aging &lt;-INPUT'!E65</f>
        <v>0</v>
      </c>
      <c r="E22" s="33">
        <f>'Agile AR Aging &lt;-INPUT'!F65</f>
        <v>0</v>
      </c>
      <c r="F22" s="33">
        <f>'Agile AR Aging &lt;-INPUT'!G65</f>
        <v>0</v>
      </c>
      <c r="G22" s="33">
        <f>'Agile AR Aging &lt;-INPUT'!H65</f>
        <v>0</v>
      </c>
      <c r="H22" s="33">
        <f>'Agile AR Aging &lt;-INPUT'!I65</f>
        <v>0</v>
      </c>
      <c r="I22" s="33">
        <f>'Agile AR Aging &lt;-INPUT'!J65</f>
        <v>0</v>
      </c>
      <c r="J22" s="2">
        <f t="shared" si="0"/>
        <v>0</v>
      </c>
      <c r="L22" s="73"/>
      <c r="N22" s="68"/>
    </row>
    <row r="23" spans="1:17" x14ac:dyDescent="0.25">
      <c r="A23" s="1" t="s">
        <v>52</v>
      </c>
      <c r="B23" s="33">
        <f>'Agile AR Aging &lt;-INPUT'!C67</f>
        <v>0</v>
      </c>
      <c r="C23" s="33">
        <f>'Agile AR Aging &lt;-INPUT'!D67</f>
        <v>0</v>
      </c>
      <c r="D23" s="33">
        <f>'Agile AR Aging &lt;-INPUT'!E67</f>
        <v>0</v>
      </c>
      <c r="E23" s="33">
        <f>'Agile AR Aging &lt;-INPUT'!F67</f>
        <v>0</v>
      </c>
      <c r="F23" s="33">
        <f>'Agile AR Aging &lt;-INPUT'!G67</f>
        <v>0</v>
      </c>
      <c r="G23" s="33">
        <f>'Agile AR Aging &lt;-INPUT'!H67</f>
        <v>0</v>
      </c>
      <c r="H23" s="33">
        <f>'Agile AR Aging &lt;-INPUT'!I67</f>
        <v>0</v>
      </c>
      <c r="I23" s="33">
        <f>'Agile AR Aging &lt;-INPUT'!J67</f>
        <v>0</v>
      </c>
      <c r="J23" s="2">
        <f t="shared" si="0"/>
        <v>0</v>
      </c>
      <c r="L23" s="73"/>
      <c r="N23" s="68"/>
    </row>
    <row r="24" spans="1:17" x14ac:dyDescent="0.25">
      <c r="A24" s="1" t="s">
        <v>1</v>
      </c>
      <c r="B24" s="32">
        <f>'Agile AR Aging &lt;-INPUT'!C68</f>
        <v>0</v>
      </c>
      <c r="C24" s="32">
        <f>'Agile AR Aging &lt;-INPUT'!D68</f>
        <v>0</v>
      </c>
      <c r="D24" s="32">
        <f>'Agile AR Aging &lt;-INPUT'!E68</f>
        <v>0</v>
      </c>
      <c r="E24" s="32">
        <f>'Agile AR Aging &lt;-INPUT'!F68</f>
        <v>0</v>
      </c>
      <c r="F24" s="32">
        <f>'Agile AR Aging &lt;-INPUT'!G68</f>
        <v>0</v>
      </c>
      <c r="G24" s="32">
        <f>'Agile AR Aging &lt;-INPUT'!H68</f>
        <v>0</v>
      </c>
      <c r="H24" s="32">
        <f>'Agile AR Aging &lt;-INPUT'!I68</f>
        <v>0</v>
      </c>
      <c r="I24" s="32">
        <f>'Agile AR Aging &lt;-INPUT'!J68</f>
        <v>0</v>
      </c>
      <c r="J24" s="2">
        <f t="shared" si="0"/>
        <v>0</v>
      </c>
      <c r="L24" s="73"/>
      <c r="N24" s="68"/>
    </row>
    <row r="25" spans="1:17" x14ac:dyDescent="0.25">
      <c r="A25" s="1" t="s">
        <v>0</v>
      </c>
      <c r="B25" s="10">
        <f>SUM(B8:B24)</f>
        <v>310.5</v>
      </c>
      <c r="C25" s="10">
        <f t="shared" ref="C25:J25" si="2">SUM(C8:C24)</f>
        <v>0</v>
      </c>
      <c r="D25" s="10">
        <f t="shared" si="2"/>
        <v>619</v>
      </c>
      <c r="E25" s="10">
        <f t="shared" si="2"/>
        <v>1904.26</v>
      </c>
      <c r="F25" s="10">
        <f t="shared" si="2"/>
        <v>0</v>
      </c>
      <c r="G25" s="10">
        <f t="shared" si="2"/>
        <v>0</v>
      </c>
      <c r="H25" s="10">
        <f t="shared" si="2"/>
        <v>0</v>
      </c>
      <c r="I25" s="10">
        <f t="shared" si="2"/>
        <v>0</v>
      </c>
      <c r="J25" s="10">
        <f t="shared" si="2"/>
        <v>2833.76</v>
      </c>
      <c r="L25" s="31"/>
    </row>
    <row r="26" spans="1:17" ht="15.75" thickBot="1" x14ac:dyDescent="0.3">
      <c r="A26" s="1"/>
      <c r="B26" s="9"/>
      <c r="C26" s="9"/>
      <c r="D26" s="9"/>
      <c r="E26" s="9"/>
      <c r="F26" s="9"/>
      <c r="G26" s="9"/>
      <c r="H26" s="9"/>
      <c r="I26" s="9"/>
      <c r="J26" s="9"/>
      <c r="L26" s="31"/>
      <c r="Q26" s="1"/>
    </row>
    <row r="27" spans="1:17" ht="15.75" thickBot="1" x14ac:dyDescent="0.3">
      <c r="A27" s="177" t="s">
        <v>1029</v>
      </c>
      <c r="B27" s="178"/>
      <c r="C27" s="178"/>
      <c r="D27" s="178"/>
      <c r="E27" s="178"/>
      <c r="F27" s="178"/>
      <c r="G27" s="178"/>
      <c r="H27" s="178"/>
      <c r="I27" s="178"/>
      <c r="J27" s="179"/>
      <c r="L27" s="31"/>
      <c r="Q27" s="1"/>
    </row>
    <row r="28" spans="1:17" x14ac:dyDescent="0.25">
      <c r="A28" s="4" t="s">
        <v>16</v>
      </c>
      <c r="B28" s="5" t="s">
        <v>15</v>
      </c>
      <c r="C28" s="5" t="s">
        <v>14</v>
      </c>
      <c r="D28" s="5" t="s">
        <v>13</v>
      </c>
      <c r="E28" s="5" t="s">
        <v>12</v>
      </c>
      <c r="F28" s="5" t="s">
        <v>93</v>
      </c>
      <c r="G28" s="5" t="s">
        <v>94</v>
      </c>
      <c r="H28" s="5" t="s">
        <v>38</v>
      </c>
      <c r="I28" s="5" t="s">
        <v>9</v>
      </c>
      <c r="J28" s="5" t="s">
        <v>0</v>
      </c>
      <c r="L28" s="31"/>
      <c r="Q28" s="1"/>
    </row>
    <row r="29" spans="1:17" x14ac:dyDescent="0.25">
      <c r="A29" s="1" t="s">
        <v>49</v>
      </c>
      <c r="B29" s="9"/>
      <c r="C29" s="9"/>
      <c r="D29" s="9"/>
      <c r="E29" s="9"/>
      <c r="F29" s="9"/>
      <c r="G29" s="9"/>
      <c r="H29" s="9"/>
      <c r="I29" s="9"/>
      <c r="J29" s="9"/>
      <c r="L29" s="31"/>
      <c r="Q29" s="1"/>
    </row>
    <row r="30" spans="1:17" x14ac:dyDescent="0.25">
      <c r="A30" s="1" t="s">
        <v>8</v>
      </c>
      <c r="B30" s="9"/>
      <c r="C30" s="9"/>
      <c r="D30" s="9"/>
      <c r="E30" s="9"/>
      <c r="F30" s="9"/>
      <c r="G30" s="9"/>
      <c r="H30" s="9"/>
      <c r="I30" s="9"/>
      <c r="J30" s="9"/>
      <c r="L30" s="31"/>
      <c r="Q30" s="1"/>
    </row>
    <row r="31" spans="1:17" x14ac:dyDescent="0.25">
      <c r="A31" s="1" t="s">
        <v>7</v>
      </c>
      <c r="B31" s="9"/>
      <c r="C31" s="9"/>
      <c r="D31" s="9"/>
      <c r="E31" s="9"/>
      <c r="F31" s="9"/>
      <c r="G31" s="9"/>
      <c r="H31" s="9"/>
      <c r="I31" s="9"/>
      <c r="J31" s="9"/>
      <c r="L31" s="31"/>
      <c r="Q31" s="1"/>
    </row>
    <row r="32" spans="1:17" x14ac:dyDescent="0.25">
      <c r="A32" s="1" t="s">
        <v>42</v>
      </c>
      <c r="B32" s="9"/>
      <c r="C32" s="9"/>
      <c r="D32" s="9"/>
      <c r="E32" s="9"/>
      <c r="F32" s="9"/>
      <c r="G32" s="9"/>
      <c r="H32" s="9"/>
      <c r="I32" s="9"/>
      <c r="J32" s="9"/>
      <c r="L32" s="31"/>
      <c r="Q32" s="1"/>
    </row>
    <row r="33" spans="1:17" x14ac:dyDescent="0.25">
      <c r="A33" s="1" t="s">
        <v>6</v>
      </c>
      <c r="B33" s="9"/>
      <c r="C33" s="9"/>
      <c r="D33" s="9"/>
      <c r="E33" s="9"/>
      <c r="F33" s="9"/>
      <c r="G33" s="9"/>
      <c r="H33" s="9"/>
      <c r="I33" s="9"/>
      <c r="J33" s="9"/>
      <c r="L33" s="31"/>
      <c r="Q33" s="1"/>
    </row>
    <row r="34" spans="1:17" x14ac:dyDescent="0.25">
      <c r="A34" s="1" t="s">
        <v>50</v>
      </c>
      <c r="B34" s="9"/>
      <c r="C34" s="9"/>
      <c r="D34" s="9"/>
      <c r="E34" s="9"/>
      <c r="F34" s="9"/>
      <c r="G34" s="9"/>
      <c r="H34" s="9"/>
      <c r="I34" s="9"/>
      <c r="J34" s="9"/>
      <c r="L34" s="31"/>
      <c r="Q34" s="1"/>
    </row>
    <row r="35" spans="1:17" x14ac:dyDescent="0.25">
      <c r="A35" s="1" t="s">
        <v>89</v>
      </c>
      <c r="B35" s="9"/>
      <c r="C35" s="9"/>
      <c r="D35" s="9"/>
      <c r="E35" s="9"/>
      <c r="F35" s="9"/>
      <c r="G35" s="9"/>
      <c r="H35" s="9"/>
      <c r="I35" s="9"/>
      <c r="J35" s="9"/>
      <c r="L35" s="31"/>
      <c r="Q35" s="1"/>
    </row>
    <row r="36" spans="1:17" x14ac:dyDescent="0.25">
      <c r="A36" s="1" t="s">
        <v>5</v>
      </c>
      <c r="B36" s="9"/>
      <c r="C36" s="9"/>
      <c r="D36" s="9"/>
      <c r="E36" s="9"/>
      <c r="F36" s="9"/>
      <c r="G36" s="9"/>
      <c r="H36" s="9"/>
      <c r="I36" s="9"/>
      <c r="J36" s="9"/>
      <c r="L36" s="31"/>
      <c r="Q36" s="1"/>
    </row>
    <row r="37" spans="1:17" x14ac:dyDescent="0.25">
      <c r="A37" s="1" t="s">
        <v>84</v>
      </c>
      <c r="B37" s="9"/>
      <c r="C37" s="9"/>
      <c r="D37" s="9"/>
      <c r="E37" s="9"/>
      <c r="F37" s="9"/>
      <c r="G37" s="9"/>
      <c r="H37" s="9"/>
      <c r="I37" s="9"/>
      <c r="J37" s="9"/>
      <c r="L37" s="31"/>
      <c r="Q37" s="1"/>
    </row>
    <row r="38" spans="1:17" x14ac:dyDescent="0.25">
      <c r="A38" s="1" t="s">
        <v>4</v>
      </c>
      <c r="B38" s="9"/>
      <c r="C38" s="9"/>
      <c r="D38" s="9"/>
      <c r="E38" s="9"/>
      <c r="F38" s="9"/>
      <c r="G38" s="9"/>
      <c r="H38" s="9"/>
      <c r="I38" s="9"/>
      <c r="J38" s="9"/>
      <c r="L38" s="31"/>
      <c r="Q38" s="1"/>
    </row>
    <row r="39" spans="1:17" x14ac:dyDescent="0.25">
      <c r="A39" s="1" t="s">
        <v>51</v>
      </c>
      <c r="B39" s="9"/>
      <c r="C39" s="9"/>
      <c r="D39" s="9"/>
      <c r="E39" s="9"/>
      <c r="F39" s="9"/>
      <c r="G39" s="9"/>
      <c r="H39" s="9"/>
      <c r="I39" s="9"/>
      <c r="J39" s="9"/>
      <c r="L39" s="31"/>
      <c r="Q39" s="1"/>
    </row>
    <row r="40" spans="1:17" x14ac:dyDescent="0.25">
      <c r="A40" s="1" t="s">
        <v>85</v>
      </c>
      <c r="B40" s="9"/>
      <c r="C40" s="9"/>
      <c r="D40" s="9"/>
      <c r="E40" s="9"/>
      <c r="F40" s="9"/>
      <c r="G40" s="9"/>
      <c r="H40" s="9"/>
      <c r="I40" s="9"/>
      <c r="J40" s="9"/>
      <c r="L40" s="31"/>
      <c r="Q40" s="1"/>
    </row>
    <row r="41" spans="1:17" x14ac:dyDescent="0.25">
      <c r="A41" s="1" t="s">
        <v>2</v>
      </c>
      <c r="B41" s="9"/>
      <c r="C41" s="9"/>
      <c r="D41" s="9"/>
      <c r="E41" s="9"/>
      <c r="F41" s="9"/>
      <c r="G41" s="9"/>
      <c r="H41" s="9"/>
      <c r="I41" s="9"/>
      <c r="J41" s="9"/>
      <c r="L41" s="31"/>
      <c r="Q41" s="1"/>
    </row>
    <row r="42" spans="1:17" x14ac:dyDescent="0.25">
      <c r="A42" s="1" t="s">
        <v>86</v>
      </c>
      <c r="B42" s="9"/>
      <c r="C42" s="9"/>
      <c r="D42" s="9"/>
      <c r="E42" s="9"/>
      <c r="F42" s="9"/>
      <c r="G42" s="9"/>
      <c r="H42" s="9"/>
      <c r="I42" s="9"/>
      <c r="J42" s="9"/>
      <c r="L42" s="31"/>
      <c r="Q42" s="1"/>
    </row>
    <row r="43" spans="1:17" x14ac:dyDescent="0.25">
      <c r="A43" s="1" t="s">
        <v>29</v>
      </c>
      <c r="B43" s="9"/>
      <c r="C43" s="9"/>
      <c r="D43" s="9"/>
      <c r="E43" s="9"/>
      <c r="F43" s="9"/>
      <c r="G43" s="9"/>
      <c r="H43" s="9"/>
      <c r="I43" s="9"/>
      <c r="J43" s="9"/>
      <c r="L43" s="31"/>
      <c r="Q43" s="1"/>
    </row>
    <row r="44" spans="1:17" x14ac:dyDescent="0.25">
      <c r="A44" s="1" t="s">
        <v>52</v>
      </c>
      <c r="B44" s="9"/>
      <c r="C44" s="9"/>
      <c r="D44" s="9"/>
      <c r="E44" s="9"/>
      <c r="F44" s="9"/>
      <c r="G44" s="9"/>
      <c r="H44" s="9"/>
      <c r="I44" s="9"/>
      <c r="J44" s="9"/>
      <c r="L44" s="31"/>
      <c r="Q44" s="1"/>
    </row>
    <row r="45" spans="1:17" x14ac:dyDescent="0.25">
      <c r="A45" s="1" t="s">
        <v>1</v>
      </c>
      <c r="B45" s="3"/>
      <c r="C45" s="3"/>
      <c r="D45" s="3"/>
      <c r="E45" s="3"/>
      <c r="F45" s="3"/>
      <c r="G45" s="3"/>
      <c r="H45" s="3"/>
      <c r="I45" s="3"/>
      <c r="J45" s="3"/>
      <c r="L45" s="31"/>
      <c r="Q45" s="1"/>
    </row>
    <row r="46" spans="1:17" x14ac:dyDescent="0.25">
      <c r="A46" s="1" t="s">
        <v>0</v>
      </c>
      <c r="B46" s="9"/>
      <c r="C46" s="9"/>
      <c r="D46" s="9"/>
      <c r="E46" s="9"/>
      <c r="F46" s="9"/>
      <c r="G46" s="9"/>
      <c r="H46" s="9"/>
      <c r="I46" s="9"/>
      <c r="J46" s="9"/>
      <c r="L46" s="31"/>
      <c r="Q46" s="1"/>
    </row>
    <row r="47" spans="1:17" ht="15.75" thickBot="1" x14ac:dyDescent="0.3">
      <c r="A47" s="1"/>
      <c r="B47" s="9"/>
      <c r="C47" s="9"/>
      <c r="D47" s="9"/>
      <c r="E47" s="9"/>
      <c r="F47" s="9"/>
      <c r="G47" s="9"/>
      <c r="H47" s="9"/>
      <c r="I47" s="9"/>
      <c r="J47" s="9"/>
      <c r="L47" s="31"/>
      <c r="Q47" s="1"/>
    </row>
    <row r="48" spans="1:17" ht="15.75" thickBot="1" x14ac:dyDescent="0.3">
      <c r="A48" s="180" t="s">
        <v>54</v>
      </c>
      <c r="B48" s="181"/>
      <c r="C48" s="181"/>
      <c r="D48" s="181"/>
      <c r="E48" s="181"/>
      <c r="F48" s="181"/>
      <c r="G48" s="181"/>
      <c r="H48" s="181"/>
      <c r="I48" s="181"/>
      <c r="J48" s="182"/>
      <c r="L48" s="31"/>
      <c r="Q48" s="1"/>
    </row>
    <row r="49" spans="1:17" x14ac:dyDescent="0.25">
      <c r="A49" s="4" t="s">
        <v>16</v>
      </c>
      <c r="B49" s="5" t="s">
        <v>15</v>
      </c>
      <c r="C49" s="5" t="s">
        <v>14</v>
      </c>
      <c r="D49" s="5" t="s">
        <v>13</v>
      </c>
      <c r="E49" s="5" t="s">
        <v>12</v>
      </c>
      <c r="F49" s="5" t="s">
        <v>93</v>
      </c>
      <c r="G49" s="5" t="s">
        <v>94</v>
      </c>
      <c r="H49" s="5" t="s">
        <v>38</v>
      </c>
      <c r="I49" s="5" t="s">
        <v>9</v>
      </c>
      <c r="J49" s="5" t="s">
        <v>0</v>
      </c>
      <c r="L49" s="31"/>
      <c r="Q49" s="1"/>
    </row>
    <row r="50" spans="1:17" x14ac:dyDescent="0.25">
      <c r="A50" s="1" t="s">
        <v>49</v>
      </c>
      <c r="B50" s="9">
        <f>B8-B29</f>
        <v>0</v>
      </c>
      <c r="C50" s="9">
        <f t="shared" ref="C50:I50" si="3">C8-C29</f>
        <v>0</v>
      </c>
      <c r="D50" s="9">
        <f t="shared" si="3"/>
        <v>0</v>
      </c>
      <c r="E50" s="9">
        <f t="shared" si="3"/>
        <v>0</v>
      </c>
      <c r="F50" s="9">
        <f t="shared" si="3"/>
        <v>0</v>
      </c>
      <c r="G50" s="9">
        <f t="shared" si="3"/>
        <v>0</v>
      </c>
      <c r="H50" s="9">
        <f t="shared" si="3"/>
        <v>0</v>
      </c>
      <c r="I50" s="9">
        <f t="shared" si="3"/>
        <v>0</v>
      </c>
      <c r="J50" s="9">
        <f>SUM(B50:I50)</f>
        <v>0</v>
      </c>
      <c r="L50" s="31"/>
      <c r="Q50" s="1"/>
    </row>
    <row r="51" spans="1:17" x14ac:dyDescent="0.25">
      <c r="A51" s="1" t="s">
        <v>8</v>
      </c>
      <c r="B51" s="9">
        <f t="shared" ref="B51:I51" si="4">B9-B30</f>
        <v>0</v>
      </c>
      <c r="C51" s="9">
        <f t="shared" si="4"/>
        <v>0</v>
      </c>
      <c r="D51" s="9">
        <f t="shared" si="4"/>
        <v>0</v>
      </c>
      <c r="E51" s="9">
        <f t="shared" si="4"/>
        <v>0</v>
      </c>
      <c r="F51" s="9">
        <f t="shared" si="4"/>
        <v>0</v>
      </c>
      <c r="G51" s="9">
        <f t="shared" si="4"/>
        <v>0</v>
      </c>
      <c r="H51" s="9">
        <f t="shared" si="4"/>
        <v>0</v>
      </c>
      <c r="I51" s="9">
        <f t="shared" si="4"/>
        <v>0</v>
      </c>
      <c r="J51" s="9">
        <f t="shared" ref="J51:J66" si="5">SUM(B51:I51)</f>
        <v>0</v>
      </c>
      <c r="L51" s="31"/>
      <c r="Q51" s="1"/>
    </row>
    <row r="52" spans="1:17" x14ac:dyDescent="0.25">
      <c r="A52" s="1" t="s">
        <v>7</v>
      </c>
      <c r="B52" s="9">
        <f t="shared" ref="B52:I52" si="6">B10-B31</f>
        <v>0</v>
      </c>
      <c r="C52" s="9">
        <f t="shared" si="6"/>
        <v>0</v>
      </c>
      <c r="D52" s="9">
        <f t="shared" si="6"/>
        <v>0</v>
      </c>
      <c r="E52" s="9">
        <f t="shared" si="6"/>
        <v>0</v>
      </c>
      <c r="F52" s="9">
        <f t="shared" si="6"/>
        <v>0</v>
      </c>
      <c r="G52" s="9">
        <f t="shared" si="6"/>
        <v>0</v>
      </c>
      <c r="H52" s="9">
        <f t="shared" si="6"/>
        <v>0</v>
      </c>
      <c r="I52" s="9">
        <f t="shared" si="6"/>
        <v>0</v>
      </c>
      <c r="J52" s="9">
        <f t="shared" si="5"/>
        <v>0</v>
      </c>
      <c r="L52" s="31"/>
      <c r="Q52" s="1"/>
    </row>
    <row r="53" spans="1:17" x14ac:dyDescent="0.25">
      <c r="A53" s="1" t="s">
        <v>42</v>
      </c>
      <c r="B53" s="9">
        <f t="shared" ref="B53:I53" si="7">B11-B32</f>
        <v>0</v>
      </c>
      <c r="C53" s="9">
        <f t="shared" si="7"/>
        <v>0</v>
      </c>
      <c r="D53" s="9">
        <f t="shared" si="7"/>
        <v>0</v>
      </c>
      <c r="E53" s="9">
        <f t="shared" si="7"/>
        <v>0</v>
      </c>
      <c r="F53" s="9">
        <f t="shared" si="7"/>
        <v>0</v>
      </c>
      <c r="G53" s="9">
        <f t="shared" si="7"/>
        <v>0</v>
      </c>
      <c r="H53" s="9">
        <f t="shared" si="7"/>
        <v>0</v>
      </c>
      <c r="I53" s="9">
        <f t="shared" si="7"/>
        <v>0</v>
      </c>
      <c r="J53" s="9">
        <f t="shared" si="5"/>
        <v>0</v>
      </c>
      <c r="L53" s="31"/>
      <c r="Q53" s="1"/>
    </row>
    <row r="54" spans="1:17" x14ac:dyDescent="0.25">
      <c r="A54" s="1" t="s">
        <v>6</v>
      </c>
      <c r="B54" s="9">
        <f t="shared" ref="B54:I54" si="8">B12-B33</f>
        <v>0</v>
      </c>
      <c r="C54" s="9">
        <f t="shared" si="8"/>
        <v>0</v>
      </c>
      <c r="D54" s="9">
        <f t="shared" si="8"/>
        <v>0</v>
      </c>
      <c r="E54" s="9">
        <f t="shared" si="8"/>
        <v>0</v>
      </c>
      <c r="F54" s="9">
        <f t="shared" si="8"/>
        <v>0</v>
      </c>
      <c r="G54" s="9">
        <f t="shared" si="8"/>
        <v>0</v>
      </c>
      <c r="H54" s="9">
        <f t="shared" si="8"/>
        <v>0</v>
      </c>
      <c r="I54" s="9">
        <f t="shared" si="8"/>
        <v>0</v>
      </c>
      <c r="J54" s="9">
        <f t="shared" si="5"/>
        <v>0</v>
      </c>
      <c r="L54" s="31"/>
      <c r="Q54" s="1"/>
    </row>
    <row r="55" spans="1:17" x14ac:dyDescent="0.25">
      <c r="A55" s="1" t="s">
        <v>50</v>
      </c>
      <c r="B55" s="9">
        <f t="shared" ref="B55:I55" si="9">B13-B34</f>
        <v>0</v>
      </c>
      <c r="C55" s="9">
        <f t="shared" si="9"/>
        <v>0</v>
      </c>
      <c r="D55" s="9">
        <f t="shared" si="9"/>
        <v>0</v>
      </c>
      <c r="E55" s="9">
        <f t="shared" si="9"/>
        <v>0</v>
      </c>
      <c r="F55" s="9">
        <f t="shared" si="9"/>
        <v>0</v>
      </c>
      <c r="G55" s="9">
        <f t="shared" si="9"/>
        <v>0</v>
      </c>
      <c r="H55" s="9">
        <f t="shared" si="9"/>
        <v>0</v>
      </c>
      <c r="I55" s="9">
        <f t="shared" si="9"/>
        <v>0</v>
      </c>
      <c r="J55" s="9">
        <f t="shared" si="5"/>
        <v>0</v>
      </c>
      <c r="L55" s="31"/>
      <c r="Q55" s="1"/>
    </row>
    <row r="56" spans="1:17" x14ac:dyDescent="0.25">
      <c r="A56" s="1" t="s">
        <v>89</v>
      </c>
      <c r="B56" s="9">
        <f t="shared" ref="B56:I56" si="10">B14-B35</f>
        <v>0</v>
      </c>
      <c r="C56" s="9">
        <f t="shared" si="10"/>
        <v>0</v>
      </c>
      <c r="D56" s="9">
        <f t="shared" si="10"/>
        <v>0</v>
      </c>
      <c r="E56" s="9">
        <f t="shared" si="10"/>
        <v>0</v>
      </c>
      <c r="F56" s="9">
        <f t="shared" si="10"/>
        <v>0</v>
      </c>
      <c r="G56" s="9">
        <f t="shared" si="10"/>
        <v>0</v>
      </c>
      <c r="H56" s="9">
        <f t="shared" si="10"/>
        <v>0</v>
      </c>
      <c r="I56" s="9">
        <f t="shared" si="10"/>
        <v>0</v>
      </c>
      <c r="J56" s="9">
        <f t="shared" si="5"/>
        <v>0</v>
      </c>
      <c r="L56" s="31"/>
      <c r="Q56" s="1"/>
    </row>
    <row r="57" spans="1:17" x14ac:dyDescent="0.25">
      <c r="A57" s="1" t="s">
        <v>5</v>
      </c>
      <c r="B57" s="9">
        <f t="shared" ref="B57:I57" si="11">B15-B36</f>
        <v>0</v>
      </c>
      <c r="C57" s="9">
        <f t="shared" si="11"/>
        <v>0</v>
      </c>
      <c r="D57" s="9">
        <f t="shared" si="11"/>
        <v>0</v>
      </c>
      <c r="E57" s="9">
        <f t="shared" si="11"/>
        <v>0</v>
      </c>
      <c r="F57" s="9">
        <f t="shared" si="11"/>
        <v>0</v>
      </c>
      <c r="G57" s="9">
        <f t="shared" si="11"/>
        <v>0</v>
      </c>
      <c r="H57" s="9">
        <f t="shared" si="11"/>
        <v>0</v>
      </c>
      <c r="I57" s="9">
        <f t="shared" si="11"/>
        <v>0</v>
      </c>
      <c r="J57" s="9">
        <f t="shared" si="5"/>
        <v>0</v>
      </c>
      <c r="L57" s="31"/>
      <c r="Q57" s="1"/>
    </row>
    <row r="58" spans="1:17" x14ac:dyDescent="0.25">
      <c r="A58" s="1" t="s">
        <v>84</v>
      </c>
      <c r="B58" s="9">
        <f t="shared" ref="B58:I58" si="12">B16-B37</f>
        <v>0</v>
      </c>
      <c r="C58" s="9">
        <f t="shared" si="12"/>
        <v>0</v>
      </c>
      <c r="D58" s="9">
        <f t="shared" si="12"/>
        <v>0</v>
      </c>
      <c r="E58" s="9">
        <f t="shared" si="12"/>
        <v>0</v>
      </c>
      <c r="F58" s="9">
        <f t="shared" si="12"/>
        <v>0</v>
      </c>
      <c r="G58" s="9">
        <f t="shared" si="12"/>
        <v>0</v>
      </c>
      <c r="H58" s="9">
        <f t="shared" si="12"/>
        <v>0</v>
      </c>
      <c r="I58" s="9">
        <f t="shared" si="12"/>
        <v>0</v>
      </c>
      <c r="J58" s="9">
        <f t="shared" si="5"/>
        <v>0</v>
      </c>
      <c r="L58" s="31"/>
      <c r="Q58" s="1"/>
    </row>
    <row r="59" spans="1:17" x14ac:dyDescent="0.25">
      <c r="A59" s="1" t="s">
        <v>4</v>
      </c>
      <c r="B59" s="9">
        <f t="shared" ref="B59:I59" si="13">B17-B38</f>
        <v>0</v>
      </c>
      <c r="C59" s="9">
        <f t="shared" si="13"/>
        <v>0</v>
      </c>
      <c r="D59" s="9">
        <f t="shared" si="13"/>
        <v>0</v>
      </c>
      <c r="E59" s="9">
        <f t="shared" si="13"/>
        <v>0</v>
      </c>
      <c r="F59" s="9">
        <f t="shared" si="13"/>
        <v>0</v>
      </c>
      <c r="G59" s="9">
        <f t="shared" si="13"/>
        <v>0</v>
      </c>
      <c r="H59" s="9">
        <f t="shared" si="13"/>
        <v>0</v>
      </c>
      <c r="I59" s="9">
        <f t="shared" si="13"/>
        <v>0</v>
      </c>
      <c r="J59" s="9">
        <f t="shared" si="5"/>
        <v>0</v>
      </c>
      <c r="L59" s="31"/>
      <c r="Q59" s="1"/>
    </row>
    <row r="60" spans="1:17" x14ac:dyDescent="0.25">
      <c r="A60" s="1" t="s">
        <v>51</v>
      </c>
      <c r="B60" s="9">
        <f t="shared" ref="B60:I60" si="14">B18-B39</f>
        <v>0</v>
      </c>
      <c r="C60" s="9">
        <f t="shared" si="14"/>
        <v>0</v>
      </c>
      <c r="D60" s="9">
        <f t="shared" si="14"/>
        <v>0</v>
      </c>
      <c r="E60" s="9">
        <f t="shared" si="14"/>
        <v>0</v>
      </c>
      <c r="F60" s="9">
        <f t="shared" si="14"/>
        <v>0</v>
      </c>
      <c r="G60" s="9">
        <f t="shared" si="14"/>
        <v>0</v>
      </c>
      <c r="H60" s="9">
        <f t="shared" si="14"/>
        <v>0</v>
      </c>
      <c r="I60" s="9">
        <f t="shared" si="14"/>
        <v>0</v>
      </c>
      <c r="J60" s="9">
        <f t="shared" si="5"/>
        <v>0</v>
      </c>
      <c r="L60" s="31"/>
      <c r="Q60" s="1"/>
    </row>
    <row r="61" spans="1:17" x14ac:dyDescent="0.25">
      <c r="A61" s="1" t="s">
        <v>85</v>
      </c>
      <c r="B61" s="9">
        <f t="shared" ref="B61:I61" si="15">B19-B40</f>
        <v>0</v>
      </c>
      <c r="C61" s="9">
        <f t="shared" si="15"/>
        <v>0</v>
      </c>
      <c r="D61" s="9">
        <f t="shared" si="15"/>
        <v>0</v>
      </c>
      <c r="E61" s="9">
        <f t="shared" si="15"/>
        <v>0</v>
      </c>
      <c r="F61" s="9">
        <f t="shared" si="15"/>
        <v>0</v>
      </c>
      <c r="G61" s="9">
        <f t="shared" si="15"/>
        <v>0</v>
      </c>
      <c r="H61" s="9">
        <f t="shared" si="15"/>
        <v>0</v>
      </c>
      <c r="I61" s="9">
        <f t="shared" si="15"/>
        <v>0</v>
      </c>
      <c r="J61" s="9">
        <f t="shared" si="5"/>
        <v>0</v>
      </c>
      <c r="L61" s="31"/>
      <c r="Q61" s="1"/>
    </row>
    <row r="62" spans="1:17" x14ac:dyDescent="0.25">
      <c r="A62" s="1" t="s">
        <v>2</v>
      </c>
      <c r="B62" s="9">
        <f t="shared" ref="B62:I62" si="16">B20-B41</f>
        <v>310.5</v>
      </c>
      <c r="C62" s="9">
        <f t="shared" si="16"/>
        <v>0</v>
      </c>
      <c r="D62" s="9">
        <f t="shared" si="16"/>
        <v>619</v>
      </c>
      <c r="E62" s="9">
        <f t="shared" si="16"/>
        <v>1904.26</v>
      </c>
      <c r="F62" s="9">
        <f t="shared" si="16"/>
        <v>0</v>
      </c>
      <c r="G62" s="9">
        <f t="shared" si="16"/>
        <v>0</v>
      </c>
      <c r="H62" s="9">
        <f t="shared" si="16"/>
        <v>0</v>
      </c>
      <c r="I62" s="9">
        <f t="shared" si="16"/>
        <v>0</v>
      </c>
      <c r="J62" s="9">
        <f t="shared" si="5"/>
        <v>2833.76</v>
      </c>
      <c r="L62" s="31"/>
      <c r="Q62" s="1"/>
    </row>
    <row r="63" spans="1:17" x14ac:dyDescent="0.25">
      <c r="A63" s="1" t="s">
        <v>86</v>
      </c>
      <c r="B63" s="9">
        <f t="shared" ref="B63:I63" si="17">B21-B42</f>
        <v>0</v>
      </c>
      <c r="C63" s="9">
        <f t="shared" si="17"/>
        <v>0</v>
      </c>
      <c r="D63" s="9">
        <f t="shared" si="17"/>
        <v>0</v>
      </c>
      <c r="E63" s="9">
        <f t="shared" si="17"/>
        <v>0</v>
      </c>
      <c r="F63" s="9">
        <f t="shared" si="17"/>
        <v>0</v>
      </c>
      <c r="G63" s="9">
        <f t="shared" si="17"/>
        <v>0</v>
      </c>
      <c r="H63" s="9">
        <f t="shared" si="17"/>
        <v>0</v>
      </c>
      <c r="I63" s="9">
        <f t="shared" si="17"/>
        <v>0</v>
      </c>
      <c r="J63" s="9">
        <f t="shared" si="5"/>
        <v>0</v>
      </c>
      <c r="L63" s="31"/>
      <c r="Q63" s="1"/>
    </row>
    <row r="64" spans="1:17" x14ac:dyDescent="0.25">
      <c r="A64" s="1" t="s">
        <v>29</v>
      </c>
      <c r="B64" s="9">
        <f t="shared" ref="B64:I64" si="18">B22-B43</f>
        <v>0</v>
      </c>
      <c r="C64" s="9">
        <f t="shared" si="18"/>
        <v>0</v>
      </c>
      <c r="D64" s="9">
        <f t="shared" si="18"/>
        <v>0</v>
      </c>
      <c r="E64" s="9">
        <f t="shared" si="18"/>
        <v>0</v>
      </c>
      <c r="F64" s="9">
        <f t="shared" si="18"/>
        <v>0</v>
      </c>
      <c r="G64" s="9">
        <f t="shared" si="18"/>
        <v>0</v>
      </c>
      <c r="H64" s="9">
        <f t="shared" si="18"/>
        <v>0</v>
      </c>
      <c r="I64" s="9">
        <f t="shared" si="18"/>
        <v>0</v>
      </c>
      <c r="J64" s="9">
        <f t="shared" si="5"/>
        <v>0</v>
      </c>
      <c r="L64" s="31"/>
      <c r="Q64" s="1"/>
    </row>
    <row r="65" spans="1:17" x14ac:dyDescent="0.25">
      <c r="A65" s="1" t="s">
        <v>52</v>
      </c>
      <c r="B65" s="9">
        <f t="shared" ref="B65:I65" si="19">B23-B44</f>
        <v>0</v>
      </c>
      <c r="C65" s="9">
        <f t="shared" si="19"/>
        <v>0</v>
      </c>
      <c r="D65" s="9">
        <f t="shared" si="19"/>
        <v>0</v>
      </c>
      <c r="E65" s="9">
        <f t="shared" si="19"/>
        <v>0</v>
      </c>
      <c r="F65" s="9">
        <f t="shared" si="19"/>
        <v>0</v>
      </c>
      <c r="G65" s="9">
        <f t="shared" si="19"/>
        <v>0</v>
      </c>
      <c r="H65" s="9">
        <f t="shared" si="19"/>
        <v>0</v>
      </c>
      <c r="I65" s="9">
        <f t="shared" si="19"/>
        <v>0</v>
      </c>
      <c r="J65" s="9">
        <f t="shared" si="5"/>
        <v>0</v>
      </c>
      <c r="L65" s="31"/>
      <c r="Q65" s="1"/>
    </row>
    <row r="66" spans="1:17" x14ac:dyDescent="0.25">
      <c r="A66" s="1" t="s">
        <v>1</v>
      </c>
      <c r="B66" s="3">
        <f t="shared" ref="B66:I66" si="20">B24-B45</f>
        <v>0</v>
      </c>
      <c r="C66" s="3">
        <f t="shared" si="20"/>
        <v>0</v>
      </c>
      <c r="D66" s="3">
        <f t="shared" si="20"/>
        <v>0</v>
      </c>
      <c r="E66" s="3">
        <f t="shared" si="20"/>
        <v>0</v>
      </c>
      <c r="F66" s="3">
        <f t="shared" si="20"/>
        <v>0</v>
      </c>
      <c r="G66" s="3">
        <f t="shared" si="20"/>
        <v>0</v>
      </c>
      <c r="H66" s="3">
        <f t="shared" si="20"/>
        <v>0</v>
      </c>
      <c r="I66" s="3">
        <f t="shared" si="20"/>
        <v>0</v>
      </c>
      <c r="J66" s="3">
        <f t="shared" si="5"/>
        <v>0</v>
      </c>
      <c r="L66" s="31"/>
      <c r="Q66" s="1"/>
    </row>
    <row r="67" spans="1:17" x14ac:dyDescent="0.25">
      <c r="A67" s="1" t="s">
        <v>0</v>
      </c>
      <c r="B67" s="9">
        <f>SUM(B50:B66)</f>
        <v>310.5</v>
      </c>
      <c r="C67" s="9">
        <f t="shared" ref="C67:J67" si="21">SUM(C50:C66)</f>
        <v>0</v>
      </c>
      <c r="D67" s="9">
        <f t="shared" si="21"/>
        <v>619</v>
      </c>
      <c r="E67" s="9">
        <f t="shared" si="21"/>
        <v>1904.26</v>
      </c>
      <c r="F67" s="9">
        <f t="shared" si="21"/>
        <v>0</v>
      </c>
      <c r="G67" s="9">
        <f t="shared" si="21"/>
        <v>0</v>
      </c>
      <c r="H67" s="9">
        <f t="shared" si="21"/>
        <v>0</v>
      </c>
      <c r="I67" s="9">
        <f t="shared" si="21"/>
        <v>0</v>
      </c>
      <c r="J67" s="9">
        <f t="shared" si="21"/>
        <v>2833.76</v>
      </c>
      <c r="L67" s="31"/>
      <c r="Q67" s="1"/>
    </row>
    <row r="68" spans="1:17" ht="15.75" thickBot="1" x14ac:dyDescent="0.3">
      <c r="A68" s="1"/>
      <c r="B68" s="9"/>
      <c r="C68" s="9"/>
      <c r="D68" s="9"/>
      <c r="E68" s="9"/>
      <c r="F68" s="9"/>
      <c r="G68" s="9"/>
      <c r="H68" s="9"/>
      <c r="I68" s="9"/>
      <c r="J68" s="9"/>
      <c r="L68" s="31"/>
      <c r="Q68" s="1"/>
    </row>
    <row r="69" spans="1:17" ht="15.75" thickBot="1" x14ac:dyDescent="0.3">
      <c r="A69" s="167" t="s">
        <v>55</v>
      </c>
      <c r="B69" s="168"/>
      <c r="C69" s="168"/>
      <c r="D69" s="168"/>
      <c r="E69" s="168"/>
      <c r="F69" s="168"/>
      <c r="G69" s="168"/>
      <c r="H69" s="168"/>
      <c r="I69" s="168"/>
      <c r="J69" s="169"/>
      <c r="Q69" s="1"/>
    </row>
    <row r="70" spans="1:17" x14ac:dyDescent="0.25">
      <c r="A70" s="4" t="s">
        <v>16</v>
      </c>
      <c r="B70" s="5" t="s">
        <v>15</v>
      </c>
      <c r="C70" s="5" t="s">
        <v>14</v>
      </c>
      <c r="D70" s="5" t="s">
        <v>13</v>
      </c>
      <c r="E70" s="5" t="s">
        <v>12</v>
      </c>
      <c r="F70" s="5" t="s">
        <v>93</v>
      </c>
      <c r="G70" s="5" t="s">
        <v>94</v>
      </c>
      <c r="H70" s="5" t="s">
        <v>38</v>
      </c>
      <c r="I70" s="5" t="s">
        <v>9</v>
      </c>
      <c r="J70" s="5" t="s">
        <v>0</v>
      </c>
      <c r="Q70" s="1"/>
    </row>
    <row r="71" spans="1:17" x14ac:dyDescent="0.25">
      <c r="A71" s="1" t="s">
        <v>49</v>
      </c>
      <c r="B71" s="36">
        <f>'Reimbursement Rates &lt;-INPUT'!C9</f>
        <v>0</v>
      </c>
      <c r="C71" s="36">
        <f t="shared" ref="C71:H87" si="22">B71</f>
        <v>0</v>
      </c>
      <c r="D71" s="36">
        <f t="shared" si="22"/>
        <v>0</v>
      </c>
      <c r="E71" s="36">
        <f t="shared" si="22"/>
        <v>0</v>
      </c>
      <c r="F71" s="36">
        <f t="shared" si="22"/>
        <v>0</v>
      </c>
      <c r="G71" s="36">
        <f t="shared" si="22"/>
        <v>0</v>
      </c>
      <c r="H71" s="36">
        <f t="shared" si="22"/>
        <v>0</v>
      </c>
      <c r="I71" s="36">
        <f>H71</f>
        <v>0</v>
      </c>
      <c r="J71" s="36">
        <f t="shared" ref="J71:J87" si="23">H71</f>
        <v>0</v>
      </c>
    </row>
    <row r="72" spans="1:17" x14ac:dyDescent="0.25">
      <c r="A72" s="1" t="s">
        <v>8</v>
      </c>
      <c r="B72" s="36">
        <f>'Reimbursement Rates &lt;-INPUT'!C10</f>
        <v>0</v>
      </c>
      <c r="C72" s="36">
        <f t="shared" si="22"/>
        <v>0</v>
      </c>
      <c r="D72" s="36">
        <f t="shared" si="22"/>
        <v>0</v>
      </c>
      <c r="E72" s="36">
        <f t="shared" si="22"/>
        <v>0</v>
      </c>
      <c r="F72" s="36">
        <f t="shared" si="22"/>
        <v>0</v>
      </c>
      <c r="G72" s="36">
        <f t="shared" si="22"/>
        <v>0</v>
      </c>
      <c r="H72" s="36">
        <f t="shared" si="22"/>
        <v>0</v>
      </c>
      <c r="I72" s="36">
        <f t="shared" ref="I72:I87" si="24">H72</f>
        <v>0</v>
      </c>
      <c r="J72" s="36">
        <f t="shared" si="23"/>
        <v>0</v>
      </c>
      <c r="Q72" s="1"/>
    </row>
    <row r="73" spans="1:17" x14ac:dyDescent="0.25">
      <c r="A73" s="1" t="s">
        <v>7</v>
      </c>
      <c r="B73" s="36">
        <f>'Reimbursement Rates &lt;-INPUT'!C11</f>
        <v>0</v>
      </c>
      <c r="C73" s="36">
        <f t="shared" si="22"/>
        <v>0</v>
      </c>
      <c r="D73" s="36">
        <f t="shared" si="22"/>
        <v>0</v>
      </c>
      <c r="E73" s="36">
        <f t="shared" si="22"/>
        <v>0</v>
      </c>
      <c r="F73" s="36">
        <f t="shared" si="22"/>
        <v>0</v>
      </c>
      <c r="G73" s="36">
        <f t="shared" si="22"/>
        <v>0</v>
      </c>
      <c r="H73" s="36">
        <f t="shared" si="22"/>
        <v>0</v>
      </c>
      <c r="I73" s="36">
        <f t="shared" si="24"/>
        <v>0</v>
      </c>
      <c r="J73" s="36">
        <f t="shared" si="23"/>
        <v>0</v>
      </c>
    </row>
    <row r="74" spans="1:17" x14ac:dyDescent="0.25">
      <c r="A74" s="1" t="s">
        <v>42</v>
      </c>
      <c r="B74" s="36">
        <f>'Reimbursement Rates &lt;-INPUT'!C12</f>
        <v>0</v>
      </c>
      <c r="C74" s="36">
        <f t="shared" si="22"/>
        <v>0</v>
      </c>
      <c r="D74" s="36">
        <f t="shared" si="22"/>
        <v>0</v>
      </c>
      <c r="E74" s="36">
        <f t="shared" si="22"/>
        <v>0</v>
      </c>
      <c r="F74" s="36">
        <f t="shared" si="22"/>
        <v>0</v>
      </c>
      <c r="G74" s="36">
        <f t="shared" si="22"/>
        <v>0</v>
      </c>
      <c r="H74" s="36">
        <f t="shared" si="22"/>
        <v>0</v>
      </c>
      <c r="I74" s="36">
        <f t="shared" si="24"/>
        <v>0</v>
      </c>
      <c r="J74" s="36">
        <f t="shared" si="23"/>
        <v>0</v>
      </c>
    </row>
    <row r="75" spans="1:17" x14ac:dyDescent="0.25">
      <c r="A75" s="1" t="s">
        <v>6</v>
      </c>
      <c r="B75" s="36">
        <f>'Reimbursement Rates &lt;-INPUT'!C13</f>
        <v>0</v>
      </c>
      <c r="C75" s="36">
        <f t="shared" si="22"/>
        <v>0</v>
      </c>
      <c r="D75" s="36">
        <f t="shared" si="22"/>
        <v>0</v>
      </c>
      <c r="E75" s="36">
        <f t="shared" si="22"/>
        <v>0</v>
      </c>
      <c r="F75" s="36">
        <f t="shared" si="22"/>
        <v>0</v>
      </c>
      <c r="G75" s="36">
        <f t="shared" si="22"/>
        <v>0</v>
      </c>
      <c r="H75" s="36">
        <f t="shared" si="22"/>
        <v>0</v>
      </c>
      <c r="I75" s="36">
        <f t="shared" si="24"/>
        <v>0</v>
      </c>
      <c r="J75" s="36">
        <f t="shared" si="23"/>
        <v>0</v>
      </c>
      <c r="Q75" s="1"/>
    </row>
    <row r="76" spans="1:17" x14ac:dyDescent="0.25">
      <c r="A76" s="1" t="s">
        <v>50</v>
      </c>
      <c r="B76" s="36">
        <f>'Reimbursement Rates &lt;-INPUT'!C15</f>
        <v>0</v>
      </c>
      <c r="C76" s="36">
        <f t="shared" si="22"/>
        <v>0</v>
      </c>
      <c r="D76" s="36">
        <f t="shared" si="22"/>
        <v>0</v>
      </c>
      <c r="E76" s="36">
        <f t="shared" si="22"/>
        <v>0</v>
      </c>
      <c r="F76" s="36">
        <f t="shared" si="22"/>
        <v>0</v>
      </c>
      <c r="G76" s="36">
        <f t="shared" si="22"/>
        <v>0</v>
      </c>
      <c r="H76" s="36">
        <f t="shared" si="22"/>
        <v>0</v>
      </c>
      <c r="I76" s="36">
        <f t="shared" si="24"/>
        <v>0</v>
      </c>
      <c r="J76" s="36">
        <f t="shared" si="23"/>
        <v>0</v>
      </c>
      <c r="M76" s="7"/>
    </row>
    <row r="77" spans="1:17" x14ac:dyDescent="0.25">
      <c r="A77" s="1" t="s">
        <v>89</v>
      </c>
      <c r="B77" s="36">
        <f>'Reimbursement Rates &lt;-INPUT'!C16</f>
        <v>0</v>
      </c>
      <c r="C77" s="36">
        <f t="shared" si="22"/>
        <v>0</v>
      </c>
      <c r="D77" s="36">
        <f t="shared" si="22"/>
        <v>0</v>
      </c>
      <c r="E77" s="36">
        <f t="shared" si="22"/>
        <v>0</v>
      </c>
      <c r="F77" s="36">
        <f t="shared" si="22"/>
        <v>0</v>
      </c>
      <c r="G77" s="36">
        <f t="shared" si="22"/>
        <v>0</v>
      </c>
      <c r="H77" s="36">
        <f t="shared" si="22"/>
        <v>0</v>
      </c>
      <c r="I77" s="36">
        <f t="shared" si="24"/>
        <v>0</v>
      </c>
      <c r="J77" s="36">
        <f t="shared" si="23"/>
        <v>0</v>
      </c>
      <c r="M77" s="7"/>
    </row>
    <row r="78" spans="1:17" x14ac:dyDescent="0.25">
      <c r="A78" s="1" t="s">
        <v>5</v>
      </c>
      <c r="B78" s="36">
        <f>'Reimbursement Rates &lt;-INPUT'!C17</f>
        <v>0</v>
      </c>
      <c r="C78" s="36">
        <f t="shared" si="22"/>
        <v>0</v>
      </c>
      <c r="D78" s="36">
        <f t="shared" si="22"/>
        <v>0</v>
      </c>
      <c r="E78" s="36">
        <f t="shared" si="22"/>
        <v>0</v>
      </c>
      <c r="F78" s="36">
        <f t="shared" si="22"/>
        <v>0</v>
      </c>
      <c r="G78" s="36">
        <f t="shared" si="22"/>
        <v>0</v>
      </c>
      <c r="H78" s="36">
        <f t="shared" si="22"/>
        <v>0</v>
      </c>
      <c r="I78" s="36">
        <f t="shared" si="24"/>
        <v>0</v>
      </c>
      <c r="J78" s="36">
        <f t="shared" si="23"/>
        <v>0</v>
      </c>
      <c r="M78" s="7"/>
      <c r="Q78" s="1"/>
    </row>
    <row r="79" spans="1:17" x14ac:dyDescent="0.25">
      <c r="A79" s="1" t="s">
        <v>84</v>
      </c>
      <c r="B79" s="36">
        <f>'Reimbursement Rates &lt;-INPUT'!C18</f>
        <v>0</v>
      </c>
      <c r="C79" s="36">
        <f t="shared" si="22"/>
        <v>0</v>
      </c>
      <c r="D79" s="36">
        <f t="shared" si="22"/>
        <v>0</v>
      </c>
      <c r="E79" s="36">
        <f t="shared" si="22"/>
        <v>0</v>
      </c>
      <c r="F79" s="36">
        <f t="shared" si="22"/>
        <v>0</v>
      </c>
      <c r="G79" s="36">
        <f t="shared" si="22"/>
        <v>0</v>
      </c>
      <c r="H79" s="36">
        <f t="shared" si="22"/>
        <v>0</v>
      </c>
      <c r="I79" s="36">
        <f t="shared" si="24"/>
        <v>0</v>
      </c>
      <c r="J79" s="36">
        <f t="shared" si="23"/>
        <v>0</v>
      </c>
      <c r="M79" s="7"/>
      <c r="Q79" s="1"/>
    </row>
    <row r="80" spans="1:17" x14ac:dyDescent="0.25">
      <c r="A80" s="1" t="s">
        <v>4</v>
      </c>
      <c r="B80" s="36">
        <f>'Reimbursement Rates &lt;-INPUT'!C19</f>
        <v>0</v>
      </c>
      <c r="C80" s="36">
        <f t="shared" si="22"/>
        <v>0</v>
      </c>
      <c r="D80" s="36">
        <f t="shared" si="22"/>
        <v>0</v>
      </c>
      <c r="E80" s="36">
        <f t="shared" si="22"/>
        <v>0</v>
      </c>
      <c r="F80" s="36">
        <f t="shared" si="22"/>
        <v>0</v>
      </c>
      <c r="G80" s="36">
        <f t="shared" si="22"/>
        <v>0</v>
      </c>
      <c r="H80" s="36">
        <f t="shared" si="22"/>
        <v>0</v>
      </c>
      <c r="I80" s="36">
        <f t="shared" si="24"/>
        <v>0</v>
      </c>
      <c r="J80" s="36">
        <f t="shared" si="23"/>
        <v>0</v>
      </c>
      <c r="M80" s="7"/>
    </row>
    <row r="81" spans="1:17" x14ac:dyDescent="0.25">
      <c r="A81" s="1" t="s">
        <v>51</v>
      </c>
      <c r="B81" s="36">
        <f>'Reimbursement Rates &lt;-INPUT'!C20</f>
        <v>0</v>
      </c>
      <c r="C81" s="36">
        <f t="shared" si="22"/>
        <v>0</v>
      </c>
      <c r="D81" s="36">
        <f t="shared" si="22"/>
        <v>0</v>
      </c>
      <c r="E81" s="36">
        <f t="shared" si="22"/>
        <v>0</v>
      </c>
      <c r="F81" s="36">
        <f t="shared" si="22"/>
        <v>0</v>
      </c>
      <c r="G81" s="36">
        <f t="shared" si="22"/>
        <v>0</v>
      </c>
      <c r="H81" s="36">
        <f t="shared" si="22"/>
        <v>0</v>
      </c>
      <c r="I81" s="36">
        <f t="shared" si="24"/>
        <v>0</v>
      </c>
      <c r="J81" s="36">
        <f t="shared" si="23"/>
        <v>0</v>
      </c>
      <c r="M81" s="7"/>
      <c r="Q81" s="1"/>
    </row>
    <row r="82" spans="1:17" x14ac:dyDescent="0.25">
      <c r="A82" s="1" t="s">
        <v>85</v>
      </c>
      <c r="B82" s="36">
        <f>'Reimbursement Rates &lt;-INPUT'!C22</f>
        <v>0</v>
      </c>
      <c r="C82" s="36">
        <f t="shared" si="22"/>
        <v>0</v>
      </c>
      <c r="D82" s="36">
        <f t="shared" si="22"/>
        <v>0</v>
      </c>
      <c r="E82" s="36">
        <f t="shared" si="22"/>
        <v>0</v>
      </c>
      <c r="F82" s="36">
        <f t="shared" si="22"/>
        <v>0</v>
      </c>
      <c r="G82" s="36">
        <f t="shared" si="22"/>
        <v>0</v>
      </c>
      <c r="H82" s="36">
        <f t="shared" si="22"/>
        <v>0</v>
      </c>
      <c r="I82" s="36">
        <f t="shared" si="24"/>
        <v>0</v>
      </c>
      <c r="J82" s="36">
        <f t="shared" si="23"/>
        <v>0</v>
      </c>
      <c r="M82" s="7"/>
      <c r="Q82" s="1"/>
    </row>
    <row r="83" spans="1:17" x14ac:dyDescent="0.25">
      <c r="A83" s="1" t="s">
        <v>2</v>
      </c>
      <c r="B83" s="36">
        <f>'Reimbursement Rates &lt;-INPUT'!C23</f>
        <v>1</v>
      </c>
      <c r="C83" s="36">
        <f t="shared" si="22"/>
        <v>1</v>
      </c>
      <c r="D83" s="36">
        <f t="shared" si="22"/>
        <v>1</v>
      </c>
      <c r="E83" s="36">
        <f t="shared" si="22"/>
        <v>1</v>
      </c>
      <c r="F83" s="36">
        <f t="shared" si="22"/>
        <v>1</v>
      </c>
      <c r="G83" s="36">
        <f t="shared" si="22"/>
        <v>1</v>
      </c>
      <c r="H83" s="36">
        <f t="shared" si="22"/>
        <v>1</v>
      </c>
      <c r="I83" s="36">
        <f t="shared" si="24"/>
        <v>1</v>
      </c>
      <c r="J83" s="36">
        <f t="shared" si="23"/>
        <v>1</v>
      </c>
      <c r="M83" s="7"/>
      <c r="Q83" s="1"/>
    </row>
    <row r="84" spans="1:17" x14ac:dyDescent="0.25">
      <c r="A84" s="1" t="s">
        <v>86</v>
      </c>
      <c r="B84" s="36">
        <f>'Reimbursement Rates &lt;-INPUT'!C24</f>
        <v>0</v>
      </c>
      <c r="C84" s="36">
        <f t="shared" si="22"/>
        <v>0</v>
      </c>
      <c r="D84" s="36">
        <f t="shared" si="22"/>
        <v>0</v>
      </c>
      <c r="E84" s="36">
        <f t="shared" si="22"/>
        <v>0</v>
      </c>
      <c r="F84" s="36">
        <f t="shared" si="22"/>
        <v>0</v>
      </c>
      <c r="G84" s="36">
        <f t="shared" si="22"/>
        <v>0</v>
      </c>
      <c r="H84" s="36">
        <f t="shared" si="22"/>
        <v>0</v>
      </c>
      <c r="I84" s="36">
        <f t="shared" si="24"/>
        <v>0</v>
      </c>
      <c r="J84" s="36">
        <f t="shared" si="23"/>
        <v>0</v>
      </c>
      <c r="M84" s="7"/>
    </row>
    <row r="85" spans="1:17" x14ac:dyDescent="0.25">
      <c r="A85" s="1" t="s">
        <v>29</v>
      </c>
      <c r="B85" s="36">
        <f>'Reimbursement Rates &lt;-INPUT'!C25</f>
        <v>0</v>
      </c>
      <c r="C85" s="36">
        <f t="shared" si="22"/>
        <v>0</v>
      </c>
      <c r="D85" s="36">
        <f t="shared" si="22"/>
        <v>0</v>
      </c>
      <c r="E85" s="36">
        <f t="shared" si="22"/>
        <v>0</v>
      </c>
      <c r="F85" s="36">
        <f t="shared" si="22"/>
        <v>0</v>
      </c>
      <c r="G85" s="36">
        <f t="shared" si="22"/>
        <v>0</v>
      </c>
      <c r="H85" s="36">
        <f t="shared" si="22"/>
        <v>0</v>
      </c>
      <c r="I85" s="36">
        <f t="shared" si="24"/>
        <v>0</v>
      </c>
      <c r="J85" s="36">
        <f t="shared" si="23"/>
        <v>0</v>
      </c>
      <c r="M85" s="7"/>
    </row>
    <row r="86" spans="1:17" x14ac:dyDescent="0.25">
      <c r="A86" s="1" t="s">
        <v>52</v>
      </c>
      <c r="B86" s="36">
        <f>'Reimbursement Rates &lt;-INPUT'!C26</f>
        <v>0</v>
      </c>
      <c r="C86" s="36">
        <f t="shared" si="22"/>
        <v>0</v>
      </c>
      <c r="D86" s="36">
        <f t="shared" si="22"/>
        <v>0</v>
      </c>
      <c r="E86" s="36">
        <f t="shared" si="22"/>
        <v>0</v>
      </c>
      <c r="F86" s="36">
        <f t="shared" si="22"/>
        <v>0</v>
      </c>
      <c r="G86" s="36">
        <f t="shared" si="22"/>
        <v>0</v>
      </c>
      <c r="H86" s="36">
        <f t="shared" si="22"/>
        <v>0</v>
      </c>
      <c r="I86" s="36">
        <f t="shared" si="24"/>
        <v>0</v>
      </c>
      <c r="J86" s="36">
        <f t="shared" si="23"/>
        <v>0</v>
      </c>
      <c r="M86" s="7"/>
      <c r="Q86" s="1"/>
    </row>
    <row r="87" spans="1:17" x14ac:dyDescent="0.25">
      <c r="A87" s="1" t="s">
        <v>1</v>
      </c>
      <c r="B87" s="36">
        <f>'Reimbursement Rates &lt;-INPUT'!C28</f>
        <v>0</v>
      </c>
      <c r="C87" s="36">
        <f t="shared" si="22"/>
        <v>0</v>
      </c>
      <c r="D87" s="36">
        <f t="shared" si="22"/>
        <v>0</v>
      </c>
      <c r="E87" s="36">
        <f t="shared" si="22"/>
        <v>0</v>
      </c>
      <c r="F87" s="36">
        <f t="shared" si="22"/>
        <v>0</v>
      </c>
      <c r="G87" s="36">
        <f t="shared" si="22"/>
        <v>0</v>
      </c>
      <c r="H87" s="36">
        <f t="shared" si="22"/>
        <v>0</v>
      </c>
      <c r="I87" s="36">
        <f t="shared" si="24"/>
        <v>0</v>
      </c>
      <c r="J87" s="36">
        <f t="shared" si="23"/>
        <v>0</v>
      </c>
      <c r="M87" s="7"/>
      <c r="Q87" s="1"/>
    </row>
    <row r="88" spans="1:17" ht="15.75" thickBot="1" x14ac:dyDescent="0.3">
      <c r="A88" s="1"/>
      <c r="B88" s="9"/>
      <c r="C88" s="9"/>
      <c r="D88" s="9"/>
      <c r="E88" s="9"/>
      <c r="F88" s="9"/>
      <c r="G88" s="9"/>
      <c r="H88" s="9"/>
      <c r="I88" s="9"/>
      <c r="J88" s="9"/>
      <c r="M88" s="7"/>
      <c r="Q88" s="1"/>
    </row>
    <row r="89" spans="1:17" ht="15.75" thickBot="1" x14ac:dyDescent="0.3">
      <c r="A89" s="170" t="s">
        <v>33</v>
      </c>
      <c r="B89" s="171"/>
      <c r="C89" s="171"/>
      <c r="D89" s="171"/>
      <c r="E89" s="171"/>
      <c r="F89" s="171"/>
      <c r="G89" s="171"/>
      <c r="H89" s="171"/>
      <c r="I89" s="171"/>
      <c r="J89" s="172"/>
      <c r="M89" s="7"/>
      <c r="Q89" s="1"/>
    </row>
    <row r="90" spans="1:17" x14ac:dyDescent="0.25">
      <c r="A90" s="4" t="s">
        <v>16</v>
      </c>
      <c r="B90" s="5" t="s">
        <v>15</v>
      </c>
      <c r="C90" s="5" t="s">
        <v>14</v>
      </c>
      <c r="D90" s="5" t="s">
        <v>13</v>
      </c>
      <c r="E90" s="5" t="s">
        <v>12</v>
      </c>
      <c r="F90" s="5" t="s">
        <v>93</v>
      </c>
      <c r="G90" s="5" t="s">
        <v>94</v>
      </c>
      <c r="H90" s="5" t="s">
        <v>38</v>
      </c>
      <c r="I90" s="5" t="s">
        <v>9</v>
      </c>
      <c r="J90" s="5" t="s">
        <v>0</v>
      </c>
      <c r="M90" s="7"/>
    </row>
    <row r="91" spans="1:17" x14ac:dyDescent="0.25">
      <c r="A91" s="1" t="s">
        <v>49</v>
      </c>
      <c r="B91" s="112">
        <f>B50*(1-B71)</f>
        <v>0</v>
      </c>
      <c r="C91" s="112">
        <f t="shared" ref="C91:I91" si="25">C50*(1-C71)</f>
        <v>0</v>
      </c>
      <c r="D91" s="112">
        <f t="shared" si="25"/>
        <v>0</v>
      </c>
      <c r="E91" s="112">
        <f t="shared" si="25"/>
        <v>0</v>
      </c>
      <c r="F91" s="112">
        <f t="shared" si="25"/>
        <v>0</v>
      </c>
      <c r="G91" s="112">
        <f t="shared" si="25"/>
        <v>0</v>
      </c>
      <c r="H91" s="112">
        <f t="shared" si="25"/>
        <v>0</v>
      </c>
      <c r="I91" s="112">
        <f t="shared" si="25"/>
        <v>0</v>
      </c>
      <c r="J91" s="37">
        <f>SUM(B91:I91)</f>
        <v>0</v>
      </c>
      <c r="L91" s="31"/>
      <c r="M91" s="7"/>
      <c r="Q91" s="1"/>
    </row>
    <row r="92" spans="1:17" x14ac:dyDescent="0.25">
      <c r="A92" s="1" t="s">
        <v>8</v>
      </c>
      <c r="B92" s="37">
        <f t="shared" ref="B92:I92" si="26">B51*(1-B72)</f>
        <v>0</v>
      </c>
      <c r="C92" s="37">
        <f t="shared" si="26"/>
        <v>0</v>
      </c>
      <c r="D92" s="37">
        <f t="shared" si="26"/>
        <v>0</v>
      </c>
      <c r="E92" s="37">
        <f t="shared" si="26"/>
        <v>0</v>
      </c>
      <c r="F92" s="37">
        <f t="shared" si="26"/>
        <v>0</v>
      </c>
      <c r="G92" s="37">
        <f t="shared" si="26"/>
        <v>0</v>
      </c>
      <c r="H92" s="37">
        <f t="shared" si="26"/>
        <v>0</v>
      </c>
      <c r="I92" s="37">
        <f t="shared" si="26"/>
        <v>0</v>
      </c>
      <c r="J92" s="37">
        <f t="shared" ref="J92:J107" si="27">SUM(B92:I92)</f>
        <v>0</v>
      </c>
      <c r="M92" s="7"/>
      <c r="Q92" s="7"/>
    </row>
    <row r="93" spans="1:17" x14ac:dyDescent="0.25">
      <c r="A93" s="1" t="s">
        <v>7</v>
      </c>
      <c r="B93" s="37">
        <f t="shared" ref="B93:I93" si="28">B52*(1-B73)</f>
        <v>0</v>
      </c>
      <c r="C93" s="37">
        <f t="shared" si="28"/>
        <v>0</v>
      </c>
      <c r="D93" s="37">
        <f t="shared" si="28"/>
        <v>0</v>
      </c>
      <c r="E93" s="37">
        <f t="shared" si="28"/>
        <v>0</v>
      </c>
      <c r="F93" s="37">
        <f t="shared" si="28"/>
        <v>0</v>
      </c>
      <c r="G93" s="37">
        <f t="shared" si="28"/>
        <v>0</v>
      </c>
      <c r="H93" s="37">
        <f t="shared" si="28"/>
        <v>0</v>
      </c>
      <c r="I93" s="37">
        <f t="shared" si="28"/>
        <v>0</v>
      </c>
      <c r="J93" s="37">
        <f t="shared" si="27"/>
        <v>0</v>
      </c>
      <c r="M93" s="7"/>
    </row>
    <row r="94" spans="1:17" x14ac:dyDescent="0.25">
      <c r="A94" s="1" t="s">
        <v>42</v>
      </c>
      <c r="B94" s="37">
        <f t="shared" ref="B94:I94" si="29">B53*(1-B74)</f>
        <v>0</v>
      </c>
      <c r="C94" s="37">
        <f t="shared" si="29"/>
        <v>0</v>
      </c>
      <c r="D94" s="37">
        <f t="shared" si="29"/>
        <v>0</v>
      </c>
      <c r="E94" s="37">
        <f t="shared" si="29"/>
        <v>0</v>
      </c>
      <c r="F94" s="37">
        <f t="shared" si="29"/>
        <v>0</v>
      </c>
      <c r="G94" s="37">
        <f t="shared" si="29"/>
        <v>0</v>
      </c>
      <c r="H94" s="37">
        <f t="shared" si="29"/>
        <v>0</v>
      </c>
      <c r="I94" s="37">
        <f t="shared" si="29"/>
        <v>0</v>
      </c>
      <c r="J94" s="37">
        <f t="shared" si="27"/>
        <v>0</v>
      </c>
      <c r="M94" s="7"/>
    </row>
    <row r="95" spans="1:17" x14ac:dyDescent="0.25">
      <c r="A95" s="1" t="s">
        <v>6</v>
      </c>
      <c r="B95" s="37">
        <f t="shared" ref="B95:I95" si="30">B54*(1-B75)</f>
        <v>0</v>
      </c>
      <c r="C95" s="37">
        <f t="shared" si="30"/>
        <v>0</v>
      </c>
      <c r="D95" s="37">
        <f t="shared" si="30"/>
        <v>0</v>
      </c>
      <c r="E95" s="37">
        <f t="shared" si="30"/>
        <v>0</v>
      </c>
      <c r="F95" s="37">
        <f t="shared" si="30"/>
        <v>0</v>
      </c>
      <c r="G95" s="37">
        <f t="shared" si="30"/>
        <v>0</v>
      </c>
      <c r="H95" s="37">
        <f t="shared" si="30"/>
        <v>0</v>
      </c>
      <c r="I95" s="37">
        <f t="shared" si="30"/>
        <v>0</v>
      </c>
      <c r="J95" s="37">
        <f t="shared" si="27"/>
        <v>0</v>
      </c>
      <c r="M95" s="7"/>
    </row>
    <row r="96" spans="1:17" x14ac:dyDescent="0.25">
      <c r="A96" s="1" t="s">
        <v>50</v>
      </c>
      <c r="B96" s="37">
        <f t="shared" ref="B96:I96" si="31">B55*(1-B76)</f>
        <v>0</v>
      </c>
      <c r="C96" s="37">
        <f t="shared" si="31"/>
        <v>0</v>
      </c>
      <c r="D96" s="37">
        <f t="shared" si="31"/>
        <v>0</v>
      </c>
      <c r="E96" s="37">
        <f t="shared" si="31"/>
        <v>0</v>
      </c>
      <c r="F96" s="37">
        <f t="shared" si="31"/>
        <v>0</v>
      </c>
      <c r="G96" s="37">
        <f t="shared" si="31"/>
        <v>0</v>
      </c>
      <c r="H96" s="37">
        <f t="shared" si="31"/>
        <v>0</v>
      </c>
      <c r="I96" s="37">
        <f t="shared" si="31"/>
        <v>0</v>
      </c>
      <c r="J96" s="37">
        <f t="shared" si="27"/>
        <v>0</v>
      </c>
      <c r="M96" s="7"/>
    </row>
    <row r="97" spans="1:13" x14ac:dyDescent="0.25">
      <c r="A97" s="1" t="s">
        <v>89</v>
      </c>
      <c r="B97" s="37">
        <f t="shared" ref="B97:I97" si="32">B56*(1-B77)</f>
        <v>0</v>
      </c>
      <c r="C97" s="37">
        <f t="shared" si="32"/>
        <v>0</v>
      </c>
      <c r="D97" s="37">
        <f t="shared" si="32"/>
        <v>0</v>
      </c>
      <c r="E97" s="37">
        <f t="shared" si="32"/>
        <v>0</v>
      </c>
      <c r="F97" s="37">
        <f t="shared" si="32"/>
        <v>0</v>
      </c>
      <c r="G97" s="37">
        <f t="shared" si="32"/>
        <v>0</v>
      </c>
      <c r="H97" s="37">
        <f t="shared" si="32"/>
        <v>0</v>
      </c>
      <c r="I97" s="37">
        <f t="shared" si="32"/>
        <v>0</v>
      </c>
      <c r="J97" s="37">
        <f t="shared" si="27"/>
        <v>0</v>
      </c>
      <c r="M97" s="7"/>
    </row>
    <row r="98" spans="1:13" x14ac:dyDescent="0.25">
      <c r="A98" s="1" t="s">
        <v>5</v>
      </c>
      <c r="B98" s="37">
        <f t="shared" ref="B98:I98" si="33">B57*(1-B78)</f>
        <v>0</v>
      </c>
      <c r="C98" s="37">
        <f t="shared" si="33"/>
        <v>0</v>
      </c>
      <c r="D98" s="37">
        <f t="shared" si="33"/>
        <v>0</v>
      </c>
      <c r="E98" s="37">
        <f t="shared" si="33"/>
        <v>0</v>
      </c>
      <c r="F98" s="37">
        <f t="shared" si="33"/>
        <v>0</v>
      </c>
      <c r="G98" s="37">
        <f t="shared" si="33"/>
        <v>0</v>
      </c>
      <c r="H98" s="37">
        <f t="shared" si="33"/>
        <v>0</v>
      </c>
      <c r="I98" s="37">
        <f t="shared" si="33"/>
        <v>0</v>
      </c>
      <c r="J98" s="37">
        <f t="shared" si="27"/>
        <v>0</v>
      </c>
      <c r="M98" s="7"/>
    </row>
    <row r="99" spans="1:13" x14ac:dyDescent="0.25">
      <c r="A99" s="1" t="s">
        <v>84</v>
      </c>
      <c r="B99" s="37">
        <f t="shared" ref="B99:I99" si="34">B58*(1-B79)</f>
        <v>0</v>
      </c>
      <c r="C99" s="37">
        <f t="shared" si="34"/>
        <v>0</v>
      </c>
      <c r="D99" s="37">
        <f t="shared" si="34"/>
        <v>0</v>
      </c>
      <c r="E99" s="37">
        <f t="shared" si="34"/>
        <v>0</v>
      </c>
      <c r="F99" s="37">
        <f t="shared" si="34"/>
        <v>0</v>
      </c>
      <c r="G99" s="37">
        <f t="shared" si="34"/>
        <v>0</v>
      </c>
      <c r="H99" s="37">
        <f t="shared" si="34"/>
        <v>0</v>
      </c>
      <c r="I99" s="37">
        <f t="shared" si="34"/>
        <v>0</v>
      </c>
      <c r="J99" s="37">
        <f t="shared" si="27"/>
        <v>0</v>
      </c>
      <c r="M99" s="7"/>
    </row>
    <row r="100" spans="1:13" x14ac:dyDescent="0.25">
      <c r="A100" s="1" t="s">
        <v>4</v>
      </c>
      <c r="B100" s="37">
        <f t="shared" ref="B100:I100" si="35">B59*(1-B80)</f>
        <v>0</v>
      </c>
      <c r="C100" s="37">
        <f t="shared" si="35"/>
        <v>0</v>
      </c>
      <c r="D100" s="37">
        <f t="shared" si="35"/>
        <v>0</v>
      </c>
      <c r="E100" s="37">
        <f t="shared" si="35"/>
        <v>0</v>
      </c>
      <c r="F100" s="37">
        <f t="shared" si="35"/>
        <v>0</v>
      </c>
      <c r="G100" s="37">
        <f t="shared" si="35"/>
        <v>0</v>
      </c>
      <c r="H100" s="37">
        <f t="shared" si="35"/>
        <v>0</v>
      </c>
      <c r="I100" s="37">
        <f t="shared" si="35"/>
        <v>0</v>
      </c>
      <c r="J100" s="37">
        <f>SUM(B100:I100)</f>
        <v>0</v>
      </c>
      <c r="M100" s="7"/>
    </row>
    <row r="101" spans="1:13" x14ac:dyDescent="0.25">
      <c r="A101" s="1" t="s">
        <v>51</v>
      </c>
      <c r="B101" s="37">
        <f t="shared" ref="B101:I101" si="36">B60*(1-B81)</f>
        <v>0</v>
      </c>
      <c r="C101" s="37">
        <f t="shared" si="36"/>
        <v>0</v>
      </c>
      <c r="D101" s="37">
        <f t="shared" si="36"/>
        <v>0</v>
      </c>
      <c r="E101" s="37">
        <f t="shared" si="36"/>
        <v>0</v>
      </c>
      <c r="F101" s="37">
        <f t="shared" si="36"/>
        <v>0</v>
      </c>
      <c r="G101" s="37">
        <f t="shared" si="36"/>
        <v>0</v>
      </c>
      <c r="H101" s="37">
        <f t="shared" si="36"/>
        <v>0</v>
      </c>
      <c r="I101" s="37">
        <f t="shared" si="36"/>
        <v>0</v>
      </c>
      <c r="J101" s="37">
        <f t="shared" si="27"/>
        <v>0</v>
      </c>
      <c r="M101" s="7"/>
    </row>
    <row r="102" spans="1:13" x14ac:dyDescent="0.25">
      <c r="A102" s="1" t="s">
        <v>85</v>
      </c>
      <c r="B102" s="37">
        <f t="shared" ref="B102:I102" si="37">B61*(1-B82)</f>
        <v>0</v>
      </c>
      <c r="C102" s="37">
        <f t="shared" si="37"/>
        <v>0</v>
      </c>
      <c r="D102" s="37">
        <f t="shared" si="37"/>
        <v>0</v>
      </c>
      <c r="E102" s="37">
        <f t="shared" si="37"/>
        <v>0</v>
      </c>
      <c r="F102" s="37">
        <f t="shared" si="37"/>
        <v>0</v>
      </c>
      <c r="G102" s="37">
        <f t="shared" si="37"/>
        <v>0</v>
      </c>
      <c r="H102" s="37">
        <f t="shared" si="37"/>
        <v>0</v>
      </c>
      <c r="I102" s="37">
        <f t="shared" si="37"/>
        <v>0</v>
      </c>
      <c r="J102" s="37">
        <f t="shared" si="27"/>
        <v>0</v>
      </c>
      <c r="M102" s="7"/>
    </row>
    <row r="103" spans="1:13" x14ac:dyDescent="0.25">
      <c r="A103" s="1" t="s">
        <v>2</v>
      </c>
      <c r="B103" s="37">
        <f t="shared" ref="B103:I103" si="38">B62*(1-B83)</f>
        <v>0</v>
      </c>
      <c r="C103" s="37">
        <f t="shared" si="38"/>
        <v>0</v>
      </c>
      <c r="D103" s="37">
        <f t="shared" si="38"/>
        <v>0</v>
      </c>
      <c r="E103" s="37">
        <f t="shared" si="38"/>
        <v>0</v>
      </c>
      <c r="F103" s="37">
        <f t="shared" si="38"/>
        <v>0</v>
      </c>
      <c r="G103" s="37">
        <f t="shared" si="38"/>
        <v>0</v>
      </c>
      <c r="H103" s="37">
        <f t="shared" si="38"/>
        <v>0</v>
      </c>
      <c r="I103" s="37">
        <f t="shared" si="38"/>
        <v>0</v>
      </c>
      <c r="J103" s="37">
        <f t="shared" si="27"/>
        <v>0</v>
      </c>
      <c r="M103" s="7"/>
    </row>
    <row r="104" spans="1:13" x14ac:dyDescent="0.25">
      <c r="A104" s="1" t="s">
        <v>86</v>
      </c>
      <c r="B104" s="37">
        <f t="shared" ref="B104:I104" si="39">B63*(1-B84)</f>
        <v>0</v>
      </c>
      <c r="C104" s="37">
        <f t="shared" si="39"/>
        <v>0</v>
      </c>
      <c r="D104" s="37">
        <f t="shared" si="39"/>
        <v>0</v>
      </c>
      <c r="E104" s="37">
        <f t="shared" si="39"/>
        <v>0</v>
      </c>
      <c r="F104" s="37">
        <f t="shared" si="39"/>
        <v>0</v>
      </c>
      <c r="G104" s="37">
        <f t="shared" si="39"/>
        <v>0</v>
      </c>
      <c r="H104" s="37">
        <f t="shared" si="39"/>
        <v>0</v>
      </c>
      <c r="I104" s="37">
        <f t="shared" si="39"/>
        <v>0</v>
      </c>
      <c r="J104" s="37">
        <f t="shared" si="27"/>
        <v>0</v>
      </c>
      <c r="M104" s="183" t="s">
        <v>62</v>
      </c>
    </row>
    <row r="105" spans="1:13" x14ac:dyDescent="0.25">
      <c r="A105" s="1" t="s">
        <v>29</v>
      </c>
      <c r="B105" s="37">
        <f t="shared" ref="B105:I105" si="40">B64*(1-B85)</f>
        <v>0</v>
      </c>
      <c r="C105" s="37">
        <f t="shared" si="40"/>
        <v>0</v>
      </c>
      <c r="D105" s="37">
        <f t="shared" si="40"/>
        <v>0</v>
      </c>
      <c r="E105" s="37">
        <f t="shared" si="40"/>
        <v>0</v>
      </c>
      <c r="F105" s="37">
        <f t="shared" si="40"/>
        <v>0</v>
      </c>
      <c r="G105" s="37">
        <f t="shared" si="40"/>
        <v>0</v>
      </c>
      <c r="H105" s="37">
        <f t="shared" si="40"/>
        <v>0</v>
      </c>
      <c r="I105" s="37">
        <f t="shared" si="40"/>
        <v>0</v>
      </c>
      <c r="J105" s="37">
        <f t="shared" si="27"/>
        <v>0</v>
      </c>
      <c r="M105" s="183"/>
    </row>
    <row r="106" spans="1:13" x14ac:dyDescent="0.25">
      <c r="A106" s="1" t="s">
        <v>52</v>
      </c>
      <c r="B106" s="37">
        <f t="shared" ref="B106:I106" si="41">B65*(1-B86)</f>
        <v>0</v>
      </c>
      <c r="C106" s="37">
        <f t="shared" si="41"/>
        <v>0</v>
      </c>
      <c r="D106" s="37">
        <f t="shared" si="41"/>
        <v>0</v>
      </c>
      <c r="E106" s="37">
        <f t="shared" si="41"/>
        <v>0</v>
      </c>
      <c r="F106" s="37">
        <f t="shared" si="41"/>
        <v>0</v>
      </c>
      <c r="G106" s="37">
        <f t="shared" si="41"/>
        <v>0</v>
      </c>
      <c r="H106" s="37">
        <f t="shared" si="41"/>
        <v>0</v>
      </c>
      <c r="I106" s="37">
        <f t="shared" si="41"/>
        <v>0</v>
      </c>
      <c r="J106" s="37">
        <f t="shared" si="27"/>
        <v>0</v>
      </c>
      <c r="L106" s="35" t="s">
        <v>281</v>
      </c>
      <c r="M106" s="183" t="s">
        <v>63</v>
      </c>
    </row>
    <row r="107" spans="1:13" x14ac:dyDescent="0.25">
      <c r="A107" s="1" t="s">
        <v>1</v>
      </c>
      <c r="B107" s="38">
        <f t="shared" ref="B107:I107" si="42">B66*(1-B87)</f>
        <v>0</v>
      </c>
      <c r="C107" s="38">
        <f t="shared" si="42"/>
        <v>0</v>
      </c>
      <c r="D107" s="38">
        <f t="shared" si="42"/>
        <v>0</v>
      </c>
      <c r="E107" s="38">
        <f t="shared" si="42"/>
        <v>0</v>
      </c>
      <c r="F107" s="38">
        <f t="shared" si="42"/>
        <v>0</v>
      </c>
      <c r="G107" s="38">
        <f t="shared" si="42"/>
        <v>0</v>
      </c>
      <c r="H107" s="38">
        <f t="shared" si="42"/>
        <v>0</v>
      </c>
      <c r="I107" s="38">
        <f t="shared" si="42"/>
        <v>0</v>
      </c>
      <c r="J107" s="38">
        <f t="shared" si="27"/>
        <v>0</v>
      </c>
      <c r="L107" s="42" t="s">
        <v>61</v>
      </c>
      <c r="M107" s="184"/>
    </row>
    <row r="108" spans="1:13" x14ac:dyDescent="0.25">
      <c r="A108" s="1"/>
      <c r="B108" s="9">
        <f>SUM(B91:B107)</f>
        <v>0</v>
      </c>
      <c r="C108" s="9">
        <f t="shared" ref="C108:J108" si="43">SUM(C91:C107)</f>
        <v>0</v>
      </c>
      <c r="D108" s="9">
        <f t="shared" si="43"/>
        <v>0</v>
      </c>
      <c r="E108" s="9">
        <f t="shared" si="43"/>
        <v>0</v>
      </c>
      <c r="F108" s="9">
        <f t="shared" si="43"/>
        <v>0</v>
      </c>
      <c r="G108" s="9">
        <f t="shared" si="43"/>
        <v>0</v>
      </c>
      <c r="H108" s="9">
        <f t="shared" si="43"/>
        <v>0</v>
      </c>
      <c r="I108" s="9">
        <f t="shared" si="43"/>
        <v>0</v>
      </c>
      <c r="J108" s="9">
        <f t="shared" si="43"/>
        <v>0</v>
      </c>
      <c r="L108" s="108">
        <v>0</v>
      </c>
      <c r="M108" s="7">
        <f>J108-L108</f>
        <v>0</v>
      </c>
    </row>
    <row r="109" spans="1:13" ht="15.75" thickBot="1" x14ac:dyDescent="0.3">
      <c r="A109" s="1"/>
      <c r="B109" s="9"/>
      <c r="C109" s="9"/>
      <c r="D109" s="9"/>
      <c r="E109" s="9"/>
      <c r="F109" s="9"/>
      <c r="G109" s="9"/>
      <c r="H109" s="9"/>
      <c r="I109" s="9"/>
      <c r="J109" s="9"/>
      <c r="L109" s="114"/>
      <c r="M109" s="7"/>
    </row>
    <row r="110" spans="1:13" ht="15.75" thickBot="1" x14ac:dyDescent="0.3">
      <c r="A110" s="170" t="s">
        <v>64</v>
      </c>
      <c r="B110" s="171"/>
      <c r="C110" s="171"/>
      <c r="D110" s="171"/>
      <c r="E110" s="171"/>
      <c r="F110" s="171"/>
      <c r="G110" s="171"/>
      <c r="H110" s="171"/>
      <c r="I110" s="171"/>
      <c r="J110" s="172"/>
      <c r="M110" s="7"/>
    </row>
    <row r="111" spans="1:13" x14ac:dyDescent="0.25">
      <c r="A111" s="4" t="s">
        <v>16</v>
      </c>
      <c r="B111" s="5" t="s">
        <v>15</v>
      </c>
      <c r="C111" s="5" t="s">
        <v>14</v>
      </c>
      <c r="D111" s="5" t="s">
        <v>13</v>
      </c>
      <c r="E111" s="5" t="s">
        <v>12</v>
      </c>
      <c r="F111" s="5" t="s">
        <v>93</v>
      </c>
      <c r="G111" s="5" t="s">
        <v>94</v>
      </c>
      <c r="H111" s="5" t="s">
        <v>38</v>
      </c>
      <c r="I111" s="5" t="s">
        <v>9</v>
      </c>
      <c r="J111" s="5" t="s">
        <v>0</v>
      </c>
      <c r="M111" s="7"/>
    </row>
    <row r="112" spans="1:13" x14ac:dyDescent="0.25">
      <c r="A112" s="1" t="s">
        <v>49</v>
      </c>
      <c r="B112" s="39">
        <f>B50-B91</f>
        <v>0</v>
      </c>
      <c r="C112" s="39">
        <f t="shared" ref="C112:I112" si="44">C50-C91</f>
        <v>0</v>
      </c>
      <c r="D112" s="39">
        <f t="shared" si="44"/>
        <v>0</v>
      </c>
      <c r="E112" s="39">
        <f t="shared" si="44"/>
        <v>0</v>
      </c>
      <c r="F112" s="39">
        <f t="shared" si="44"/>
        <v>0</v>
      </c>
      <c r="G112" s="39">
        <f t="shared" si="44"/>
        <v>0</v>
      </c>
      <c r="H112" s="39">
        <f t="shared" si="44"/>
        <v>0</v>
      </c>
      <c r="I112" s="39">
        <f t="shared" si="44"/>
        <v>0</v>
      </c>
      <c r="J112" s="39">
        <f>SUM(B112:I112)</f>
        <v>0</v>
      </c>
      <c r="M112" s="7"/>
    </row>
    <row r="113" spans="1:13" x14ac:dyDescent="0.25">
      <c r="A113" s="1" t="s">
        <v>8</v>
      </c>
      <c r="B113" s="39">
        <f t="shared" ref="B113:I113" si="45">B51-B92</f>
        <v>0</v>
      </c>
      <c r="C113" s="39">
        <f t="shared" si="45"/>
        <v>0</v>
      </c>
      <c r="D113" s="39">
        <f t="shared" si="45"/>
        <v>0</v>
      </c>
      <c r="E113" s="39">
        <f t="shared" si="45"/>
        <v>0</v>
      </c>
      <c r="F113" s="39">
        <f t="shared" si="45"/>
        <v>0</v>
      </c>
      <c r="G113" s="39">
        <f t="shared" si="45"/>
        <v>0</v>
      </c>
      <c r="H113" s="39">
        <f t="shared" si="45"/>
        <v>0</v>
      </c>
      <c r="I113" s="39">
        <f t="shared" si="45"/>
        <v>0</v>
      </c>
      <c r="J113" s="39">
        <f t="shared" ref="J113:J128" si="46">SUM(B113:I113)</f>
        <v>0</v>
      </c>
      <c r="M113" s="7"/>
    </row>
    <row r="114" spans="1:13" x14ac:dyDescent="0.25">
      <c r="A114" s="1" t="s">
        <v>7</v>
      </c>
      <c r="B114" s="39">
        <f t="shared" ref="B114:I114" si="47">B52-B93</f>
        <v>0</v>
      </c>
      <c r="C114" s="39">
        <f t="shared" si="47"/>
        <v>0</v>
      </c>
      <c r="D114" s="39">
        <f t="shared" si="47"/>
        <v>0</v>
      </c>
      <c r="E114" s="39">
        <f t="shared" si="47"/>
        <v>0</v>
      </c>
      <c r="F114" s="39">
        <f t="shared" si="47"/>
        <v>0</v>
      </c>
      <c r="G114" s="39">
        <f t="shared" si="47"/>
        <v>0</v>
      </c>
      <c r="H114" s="39">
        <f t="shared" si="47"/>
        <v>0</v>
      </c>
      <c r="I114" s="39">
        <f t="shared" si="47"/>
        <v>0</v>
      </c>
      <c r="J114" s="39">
        <f t="shared" si="46"/>
        <v>0</v>
      </c>
      <c r="M114" s="7"/>
    </row>
    <row r="115" spans="1:13" x14ac:dyDescent="0.25">
      <c r="A115" s="1" t="s">
        <v>42</v>
      </c>
      <c r="B115" s="39">
        <f t="shared" ref="B115:I115" si="48">B53-B94</f>
        <v>0</v>
      </c>
      <c r="C115" s="39">
        <f t="shared" si="48"/>
        <v>0</v>
      </c>
      <c r="D115" s="39">
        <f t="shared" si="48"/>
        <v>0</v>
      </c>
      <c r="E115" s="39">
        <f t="shared" si="48"/>
        <v>0</v>
      </c>
      <c r="F115" s="39">
        <f t="shared" si="48"/>
        <v>0</v>
      </c>
      <c r="G115" s="39">
        <f t="shared" si="48"/>
        <v>0</v>
      </c>
      <c r="H115" s="39">
        <f t="shared" si="48"/>
        <v>0</v>
      </c>
      <c r="I115" s="39">
        <f t="shared" si="48"/>
        <v>0</v>
      </c>
      <c r="J115" s="39">
        <f t="shared" si="46"/>
        <v>0</v>
      </c>
      <c r="M115" s="7"/>
    </row>
    <row r="116" spans="1:13" x14ac:dyDescent="0.25">
      <c r="A116" s="1" t="s">
        <v>6</v>
      </c>
      <c r="B116" s="39">
        <f t="shared" ref="B116:I116" si="49">B54-B95</f>
        <v>0</v>
      </c>
      <c r="C116" s="39">
        <f t="shared" si="49"/>
        <v>0</v>
      </c>
      <c r="D116" s="39">
        <f t="shared" si="49"/>
        <v>0</v>
      </c>
      <c r="E116" s="39">
        <f t="shared" si="49"/>
        <v>0</v>
      </c>
      <c r="F116" s="39">
        <f t="shared" si="49"/>
        <v>0</v>
      </c>
      <c r="G116" s="39">
        <f t="shared" si="49"/>
        <v>0</v>
      </c>
      <c r="H116" s="39">
        <f t="shared" si="49"/>
        <v>0</v>
      </c>
      <c r="I116" s="39">
        <f t="shared" si="49"/>
        <v>0</v>
      </c>
      <c r="J116" s="39">
        <f t="shared" si="46"/>
        <v>0</v>
      </c>
      <c r="M116" s="7"/>
    </row>
    <row r="117" spans="1:13" x14ac:dyDescent="0.25">
      <c r="A117" s="1" t="s">
        <v>50</v>
      </c>
      <c r="B117" s="39">
        <f t="shared" ref="B117:I117" si="50">B55-B96</f>
        <v>0</v>
      </c>
      <c r="C117" s="39">
        <f t="shared" si="50"/>
        <v>0</v>
      </c>
      <c r="D117" s="39">
        <f t="shared" si="50"/>
        <v>0</v>
      </c>
      <c r="E117" s="39">
        <f t="shared" si="50"/>
        <v>0</v>
      </c>
      <c r="F117" s="39">
        <f t="shared" si="50"/>
        <v>0</v>
      </c>
      <c r="G117" s="39">
        <f t="shared" si="50"/>
        <v>0</v>
      </c>
      <c r="H117" s="39">
        <f t="shared" si="50"/>
        <v>0</v>
      </c>
      <c r="I117" s="39">
        <f t="shared" si="50"/>
        <v>0</v>
      </c>
      <c r="J117" s="39">
        <f t="shared" si="46"/>
        <v>0</v>
      </c>
      <c r="M117" s="7"/>
    </row>
    <row r="118" spans="1:13" x14ac:dyDescent="0.25">
      <c r="A118" s="1" t="s">
        <v>89</v>
      </c>
      <c r="B118" s="39">
        <f t="shared" ref="B118:I118" si="51">B56-B97</f>
        <v>0</v>
      </c>
      <c r="C118" s="39">
        <f t="shared" si="51"/>
        <v>0</v>
      </c>
      <c r="D118" s="39">
        <f t="shared" si="51"/>
        <v>0</v>
      </c>
      <c r="E118" s="39">
        <f t="shared" si="51"/>
        <v>0</v>
      </c>
      <c r="F118" s="39">
        <f t="shared" si="51"/>
        <v>0</v>
      </c>
      <c r="G118" s="39">
        <f t="shared" si="51"/>
        <v>0</v>
      </c>
      <c r="H118" s="39">
        <f t="shared" si="51"/>
        <v>0</v>
      </c>
      <c r="I118" s="39">
        <f t="shared" si="51"/>
        <v>0</v>
      </c>
      <c r="J118" s="39">
        <f t="shared" si="46"/>
        <v>0</v>
      </c>
      <c r="M118" s="7"/>
    </row>
    <row r="119" spans="1:13" x14ac:dyDescent="0.25">
      <c r="A119" s="1" t="s">
        <v>5</v>
      </c>
      <c r="B119" s="39">
        <f t="shared" ref="B119:I119" si="52">B57-B98</f>
        <v>0</v>
      </c>
      <c r="C119" s="39">
        <f t="shared" si="52"/>
        <v>0</v>
      </c>
      <c r="D119" s="39">
        <f t="shared" si="52"/>
        <v>0</v>
      </c>
      <c r="E119" s="39">
        <f t="shared" si="52"/>
        <v>0</v>
      </c>
      <c r="F119" s="39">
        <f t="shared" si="52"/>
        <v>0</v>
      </c>
      <c r="G119" s="39">
        <f t="shared" si="52"/>
        <v>0</v>
      </c>
      <c r="H119" s="39">
        <f t="shared" si="52"/>
        <v>0</v>
      </c>
      <c r="I119" s="39">
        <f t="shared" si="52"/>
        <v>0</v>
      </c>
      <c r="J119" s="39">
        <f t="shared" si="46"/>
        <v>0</v>
      </c>
      <c r="M119" s="7"/>
    </row>
    <row r="120" spans="1:13" x14ac:dyDescent="0.25">
      <c r="A120" s="1" t="s">
        <v>84</v>
      </c>
      <c r="B120" s="39">
        <f t="shared" ref="B120:I120" si="53">B58-B99</f>
        <v>0</v>
      </c>
      <c r="C120" s="39">
        <f t="shared" si="53"/>
        <v>0</v>
      </c>
      <c r="D120" s="39">
        <f t="shared" si="53"/>
        <v>0</v>
      </c>
      <c r="E120" s="39">
        <f t="shared" si="53"/>
        <v>0</v>
      </c>
      <c r="F120" s="39">
        <f t="shared" si="53"/>
        <v>0</v>
      </c>
      <c r="G120" s="39">
        <f t="shared" si="53"/>
        <v>0</v>
      </c>
      <c r="H120" s="39">
        <f t="shared" si="53"/>
        <v>0</v>
      </c>
      <c r="I120" s="39">
        <f t="shared" si="53"/>
        <v>0</v>
      </c>
      <c r="J120" s="39">
        <f t="shared" si="46"/>
        <v>0</v>
      </c>
      <c r="M120" s="7"/>
    </row>
    <row r="121" spans="1:13" x14ac:dyDescent="0.25">
      <c r="A121" s="1" t="s">
        <v>4</v>
      </c>
      <c r="B121" s="39">
        <f t="shared" ref="B121:I121" si="54">B59-B100</f>
        <v>0</v>
      </c>
      <c r="C121" s="39">
        <f t="shared" si="54"/>
        <v>0</v>
      </c>
      <c r="D121" s="39">
        <f t="shared" si="54"/>
        <v>0</v>
      </c>
      <c r="E121" s="39">
        <f t="shared" si="54"/>
        <v>0</v>
      </c>
      <c r="F121" s="39">
        <f t="shared" si="54"/>
        <v>0</v>
      </c>
      <c r="G121" s="39">
        <f t="shared" si="54"/>
        <v>0</v>
      </c>
      <c r="H121" s="39">
        <f t="shared" si="54"/>
        <v>0</v>
      </c>
      <c r="I121" s="39">
        <f t="shared" si="54"/>
        <v>0</v>
      </c>
      <c r="J121" s="39">
        <f t="shared" si="46"/>
        <v>0</v>
      </c>
      <c r="M121" s="7"/>
    </row>
    <row r="122" spans="1:13" x14ac:dyDescent="0.25">
      <c r="A122" s="1" t="s">
        <v>51</v>
      </c>
      <c r="B122" s="39">
        <f t="shared" ref="B122:I122" si="55">B60-B101</f>
        <v>0</v>
      </c>
      <c r="C122" s="39">
        <f t="shared" si="55"/>
        <v>0</v>
      </c>
      <c r="D122" s="39">
        <f t="shared" si="55"/>
        <v>0</v>
      </c>
      <c r="E122" s="39">
        <f t="shared" si="55"/>
        <v>0</v>
      </c>
      <c r="F122" s="39">
        <f t="shared" si="55"/>
        <v>0</v>
      </c>
      <c r="G122" s="39">
        <f t="shared" si="55"/>
        <v>0</v>
      </c>
      <c r="H122" s="39">
        <f t="shared" si="55"/>
        <v>0</v>
      </c>
      <c r="I122" s="39">
        <f t="shared" si="55"/>
        <v>0</v>
      </c>
      <c r="J122" s="39">
        <f>SUM(B122:I122)</f>
        <v>0</v>
      </c>
      <c r="M122" s="7"/>
    </row>
    <row r="123" spans="1:13" x14ac:dyDescent="0.25">
      <c r="A123" s="1" t="s">
        <v>85</v>
      </c>
      <c r="B123" s="39">
        <f t="shared" ref="B123:I123" si="56">B61-B102</f>
        <v>0</v>
      </c>
      <c r="C123" s="39">
        <f t="shared" si="56"/>
        <v>0</v>
      </c>
      <c r="D123" s="39">
        <f t="shared" si="56"/>
        <v>0</v>
      </c>
      <c r="E123" s="39">
        <f t="shared" si="56"/>
        <v>0</v>
      </c>
      <c r="F123" s="39">
        <f t="shared" si="56"/>
        <v>0</v>
      </c>
      <c r="G123" s="39">
        <f t="shared" si="56"/>
        <v>0</v>
      </c>
      <c r="H123" s="39">
        <f t="shared" si="56"/>
        <v>0</v>
      </c>
      <c r="I123" s="39">
        <f t="shared" si="56"/>
        <v>0</v>
      </c>
      <c r="J123" s="39">
        <f t="shared" si="46"/>
        <v>0</v>
      </c>
      <c r="M123" s="7"/>
    </row>
    <row r="124" spans="1:13" x14ac:dyDescent="0.25">
      <c r="A124" s="1" t="s">
        <v>2</v>
      </c>
      <c r="B124" s="39">
        <f t="shared" ref="B124:I124" si="57">B62-B103</f>
        <v>310.5</v>
      </c>
      <c r="C124" s="39">
        <f t="shared" si="57"/>
        <v>0</v>
      </c>
      <c r="D124" s="39">
        <f t="shared" si="57"/>
        <v>619</v>
      </c>
      <c r="E124" s="39">
        <f t="shared" si="57"/>
        <v>1904.26</v>
      </c>
      <c r="F124" s="39">
        <f t="shared" si="57"/>
        <v>0</v>
      </c>
      <c r="G124" s="39">
        <f t="shared" si="57"/>
        <v>0</v>
      </c>
      <c r="H124" s="39">
        <f t="shared" si="57"/>
        <v>0</v>
      </c>
      <c r="I124" s="39">
        <f t="shared" si="57"/>
        <v>0</v>
      </c>
      <c r="J124" s="39">
        <f t="shared" si="46"/>
        <v>2833.76</v>
      </c>
      <c r="M124" s="7"/>
    </row>
    <row r="125" spans="1:13" x14ac:dyDescent="0.25">
      <c r="A125" s="1" t="s">
        <v>86</v>
      </c>
      <c r="B125" s="39">
        <f t="shared" ref="B125:I125" si="58">B63-B104</f>
        <v>0</v>
      </c>
      <c r="C125" s="39">
        <f t="shared" si="58"/>
        <v>0</v>
      </c>
      <c r="D125" s="39">
        <f t="shared" si="58"/>
        <v>0</v>
      </c>
      <c r="E125" s="39">
        <f t="shared" si="58"/>
        <v>0</v>
      </c>
      <c r="F125" s="39">
        <f t="shared" si="58"/>
        <v>0</v>
      </c>
      <c r="G125" s="39">
        <f t="shared" si="58"/>
        <v>0</v>
      </c>
      <c r="H125" s="39">
        <f t="shared" si="58"/>
        <v>0</v>
      </c>
      <c r="I125" s="39">
        <f t="shared" si="58"/>
        <v>0</v>
      </c>
      <c r="J125" s="39">
        <f t="shared" si="46"/>
        <v>0</v>
      </c>
      <c r="M125" s="7"/>
    </row>
    <row r="126" spans="1:13" x14ac:dyDescent="0.25">
      <c r="A126" s="1" t="s">
        <v>29</v>
      </c>
      <c r="B126" s="39">
        <f t="shared" ref="B126:I126" si="59">B64-B105</f>
        <v>0</v>
      </c>
      <c r="C126" s="39">
        <f t="shared" si="59"/>
        <v>0</v>
      </c>
      <c r="D126" s="39">
        <f t="shared" si="59"/>
        <v>0</v>
      </c>
      <c r="E126" s="39">
        <f t="shared" si="59"/>
        <v>0</v>
      </c>
      <c r="F126" s="39">
        <f t="shared" si="59"/>
        <v>0</v>
      </c>
      <c r="G126" s="39">
        <f t="shared" si="59"/>
        <v>0</v>
      </c>
      <c r="H126" s="39">
        <f t="shared" si="59"/>
        <v>0</v>
      </c>
      <c r="I126" s="39">
        <f t="shared" si="59"/>
        <v>0</v>
      </c>
      <c r="J126" s="39">
        <f t="shared" si="46"/>
        <v>0</v>
      </c>
      <c r="M126" s="7"/>
    </row>
    <row r="127" spans="1:13" x14ac:dyDescent="0.25">
      <c r="A127" s="1" t="s">
        <v>52</v>
      </c>
      <c r="B127" s="39">
        <f t="shared" ref="B127:I127" si="60">B65-B106</f>
        <v>0</v>
      </c>
      <c r="C127" s="39">
        <f t="shared" si="60"/>
        <v>0</v>
      </c>
      <c r="D127" s="39">
        <f t="shared" si="60"/>
        <v>0</v>
      </c>
      <c r="E127" s="39">
        <f t="shared" si="60"/>
        <v>0</v>
      </c>
      <c r="F127" s="39">
        <f t="shared" si="60"/>
        <v>0</v>
      </c>
      <c r="G127" s="39">
        <f t="shared" si="60"/>
        <v>0</v>
      </c>
      <c r="H127" s="39">
        <f t="shared" si="60"/>
        <v>0</v>
      </c>
      <c r="I127" s="39">
        <f t="shared" si="60"/>
        <v>0</v>
      </c>
      <c r="J127" s="39">
        <f t="shared" si="46"/>
        <v>0</v>
      </c>
      <c r="M127" s="7"/>
    </row>
    <row r="128" spans="1:13" x14ac:dyDescent="0.25">
      <c r="A128" s="1" t="s">
        <v>1</v>
      </c>
      <c r="B128" s="40">
        <f t="shared" ref="B128:I128" si="61">B66-B107</f>
        <v>0</v>
      </c>
      <c r="C128" s="40">
        <f t="shared" si="61"/>
        <v>0</v>
      </c>
      <c r="D128" s="40">
        <f t="shared" si="61"/>
        <v>0</v>
      </c>
      <c r="E128" s="40">
        <f t="shared" si="61"/>
        <v>0</v>
      </c>
      <c r="F128" s="40">
        <f t="shared" si="61"/>
        <v>0</v>
      </c>
      <c r="G128" s="40">
        <f t="shared" si="61"/>
        <v>0</v>
      </c>
      <c r="H128" s="40">
        <f t="shared" si="61"/>
        <v>0</v>
      </c>
      <c r="I128" s="40">
        <f t="shared" si="61"/>
        <v>0</v>
      </c>
      <c r="J128" s="40">
        <f t="shared" si="46"/>
        <v>0</v>
      </c>
      <c r="M128" s="7"/>
    </row>
    <row r="129" spans="1:13" x14ac:dyDescent="0.25">
      <c r="A129" s="4"/>
      <c r="B129" s="39">
        <f>SUM(B112:B128)</f>
        <v>310.5</v>
      </c>
      <c r="C129" s="39">
        <f t="shared" ref="C129:J129" si="62">SUM(C112:C128)</f>
        <v>0</v>
      </c>
      <c r="D129" s="39">
        <f t="shared" si="62"/>
        <v>619</v>
      </c>
      <c r="E129" s="39">
        <f t="shared" si="62"/>
        <v>1904.26</v>
      </c>
      <c r="F129" s="39">
        <f t="shared" si="62"/>
        <v>0</v>
      </c>
      <c r="G129" s="39">
        <f t="shared" si="62"/>
        <v>0</v>
      </c>
      <c r="H129" s="39">
        <f t="shared" si="62"/>
        <v>0</v>
      </c>
      <c r="I129" s="39">
        <f t="shared" si="62"/>
        <v>0</v>
      </c>
      <c r="J129" s="39">
        <f t="shared" si="62"/>
        <v>2833.76</v>
      </c>
      <c r="M129" s="7"/>
    </row>
    <row r="130" spans="1:13" ht="15.75" thickBot="1" x14ac:dyDescent="0.3">
      <c r="A130" s="4"/>
      <c r="B130" s="39"/>
      <c r="C130" s="39"/>
      <c r="D130" s="39"/>
      <c r="E130" s="39"/>
      <c r="F130" s="39"/>
      <c r="G130" s="39"/>
      <c r="H130" s="39"/>
      <c r="I130" s="39"/>
      <c r="J130" s="39"/>
      <c r="M130" s="7"/>
    </row>
    <row r="131" spans="1:13" ht="15.75" thickBot="1" x14ac:dyDescent="0.3">
      <c r="A131" s="167" t="s">
        <v>59</v>
      </c>
      <c r="B131" s="168"/>
      <c r="C131" s="168"/>
      <c r="D131" s="168"/>
      <c r="E131" s="168"/>
      <c r="F131" s="168"/>
      <c r="G131" s="168"/>
      <c r="H131" s="168"/>
      <c r="I131" s="168"/>
      <c r="J131" s="169"/>
      <c r="M131" s="7"/>
    </row>
    <row r="132" spans="1:13" x14ac:dyDescent="0.25">
      <c r="A132" s="4" t="s">
        <v>16</v>
      </c>
      <c r="B132" s="5" t="s">
        <v>15</v>
      </c>
      <c r="C132" s="5" t="s">
        <v>14</v>
      </c>
      <c r="D132" s="5" t="s">
        <v>13</v>
      </c>
      <c r="E132" s="5" t="s">
        <v>12</v>
      </c>
      <c r="F132" s="5" t="s">
        <v>93</v>
      </c>
      <c r="G132" s="5" t="s">
        <v>94</v>
      </c>
      <c r="H132" s="5" t="s">
        <v>38</v>
      </c>
      <c r="I132" s="5" t="s">
        <v>9</v>
      </c>
      <c r="J132" s="5" t="s">
        <v>0</v>
      </c>
      <c r="M132" s="7"/>
    </row>
    <row r="133" spans="1:13" x14ac:dyDescent="0.25">
      <c r="A133" s="1" t="s">
        <v>49</v>
      </c>
      <c r="B133" s="41">
        <v>0</v>
      </c>
      <c r="C133" s="41">
        <v>0</v>
      </c>
      <c r="D133" s="41">
        <v>0</v>
      </c>
      <c r="E133" s="41">
        <v>0.1</v>
      </c>
      <c r="F133" s="41">
        <v>0.15</v>
      </c>
      <c r="G133" s="41">
        <v>0.15</v>
      </c>
      <c r="H133" s="41">
        <v>0.2</v>
      </c>
      <c r="I133" s="41">
        <v>0.3</v>
      </c>
      <c r="J133" s="39"/>
      <c r="M133" s="7"/>
    </row>
    <row r="134" spans="1:13" x14ac:dyDescent="0.25">
      <c r="A134" s="1" t="s">
        <v>8</v>
      </c>
      <c r="B134" s="41">
        <v>0</v>
      </c>
      <c r="C134" s="41">
        <v>0</v>
      </c>
      <c r="D134" s="41">
        <v>0</v>
      </c>
      <c r="E134" s="41">
        <v>0.1</v>
      </c>
      <c r="F134" s="41">
        <v>0.15</v>
      </c>
      <c r="G134" s="41">
        <v>0.15</v>
      </c>
      <c r="H134" s="41">
        <v>0.2</v>
      </c>
      <c r="I134" s="41">
        <v>1</v>
      </c>
      <c r="J134" s="39"/>
      <c r="M134" s="7"/>
    </row>
    <row r="135" spans="1:13" x14ac:dyDescent="0.25">
      <c r="A135" s="1" t="s">
        <v>7</v>
      </c>
      <c r="B135" s="41">
        <v>0</v>
      </c>
      <c r="C135" s="41">
        <v>0</v>
      </c>
      <c r="D135" s="41">
        <v>0</v>
      </c>
      <c r="E135" s="41">
        <v>0.1</v>
      </c>
      <c r="F135" s="41">
        <v>0.15</v>
      </c>
      <c r="G135" s="41">
        <v>0.15</v>
      </c>
      <c r="H135" s="41">
        <v>0.2</v>
      </c>
      <c r="I135" s="41">
        <v>1</v>
      </c>
      <c r="J135" s="39"/>
      <c r="M135" s="7"/>
    </row>
    <row r="136" spans="1:13" x14ac:dyDescent="0.25">
      <c r="A136" s="1" t="s">
        <v>42</v>
      </c>
      <c r="B136" s="41">
        <v>0</v>
      </c>
      <c r="C136" s="41">
        <v>0</v>
      </c>
      <c r="D136" s="41">
        <v>0</v>
      </c>
      <c r="E136" s="41">
        <v>0.1</v>
      </c>
      <c r="F136" s="41">
        <v>0.15</v>
      </c>
      <c r="G136" s="41">
        <v>0.15</v>
      </c>
      <c r="H136" s="41">
        <v>0.2</v>
      </c>
      <c r="I136" s="41">
        <v>1</v>
      </c>
      <c r="J136" s="39"/>
      <c r="M136" s="7"/>
    </row>
    <row r="137" spans="1:13" x14ac:dyDescent="0.25">
      <c r="A137" s="1" t="s">
        <v>6</v>
      </c>
      <c r="B137" s="41">
        <v>0</v>
      </c>
      <c r="C137" s="41">
        <v>0</v>
      </c>
      <c r="D137" s="41">
        <v>0</v>
      </c>
      <c r="E137" s="41">
        <v>0.1</v>
      </c>
      <c r="F137" s="41">
        <v>0.15</v>
      </c>
      <c r="G137" s="41">
        <v>0.15</v>
      </c>
      <c r="H137" s="41">
        <v>0.2</v>
      </c>
      <c r="I137" s="41">
        <v>1</v>
      </c>
      <c r="J137" s="39"/>
      <c r="M137" s="7"/>
    </row>
    <row r="138" spans="1:13" x14ac:dyDescent="0.25">
      <c r="A138" s="1" t="s">
        <v>50</v>
      </c>
      <c r="B138" s="41">
        <v>0</v>
      </c>
      <c r="C138" s="41">
        <v>0</v>
      </c>
      <c r="D138" s="41">
        <v>0</v>
      </c>
      <c r="E138" s="41">
        <v>0.1</v>
      </c>
      <c r="F138" s="41">
        <v>0.15</v>
      </c>
      <c r="G138" s="41">
        <v>0.15</v>
      </c>
      <c r="H138" s="41">
        <v>0.2</v>
      </c>
      <c r="I138" s="41">
        <v>1</v>
      </c>
      <c r="J138" s="39"/>
      <c r="M138" s="7"/>
    </row>
    <row r="139" spans="1:13" x14ac:dyDescent="0.25">
      <c r="A139" s="1" t="s">
        <v>89</v>
      </c>
      <c r="B139" s="41">
        <v>0</v>
      </c>
      <c r="C139" s="41">
        <v>0</v>
      </c>
      <c r="D139" s="41">
        <v>0</v>
      </c>
      <c r="E139" s="41">
        <v>0.1</v>
      </c>
      <c r="F139" s="41">
        <v>0.15</v>
      </c>
      <c r="G139" s="41">
        <v>0.15</v>
      </c>
      <c r="H139" s="41">
        <v>0.2</v>
      </c>
      <c r="I139" s="41">
        <v>0.3</v>
      </c>
      <c r="J139" s="39"/>
      <c r="M139" s="7"/>
    </row>
    <row r="140" spans="1:13" x14ac:dyDescent="0.25">
      <c r="A140" s="1" t="s">
        <v>5</v>
      </c>
      <c r="B140" s="41">
        <v>0</v>
      </c>
      <c r="C140" s="41">
        <v>0</v>
      </c>
      <c r="D140" s="41">
        <v>0</v>
      </c>
      <c r="E140" s="41">
        <v>0.1</v>
      </c>
      <c r="F140" s="41">
        <v>0.15</v>
      </c>
      <c r="G140" s="41">
        <v>0.15</v>
      </c>
      <c r="H140" s="41">
        <v>0.2</v>
      </c>
      <c r="I140" s="41">
        <v>1</v>
      </c>
      <c r="J140" s="39"/>
      <c r="M140" s="7"/>
    </row>
    <row r="141" spans="1:13" x14ac:dyDescent="0.25">
      <c r="A141" s="1" t="s">
        <v>84</v>
      </c>
      <c r="B141" s="41">
        <v>0</v>
      </c>
      <c r="C141" s="41">
        <v>0</v>
      </c>
      <c r="D141" s="41">
        <v>0</v>
      </c>
      <c r="E141" s="41">
        <v>0.1</v>
      </c>
      <c r="F141" s="41">
        <v>0.15</v>
      </c>
      <c r="G141" s="41">
        <v>0.15</v>
      </c>
      <c r="H141" s="41">
        <v>0.2</v>
      </c>
      <c r="I141" s="41">
        <v>1</v>
      </c>
      <c r="J141" s="39"/>
      <c r="M141" s="7"/>
    </row>
    <row r="142" spans="1:13" x14ac:dyDescent="0.25">
      <c r="A142" s="1" t="s">
        <v>4</v>
      </c>
      <c r="B142" s="41">
        <v>0</v>
      </c>
      <c r="C142" s="41">
        <v>0</v>
      </c>
      <c r="D142" s="41">
        <v>0</v>
      </c>
      <c r="E142" s="41">
        <v>0.1</v>
      </c>
      <c r="F142" s="41">
        <v>0.15</v>
      </c>
      <c r="G142" s="41">
        <v>0.15</v>
      </c>
      <c r="H142" s="41">
        <v>0.2</v>
      </c>
      <c r="I142" s="41">
        <v>1</v>
      </c>
      <c r="J142" s="39"/>
      <c r="M142" s="7"/>
    </row>
    <row r="143" spans="1:13" x14ac:dyDescent="0.25">
      <c r="A143" s="1" t="s">
        <v>51</v>
      </c>
      <c r="B143" s="41">
        <v>0</v>
      </c>
      <c r="C143" s="41">
        <v>0</v>
      </c>
      <c r="D143" s="41">
        <v>0</v>
      </c>
      <c r="E143" s="41">
        <v>0.1</v>
      </c>
      <c r="F143" s="41">
        <v>0.15</v>
      </c>
      <c r="G143" s="41">
        <v>0.15</v>
      </c>
      <c r="H143" s="41">
        <v>0.2</v>
      </c>
      <c r="I143" s="41">
        <v>1</v>
      </c>
      <c r="J143" s="39"/>
      <c r="M143" s="7"/>
    </row>
    <row r="144" spans="1:13" x14ac:dyDescent="0.25">
      <c r="A144" s="1" t="s">
        <v>85</v>
      </c>
      <c r="B144" s="41">
        <v>0</v>
      </c>
      <c r="C144" s="41">
        <v>0</v>
      </c>
      <c r="D144" s="41">
        <v>0</v>
      </c>
      <c r="E144" s="41">
        <v>0.1</v>
      </c>
      <c r="F144" s="41">
        <v>0.15</v>
      </c>
      <c r="G144" s="41">
        <v>0.15</v>
      </c>
      <c r="H144" s="41">
        <v>0.2</v>
      </c>
      <c r="I144" s="41">
        <v>1</v>
      </c>
      <c r="J144" s="39"/>
      <c r="M144" s="7"/>
    </row>
    <row r="145" spans="1:13" x14ac:dyDescent="0.25">
      <c r="A145" s="1" t="s">
        <v>2</v>
      </c>
      <c r="B145" s="41">
        <v>0</v>
      </c>
      <c r="C145" s="41">
        <v>0</v>
      </c>
      <c r="D145" s="41">
        <v>0.1</v>
      </c>
      <c r="E145" s="41">
        <v>0.5</v>
      </c>
      <c r="F145" s="41">
        <v>1</v>
      </c>
      <c r="G145" s="41">
        <v>1</v>
      </c>
      <c r="H145" s="41">
        <v>1</v>
      </c>
      <c r="I145" s="41">
        <v>1</v>
      </c>
      <c r="J145" s="39"/>
      <c r="M145" s="7"/>
    </row>
    <row r="146" spans="1:13" x14ac:dyDescent="0.25">
      <c r="A146" s="1" t="s">
        <v>86</v>
      </c>
      <c r="B146" s="41">
        <v>0</v>
      </c>
      <c r="C146" s="41">
        <v>0</v>
      </c>
      <c r="D146" s="41">
        <v>0</v>
      </c>
      <c r="E146" s="41">
        <v>0.1</v>
      </c>
      <c r="F146" s="41">
        <v>0.15</v>
      </c>
      <c r="G146" s="41">
        <v>0.15</v>
      </c>
      <c r="H146" s="41">
        <v>0.2</v>
      </c>
      <c r="I146" s="41">
        <v>1</v>
      </c>
      <c r="J146" s="39"/>
      <c r="M146" s="7"/>
    </row>
    <row r="147" spans="1:13" x14ac:dyDescent="0.25">
      <c r="A147" s="1" t="s">
        <v>29</v>
      </c>
      <c r="B147" s="41">
        <v>0</v>
      </c>
      <c r="C147" s="41">
        <v>0</v>
      </c>
      <c r="D147" s="41">
        <v>0</v>
      </c>
      <c r="E147" s="41">
        <v>0.1</v>
      </c>
      <c r="F147" s="41">
        <v>0.15</v>
      </c>
      <c r="G147" s="41">
        <v>0.15</v>
      </c>
      <c r="H147" s="41">
        <v>0.2</v>
      </c>
      <c r="I147" s="41">
        <v>1</v>
      </c>
      <c r="J147" s="39"/>
      <c r="M147" s="7"/>
    </row>
    <row r="148" spans="1:13" x14ac:dyDescent="0.25">
      <c r="A148" s="1" t="s">
        <v>52</v>
      </c>
      <c r="B148" s="41">
        <v>0</v>
      </c>
      <c r="C148" s="41">
        <v>0</v>
      </c>
      <c r="D148" s="41">
        <v>0</v>
      </c>
      <c r="E148" s="41">
        <v>0.1</v>
      </c>
      <c r="F148" s="41">
        <v>0.15</v>
      </c>
      <c r="G148" s="41">
        <v>0.15</v>
      </c>
      <c r="H148" s="41">
        <v>0.2</v>
      </c>
      <c r="I148" s="41">
        <v>1</v>
      </c>
      <c r="J148" s="39"/>
      <c r="M148" s="7"/>
    </row>
    <row r="149" spans="1:13" x14ac:dyDescent="0.25">
      <c r="A149" s="1" t="s">
        <v>1</v>
      </c>
      <c r="B149" s="41">
        <v>0</v>
      </c>
      <c r="C149" s="41">
        <v>0</v>
      </c>
      <c r="D149" s="41">
        <v>0</v>
      </c>
      <c r="E149" s="41">
        <v>0.1</v>
      </c>
      <c r="F149" s="41">
        <v>0.15</v>
      </c>
      <c r="G149" s="41">
        <v>0.15</v>
      </c>
      <c r="H149" s="41">
        <v>0.2</v>
      </c>
      <c r="I149" s="41">
        <v>1</v>
      </c>
      <c r="J149" s="39"/>
      <c r="M149" s="7"/>
    </row>
    <row r="150" spans="1:13" ht="15.75" thickBot="1" x14ac:dyDescent="0.3">
      <c r="A150" s="4"/>
      <c r="B150" s="39"/>
      <c r="C150" s="39"/>
      <c r="D150" s="39"/>
      <c r="E150" s="39"/>
      <c r="F150" s="39"/>
      <c r="G150" s="39"/>
      <c r="H150" s="39"/>
      <c r="I150" s="39"/>
      <c r="J150" s="39"/>
      <c r="M150" s="7"/>
    </row>
    <row r="151" spans="1:13" ht="15.75" thickBot="1" x14ac:dyDescent="0.3">
      <c r="A151" s="170" t="s">
        <v>60</v>
      </c>
      <c r="B151" s="171"/>
      <c r="C151" s="171"/>
      <c r="D151" s="171"/>
      <c r="E151" s="171"/>
      <c r="F151" s="171"/>
      <c r="G151" s="171"/>
      <c r="H151" s="171"/>
      <c r="I151" s="171"/>
      <c r="J151" s="172"/>
      <c r="M151" s="7"/>
    </row>
    <row r="152" spans="1:13" x14ac:dyDescent="0.25">
      <c r="A152" s="4" t="s">
        <v>16</v>
      </c>
      <c r="B152" s="4" t="s">
        <v>15</v>
      </c>
      <c r="C152" s="4" t="s">
        <v>14</v>
      </c>
      <c r="D152" s="4" t="s">
        <v>13</v>
      </c>
      <c r="E152" s="4" t="s">
        <v>12</v>
      </c>
      <c r="F152" s="4" t="s">
        <v>93</v>
      </c>
      <c r="G152" s="4" t="s">
        <v>94</v>
      </c>
      <c r="H152" s="4" t="s">
        <v>38</v>
      </c>
      <c r="I152" s="4" t="s">
        <v>9</v>
      </c>
      <c r="J152" s="5" t="s">
        <v>0</v>
      </c>
      <c r="M152" s="7"/>
    </row>
    <row r="153" spans="1:13" x14ac:dyDescent="0.25">
      <c r="A153" s="1" t="s">
        <v>49</v>
      </c>
      <c r="B153" s="66">
        <f>B112*B133</f>
        <v>0</v>
      </c>
      <c r="C153" s="66">
        <f t="shared" ref="C153:I153" si="63">C112*C133</f>
        <v>0</v>
      </c>
      <c r="D153" s="66">
        <f t="shared" si="63"/>
        <v>0</v>
      </c>
      <c r="E153" s="66">
        <f t="shared" si="63"/>
        <v>0</v>
      </c>
      <c r="F153" s="66">
        <f t="shared" si="63"/>
        <v>0</v>
      </c>
      <c r="G153" s="66">
        <f t="shared" si="63"/>
        <v>0</v>
      </c>
      <c r="H153" s="66">
        <f t="shared" si="63"/>
        <v>0</v>
      </c>
      <c r="I153" s="66">
        <f t="shared" si="63"/>
        <v>0</v>
      </c>
      <c r="J153" s="39">
        <f>SUM(B153:I153)</f>
        <v>0</v>
      </c>
      <c r="M153" s="7"/>
    </row>
    <row r="154" spans="1:13" x14ac:dyDescent="0.25">
      <c r="A154" s="1" t="s">
        <v>8</v>
      </c>
      <c r="B154" s="39">
        <f t="shared" ref="B154:I169" si="64">B113*B134</f>
        <v>0</v>
      </c>
      <c r="C154" s="39">
        <f t="shared" si="64"/>
        <v>0</v>
      </c>
      <c r="D154" s="39">
        <f t="shared" si="64"/>
        <v>0</v>
      </c>
      <c r="E154" s="39">
        <f t="shared" si="64"/>
        <v>0</v>
      </c>
      <c r="F154" s="39">
        <f t="shared" si="64"/>
        <v>0</v>
      </c>
      <c r="G154" s="39">
        <f t="shared" si="64"/>
        <v>0</v>
      </c>
      <c r="H154" s="39">
        <f t="shared" si="64"/>
        <v>0</v>
      </c>
      <c r="I154" s="39">
        <f t="shared" si="64"/>
        <v>0</v>
      </c>
      <c r="J154" s="39">
        <f t="shared" ref="J154:J169" si="65">SUM(B154:I154)</f>
        <v>0</v>
      </c>
      <c r="M154" s="7"/>
    </row>
    <row r="155" spans="1:13" x14ac:dyDescent="0.25">
      <c r="A155" s="1" t="s">
        <v>7</v>
      </c>
      <c r="B155" s="39">
        <f t="shared" si="64"/>
        <v>0</v>
      </c>
      <c r="C155" s="39">
        <f t="shared" si="64"/>
        <v>0</v>
      </c>
      <c r="D155" s="39">
        <f t="shared" si="64"/>
        <v>0</v>
      </c>
      <c r="E155" s="39">
        <f t="shared" si="64"/>
        <v>0</v>
      </c>
      <c r="F155" s="39">
        <f t="shared" si="64"/>
        <v>0</v>
      </c>
      <c r="G155" s="39">
        <f t="shared" si="64"/>
        <v>0</v>
      </c>
      <c r="H155" s="39">
        <f t="shared" si="64"/>
        <v>0</v>
      </c>
      <c r="I155" s="39">
        <f t="shared" si="64"/>
        <v>0</v>
      </c>
      <c r="J155" s="39">
        <f t="shared" si="65"/>
        <v>0</v>
      </c>
      <c r="M155" s="7"/>
    </row>
    <row r="156" spans="1:13" x14ac:dyDescent="0.25">
      <c r="A156" s="1" t="s">
        <v>42</v>
      </c>
      <c r="B156" s="39">
        <f t="shared" si="64"/>
        <v>0</v>
      </c>
      <c r="C156" s="39">
        <f t="shared" si="64"/>
        <v>0</v>
      </c>
      <c r="D156" s="39">
        <f t="shared" si="64"/>
        <v>0</v>
      </c>
      <c r="E156" s="39">
        <f t="shared" si="64"/>
        <v>0</v>
      </c>
      <c r="F156" s="39">
        <f t="shared" si="64"/>
        <v>0</v>
      </c>
      <c r="G156" s="39">
        <f t="shared" si="64"/>
        <v>0</v>
      </c>
      <c r="H156" s="39">
        <f t="shared" si="64"/>
        <v>0</v>
      </c>
      <c r="I156" s="39">
        <f t="shared" si="64"/>
        <v>0</v>
      </c>
      <c r="J156" s="39">
        <f t="shared" si="65"/>
        <v>0</v>
      </c>
      <c r="M156" s="7"/>
    </row>
    <row r="157" spans="1:13" x14ac:dyDescent="0.25">
      <c r="A157" s="1" t="s">
        <v>6</v>
      </c>
      <c r="B157" s="39">
        <f t="shared" si="64"/>
        <v>0</v>
      </c>
      <c r="C157" s="39">
        <f t="shared" si="64"/>
        <v>0</v>
      </c>
      <c r="D157" s="39">
        <f t="shared" si="64"/>
        <v>0</v>
      </c>
      <c r="E157" s="39">
        <f t="shared" si="64"/>
        <v>0</v>
      </c>
      <c r="F157" s="39">
        <f t="shared" si="64"/>
        <v>0</v>
      </c>
      <c r="G157" s="39">
        <f t="shared" si="64"/>
        <v>0</v>
      </c>
      <c r="H157" s="39">
        <f t="shared" si="64"/>
        <v>0</v>
      </c>
      <c r="I157" s="39">
        <f t="shared" si="64"/>
        <v>0</v>
      </c>
      <c r="J157" s="39">
        <f t="shared" si="65"/>
        <v>0</v>
      </c>
      <c r="M157" s="7"/>
    </row>
    <row r="158" spans="1:13" x14ac:dyDescent="0.25">
      <c r="A158" s="1" t="s">
        <v>50</v>
      </c>
      <c r="B158" s="39">
        <f t="shared" si="64"/>
        <v>0</v>
      </c>
      <c r="C158" s="39">
        <f t="shared" si="64"/>
        <v>0</v>
      </c>
      <c r="D158" s="39">
        <f t="shared" si="64"/>
        <v>0</v>
      </c>
      <c r="E158" s="39">
        <f t="shared" si="64"/>
        <v>0</v>
      </c>
      <c r="F158" s="39">
        <f t="shared" si="64"/>
        <v>0</v>
      </c>
      <c r="G158" s="39">
        <f t="shared" si="64"/>
        <v>0</v>
      </c>
      <c r="H158" s="39">
        <f t="shared" si="64"/>
        <v>0</v>
      </c>
      <c r="I158" s="39">
        <f t="shared" si="64"/>
        <v>0</v>
      </c>
      <c r="J158" s="39">
        <f t="shared" si="65"/>
        <v>0</v>
      </c>
      <c r="M158" s="7"/>
    </row>
    <row r="159" spans="1:13" x14ac:dyDescent="0.25">
      <c r="A159" s="1" t="s">
        <v>89</v>
      </c>
      <c r="B159" s="39">
        <f t="shared" si="64"/>
        <v>0</v>
      </c>
      <c r="C159" s="39">
        <f t="shared" si="64"/>
        <v>0</v>
      </c>
      <c r="D159" s="39">
        <f t="shared" si="64"/>
        <v>0</v>
      </c>
      <c r="E159" s="39">
        <f t="shared" si="64"/>
        <v>0</v>
      </c>
      <c r="F159" s="39">
        <f t="shared" si="64"/>
        <v>0</v>
      </c>
      <c r="G159" s="39">
        <f t="shared" si="64"/>
        <v>0</v>
      </c>
      <c r="H159" s="39">
        <f t="shared" si="64"/>
        <v>0</v>
      </c>
      <c r="I159" s="39">
        <f t="shared" si="64"/>
        <v>0</v>
      </c>
      <c r="J159" s="39">
        <f t="shared" si="65"/>
        <v>0</v>
      </c>
      <c r="M159" s="7"/>
    </row>
    <row r="160" spans="1:13" x14ac:dyDescent="0.25">
      <c r="A160" s="1" t="s">
        <v>5</v>
      </c>
      <c r="B160" s="39">
        <f t="shared" si="64"/>
        <v>0</v>
      </c>
      <c r="C160" s="39">
        <f t="shared" si="64"/>
        <v>0</v>
      </c>
      <c r="D160" s="39">
        <f t="shared" si="64"/>
        <v>0</v>
      </c>
      <c r="E160" s="39">
        <f t="shared" si="64"/>
        <v>0</v>
      </c>
      <c r="F160" s="39">
        <f t="shared" si="64"/>
        <v>0</v>
      </c>
      <c r="G160" s="39">
        <f t="shared" si="64"/>
        <v>0</v>
      </c>
      <c r="H160" s="39">
        <f t="shared" si="64"/>
        <v>0</v>
      </c>
      <c r="I160" s="39">
        <f t="shared" si="64"/>
        <v>0</v>
      </c>
      <c r="J160" s="39">
        <f t="shared" si="65"/>
        <v>0</v>
      </c>
      <c r="M160" s="7"/>
    </row>
    <row r="161" spans="1:19" x14ac:dyDescent="0.25">
      <c r="A161" s="1" t="s">
        <v>84</v>
      </c>
      <c r="B161" s="39">
        <f t="shared" si="64"/>
        <v>0</v>
      </c>
      <c r="C161" s="39">
        <f t="shared" si="64"/>
        <v>0</v>
      </c>
      <c r="D161" s="39">
        <f t="shared" si="64"/>
        <v>0</v>
      </c>
      <c r="E161" s="39">
        <f t="shared" si="64"/>
        <v>0</v>
      </c>
      <c r="F161" s="39">
        <f t="shared" si="64"/>
        <v>0</v>
      </c>
      <c r="G161" s="39">
        <f t="shared" si="64"/>
        <v>0</v>
      </c>
      <c r="H161" s="39">
        <f t="shared" si="64"/>
        <v>0</v>
      </c>
      <c r="I161" s="39">
        <f t="shared" si="64"/>
        <v>0</v>
      </c>
      <c r="J161" s="39">
        <f t="shared" si="65"/>
        <v>0</v>
      </c>
      <c r="M161" s="7"/>
    </row>
    <row r="162" spans="1:19" x14ac:dyDescent="0.25">
      <c r="A162" s="1" t="s">
        <v>4</v>
      </c>
      <c r="B162" s="39">
        <f t="shared" si="64"/>
        <v>0</v>
      </c>
      <c r="C162" s="39">
        <f t="shared" si="64"/>
        <v>0</v>
      </c>
      <c r="D162" s="39">
        <f t="shared" si="64"/>
        <v>0</v>
      </c>
      <c r="E162" s="39">
        <f t="shared" si="64"/>
        <v>0</v>
      </c>
      <c r="F162" s="39">
        <f t="shared" si="64"/>
        <v>0</v>
      </c>
      <c r="G162" s="39">
        <f t="shared" si="64"/>
        <v>0</v>
      </c>
      <c r="H162" s="39">
        <f t="shared" si="64"/>
        <v>0</v>
      </c>
      <c r="I162" s="39">
        <f t="shared" si="64"/>
        <v>0</v>
      </c>
      <c r="J162" s="39">
        <f t="shared" si="65"/>
        <v>0</v>
      </c>
      <c r="M162" s="7"/>
    </row>
    <row r="163" spans="1:19" x14ac:dyDescent="0.25">
      <c r="A163" s="1" t="s">
        <v>51</v>
      </c>
      <c r="B163" s="39">
        <f t="shared" si="64"/>
        <v>0</v>
      </c>
      <c r="C163" s="39">
        <f t="shared" si="64"/>
        <v>0</v>
      </c>
      <c r="D163" s="39">
        <f t="shared" si="64"/>
        <v>0</v>
      </c>
      <c r="E163" s="39">
        <f t="shared" si="64"/>
        <v>0</v>
      </c>
      <c r="F163" s="39">
        <f t="shared" si="64"/>
        <v>0</v>
      </c>
      <c r="G163" s="39">
        <f t="shared" si="64"/>
        <v>0</v>
      </c>
      <c r="H163" s="39">
        <f t="shared" si="64"/>
        <v>0</v>
      </c>
      <c r="I163" s="39">
        <f t="shared" si="64"/>
        <v>0</v>
      </c>
      <c r="J163" s="39">
        <f t="shared" si="65"/>
        <v>0</v>
      </c>
      <c r="M163" s="7"/>
    </row>
    <row r="164" spans="1:19" x14ac:dyDescent="0.25">
      <c r="A164" s="1" t="s">
        <v>85</v>
      </c>
      <c r="B164" s="39">
        <f t="shared" si="64"/>
        <v>0</v>
      </c>
      <c r="C164" s="39">
        <f t="shared" si="64"/>
        <v>0</v>
      </c>
      <c r="D164" s="39">
        <f t="shared" si="64"/>
        <v>0</v>
      </c>
      <c r="E164" s="39">
        <f t="shared" si="64"/>
        <v>0</v>
      </c>
      <c r="F164" s="39">
        <f t="shared" si="64"/>
        <v>0</v>
      </c>
      <c r="G164" s="39">
        <f t="shared" si="64"/>
        <v>0</v>
      </c>
      <c r="H164" s="39">
        <f t="shared" si="64"/>
        <v>0</v>
      </c>
      <c r="I164" s="39">
        <f t="shared" si="64"/>
        <v>0</v>
      </c>
      <c r="J164" s="39">
        <f t="shared" si="65"/>
        <v>0</v>
      </c>
      <c r="M164" s="7"/>
    </row>
    <row r="165" spans="1:19" x14ac:dyDescent="0.25">
      <c r="A165" s="1" t="s">
        <v>2</v>
      </c>
      <c r="B165" s="39">
        <f t="shared" si="64"/>
        <v>0</v>
      </c>
      <c r="C165" s="39">
        <f t="shared" si="64"/>
        <v>0</v>
      </c>
      <c r="D165" s="39">
        <f t="shared" si="64"/>
        <v>61.900000000000006</v>
      </c>
      <c r="E165" s="39">
        <f t="shared" si="64"/>
        <v>952.13</v>
      </c>
      <c r="F165" s="39">
        <f t="shared" si="64"/>
        <v>0</v>
      </c>
      <c r="G165" s="39">
        <f t="shared" si="64"/>
        <v>0</v>
      </c>
      <c r="H165" s="39">
        <f t="shared" si="64"/>
        <v>0</v>
      </c>
      <c r="I165" s="39">
        <f t="shared" si="64"/>
        <v>0</v>
      </c>
      <c r="J165" s="39">
        <f>SUM(B165:I165)</f>
        <v>1014.03</v>
      </c>
      <c r="M165" s="7"/>
    </row>
    <row r="166" spans="1:19" x14ac:dyDescent="0.25">
      <c r="A166" s="1" t="s">
        <v>86</v>
      </c>
      <c r="B166" s="39">
        <f t="shared" si="64"/>
        <v>0</v>
      </c>
      <c r="C166" s="39">
        <f t="shared" si="64"/>
        <v>0</v>
      </c>
      <c r="D166" s="39">
        <f t="shared" si="64"/>
        <v>0</v>
      </c>
      <c r="E166" s="39">
        <f t="shared" si="64"/>
        <v>0</v>
      </c>
      <c r="F166" s="39">
        <f t="shared" si="64"/>
        <v>0</v>
      </c>
      <c r="G166" s="39">
        <f t="shared" si="64"/>
        <v>0</v>
      </c>
      <c r="H166" s="39">
        <f t="shared" si="64"/>
        <v>0</v>
      </c>
      <c r="I166" s="39">
        <f t="shared" si="64"/>
        <v>0</v>
      </c>
      <c r="J166" s="39">
        <f t="shared" si="65"/>
        <v>0</v>
      </c>
      <c r="M166" s="183" t="s">
        <v>62</v>
      </c>
    </row>
    <row r="167" spans="1:19" x14ac:dyDescent="0.25">
      <c r="A167" s="1" t="s">
        <v>29</v>
      </c>
      <c r="B167" s="39">
        <f t="shared" si="64"/>
        <v>0</v>
      </c>
      <c r="C167" s="39">
        <f t="shared" si="64"/>
        <v>0</v>
      </c>
      <c r="D167" s="39">
        <f t="shared" si="64"/>
        <v>0</v>
      </c>
      <c r="E167" s="39">
        <f t="shared" si="64"/>
        <v>0</v>
      </c>
      <c r="F167" s="39">
        <f t="shared" si="64"/>
        <v>0</v>
      </c>
      <c r="G167" s="39">
        <f t="shared" si="64"/>
        <v>0</v>
      </c>
      <c r="H167" s="39">
        <f t="shared" si="64"/>
        <v>0</v>
      </c>
      <c r="I167" s="39">
        <f t="shared" si="64"/>
        <v>0</v>
      </c>
      <c r="J167" s="39">
        <f t="shared" si="65"/>
        <v>0</v>
      </c>
      <c r="M167" s="183"/>
    </row>
    <row r="168" spans="1:19" x14ac:dyDescent="0.25">
      <c r="A168" s="1" t="s">
        <v>52</v>
      </c>
      <c r="B168" s="39">
        <f t="shared" si="64"/>
        <v>0</v>
      </c>
      <c r="C168" s="39">
        <f t="shared" si="64"/>
        <v>0</v>
      </c>
      <c r="D168" s="39">
        <f t="shared" si="64"/>
        <v>0</v>
      </c>
      <c r="E168" s="39">
        <f t="shared" si="64"/>
        <v>0</v>
      </c>
      <c r="F168" s="39">
        <f t="shared" si="64"/>
        <v>0</v>
      </c>
      <c r="G168" s="39">
        <f t="shared" si="64"/>
        <v>0</v>
      </c>
      <c r="H168" s="39">
        <f t="shared" si="64"/>
        <v>0</v>
      </c>
      <c r="I168" s="39">
        <f t="shared" si="64"/>
        <v>0</v>
      </c>
      <c r="J168" s="39">
        <f t="shared" si="65"/>
        <v>0</v>
      </c>
      <c r="L168" s="35" t="s">
        <v>278</v>
      </c>
      <c r="M168" s="183" t="s">
        <v>63</v>
      </c>
    </row>
    <row r="169" spans="1:19" x14ac:dyDescent="0.25">
      <c r="A169" s="1" t="s">
        <v>1</v>
      </c>
      <c r="B169" s="40">
        <f t="shared" si="64"/>
        <v>0</v>
      </c>
      <c r="C169" s="40">
        <f t="shared" si="64"/>
        <v>0</v>
      </c>
      <c r="D169" s="40">
        <f t="shared" si="64"/>
        <v>0</v>
      </c>
      <c r="E169" s="40">
        <f t="shared" si="64"/>
        <v>0</v>
      </c>
      <c r="F169" s="40">
        <f t="shared" si="64"/>
        <v>0</v>
      </c>
      <c r="G169" s="40">
        <f t="shared" si="64"/>
        <v>0</v>
      </c>
      <c r="H169" s="40">
        <f t="shared" si="64"/>
        <v>0</v>
      </c>
      <c r="I169" s="40">
        <f t="shared" si="64"/>
        <v>0</v>
      </c>
      <c r="J169" s="40">
        <f t="shared" si="65"/>
        <v>0</v>
      </c>
      <c r="L169" s="42" t="s">
        <v>61</v>
      </c>
      <c r="M169" s="184"/>
    </row>
    <row r="170" spans="1:19" x14ac:dyDescent="0.25">
      <c r="A170" s="4"/>
      <c r="B170" s="39">
        <f>SUM(B153:B169)</f>
        <v>0</v>
      </c>
      <c r="C170" s="39">
        <f t="shared" ref="C170:J170" si="66">SUM(C153:C169)</f>
        <v>0</v>
      </c>
      <c r="D170" s="39">
        <f t="shared" si="66"/>
        <v>61.900000000000006</v>
      </c>
      <c r="E170" s="39">
        <f t="shared" si="66"/>
        <v>952.13</v>
      </c>
      <c r="F170" s="39">
        <f t="shared" si="66"/>
        <v>0</v>
      </c>
      <c r="G170" s="39">
        <f t="shared" si="66"/>
        <v>0</v>
      </c>
      <c r="H170" s="39">
        <f t="shared" si="66"/>
        <v>0</v>
      </c>
      <c r="I170" s="39">
        <f t="shared" si="66"/>
        <v>0</v>
      </c>
      <c r="J170" s="39">
        <f t="shared" si="66"/>
        <v>1014.03</v>
      </c>
      <c r="L170" s="108">
        <v>0</v>
      </c>
      <c r="M170" s="7">
        <f>J170-L170</f>
        <v>1014.03</v>
      </c>
      <c r="N170" s="115" t="s">
        <v>290</v>
      </c>
      <c r="O170" s="115"/>
      <c r="P170" s="115"/>
      <c r="Q170" s="115"/>
      <c r="R170" s="115"/>
      <c r="S170" s="115"/>
    </row>
    <row r="171" spans="1:19" ht="15.75" thickBot="1" x14ac:dyDescent="0.3">
      <c r="A171" s="4"/>
      <c r="B171" s="39"/>
      <c r="C171" s="39"/>
      <c r="D171" s="39"/>
      <c r="E171" s="39"/>
      <c r="F171" s="39"/>
      <c r="G171" s="39"/>
      <c r="H171" s="39"/>
      <c r="I171" s="39"/>
      <c r="J171" s="39"/>
      <c r="L171" s="114"/>
      <c r="M171" s="7"/>
    </row>
    <row r="172" spans="1:19" ht="15.75" thickBot="1" x14ac:dyDescent="0.3">
      <c r="A172" s="170" t="s">
        <v>30</v>
      </c>
      <c r="B172" s="171"/>
      <c r="C172" s="171"/>
      <c r="D172" s="171"/>
      <c r="E172" s="171"/>
      <c r="F172" s="171"/>
      <c r="G172" s="171"/>
      <c r="H172" s="171"/>
      <c r="I172" s="171"/>
      <c r="J172" s="172"/>
      <c r="M172" s="7"/>
    </row>
    <row r="173" spans="1:19" x14ac:dyDescent="0.25">
      <c r="A173" s="4" t="s">
        <v>16</v>
      </c>
      <c r="B173" s="5" t="s">
        <v>15</v>
      </c>
      <c r="C173" s="5" t="s">
        <v>14</v>
      </c>
      <c r="D173" s="5" t="s">
        <v>13</v>
      </c>
      <c r="E173" s="5" t="s">
        <v>12</v>
      </c>
      <c r="F173" s="5" t="s">
        <v>93</v>
      </c>
      <c r="G173" s="5" t="s">
        <v>94</v>
      </c>
      <c r="H173" s="5" t="s">
        <v>38</v>
      </c>
      <c r="I173" s="5" t="s">
        <v>9</v>
      </c>
      <c r="J173" s="5" t="s">
        <v>0</v>
      </c>
      <c r="M173" s="7"/>
    </row>
    <row r="174" spans="1:19" x14ac:dyDescent="0.25">
      <c r="A174" s="1" t="s">
        <v>49</v>
      </c>
      <c r="B174" s="39">
        <f>B112-B153</f>
        <v>0</v>
      </c>
      <c r="C174" s="39">
        <f t="shared" ref="C174:H176" si="67">C112-C153</f>
        <v>0</v>
      </c>
      <c r="D174" s="39">
        <f t="shared" si="67"/>
        <v>0</v>
      </c>
      <c r="E174" s="39">
        <f t="shared" si="67"/>
        <v>0</v>
      </c>
      <c r="F174" s="39">
        <f t="shared" si="67"/>
        <v>0</v>
      </c>
      <c r="G174" s="39">
        <f t="shared" si="67"/>
        <v>0</v>
      </c>
      <c r="H174" s="39">
        <f t="shared" si="67"/>
        <v>0</v>
      </c>
      <c r="I174" s="39">
        <f t="shared" ref="I174" si="68">I112-I153</f>
        <v>0</v>
      </c>
      <c r="J174" s="39">
        <f>SUM(B174:I174)</f>
        <v>0</v>
      </c>
      <c r="M174" s="7"/>
    </row>
    <row r="175" spans="1:19" x14ac:dyDescent="0.25">
      <c r="A175" s="1" t="s">
        <v>8</v>
      </c>
      <c r="B175" s="39">
        <f>B113-B154</f>
        <v>0</v>
      </c>
      <c r="C175" s="39">
        <f t="shared" si="67"/>
        <v>0</v>
      </c>
      <c r="D175" s="39">
        <f t="shared" si="67"/>
        <v>0</v>
      </c>
      <c r="E175" s="39">
        <f t="shared" si="67"/>
        <v>0</v>
      </c>
      <c r="F175" s="39">
        <f t="shared" si="67"/>
        <v>0</v>
      </c>
      <c r="G175" s="39">
        <f t="shared" si="67"/>
        <v>0</v>
      </c>
      <c r="H175" s="39">
        <f t="shared" si="67"/>
        <v>0</v>
      </c>
      <c r="I175" s="39">
        <f t="shared" ref="I175" si="69">I113-I154</f>
        <v>0</v>
      </c>
      <c r="J175" s="39">
        <f t="shared" ref="J175:J190" si="70">SUM(B175:I175)</f>
        <v>0</v>
      </c>
      <c r="M175" s="7"/>
    </row>
    <row r="176" spans="1:19" x14ac:dyDescent="0.25">
      <c r="A176" s="1" t="s">
        <v>7</v>
      </c>
      <c r="B176" s="39">
        <f>B114-B155</f>
        <v>0</v>
      </c>
      <c r="C176" s="39">
        <f t="shared" si="67"/>
        <v>0</v>
      </c>
      <c r="D176" s="39">
        <f t="shared" si="67"/>
        <v>0</v>
      </c>
      <c r="E176" s="39">
        <f t="shared" si="67"/>
        <v>0</v>
      </c>
      <c r="F176" s="39">
        <f t="shared" si="67"/>
        <v>0</v>
      </c>
      <c r="G176" s="39">
        <f t="shared" si="67"/>
        <v>0</v>
      </c>
      <c r="H176" s="39">
        <f t="shared" si="67"/>
        <v>0</v>
      </c>
      <c r="I176" s="39">
        <f t="shared" ref="I176" si="71">I114-I155</f>
        <v>0</v>
      </c>
      <c r="J176" s="39">
        <f t="shared" si="70"/>
        <v>0</v>
      </c>
      <c r="M176" s="7"/>
    </row>
    <row r="177" spans="1:13" x14ac:dyDescent="0.25">
      <c r="A177" s="1" t="s">
        <v>42</v>
      </c>
      <c r="B177" s="39">
        <f t="shared" ref="B177:H190" si="72">B115-B156</f>
        <v>0</v>
      </c>
      <c r="C177" s="39">
        <f t="shared" si="72"/>
        <v>0</v>
      </c>
      <c r="D177" s="39">
        <f t="shared" si="72"/>
        <v>0</v>
      </c>
      <c r="E177" s="39">
        <f t="shared" si="72"/>
        <v>0</v>
      </c>
      <c r="F177" s="39">
        <f t="shared" si="72"/>
        <v>0</v>
      </c>
      <c r="G177" s="39">
        <f t="shared" si="72"/>
        <v>0</v>
      </c>
      <c r="H177" s="39">
        <f t="shared" si="72"/>
        <v>0</v>
      </c>
      <c r="I177" s="39">
        <f t="shared" ref="I177" si="73">I115-I156</f>
        <v>0</v>
      </c>
      <c r="J177" s="39">
        <f t="shared" si="70"/>
        <v>0</v>
      </c>
      <c r="M177" s="7"/>
    </row>
    <row r="178" spans="1:13" x14ac:dyDescent="0.25">
      <c r="A178" s="1" t="s">
        <v>6</v>
      </c>
      <c r="B178" s="39">
        <f t="shared" si="72"/>
        <v>0</v>
      </c>
      <c r="C178" s="39">
        <f t="shared" si="72"/>
        <v>0</v>
      </c>
      <c r="D178" s="39">
        <f t="shared" si="72"/>
        <v>0</v>
      </c>
      <c r="E178" s="39">
        <f t="shared" si="72"/>
        <v>0</v>
      </c>
      <c r="F178" s="39">
        <f t="shared" si="72"/>
        <v>0</v>
      </c>
      <c r="G178" s="39">
        <f t="shared" si="72"/>
        <v>0</v>
      </c>
      <c r="H178" s="39">
        <f t="shared" si="72"/>
        <v>0</v>
      </c>
      <c r="I178" s="39">
        <f t="shared" ref="I178" si="74">I116-I157</f>
        <v>0</v>
      </c>
      <c r="J178" s="39">
        <f t="shared" si="70"/>
        <v>0</v>
      </c>
      <c r="M178" s="7"/>
    </row>
    <row r="179" spans="1:13" x14ac:dyDescent="0.25">
      <c r="A179" s="1" t="s">
        <v>50</v>
      </c>
      <c r="B179" s="39">
        <f t="shared" si="72"/>
        <v>0</v>
      </c>
      <c r="C179" s="39">
        <f t="shared" si="72"/>
        <v>0</v>
      </c>
      <c r="D179" s="39">
        <f t="shared" si="72"/>
        <v>0</v>
      </c>
      <c r="E179" s="39">
        <f t="shared" si="72"/>
        <v>0</v>
      </c>
      <c r="F179" s="39">
        <f t="shared" si="72"/>
        <v>0</v>
      </c>
      <c r="G179" s="39">
        <f t="shared" si="72"/>
        <v>0</v>
      </c>
      <c r="H179" s="39">
        <f t="shared" si="72"/>
        <v>0</v>
      </c>
      <c r="I179" s="39">
        <f t="shared" ref="I179" si="75">I117-I158</f>
        <v>0</v>
      </c>
      <c r="J179" s="39">
        <f>SUM(B179:I179)</f>
        <v>0</v>
      </c>
      <c r="M179" s="7"/>
    </row>
    <row r="180" spans="1:13" x14ac:dyDescent="0.25">
      <c r="A180" s="1" t="s">
        <v>89</v>
      </c>
      <c r="B180" s="39">
        <f t="shared" si="72"/>
        <v>0</v>
      </c>
      <c r="C180" s="39">
        <f t="shared" si="72"/>
        <v>0</v>
      </c>
      <c r="D180" s="39">
        <f t="shared" si="72"/>
        <v>0</v>
      </c>
      <c r="E180" s="39">
        <f t="shared" si="72"/>
        <v>0</v>
      </c>
      <c r="F180" s="39">
        <f t="shared" si="72"/>
        <v>0</v>
      </c>
      <c r="G180" s="39">
        <f t="shared" si="72"/>
        <v>0</v>
      </c>
      <c r="H180" s="39">
        <f t="shared" si="72"/>
        <v>0</v>
      </c>
      <c r="I180" s="39">
        <f t="shared" ref="I180" si="76">I118-I159</f>
        <v>0</v>
      </c>
      <c r="J180" s="39">
        <f t="shared" si="70"/>
        <v>0</v>
      </c>
      <c r="M180" s="7"/>
    </row>
    <row r="181" spans="1:13" x14ac:dyDescent="0.25">
      <c r="A181" s="1" t="s">
        <v>5</v>
      </c>
      <c r="B181" s="39">
        <f t="shared" si="72"/>
        <v>0</v>
      </c>
      <c r="C181" s="39">
        <f t="shared" si="72"/>
        <v>0</v>
      </c>
      <c r="D181" s="39">
        <f t="shared" si="72"/>
        <v>0</v>
      </c>
      <c r="E181" s="39">
        <f t="shared" si="72"/>
        <v>0</v>
      </c>
      <c r="F181" s="39">
        <f t="shared" si="72"/>
        <v>0</v>
      </c>
      <c r="G181" s="39">
        <f t="shared" si="72"/>
        <v>0</v>
      </c>
      <c r="H181" s="39">
        <f t="shared" si="72"/>
        <v>0</v>
      </c>
      <c r="I181" s="39">
        <f t="shared" ref="I181" si="77">I119-I160</f>
        <v>0</v>
      </c>
      <c r="J181" s="39">
        <f t="shared" si="70"/>
        <v>0</v>
      </c>
      <c r="M181" s="7"/>
    </row>
    <row r="182" spans="1:13" x14ac:dyDescent="0.25">
      <c r="A182" s="1" t="s">
        <v>84</v>
      </c>
      <c r="B182" s="39">
        <f t="shared" si="72"/>
        <v>0</v>
      </c>
      <c r="C182" s="39">
        <f t="shared" si="72"/>
        <v>0</v>
      </c>
      <c r="D182" s="39">
        <f t="shared" si="72"/>
        <v>0</v>
      </c>
      <c r="E182" s="39">
        <f t="shared" si="72"/>
        <v>0</v>
      </c>
      <c r="F182" s="39">
        <f t="shared" si="72"/>
        <v>0</v>
      </c>
      <c r="G182" s="39">
        <f t="shared" si="72"/>
        <v>0</v>
      </c>
      <c r="H182" s="39">
        <f t="shared" si="72"/>
        <v>0</v>
      </c>
      <c r="I182" s="39">
        <f t="shared" ref="I182" si="78">I120-I161</f>
        <v>0</v>
      </c>
      <c r="J182" s="39">
        <f t="shared" si="70"/>
        <v>0</v>
      </c>
      <c r="M182" s="7"/>
    </row>
    <row r="183" spans="1:13" x14ac:dyDescent="0.25">
      <c r="A183" s="1" t="s">
        <v>4</v>
      </c>
      <c r="B183" s="39">
        <f t="shared" si="72"/>
        <v>0</v>
      </c>
      <c r="C183" s="39">
        <f t="shared" si="72"/>
        <v>0</v>
      </c>
      <c r="D183" s="39">
        <f t="shared" si="72"/>
        <v>0</v>
      </c>
      <c r="E183" s="39">
        <f t="shared" si="72"/>
        <v>0</v>
      </c>
      <c r="F183" s="39">
        <f t="shared" si="72"/>
        <v>0</v>
      </c>
      <c r="G183" s="39">
        <f t="shared" si="72"/>
        <v>0</v>
      </c>
      <c r="H183" s="39">
        <f t="shared" si="72"/>
        <v>0</v>
      </c>
      <c r="I183" s="39">
        <f t="shared" ref="I183" si="79">I121-I162</f>
        <v>0</v>
      </c>
      <c r="J183" s="39">
        <f t="shared" si="70"/>
        <v>0</v>
      </c>
      <c r="M183" s="7"/>
    </row>
    <row r="184" spans="1:13" x14ac:dyDescent="0.25">
      <c r="A184" s="1" t="s">
        <v>51</v>
      </c>
      <c r="B184" s="39">
        <f t="shared" si="72"/>
        <v>0</v>
      </c>
      <c r="C184" s="39">
        <f t="shared" si="72"/>
        <v>0</v>
      </c>
      <c r="D184" s="39">
        <f t="shared" si="72"/>
        <v>0</v>
      </c>
      <c r="E184" s="39">
        <f t="shared" si="72"/>
        <v>0</v>
      </c>
      <c r="F184" s="39">
        <f t="shared" si="72"/>
        <v>0</v>
      </c>
      <c r="G184" s="39">
        <f t="shared" si="72"/>
        <v>0</v>
      </c>
      <c r="H184" s="39">
        <f t="shared" si="72"/>
        <v>0</v>
      </c>
      <c r="I184" s="39">
        <f t="shared" ref="I184" si="80">I122-I163</f>
        <v>0</v>
      </c>
      <c r="J184" s="39">
        <f t="shared" si="70"/>
        <v>0</v>
      </c>
      <c r="M184" s="7"/>
    </row>
    <row r="185" spans="1:13" x14ac:dyDescent="0.25">
      <c r="A185" s="1" t="s">
        <v>85</v>
      </c>
      <c r="B185" s="39">
        <f t="shared" si="72"/>
        <v>0</v>
      </c>
      <c r="C185" s="39">
        <f t="shared" si="72"/>
        <v>0</v>
      </c>
      <c r="D185" s="39">
        <f t="shared" si="72"/>
        <v>0</v>
      </c>
      <c r="E185" s="39">
        <f t="shared" si="72"/>
        <v>0</v>
      </c>
      <c r="F185" s="39">
        <f t="shared" si="72"/>
        <v>0</v>
      </c>
      <c r="G185" s="39">
        <f t="shared" si="72"/>
        <v>0</v>
      </c>
      <c r="H185" s="39">
        <f t="shared" si="72"/>
        <v>0</v>
      </c>
      <c r="I185" s="39">
        <f t="shared" ref="I185" si="81">I123-I164</f>
        <v>0</v>
      </c>
      <c r="J185" s="39">
        <f t="shared" si="70"/>
        <v>0</v>
      </c>
      <c r="M185" s="7"/>
    </row>
    <row r="186" spans="1:13" x14ac:dyDescent="0.25">
      <c r="A186" s="1" t="s">
        <v>2</v>
      </c>
      <c r="B186" s="39">
        <f t="shared" si="72"/>
        <v>310.5</v>
      </c>
      <c r="C186" s="39">
        <f t="shared" si="72"/>
        <v>0</v>
      </c>
      <c r="D186" s="39">
        <f t="shared" si="72"/>
        <v>557.1</v>
      </c>
      <c r="E186" s="39">
        <f t="shared" si="72"/>
        <v>952.13</v>
      </c>
      <c r="F186" s="39">
        <f t="shared" si="72"/>
        <v>0</v>
      </c>
      <c r="G186" s="39">
        <f t="shared" si="72"/>
        <v>0</v>
      </c>
      <c r="H186" s="39">
        <f t="shared" si="72"/>
        <v>0</v>
      </c>
      <c r="I186" s="39">
        <f t="shared" ref="I186" si="82">I124-I165</f>
        <v>0</v>
      </c>
      <c r="J186" s="39">
        <f t="shared" si="70"/>
        <v>1819.73</v>
      </c>
      <c r="M186" s="7"/>
    </row>
    <row r="187" spans="1:13" x14ac:dyDescent="0.25">
      <c r="A187" s="1" t="s">
        <v>86</v>
      </c>
      <c r="B187" s="39">
        <f t="shared" si="72"/>
        <v>0</v>
      </c>
      <c r="C187" s="39">
        <f t="shared" si="72"/>
        <v>0</v>
      </c>
      <c r="D187" s="39">
        <f t="shared" si="72"/>
        <v>0</v>
      </c>
      <c r="E187" s="39">
        <f t="shared" si="72"/>
        <v>0</v>
      </c>
      <c r="F187" s="39">
        <f t="shared" si="72"/>
        <v>0</v>
      </c>
      <c r="G187" s="39">
        <f t="shared" si="72"/>
        <v>0</v>
      </c>
      <c r="H187" s="39">
        <f t="shared" si="72"/>
        <v>0</v>
      </c>
      <c r="I187" s="39">
        <f t="shared" ref="I187" si="83">I125-I166</f>
        <v>0</v>
      </c>
      <c r="J187" s="39">
        <f t="shared" si="70"/>
        <v>0</v>
      </c>
      <c r="M187" s="7"/>
    </row>
    <row r="188" spans="1:13" x14ac:dyDescent="0.25">
      <c r="A188" s="1" t="s">
        <v>29</v>
      </c>
      <c r="B188" s="39">
        <f t="shared" si="72"/>
        <v>0</v>
      </c>
      <c r="C188" s="39">
        <f t="shared" si="72"/>
        <v>0</v>
      </c>
      <c r="D188" s="39">
        <f t="shared" si="72"/>
        <v>0</v>
      </c>
      <c r="E188" s="39">
        <f t="shared" si="72"/>
        <v>0</v>
      </c>
      <c r="F188" s="39">
        <f t="shared" si="72"/>
        <v>0</v>
      </c>
      <c r="G188" s="39">
        <f t="shared" si="72"/>
        <v>0</v>
      </c>
      <c r="H188" s="39">
        <f t="shared" si="72"/>
        <v>0</v>
      </c>
      <c r="I188" s="39">
        <f t="shared" ref="I188" si="84">I126-I167</f>
        <v>0</v>
      </c>
      <c r="J188" s="39">
        <f t="shared" si="70"/>
        <v>0</v>
      </c>
      <c r="M188" s="7"/>
    </row>
    <row r="189" spans="1:13" x14ac:dyDescent="0.25">
      <c r="A189" s="1" t="s">
        <v>52</v>
      </c>
      <c r="B189" s="39">
        <f t="shared" si="72"/>
        <v>0</v>
      </c>
      <c r="C189" s="39">
        <f t="shared" si="72"/>
        <v>0</v>
      </c>
      <c r="D189" s="39">
        <f t="shared" si="72"/>
        <v>0</v>
      </c>
      <c r="E189" s="39">
        <f t="shared" si="72"/>
        <v>0</v>
      </c>
      <c r="F189" s="39">
        <f t="shared" si="72"/>
        <v>0</v>
      </c>
      <c r="G189" s="39">
        <f t="shared" si="72"/>
        <v>0</v>
      </c>
      <c r="H189" s="39">
        <f t="shared" si="72"/>
        <v>0</v>
      </c>
      <c r="I189" s="39">
        <f t="shared" ref="I189" si="85">I127-I168</f>
        <v>0</v>
      </c>
      <c r="J189" s="39">
        <f t="shared" si="70"/>
        <v>0</v>
      </c>
      <c r="M189" s="7"/>
    </row>
    <row r="190" spans="1:13" x14ac:dyDescent="0.25">
      <c r="A190" s="1" t="s">
        <v>1</v>
      </c>
      <c r="B190" s="40">
        <f t="shared" si="72"/>
        <v>0</v>
      </c>
      <c r="C190" s="40">
        <f t="shared" si="72"/>
        <v>0</v>
      </c>
      <c r="D190" s="40">
        <f t="shared" si="72"/>
        <v>0</v>
      </c>
      <c r="E190" s="40">
        <f t="shared" si="72"/>
        <v>0</v>
      </c>
      <c r="F190" s="40">
        <f t="shared" si="72"/>
        <v>0</v>
      </c>
      <c r="G190" s="40">
        <f t="shared" si="72"/>
        <v>0</v>
      </c>
      <c r="H190" s="40">
        <f t="shared" si="72"/>
        <v>0</v>
      </c>
      <c r="I190" s="40">
        <f t="shared" ref="I190" si="86">I128-I169</f>
        <v>0</v>
      </c>
      <c r="J190" s="40">
        <f t="shared" si="70"/>
        <v>0</v>
      </c>
      <c r="M190" s="7"/>
    </row>
    <row r="191" spans="1:13" x14ac:dyDescent="0.25">
      <c r="A191" s="4"/>
      <c r="B191" s="39">
        <f>SUM(B174:B190)</f>
        <v>310.5</v>
      </c>
      <c r="C191" s="39">
        <f t="shared" ref="C191:J191" si="87">SUM(C174:C190)</f>
        <v>0</v>
      </c>
      <c r="D191" s="39">
        <f t="shared" si="87"/>
        <v>557.1</v>
      </c>
      <c r="E191" s="39">
        <f t="shared" si="87"/>
        <v>952.13</v>
      </c>
      <c r="F191" s="39">
        <f t="shared" si="87"/>
        <v>0</v>
      </c>
      <c r="G191" s="39">
        <f t="shared" si="87"/>
        <v>0</v>
      </c>
      <c r="H191" s="39">
        <f t="shared" si="87"/>
        <v>0</v>
      </c>
      <c r="I191" s="39">
        <f t="shared" si="87"/>
        <v>0</v>
      </c>
      <c r="J191" s="39">
        <f t="shared" si="87"/>
        <v>1819.73</v>
      </c>
      <c r="M191" s="7"/>
    </row>
    <row r="192" spans="1:13" x14ac:dyDescent="0.25">
      <c r="A192" s="4"/>
      <c r="B192" s="39"/>
      <c r="C192" s="39"/>
      <c r="D192" s="39"/>
      <c r="E192" s="39"/>
      <c r="F192" s="39"/>
      <c r="G192" s="39"/>
      <c r="H192" s="39"/>
      <c r="I192" s="39"/>
      <c r="J192" s="39"/>
      <c r="M192" s="7"/>
    </row>
    <row r="193" spans="1:13" x14ac:dyDescent="0.25">
      <c r="A193" s="4"/>
      <c r="B193" s="39"/>
      <c r="C193" s="39"/>
      <c r="D193" s="39"/>
      <c r="E193" s="39"/>
      <c r="F193" s="39"/>
      <c r="G193" s="39"/>
      <c r="H193" s="39"/>
      <c r="I193" s="39"/>
      <c r="J193" s="39"/>
      <c r="M193" s="7"/>
    </row>
    <row r="194" spans="1:13" x14ac:dyDescent="0.25">
      <c r="A194" s="4"/>
      <c r="B194" s="39"/>
      <c r="C194" s="39"/>
      <c r="D194" s="39"/>
      <c r="E194" s="39"/>
      <c r="F194" s="39"/>
      <c r="G194" s="39"/>
      <c r="H194" s="39"/>
      <c r="I194" s="39"/>
      <c r="J194" s="39"/>
      <c r="M194" s="7"/>
    </row>
    <row r="195" spans="1:13" x14ac:dyDescent="0.25">
      <c r="A195" s="4"/>
      <c r="B195" s="39"/>
      <c r="C195" s="39"/>
      <c r="D195" s="39"/>
      <c r="E195" s="39"/>
      <c r="F195" s="39"/>
      <c r="G195" s="39"/>
      <c r="H195" s="39"/>
      <c r="I195" s="39"/>
      <c r="J195" s="39"/>
      <c r="M195" s="7"/>
    </row>
    <row r="196" spans="1:13" x14ac:dyDescent="0.25">
      <c r="A196" s="4"/>
      <c r="B196" s="39"/>
      <c r="C196" s="39"/>
      <c r="D196" s="39"/>
      <c r="E196" s="39"/>
      <c r="F196" s="39"/>
      <c r="G196" s="39"/>
      <c r="H196" s="39"/>
      <c r="I196" s="39"/>
      <c r="J196" s="39"/>
      <c r="M196" s="7"/>
    </row>
    <row r="197" spans="1:13" x14ac:dyDescent="0.25">
      <c r="A197" s="4"/>
      <c r="B197" s="39"/>
      <c r="C197" s="39"/>
      <c r="D197" s="39"/>
      <c r="E197" s="39"/>
      <c r="F197" s="39"/>
      <c r="G197" s="39"/>
      <c r="H197" s="39"/>
      <c r="I197" s="39"/>
      <c r="J197" s="39"/>
      <c r="M197" s="7"/>
    </row>
    <row r="198" spans="1:13" x14ac:dyDescent="0.25">
      <c r="A198" s="4"/>
      <c r="B198" s="39"/>
      <c r="C198" s="39"/>
      <c r="D198" s="39"/>
      <c r="E198" s="39"/>
      <c r="F198" s="39"/>
      <c r="G198" s="39"/>
      <c r="H198" s="39"/>
      <c r="I198" s="39"/>
      <c r="J198" s="39"/>
      <c r="M198" s="7"/>
    </row>
    <row r="199" spans="1:13" x14ac:dyDescent="0.25">
      <c r="A199" s="1"/>
      <c r="B199" s="9"/>
      <c r="C199" s="9"/>
      <c r="D199" s="9"/>
      <c r="E199" s="9"/>
      <c r="F199" s="9"/>
      <c r="G199" s="9"/>
      <c r="H199" s="9"/>
      <c r="I199" s="9"/>
      <c r="J199" s="9"/>
      <c r="M199" s="7"/>
    </row>
    <row r="200" spans="1:13" x14ac:dyDescent="0.25">
      <c r="A200" s="1"/>
      <c r="B200" s="9"/>
      <c r="C200" s="9"/>
      <c r="D200" s="9"/>
      <c r="E200" s="9"/>
      <c r="F200" s="9"/>
      <c r="G200" s="9"/>
      <c r="H200" s="9"/>
      <c r="I200" s="9"/>
      <c r="J200" s="9"/>
      <c r="M200" s="7"/>
    </row>
  </sheetData>
  <mergeCells count="18">
    <mergeCell ref="A27:J27"/>
    <mergeCell ref="A48:J48"/>
    <mergeCell ref="A1:M1"/>
    <mergeCell ref="A2:M2"/>
    <mergeCell ref="A3:M3"/>
    <mergeCell ref="A4:M4"/>
    <mergeCell ref="A6:J6"/>
    <mergeCell ref="L6:M6"/>
    <mergeCell ref="A151:J151"/>
    <mergeCell ref="M166:M167"/>
    <mergeCell ref="M168:M169"/>
    <mergeCell ref="A172:J172"/>
    <mergeCell ref="A69:J69"/>
    <mergeCell ref="A89:J89"/>
    <mergeCell ref="M104:M105"/>
    <mergeCell ref="M106:M107"/>
    <mergeCell ref="A110:J110"/>
    <mergeCell ref="A131:J131"/>
  </mergeCells>
  <pageMargins left="0.7" right="0.7" top="0.75" bottom="0.75" header="0.3" footer="0.3"/>
  <pageSetup scale="24"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Q158"/>
  <sheetViews>
    <sheetView zoomScale="85" zoomScaleNormal="85" workbookViewId="0">
      <selection activeCell="B7" sqref="B7:I7"/>
    </sheetView>
  </sheetViews>
  <sheetFormatPr defaultColWidth="9.140625" defaultRowHeight="15" x14ac:dyDescent="0.25"/>
  <cols>
    <col min="1" max="1" width="38.85546875" bestFit="1" customWidth="1"/>
    <col min="2" max="10" width="12.7109375" customWidth="1"/>
    <col min="11" max="11" width="2.5703125" customWidth="1"/>
    <col min="12" max="12" width="12.7109375" customWidth="1"/>
    <col min="13" max="13" width="30.7109375" customWidth="1"/>
    <col min="14" max="14" width="18.5703125" customWidth="1"/>
  </cols>
  <sheetData>
    <row r="1" spans="1:15" ht="18.75" x14ac:dyDescent="0.3">
      <c r="A1" s="173" t="s">
        <v>17</v>
      </c>
      <c r="B1" s="173"/>
      <c r="C1" s="173"/>
      <c r="D1" s="173"/>
      <c r="E1" s="173"/>
      <c r="F1" s="173"/>
      <c r="G1" s="173"/>
      <c r="H1" s="173"/>
      <c r="I1" s="173"/>
      <c r="J1" s="173"/>
      <c r="K1" s="173"/>
      <c r="L1" s="173"/>
      <c r="M1" s="173"/>
      <c r="O1" s="31"/>
    </row>
    <row r="2" spans="1:15" ht="15.75" x14ac:dyDescent="0.25">
      <c r="A2" s="174" t="s">
        <v>269</v>
      </c>
      <c r="B2" s="174"/>
      <c r="C2" s="174"/>
      <c r="D2" s="174"/>
      <c r="E2" s="174"/>
      <c r="F2" s="174"/>
      <c r="G2" s="174"/>
      <c r="H2" s="174"/>
      <c r="I2" s="174"/>
      <c r="J2" s="174"/>
      <c r="K2" s="174"/>
      <c r="L2" s="174"/>
      <c r="M2" s="174"/>
      <c r="O2" s="31"/>
    </row>
    <row r="3" spans="1:15" x14ac:dyDescent="0.25">
      <c r="A3" s="175" t="s">
        <v>31</v>
      </c>
      <c r="B3" s="175"/>
      <c r="C3" s="175"/>
      <c r="D3" s="175"/>
      <c r="E3" s="175"/>
      <c r="F3" s="175"/>
      <c r="G3" s="175"/>
      <c r="H3" s="175"/>
      <c r="I3" s="175"/>
      <c r="J3" s="175"/>
      <c r="K3" s="175"/>
      <c r="L3" s="175"/>
      <c r="M3" s="175"/>
    </row>
    <row r="4" spans="1:15" x14ac:dyDescent="0.25">
      <c r="A4" s="187">
        <f>'Company Summary'!A4:J4</f>
        <v>45199</v>
      </c>
      <c r="B4" s="187"/>
      <c r="C4" s="187"/>
      <c r="D4" s="187"/>
      <c r="E4" s="187"/>
      <c r="F4" s="187"/>
      <c r="G4" s="187"/>
      <c r="H4" s="187"/>
      <c r="I4" s="187"/>
      <c r="J4" s="187"/>
      <c r="K4" s="187"/>
      <c r="L4" s="187"/>
      <c r="M4" s="187"/>
    </row>
    <row r="5" spans="1:15" ht="15.75" thickBot="1" x14ac:dyDescent="0.3">
      <c r="A5" s="81"/>
      <c r="B5" s="81"/>
      <c r="C5" s="81"/>
      <c r="D5" s="81"/>
      <c r="E5" s="81"/>
      <c r="F5" s="81"/>
      <c r="G5" s="81"/>
      <c r="H5" s="81"/>
      <c r="I5" s="81"/>
      <c r="J5" s="81"/>
      <c r="K5" s="81"/>
      <c r="L5" s="81"/>
      <c r="M5" s="81"/>
    </row>
    <row r="6" spans="1:15" ht="15.75" thickBot="1" x14ac:dyDescent="0.3">
      <c r="A6" s="170" t="s">
        <v>54</v>
      </c>
      <c r="B6" s="171"/>
      <c r="C6" s="171"/>
      <c r="D6" s="171"/>
      <c r="E6" s="171"/>
      <c r="F6" s="171"/>
      <c r="G6" s="171"/>
      <c r="H6" s="171"/>
      <c r="I6" s="171"/>
      <c r="J6" s="172"/>
      <c r="L6" s="186"/>
      <c r="M6" s="186"/>
    </row>
    <row r="7" spans="1:15" x14ac:dyDescent="0.25">
      <c r="A7" s="4" t="s">
        <v>16</v>
      </c>
      <c r="B7" s="5" t="s">
        <v>15</v>
      </c>
      <c r="C7" s="5" t="s">
        <v>14</v>
      </c>
      <c r="D7" s="5" t="s">
        <v>13</v>
      </c>
      <c r="E7" s="5" t="s">
        <v>12</v>
      </c>
      <c r="F7" s="5" t="s">
        <v>93</v>
      </c>
      <c r="G7" s="5" t="s">
        <v>94</v>
      </c>
      <c r="H7" s="5" t="s">
        <v>38</v>
      </c>
      <c r="I7" s="5" t="s">
        <v>9</v>
      </c>
      <c r="J7" s="5" t="s">
        <v>0</v>
      </c>
      <c r="L7" s="4"/>
      <c r="M7" s="4"/>
    </row>
    <row r="8" spans="1:15" x14ac:dyDescent="0.25">
      <c r="A8" s="1" t="s">
        <v>49</v>
      </c>
      <c r="B8" s="33">
        <f>'Agile AR Aging &lt;-INPUT'!C75</f>
        <v>0</v>
      </c>
      <c r="C8" s="33">
        <f>'Agile AR Aging &lt;-INPUT'!D75</f>
        <v>0</v>
      </c>
      <c r="D8" s="33">
        <f>'Agile AR Aging &lt;-INPUT'!E75</f>
        <v>0</v>
      </c>
      <c r="E8" s="33">
        <f>'Agile AR Aging &lt;-INPUT'!F75</f>
        <v>0</v>
      </c>
      <c r="F8" s="33">
        <f>'Agile AR Aging &lt;-INPUT'!G75</f>
        <v>0</v>
      </c>
      <c r="G8" s="33">
        <f>'Agile AR Aging &lt;-INPUT'!H75</f>
        <v>0</v>
      </c>
      <c r="H8" s="33">
        <f>'Agile AR Aging &lt;-INPUT'!I75</f>
        <v>0</v>
      </c>
      <c r="I8" s="33">
        <f>'Agile AR Aging &lt;-INPUT'!J75</f>
        <v>0</v>
      </c>
      <c r="J8" s="2">
        <f t="shared" ref="J8:J24" si="0">SUM(B8:H8)</f>
        <v>0</v>
      </c>
      <c r="L8" s="67"/>
    </row>
    <row r="9" spans="1:15" x14ac:dyDescent="0.25">
      <c r="A9" s="1" t="s">
        <v>8</v>
      </c>
      <c r="B9" s="33">
        <f>'Agile AR Aging &lt;-INPUT'!C76</f>
        <v>0</v>
      </c>
      <c r="C9" s="33">
        <f>'Agile AR Aging &lt;-INPUT'!D76</f>
        <v>0</v>
      </c>
      <c r="D9" s="33">
        <f>'Agile AR Aging &lt;-INPUT'!E76</f>
        <v>0</v>
      </c>
      <c r="E9" s="33">
        <f>'Agile AR Aging &lt;-INPUT'!F76</f>
        <v>0</v>
      </c>
      <c r="F9" s="33">
        <f>'Agile AR Aging &lt;-INPUT'!G76</f>
        <v>0</v>
      </c>
      <c r="G9" s="33">
        <f>'Agile AR Aging &lt;-INPUT'!H76</f>
        <v>0</v>
      </c>
      <c r="H9" s="33">
        <f>'Agile AR Aging &lt;-INPUT'!I76</f>
        <v>0</v>
      </c>
      <c r="I9" s="33">
        <f>'Agile AR Aging &lt;-INPUT'!J76</f>
        <v>0</v>
      </c>
      <c r="J9" s="2">
        <f t="shared" si="0"/>
        <v>0</v>
      </c>
      <c r="L9" s="67"/>
      <c r="N9" s="68"/>
    </row>
    <row r="10" spans="1:15" x14ac:dyDescent="0.25">
      <c r="A10" s="1" t="s">
        <v>7</v>
      </c>
      <c r="B10" s="33">
        <f>'Agile AR Aging &lt;-INPUT'!C77</f>
        <v>0</v>
      </c>
      <c r="C10" s="33">
        <f>'Agile AR Aging &lt;-INPUT'!D77</f>
        <v>0</v>
      </c>
      <c r="D10" s="33">
        <f>'Agile AR Aging &lt;-INPUT'!E77</f>
        <v>0</v>
      </c>
      <c r="E10" s="33">
        <f>'Agile AR Aging &lt;-INPUT'!F77</f>
        <v>0</v>
      </c>
      <c r="F10" s="33">
        <f>'Agile AR Aging &lt;-INPUT'!G77</f>
        <v>0</v>
      </c>
      <c r="G10" s="33">
        <f>'Agile AR Aging &lt;-INPUT'!H77</f>
        <v>0</v>
      </c>
      <c r="H10" s="33">
        <f>'Agile AR Aging &lt;-INPUT'!I77</f>
        <v>0</v>
      </c>
      <c r="I10" s="33">
        <f>'Agile AR Aging &lt;-INPUT'!J77</f>
        <v>0</v>
      </c>
      <c r="J10" s="2">
        <f t="shared" si="0"/>
        <v>0</v>
      </c>
      <c r="L10" s="67"/>
      <c r="N10" s="68"/>
    </row>
    <row r="11" spans="1:15" x14ac:dyDescent="0.25">
      <c r="A11" s="1" t="s">
        <v>42</v>
      </c>
      <c r="B11" s="33">
        <f>'Agile AR Aging &lt;-INPUT'!C78</f>
        <v>0</v>
      </c>
      <c r="C11" s="33">
        <f>'Agile AR Aging &lt;-INPUT'!D78</f>
        <v>0</v>
      </c>
      <c r="D11" s="33">
        <f>'Agile AR Aging &lt;-INPUT'!E78</f>
        <v>0</v>
      </c>
      <c r="E11" s="33">
        <f>'Agile AR Aging &lt;-INPUT'!F78</f>
        <v>0</v>
      </c>
      <c r="F11" s="33">
        <f>'Agile AR Aging &lt;-INPUT'!G78</f>
        <v>0</v>
      </c>
      <c r="G11" s="33">
        <f>'Agile AR Aging &lt;-INPUT'!H78</f>
        <v>0</v>
      </c>
      <c r="H11" s="33">
        <f>'Agile AR Aging &lt;-INPUT'!I78</f>
        <v>0</v>
      </c>
      <c r="I11" s="33">
        <f>'Agile AR Aging &lt;-INPUT'!J78</f>
        <v>0</v>
      </c>
      <c r="J11" s="2">
        <f t="shared" si="0"/>
        <v>0</v>
      </c>
      <c r="L11" s="67"/>
      <c r="N11" s="68"/>
    </row>
    <row r="12" spans="1:15" x14ac:dyDescent="0.25">
      <c r="A12" s="1" t="s">
        <v>6</v>
      </c>
      <c r="B12" s="33">
        <f>'Agile AR Aging &lt;-INPUT'!C79+'Agile AR Aging &lt;-INPUT'!C80+'Agile AR Aging &lt;-INPUT'!C87+'Agile AR Aging &lt;-INPUT'!C93</f>
        <v>0</v>
      </c>
      <c r="C12" s="33">
        <f>'Agile AR Aging &lt;-INPUT'!D79+'Agile AR Aging &lt;-INPUT'!D80+'Agile AR Aging &lt;-INPUT'!D87+'Agile AR Aging &lt;-INPUT'!D93</f>
        <v>0</v>
      </c>
      <c r="D12" s="33">
        <f>'Agile AR Aging &lt;-INPUT'!E79+'Agile AR Aging &lt;-INPUT'!E80+'Agile AR Aging &lt;-INPUT'!E87+'Agile AR Aging &lt;-INPUT'!E93</f>
        <v>0</v>
      </c>
      <c r="E12" s="33">
        <f>'Agile AR Aging &lt;-INPUT'!F79+'Agile AR Aging &lt;-INPUT'!F80+'Agile AR Aging &lt;-INPUT'!F87+'Agile AR Aging &lt;-INPUT'!F93</f>
        <v>0</v>
      </c>
      <c r="F12" s="33">
        <f>'Agile AR Aging &lt;-INPUT'!G79+'Agile AR Aging &lt;-INPUT'!G80+'Agile AR Aging &lt;-INPUT'!G87+'Agile AR Aging &lt;-INPUT'!G93</f>
        <v>0</v>
      </c>
      <c r="G12" s="33">
        <f>'Agile AR Aging &lt;-INPUT'!H79+'Agile AR Aging &lt;-INPUT'!H80+'Agile AR Aging &lt;-INPUT'!H87+'Agile AR Aging &lt;-INPUT'!H93</f>
        <v>0</v>
      </c>
      <c r="H12" s="33">
        <f>'Agile AR Aging &lt;-INPUT'!I79+'Agile AR Aging &lt;-INPUT'!I80+'Agile AR Aging &lt;-INPUT'!I87+'Agile AR Aging &lt;-INPUT'!I93</f>
        <v>0</v>
      </c>
      <c r="I12" s="33">
        <f>'Agile AR Aging &lt;-INPUT'!J79+'Agile AR Aging &lt;-INPUT'!J80+'Agile AR Aging &lt;-INPUT'!J87+'Agile AR Aging &lt;-INPUT'!J93</f>
        <v>0</v>
      </c>
      <c r="J12" s="2">
        <f t="shared" si="0"/>
        <v>0</v>
      </c>
      <c r="L12" s="73"/>
      <c r="N12" s="68"/>
    </row>
    <row r="13" spans="1:15" x14ac:dyDescent="0.25">
      <c r="A13" s="1" t="s">
        <v>50</v>
      </c>
      <c r="B13" s="33">
        <f>'Agile AR Aging &lt;-INPUT'!C81</f>
        <v>0</v>
      </c>
      <c r="C13" s="33">
        <f>'Agile AR Aging &lt;-INPUT'!D81</f>
        <v>0</v>
      </c>
      <c r="D13" s="33">
        <f>'Agile AR Aging &lt;-INPUT'!E81</f>
        <v>0</v>
      </c>
      <c r="E13" s="33">
        <f>'Agile AR Aging &lt;-INPUT'!F81</f>
        <v>0</v>
      </c>
      <c r="F13" s="33">
        <f>'Agile AR Aging &lt;-INPUT'!G81</f>
        <v>0</v>
      </c>
      <c r="G13" s="33">
        <f>'Agile AR Aging &lt;-INPUT'!H81</f>
        <v>0</v>
      </c>
      <c r="H13" s="33">
        <f>'Agile AR Aging &lt;-INPUT'!I81</f>
        <v>0</v>
      </c>
      <c r="I13" s="33">
        <f>'Agile AR Aging &lt;-INPUT'!J81</f>
        <v>0</v>
      </c>
      <c r="J13" s="2">
        <f t="shared" si="0"/>
        <v>0</v>
      </c>
      <c r="L13" s="73"/>
      <c r="N13" s="68"/>
    </row>
    <row r="14" spans="1:15" x14ac:dyDescent="0.25">
      <c r="A14" s="1" t="s">
        <v>89</v>
      </c>
      <c r="B14" s="33">
        <f>'Agile AR Aging &lt;-INPUT'!C82</f>
        <v>0</v>
      </c>
      <c r="C14" s="33">
        <f>'Agile AR Aging &lt;-INPUT'!D82</f>
        <v>0</v>
      </c>
      <c r="D14" s="33">
        <f>'Agile AR Aging &lt;-INPUT'!E82</f>
        <v>0</v>
      </c>
      <c r="E14" s="33">
        <f>'Agile AR Aging &lt;-INPUT'!F82</f>
        <v>0</v>
      </c>
      <c r="F14" s="33">
        <f>'Agile AR Aging &lt;-INPUT'!G82</f>
        <v>0</v>
      </c>
      <c r="G14" s="33">
        <f>'Agile AR Aging &lt;-INPUT'!H82</f>
        <v>0</v>
      </c>
      <c r="H14" s="33">
        <f>'Agile AR Aging &lt;-INPUT'!I82</f>
        <v>0</v>
      </c>
      <c r="I14" s="33">
        <f>'Agile AR Aging &lt;-INPUT'!J82</f>
        <v>0</v>
      </c>
      <c r="J14" s="2">
        <f t="shared" si="0"/>
        <v>0</v>
      </c>
      <c r="L14" s="73"/>
      <c r="N14" s="68"/>
    </row>
    <row r="15" spans="1:15" x14ac:dyDescent="0.25">
      <c r="A15" s="1" t="s">
        <v>5</v>
      </c>
      <c r="B15" s="33">
        <f>'Agile AR Aging &lt;-INPUT'!C83</f>
        <v>0</v>
      </c>
      <c r="C15" s="33">
        <f>'Agile AR Aging &lt;-INPUT'!D83</f>
        <v>0</v>
      </c>
      <c r="D15" s="33">
        <f>'Agile AR Aging &lt;-INPUT'!E83</f>
        <v>0</v>
      </c>
      <c r="E15" s="33">
        <f>'Agile AR Aging &lt;-INPUT'!F83</f>
        <v>0</v>
      </c>
      <c r="F15" s="33">
        <f>'Agile AR Aging &lt;-INPUT'!G83</f>
        <v>0</v>
      </c>
      <c r="G15" s="33">
        <f>'Agile AR Aging &lt;-INPUT'!H83</f>
        <v>0</v>
      </c>
      <c r="H15" s="33">
        <f>'Agile AR Aging &lt;-INPUT'!I83</f>
        <v>0</v>
      </c>
      <c r="I15" s="33">
        <f>'Agile AR Aging &lt;-INPUT'!J83</f>
        <v>0</v>
      </c>
      <c r="J15" s="2">
        <f t="shared" si="0"/>
        <v>0</v>
      </c>
      <c r="L15" s="73"/>
      <c r="N15" s="68"/>
    </row>
    <row r="16" spans="1:15" x14ac:dyDescent="0.25">
      <c r="A16" s="1" t="s">
        <v>84</v>
      </c>
      <c r="B16" s="33">
        <f>'Agile AR Aging &lt;-INPUT'!C84</f>
        <v>0</v>
      </c>
      <c r="C16" s="33">
        <f>'Agile AR Aging &lt;-INPUT'!D84</f>
        <v>0</v>
      </c>
      <c r="D16" s="33">
        <f>'Agile AR Aging &lt;-INPUT'!E84</f>
        <v>0</v>
      </c>
      <c r="E16" s="33">
        <f>'Agile AR Aging &lt;-INPUT'!F84</f>
        <v>0</v>
      </c>
      <c r="F16" s="33">
        <f>'Agile AR Aging &lt;-INPUT'!G84</f>
        <v>0</v>
      </c>
      <c r="G16" s="33">
        <f>'Agile AR Aging &lt;-INPUT'!H84</f>
        <v>0</v>
      </c>
      <c r="H16" s="33">
        <f>'Agile AR Aging &lt;-INPUT'!I84</f>
        <v>0</v>
      </c>
      <c r="I16" s="33">
        <f>'Agile AR Aging &lt;-INPUT'!J84</f>
        <v>0</v>
      </c>
      <c r="J16" s="2">
        <f t="shared" si="0"/>
        <v>0</v>
      </c>
      <c r="L16" s="73"/>
      <c r="N16" s="68"/>
    </row>
    <row r="17" spans="1:17" x14ac:dyDescent="0.25">
      <c r="A17" s="1" t="s">
        <v>4</v>
      </c>
      <c r="B17" s="33">
        <f>'Agile AR Aging &lt;-INPUT'!C85</f>
        <v>0</v>
      </c>
      <c r="C17" s="33">
        <f>'Agile AR Aging &lt;-INPUT'!D85</f>
        <v>0</v>
      </c>
      <c r="D17" s="33">
        <f>'Agile AR Aging &lt;-INPUT'!E85</f>
        <v>0</v>
      </c>
      <c r="E17" s="33">
        <f>'Agile AR Aging &lt;-INPUT'!F85</f>
        <v>0</v>
      </c>
      <c r="F17" s="33">
        <f>'Agile AR Aging &lt;-INPUT'!G85</f>
        <v>0</v>
      </c>
      <c r="G17" s="33">
        <f>'Agile AR Aging &lt;-INPUT'!H85</f>
        <v>0</v>
      </c>
      <c r="H17" s="33">
        <f>'Agile AR Aging &lt;-INPUT'!I85</f>
        <v>0</v>
      </c>
      <c r="I17" s="33">
        <f>'Agile AR Aging &lt;-INPUT'!J85</f>
        <v>0</v>
      </c>
      <c r="J17" s="2">
        <f t="shared" si="0"/>
        <v>0</v>
      </c>
      <c r="L17" s="73"/>
      <c r="N17" s="68"/>
    </row>
    <row r="18" spans="1:17" x14ac:dyDescent="0.25">
      <c r="A18" s="1" t="s">
        <v>51</v>
      </c>
      <c r="B18" s="33">
        <f>'Agile AR Aging &lt;-INPUT'!C86</f>
        <v>0</v>
      </c>
      <c r="C18" s="33">
        <f>'Agile AR Aging &lt;-INPUT'!D86</f>
        <v>0</v>
      </c>
      <c r="D18" s="33">
        <f>'Agile AR Aging &lt;-INPUT'!E86</f>
        <v>0</v>
      </c>
      <c r="E18" s="33">
        <f>'Agile AR Aging &lt;-INPUT'!F86</f>
        <v>0</v>
      </c>
      <c r="F18" s="33">
        <f>'Agile AR Aging &lt;-INPUT'!G86</f>
        <v>0</v>
      </c>
      <c r="G18" s="33">
        <f>'Agile AR Aging &lt;-INPUT'!H86</f>
        <v>0</v>
      </c>
      <c r="H18" s="33">
        <f>'Agile AR Aging &lt;-INPUT'!I86</f>
        <v>0</v>
      </c>
      <c r="I18" s="33">
        <f>'Agile AR Aging &lt;-INPUT'!J86</f>
        <v>0</v>
      </c>
      <c r="J18" s="2">
        <f t="shared" si="0"/>
        <v>0</v>
      </c>
      <c r="L18" s="73"/>
      <c r="N18" s="68"/>
    </row>
    <row r="19" spans="1:17" x14ac:dyDescent="0.25">
      <c r="A19" s="1" t="s">
        <v>85</v>
      </c>
      <c r="B19" s="33">
        <f>'Agile AR Aging &lt;-INPUT'!C88</f>
        <v>0</v>
      </c>
      <c r="C19" s="33">
        <f>'Agile AR Aging &lt;-INPUT'!D88</f>
        <v>0</v>
      </c>
      <c r="D19" s="33">
        <f>'Agile AR Aging &lt;-INPUT'!E88</f>
        <v>0</v>
      </c>
      <c r="E19" s="33">
        <f>'Agile AR Aging &lt;-INPUT'!F88</f>
        <v>0</v>
      </c>
      <c r="F19" s="33">
        <f>'Agile AR Aging &lt;-INPUT'!G88</f>
        <v>0</v>
      </c>
      <c r="G19" s="33">
        <f>'Agile AR Aging &lt;-INPUT'!H88</f>
        <v>0</v>
      </c>
      <c r="H19" s="33">
        <f>'Agile AR Aging &lt;-INPUT'!I88</f>
        <v>0</v>
      </c>
      <c r="I19" s="33">
        <f>'Agile AR Aging &lt;-INPUT'!J88</f>
        <v>0</v>
      </c>
      <c r="J19" s="2">
        <f t="shared" si="0"/>
        <v>0</v>
      </c>
      <c r="L19" s="73"/>
      <c r="N19" s="68"/>
    </row>
    <row r="20" spans="1:17" x14ac:dyDescent="0.25">
      <c r="A20" s="1" t="s">
        <v>2</v>
      </c>
      <c r="B20" s="33">
        <f>'Agile AR Aging &lt;-INPUT'!C89</f>
        <v>0</v>
      </c>
      <c r="C20" s="33">
        <f>'Agile AR Aging &lt;-INPUT'!D89</f>
        <v>0</v>
      </c>
      <c r="D20" s="33">
        <f>'Agile AR Aging &lt;-INPUT'!E89</f>
        <v>0</v>
      </c>
      <c r="E20" s="33">
        <f>'Agile AR Aging &lt;-INPUT'!F89</f>
        <v>0</v>
      </c>
      <c r="F20" s="33">
        <f>'Agile AR Aging &lt;-INPUT'!G89</f>
        <v>0</v>
      </c>
      <c r="G20" s="33">
        <f>'Agile AR Aging &lt;-INPUT'!H89</f>
        <v>0</v>
      </c>
      <c r="H20" s="33">
        <f>'Agile AR Aging &lt;-INPUT'!I89</f>
        <v>0</v>
      </c>
      <c r="I20" s="33">
        <f>'Agile AR Aging &lt;-INPUT'!J89</f>
        <v>0</v>
      </c>
      <c r="J20" s="2">
        <f t="shared" si="0"/>
        <v>0</v>
      </c>
      <c r="L20" s="73"/>
      <c r="N20" s="68"/>
    </row>
    <row r="21" spans="1:17" x14ac:dyDescent="0.25">
      <c r="A21" s="1" t="s">
        <v>86</v>
      </c>
      <c r="B21" s="33">
        <f>'Agile AR Aging &lt;-INPUT'!C90</f>
        <v>0</v>
      </c>
      <c r="C21" s="33">
        <f>'Agile AR Aging &lt;-INPUT'!D90</f>
        <v>0</v>
      </c>
      <c r="D21" s="33">
        <f>'Agile AR Aging &lt;-INPUT'!E90</f>
        <v>0</v>
      </c>
      <c r="E21" s="33">
        <f>'Agile AR Aging &lt;-INPUT'!F90</f>
        <v>0</v>
      </c>
      <c r="F21" s="33">
        <f>'Agile AR Aging &lt;-INPUT'!G90</f>
        <v>0</v>
      </c>
      <c r="G21" s="33">
        <f>'Agile AR Aging &lt;-INPUT'!H90</f>
        <v>0</v>
      </c>
      <c r="H21" s="33">
        <f>'Agile AR Aging &lt;-INPUT'!I90</f>
        <v>0</v>
      </c>
      <c r="I21" s="33">
        <f>'Agile AR Aging &lt;-INPUT'!J90</f>
        <v>0</v>
      </c>
      <c r="J21" s="2">
        <f t="shared" si="0"/>
        <v>0</v>
      </c>
      <c r="L21" s="73"/>
      <c r="N21" s="68"/>
    </row>
    <row r="22" spans="1:17" x14ac:dyDescent="0.25">
      <c r="A22" s="1" t="s">
        <v>29</v>
      </c>
      <c r="B22" s="33">
        <f>'Agile AR Aging &lt;-INPUT'!C91</f>
        <v>0</v>
      </c>
      <c r="C22" s="33">
        <f>'Agile AR Aging &lt;-INPUT'!D91</f>
        <v>0</v>
      </c>
      <c r="D22" s="33">
        <f>'Agile AR Aging &lt;-INPUT'!E91</f>
        <v>0</v>
      </c>
      <c r="E22" s="33">
        <f>'Agile AR Aging &lt;-INPUT'!F91</f>
        <v>0</v>
      </c>
      <c r="F22" s="33">
        <f>'Agile AR Aging &lt;-INPUT'!G91</f>
        <v>0</v>
      </c>
      <c r="G22" s="33">
        <f>'Agile AR Aging &lt;-INPUT'!H91</f>
        <v>0</v>
      </c>
      <c r="H22" s="33">
        <f>'Agile AR Aging &lt;-INPUT'!I91</f>
        <v>0</v>
      </c>
      <c r="I22" s="33">
        <f>'Agile AR Aging &lt;-INPUT'!J91</f>
        <v>0</v>
      </c>
      <c r="J22" s="2">
        <f t="shared" si="0"/>
        <v>0</v>
      </c>
      <c r="L22" s="73"/>
      <c r="N22" s="68"/>
    </row>
    <row r="23" spans="1:17" x14ac:dyDescent="0.25">
      <c r="A23" s="1" t="s">
        <v>52</v>
      </c>
      <c r="B23" s="33">
        <f>'Agile AR Aging &lt;-INPUT'!C92</f>
        <v>0</v>
      </c>
      <c r="C23" s="33">
        <f>'Agile AR Aging &lt;-INPUT'!D92</f>
        <v>0</v>
      </c>
      <c r="D23" s="33">
        <f>'Agile AR Aging &lt;-INPUT'!E92</f>
        <v>0</v>
      </c>
      <c r="E23" s="33">
        <f>'Agile AR Aging &lt;-INPUT'!F92</f>
        <v>0</v>
      </c>
      <c r="F23" s="33">
        <f>'Agile AR Aging &lt;-INPUT'!G92</f>
        <v>0</v>
      </c>
      <c r="G23" s="33">
        <f>'Agile AR Aging &lt;-INPUT'!H92</f>
        <v>0</v>
      </c>
      <c r="H23" s="33">
        <f>'Agile AR Aging &lt;-INPUT'!I92</f>
        <v>0</v>
      </c>
      <c r="I23" s="33">
        <f>'Agile AR Aging &lt;-INPUT'!J92</f>
        <v>0</v>
      </c>
      <c r="J23" s="2">
        <f t="shared" si="0"/>
        <v>0</v>
      </c>
      <c r="L23" s="73"/>
      <c r="N23" s="68"/>
    </row>
    <row r="24" spans="1:17" x14ac:dyDescent="0.25">
      <c r="A24" s="1" t="s">
        <v>1</v>
      </c>
      <c r="B24" s="32">
        <f>'Agile AR Aging &lt;-INPUT'!C94</f>
        <v>0</v>
      </c>
      <c r="C24" s="32">
        <f>'Agile AR Aging &lt;-INPUT'!D94</f>
        <v>0</v>
      </c>
      <c r="D24" s="32">
        <f>'Agile AR Aging &lt;-INPUT'!E94</f>
        <v>0</v>
      </c>
      <c r="E24" s="32">
        <f>'Agile AR Aging &lt;-INPUT'!F94</f>
        <v>0</v>
      </c>
      <c r="F24" s="32">
        <f>'Agile AR Aging &lt;-INPUT'!G94</f>
        <v>0</v>
      </c>
      <c r="G24" s="32">
        <f>'Agile AR Aging &lt;-INPUT'!H94</f>
        <v>0</v>
      </c>
      <c r="H24" s="32">
        <f>'Agile AR Aging &lt;-INPUT'!I94</f>
        <v>0</v>
      </c>
      <c r="I24" s="32">
        <f>'Agile AR Aging &lt;-INPUT'!J94</f>
        <v>0</v>
      </c>
      <c r="J24" s="9">
        <f t="shared" si="0"/>
        <v>0</v>
      </c>
      <c r="L24" s="73"/>
      <c r="N24" s="68"/>
    </row>
    <row r="25" spans="1:17" x14ac:dyDescent="0.25">
      <c r="A25" s="1" t="s">
        <v>0</v>
      </c>
      <c r="B25" s="10">
        <f t="shared" ref="B25:I25" si="1">SUM(B8:B24)</f>
        <v>0</v>
      </c>
      <c r="C25" s="10">
        <f t="shared" si="1"/>
        <v>0</v>
      </c>
      <c r="D25" s="10">
        <f t="shared" si="1"/>
        <v>0</v>
      </c>
      <c r="E25" s="10">
        <f t="shared" si="1"/>
        <v>0</v>
      </c>
      <c r="F25" s="10">
        <f t="shared" si="1"/>
        <v>0</v>
      </c>
      <c r="G25" s="10">
        <f t="shared" si="1"/>
        <v>0</v>
      </c>
      <c r="H25" s="10">
        <f t="shared" si="1"/>
        <v>0</v>
      </c>
      <c r="I25" s="10">
        <f t="shared" si="1"/>
        <v>0</v>
      </c>
      <c r="J25" s="10">
        <f>SUM(B25:H25)</f>
        <v>0</v>
      </c>
      <c r="L25" s="31"/>
    </row>
    <row r="26" spans="1:17" ht="15.75" thickBot="1" x14ac:dyDescent="0.3">
      <c r="A26" s="1"/>
      <c r="B26" s="9"/>
      <c r="C26" s="9"/>
      <c r="D26" s="9"/>
      <c r="E26" s="9"/>
      <c r="F26" s="9"/>
      <c r="G26" s="9"/>
      <c r="H26" s="9"/>
      <c r="I26" s="9"/>
      <c r="J26" s="9"/>
      <c r="L26" s="31"/>
      <c r="Q26" s="1"/>
    </row>
    <row r="27" spans="1:17" ht="15.75" thickBot="1" x14ac:dyDescent="0.3">
      <c r="A27" s="167" t="s">
        <v>55</v>
      </c>
      <c r="B27" s="168"/>
      <c r="C27" s="168"/>
      <c r="D27" s="168"/>
      <c r="E27" s="168"/>
      <c r="F27" s="168"/>
      <c r="G27" s="168"/>
      <c r="H27" s="168"/>
      <c r="I27" s="168"/>
      <c r="J27" s="169"/>
      <c r="Q27" s="1"/>
    </row>
    <row r="28" spans="1:17" x14ac:dyDescent="0.25">
      <c r="A28" s="4" t="s">
        <v>16</v>
      </c>
      <c r="B28" s="5" t="s">
        <v>15</v>
      </c>
      <c r="C28" s="5" t="s">
        <v>14</v>
      </c>
      <c r="D28" s="5" t="s">
        <v>13</v>
      </c>
      <c r="E28" s="5" t="s">
        <v>12</v>
      </c>
      <c r="F28" s="5" t="s">
        <v>93</v>
      </c>
      <c r="G28" s="5" t="s">
        <v>94</v>
      </c>
      <c r="H28" s="5" t="s">
        <v>38</v>
      </c>
      <c r="I28" s="5" t="s">
        <v>9</v>
      </c>
      <c r="J28" s="5" t="s">
        <v>0</v>
      </c>
      <c r="Q28" s="1"/>
    </row>
    <row r="29" spans="1:17" x14ac:dyDescent="0.25">
      <c r="A29" s="1" t="s">
        <v>49</v>
      </c>
      <c r="B29" s="36">
        <f>'Reimbursement Rates &lt;-INPUT'!D9</f>
        <v>0</v>
      </c>
      <c r="C29" s="36">
        <f t="shared" ref="C29:H45" si="2">B29</f>
        <v>0</v>
      </c>
      <c r="D29" s="36">
        <f t="shared" si="2"/>
        <v>0</v>
      </c>
      <c r="E29" s="36">
        <f t="shared" si="2"/>
        <v>0</v>
      </c>
      <c r="F29" s="36">
        <f t="shared" si="2"/>
        <v>0</v>
      </c>
      <c r="G29" s="36">
        <f t="shared" si="2"/>
        <v>0</v>
      </c>
      <c r="H29" s="36">
        <f t="shared" si="2"/>
        <v>0</v>
      </c>
      <c r="I29" s="36">
        <f>H29</f>
        <v>0</v>
      </c>
      <c r="J29" s="36">
        <f t="shared" ref="J29:J45" si="3">H29</f>
        <v>0</v>
      </c>
    </row>
    <row r="30" spans="1:17" x14ac:dyDescent="0.25">
      <c r="A30" s="1" t="s">
        <v>8</v>
      </c>
      <c r="B30" s="36">
        <f>'Reimbursement Rates &lt;-INPUT'!D10</f>
        <v>0</v>
      </c>
      <c r="C30" s="36">
        <f t="shared" si="2"/>
        <v>0</v>
      </c>
      <c r="D30" s="36">
        <f t="shared" si="2"/>
        <v>0</v>
      </c>
      <c r="E30" s="36">
        <f t="shared" si="2"/>
        <v>0</v>
      </c>
      <c r="F30" s="36">
        <f t="shared" si="2"/>
        <v>0</v>
      </c>
      <c r="G30" s="36">
        <f t="shared" si="2"/>
        <v>0</v>
      </c>
      <c r="H30" s="36">
        <f t="shared" si="2"/>
        <v>0</v>
      </c>
      <c r="I30" s="36">
        <f t="shared" ref="I30:I45" si="4">H30</f>
        <v>0</v>
      </c>
      <c r="J30" s="36">
        <f t="shared" si="3"/>
        <v>0</v>
      </c>
      <c r="Q30" s="1"/>
    </row>
    <row r="31" spans="1:17" x14ac:dyDescent="0.25">
      <c r="A31" s="1" t="s">
        <v>7</v>
      </c>
      <c r="B31" s="36">
        <f>'Reimbursement Rates &lt;-INPUT'!D11</f>
        <v>0</v>
      </c>
      <c r="C31" s="36">
        <f t="shared" si="2"/>
        <v>0</v>
      </c>
      <c r="D31" s="36">
        <f t="shared" si="2"/>
        <v>0</v>
      </c>
      <c r="E31" s="36">
        <f t="shared" si="2"/>
        <v>0</v>
      </c>
      <c r="F31" s="36">
        <f t="shared" si="2"/>
        <v>0</v>
      </c>
      <c r="G31" s="36">
        <f t="shared" si="2"/>
        <v>0</v>
      </c>
      <c r="H31" s="36">
        <f t="shared" si="2"/>
        <v>0</v>
      </c>
      <c r="I31" s="36">
        <f t="shared" si="4"/>
        <v>0</v>
      </c>
      <c r="J31" s="36">
        <f t="shared" si="3"/>
        <v>0</v>
      </c>
    </row>
    <row r="32" spans="1:17" x14ac:dyDescent="0.25">
      <c r="A32" s="1" t="s">
        <v>42</v>
      </c>
      <c r="B32" s="36">
        <f>'Reimbursement Rates &lt;-INPUT'!D12</f>
        <v>0</v>
      </c>
      <c r="C32" s="36">
        <f t="shared" si="2"/>
        <v>0</v>
      </c>
      <c r="D32" s="36">
        <f t="shared" si="2"/>
        <v>0</v>
      </c>
      <c r="E32" s="36">
        <f t="shared" si="2"/>
        <v>0</v>
      </c>
      <c r="F32" s="36">
        <f t="shared" si="2"/>
        <v>0</v>
      </c>
      <c r="G32" s="36">
        <f t="shared" si="2"/>
        <v>0</v>
      </c>
      <c r="H32" s="36">
        <f t="shared" si="2"/>
        <v>0</v>
      </c>
      <c r="I32" s="36">
        <f t="shared" si="4"/>
        <v>0</v>
      </c>
      <c r="J32" s="36">
        <f t="shared" si="3"/>
        <v>0</v>
      </c>
    </row>
    <row r="33" spans="1:17" x14ac:dyDescent="0.25">
      <c r="A33" s="1" t="s">
        <v>6</v>
      </c>
      <c r="B33" s="36">
        <f>'Reimbursement Rates &lt;-INPUT'!D13</f>
        <v>0</v>
      </c>
      <c r="C33" s="36">
        <f t="shared" si="2"/>
        <v>0</v>
      </c>
      <c r="D33" s="36">
        <f t="shared" si="2"/>
        <v>0</v>
      </c>
      <c r="E33" s="36">
        <f t="shared" si="2"/>
        <v>0</v>
      </c>
      <c r="F33" s="36">
        <f t="shared" si="2"/>
        <v>0</v>
      </c>
      <c r="G33" s="36">
        <f t="shared" si="2"/>
        <v>0</v>
      </c>
      <c r="H33" s="36">
        <f t="shared" si="2"/>
        <v>0</v>
      </c>
      <c r="I33" s="36">
        <f t="shared" si="4"/>
        <v>0</v>
      </c>
      <c r="J33" s="36">
        <f t="shared" si="3"/>
        <v>0</v>
      </c>
      <c r="Q33" s="1"/>
    </row>
    <row r="34" spans="1:17" x14ac:dyDescent="0.25">
      <c r="A34" s="1" t="s">
        <v>50</v>
      </c>
      <c r="B34" s="36">
        <f>'Reimbursement Rates &lt;-INPUT'!D15</f>
        <v>0</v>
      </c>
      <c r="C34" s="36">
        <f t="shared" si="2"/>
        <v>0</v>
      </c>
      <c r="D34" s="36">
        <f t="shared" si="2"/>
        <v>0</v>
      </c>
      <c r="E34" s="36">
        <f t="shared" si="2"/>
        <v>0</v>
      </c>
      <c r="F34" s="36">
        <f t="shared" si="2"/>
        <v>0</v>
      </c>
      <c r="G34" s="36">
        <f t="shared" si="2"/>
        <v>0</v>
      </c>
      <c r="H34" s="36">
        <f t="shared" si="2"/>
        <v>0</v>
      </c>
      <c r="I34" s="36">
        <f t="shared" si="4"/>
        <v>0</v>
      </c>
      <c r="J34" s="36">
        <f t="shared" si="3"/>
        <v>0</v>
      </c>
      <c r="M34" s="7"/>
    </row>
    <row r="35" spans="1:17" x14ac:dyDescent="0.25">
      <c r="A35" s="1" t="s">
        <v>89</v>
      </c>
      <c r="B35" s="36">
        <f>'Reimbursement Rates &lt;-INPUT'!D16</f>
        <v>0</v>
      </c>
      <c r="C35" s="36">
        <f t="shared" si="2"/>
        <v>0</v>
      </c>
      <c r="D35" s="36">
        <f t="shared" si="2"/>
        <v>0</v>
      </c>
      <c r="E35" s="36">
        <f t="shared" si="2"/>
        <v>0</v>
      </c>
      <c r="F35" s="36">
        <f t="shared" si="2"/>
        <v>0</v>
      </c>
      <c r="G35" s="36">
        <f t="shared" si="2"/>
        <v>0</v>
      </c>
      <c r="H35" s="36">
        <f t="shared" si="2"/>
        <v>0</v>
      </c>
      <c r="I35" s="36">
        <f t="shared" si="4"/>
        <v>0</v>
      </c>
      <c r="J35" s="36">
        <f t="shared" si="3"/>
        <v>0</v>
      </c>
      <c r="M35" s="7"/>
    </row>
    <row r="36" spans="1:17" x14ac:dyDescent="0.25">
      <c r="A36" s="1" t="s">
        <v>5</v>
      </c>
      <c r="B36" s="36">
        <f>'Reimbursement Rates &lt;-INPUT'!D17</f>
        <v>0</v>
      </c>
      <c r="C36" s="36">
        <f t="shared" si="2"/>
        <v>0</v>
      </c>
      <c r="D36" s="36">
        <f t="shared" si="2"/>
        <v>0</v>
      </c>
      <c r="E36" s="36">
        <f t="shared" si="2"/>
        <v>0</v>
      </c>
      <c r="F36" s="36">
        <f t="shared" si="2"/>
        <v>0</v>
      </c>
      <c r="G36" s="36">
        <f t="shared" si="2"/>
        <v>0</v>
      </c>
      <c r="H36" s="36">
        <f t="shared" si="2"/>
        <v>0</v>
      </c>
      <c r="I36" s="36">
        <f t="shared" si="4"/>
        <v>0</v>
      </c>
      <c r="J36" s="36">
        <f t="shared" si="3"/>
        <v>0</v>
      </c>
      <c r="M36" s="7"/>
      <c r="Q36" s="1"/>
    </row>
    <row r="37" spans="1:17" x14ac:dyDescent="0.25">
      <c r="A37" s="1" t="s">
        <v>84</v>
      </c>
      <c r="B37" s="36">
        <f>'Reimbursement Rates &lt;-INPUT'!D18</f>
        <v>0</v>
      </c>
      <c r="C37" s="36">
        <f t="shared" si="2"/>
        <v>0</v>
      </c>
      <c r="D37" s="36">
        <f t="shared" si="2"/>
        <v>0</v>
      </c>
      <c r="E37" s="36">
        <f t="shared" si="2"/>
        <v>0</v>
      </c>
      <c r="F37" s="36">
        <f t="shared" si="2"/>
        <v>0</v>
      </c>
      <c r="G37" s="36">
        <f t="shared" si="2"/>
        <v>0</v>
      </c>
      <c r="H37" s="36">
        <f t="shared" si="2"/>
        <v>0</v>
      </c>
      <c r="I37" s="36">
        <f t="shared" si="4"/>
        <v>0</v>
      </c>
      <c r="J37" s="36">
        <f t="shared" si="3"/>
        <v>0</v>
      </c>
      <c r="M37" s="7"/>
      <c r="Q37" s="1"/>
    </row>
    <row r="38" spans="1:17" x14ac:dyDescent="0.25">
      <c r="A38" s="1" t="s">
        <v>4</v>
      </c>
      <c r="B38" s="36">
        <f>'Reimbursement Rates &lt;-INPUT'!D19</f>
        <v>0</v>
      </c>
      <c r="C38" s="36">
        <f t="shared" si="2"/>
        <v>0</v>
      </c>
      <c r="D38" s="36">
        <f t="shared" si="2"/>
        <v>0</v>
      </c>
      <c r="E38" s="36">
        <f t="shared" si="2"/>
        <v>0</v>
      </c>
      <c r="F38" s="36">
        <f t="shared" si="2"/>
        <v>0</v>
      </c>
      <c r="G38" s="36">
        <f t="shared" si="2"/>
        <v>0</v>
      </c>
      <c r="H38" s="36">
        <f t="shared" si="2"/>
        <v>0</v>
      </c>
      <c r="I38" s="36">
        <f t="shared" si="4"/>
        <v>0</v>
      </c>
      <c r="J38" s="36">
        <f t="shared" si="3"/>
        <v>0</v>
      </c>
      <c r="M38" s="7"/>
    </row>
    <row r="39" spans="1:17" x14ac:dyDescent="0.25">
      <c r="A39" s="1" t="s">
        <v>51</v>
      </c>
      <c r="B39" s="36">
        <f>'Reimbursement Rates &lt;-INPUT'!D20</f>
        <v>0</v>
      </c>
      <c r="C39" s="36">
        <f t="shared" si="2"/>
        <v>0</v>
      </c>
      <c r="D39" s="36">
        <f t="shared" si="2"/>
        <v>0</v>
      </c>
      <c r="E39" s="36">
        <f t="shared" si="2"/>
        <v>0</v>
      </c>
      <c r="F39" s="36">
        <f t="shared" si="2"/>
        <v>0</v>
      </c>
      <c r="G39" s="36">
        <f t="shared" si="2"/>
        <v>0</v>
      </c>
      <c r="H39" s="36">
        <f t="shared" si="2"/>
        <v>0</v>
      </c>
      <c r="I39" s="36">
        <f t="shared" si="4"/>
        <v>0</v>
      </c>
      <c r="J39" s="36">
        <f t="shared" si="3"/>
        <v>0</v>
      </c>
      <c r="M39" s="7"/>
      <c r="Q39" s="1"/>
    </row>
    <row r="40" spans="1:17" x14ac:dyDescent="0.25">
      <c r="A40" s="1" t="s">
        <v>85</v>
      </c>
      <c r="B40" s="36">
        <f>'Reimbursement Rates &lt;-INPUT'!D22</f>
        <v>0</v>
      </c>
      <c r="C40" s="36">
        <f t="shared" si="2"/>
        <v>0</v>
      </c>
      <c r="D40" s="36">
        <f t="shared" si="2"/>
        <v>0</v>
      </c>
      <c r="E40" s="36">
        <f t="shared" si="2"/>
        <v>0</v>
      </c>
      <c r="F40" s="36">
        <f t="shared" si="2"/>
        <v>0</v>
      </c>
      <c r="G40" s="36">
        <f t="shared" si="2"/>
        <v>0</v>
      </c>
      <c r="H40" s="36">
        <f t="shared" si="2"/>
        <v>0</v>
      </c>
      <c r="I40" s="36">
        <f t="shared" si="4"/>
        <v>0</v>
      </c>
      <c r="J40" s="36">
        <f t="shared" si="3"/>
        <v>0</v>
      </c>
      <c r="M40" s="7"/>
      <c r="Q40" s="1"/>
    </row>
    <row r="41" spans="1:17" x14ac:dyDescent="0.25">
      <c r="A41" s="1" t="s">
        <v>2</v>
      </c>
      <c r="B41" s="36">
        <f>'Reimbursement Rates &lt;-INPUT'!D23</f>
        <v>0</v>
      </c>
      <c r="C41" s="36">
        <f t="shared" si="2"/>
        <v>0</v>
      </c>
      <c r="D41" s="36">
        <f t="shared" si="2"/>
        <v>0</v>
      </c>
      <c r="E41" s="36">
        <f t="shared" si="2"/>
        <v>0</v>
      </c>
      <c r="F41" s="36">
        <f t="shared" si="2"/>
        <v>0</v>
      </c>
      <c r="G41" s="36">
        <f t="shared" si="2"/>
        <v>0</v>
      </c>
      <c r="H41" s="36">
        <f t="shared" si="2"/>
        <v>0</v>
      </c>
      <c r="I41" s="36">
        <f t="shared" si="4"/>
        <v>0</v>
      </c>
      <c r="J41" s="36">
        <f t="shared" si="3"/>
        <v>0</v>
      </c>
      <c r="M41" s="7"/>
      <c r="Q41" s="1"/>
    </row>
    <row r="42" spans="1:17" x14ac:dyDescent="0.25">
      <c r="A42" s="1" t="s">
        <v>86</v>
      </c>
      <c r="B42" s="36">
        <f>'Reimbursement Rates &lt;-INPUT'!D24</f>
        <v>0</v>
      </c>
      <c r="C42" s="36">
        <f t="shared" si="2"/>
        <v>0</v>
      </c>
      <c r="D42" s="36">
        <f t="shared" si="2"/>
        <v>0</v>
      </c>
      <c r="E42" s="36">
        <f t="shared" si="2"/>
        <v>0</v>
      </c>
      <c r="F42" s="36">
        <f t="shared" si="2"/>
        <v>0</v>
      </c>
      <c r="G42" s="36">
        <f t="shared" si="2"/>
        <v>0</v>
      </c>
      <c r="H42" s="36">
        <f t="shared" si="2"/>
        <v>0</v>
      </c>
      <c r="I42" s="36">
        <f t="shared" si="4"/>
        <v>0</v>
      </c>
      <c r="J42" s="36">
        <f t="shared" si="3"/>
        <v>0</v>
      </c>
      <c r="M42" s="7"/>
    </row>
    <row r="43" spans="1:17" x14ac:dyDescent="0.25">
      <c r="A43" s="1" t="s">
        <v>29</v>
      </c>
      <c r="B43" s="36">
        <f>'Reimbursement Rates &lt;-INPUT'!D25</f>
        <v>0</v>
      </c>
      <c r="C43" s="36">
        <f t="shared" si="2"/>
        <v>0</v>
      </c>
      <c r="D43" s="36">
        <f t="shared" si="2"/>
        <v>0</v>
      </c>
      <c r="E43" s="36">
        <f t="shared" si="2"/>
        <v>0</v>
      </c>
      <c r="F43" s="36">
        <f t="shared" si="2"/>
        <v>0</v>
      </c>
      <c r="G43" s="36">
        <f t="shared" si="2"/>
        <v>0</v>
      </c>
      <c r="H43" s="36">
        <f t="shared" si="2"/>
        <v>0</v>
      </c>
      <c r="I43" s="36">
        <f t="shared" si="4"/>
        <v>0</v>
      </c>
      <c r="J43" s="36">
        <f t="shared" si="3"/>
        <v>0</v>
      </c>
      <c r="M43" s="7"/>
    </row>
    <row r="44" spans="1:17" x14ac:dyDescent="0.25">
      <c r="A44" s="1" t="s">
        <v>52</v>
      </c>
      <c r="B44" s="36">
        <f>'Reimbursement Rates &lt;-INPUT'!D26</f>
        <v>0</v>
      </c>
      <c r="C44" s="36">
        <f t="shared" si="2"/>
        <v>0</v>
      </c>
      <c r="D44" s="36">
        <f t="shared" si="2"/>
        <v>0</v>
      </c>
      <c r="E44" s="36">
        <f t="shared" si="2"/>
        <v>0</v>
      </c>
      <c r="F44" s="36">
        <f t="shared" si="2"/>
        <v>0</v>
      </c>
      <c r="G44" s="36">
        <f t="shared" si="2"/>
        <v>0</v>
      </c>
      <c r="H44" s="36">
        <f t="shared" si="2"/>
        <v>0</v>
      </c>
      <c r="I44" s="36">
        <f t="shared" si="4"/>
        <v>0</v>
      </c>
      <c r="J44" s="36">
        <f t="shared" si="3"/>
        <v>0</v>
      </c>
      <c r="M44" s="7"/>
      <c r="Q44" s="1"/>
    </row>
    <row r="45" spans="1:17" x14ac:dyDescent="0.25">
      <c r="A45" s="1" t="s">
        <v>1</v>
      </c>
      <c r="B45" s="36">
        <f>'Reimbursement Rates &lt;-INPUT'!D28</f>
        <v>0</v>
      </c>
      <c r="C45" s="36">
        <f t="shared" si="2"/>
        <v>0</v>
      </c>
      <c r="D45" s="36">
        <f t="shared" si="2"/>
        <v>0</v>
      </c>
      <c r="E45" s="36">
        <f t="shared" si="2"/>
        <v>0</v>
      </c>
      <c r="F45" s="36">
        <f t="shared" si="2"/>
        <v>0</v>
      </c>
      <c r="G45" s="36">
        <f t="shared" si="2"/>
        <v>0</v>
      </c>
      <c r="H45" s="36">
        <f t="shared" si="2"/>
        <v>0</v>
      </c>
      <c r="I45" s="36">
        <f t="shared" si="4"/>
        <v>0</v>
      </c>
      <c r="J45" s="36">
        <f t="shared" si="3"/>
        <v>0</v>
      </c>
      <c r="M45" s="7"/>
      <c r="Q45" s="1"/>
    </row>
    <row r="46" spans="1:17" ht="15.75" thickBot="1" x14ac:dyDescent="0.3">
      <c r="A46" s="1"/>
      <c r="B46" s="9"/>
      <c r="C46" s="9"/>
      <c r="D46" s="9"/>
      <c r="E46" s="9"/>
      <c r="F46" s="9"/>
      <c r="G46" s="9"/>
      <c r="H46" s="9"/>
      <c r="I46" s="9"/>
      <c r="J46" s="9"/>
      <c r="M46" s="7"/>
      <c r="Q46" s="1"/>
    </row>
    <row r="47" spans="1:17" ht="15.75" thickBot="1" x14ac:dyDescent="0.3">
      <c r="A47" s="170" t="s">
        <v>33</v>
      </c>
      <c r="B47" s="171"/>
      <c r="C47" s="171"/>
      <c r="D47" s="171"/>
      <c r="E47" s="171"/>
      <c r="F47" s="171"/>
      <c r="G47" s="171"/>
      <c r="H47" s="171"/>
      <c r="I47" s="171"/>
      <c r="J47" s="172"/>
      <c r="M47" s="7"/>
      <c r="Q47" s="1"/>
    </row>
    <row r="48" spans="1:17" x14ac:dyDescent="0.25">
      <c r="A48" s="4" t="s">
        <v>16</v>
      </c>
      <c r="B48" s="5" t="s">
        <v>15</v>
      </c>
      <c r="C48" s="5" t="s">
        <v>14</v>
      </c>
      <c r="D48" s="5" t="s">
        <v>13</v>
      </c>
      <c r="E48" s="5" t="s">
        <v>12</v>
      </c>
      <c r="F48" s="5" t="s">
        <v>93</v>
      </c>
      <c r="G48" s="5" t="s">
        <v>94</v>
      </c>
      <c r="H48" s="5" t="s">
        <v>38</v>
      </c>
      <c r="I48" s="5" t="s">
        <v>9</v>
      </c>
      <c r="J48" s="5" t="s">
        <v>0</v>
      </c>
      <c r="M48" s="7"/>
    </row>
    <row r="49" spans="1:17" x14ac:dyDescent="0.25">
      <c r="A49" s="1" t="s">
        <v>49</v>
      </c>
      <c r="B49" s="37">
        <f t="shared" ref="B49:B50" si="5">IF(B8&gt;0,B8*(1-B29),0)</f>
        <v>0</v>
      </c>
      <c r="C49" s="37">
        <f t="shared" ref="C49:I49" si="6">IF(C8&gt;0,C8*(1-C29),0)</f>
        <v>0</v>
      </c>
      <c r="D49" s="37">
        <f t="shared" si="6"/>
        <v>0</v>
      </c>
      <c r="E49" s="37">
        <f t="shared" si="6"/>
        <v>0</v>
      </c>
      <c r="F49" s="37">
        <f t="shared" si="6"/>
        <v>0</v>
      </c>
      <c r="G49" s="37">
        <f t="shared" si="6"/>
        <v>0</v>
      </c>
      <c r="H49" s="37">
        <f t="shared" si="6"/>
        <v>0</v>
      </c>
      <c r="I49" s="37">
        <f t="shared" si="6"/>
        <v>0</v>
      </c>
      <c r="J49" s="37">
        <f>SUM(B49:H49)</f>
        <v>0</v>
      </c>
      <c r="M49" s="7"/>
      <c r="Q49" s="1"/>
    </row>
    <row r="50" spans="1:17" x14ac:dyDescent="0.25">
      <c r="A50" s="1" t="s">
        <v>8</v>
      </c>
      <c r="B50" s="37">
        <f t="shared" si="5"/>
        <v>0</v>
      </c>
      <c r="C50" s="37">
        <f t="shared" ref="C50:I50" si="7">IF(C9&gt;0,C9*(1-C30),0)</f>
        <v>0</v>
      </c>
      <c r="D50" s="37">
        <f t="shared" si="7"/>
        <v>0</v>
      </c>
      <c r="E50" s="37">
        <f t="shared" si="7"/>
        <v>0</v>
      </c>
      <c r="F50" s="37">
        <f t="shared" si="7"/>
        <v>0</v>
      </c>
      <c r="G50" s="37">
        <f t="shared" si="7"/>
        <v>0</v>
      </c>
      <c r="H50" s="37">
        <f t="shared" si="7"/>
        <v>0</v>
      </c>
      <c r="I50" s="37">
        <f t="shared" si="7"/>
        <v>0</v>
      </c>
      <c r="J50" s="37">
        <f t="shared" ref="J50:J65" si="8">SUM(B50:H50)</f>
        <v>0</v>
      </c>
      <c r="M50" s="7"/>
      <c r="Q50" s="7"/>
    </row>
    <row r="51" spans="1:17" x14ac:dyDescent="0.25">
      <c r="A51" s="1" t="s">
        <v>7</v>
      </c>
      <c r="B51" s="37">
        <f>IF(B10&gt;0,B10*(1-B31),0)</f>
        <v>0</v>
      </c>
      <c r="C51" s="37">
        <f t="shared" ref="C51:I51" si="9">IF(C10&gt;0,C10*(1-C31),0)</f>
        <v>0</v>
      </c>
      <c r="D51" s="37">
        <f t="shared" si="9"/>
        <v>0</v>
      </c>
      <c r="E51" s="37">
        <f t="shared" si="9"/>
        <v>0</v>
      </c>
      <c r="F51" s="37">
        <f t="shared" si="9"/>
        <v>0</v>
      </c>
      <c r="G51" s="37">
        <f t="shared" si="9"/>
        <v>0</v>
      </c>
      <c r="H51" s="37">
        <f t="shared" si="9"/>
        <v>0</v>
      </c>
      <c r="I51" s="37">
        <f t="shared" si="9"/>
        <v>0</v>
      </c>
      <c r="J51" s="37">
        <f t="shared" si="8"/>
        <v>0</v>
      </c>
      <c r="M51" s="7"/>
    </row>
    <row r="52" spans="1:17" x14ac:dyDescent="0.25">
      <c r="A52" s="1" t="s">
        <v>42</v>
      </c>
      <c r="B52" s="37">
        <f t="shared" ref="B52:B65" si="10">IF(B11&gt;0,B11*(1-B32),0)</f>
        <v>0</v>
      </c>
      <c r="C52" s="37">
        <f t="shared" ref="C52:I52" si="11">IF(C11&gt;0,C11*(1-C32),0)</f>
        <v>0</v>
      </c>
      <c r="D52" s="37">
        <f t="shared" si="11"/>
        <v>0</v>
      </c>
      <c r="E52" s="37">
        <f t="shared" si="11"/>
        <v>0</v>
      </c>
      <c r="F52" s="37">
        <f t="shared" si="11"/>
        <v>0</v>
      </c>
      <c r="G52" s="37">
        <f t="shared" si="11"/>
        <v>0</v>
      </c>
      <c r="H52" s="37">
        <f t="shared" si="11"/>
        <v>0</v>
      </c>
      <c r="I52" s="37">
        <f t="shared" si="11"/>
        <v>0</v>
      </c>
      <c r="J52" s="37">
        <f t="shared" si="8"/>
        <v>0</v>
      </c>
      <c r="M52" s="7"/>
    </row>
    <row r="53" spans="1:17" x14ac:dyDescent="0.25">
      <c r="A53" s="1" t="s">
        <v>6</v>
      </c>
      <c r="B53" s="37">
        <f t="shared" si="10"/>
        <v>0</v>
      </c>
      <c r="C53" s="37">
        <f t="shared" ref="C53:I53" si="12">IF(C12&gt;0,C12*(1-C33),0)</f>
        <v>0</v>
      </c>
      <c r="D53" s="37">
        <f t="shared" si="12"/>
        <v>0</v>
      </c>
      <c r="E53" s="37">
        <f t="shared" si="12"/>
        <v>0</v>
      </c>
      <c r="F53" s="37">
        <f t="shared" si="12"/>
        <v>0</v>
      </c>
      <c r="G53" s="37">
        <f t="shared" si="12"/>
        <v>0</v>
      </c>
      <c r="H53" s="37">
        <f t="shared" si="12"/>
        <v>0</v>
      </c>
      <c r="I53" s="37">
        <f t="shared" si="12"/>
        <v>0</v>
      </c>
      <c r="J53" s="37">
        <f t="shared" si="8"/>
        <v>0</v>
      </c>
      <c r="M53" s="7"/>
    </row>
    <row r="54" spans="1:17" x14ac:dyDescent="0.25">
      <c r="A54" s="1" t="s">
        <v>50</v>
      </c>
      <c r="B54" s="37">
        <f t="shared" si="10"/>
        <v>0</v>
      </c>
      <c r="C54" s="37">
        <f t="shared" ref="C54:I54" si="13">IF(C13&gt;0,C13*(1-C34),0)</f>
        <v>0</v>
      </c>
      <c r="D54" s="37">
        <f t="shared" si="13"/>
        <v>0</v>
      </c>
      <c r="E54" s="37">
        <f t="shared" si="13"/>
        <v>0</v>
      </c>
      <c r="F54" s="37">
        <f t="shared" si="13"/>
        <v>0</v>
      </c>
      <c r="G54" s="37">
        <f t="shared" si="13"/>
        <v>0</v>
      </c>
      <c r="H54" s="37">
        <f t="shared" si="13"/>
        <v>0</v>
      </c>
      <c r="I54" s="37">
        <f t="shared" si="13"/>
        <v>0</v>
      </c>
      <c r="J54" s="37">
        <f t="shared" si="8"/>
        <v>0</v>
      </c>
      <c r="M54" s="7"/>
    </row>
    <row r="55" spans="1:17" x14ac:dyDescent="0.25">
      <c r="A55" s="1" t="s">
        <v>89</v>
      </c>
      <c r="B55" s="37">
        <f t="shared" si="10"/>
        <v>0</v>
      </c>
      <c r="C55" s="37">
        <f t="shared" ref="C55:I55" si="14">IF(C14&gt;0,C14*(1-C35),0)</f>
        <v>0</v>
      </c>
      <c r="D55" s="37">
        <f t="shared" si="14"/>
        <v>0</v>
      </c>
      <c r="E55" s="37">
        <f t="shared" si="14"/>
        <v>0</v>
      </c>
      <c r="F55" s="37">
        <f t="shared" si="14"/>
        <v>0</v>
      </c>
      <c r="G55" s="37">
        <f t="shared" si="14"/>
        <v>0</v>
      </c>
      <c r="H55" s="37">
        <f t="shared" si="14"/>
        <v>0</v>
      </c>
      <c r="I55" s="37">
        <f t="shared" si="14"/>
        <v>0</v>
      </c>
      <c r="J55" s="37">
        <f t="shared" si="8"/>
        <v>0</v>
      </c>
      <c r="M55" s="7"/>
    </row>
    <row r="56" spans="1:17" x14ac:dyDescent="0.25">
      <c r="A56" s="1" t="s">
        <v>5</v>
      </c>
      <c r="B56" s="37">
        <f t="shared" si="10"/>
        <v>0</v>
      </c>
      <c r="C56" s="37">
        <f t="shared" ref="C56:I56" si="15">IF(C15&gt;0,C15*(1-C36),0)</f>
        <v>0</v>
      </c>
      <c r="D56" s="37">
        <f t="shared" si="15"/>
        <v>0</v>
      </c>
      <c r="E56" s="37">
        <f t="shared" si="15"/>
        <v>0</v>
      </c>
      <c r="F56" s="37">
        <f t="shared" si="15"/>
        <v>0</v>
      </c>
      <c r="G56" s="37">
        <f t="shared" si="15"/>
        <v>0</v>
      </c>
      <c r="H56" s="37">
        <f t="shared" si="15"/>
        <v>0</v>
      </c>
      <c r="I56" s="37">
        <f t="shared" si="15"/>
        <v>0</v>
      </c>
      <c r="J56" s="37">
        <f t="shared" si="8"/>
        <v>0</v>
      </c>
      <c r="M56" s="7"/>
    </row>
    <row r="57" spans="1:17" x14ac:dyDescent="0.25">
      <c r="A57" s="1" t="s">
        <v>84</v>
      </c>
      <c r="B57" s="37">
        <f t="shared" si="10"/>
        <v>0</v>
      </c>
      <c r="C57" s="37">
        <f t="shared" ref="C57:I57" si="16">IF(C16&gt;0,C16*(1-C37),0)</f>
        <v>0</v>
      </c>
      <c r="D57" s="37">
        <f t="shared" si="16"/>
        <v>0</v>
      </c>
      <c r="E57" s="37">
        <f t="shared" si="16"/>
        <v>0</v>
      </c>
      <c r="F57" s="37">
        <f t="shared" si="16"/>
        <v>0</v>
      </c>
      <c r="G57" s="37">
        <f t="shared" si="16"/>
        <v>0</v>
      </c>
      <c r="H57" s="37">
        <f t="shared" si="16"/>
        <v>0</v>
      </c>
      <c r="I57" s="37">
        <f t="shared" si="16"/>
        <v>0</v>
      </c>
      <c r="J57" s="37">
        <f t="shared" si="8"/>
        <v>0</v>
      </c>
      <c r="M57" s="7"/>
    </row>
    <row r="58" spans="1:17" x14ac:dyDescent="0.25">
      <c r="A58" s="1" t="s">
        <v>4</v>
      </c>
      <c r="B58" s="37">
        <f t="shared" si="10"/>
        <v>0</v>
      </c>
      <c r="C58" s="37">
        <f t="shared" ref="C58:I58" si="17">IF(C17&gt;0,C17*(1-C38),0)</f>
        <v>0</v>
      </c>
      <c r="D58" s="37">
        <f t="shared" si="17"/>
        <v>0</v>
      </c>
      <c r="E58" s="37">
        <f t="shared" si="17"/>
        <v>0</v>
      </c>
      <c r="F58" s="37">
        <f t="shared" si="17"/>
        <v>0</v>
      </c>
      <c r="G58" s="37">
        <f t="shared" si="17"/>
        <v>0</v>
      </c>
      <c r="H58" s="37">
        <f t="shared" si="17"/>
        <v>0</v>
      </c>
      <c r="I58" s="37">
        <f t="shared" si="17"/>
        <v>0</v>
      </c>
      <c r="J58" s="37">
        <f t="shared" si="8"/>
        <v>0</v>
      </c>
      <c r="M58" s="7"/>
    </row>
    <row r="59" spans="1:17" x14ac:dyDescent="0.25">
      <c r="A59" s="1" t="s">
        <v>51</v>
      </c>
      <c r="B59" s="37">
        <f t="shared" si="10"/>
        <v>0</v>
      </c>
      <c r="C59" s="37">
        <f t="shared" ref="C59:I59" si="18">IF(C18&gt;0,C18*(1-C39),0)</f>
        <v>0</v>
      </c>
      <c r="D59" s="37">
        <f t="shared" si="18"/>
        <v>0</v>
      </c>
      <c r="E59" s="37">
        <f t="shared" si="18"/>
        <v>0</v>
      </c>
      <c r="F59" s="37">
        <f t="shared" si="18"/>
        <v>0</v>
      </c>
      <c r="G59" s="37">
        <f t="shared" si="18"/>
        <v>0</v>
      </c>
      <c r="H59" s="37">
        <f t="shared" si="18"/>
        <v>0</v>
      </c>
      <c r="I59" s="37">
        <f t="shared" si="18"/>
        <v>0</v>
      </c>
      <c r="J59" s="37">
        <f t="shared" si="8"/>
        <v>0</v>
      </c>
      <c r="M59" s="7"/>
    </row>
    <row r="60" spans="1:17" x14ac:dyDescent="0.25">
      <c r="A60" s="1" t="s">
        <v>85</v>
      </c>
      <c r="B60" s="37">
        <f t="shared" si="10"/>
        <v>0</v>
      </c>
      <c r="C60" s="37">
        <f t="shared" ref="C60:I60" si="19">IF(C19&gt;0,C19*(1-C40),0)</f>
        <v>0</v>
      </c>
      <c r="D60" s="37">
        <f t="shared" si="19"/>
        <v>0</v>
      </c>
      <c r="E60" s="37">
        <f t="shared" si="19"/>
        <v>0</v>
      </c>
      <c r="F60" s="37">
        <f t="shared" si="19"/>
        <v>0</v>
      </c>
      <c r="G60" s="37">
        <f t="shared" si="19"/>
        <v>0</v>
      </c>
      <c r="H60" s="37">
        <f t="shared" si="19"/>
        <v>0</v>
      </c>
      <c r="I60" s="37">
        <f t="shared" si="19"/>
        <v>0</v>
      </c>
      <c r="J60" s="37">
        <f t="shared" si="8"/>
        <v>0</v>
      </c>
      <c r="M60" s="7"/>
    </row>
    <row r="61" spans="1:17" x14ac:dyDescent="0.25">
      <c r="A61" s="1" t="s">
        <v>2</v>
      </c>
      <c r="B61" s="37">
        <f t="shared" si="10"/>
        <v>0</v>
      </c>
      <c r="C61" s="37">
        <f t="shared" ref="C61:I61" si="20">IF(C20&gt;0,C20*(1-C41),0)</f>
        <v>0</v>
      </c>
      <c r="D61" s="37">
        <f t="shared" si="20"/>
        <v>0</v>
      </c>
      <c r="E61" s="37">
        <f t="shared" si="20"/>
        <v>0</v>
      </c>
      <c r="F61" s="37">
        <f t="shared" si="20"/>
        <v>0</v>
      </c>
      <c r="G61" s="37">
        <f t="shared" si="20"/>
        <v>0</v>
      </c>
      <c r="H61" s="37">
        <f t="shared" si="20"/>
        <v>0</v>
      </c>
      <c r="I61" s="37">
        <f t="shared" si="20"/>
        <v>0</v>
      </c>
      <c r="J61" s="37">
        <f t="shared" si="8"/>
        <v>0</v>
      </c>
      <c r="M61" s="7"/>
    </row>
    <row r="62" spans="1:17" x14ac:dyDescent="0.25">
      <c r="A62" s="1" t="s">
        <v>86</v>
      </c>
      <c r="B62" s="37">
        <f t="shared" si="10"/>
        <v>0</v>
      </c>
      <c r="C62" s="37">
        <f t="shared" ref="C62:I62" si="21">IF(C21&gt;0,C21*(1-C42),0)</f>
        <v>0</v>
      </c>
      <c r="D62" s="37">
        <f t="shared" si="21"/>
        <v>0</v>
      </c>
      <c r="E62" s="37">
        <f t="shared" si="21"/>
        <v>0</v>
      </c>
      <c r="F62" s="37">
        <f t="shared" si="21"/>
        <v>0</v>
      </c>
      <c r="G62" s="37">
        <f t="shared" si="21"/>
        <v>0</v>
      </c>
      <c r="H62" s="37">
        <f t="shared" si="21"/>
        <v>0</v>
      </c>
      <c r="I62" s="37">
        <f t="shared" si="21"/>
        <v>0</v>
      </c>
      <c r="J62" s="37">
        <f t="shared" si="8"/>
        <v>0</v>
      </c>
      <c r="M62" s="183" t="s">
        <v>62</v>
      </c>
    </row>
    <row r="63" spans="1:17" x14ac:dyDescent="0.25">
      <c r="A63" s="1" t="s">
        <v>29</v>
      </c>
      <c r="B63" s="37">
        <f t="shared" si="10"/>
        <v>0</v>
      </c>
      <c r="C63" s="37">
        <f t="shared" ref="C63:I63" si="22">IF(C22&gt;0,C22*(1-C43),0)</f>
        <v>0</v>
      </c>
      <c r="D63" s="37">
        <f t="shared" si="22"/>
        <v>0</v>
      </c>
      <c r="E63" s="37">
        <f t="shared" si="22"/>
        <v>0</v>
      </c>
      <c r="F63" s="37">
        <f t="shared" si="22"/>
        <v>0</v>
      </c>
      <c r="G63" s="37">
        <f t="shared" si="22"/>
        <v>0</v>
      </c>
      <c r="H63" s="37">
        <f t="shared" si="22"/>
        <v>0</v>
      </c>
      <c r="I63" s="37">
        <f t="shared" si="22"/>
        <v>0</v>
      </c>
      <c r="J63" s="37">
        <f t="shared" si="8"/>
        <v>0</v>
      </c>
      <c r="M63" s="183"/>
    </row>
    <row r="64" spans="1:17" x14ac:dyDescent="0.25">
      <c r="A64" s="1" t="s">
        <v>52</v>
      </c>
      <c r="B64" s="37">
        <f t="shared" si="10"/>
        <v>0</v>
      </c>
      <c r="C64" s="37">
        <f t="shared" ref="C64:I64" si="23">IF(C23&gt;0,C23*(1-C44),0)</f>
        <v>0</v>
      </c>
      <c r="D64" s="37">
        <f t="shared" si="23"/>
        <v>0</v>
      </c>
      <c r="E64" s="37">
        <f t="shared" si="23"/>
        <v>0</v>
      </c>
      <c r="F64" s="37">
        <f t="shared" si="23"/>
        <v>0</v>
      </c>
      <c r="G64" s="37">
        <f t="shared" si="23"/>
        <v>0</v>
      </c>
      <c r="H64" s="37">
        <f t="shared" si="23"/>
        <v>0</v>
      </c>
      <c r="I64" s="37">
        <f t="shared" si="23"/>
        <v>0</v>
      </c>
      <c r="J64" s="37">
        <f t="shared" si="8"/>
        <v>0</v>
      </c>
      <c r="L64" s="35" t="s">
        <v>41</v>
      </c>
      <c r="M64" s="183" t="s">
        <v>63</v>
      </c>
    </row>
    <row r="65" spans="1:13" x14ac:dyDescent="0.25">
      <c r="A65" s="1" t="s">
        <v>1</v>
      </c>
      <c r="B65" s="38">
        <f t="shared" si="10"/>
        <v>0</v>
      </c>
      <c r="C65" s="38">
        <f t="shared" ref="C65:I65" si="24">IF(C24&gt;0,C24*(1-C45),0)</f>
        <v>0</v>
      </c>
      <c r="D65" s="38">
        <f t="shared" si="24"/>
        <v>0</v>
      </c>
      <c r="E65" s="38">
        <f t="shared" si="24"/>
        <v>0</v>
      </c>
      <c r="F65" s="38">
        <f t="shared" si="24"/>
        <v>0</v>
      </c>
      <c r="G65" s="38">
        <f t="shared" si="24"/>
        <v>0</v>
      </c>
      <c r="H65" s="38">
        <f t="shared" si="24"/>
        <v>0</v>
      </c>
      <c r="I65" s="38">
        <f t="shared" si="24"/>
        <v>0</v>
      </c>
      <c r="J65" s="38">
        <f t="shared" si="8"/>
        <v>0</v>
      </c>
      <c r="L65" s="42" t="s">
        <v>61</v>
      </c>
      <c r="M65" s="184"/>
    </row>
    <row r="66" spans="1:13" x14ac:dyDescent="0.25">
      <c r="A66" s="1"/>
      <c r="B66" s="9">
        <f>SUM(B49:B65)</f>
        <v>0</v>
      </c>
      <c r="C66" s="9">
        <f t="shared" ref="C66:J66" si="25">SUM(C49:C65)</f>
        <v>0</v>
      </c>
      <c r="D66" s="9">
        <f t="shared" si="25"/>
        <v>0</v>
      </c>
      <c r="E66" s="9">
        <f t="shared" si="25"/>
        <v>0</v>
      </c>
      <c r="F66" s="9">
        <f t="shared" si="25"/>
        <v>0</v>
      </c>
      <c r="G66" s="9">
        <f t="shared" si="25"/>
        <v>0</v>
      </c>
      <c r="H66" s="9">
        <f t="shared" si="25"/>
        <v>0</v>
      </c>
      <c r="I66" s="9">
        <f t="shared" si="25"/>
        <v>0</v>
      </c>
      <c r="J66" s="9">
        <f t="shared" si="25"/>
        <v>0</v>
      </c>
      <c r="L66" s="108">
        <v>60000</v>
      </c>
      <c r="M66" s="7">
        <f>J66-L66</f>
        <v>-60000</v>
      </c>
    </row>
    <row r="67" spans="1:13" ht="15.75" thickBot="1" x14ac:dyDescent="0.3">
      <c r="A67" s="1"/>
      <c r="B67" s="9"/>
      <c r="C67" s="9"/>
      <c r="D67" s="9"/>
      <c r="E67" s="9"/>
      <c r="F67" s="9"/>
      <c r="G67" s="9"/>
      <c r="H67" s="9"/>
      <c r="I67" s="9"/>
      <c r="J67" s="9"/>
      <c r="M67" s="7"/>
    </row>
    <row r="68" spans="1:13" ht="15.75" thickBot="1" x14ac:dyDescent="0.3">
      <c r="A68" s="170" t="s">
        <v>64</v>
      </c>
      <c r="B68" s="171"/>
      <c r="C68" s="171"/>
      <c r="D68" s="171"/>
      <c r="E68" s="171"/>
      <c r="F68" s="171"/>
      <c r="G68" s="171"/>
      <c r="H68" s="171"/>
      <c r="I68" s="171"/>
      <c r="J68" s="172"/>
      <c r="M68" s="7"/>
    </row>
    <row r="69" spans="1:13" x14ac:dyDescent="0.25">
      <c r="A69" s="4" t="s">
        <v>16</v>
      </c>
      <c r="B69" s="5" t="s">
        <v>15</v>
      </c>
      <c r="C69" s="5" t="s">
        <v>14</v>
      </c>
      <c r="D69" s="5" t="s">
        <v>13</v>
      </c>
      <c r="E69" s="5" t="s">
        <v>12</v>
      </c>
      <c r="F69" s="5" t="s">
        <v>93</v>
      </c>
      <c r="G69" s="5" t="s">
        <v>94</v>
      </c>
      <c r="H69" s="5" t="s">
        <v>38</v>
      </c>
      <c r="I69" s="5" t="s">
        <v>9</v>
      </c>
      <c r="J69" s="5" t="s">
        <v>0</v>
      </c>
      <c r="M69" s="7"/>
    </row>
    <row r="70" spans="1:13" x14ac:dyDescent="0.25">
      <c r="A70" s="1" t="s">
        <v>49</v>
      </c>
      <c r="B70" s="39">
        <f t="shared" ref="B70:H72" si="26">B8-B49</f>
        <v>0</v>
      </c>
      <c r="C70" s="39">
        <f t="shared" si="26"/>
        <v>0</v>
      </c>
      <c r="D70" s="39">
        <f t="shared" si="26"/>
        <v>0</v>
      </c>
      <c r="E70" s="39">
        <f t="shared" si="26"/>
        <v>0</v>
      </c>
      <c r="F70" s="39">
        <f t="shared" si="26"/>
        <v>0</v>
      </c>
      <c r="G70" s="39">
        <f t="shared" si="26"/>
        <v>0</v>
      </c>
      <c r="H70" s="39">
        <f t="shared" si="26"/>
        <v>0</v>
      </c>
      <c r="I70" s="39">
        <f t="shared" ref="I70" si="27">I8-I49</f>
        <v>0</v>
      </c>
      <c r="J70" s="39">
        <f>SUM(B70:H70)</f>
        <v>0</v>
      </c>
      <c r="M70" s="7"/>
    </row>
    <row r="71" spans="1:13" x14ac:dyDescent="0.25">
      <c r="A71" s="1" t="s">
        <v>8</v>
      </c>
      <c r="B71" s="39">
        <f t="shared" si="26"/>
        <v>0</v>
      </c>
      <c r="C71" s="39">
        <f t="shared" si="26"/>
        <v>0</v>
      </c>
      <c r="D71" s="39">
        <f t="shared" si="26"/>
        <v>0</v>
      </c>
      <c r="E71" s="39">
        <f t="shared" si="26"/>
        <v>0</v>
      </c>
      <c r="F71" s="39">
        <f t="shared" si="26"/>
        <v>0</v>
      </c>
      <c r="G71" s="39">
        <f t="shared" si="26"/>
        <v>0</v>
      </c>
      <c r="H71" s="39">
        <f t="shared" si="26"/>
        <v>0</v>
      </c>
      <c r="I71" s="39">
        <f t="shared" ref="I71" si="28">I9-I50</f>
        <v>0</v>
      </c>
      <c r="J71" s="39">
        <f t="shared" ref="J71:J86" si="29">SUM(B71:H71)</f>
        <v>0</v>
      </c>
      <c r="M71" s="7"/>
    </row>
    <row r="72" spans="1:13" x14ac:dyDescent="0.25">
      <c r="A72" s="1" t="s">
        <v>7</v>
      </c>
      <c r="B72" s="39">
        <f>B10-B51</f>
        <v>0</v>
      </c>
      <c r="C72" s="39">
        <f t="shared" si="26"/>
        <v>0</v>
      </c>
      <c r="D72" s="39">
        <f t="shared" si="26"/>
        <v>0</v>
      </c>
      <c r="E72" s="39">
        <f t="shared" si="26"/>
        <v>0</v>
      </c>
      <c r="F72" s="39">
        <f t="shared" si="26"/>
        <v>0</v>
      </c>
      <c r="G72" s="39">
        <f t="shared" si="26"/>
        <v>0</v>
      </c>
      <c r="H72" s="39">
        <f t="shared" si="26"/>
        <v>0</v>
      </c>
      <c r="I72" s="39">
        <f t="shared" ref="I72" si="30">I10-I51</f>
        <v>0</v>
      </c>
      <c r="J72" s="39">
        <f t="shared" si="29"/>
        <v>0</v>
      </c>
      <c r="M72" s="7"/>
    </row>
    <row r="73" spans="1:13" x14ac:dyDescent="0.25">
      <c r="A73" s="1" t="s">
        <v>42</v>
      </c>
      <c r="B73" s="39">
        <f t="shared" ref="B73:H86" si="31">B11-B52</f>
        <v>0</v>
      </c>
      <c r="C73" s="39">
        <f t="shared" si="31"/>
        <v>0</v>
      </c>
      <c r="D73" s="39">
        <f t="shared" si="31"/>
        <v>0</v>
      </c>
      <c r="E73" s="39">
        <f t="shared" si="31"/>
        <v>0</v>
      </c>
      <c r="F73" s="39">
        <f t="shared" si="31"/>
        <v>0</v>
      </c>
      <c r="G73" s="39">
        <f t="shared" si="31"/>
        <v>0</v>
      </c>
      <c r="H73" s="39">
        <f t="shared" si="31"/>
        <v>0</v>
      </c>
      <c r="I73" s="39">
        <f t="shared" ref="I73" si="32">I11-I52</f>
        <v>0</v>
      </c>
      <c r="J73" s="39">
        <f t="shared" si="29"/>
        <v>0</v>
      </c>
      <c r="M73" s="7"/>
    </row>
    <row r="74" spans="1:13" x14ac:dyDescent="0.25">
      <c r="A74" s="1" t="s">
        <v>6</v>
      </c>
      <c r="B74" s="39">
        <f t="shared" si="31"/>
        <v>0</v>
      </c>
      <c r="C74" s="39">
        <f t="shared" si="31"/>
        <v>0</v>
      </c>
      <c r="D74" s="39">
        <f t="shared" si="31"/>
        <v>0</v>
      </c>
      <c r="E74" s="39">
        <f t="shared" si="31"/>
        <v>0</v>
      </c>
      <c r="F74" s="39">
        <f t="shared" si="31"/>
        <v>0</v>
      </c>
      <c r="G74" s="39">
        <f t="shared" si="31"/>
        <v>0</v>
      </c>
      <c r="H74" s="39">
        <f t="shared" si="31"/>
        <v>0</v>
      </c>
      <c r="I74" s="39">
        <f t="shared" ref="I74" si="33">I12-I53</f>
        <v>0</v>
      </c>
      <c r="J74" s="39">
        <f t="shared" si="29"/>
        <v>0</v>
      </c>
      <c r="M74" s="7"/>
    </row>
    <row r="75" spans="1:13" x14ac:dyDescent="0.25">
      <c r="A75" s="1" t="s">
        <v>50</v>
      </c>
      <c r="B75" s="39">
        <f t="shared" si="31"/>
        <v>0</v>
      </c>
      <c r="C75" s="39">
        <f t="shared" si="31"/>
        <v>0</v>
      </c>
      <c r="D75" s="39">
        <f t="shared" si="31"/>
        <v>0</v>
      </c>
      <c r="E75" s="39">
        <f t="shared" si="31"/>
        <v>0</v>
      </c>
      <c r="F75" s="39">
        <f t="shared" si="31"/>
        <v>0</v>
      </c>
      <c r="G75" s="39">
        <f t="shared" si="31"/>
        <v>0</v>
      </c>
      <c r="H75" s="39">
        <f t="shared" si="31"/>
        <v>0</v>
      </c>
      <c r="I75" s="39">
        <f t="shared" ref="I75" si="34">I13-I54</f>
        <v>0</v>
      </c>
      <c r="J75" s="39">
        <f t="shared" si="29"/>
        <v>0</v>
      </c>
      <c r="M75" s="7"/>
    </row>
    <row r="76" spans="1:13" x14ac:dyDescent="0.25">
      <c r="A76" s="1" t="s">
        <v>89</v>
      </c>
      <c r="B76" s="39">
        <f t="shared" si="31"/>
        <v>0</v>
      </c>
      <c r="C76" s="39">
        <f t="shared" si="31"/>
        <v>0</v>
      </c>
      <c r="D76" s="39">
        <f t="shared" si="31"/>
        <v>0</v>
      </c>
      <c r="E76" s="39">
        <f t="shared" si="31"/>
        <v>0</v>
      </c>
      <c r="F76" s="39">
        <f t="shared" si="31"/>
        <v>0</v>
      </c>
      <c r="G76" s="39">
        <f t="shared" si="31"/>
        <v>0</v>
      </c>
      <c r="H76" s="39">
        <f t="shared" si="31"/>
        <v>0</v>
      </c>
      <c r="I76" s="39">
        <f t="shared" ref="I76" si="35">I14-I55</f>
        <v>0</v>
      </c>
      <c r="J76" s="39">
        <f t="shared" si="29"/>
        <v>0</v>
      </c>
      <c r="M76" s="7"/>
    </row>
    <row r="77" spans="1:13" x14ac:dyDescent="0.25">
      <c r="A77" s="1" t="s">
        <v>5</v>
      </c>
      <c r="B77" s="39">
        <f t="shared" si="31"/>
        <v>0</v>
      </c>
      <c r="C77" s="39">
        <f t="shared" si="31"/>
        <v>0</v>
      </c>
      <c r="D77" s="39">
        <f t="shared" si="31"/>
        <v>0</v>
      </c>
      <c r="E77" s="39">
        <f t="shared" si="31"/>
        <v>0</v>
      </c>
      <c r="F77" s="39">
        <f t="shared" si="31"/>
        <v>0</v>
      </c>
      <c r="G77" s="39">
        <f t="shared" si="31"/>
        <v>0</v>
      </c>
      <c r="H77" s="39">
        <f t="shared" si="31"/>
        <v>0</v>
      </c>
      <c r="I77" s="39">
        <f t="shared" ref="I77" si="36">I15-I56</f>
        <v>0</v>
      </c>
      <c r="J77" s="39">
        <f t="shared" si="29"/>
        <v>0</v>
      </c>
      <c r="M77" s="7"/>
    </row>
    <row r="78" spans="1:13" x14ac:dyDescent="0.25">
      <c r="A78" s="1" t="s">
        <v>84</v>
      </c>
      <c r="B78" s="39">
        <f t="shared" si="31"/>
        <v>0</v>
      </c>
      <c r="C78" s="39">
        <f t="shared" si="31"/>
        <v>0</v>
      </c>
      <c r="D78" s="39">
        <f t="shared" si="31"/>
        <v>0</v>
      </c>
      <c r="E78" s="39">
        <f t="shared" si="31"/>
        <v>0</v>
      </c>
      <c r="F78" s="39">
        <f t="shared" si="31"/>
        <v>0</v>
      </c>
      <c r="G78" s="39">
        <f t="shared" si="31"/>
        <v>0</v>
      </c>
      <c r="H78" s="39">
        <f t="shared" si="31"/>
        <v>0</v>
      </c>
      <c r="I78" s="39">
        <f t="shared" ref="I78" si="37">I16-I57</f>
        <v>0</v>
      </c>
      <c r="J78" s="39">
        <f t="shared" si="29"/>
        <v>0</v>
      </c>
      <c r="M78" s="7"/>
    </row>
    <row r="79" spans="1:13" x14ac:dyDescent="0.25">
      <c r="A79" s="1" t="s">
        <v>4</v>
      </c>
      <c r="B79" s="39">
        <f t="shared" si="31"/>
        <v>0</v>
      </c>
      <c r="C79" s="39">
        <f t="shared" si="31"/>
        <v>0</v>
      </c>
      <c r="D79" s="39">
        <f t="shared" si="31"/>
        <v>0</v>
      </c>
      <c r="E79" s="39">
        <f t="shared" si="31"/>
        <v>0</v>
      </c>
      <c r="F79" s="39">
        <f t="shared" si="31"/>
        <v>0</v>
      </c>
      <c r="G79" s="39">
        <f t="shared" si="31"/>
        <v>0</v>
      </c>
      <c r="H79" s="39">
        <f t="shared" si="31"/>
        <v>0</v>
      </c>
      <c r="I79" s="39">
        <f t="shared" ref="I79" si="38">I17-I58</f>
        <v>0</v>
      </c>
      <c r="J79" s="39">
        <f t="shared" si="29"/>
        <v>0</v>
      </c>
      <c r="M79" s="7"/>
    </row>
    <row r="80" spans="1:13" x14ac:dyDescent="0.25">
      <c r="A80" s="1" t="s">
        <v>51</v>
      </c>
      <c r="B80" s="39">
        <f t="shared" si="31"/>
        <v>0</v>
      </c>
      <c r="C80" s="39">
        <f t="shared" si="31"/>
        <v>0</v>
      </c>
      <c r="D80" s="39">
        <f t="shared" si="31"/>
        <v>0</v>
      </c>
      <c r="E80" s="39">
        <f t="shared" si="31"/>
        <v>0</v>
      </c>
      <c r="F80" s="39">
        <f t="shared" si="31"/>
        <v>0</v>
      </c>
      <c r="G80" s="39">
        <f t="shared" si="31"/>
        <v>0</v>
      </c>
      <c r="H80" s="39">
        <f t="shared" si="31"/>
        <v>0</v>
      </c>
      <c r="I80" s="39">
        <f t="shared" ref="I80" si="39">I18-I59</f>
        <v>0</v>
      </c>
      <c r="J80" s="39">
        <f t="shared" si="29"/>
        <v>0</v>
      </c>
      <c r="M80" s="7"/>
    </row>
    <row r="81" spans="1:13" x14ac:dyDescent="0.25">
      <c r="A81" s="1" t="s">
        <v>85</v>
      </c>
      <c r="B81" s="39">
        <f t="shared" si="31"/>
        <v>0</v>
      </c>
      <c r="C81" s="39">
        <f t="shared" si="31"/>
        <v>0</v>
      </c>
      <c r="D81" s="39">
        <f t="shared" si="31"/>
        <v>0</v>
      </c>
      <c r="E81" s="39">
        <f t="shared" si="31"/>
        <v>0</v>
      </c>
      <c r="F81" s="39">
        <f t="shared" si="31"/>
        <v>0</v>
      </c>
      <c r="G81" s="39">
        <f t="shared" si="31"/>
        <v>0</v>
      </c>
      <c r="H81" s="39">
        <f t="shared" si="31"/>
        <v>0</v>
      </c>
      <c r="I81" s="39">
        <f t="shared" ref="I81" si="40">I19-I60</f>
        <v>0</v>
      </c>
      <c r="J81" s="39">
        <f t="shared" si="29"/>
        <v>0</v>
      </c>
      <c r="M81" s="7"/>
    </row>
    <row r="82" spans="1:13" x14ac:dyDescent="0.25">
      <c r="A82" s="1" t="s">
        <v>2</v>
      </c>
      <c r="B82" s="39">
        <f t="shared" si="31"/>
        <v>0</v>
      </c>
      <c r="C82" s="39">
        <f t="shared" si="31"/>
        <v>0</v>
      </c>
      <c r="D82" s="39">
        <f t="shared" si="31"/>
        <v>0</v>
      </c>
      <c r="E82" s="39">
        <f t="shared" si="31"/>
        <v>0</v>
      </c>
      <c r="F82" s="39">
        <f t="shared" si="31"/>
        <v>0</v>
      </c>
      <c r="G82" s="39">
        <f t="shared" si="31"/>
        <v>0</v>
      </c>
      <c r="H82" s="39">
        <f t="shared" si="31"/>
        <v>0</v>
      </c>
      <c r="I82" s="39">
        <f t="shared" ref="I82" si="41">I20-I61</f>
        <v>0</v>
      </c>
      <c r="J82" s="39">
        <f t="shared" si="29"/>
        <v>0</v>
      </c>
      <c r="M82" s="7"/>
    </row>
    <row r="83" spans="1:13" x14ac:dyDescent="0.25">
      <c r="A83" s="1" t="s">
        <v>86</v>
      </c>
      <c r="B83" s="39">
        <f t="shared" si="31"/>
        <v>0</v>
      </c>
      <c r="C83" s="39">
        <f t="shared" si="31"/>
        <v>0</v>
      </c>
      <c r="D83" s="39">
        <f t="shared" si="31"/>
        <v>0</v>
      </c>
      <c r="E83" s="39">
        <f t="shared" si="31"/>
        <v>0</v>
      </c>
      <c r="F83" s="39">
        <f t="shared" si="31"/>
        <v>0</v>
      </c>
      <c r="G83" s="39">
        <f t="shared" si="31"/>
        <v>0</v>
      </c>
      <c r="H83" s="39">
        <f t="shared" si="31"/>
        <v>0</v>
      </c>
      <c r="I83" s="39">
        <f t="shared" ref="I83" si="42">I21-I62</f>
        <v>0</v>
      </c>
      <c r="J83" s="39">
        <f t="shared" si="29"/>
        <v>0</v>
      </c>
      <c r="M83" s="7"/>
    </row>
    <row r="84" spans="1:13" x14ac:dyDescent="0.25">
      <c r="A84" s="1" t="s">
        <v>29</v>
      </c>
      <c r="B84" s="39">
        <f t="shared" si="31"/>
        <v>0</v>
      </c>
      <c r="C84" s="39">
        <f t="shared" si="31"/>
        <v>0</v>
      </c>
      <c r="D84" s="39">
        <f t="shared" si="31"/>
        <v>0</v>
      </c>
      <c r="E84" s="39">
        <f t="shared" si="31"/>
        <v>0</v>
      </c>
      <c r="F84" s="39">
        <f t="shared" si="31"/>
        <v>0</v>
      </c>
      <c r="G84" s="39">
        <f t="shared" si="31"/>
        <v>0</v>
      </c>
      <c r="H84" s="39">
        <f t="shared" si="31"/>
        <v>0</v>
      </c>
      <c r="I84" s="39">
        <f t="shared" ref="I84" si="43">I22-I63</f>
        <v>0</v>
      </c>
      <c r="J84" s="39">
        <f t="shared" si="29"/>
        <v>0</v>
      </c>
      <c r="M84" s="7"/>
    </row>
    <row r="85" spans="1:13" x14ac:dyDescent="0.25">
      <c r="A85" s="1" t="s">
        <v>52</v>
      </c>
      <c r="B85" s="39">
        <f t="shared" si="31"/>
        <v>0</v>
      </c>
      <c r="C85" s="39">
        <f t="shared" si="31"/>
        <v>0</v>
      </c>
      <c r="D85" s="39">
        <f t="shared" si="31"/>
        <v>0</v>
      </c>
      <c r="E85" s="39">
        <f t="shared" si="31"/>
        <v>0</v>
      </c>
      <c r="F85" s="39">
        <f t="shared" si="31"/>
        <v>0</v>
      </c>
      <c r="G85" s="39">
        <f t="shared" si="31"/>
        <v>0</v>
      </c>
      <c r="H85" s="39">
        <f t="shared" si="31"/>
        <v>0</v>
      </c>
      <c r="I85" s="39">
        <f t="shared" ref="I85" si="44">I23-I64</f>
        <v>0</v>
      </c>
      <c r="J85" s="39">
        <f t="shared" si="29"/>
        <v>0</v>
      </c>
      <c r="M85" s="7"/>
    </row>
    <row r="86" spans="1:13" x14ac:dyDescent="0.25">
      <c r="A86" s="1" t="s">
        <v>1</v>
      </c>
      <c r="B86" s="40">
        <f t="shared" si="31"/>
        <v>0</v>
      </c>
      <c r="C86" s="40">
        <f t="shared" si="31"/>
        <v>0</v>
      </c>
      <c r="D86" s="40">
        <f t="shared" si="31"/>
        <v>0</v>
      </c>
      <c r="E86" s="40">
        <f t="shared" si="31"/>
        <v>0</v>
      </c>
      <c r="F86" s="40">
        <f t="shared" si="31"/>
        <v>0</v>
      </c>
      <c r="G86" s="40">
        <f t="shared" si="31"/>
        <v>0</v>
      </c>
      <c r="H86" s="40">
        <f t="shared" si="31"/>
        <v>0</v>
      </c>
      <c r="I86" s="40">
        <f t="shared" ref="I86" si="45">I24-I65</f>
        <v>0</v>
      </c>
      <c r="J86" s="40">
        <f t="shared" si="29"/>
        <v>0</v>
      </c>
      <c r="M86" s="7"/>
    </row>
    <row r="87" spans="1:13" x14ac:dyDescent="0.25">
      <c r="A87" s="4"/>
      <c r="B87" s="39">
        <f>SUM(B70:B86)</f>
        <v>0</v>
      </c>
      <c r="C87" s="39">
        <f t="shared" ref="C87:J87" si="46">SUM(C70:C86)</f>
        <v>0</v>
      </c>
      <c r="D87" s="39">
        <f t="shared" si="46"/>
        <v>0</v>
      </c>
      <c r="E87" s="39">
        <f t="shared" si="46"/>
        <v>0</v>
      </c>
      <c r="F87" s="39">
        <f t="shared" si="46"/>
        <v>0</v>
      </c>
      <c r="G87" s="39">
        <f t="shared" si="46"/>
        <v>0</v>
      </c>
      <c r="H87" s="39">
        <f t="shared" si="46"/>
        <v>0</v>
      </c>
      <c r="I87" s="39">
        <f t="shared" si="46"/>
        <v>0</v>
      </c>
      <c r="J87" s="39">
        <f t="shared" si="46"/>
        <v>0</v>
      </c>
      <c r="M87" s="7"/>
    </row>
    <row r="88" spans="1:13" ht="15.75" thickBot="1" x14ac:dyDescent="0.3">
      <c r="A88" s="4"/>
      <c r="B88" s="39"/>
      <c r="C88" s="39"/>
      <c r="D88" s="39"/>
      <c r="E88" s="39"/>
      <c r="F88" s="39"/>
      <c r="G88" s="39"/>
      <c r="H88" s="39"/>
      <c r="I88" s="39"/>
      <c r="J88" s="39"/>
      <c r="M88" s="7"/>
    </row>
    <row r="89" spans="1:13" ht="15.75" thickBot="1" x14ac:dyDescent="0.3">
      <c r="A89" s="167" t="s">
        <v>59</v>
      </c>
      <c r="B89" s="168"/>
      <c r="C89" s="168"/>
      <c r="D89" s="168"/>
      <c r="E89" s="168"/>
      <c r="F89" s="168"/>
      <c r="G89" s="168"/>
      <c r="H89" s="168"/>
      <c r="I89" s="168"/>
      <c r="J89" s="169"/>
      <c r="M89" s="7"/>
    </row>
    <row r="90" spans="1:13" x14ac:dyDescent="0.25">
      <c r="A90" s="4" t="s">
        <v>16</v>
      </c>
      <c r="B90" s="5" t="s">
        <v>15</v>
      </c>
      <c r="C90" s="5" t="s">
        <v>14</v>
      </c>
      <c r="D90" s="5" t="s">
        <v>13</v>
      </c>
      <c r="E90" s="5" t="s">
        <v>12</v>
      </c>
      <c r="F90" s="5" t="s">
        <v>93</v>
      </c>
      <c r="G90" s="5" t="s">
        <v>94</v>
      </c>
      <c r="H90" s="5" t="s">
        <v>38</v>
      </c>
      <c r="I90" s="5" t="s">
        <v>9</v>
      </c>
      <c r="J90" s="5" t="s">
        <v>0</v>
      </c>
      <c r="M90" s="7"/>
    </row>
    <row r="91" spans="1:13" x14ac:dyDescent="0.25">
      <c r="A91" s="1" t="s">
        <v>49</v>
      </c>
      <c r="B91" s="41">
        <v>0</v>
      </c>
      <c r="C91" s="41">
        <v>0</v>
      </c>
      <c r="D91" s="41">
        <v>0</v>
      </c>
      <c r="E91" s="41">
        <v>0.1</v>
      </c>
      <c r="F91" s="41">
        <v>0.15</v>
      </c>
      <c r="G91" s="41">
        <v>0.15</v>
      </c>
      <c r="H91" s="41">
        <v>0.2</v>
      </c>
      <c r="I91" s="41">
        <v>1</v>
      </c>
      <c r="J91" s="39"/>
      <c r="M91" s="7"/>
    </row>
    <row r="92" spans="1:13" x14ac:dyDescent="0.25">
      <c r="A92" s="1" t="s">
        <v>8</v>
      </c>
      <c r="B92" s="41">
        <v>0</v>
      </c>
      <c r="C92" s="41">
        <v>0</v>
      </c>
      <c r="D92" s="41">
        <v>0</v>
      </c>
      <c r="E92" s="41">
        <v>0.1</v>
      </c>
      <c r="F92" s="41">
        <v>0.15</v>
      </c>
      <c r="G92" s="41">
        <v>0.15</v>
      </c>
      <c r="H92" s="41">
        <v>0.2</v>
      </c>
      <c r="I92" s="41">
        <v>1</v>
      </c>
      <c r="J92" s="39"/>
      <c r="M92" s="7"/>
    </row>
    <row r="93" spans="1:13" x14ac:dyDescent="0.25">
      <c r="A93" s="1" t="s">
        <v>7</v>
      </c>
      <c r="B93" s="41">
        <v>0</v>
      </c>
      <c r="C93" s="41">
        <v>0</v>
      </c>
      <c r="D93" s="41">
        <v>0</v>
      </c>
      <c r="E93" s="41">
        <v>0.1</v>
      </c>
      <c r="F93" s="41">
        <v>0.15</v>
      </c>
      <c r="G93" s="41">
        <v>0.15</v>
      </c>
      <c r="H93" s="41">
        <v>0.2</v>
      </c>
      <c r="I93" s="41">
        <v>1</v>
      </c>
      <c r="J93" s="39"/>
      <c r="M93" s="7"/>
    </row>
    <row r="94" spans="1:13" x14ac:dyDescent="0.25">
      <c r="A94" s="1" t="s">
        <v>42</v>
      </c>
      <c r="B94" s="41">
        <v>0</v>
      </c>
      <c r="C94" s="41">
        <v>0</v>
      </c>
      <c r="D94" s="41">
        <v>0</v>
      </c>
      <c r="E94" s="41">
        <v>0.1</v>
      </c>
      <c r="F94" s="41">
        <v>0.15</v>
      </c>
      <c r="G94" s="41">
        <v>0.15</v>
      </c>
      <c r="H94" s="41">
        <v>0.2</v>
      </c>
      <c r="I94" s="41">
        <v>1</v>
      </c>
      <c r="J94" s="39"/>
      <c r="M94" s="7"/>
    </row>
    <row r="95" spans="1:13" x14ac:dyDescent="0.25">
      <c r="A95" s="1" t="s">
        <v>6</v>
      </c>
      <c r="B95" s="41">
        <v>0</v>
      </c>
      <c r="C95" s="41">
        <v>0</v>
      </c>
      <c r="D95" s="41">
        <v>0</v>
      </c>
      <c r="E95" s="41">
        <v>0.1</v>
      </c>
      <c r="F95" s="41">
        <v>0.15</v>
      </c>
      <c r="G95" s="41">
        <v>0.15</v>
      </c>
      <c r="H95" s="41">
        <v>0.2</v>
      </c>
      <c r="I95" s="41">
        <v>1</v>
      </c>
      <c r="J95" s="39"/>
      <c r="M95" s="7"/>
    </row>
    <row r="96" spans="1:13" x14ac:dyDescent="0.25">
      <c r="A96" s="1" t="s">
        <v>50</v>
      </c>
      <c r="B96" s="41">
        <v>0</v>
      </c>
      <c r="C96" s="41">
        <v>0</v>
      </c>
      <c r="D96" s="41">
        <v>0</v>
      </c>
      <c r="E96" s="41">
        <v>0.1</v>
      </c>
      <c r="F96" s="41">
        <v>0.15</v>
      </c>
      <c r="G96" s="41">
        <v>0.15</v>
      </c>
      <c r="H96" s="41">
        <v>0.2</v>
      </c>
      <c r="I96" s="41">
        <v>1</v>
      </c>
      <c r="J96" s="39"/>
      <c r="M96" s="7"/>
    </row>
    <row r="97" spans="1:13" x14ac:dyDescent="0.25">
      <c r="A97" s="1" t="s">
        <v>89</v>
      </c>
      <c r="B97" s="41">
        <v>0</v>
      </c>
      <c r="C97" s="41">
        <v>0</v>
      </c>
      <c r="D97" s="41">
        <v>0</v>
      </c>
      <c r="E97" s="41">
        <v>0.1</v>
      </c>
      <c r="F97" s="41">
        <v>0.15</v>
      </c>
      <c r="G97" s="41">
        <v>0.15</v>
      </c>
      <c r="H97" s="41">
        <v>0.2</v>
      </c>
      <c r="I97" s="41">
        <v>1</v>
      </c>
      <c r="J97" s="39"/>
      <c r="M97" s="7"/>
    </row>
    <row r="98" spans="1:13" x14ac:dyDescent="0.25">
      <c r="A98" s="1" t="s">
        <v>5</v>
      </c>
      <c r="B98" s="41">
        <v>0</v>
      </c>
      <c r="C98" s="41">
        <v>0</v>
      </c>
      <c r="D98" s="41">
        <v>0</v>
      </c>
      <c r="E98" s="41">
        <v>0.1</v>
      </c>
      <c r="F98" s="41">
        <v>0.15</v>
      </c>
      <c r="G98" s="41">
        <v>0.15</v>
      </c>
      <c r="H98" s="41">
        <v>0.2</v>
      </c>
      <c r="I98" s="41">
        <v>1</v>
      </c>
      <c r="J98" s="39"/>
      <c r="M98" s="7"/>
    </row>
    <row r="99" spans="1:13" x14ac:dyDescent="0.25">
      <c r="A99" s="1" t="s">
        <v>84</v>
      </c>
      <c r="B99" s="41">
        <v>0</v>
      </c>
      <c r="C99" s="41">
        <v>0</v>
      </c>
      <c r="D99" s="41">
        <v>0</v>
      </c>
      <c r="E99" s="41">
        <v>0.1</v>
      </c>
      <c r="F99" s="41">
        <v>0.15</v>
      </c>
      <c r="G99" s="41">
        <v>0.15</v>
      </c>
      <c r="H99" s="41">
        <v>0.2</v>
      </c>
      <c r="I99" s="41">
        <v>1</v>
      </c>
      <c r="J99" s="39"/>
      <c r="M99" s="7"/>
    </row>
    <row r="100" spans="1:13" x14ac:dyDescent="0.25">
      <c r="A100" s="1" t="s">
        <v>4</v>
      </c>
      <c r="B100" s="41">
        <v>0</v>
      </c>
      <c r="C100" s="41">
        <v>0</v>
      </c>
      <c r="D100" s="41">
        <v>0</v>
      </c>
      <c r="E100" s="41">
        <v>0.1</v>
      </c>
      <c r="F100" s="41">
        <v>0.15</v>
      </c>
      <c r="G100" s="41">
        <v>0.15</v>
      </c>
      <c r="H100" s="41">
        <v>0.2</v>
      </c>
      <c r="I100" s="41">
        <v>1</v>
      </c>
      <c r="J100" s="39"/>
      <c r="M100" s="7"/>
    </row>
    <row r="101" spans="1:13" x14ac:dyDescent="0.25">
      <c r="A101" s="1" t="s">
        <v>51</v>
      </c>
      <c r="B101" s="41">
        <v>0</v>
      </c>
      <c r="C101" s="41">
        <v>0</v>
      </c>
      <c r="D101" s="41">
        <v>0</v>
      </c>
      <c r="E101" s="41">
        <v>0.1</v>
      </c>
      <c r="F101" s="41">
        <v>0.15</v>
      </c>
      <c r="G101" s="41">
        <v>0.15</v>
      </c>
      <c r="H101" s="41">
        <v>0.2</v>
      </c>
      <c r="I101" s="41">
        <v>1</v>
      </c>
      <c r="J101" s="39"/>
      <c r="M101" s="7"/>
    </row>
    <row r="102" spans="1:13" x14ac:dyDescent="0.25">
      <c r="A102" s="1" t="s">
        <v>85</v>
      </c>
      <c r="B102" s="41">
        <v>0</v>
      </c>
      <c r="C102" s="41">
        <v>0</v>
      </c>
      <c r="D102" s="41">
        <v>0</v>
      </c>
      <c r="E102" s="41">
        <v>0.1</v>
      </c>
      <c r="F102" s="41">
        <v>0.15</v>
      </c>
      <c r="G102" s="41">
        <v>0.15</v>
      </c>
      <c r="H102" s="41">
        <v>0.2</v>
      </c>
      <c r="I102" s="41">
        <v>1</v>
      </c>
      <c r="J102" s="39"/>
      <c r="M102" s="7"/>
    </row>
    <row r="103" spans="1:13" x14ac:dyDescent="0.25">
      <c r="A103" s="1" t="s">
        <v>2</v>
      </c>
      <c r="B103" s="41">
        <v>0</v>
      </c>
      <c r="C103" s="41">
        <v>0</v>
      </c>
      <c r="D103" s="41">
        <v>0.1</v>
      </c>
      <c r="E103" s="41">
        <v>0.5</v>
      </c>
      <c r="F103" s="41">
        <v>1</v>
      </c>
      <c r="G103" s="41">
        <v>1</v>
      </c>
      <c r="H103" s="41">
        <v>1</v>
      </c>
      <c r="I103" s="41">
        <v>1</v>
      </c>
      <c r="J103" s="39"/>
      <c r="M103" s="7"/>
    </row>
    <row r="104" spans="1:13" x14ac:dyDescent="0.25">
      <c r="A104" s="1" t="s">
        <v>86</v>
      </c>
      <c r="B104" s="41">
        <v>0</v>
      </c>
      <c r="C104" s="41">
        <v>0</v>
      </c>
      <c r="D104" s="41">
        <v>0</v>
      </c>
      <c r="E104" s="41">
        <v>0.1</v>
      </c>
      <c r="F104" s="41">
        <v>0.15</v>
      </c>
      <c r="G104" s="41">
        <v>0.15</v>
      </c>
      <c r="H104" s="41">
        <v>0.2</v>
      </c>
      <c r="I104" s="41">
        <v>1</v>
      </c>
      <c r="J104" s="39"/>
      <c r="M104" s="7"/>
    </row>
    <row r="105" spans="1:13" x14ac:dyDescent="0.25">
      <c r="A105" s="1" t="s">
        <v>29</v>
      </c>
      <c r="B105" s="41">
        <v>0</v>
      </c>
      <c r="C105" s="41">
        <v>0</v>
      </c>
      <c r="D105" s="41">
        <v>0</v>
      </c>
      <c r="E105" s="41">
        <v>0.1</v>
      </c>
      <c r="F105" s="41">
        <v>0.15</v>
      </c>
      <c r="G105" s="41">
        <v>0.15</v>
      </c>
      <c r="H105" s="41">
        <v>0.2</v>
      </c>
      <c r="I105" s="41">
        <v>1</v>
      </c>
      <c r="J105" s="39"/>
      <c r="M105" s="7"/>
    </row>
    <row r="106" spans="1:13" x14ac:dyDescent="0.25">
      <c r="A106" s="1" t="s">
        <v>52</v>
      </c>
      <c r="B106" s="41">
        <v>0</v>
      </c>
      <c r="C106" s="41">
        <v>0</v>
      </c>
      <c r="D106" s="41">
        <v>0</v>
      </c>
      <c r="E106" s="41">
        <v>0.1</v>
      </c>
      <c r="F106" s="41">
        <v>0.15</v>
      </c>
      <c r="G106" s="41">
        <v>0.15</v>
      </c>
      <c r="H106" s="41">
        <v>0.2</v>
      </c>
      <c r="I106" s="41">
        <v>1</v>
      </c>
      <c r="J106" s="39"/>
      <c r="M106" s="7"/>
    </row>
    <row r="107" spans="1:13" x14ac:dyDescent="0.25">
      <c r="A107" s="1" t="s">
        <v>1</v>
      </c>
      <c r="B107" s="41">
        <v>0</v>
      </c>
      <c r="C107" s="41">
        <v>0</v>
      </c>
      <c r="D107" s="41">
        <v>0</v>
      </c>
      <c r="E107" s="41">
        <v>0.1</v>
      </c>
      <c r="F107" s="41">
        <v>0.15</v>
      </c>
      <c r="G107" s="41">
        <v>0.15</v>
      </c>
      <c r="H107" s="41">
        <v>0.2</v>
      </c>
      <c r="I107" s="41">
        <v>1</v>
      </c>
      <c r="J107" s="39"/>
      <c r="M107" s="7"/>
    </row>
    <row r="108" spans="1:13" ht="15.75" thickBot="1" x14ac:dyDescent="0.3">
      <c r="A108" s="4"/>
      <c r="B108" s="39"/>
      <c r="C108" s="39"/>
      <c r="D108" s="39"/>
      <c r="E108" s="39"/>
      <c r="F108" s="39"/>
      <c r="G108" s="39"/>
      <c r="H108" s="39"/>
      <c r="I108" s="39"/>
      <c r="J108" s="39"/>
      <c r="M108" s="7"/>
    </row>
    <row r="109" spans="1:13" ht="15.75" thickBot="1" x14ac:dyDescent="0.3">
      <c r="A109" s="170" t="s">
        <v>60</v>
      </c>
      <c r="B109" s="171"/>
      <c r="C109" s="171"/>
      <c r="D109" s="171"/>
      <c r="E109" s="171"/>
      <c r="F109" s="171"/>
      <c r="G109" s="171"/>
      <c r="H109" s="171"/>
      <c r="I109" s="171"/>
      <c r="J109" s="172"/>
      <c r="M109" s="7"/>
    </row>
    <row r="110" spans="1:13" x14ac:dyDescent="0.25">
      <c r="A110" s="4" t="s">
        <v>16</v>
      </c>
      <c r="B110" s="5" t="s">
        <v>15</v>
      </c>
      <c r="C110" s="5" t="s">
        <v>14</v>
      </c>
      <c r="D110" s="5" t="s">
        <v>13</v>
      </c>
      <c r="E110" s="5" t="s">
        <v>12</v>
      </c>
      <c r="F110" s="5" t="s">
        <v>93</v>
      </c>
      <c r="G110" s="5" t="s">
        <v>94</v>
      </c>
      <c r="H110" s="5" t="s">
        <v>38</v>
      </c>
      <c r="I110" s="5" t="s">
        <v>9</v>
      </c>
      <c r="J110" s="5" t="s">
        <v>0</v>
      </c>
      <c r="M110" s="7"/>
    </row>
    <row r="111" spans="1:13" x14ac:dyDescent="0.25">
      <c r="A111" s="1" t="s">
        <v>49</v>
      </c>
      <c r="B111" s="66">
        <f>IF(B70&gt;0,B70*B91,0)</f>
        <v>0</v>
      </c>
      <c r="C111" s="66">
        <f t="shared" ref="C111:H113" si="47">IF(C70&gt;0,C70*C91,0)</f>
        <v>0</v>
      </c>
      <c r="D111" s="66">
        <f t="shared" si="47"/>
        <v>0</v>
      </c>
      <c r="E111" s="66">
        <f t="shared" si="47"/>
        <v>0</v>
      </c>
      <c r="F111" s="66">
        <f t="shared" si="47"/>
        <v>0</v>
      </c>
      <c r="G111" s="66">
        <f t="shared" si="47"/>
        <v>0</v>
      </c>
      <c r="H111" s="66">
        <f t="shared" si="47"/>
        <v>0</v>
      </c>
      <c r="I111" s="66">
        <f t="shared" ref="I111" si="48">IF(I70&gt;0,I70*I91,0)</f>
        <v>0</v>
      </c>
      <c r="J111" s="39">
        <f>SUM(B111:H111)</f>
        <v>0</v>
      </c>
      <c r="M111" s="7"/>
    </row>
    <row r="112" spans="1:13" x14ac:dyDescent="0.25">
      <c r="A112" s="1" t="s">
        <v>8</v>
      </c>
      <c r="B112" s="39">
        <f>IF(B71&gt;0,B71*B92,0)</f>
        <v>0</v>
      </c>
      <c r="C112" s="39">
        <f t="shared" si="47"/>
        <v>0</v>
      </c>
      <c r="D112" s="39">
        <f t="shared" si="47"/>
        <v>0</v>
      </c>
      <c r="E112" s="39">
        <f t="shared" si="47"/>
        <v>0</v>
      </c>
      <c r="F112" s="39">
        <f t="shared" si="47"/>
        <v>0</v>
      </c>
      <c r="G112" s="39">
        <f t="shared" si="47"/>
        <v>0</v>
      </c>
      <c r="H112" s="39">
        <f t="shared" si="47"/>
        <v>0</v>
      </c>
      <c r="I112" s="39">
        <f t="shared" ref="I112" si="49">IF(I71&gt;0,I71*I92,0)</f>
        <v>0</v>
      </c>
      <c r="J112" s="39">
        <f t="shared" ref="J112:J127" si="50">SUM(B112:H112)</f>
        <v>0</v>
      </c>
      <c r="M112" s="7"/>
    </row>
    <row r="113" spans="1:13" x14ac:dyDescent="0.25">
      <c r="A113" s="1" t="s">
        <v>7</v>
      </c>
      <c r="B113" s="39">
        <f>IF(B72&gt;0,B72*B93,0)</f>
        <v>0</v>
      </c>
      <c r="C113" s="39">
        <f t="shared" si="47"/>
        <v>0</v>
      </c>
      <c r="D113" s="39">
        <f t="shared" si="47"/>
        <v>0</v>
      </c>
      <c r="E113" s="39">
        <f t="shared" si="47"/>
        <v>0</v>
      </c>
      <c r="F113" s="39">
        <f t="shared" si="47"/>
        <v>0</v>
      </c>
      <c r="G113" s="39">
        <f t="shared" si="47"/>
        <v>0</v>
      </c>
      <c r="H113" s="39">
        <f t="shared" si="47"/>
        <v>0</v>
      </c>
      <c r="I113" s="39">
        <f t="shared" ref="I113" si="51">IF(I72&gt;0,I72*I93,0)</f>
        <v>0</v>
      </c>
      <c r="J113" s="39">
        <f t="shared" si="50"/>
        <v>0</v>
      </c>
      <c r="M113" s="7"/>
    </row>
    <row r="114" spans="1:13" x14ac:dyDescent="0.25">
      <c r="A114" s="1" t="s">
        <v>42</v>
      </c>
      <c r="B114" s="39">
        <f t="shared" ref="B114:H127" si="52">IF(B73&gt;0,B73*B94,0)</f>
        <v>0</v>
      </c>
      <c r="C114" s="39">
        <f t="shared" si="52"/>
        <v>0</v>
      </c>
      <c r="D114" s="39">
        <f t="shared" si="52"/>
        <v>0</v>
      </c>
      <c r="E114" s="39">
        <f t="shared" si="52"/>
        <v>0</v>
      </c>
      <c r="F114" s="39">
        <f t="shared" si="52"/>
        <v>0</v>
      </c>
      <c r="G114" s="39">
        <f t="shared" si="52"/>
        <v>0</v>
      </c>
      <c r="H114" s="39">
        <f t="shared" si="52"/>
        <v>0</v>
      </c>
      <c r="I114" s="39">
        <f t="shared" ref="I114" si="53">IF(I73&gt;0,I73*I94,0)</f>
        <v>0</v>
      </c>
      <c r="J114" s="39">
        <f t="shared" si="50"/>
        <v>0</v>
      </c>
      <c r="M114" s="7"/>
    </row>
    <row r="115" spans="1:13" x14ac:dyDescent="0.25">
      <c r="A115" s="1" t="s">
        <v>6</v>
      </c>
      <c r="B115" s="39">
        <f t="shared" si="52"/>
        <v>0</v>
      </c>
      <c r="C115" s="39">
        <f t="shared" si="52"/>
        <v>0</v>
      </c>
      <c r="D115" s="39">
        <f t="shared" si="52"/>
        <v>0</v>
      </c>
      <c r="E115" s="39">
        <f t="shared" si="52"/>
        <v>0</v>
      </c>
      <c r="F115" s="39">
        <f t="shared" si="52"/>
        <v>0</v>
      </c>
      <c r="G115" s="39">
        <f t="shared" si="52"/>
        <v>0</v>
      </c>
      <c r="H115" s="39">
        <f t="shared" si="52"/>
        <v>0</v>
      </c>
      <c r="I115" s="39">
        <f t="shared" ref="I115" si="54">IF(I74&gt;0,I74*I95,0)</f>
        <v>0</v>
      </c>
      <c r="J115" s="39">
        <f t="shared" si="50"/>
        <v>0</v>
      </c>
      <c r="M115" s="7"/>
    </row>
    <row r="116" spans="1:13" x14ac:dyDescent="0.25">
      <c r="A116" s="1" t="s">
        <v>50</v>
      </c>
      <c r="B116" s="39">
        <f t="shared" si="52"/>
        <v>0</v>
      </c>
      <c r="C116" s="39">
        <f t="shared" si="52"/>
        <v>0</v>
      </c>
      <c r="D116" s="39">
        <f t="shared" si="52"/>
        <v>0</v>
      </c>
      <c r="E116" s="39">
        <f t="shared" si="52"/>
        <v>0</v>
      </c>
      <c r="F116" s="39">
        <f t="shared" si="52"/>
        <v>0</v>
      </c>
      <c r="G116" s="39">
        <f t="shared" si="52"/>
        <v>0</v>
      </c>
      <c r="H116" s="39">
        <f t="shared" si="52"/>
        <v>0</v>
      </c>
      <c r="I116" s="39">
        <f t="shared" ref="I116" si="55">IF(I75&gt;0,I75*I96,0)</f>
        <v>0</v>
      </c>
      <c r="J116" s="39">
        <f t="shared" si="50"/>
        <v>0</v>
      </c>
      <c r="M116" s="7"/>
    </row>
    <row r="117" spans="1:13" x14ac:dyDescent="0.25">
      <c r="A117" s="1" t="s">
        <v>89</v>
      </c>
      <c r="B117" s="39">
        <f t="shared" si="52"/>
        <v>0</v>
      </c>
      <c r="C117" s="39">
        <f t="shared" si="52"/>
        <v>0</v>
      </c>
      <c r="D117" s="39">
        <f t="shared" si="52"/>
        <v>0</v>
      </c>
      <c r="E117" s="39">
        <f t="shared" si="52"/>
        <v>0</v>
      </c>
      <c r="F117" s="39">
        <f t="shared" si="52"/>
        <v>0</v>
      </c>
      <c r="G117" s="39">
        <f t="shared" si="52"/>
        <v>0</v>
      </c>
      <c r="H117" s="39">
        <f t="shared" si="52"/>
        <v>0</v>
      </c>
      <c r="I117" s="39">
        <f t="shared" ref="I117" si="56">IF(I76&gt;0,I76*I97,0)</f>
        <v>0</v>
      </c>
      <c r="J117" s="39">
        <f t="shared" si="50"/>
        <v>0</v>
      </c>
      <c r="M117" s="7"/>
    </row>
    <row r="118" spans="1:13" x14ac:dyDescent="0.25">
      <c r="A118" s="1" t="s">
        <v>5</v>
      </c>
      <c r="B118" s="39">
        <f t="shared" si="52"/>
        <v>0</v>
      </c>
      <c r="C118" s="39">
        <f t="shared" si="52"/>
        <v>0</v>
      </c>
      <c r="D118" s="39">
        <f t="shared" si="52"/>
        <v>0</v>
      </c>
      <c r="E118" s="39">
        <f t="shared" si="52"/>
        <v>0</v>
      </c>
      <c r="F118" s="39">
        <f t="shared" si="52"/>
        <v>0</v>
      </c>
      <c r="G118" s="39">
        <f t="shared" si="52"/>
        <v>0</v>
      </c>
      <c r="H118" s="39">
        <f t="shared" si="52"/>
        <v>0</v>
      </c>
      <c r="I118" s="39">
        <f t="shared" ref="I118" si="57">IF(I77&gt;0,I77*I98,0)</f>
        <v>0</v>
      </c>
      <c r="J118" s="39">
        <f t="shared" si="50"/>
        <v>0</v>
      </c>
      <c r="M118" s="7"/>
    </row>
    <row r="119" spans="1:13" x14ac:dyDescent="0.25">
      <c r="A119" s="1" t="s">
        <v>84</v>
      </c>
      <c r="B119" s="39">
        <f t="shared" si="52"/>
        <v>0</v>
      </c>
      <c r="C119" s="39">
        <f t="shared" si="52"/>
        <v>0</v>
      </c>
      <c r="D119" s="39">
        <f t="shared" si="52"/>
        <v>0</v>
      </c>
      <c r="E119" s="39">
        <f t="shared" si="52"/>
        <v>0</v>
      </c>
      <c r="F119" s="39">
        <f t="shared" si="52"/>
        <v>0</v>
      </c>
      <c r="G119" s="39">
        <f t="shared" si="52"/>
        <v>0</v>
      </c>
      <c r="H119" s="39">
        <f t="shared" si="52"/>
        <v>0</v>
      </c>
      <c r="I119" s="39">
        <f t="shared" ref="I119" si="58">IF(I78&gt;0,I78*I99,0)</f>
        <v>0</v>
      </c>
      <c r="J119" s="39">
        <f t="shared" si="50"/>
        <v>0</v>
      </c>
      <c r="M119" s="7"/>
    </row>
    <row r="120" spans="1:13" x14ac:dyDescent="0.25">
      <c r="A120" s="1" t="s">
        <v>4</v>
      </c>
      <c r="B120" s="39">
        <f t="shared" si="52"/>
        <v>0</v>
      </c>
      <c r="C120" s="39">
        <f t="shared" si="52"/>
        <v>0</v>
      </c>
      <c r="D120" s="39">
        <f t="shared" si="52"/>
        <v>0</v>
      </c>
      <c r="E120" s="39">
        <f t="shared" si="52"/>
        <v>0</v>
      </c>
      <c r="F120" s="39">
        <f t="shared" si="52"/>
        <v>0</v>
      </c>
      <c r="G120" s="39">
        <f t="shared" si="52"/>
        <v>0</v>
      </c>
      <c r="H120" s="39">
        <f t="shared" si="52"/>
        <v>0</v>
      </c>
      <c r="I120" s="39">
        <f t="shared" ref="I120" si="59">IF(I79&gt;0,I79*I100,0)</f>
        <v>0</v>
      </c>
      <c r="J120" s="39">
        <f t="shared" si="50"/>
        <v>0</v>
      </c>
      <c r="M120" s="7"/>
    </row>
    <row r="121" spans="1:13" x14ac:dyDescent="0.25">
      <c r="A121" s="1" t="s">
        <v>51</v>
      </c>
      <c r="B121" s="39">
        <f t="shared" si="52"/>
        <v>0</v>
      </c>
      <c r="C121" s="39">
        <f t="shared" si="52"/>
        <v>0</v>
      </c>
      <c r="D121" s="39">
        <f t="shared" si="52"/>
        <v>0</v>
      </c>
      <c r="E121" s="39">
        <f t="shared" si="52"/>
        <v>0</v>
      </c>
      <c r="F121" s="39">
        <f t="shared" si="52"/>
        <v>0</v>
      </c>
      <c r="G121" s="39">
        <f t="shared" si="52"/>
        <v>0</v>
      </c>
      <c r="H121" s="39">
        <f t="shared" si="52"/>
        <v>0</v>
      </c>
      <c r="I121" s="39">
        <f t="shared" ref="I121" si="60">IF(I80&gt;0,I80*I101,0)</f>
        <v>0</v>
      </c>
      <c r="J121" s="39">
        <f t="shared" si="50"/>
        <v>0</v>
      </c>
      <c r="M121" s="7"/>
    </row>
    <row r="122" spans="1:13" x14ac:dyDescent="0.25">
      <c r="A122" s="1" t="s">
        <v>85</v>
      </c>
      <c r="B122" s="39">
        <f t="shared" si="52"/>
        <v>0</v>
      </c>
      <c r="C122" s="39">
        <f t="shared" si="52"/>
        <v>0</v>
      </c>
      <c r="D122" s="39">
        <f t="shared" si="52"/>
        <v>0</v>
      </c>
      <c r="E122" s="39">
        <f t="shared" si="52"/>
        <v>0</v>
      </c>
      <c r="F122" s="39">
        <f t="shared" si="52"/>
        <v>0</v>
      </c>
      <c r="G122" s="39">
        <f t="shared" si="52"/>
        <v>0</v>
      </c>
      <c r="H122" s="39">
        <f t="shared" si="52"/>
        <v>0</v>
      </c>
      <c r="I122" s="39">
        <f t="shared" ref="I122" si="61">IF(I81&gt;0,I81*I102,0)</f>
        <v>0</v>
      </c>
      <c r="J122" s="39">
        <f t="shared" si="50"/>
        <v>0</v>
      </c>
      <c r="M122" s="7"/>
    </row>
    <row r="123" spans="1:13" x14ac:dyDescent="0.25">
      <c r="A123" s="1" t="s">
        <v>2</v>
      </c>
      <c r="B123" s="39">
        <f t="shared" si="52"/>
        <v>0</v>
      </c>
      <c r="C123" s="39">
        <f t="shared" si="52"/>
        <v>0</v>
      </c>
      <c r="D123" s="39">
        <f t="shared" si="52"/>
        <v>0</v>
      </c>
      <c r="E123" s="39">
        <f t="shared" si="52"/>
        <v>0</v>
      </c>
      <c r="F123" s="39">
        <f t="shared" si="52"/>
        <v>0</v>
      </c>
      <c r="G123" s="39">
        <f t="shared" si="52"/>
        <v>0</v>
      </c>
      <c r="H123" s="39">
        <f t="shared" si="52"/>
        <v>0</v>
      </c>
      <c r="I123" s="39">
        <f t="shared" ref="I123" si="62">IF(I82&gt;0,I82*I103,0)</f>
        <v>0</v>
      </c>
      <c r="J123" s="39">
        <f t="shared" si="50"/>
        <v>0</v>
      </c>
      <c r="M123" s="7"/>
    </row>
    <row r="124" spans="1:13" x14ac:dyDescent="0.25">
      <c r="A124" s="1" t="s">
        <v>86</v>
      </c>
      <c r="B124" s="39">
        <f t="shared" si="52"/>
        <v>0</v>
      </c>
      <c r="C124" s="39">
        <f t="shared" si="52"/>
        <v>0</v>
      </c>
      <c r="D124" s="39">
        <f t="shared" si="52"/>
        <v>0</v>
      </c>
      <c r="E124" s="39">
        <f t="shared" si="52"/>
        <v>0</v>
      </c>
      <c r="F124" s="39">
        <f t="shared" si="52"/>
        <v>0</v>
      </c>
      <c r="G124" s="39">
        <f t="shared" si="52"/>
        <v>0</v>
      </c>
      <c r="H124" s="39">
        <f t="shared" si="52"/>
        <v>0</v>
      </c>
      <c r="I124" s="39">
        <f t="shared" ref="I124" si="63">IF(I83&gt;0,I83*I104,0)</f>
        <v>0</v>
      </c>
      <c r="J124" s="39">
        <f t="shared" si="50"/>
        <v>0</v>
      </c>
      <c r="M124" s="183" t="s">
        <v>62</v>
      </c>
    </row>
    <row r="125" spans="1:13" x14ac:dyDescent="0.25">
      <c r="A125" s="1" t="s">
        <v>29</v>
      </c>
      <c r="B125" s="39">
        <f t="shared" si="52"/>
        <v>0</v>
      </c>
      <c r="C125" s="39">
        <f t="shared" si="52"/>
        <v>0</v>
      </c>
      <c r="D125" s="39">
        <f t="shared" si="52"/>
        <v>0</v>
      </c>
      <c r="E125" s="39">
        <f t="shared" si="52"/>
        <v>0</v>
      </c>
      <c r="F125" s="39">
        <f t="shared" si="52"/>
        <v>0</v>
      </c>
      <c r="G125" s="39">
        <f t="shared" si="52"/>
        <v>0</v>
      </c>
      <c r="H125" s="39">
        <f t="shared" si="52"/>
        <v>0</v>
      </c>
      <c r="I125" s="39">
        <f t="shared" ref="I125" si="64">IF(I84&gt;0,I84*I105,0)</f>
        <v>0</v>
      </c>
      <c r="J125" s="39">
        <f t="shared" si="50"/>
        <v>0</v>
      </c>
      <c r="M125" s="183"/>
    </row>
    <row r="126" spans="1:13" x14ac:dyDescent="0.25">
      <c r="A126" s="1" t="s">
        <v>52</v>
      </c>
      <c r="B126" s="39">
        <f t="shared" si="52"/>
        <v>0</v>
      </c>
      <c r="C126" s="39">
        <f t="shared" si="52"/>
        <v>0</v>
      </c>
      <c r="D126" s="39">
        <f t="shared" si="52"/>
        <v>0</v>
      </c>
      <c r="E126" s="39">
        <f t="shared" si="52"/>
        <v>0</v>
      </c>
      <c r="F126" s="39">
        <f t="shared" si="52"/>
        <v>0</v>
      </c>
      <c r="G126" s="39">
        <f t="shared" si="52"/>
        <v>0</v>
      </c>
      <c r="H126" s="39">
        <f t="shared" si="52"/>
        <v>0</v>
      </c>
      <c r="I126" s="39">
        <f t="shared" ref="I126" si="65">IF(I85&gt;0,I85*I106,0)</f>
        <v>0</v>
      </c>
      <c r="J126" s="39">
        <f t="shared" si="50"/>
        <v>0</v>
      </c>
      <c r="L126" s="35" t="s">
        <v>151</v>
      </c>
      <c r="M126" s="183" t="s">
        <v>63</v>
      </c>
    </row>
    <row r="127" spans="1:13" x14ac:dyDescent="0.25">
      <c r="A127" s="1" t="s">
        <v>1</v>
      </c>
      <c r="B127" s="40">
        <f t="shared" si="52"/>
        <v>0</v>
      </c>
      <c r="C127" s="40">
        <f t="shared" si="52"/>
        <v>0</v>
      </c>
      <c r="D127" s="40">
        <f t="shared" si="52"/>
        <v>0</v>
      </c>
      <c r="E127" s="40">
        <f t="shared" si="52"/>
        <v>0</v>
      </c>
      <c r="F127" s="40">
        <f t="shared" si="52"/>
        <v>0</v>
      </c>
      <c r="G127" s="40">
        <f t="shared" si="52"/>
        <v>0</v>
      </c>
      <c r="H127" s="40">
        <f t="shared" si="52"/>
        <v>0</v>
      </c>
      <c r="I127" s="40">
        <f t="shared" ref="I127" si="66">IF(I86&gt;0,I86*I107,0)</f>
        <v>0</v>
      </c>
      <c r="J127" s="40">
        <f t="shared" si="50"/>
        <v>0</v>
      </c>
      <c r="L127" s="42" t="s">
        <v>61</v>
      </c>
      <c r="M127" s="184"/>
    </row>
    <row r="128" spans="1:13" x14ac:dyDescent="0.25">
      <c r="A128" s="4"/>
      <c r="B128" s="39">
        <f>SUM(B111:B127)</f>
        <v>0</v>
      </c>
      <c r="C128" s="39">
        <f t="shared" ref="C128:J128" si="67">SUM(C111:C127)</f>
        <v>0</v>
      </c>
      <c r="D128" s="39">
        <f t="shared" si="67"/>
        <v>0</v>
      </c>
      <c r="E128" s="39">
        <f t="shared" si="67"/>
        <v>0</v>
      </c>
      <c r="F128" s="39">
        <f t="shared" si="67"/>
        <v>0</v>
      </c>
      <c r="G128" s="39">
        <f t="shared" si="67"/>
        <v>0</v>
      </c>
      <c r="H128" s="39">
        <f t="shared" si="67"/>
        <v>0</v>
      </c>
      <c r="I128" s="39">
        <f t="shared" si="67"/>
        <v>0</v>
      </c>
      <c r="J128" s="39">
        <f t="shared" si="67"/>
        <v>0</v>
      </c>
      <c r="L128" s="108">
        <v>60000</v>
      </c>
      <c r="M128" s="7">
        <f>J128-L128</f>
        <v>-60000</v>
      </c>
    </row>
    <row r="129" spans="1:13" ht="15.75" thickBot="1" x14ac:dyDescent="0.3">
      <c r="A129" s="4"/>
      <c r="B129" s="39"/>
      <c r="C129" s="39"/>
      <c r="D129" s="39"/>
      <c r="E129" s="39"/>
      <c r="F129" s="39"/>
      <c r="G129" s="39"/>
      <c r="H129" s="39"/>
      <c r="I129" s="39"/>
      <c r="J129" s="39"/>
      <c r="M129" s="7"/>
    </row>
    <row r="130" spans="1:13" ht="15.75" thickBot="1" x14ac:dyDescent="0.3">
      <c r="A130" s="170" t="s">
        <v>30</v>
      </c>
      <c r="B130" s="171"/>
      <c r="C130" s="171"/>
      <c r="D130" s="171"/>
      <c r="E130" s="171"/>
      <c r="F130" s="171"/>
      <c r="G130" s="171"/>
      <c r="H130" s="171"/>
      <c r="I130" s="171"/>
      <c r="J130" s="172"/>
      <c r="M130" s="7"/>
    </row>
    <row r="131" spans="1:13" x14ac:dyDescent="0.25">
      <c r="A131" s="4" t="s">
        <v>16</v>
      </c>
      <c r="B131" s="5" t="s">
        <v>15</v>
      </c>
      <c r="C131" s="5" t="s">
        <v>14</v>
      </c>
      <c r="D131" s="5" t="s">
        <v>13</v>
      </c>
      <c r="E131" s="5" t="s">
        <v>12</v>
      </c>
      <c r="F131" s="5" t="s">
        <v>93</v>
      </c>
      <c r="G131" s="5" t="s">
        <v>94</v>
      </c>
      <c r="H131" s="5" t="s">
        <v>38</v>
      </c>
      <c r="I131" s="5" t="s">
        <v>9</v>
      </c>
      <c r="J131" s="5" t="s">
        <v>0</v>
      </c>
      <c r="M131" s="7"/>
    </row>
    <row r="132" spans="1:13" x14ac:dyDescent="0.25">
      <c r="A132" s="1" t="s">
        <v>49</v>
      </c>
      <c r="B132" s="39">
        <f>B70-B111</f>
        <v>0</v>
      </c>
      <c r="C132" s="39">
        <f t="shared" ref="C132:H134" si="68">C70-C111</f>
        <v>0</v>
      </c>
      <c r="D132" s="39">
        <f t="shared" si="68"/>
        <v>0</v>
      </c>
      <c r="E132" s="39">
        <f t="shared" si="68"/>
        <v>0</v>
      </c>
      <c r="F132" s="39">
        <f t="shared" si="68"/>
        <v>0</v>
      </c>
      <c r="G132" s="39">
        <f t="shared" si="68"/>
        <v>0</v>
      </c>
      <c r="H132" s="39">
        <f t="shared" si="68"/>
        <v>0</v>
      </c>
      <c r="I132" s="39">
        <f t="shared" ref="I132" si="69">I70-I111</f>
        <v>0</v>
      </c>
      <c r="J132" s="39">
        <f>SUM(B132:H132)</f>
        <v>0</v>
      </c>
      <c r="M132" s="7"/>
    </row>
    <row r="133" spans="1:13" x14ac:dyDescent="0.25">
      <c r="A133" s="1" t="s">
        <v>8</v>
      </c>
      <c r="B133" s="39">
        <f>B71-B112</f>
        <v>0</v>
      </c>
      <c r="C133" s="39">
        <f t="shared" si="68"/>
        <v>0</v>
      </c>
      <c r="D133" s="39">
        <f t="shared" si="68"/>
        <v>0</v>
      </c>
      <c r="E133" s="39">
        <f t="shared" si="68"/>
        <v>0</v>
      </c>
      <c r="F133" s="39">
        <f t="shared" si="68"/>
        <v>0</v>
      </c>
      <c r="G133" s="39">
        <f t="shared" si="68"/>
        <v>0</v>
      </c>
      <c r="H133" s="39">
        <f t="shared" si="68"/>
        <v>0</v>
      </c>
      <c r="I133" s="39">
        <f t="shared" ref="I133" si="70">I71-I112</f>
        <v>0</v>
      </c>
      <c r="J133" s="39">
        <f t="shared" ref="J133:J148" si="71">SUM(B133:H133)</f>
        <v>0</v>
      </c>
      <c r="M133" s="7"/>
    </row>
    <row r="134" spans="1:13" x14ac:dyDescent="0.25">
      <c r="A134" s="1" t="s">
        <v>7</v>
      </c>
      <c r="B134" s="39">
        <f>B72-B113</f>
        <v>0</v>
      </c>
      <c r="C134" s="39">
        <f t="shared" si="68"/>
        <v>0</v>
      </c>
      <c r="D134" s="39">
        <f t="shared" si="68"/>
        <v>0</v>
      </c>
      <c r="E134" s="39">
        <f t="shared" si="68"/>
        <v>0</v>
      </c>
      <c r="F134" s="39">
        <f t="shared" si="68"/>
        <v>0</v>
      </c>
      <c r="G134" s="39">
        <f t="shared" si="68"/>
        <v>0</v>
      </c>
      <c r="H134" s="39">
        <f t="shared" si="68"/>
        <v>0</v>
      </c>
      <c r="I134" s="39">
        <f t="shared" ref="I134" si="72">I72-I113</f>
        <v>0</v>
      </c>
      <c r="J134" s="39">
        <f t="shared" si="71"/>
        <v>0</v>
      </c>
      <c r="M134" s="7"/>
    </row>
    <row r="135" spans="1:13" x14ac:dyDescent="0.25">
      <c r="A135" s="1" t="s">
        <v>42</v>
      </c>
      <c r="B135" s="39">
        <f t="shared" ref="B135:H148" si="73">B73-B114</f>
        <v>0</v>
      </c>
      <c r="C135" s="39">
        <f t="shared" si="73"/>
        <v>0</v>
      </c>
      <c r="D135" s="39">
        <f t="shared" si="73"/>
        <v>0</v>
      </c>
      <c r="E135" s="39">
        <f t="shared" si="73"/>
        <v>0</v>
      </c>
      <c r="F135" s="39">
        <f t="shared" si="73"/>
        <v>0</v>
      </c>
      <c r="G135" s="39">
        <f t="shared" si="73"/>
        <v>0</v>
      </c>
      <c r="H135" s="39">
        <f t="shared" si="73"/>
        <v>0</v>
      </c>
      <c r="I135" s="39">
        <f t="shared" ref="I135" si="74">I73-I114</f>
        <v>0</v>
      </c>
      <c r="J135" s="39">
        <f t="shared" si="71"/>
        <v>0</v>
      </c>
      <c r="M135" s="7"/>
    </row>
    <row r="136" spans="1:13" x14ac:dyDescent="0.25">
      <c r="A136" s="1" t="s">
        <v>6</v>
      </c>
      <c r="B136" s="39">
        <f t="shared" si="73"/>
        <v>0</v>
      </c>
      <c r="C136" s="39">
        <f t="shared" si="73"/>
        <v>0</v>
      </c>
      <c r="D136" s="39">
        <f t="shared" si="73"/>
        <v>0</v>
      </c>
      <c r="E136" s="39">
        <f t="shared" si="73"/>
        <v>0</v>
      </c>
      <c r="F136" s="39">
        <f t="shared" si="73"/>
        <v>0</v>
      </c>
      <c r="G136" s="39">
        <f t="shared" si="73"/>
        <v>0</v>
      </c>
      <c r="H136" s="39">
        <f t="shared" si="73"/>
        <v>0</v>
      </c>
      <c r="I136" s="39">
        <f t="shared" ref="I136" si="75">I74-I115</f>
        <v>0</v>
      </c>
      <c r="J136" s="39">
        <f t="shared" si="71"/>
        <v>0</v>
      </c>
      <c r="M136" s="7"/>
    </row>
    <row r="137" spans="1:13" x14ac:dyDescent="0.25">
      <c r="A137" s="1" t="s">
        <v>50</v>
      </c>
      <c r="B137" s="39">
        <f t="shared" si="73"/>
        <v>0</v>
      </c>
      <c r="C137" s="39">
        <f t="shared" si="73"/>
        <v>0</v>
      </c>
      <c r="D137" s="39">
        <f t="shared" si="73"/>
        <v>0</v>
      </c>
      <c r="E137" s="39">
        <f t="shared" si="73"/>
        <v>0</v>
      </c>
      <c r="F137" s="39">
        <f t="shared" si="73"/>
        <v>0</v>
      </c>
      <c r="G137" s="39">
        <f t="shared" si="73"/>
        <v>0</v>
      </c>
      <c r="H137" s="39">
        <f t="shared" si="73"/>
        <v>0</v>
      </c>
      <c r="I137" s="39">
        <f t="shared" ref="I137" si="76">I75-I116</f>
        <v>0</v>
      </c>
      <c r="J137" s="39">
        <f t="shared" si="71"/>
        <v>0</v>
      </c>
      <c r="M137" s="7"/>
    </row>
    <row r="138" spans="1:13" x14ac:dyDescent="0.25">
      <c r="A138" s="1" t="s">
        <v>89</v>
      </c>
      <c r="B138" s="39">
        <f t="shared" si="73"/>
        <v>0</v>
      </c>
      <c r="C138" s="39">
        <f t="shared" si="73"/>
        <v>0</v>
      </c>
      <c r="D138" s="39">
        <f t="shared" si="73"/>
        <v>0</v>
      </c>
      <c r="E138" s="39">
        <f t="shared" si="73"/>
        <v>0</v>
      </c>
      <c r="F138" s="39">
        <f t="shared" si="73"/>
        <v>0</v>
      </c>
      <c r="G138" s="39">
        <f t="shared" si="73"/>
        <v>0</v>
      </c>
      <c r="H138" s="39">
        <f t="shared" si="73"/>
        <v>0</v>
      </c>
      <c r="I138" s="39">
        <f t="shared" ref="I138" si="77">I76-I117</f>
        <v>0</v>
      </c>
      <c r="J138" s="39">
        <f t="shared" si="71"/>
        <v>0</v>
      </c>
      <c r="M138" s="7"/>
    </row>
    <row r="139" spans="1:13" x14ac:dyDescent="0.25">
      <c r="A139" s="1" t="s">
        <v>5</v>
      </c>
      <c r="B139" s="39">
        <f t="shared" si="73"/>
        <v>0</v>
      </c>
      <c r="C139" s="39">
        <f t="shared" si="73"/>
        <v>0</v>
      </c>
      <c r="D139" s="39">
        <f t="shared" si="73"/>
        <v>0</v>
      </c>
      <c r="E139" s="39">
        <f t="shared" si="73"/>
        <v>0</v>
      </c>
      <c r="F139" s="39">
        <f t="shared" si="73"/>
        <v>0</v>
      </c>
      <c r="G139" s="39">
        <f t="shared" si="73"/>
        <v>0</v>
      </c>
      <c r="H139" s="39">
        <f t="shared" si="73"/>
        <v>0</v>
      </c>
      <c r="I139" s="39">
        <f t="shared" ref="I139" si="78">I77-I118</f>
        <v>0</v>
      </c>
      <c r="J139" s="39">
        <f t="shared" si="71"/>
        <v>0</v>
      </c>
      <c r="M139" s="7"/>
    </row>
    <row r="140" spans="1:13" x14ac:dyDescent="0.25">
      <c r="A140" s="1" t="s">
        <v>84</v>
      </c>
      <c r="B140" s="39">
        <f t="shared" si="73"/>
        <v>0</v>
      </c>
      <c r="C140" s="39">
        <f t="shared" si="73"/>
        <v>0</v>
      </c>
      <c r="D140" s="39">
        <f t="shared" si="73"/>
        <v>0</v>
      </c>
      <c r="E140" s="39">
        <f t="shared" si="73"/>
        <v>0</v>
      </c>
      <c r="F140" s="39">
        <f t="shared" si="73"/>
        <v>0</v>
      </c>
      <c r="G140" s="39">
        <f t="shared" si="73"/>
        <v>0</v>
      </c>
      <c r="H140" s="39">
        <f t="shared" si="73"/>
        <v>0</v>
      </c>
      <c r="I140" s="39">
        <f t="shared" ref="I140" si="79">I78-I119</f>
        <v>0</v>
      </c>
      <c r="J140" s="39">
        <f t="shared" si="71"/>
        <v>0</v>
      </c>
      <c r="M140" s="7"/>
    </row>
    <row r="141" spans="1:13" x14ac:dyDescent="0.25">
      <c r="A141" s="1" t="s">
        <v>4</v>
      </c>
      <c r="B141" s="39">
        <f t="shared" si="73"/>
        <v>0</v>
      </c>
      <c r="C141" s="39">
        <f t="shared" si="73"/>
        <v>0</v>
      </c>
      <c r="D141" s="39">
        <f t="shared" si="73"/>
        <v>0</v>
      </c>
      <c r="E141" s="39">
        <f t="shared" si="73"/>
        <v>0</v>
      </c>
      <c r="F141" s="39">
        <f t="shared" si="73"/>
        <v>0</v>
      </c>
      <c r="G141" s="39">
        <f t="shared" si="73"/>
        <v>0</v>
      </c>
      <c r="H141" s="39">
        <f t="shared" si="73"/>
        <v>0</v>
      </c>
      <c r="I141" s="39">
        <f t="shared" ref="I141" si="80">I79-I120</f>
        <v>0</v>
      </c>
      <c r="J141" s="39">
        <f t="shared" si="71"/>
        <v>0</v>
      </c>
      <c r="M141" s="7"/>
    </row>
    <row r="142" spans="1:13" x14ac:dyDescent="0.25">
      <c r="A142" s="1" t="s">
        <v>51</v>
      </c>
      <c r="B142" s="39">
        <f t="shared" si="73"/>
        <v>0</v>
      </c>
      <c r="C142" s="39">
        <f t="shared" si="73"/>
        <v>0</v>
      </c>
      <c r="D142" s="39">
        <f t="shared" si="73"/>
        <v>0</v>
      </c>
      <c r="E142" s="39">
        <f t="shared" si="73"/>
        <v>0</v>
      </c>
      <c r="F142" s="39">
        <f t="shared" si="73"/>
        <v>0</v>
      </c>
      <c r="G142" s="39">
        <f t="shared" si="73"/>
        <v>0</v>
      </c>
      <c r="H142" s="39">
        <f t="shared" si="73"/>
        <v>0</v>
      </c>
      <c r="I142" s="39">
        <f t="shared" ref="I142" si="81">I80-I121</f>
        <v>0</v>
      </c>
      <c r="J142" s="39">
        <f t="shared" si="71"/>
        <v>0</v>
      </c>
      <c r="M142" s="7"/>
    </row>
    <row r="143" spans="1:13" x14ac:dyDescent="0.25">
      <c r="A143" s="1" t="s">
        <v>85</v>
      </c>
      <c r="B143" s="39">
        <f t="shared" si="73"/>
        <v>0</v>
      </c>
      <c r="C143" s="39">
        <f t="shared" si="73"/>
        <v>0</v>
      </c>
      <c r="D143" s="39">
        <f t="shared" si="73"/>
        <v>0</v>
      </c>
      <c r="E143" s="39">
        <f t="shared" si="73"/>
        <v>0</v>
      </c>
      <c r="F143" s="39">
        <f t="shared" si="73"/>
        <v>0</v>
      </c>
      <c r="G143" s="39">
        <f t="shared" si="73"/>
        <v>0</v>
      </c>
      <c r="H143" s="39">
        <f t="shared" si="73"/>
        <v>0</v>
      </c>
      <c r="I143" s="39">
        <f t="shared" ref="I143" si="82">I81-I122</f>
        <v>0</v>
      </c>
      <c r="J143" s="39">
        <f t="shared" si="71"/>
        <v>0</v>
      </c>
      <c r="M143" s="7"/>
    </row>
    <row r="144" spans="1:13" x14ac:dyDescent="0.25">
      <c r="A144" s="1" t="s">
        <v>2</v>
      </c>
      <c r="B144" s="39">
        <f t="shared" si="73"/>
        <v>0</v>
      </c>
      <c r="C144" s="39">
        <f t="shared" si="73"/>
        <v>0</v>
      </c>
      <c r="D144" s="39">
        <f t="shared" si="73"/>
        <v>0</v>
      </c>
      <c r="E144" s="39">
        <f t="shared" si="73"/>
        <v>0</v>
      </c>
      <c r="F144" s="39">
        <f t="shared" si="73"/>
        <v>0</v>
      </c>
      <c r="G144" s="39">
        <f t="shared" si="73"/>
        <v>0</v>
      </c>
      <c r="H144" s="39">
        <f t="shared" si="73"/>
        <v>0</v>
      </c>
      <c r="I144" s="39">
        <f t="shared" ref="I144" si="83">I82-I123</f>
        <v>0</v>
      </c>
      <c r="J144" s="39">
        <f t="shared" si="71"/>
        <v>0</v>
      </c>
      <c r="M144" s="7"/>
    </row>
    <row r="145" spans="1:13" x14ac:dyDescent="0.25">
      <c r="A145" s="1" t="s">
        <v>86</v>
      </c>
      <c r="B145" s="39">
        <f t="shared" si="73"/>
        <v>0</v>
      </c>
      <c r="C145" s="39">
        <f t="shared" si="73"/>
        <v>0</v>
      </c>
      <c r="D145" s="39">
        <f t="shared" si="73"/>
        <v>0</v>
      </c>
      <c r="E145" s="39">
        <f t="shared" si="73"/>
        <v>0</v>
      </c>
      <c r="F145" s="39">
        <f t="shared" si="73"/>
        <v>0</v>
      </c>
      <c r="G145" s="39">
        <f t="shared" si="73"/>
        <v>0</v>
      </c>
      <c r="H145" s="39">
        <f t="shared" si="73"/>
        <v>0</v>
      </c>
      <c r="I145" s="39">
        <f t="shared" ref="I145" si="84">I83-I124</f>
        <v>0</v>
      </c>
      <c r="J145" s="39">
        <f t="shared" si="71"/>
        <v>0</v>
      </c>
      <c r="M145" s="7"/>
    </row>
    <row r="146" spans="1:13" x14ac:dyDescent="0.25">
      <c r="A146" s="1" t="s">
        <v>29</v>
      </c>
      <c r="B146" s="39">
        <f t="shared" si="73"/>
        <v>0</v>
      </c>
      <c r="C146" s="39">
        <f t="shared" si="73"/>
        <v>0</v>
      </c>
      <c r="D146" s="39">
        <f t="shared" si="73"/>
        <v>0</v>
      </c>
      <c r="E146" s="39">
        <f t="shared" si="73"/>
        <v>0</v>
      </c>
      <c r="F146" s="39">
        <f t="shared" si="73"/>
        <v>0</v>
      </c>
      <c r="G146" s="39">
        <f t="shared" si="73"/>
        <v>0</v>
      </c>
      <c r="H146" s="39">
        <f t="shared" si="73"/>
        <v>0</v>
      </c>
      <c r="I146" s="39">
        <f t="shared" ref="I146" si="85">I84-I125</f>
        <v>0</v>
      </c>
      <c r="J146" s="39">
        <f t="shared" si="71"/>
        <v>0</v>
      </c>
      <c r="M146" s="7"/>
    </row>
    <row r="147" spans="1:13" x14ac:dyDescent="0.25">
      <c r="A147" s="1" t="s">
        <v>52</v>
      </c>
      <c r="B147" s="39">
        <f t="shared" si="73"/>
        <v>0</v>
      </c>
      <c r="C147" s="39">
        <f t="shared" si="73"/>
        <v>0</v>
      </c>
      <c r="D147" s="39">
        <f t="shared" si="73"/>
        <v>0</v>
      </c>
      <c r="E147" s="39">
        <f t="shared" si="73"/>
        <v>0</v>
      </c>
      <c r="F147" s="39">
        <f t="shared" si="73"/>
        <v>0</v>
      </c>
      <c r="G147" s="39">
        <f t="shared" si="73"/>
        <v>0</v>
      </c>
      <c r="H147" s="39">
        <f t="shared" si="73"/>
        <v>0</v>
      </c>
      <c r="I147" s="39">
        <f t="shared" ref="I147" si="86">I85-I126</f>
        <v>0</v>
      </c>
      <c r="J147" s="39">
        <f t="shared" si="71"/>
        <v>0</v>
      </c>
      <c r="M147" s="7"/>
    </row>
    <row r="148" spans="1:13" x14ac:dyDescent="0.25">
      <c r="A148" s="1" t="s">
        <v>1</v>
      </c>
      <c r="B148" s="40">
        <f t="shared" si="73"/>
        <v>0</v>
      </c>
      <c r="C148" s="40">
        <f t="shared" si="73"/>
        <v>0</v>
      </c>
      <c r="D148" s="40">
        <f t="shared" si="73"/>
        <v>0</v>
      </c>
      <c r="E148" s="40">
        <f t="shared" si="73"/>
        <v>0</v>
      </c>
      <c r="F148" s="40">
        <f t="shared" si="73"/>
        <v>0</v>
      </c>
      <c r="G148" s="40">
        <f t="shared" si="73"/>
        <v>0</v>
      </c>
      <c r="H148" s="40">
        <f t="shared" si="73"/>
        <v>0</v>
      </c>
      <c r="I148" s="40">
        <f t="shared" ref="I148" si="87">I86-I127</f>
        <v>0</v>
      </c>
      <c r="J148" s="40">
        <f t="shared" si="71"/>
        <v>0</v>
      </c>
      <c r="M148" s="7"/>
    </row>
    <row r="149" spans="1:13" x14ac:dyDescent="0.25">
      <c r="A149" s="4"/>
      <c r="B149" s="39">
        <f>SUM(B132:B148)</f>
        <v>0</v>
      </c>
      <c r="C149" s="39">
        <f t="shared" ref="C149:J149" si="88">SUM(C132:C148)</f>
        <v>0</v>
      </c>
      <c r="D149" s="39">
        <f t="shared" si="88"/>
        <v>0</v>
      </c>
      <c r="E149" s="39">
        <f t="shared" si="88"/>
        <v>0</v>
      </c>
      <c r="F149" s="39">
        <f t="shared" si="88"/>
        <v>0</v>
      </c>
      <c r="G149" s="39">
        <f t="shared" si="88"/>
        <v>0</v>
      </c>
      <c r="H149" s="39">
        <f t="shared" si="88"/>
        <v>0</v>
      </c>
      <c r="I149" s="39">
        <f t="shared" si="88"/>
        <v>0</v>
      </c>
      <c r="J149" s="39">
        <f t="shared" si="88"/>
        <v>0</v>
      </c>
      <c r="M149" s="7"/>
    </row>
    <row r="150" spans="1:13" x14ac:dyDescent="0.25">
      <c r="A150" s="4"/>
      <c r="B150" s="39"/>
      <c r="C150" s="39"/>
      <c r="D150" s="39"/>
      <c r="E150" s="39"/>
      <c r="F150" s="39"/>
      <c r="G150" s="39"/>
      <c r="H150" s="39"/>
      <c r="I150" s="39"/>
      <c r="J150" s="39"/>
      <c r="M150" s="7"/>
    </row>
    <row r="151" spans="1:13" x14ac:dyDescent="0.25">
      <c r="A151" s="4"/>
      <c r="B151" s="39"/>
      <c r="C151" s="39"/>
      <c r="D151" s="39"/>
      <c r="E151" s="39"/>
      <c r="F151" s="39"/>
      <c r="G151" s="39"/>
      <c r="H151" s="39"/>
      <c r="I151" s="39"/>
      <c r="J151" s="39"/>
      <c r="M151" s="7"/>
    </row>
    <row r="152" spans="1:13" x14ac:dyDescent="0.25">
      <c r="A152" s="4"/>
      <c r="B152" s="39"/>
      <c r="C152" s="39"/>
      <c r="D152" s="39"/>
      <c r="E152" s="39"/>
      <c r="F152" s="39"/>
      <c r="G152" s="39"/>
      <c r="H152" s="39"/>
      <c r="I152" s="39"/>
      <c r="J152" s="39"/>
      <c r="M152" s="7"/>
    </row>
    <row r="153" spans="1:13" x14ac:dyDescent="0.25">
      <c r="A153" s="4"/>
      <c r="B153" s="39"/>
      <c r="C153" s="39"/>
      <c r="D153" s="39"/>
      <c r="E153" s="39"/>
      <c r="F153" s="39"/>
      <c r="G153" s="39"/>
      <c r="H153" s="39"/>
      <c r="I153" s="39"/>
      <c r="J153" s="39"/>
      <c r="M153" s="7"/>
    </row>
    <row r="154" spans="1:13" x14ac:dyDescent="0.25">
      <c r="A154" s="4"/>
      <c r="B154" s="39"/>
      <c r="C154" s="39"/>
      <c r="D154" s="39"/>
      <c r="E154" s="39"/>
      <c r="F154" s="39"/>
      <c r="G154" s="39"/>
      <c r="H154" s="39"/>
      <c r="I154" s="39"/>
      <c r="J154" s="39"/>
      <c r="M154" s="7"/>
    </row>
    <row r="155" spans="1:13" x14ac:dyDescent="0.25">
      <c r="A155" s="4"/>
      <c r="B155" s="39"/>
      <c r="C155" s="39"/>
      <c r="D155" s="39"/>
      <c r="E155" s="39"/>
      <c r="F155" s="39"/>
      <c r="G155" s="39"/>
      <c r="H155" s="39"/>
      <c r="I155" s="39"/>
      <c r="J155" s="39"/>
      <c r="M155" s="7"/>
    </row>
    <row r="156" spans="1:13" x14ac:dyDescent="0.25">
      <c r="A156" s="4"/>
      <c r="B156" s="39"/>
      <c r="C156" s="39"/>
      <c r="D156" s="39"/>
      <c r="E156" s="39"/>
      <c r="F156" s="39"/>
      <c r="G156" s="39"/>
      <c r="H156" s="39"/>
      <c r="I156" s="39"/>
      <c r="J156" s="39"/>
      <c r="M156" s="7"/>
    </row>
    <row r="157" spans="1:13" x14ac:dyDescent="0.25">
      <c r="A157" s="1"/>
      <c r="B157" s="9"/>
      <c r="C157" s="9"/>
      <c r="D157" s="9"/>
      <c r="E157" s="9"/>
      <c r="F157" s="9"/>
      <c r="G157" s="9"/>
      <c r="H157" s="9"/>
      <c r="I157" s="9"/>
      <c r="J157" s="9"/>
      <c r="M157" s="7"/>
    </row>
    <row r="158" spans="1:13" x14ac:dyDescent="0.25">
      <c r="A158" s="1"/>
      <c r="B158" s="9"/>
      <c r="C158" s="9"/>
      <c r="D158" s="9"/>
      <c r="E158" s="9"/>
      <c r="F158" s="9"/>
      <c r="G158" s="9"/>
      <c r="H158" s="9"/>
      <c r="I158" s="9"/>
      <c r="J158" s="9"/>
      <c r="M158" s="7"/>
    </row>
  </sheetData>
  <mergeCells count="16">
    <mergeCell ref="A1:M1"/>
    <mergeCell ref="A2:M2"/>
    <mergeCell ref="A3:M3"/>
    <mergeCell ref="A4:M4"/>
    <mergeCell ref="A6:J6"/>
    <mergeCell ref="L6:M6"/>
    <mergeCell ref="A109:J109"/>
    <mergeCell ref="M124:M125"/>
    <mergeCell ref="M126:M127"/>
    <mergeCell ref="A130:J130"/>
    <mergeCell ref="A27:J27"/>
    <mergeCell ref="A47:J47"/>
    <mergeCell ref="M62:M63"/>
    <mergeCell ref="M64:M65"/>
    <mergeCell ref="A68:J68"/>
    <mergeCell ref="A89:J89"/>
  </mergeCells>
  <pageMargins left="0.7" right="0.7" top="0.75" bottom="0.75" header="0.3" footer="0.3"/>
  <pageSetup scale="31"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Q158"/>
  <sheetViews>
    <sheetView topLeftCell="A106" zoomScale="85" zoomScaleNormal="85" workbookViewId="0">
      <selection activeCell="B7" sqref="B7:I7"/>
    </sheetView>
  </sheetViews>
  <sheetFormatPr defaultColWidth="9.140625" defaultRowHeight="15" x14ac:dyDescent="0.25"/>
  <cols>
    <col min="1" max="1" width="38.85546875" bestFit="1" customWidth="1"/>
    <col min="2" max="10" width="12.7109375" customWidth="1"/>
    <col min="11" max="11" width="2.5703125" customWidth="1"/>
    <col min="12" max="12" width="12.7109375" customWidth="1"/>
    <col min="13" max="13" width="30.7109375" customWidth="1"/>
    <col min="14" max="14" width="18.5703125" customWidth="1"/>
  </cols>
  <sheetData>
    <row r="1" spans="1:15" ht="18.75" x14ac:dyDescent="0.3">
      <c r="A1" s="173" t="s">
        <v>17</v>
      </c>
      <c r="B1" s="173"/>
      <c r="C1" s="173"/>
      <c r="D1" s="173"/>
      <c r="E1" s="173"/>
      <c r="F1" s="173"/>
      <c r="G1" s="173"/>
      <c r="H1" s="173"/>
      <c r="I1" s="173"/>
      <c r="J1" s="173"/>
      <c r="K1" s="173"/>
      <c r="L1" s="173"/>
      <c r="M1" s="173"/>
      <c r="O1" s="31"/>
    </row>
    <row r="2" spans="1:15" ht="15.75" x14ac:dyDescent="0.25">
      <c r="A2" s="174" t="s">
        <v>269</v>
      </c>
      <c r="B2" s="174"/>
      <c r="C2" s="174"/>
      <c r="D2" s="174"/>
      <c r="E2" s="174"/>
      <c r="F2" s="174"/>
      <c r="G2" s="174"/>
      <c r="H2" s="174"/>
      <c r="I2" s="174"/>
      <c r="J2" s="174"/>
      <c r="K2" s="174"/>
      <c r="L2" s="174"/>
      <c r="M2" s="174"/>
      <c r="O2" s="31"/>
    </row>
    <row r="3" spans="1:15" x14ac:dyDescent="0.25">
      <c r="A3" s="175" t="s">
        <v>31</v>
      </c>
      <c r="B3" s="175"/>
      <c r="C3" s="175"/>
      <c r="D3" s="175"/>
      <c r="E3" s="175"/>
      <c r="F3" s="175"/>
      <c r="G3" s="175"/>
      <c r="H3" s="175"/>
      <c r="I3" s="175"/>
      <c r="J3" s="175"/>
      <c r="K3" s="175"/>
      <c r="L3" s="175"/>
      <c r="M3" s="175"/>
    </row>
    <row r="4" spans="1:15" x14ac:dyDescent="0.25">
      <c r="A4" s="187">
        <f>'Company Summary'!A4:J4</f>
        <v>45199</v>
      </c>
      <c r="B4" s="187"/>
      <c r="C4" s="187"/>
      <c r="D4" s="187"/>
      <c r="E4" s="187"/>
      <c r="F4" s="187"/>
      <c r="G4" s="187"/>
      <c r="H4" s="187"/>
      <c r="I4" s="187"/>
      <c r="J4" s="187"/>
      <c r="K4" s="187"/>
      <c r="L4" s="187"/>
      <c r="M4" s="187"/>
    </row>
    <row r="5" spans="1:15" ht="15.75" thickBot="1" x14ac:dyDescent="0.3">
      <c r="A5" s="81"/>
      <c r="B5" s="81"/>
      <c r="C5" s="81"/>
      <c r="D5" s="81"/>
      <c r="E5" s="81"/>
      <c r="F5" s="81"/>
      <c r="G5" s="81"/>
      <c r="H5" s="81"/>
      <c r="I5" s="81"/>
      <c r="J5" s="81"/>
      <c r="K5" s="81"/>
      <c r="L5" s="81"/>
      <c r="M5" s="81"/>
    </row>
    <row r="6" spans="1:15" ht="15.75" thickBot="1" x14ac:dyDescent="0.3">
      <c r="A6" s="170" t="s">
        <v>54</v>
      </c>
      <c r="B6" s="171"/>
      <c r="C6" s="171"/>
      <c r="D6" s="171"/>
      <c r="E6" s="171"/>
      <c r="F6" s="171"/>
      <c r="G6" s="171"/>
      <c r="H6" s="171"/>
      <c r="I6" s="171"/>
      <c r="J6" s="172"/>
      <c r="L6" s="186"/>
      <c r="M6" s="186"/>
    </row>
    <row r="7" spans="1:15" x14ac:dyDescent="0.25">
      <c r="A7" s="4" t="s">
        <v>16</v>
      </c>
      <c r="B7" s="5" t="s">
        <v>15</v>
      </c>
      <c r="C7" s="5" t="s">
        <v>14</v>
      </c>
      <c r="D7" s="5" t="s">
        <v>13</v>
      </c>
      <c r="E7" s="5" t="s">
        <v>12</v>
      </c>
      <c r="F7" s="5" t="s">
        <v>93</v>
      </c>
      <c r="G7" s="5" t="s">
        <v>94</v>
      </c>
      <c r="H7" s="5" t="s">
        <v>38</v>
      </c>
      <c r="I7" s="5" t="s">
        <v>9</v>
      </c>
      <c r="J7" s="5" t="s">
        <v>0</v>
      </c>
      <c r="L7" s="4"/>
      <c r="M7" s="4"/>
    </row>
    <row r="8" spans="1:15" x14ac:dyDescent="0.25">
      <c r="A8" s="1" t="s">
        <v>49</v>
      </c>
      <c r="B8" s="33">
        <f>'Agile AR Aging &lt;-INPUT'!C101</f>
        <v>0</v>
      </c>
      <c r="C8" s="33">
        <f>'Agile AR Aging &lt;-INPUT'!D101</f>
        <v>0</v>
      </c>
      <c r="D8" s="33">
        <f>'Agile AR Aging &lt;-INPUT'!E101</f>
        <v>0</v>
      </c>
      <c r="E8" s="33">
        <f>'Agile AR Aging &lt;-INPUT'!F101</f>
        <v>0</v>
      </c>
      <c r="F8" s="33">
        <f>'Agile AR Aging &lt;-INPUT'!G101</f>
        <v>0</v>
      </c>
      <c r="G8" s="33">
        <f>'Agile AR Aging &lt;-INPUT'!H101</f>
        <v>0</v>
      </c>
      <c r="H8" s="33">
        <f>'Agile AR Aging &lt;-INPUT'!I101</f>
        <v>0</v>
      </c>
      <c r="I8" s="33">
        <f>'Agile AR Aging &lt;-INPUT'!J101</f>
        <v>0</v>
      </c>
      <c r="J8" s="2">
        <f t="shared" ref="J8:J24" si="0">SUM(B8:H8)</f>
        <v>0</v>
      </c>
      <c r="L8" s="67"/>
    </row>
    <row r="9" spans="1:15" x14ac:dyDescent="0.25">
      <c r="A9" s="1" t="s">
        <v>8</v>
      </c>
      <c r="B9" s="33">
        <f>'Agile AR Aging &lt;-INPUT'!C102</f>
        <v>0</v>
      </c>
      <c r="C9" s="33">
        <f>'Agile AR Aging &lt;-INPUT'!D102</f>
        <v>0</v>
      </c>
      <c r="D9" s="33">
        <f>'Agile AR Aging &lt;-INPUT'!E102</f>
        <v>0</v>
      </c>
      <c r="E9" s="33">
        <f>'Agile AR Aging &lt;-INPUT'!F102</f>
        <v>0</v>
      </c>
      <c r="F9" s="33">
        <f>'Agile AR Aging &lt;-INPUT'!G102</f>
        <v>0</v>
      </c>
      <c r="G9" s="33">
        <f>'Agile AR Aging &lt;-INPUT'!H102</f>
        <v>0</v>
      </c>
      <c r="H9" s="33">
        <f>'Agile AR Aging &lt;-INPUT'!I102</f>
        <v>0</v>
      </c>
      <c r="I9" s="33">
        <f>'Agile AR Aging &lt;-INPUT'!J102</f>
        <v>0</v>
      </c>
      <c r="J9" s="2">
        <f t="shared" si="0"/>
        <v>0</v>
      </c>
      <c r="L9" s="67"/>
      <c r="N9" s="68"/>
    </row>
    <row r="10" spans="1:15" x14ac:dyDescent="0.25">
      <c r="A10" s="1" t="s">
        <v>7</v>
      </c>
      <c r="B10" s="33">
        <f>'Agile AR Aging &lt;-INPUT'!C103</f>
        <v>0</v>
      </c>
      <c r="C10" s="33">
        <f>'Agile AR Aging &lt;-INPUT'!D103</f>
        <v>0</v>
      </c>
      <c r="D10" s="33">
        <f>'Agile AR Aging &lt;-INPUT'!E103</f>
        <v>0</v>
      </c>
      <c r="E10" s="33">
        <f>'Agile AR Aging &lt;-INPUT'!F103</f>
        <v>0</v>
      </c>
      <c r="F10" s="33">
        <f>'Agile AR Aging &lt;-INPUT'!G103</f>
        <v>0</v>
      </c>
      <c r="G10" s="33">
        <f>'Agile AR Aging &lt;-INPUT'!H103</f>
        <v>0</v>
      </c>
      <c r="H10" s="33">
        <f>'Agile AR Aging &lt;-INPUT'!I103</f>
        <v>0</v>
      </c>
      <c r="I10" s="33">
        <f>'Agile AR Aging &lt;-INPUT'!J103</f>
        <v>0</v>
      </c>
      <c r="J10" s="2">
        <f t="shared" si="0"/>
        <v>0</v>
      </c>
      <c r="L10" s="67"/>
      <c r="N10" s="68"/>
    </row>
    <row r="11" spans="1:15" x14ac:dyDescent="0.25">
      <c r="A11" s="1" t="s">
        <v>42</v>
      </c>
      <c r="B11" s="33">
        <f>'Agile AR Aging &lt;-INPUT'!C104</f>
        <v>0</v>
      </c>
      <c r="C11" s="33">
        <f>'Agile AR Aging &lt;-INPUT'!D104</f>
        <v>0</v>
      </c>
      <c r="D11" s="33">
        <f>'Agile AR Aging &lt;-INPUT'!E104</f>
        <v>0</v>
      </c>
      <c r="E11" s="33">
        <f>'Agile AR Aging &lt;-INPUT'!F104</f>
        <v>0</v>
      </c>
      <c r="F11" s="33">
        <f>'Agile AR Aging &lt;-INPUT'!G104</f>
        <v>0</v>
      </c>
      <c r="G11" s="33">
        <f>'Agile AR Aging &lt;-INPUT'!H104</f>
        <v>0</v>
      </c>
      <c r="H11" s="33">
        <f>'Agile AR Aging &lt;-INPUT'!I104</f>
        <v>0</v>
      </c>
      <c r="I11" s="33">
        <f>'Agile AR Aging &lt;-INPUT'!J104</f>
        <v>0</v>
      </c>
      <c r="J11" s="2">
        <f t="shared" si="0"/>
        <v>0</v>
      </c>
      <c r="L11" s="67"/>
      <c r="N11" s="68"/>
    </row>
    <row r="12" spans="1:15" x14ac:dyDescent="0.25">
      <c r="A12" s="1" t="s">
        <v>6</v>
      </c>
      <c r="B12" s="33">
        <f>'Agile AR Aging &lt;-INPUT'!C105+'Agile AR Aging &lt;-INPUT'!C106+'Agile AR Aging &lt;-INPUT'!C113+'Agile AR Aging &lt;-INPUT'!C119</f>
        <v>0</v>
      </c>
      <c r="C12" s="33">
        <f>'Agile AR Aging &lt;-INPUT'!D105+'Agile AR Aging &lt;-INPUT'!D106+'Agile AR Aging &lt;-INPUT'!D113+'Agile AR Aging &lt;-INPUT'!D119</f>
        <v>0</v>
      </c>
      <c r="D12" s="33">
        <f>'Agile AR Aging &lt;-INPUT'!E105+'Agile AR Aging &lt;-INPUT'!E106+'Agile AR Aging &lt;-INPUT'!E113+'Agile AR Aging &lt;-INPUT'!E119</f>
        <v>0</v>
      </c>
      <c r="E12" s="33">
        <f>'Agile AR Aging &lt;-INPUT'!F105+'Agile AR Aging &lt;-INPUT'!F106+'Agile AR Aging &lt;-INPUT'!F113+'Agile AR Aging &lt;-INPUT'!F119</f>
        <v>0</v>
      </c>
      <c r="F12" s="33">
        <f>'Agile AR Aging &lt;-INPUT'!G105+'Agile AR Aging &lt;-INPUT'!G106+'Agile AR Aging &lt;-INPUT'!G113+'Agile AR Aging &lt;-INPUT'!G119</f>
        <v>0</v>
      </c>
      <c r="G12" s="33">
        <f>'Agile AR Aging &lt;-INPUT'!H105+'Agile AR Aging &lt;-INPUT'!H106+'Agile AR Aging &lt;-INPUT'!H113+'Agile AR Aging &lt;-INPUT'!H119</f>
        <v>0</v>
      </c>
      <c r="H12" s="33">
        <f>'Agile AR Aging &lt;-INPUT'!I105+'Agile AR Aging &lt;-INPUT'!I106+'Agile AR Aging &lt;-INPUT'!I113+'Agile AR Aging &lt;-INPUT'!I119</f>
        <v>0</v>
      </c>
      <c r="I12" s="33">
        <f>'Agile AR Aging &lt;-INPUT'!J105+'Agile AR Aging &lt;-INPUT'!J106+'Agile AR Aging &lt;-INPUT'!J113+'Agile AR Aging &lt;-INPUT'!J119</f>
        <v>0</v>
      </c>
      <c r="J12" s="2">
        <f t="shared" si="0"/>
        <v>0</v>
      </c>
      <c r="L12" s="73"/>
      <c r="N12" s="68"/>
    </row>
    <row r="13" spans="1:15" x14ac:dyDescent="0.25">
      <c r="A13" s="1" t="s">
        <v>50</v>
      </c>
      <c r="B13" s="33">
        <f>'Agile AR Aging &lt;-INPUT'!C107</f>
        <v>0</v>
      </c>
      <c r="C13" s="33">
        <f>'Agile AR Aging &lt;-INPUT'!D107</f>
        <v>0</v>
      </c>
      <c r="D13" s="33">
        <f>'Agile AR Aging &lt;-INPUT'!E107</f>
        <v>0</v>
      </c>
      <c r="E13" s="33">
        <f>'Agile AR Aging &lt;-INPUT'!F107</f>
        <v>0</v>
      </c>
      <c r="F13" s="33">
        <f>'Agile AR Aging &lt;-INPUT'!G107</f>
        <v>0</v>
      </c>
      <c r="G13" s="33">
        <f>'Agile AR Aging &lt;-INPUT'!H107</f>
        <v>0</v>
      </c>
      <c r="H13" s="33">
        <f>'Agile AR Aging &lt;-INPUT'!I107</f>
        <v>0</v>
      </c>
      <c r="I13" s="33">
        <f>'Agile AR Aging &lt;-INPUT'!J107</f>
        <v>0</v>
      </c>
      <c r="J13" s="2">
        <f t="shared" si="0"/>
        <v>0</v>
      </c>
      <c r="L13" s="73"/>
      <c r="N13" s="68"/>
    </row>
    <row r="14" spans="1:15" x14ac:dyDescent="0.25">
      <c r="A14" s="1" t="s">
        <v>89</v>
      </c>
      <c r="B14" s="33">
        <f>'Agile AR Aging &lt;-INPUT'!C108</f>
        <v>0</v>
      </c>
      <c r="C14" s="33">
        <f>'Agile AR Aging &lt;-INPUT'!D108</f>
        <v>0</v>
      </c>
      <c r="D14" s="33">
        <f>'Agile AR Aging &lt;-INPUT'!E108</f>
        <v>0</v>
      </c>
      <c r="E14" s="33">
        <f>'Agile AR Aging &lt;-INPUT'!F108</f>
        <v>0</v>
      </c>
      <c r="F14" s="33">
        <f>'Agile AR Aging &lt;-INPUT'!G108</f>
        <v>0</v>
      </c>
      <c r="G14" s="33">
        <f>'Agile AR Aging &lt;-INPUT'!H108</f>
        <v>0</v>
      </c>
      <c r="H14" s="33">
        <f>'Agile AR Aging &lt;-INPUT'!I108</f>
        <v>0</v>
      </c>
      <c r="I14" s="33">
        <f>'Agile AR Aging &lt;-INPUT'!J108</f>
        <v>0</v>
      </c>
      <c r="J14" s="2">
        <f t="shared" si="0"/>
        <v>0</v>
      </c>
      <c r="L14" s="73"/>
      <c r="N14" s="68"/>
    </row>
    <row r="15" spans="1:15" x14ac:dyDescent="0.25">
      <c r="A15" s="1" t="s">
        <v>5</v>
      </c>
      <c r="B15" s="33">
        <f>'Agile AR Aging &lt;-INPUT'!C109</f>
        <v>0</v>
      </c>
      <c r="C15" s="33">
        <f>'Agile AR Aging &lt;-INPUT'!D109</f>
        <v>0</v>
      </c>
      <c r="D15" s="33">
        <f>'Agile AR Aging &lt;-INPUT'!E109</f>
        <v>0</v>
      </c>
      <c r="E15" s="33">
        <f>'Agile AR Aging &lt;-INPUT'!F109</f>
        <v>0</v>
      </c>
      <c r="F15" s="33">
        <f>'Agile AR Aging &lt;-INPUT'!G109</f>
        <v>0</v>
      </c>
      <c r="G15" s="33">
        <f>'Agile AR Aging &lt;-INPUT'!H109</f>
        <v>0</v>
      </c>
      <c r="H15" s="33">
        <f>'Agile AR Aging &lt;-INPUT'!I109</f>
        <v>0</v>
      </c>
      <c r="I15" s="33">
        <f>'Agile AR Aging &lt;-INPUT'!J109</f>
        <v>0</v>
      </c>
      <c r="J15" s="2">
        <f t="shared" si="0"/>
        <v>0</v>
      </c>
      <c r="L15" s="73"/>
      <c r="N15" s="68"/>
    </row>
    <row r="16" spans="1:15" x14ac:dyDescent="0.25">
      <c r="A16" s="1" t="s">
        <v>84</v>
      </c>
      <c r="B16" s="33">
        <f>'Agile AR Aging &lt;-INPUT'!C110</f>
        <v>0</v>
      </c>
      <c r="C16" s="33">
        <f>'Agile AR Aging &lt;-INPUT'!D110</f>
        <v>0</v>
      </c>
      <c r="D16" s="33">
        <f>'Agile AR Aging &lt;-INPUT'!E110</f>
        <v>0</v>
      </c>
      <c r="E16" s="33">
        <f>'Agile AR Aging &lt;-INPUT'!F110</f>
        <v>0</v>
      </c>
      <c r="F16" s="33">
        <f>'Agile AR Aging &lt;-INPUT'!G110</f>
        <v>0</v>
      </c>
      <c r="G16" s="33">
        <f>'Agile AR Aging &lt;-INPUT'!H110</f>
        <v>0</v>
      </c>
      <c r="H16" s="33">
        <f>'Agile AR Aging &lt;-INPUT'!I110</f>
        <v>0</v>
      </c>
      <c r="I16" s="33">
        <f>'Agile AR Aging &lt;-INPUT'!J110</f>
        <v>0</v>
      </c>
      <c r="J16" s="2">
        <f t="shared" si="0"/>
        <v>0</v>
      </c>
      <c r="L16" s="73"/>
      <c r="N16" s="68"/>
    </row>
    <row r="17" spans="1:17" x14ac:dyDescent="0.25">
      <c r="A17" s="1" t="s">
        <v>4</v>
      </c>
      <c r="B17" s="33">
        <f>'Agile AR Aging &lt;-INPUT'!C111</f>
        <v>0</v>
      </c>
      <c r="C17" s="33">
        <f>'Agile AR Aging &lt;-INPUT'!D111</f>
        <v>0</v>
      </c>
      <c r="D17" s="33">
        <f>'Agile AR Aging &lt;-INPUT'!E111</f>
        <v>0</v>
      </c>
      <c r="E17" s="33">
        <f>'Agile AR Aging &lt;-INPUT'!F111</f>
        <v>0</v>
      </c>
      <c r="F17" s="33">
        <f>'Agile AR Aging &lt;-INPUT'!G111</f>
        <v>0</v>
      </c>
      <c r="G17" s="33">
        <f>'Agile AR Aging &lt;-INPUT'!H111</f>
        <v>0</v>
      </c>
      <c r="H17" s="33">
        <f>'Agile AR Aging &lt;-INPUT'!I111</f>
        <v>0</v>
      </c>
      <c r="I17" s="33">
        <f>'Agile AR Aging &lt;-INPUT'!J111</f>
        <v>0</v>
      </c>
      <c r="J17" s="2">
        <f t="shared" si="0"/>
        <v>0</v>
      </c>
      <c r="L17" s="73"/>
      <c r="N17" s="68"/>
    </row>
    <row r="18" spans="1:17" x14ac:dyDescent="0.25">
      <c r="A18" s="1" t="s">
        <v>51</v>
      </c>
      <c r="B18" s="33">
        <f>'Agile AR Aging &lt;-INPUT'!C112</f>
        <v>0</v>
      </c>
      <c r="C18" s="33">
        <f>'Agile AR Aging &lt;-INPUT'!D112</f>
        <v>0</v>
      </c>
      <c r="D18" s="33">
        <f>'Agile AR Aging &lt;-INPUT'!E112</f>
        <v>0</v>
      </c>
      <c r="E18" s="33">
        <f>'Agile AR Aging &lt;-INPUT'!F112</f>
        <v>0</v>
      </c>
      <c r="F18" s="33">
        <f>'Agile AR Aging &lt;-INPUT'!G112</f>
        <v>0</v>
      </c>
      <c r="G18" s="33">
        <f>'Agile AR Aging &lt;-INPUT'!H112</f>
        <v>0</v>
      </c>
      <c r="H18" s="33">
        <f>'Agile AR Aging &lt;-INPUT'!I112</f>
        <v>0</v>
      </c>
      <c r="I18" s="33">
        <f>'Agile AR Aging &lt;-INPUT'!J112</f>
        <v>0</v>
      </c>
      <c r="J18" s="2">
        <f t="shared" si="0"/>
        <v>0</v>
      </c>
      <c r="L18" s="73"/>
      <c r="N18" s="68"/>
    </row>
    <row r="19" spans="1:17" x14ac:dyDescent="0.25">
      <c r="A19" s="1" t="s">
        <v>85</v>
      </c>
      <c r="B19" s="33">
        <f>'Agile AR Aging &lt;-INPUT'!C114</f>
        <v>0</v>
      </c>
      <c r="C19" s="33">
        <f>'Agile AR Aging &lt;-INPUT'!D114</f>
        <v>0</v>
      </c>
      <c r="D19" s="33">
        <f>'Agile AR Aging &lt;-INPUT'!E114</f>
        <v>0</v>
      </c>
      <c r="E19" s="33">
        <f>'Agile AR Aging &lt;-INPUT'!F114</f>
        <v>0</v>
      </c>
      <c r="F19" s="33">
        <f>'Agile AR Aging &lt;-INPUT'!G114</f>
        <v>0</v>
      </c>
      <c r="G19" s="33">
        <f>'Agile AR Aging &lt;-INPUT'!H114</f>
        <v>0</v>
      </c>
      <c r="H19" s="33">
        <f>'Agile AR Aging &lt;-INPUT'!I114</f>
        <v>0</v>
      </c>
      <c r="I19" s="33">
        <f>'Agile AR Aging &lt;-INPUT'!J114</f>
        <v>0</v>
      </c>
      <c r="J19" s="2">
        <f t="shared" si="0"/>
        <v>0</v>
      </c>
      <c r="L19" s="73"/>
      <c r="N19" s="68"/>
    </row>
    <row r="20" spans="1:17" x14ac:dyDescent="0.25">
      <c r="A20" s="1" t="s">
        <v>2</v>
      </c>
      <c r="B20" s="33">
        <f>'Agile AR Aging &lt;-INPUT'!C115</f>
        <v>0</v>
      </c>
      <c r="C20" s="33">
        <f>'Agile AR Aging &lt;-INPUT'!D115</f>
        <v>0</v>
      </c>
      <c r="D20" s="33">
        <f>'Agile AR Aging &lt;-INPUT'!E115</f>
        <v>0</v>
      </c>
      <c r="E20" s="33">
        <f>'Agile AR Aging &lt;-INPUT'!F115</f>
        <v>0</v>
      </c>
      <c r="F20" s="33">
        <f>'Agile AR Aging &lt;-INPUT'!G115</f>
        <v>0</v>
      </c>
      <c r="G20" s="33">
        <f>'Agile AR Aging &lt;-INPUT'!H115</f>
        <v>0</v>
      </c>
      <c r="H20" s="33">
        <f>'Agile AR Aging &lt;-INPUT'!I115</f>
        <v>0</v>
      </c>
      <c r="I20" s="33">
        <f>'Agile AR Aging &lt;-INPUT'!J115</f>
        <v>0</v>
      </c>
      <c r="J20" s="2">
        <f t="shared" si="0"/>
        <v>0</v>
      </c>
      <c r="L20" s="73"/>
      <c r="N20" s="68"/>
    </row>
    <row r="21" spans="1:17" x14ac:dyDescent="0.25">
      <c r="A21" s="1" t="s">
        <v>86</v>
      </c>
      <c r="B21" s="33">
        <f>'Agile AR Aging &lt;-INPUT'!C116</f>
        <v>0</v>
      </c>
      <c r="C21" s="33">
        <f>'Agile AR Aging &lt;-INPUT'!D116</f>
        <v>0</v>
      </c>
      <c r="D21" s="33">
        <f>'Agile AR Aging &lt;-INPUT'!E116</f>
        <v>0</v>
      </c>
      <c r="E21" s="33">
        <f>'Agile AR Aging &lt;-INPUT'!F116</f>
        <v>0</v>
      </c>
      <c r="F21" s="33">
        <f>'Agile AR Aging &lt;-INPUT'!G116</f>
        <v>0</v>
      </c>
      <c r="G21" s="33">
        <f>'Agile AR Aging &lt;-INPUT'!H116</f>
        <v>0</v>
      </c>
      <c r="H21" s="33">
        <f>'Agile AR Aging &lt;-INPUT'!I116</f>
        <v>0</v>
      </c>
      <c r="I21" s="33">
        <f>'Agile AR Aging &lt;-INPUT'!J116</f>
        <v>0</v>
      </c>
      <c r="J21" s="2">
        <f t="shared" si="0"/>
        <v>0</v>
      </c>
      <c r="L21" s="73"/>
      <c r="N21" s="68"/>
    </row>
    <row r="22" spans="1:17" x14ac:dyDescent="0.25">
      <c r="A22" s="1" t="s">
        <v>29</v>
      </c>
      <c r="B22" s="33">
        <f>'Agile AR Aging &lt;-INPUT'!C117</f>
        <v>0</v>
      </c>
      <c r="C22" s="33">
        <f>'Agile AR Aging &lt;-INPUT'!D117</f>
        <v>0</v>
      </c>
      <c r="D22" s="33">
        <f>'Agile AR Aging &lt;-INPUT'!E117</f>
        <v>0</v>
      </c>
      <c r="E22" s="33">
        <f>'Agile AR Aging &lt;-INPUT'!F117</f>
        <v>0</v>
      </c>
      <c r="F22" s="33">
        <f>'Agile AR Aging &lt;-INPUT'!G117</f>
        <v>0</v>
      </c>
      <c r="G22" s="33">
        <f>'Agile AR Aging &lt;-INPUT'!H117</f>
        <v>0</v>
      </c>
      <c r="H22" s="33">
        <f>'Agile AR Aging &lt;-INPUT'!I117</f>
        <v>0</v>
      </c>
      <c r="I22" s="33">
        <f>'Agile AR Aging &lt;-INPUT'!J117</f>
        <v>0</v>
      </c>
      <c r="J22" s="2">
        <f t="shared" si="0"/>
        <v>0</v>
      </c>
      <c r="L22" s="73"/>
      <c r="N22" s="68"/>
    </row>
    <row r="23" spans="1:17" x14ac:dyDescent="0.25">
      <c r="A23" s="1" t="s">
        <v>52</v>
      </c>
      <c r="B23" s="33">
        <f>'Agile AR Aging &lt;-INPUT'!C118</f>
        <v>0</v>
      </c>
      <c r="C23" s="33">
        <f>'Agile AR Aging &lt;-INPUT'!D118</f>
        <v>0</v>
      </c>
      <c r="D23" s="33">
        <f>'Agile AR Aging &lt;-INPUT'!E118</f>
        <v>0</v>
      </c>
      <c r="E23" s="33">
        <f>'Agile AR Aging &lt;-INPUT'!F118</f>
        <v>0</v>
      </c>
      <c r="F23" s="33">
        <f>'Agile AR Aging &lt;-INPUT'!G118</f>
        <v>0</v>
      </c>
      <c r="G23" s="33">
        <f>'Agile AR Aging &lt;-INPUT'!H118</f>
        <v>0</v>
      </c>
      <c r="H23" s="33">
        <f>'Agile AR Aging &lt;-INPUT'!I118</f>
        <v>0</v>
      </c>
      <c r="I23" s="33">
        <f>'Agile AR Aging &lt;-INPUT'!J118</f>
        <v>0</v>
      </c>
      <c r="J23" s="2">
        <f t="shared" si="0"/>
        <v>0</v>
      </c>
      <c r="L23" s="73"/>
      <c r="N23" s="68"/>
    </row>
    <row r="24" spans="1:17" x14ac:dyDescent="0.25">
      <c r="A24" s="1" t="s">
        <v>1</v>
      </c>
      <c r="B24" s="32">
        <f>'Agile AR Aging &lt;-INPUT'!C120</f>
        <v>0</v>
      </c>
      <c r="C24" s="32">
        <f>'Agile AR Aging &lt;-INPUT'!D120</f>
        <v>0</v>
      </c>
      <c r="D24" s="32">
        <f>'Agile AR Aging &lt;-INPUT'!E120</f>
        <v>0</v>
      </c>
      <c r="E24" s="32">
        <f>'Agile AR Aging &lt;-INPUT'!F120</f>
        <v>0</v>
      </c>
      <c r="F24" s="32">
        <f>'Agile AR Aging &lt;-INPUT'!G120</f>
        <v>0</v>
      </c>
      <c r="G24" s="32">
        <f>'Agile AR Aging &lt;-INPUT'!H120</f>
        <v>0</v>
      </c>
      <c r="H24" s="32">
        <f>'Agile AR Aging &lt;-INPUT'!I120</f>
        <v>0</v>
      </c>
      <c r="I24" s="32">
        <f>'Agile AR Aging &lt;-INPUT'!J120</f>
        <v>0</v>
      </c>
      <c r="J24" s="9">
        <f t="shared" si="0"/>
        <v>0</v>
      </c>
      <c r="L24" s="73"/>
      <c r="N24" s="68"/>
    </row>
    <row r="25" spans="1:17" x14ac:dyDescent="0.25">
      <c r="A25" s="1" t="s">
        <v>0</v>
      </c>
      <c r="B25" s="10">
        <f t="shared" ref="B25:I25" si="1">SUM(B8:B24)</f>
        <v>0</v>
      </c>
      <c r="C25" s="10">
        <f t="shared" si="1"/>
        <v>0</v>
      </c>
      <c r="D25" s="10">
        <f t="shared" si="1"/>
        <v>0</v>
      </c>
      <c r="E25" s="10">
        <f t="shared" si="1"/>
        <v>0</v>
      </c>
      <c r="F25" s="10">
        <f t="shared" si="1"/>
        <v>0</v>
      </c>
      <c r="G25" s="10">
        <f t="shared" si="1"/>
        <v>0</v>
      </c>
      <c r="H25" s="10">
        <f t="shared" si="1"/>
        <v>0</v>
      </c>
      <c r="I25" s="10">
        <f t="shared" si="1"/>
        <v>0</v>
      </c>
      <c r="J25" s="10">
        <f>SUM(B25:H25)</f>
        <v>0</v>
      </c>
      <c r="L25" s="31"/>
    </row>
    <row r="26" spans="1:17" ht="15.75" thickBot="1" x14ac:dyDescent="0.3">
      <c r="A26" s="1"/>
      <c r="B26" s="9"/>
      <c r="C26" s="9"/>
      <c r="D26" s="9"/>
      <c r="E26" s="9"/>
      <c r="F26" s="9"/>
      <c r="G26" s="9"/>
      <c r="H26" s="9"/>
      <c r="I26" s="9"/>
      <c r="J26" s="9"/>
      <c r="L26" s="31"/>
      <c r="Q26" s="1"/>
    </row>
    <row r="27" spans="1:17" ht="15.75" thickBot="1" x14ac:dyDescent="0.3">
      <c r="A27" s="167" t="s">
        <v>55</v>
      </c>
      <c r="B27" s="168"/>
      <c r="C27" s="168"/>
      <c r="D27" s="168"/>
      <c r="E27" s="168"/>
      <c r="F27" s="168"/>
      <c r="G27" s="168"/>
      <c r="H27" s="168"/>
      <c r="I27" s="168"/>
      <c r="J27" s="169"/>
      <c r="Q27" s="1"/>
    </row>
    <row r="28" spans="1:17" x14ac:dyDescent="0.25">
      <c r="A28" s="4" t="s">
        <v>16</v>
      </c>
      <c r="B28" s="5" t="s">
        <v>15</v>
      </c>
      <c r="C28" s="5" t="s">
        <v>14</v>
      </c>
      <c r="D28" s="5" t="s">
        <v>13</v>
      </c>
      <c r="E28" s="5" t="s">
        <v>12</v>
      </c>
      <c r="F28" s="5" t="s">
        <v>93</v>
      </c>
      <c r="G28" s="5" t="s">
        <v>94</v>
      </c>
      <c r="H28" s="5" t="s">
        <v>38</v>
      </c>
      <c r="I28" s="5" t="s">
        <v>9</v>
      </c>
      <c r="J28" s="5" t="s">
        <v>0</v>
      </c>
      <c r="Q28" s="1"/>
    </row>
    <row r="29" spans="1:17" x14ac:dyDescent="0.25">
      <c r="A29" s="1" t="s">
        <v>49</v>
      </c>
      <c r="B29" s="36">
        <f>'Reimbursement Rates &lt;-INPUT'!E9</f>
        <v>0</v>
      </c>
      <c r="C29" s="36">
        <f t="shared" ref="C29:I45" si="2">B29</f>
        <v>0</v>
      </c>
      <c r="D29" s="36">
        <f t="shared" si="2"/>
        <v>0</v>
      </c>
      <c r="E29" s="36">
        <f t="shared" si="2"/>
        <v>0</v>
      </c>
      <c r="F29" s="36">
        <f t="shared" si="2"/>
        <v>0</v>
      </c>
      <c r="G29" s="36">
        <f t="shared" si="2"/>
        <v>0</v>
      </c>
      <c r="H29" s="36">
        <f t="shared" si="2"/>
        <v>0</v>
      </c>
      <c r="I29" s="36">
        <f t="shared" si="2"/>
        <v>0</v>
      </c>
      <c r="J29" s="36">
        <f t="shared" ref="J29:J45" si="3">H29</f>
        <v>0</v>
      </c>
    </row>
    <row r="30" spans="1:17" x14ac:dyDescent="0.25">
      <c r="A30" s="1" t="s">
        <v>8</v>
      </c>
      <c r="B30" s="36">
        <f>'Reimbursement Rates &lt;-INPUT'!E10</f>
        <v>0</v>
      </c>
      <c r="C30" s="36">
        <f t="shared" si="2"/>
        <v>0</v>
      </c>
      <c r="D30" s="36">
        <f t="shared" si="2"/>
        <v>0</v>
      </c>
      <c r="E30" s="36">
        <f t="shared" si="2"/>
        <v>0</v>
      </c>
      <c r="F30" s="36">
        <f t="shared" si="2"/>
        <v>0</v>
      </c>
      <c r="G30" s="36">
        <f t="shared" si="2"/>
        <v>0</v>
      </c>
      <c r="H30" s="36">
        <f t="shared" si="2"/>
        <v>0</v>
      </c>
      <c r="I30" s="36">
        <f t="shared" si="2"/>
        <v>0</v>
      </c>
      <c r="J30" s="36">
        <f t="shared" si="3"/>
        <v>0</v>
      </c>
      <c r="Q30" s="1"/>
    </row>
    <row r="31" spans="1:17" x14ac:dyDescent="0.25">
      <c r="A31" s="1" t="s">
        <v>7</v>
      </c>
      <c r="B31" s="36">
        <f>'Reimbursement Rates &lt;-INPUT'!E11</f>
        <v>0</v>
      </c>
      <c r="C31" s="36">
        <f t="shared" si="2"/>
        <v>0</v>
      </c>
      <c r="D31" s="36">
        <f t="shared" si="2"/>
        <v>0</v>
      </c>
      <c r="E31" s="36">
        <f t="shared" si="2"/>
        <v>0</v>
      </c>
      <c r="F31" s="36">
        <f t="shared" si="2"/>
        <v>0</v>
      </c>
      <c r="G31" s="36">
        <f t="shared" si="2"/>
        <v>0</v>
      </c>
      <c r="H31" s="36">
        <f t="shared" si="2"/>
        <v>0</v>
      </c>
      <c r="I31" s="36">
        <f t="shared" si="2"/>
        <v>0</v>
      </c>
      <c r="J31" s="36">
        <f t="shared" si="3"/>
        <v>0</v>
      </c>
    </row>
    <row r="32" spans="1:17" x14ac:dyDescent="0.25">
      <c r="A32" s="1" t="s">
        <v>42</v>
      </c>
      <c r="B32" s="36">
        <f>'Reimbursement Rates &lt;-INPUT'!E12</f>
        <v>0</v>
      </c>
      <c r="C32" s="36">
        <f t="shared" si="2"/>
        <v>0</v>
      </c>
      <c r="D32" s="36">
        <f t="shared" si="2"/>
        <v>0</v>
      </c>
      <c r="E32" s="36">
        <f t="shared" si="2"/>
        <v>0</v>
      </c>
      <c r="F32" s="36">
        <f t="shared" si="2"/>
        <v>0</v>
      </c>
      <c r="G32" s="36">
        <f t="shared" si="2"/>
        <v>0</v>
      </c>
      <c r="H32" s="36">
        <f t="shared" si="2"/>
        <v>0</v>
      </c>
      <c r="I32" s="36">
        <f t="shared" si="2"/>
        <v>0</v>
      </c>
      <c r="J32" s="36">
        <f t="shared" si="3"/>
        <v>0</v>
      </c>
    </row>
    <row r="33" spans="1:17" x14ac:dyDescent="0.25">
      <c r="A33" s="1" t="s">
        <v>6</v>
      </c>
      <c r="B33" s="36">
        <f>'Reimbursement Rates &lt;-INPUT'!E13</f>
        <v>0</v>
      </c>
      <c r="C33" s="36">
        <f t="shared" si="2"/>
        <v>0</v>
      </c>
      <c r="D33" s="36">
        <f t="shared" si="2"/>
        <v>0</v>
      </c>
      <c r="E33" s="36">
        <f t="shared" si="2"/>
        <v>0</v>
      </c>
      <c r="F33" s="36">
        <f t="shared" si="2"/>
        <v>0</v>
      </c>
      <c r="G33" s="36">
        <f t="shared" si="2"/>
        <v>0</v>
      </c>
      <c r="H33" s="36">
        <f t="shared" si="2"/>
        <v>0</v>
      </c>
      <c r="I33" s="36">
        <f t="shared" si="2"/>
        <v>0</v>
      </c>
      <c r="J33" s="36">
        <f t="shared" si="3"/>
        <v>0</v>
      </c>
      <c r="Q33" s="1"/>
    </row>
    <row r="34" spans="1:17" x14ac:dyDescent="0.25">
      <c r="A34" s="1" t="s">
        <v>50</v>
      </c>
      <c r="B34" s="36">
        <f>'Reimbursement Rates &lt;-INPUT'!E15</f>
        <v>0</v>
      </c>
      <c r="C34" s="36">
        <f t="shared" si="2"/>
        <v>0</v>
      </c>
      <c r="D34" s="36">
        <f t="shared" si="2"/>
        <v>0</v>
      </c>
      <c r="E34" s="36">
        <f t="shared" si="2"/>
        <v>0</v>
      </c>
      <c r="F34" s="36">
        <f t="shared" si="2"/>
        <v>0</v>
      </c>
      <c r="G34" s="36">
        <f t="shared" si="2"/>
        <v>0</v>
      </c>
      <c r="H34" s="36">
        <f t="shared" si="2"/>
        <v>0</v>
      </c>
      <c r="I34" s="36">
        <f t="shared" si="2"/>
        <v>0</v>
      </c>
      <c r="J34" s="36">
        <f t="shared" si="3"/>
        <v>0</v>
      </c>
      <c r="M34" s="7"/>
    </row>
    <row r="35" spans="1:17" x14ac:dyDescent="0.25">
      <c r="A35" s="1" t="s">
        <v>89</v>
      </c>
      <c r="B35" s="36">
        <f>'Reimbursement Rates &lt;-INPUT'!E16</f>
        <v>0</v>
      </c>
      <c r="C35" s="36">
        <f t="shared" si="2"/>
        <v>0</v>
      </c>
      <c r="D35" s="36">
        <f t="shared" si="2"/>
        <v>0</v>
      </c>
      <c r="E35" s="36">
        <f t="shared" si="2"/>
        <v>0</v>
      </c>
      <c r="F35" s="36">
        <f t="shared" si="2"/>
        <v>0</v>
      </c>
      <c r="G35" s="36">
        <f t="shared" si="2"/>
        <v>0</v>
      </c>
      <c r="H35" s="36">
        <f t="shared" si="2"/>
        <v>0</v>
      </c>
      <c r="I35" s="36">
        <f t="shared" si="2"/>
        <v>0</v>
      </c>
      <c r="J35" s="36">
        <f t="shared" si="3"/>
        <v>0</v>
      </c>
      <c r="M35" s="7"/>
    </row>
    <row r="36" spans="1:17" x14ac:dyDescent="0.25">
      <c r="A36" s="1" t="s">
        <v>5</v>
      </c>
      <c r="B36" s="36">
        <f>'Reimbursement Rates &lt;-INPUT'!E17</f>
        <v>0</v>
      </c>
      <c r="C36" s="36">
        <f t="shared" si="2"/>
        <v>0</v>
      </c>
      <c r="D36" s="36">
        <f t="shared" si="2"/>
        <v>0</v>
      </c>
      <c r="E36" s="36">
        <f t="shared" si="2"/>
        <v>0</v>
      </c>
      <c r="F36" s="36">
        <f t="shared" si="2"/>
        <v>0</v>
      </c>
      <c r="G36" s="36">
        <f t="shared" si="2"/>
        <v>0</v>
      </c>
      <c r="H36" s="36">
        <f t="shared" si="2"/>
        <v>0</v>
      </c>
      <c r="I36" s="36">
        <f t="shared" si="2"/>
        <v>0</v>
      </c>
      <c r="J36" s="36">
        <f t="shared" si="3"/>
        <v>0</v>
      </c>
      <c r="M36" s="7"/>
      <c r="Q36" s="1"/>
    </row>
    <row r="37" spans="1:17" x14ac:dyDescent="0.25">
      <c r="A37" s="1" t="s">
        <v>84</v>
      </c>
      <c r="B37" s="36">
        <f>'Reimbursement Rates &lt;-INPUT'!E18</f>
        <v>0</v>
      </c>
      <c r="C37" s="36">
        <f t="shared" si="2"/>
        <v>0</v>
      </c>
      <c r="D37" s="36">
        <f t="shared" si="2"/>
        <v>0</v>
      </c>
      <c r="E37" s="36">
        <f t="shared" si="2"/>
        <v>0</v>
      </c>
      <c r="F37" s="36">
        <f t="shared" si="2"/>
        <v>0</v>
      </c>
      <c r="G37" s="36">
        <f t="shared" si="2"/>
        <v>0</v>
      </c>
      <c r="H37" s="36">
        <f t="shared" si="2"/>
        <v>0</v>
      </c>
      <c r="I37" s="36">
        <f t="shared" si="2"/>
        <v>0</v>
      </c>
      <c r="J37" s="36">
        <f t="shared" si="3"/>
        <v>0</v>
      </c>
      <c r="M37" s="7"/>
      <c r="Q37" s="1"/>
    </row>
    <row r="38" spans="1:17" x14ac:dyDescent="0.25">
      <c r="A38" s="1" t="s">
        <v>4</v>
      </c>
      <c r="B38" s="36">
        <f>'Reimbursement Rates &lt;-INPUT'!E19</f>
        <v>0</v>
      </c>
      <c r="C38" s="36">
        <f t="shared" si="2"/>
        <v>0</v>
      </c>
      <c r="D38" s="36">
        <f t="shared" si="2"/>
        <v>0</v>
      </c>
      <c r="E38" s="36">
        <f t="shared" si="2"/>
        <v>0</v>
      </c>
      <c r="F38" s="36">
        <f t="shared" si="2"/>
        <v>0</v>
      </c>
      <c r="G38" s="36">
        <f t="shared" si="2"/>
        <v>0</v>
      </c>
      <c r="H38" s="36">
        <f t="shared" si="2"/>
        <v>0</v>
      </c>
      <c r="I38" s="36">
        <f t="shared" si="2"/>
        <v>0</v>
      </c>
      <c r="J38" s="36">
        <f t="shared" si="3"/>
        <v>0</v>
      </c>
      <c r="M38" s="7"/>
    </row>
    <row r="39" spans="1:17" x14ac:dyDescent="0.25">
      <c r="A39" s="1" t="s">
        <v>51</v>
      </c>
      <c r="B39" s="36">
        <f>'Reimbursement Rates &lt;-INPUT'!E20</f>
        <v>0</v>
      </c>
      <c r="C39" s="36">
        <f t="shared" si="2"/>
        <v>0</v>
      </c>
      <c r="D39" s="36">
        <f t="shared" si="2"/>
        <v>0</v>
      </c>
      <c r="E39" s="36">
        <f t="shared" si="2"/>
        <v>0</v>
      </c>
      <c r="F39" s="36">
        <f t="shared" si="2"/>
        <v>0</v>
      </c>
      <c r="G39" s="36">
        <f t="shared" si="2"/>
        <v>0</v>
      </c>
      <c r="H39" s="36">
        <f t="shared" si="2"/>
        <v>0</v>
      </c>
      <c r="I39" s="36">
        <f t="shared" si="2"/>
        <v>0</v>
      </c>
      <c r="J39" s="36">
        <f t="shared" si="3"/>
        <v>0</v>
      </c>
      <c r="M39" s="7"/>
      <c r="Q39" s="1"/>
    </row>
    <row r="40" spans="1:17" x14ac:dyDescent="0.25">
      <c r="A40" s="1" t="s">
        <v>85</v>
      </c>
      <c r="B40" s="36">
        <f>'Reimbursement Rates &lt;-INPUT'!E22</f>
        <v>0</v>
      </c>
      <c r="C40" s="36">
        <f t="shared" si="2"/>
        <v>0</v>
      </c>
      <c r="D40" s="36">
        <f t="shared" si="2"/>
        <v>0</v>
      </c>
      <c r="E40" s="36">
        <f t="shared" si="2"/>
        <v>0</v>
      </c>
      <c r="F40" s="36">
        <f t="shared" si="2"/>
        <v>0</v>
      </c>
      <c r="G40" s="36">
        <f t="shared" si="2"/>
        <v>0</v>
      </c>
      <c r="H40" s="36">
        <f t="shared" si="2"/>
        <v>0</v>
      </c>
      <c r="I40" s="36">
        <f t="shared" si="2"/>
        <v>0</v>
      </c>
      <c r="J40" s="36">
        <f t="shared" si="3"/>
        <v>0</v>
      </c>
      <c r="M40" s="7"/>
      <c r="Q40" s="1"/>
    </row>
    <row r="41" spans="1:17" x14ac:dyDescent="0.25">
      <c r="A41" s="1" t="s">
        <v>2</v>
      </c>
      <c r="B41" s="36">
        <f>'Reimbursement Rates &lt;-INPUT'!E23</f>
        <v>0</v>
      </c>
      <c r="C41" s="36">
        <f t="shared" si="2"/>
        <v>0</v>
      </c>
      <c r="D41" s="36">
        <f t="shared" si="2"/>
        <v>0</v>
      </c>
      <c r="E41" s="36">
        <f t="shared" si="2"/>
        <v>0</v>
      </c>
      <c r="F41" s="36">
        <f t="shared" si="2"/>
        <v>0</v>
      </c>
      <c r="G41" s="36">
        <f t="shared" si="2"/>
        <v>0</v>
      </c>
      <c r="H41" s="36">
        <f t="shared" si="2"/>
        <v>0</v>
      </c>
      <c r="I41" s="36">
        <f t="shared" si="2"/>
        <v>0</v>
      </c>
      <c r="J41" s="36">
        <f t="shared" si="3"/>
        <v>0</v>
      </c>
      <c r="M41" s="7"/>
      <c r="Q41" s="1"/>
    </row>
    <row r="42" spans="1:17" x14ac:dyDescent="0.25">
      <c r="A42" s="1" t="s">
        <v>86</v>
      </c>
      <c r="B42" s="36">
        <f>'Reimbursement Rates &lt;-INPUT'!E24</f>
        <v>0</v>
      </c>
      <c r="C42" s="36">
        <f t="shared" si="2"/>
        <v>0</v>
      </c>
      <c r="D42" s="36">
        <f t="shared" si="2"/>
        <v>0</v>
      </c>
      <c r="E42" s="36">
        <f t="shared" si="2"/>
        <v>0</v>
      </c>
      <c r="F42" s="36">
        <f t="shared" si="2"/>
        <v>0</v>
      </c>
      <c r="G42" s="36">
        <f t="shared" si="2"/>
        <v>0</v>
      </c>
      <c r="H42" s="36">
        <f t="shared" si="2"/>
        <v>0</v>
      </c>
      <c r="I42" s="36">
        <f t="shared" si="2"/>
        <v>0</v>
      </c>
      <c r="J42" s="36">
        <f t="shared" si="3"/>
        <v>0</v>
      </c>
      <c r="M42" s="7"/>
    </row>
    <row r="43" spans="1:17" x14ac:dyDescent="0.25">
      <c r="A43" s="1" t="s">
        <v>29</v>
      </c>
      <c r="B43" s="36">
        <f>'Reimbursement Rates &lt;-INPUT'!E25</f>
        <v>0</v>
      </c>
      <c r="C43" s="36">
        <f t="shared" si="2"/>
        <v>0</v>
      </c>
      <c r="D43" s="36">
        <f t="shared" si="2"/>
        <v>0</v>
      </c>
      <c r="E43" s="36">
        <f t="shared" si="2"/>
        <v>0</v>
      </c>
      <c r="F43" s="36">
        <f t="shared" si="2"/>
        <v>0</v>
      </c>
      <c r="G43" s="36">
        <f t="shared" si="2"/>
        <v>0</v>
      </c>
      <c r="H43" s="36">
        <f t="shared" si="2"/>
        <v>0</v>
      </c>
      <c r="I43" s="36">
        <f t="shared" si="2"/>
        <v>0</v>
      </c>
      <c r="J43" s="36">
        <f t="shared" si="3"/>
        <v>0</v>
      </c>
      <c r="M43" s="7"/>
    </row>
    <row r="44" spans="1:17" x14ac:dyDescent="0.25">
      <c r="A44" s="1" t="s">
        <v>52</v>
      </c>
      <c r="B44" s="36">
        <f>'Reimbursement Rates &lt;-INPUT'!E26</f>
        <v>0</v>
      </c>
      <c r="C44" s="36">
        <f t="shared" si="2"/>
        <v>0</v>
      </c>
      <c r="D44" s="36">
        <f t="shared" si="2"/>
        <v>0</v>
      </c>
      <c r="E44" s="36">
        <f t="shared" si="2"/>
        <v>0</v>
      </c>
      <c r="F44" s="36">
        <f t="shared" si="2"/>
        <v>0</v>
      </c>
      <c r="G44" s="36">
        <f t="shared" si="2"/>
        <v>0</v>
      </c>
      <c r="H44" s="36">
        <f t="shared" si="2"/>
        <v>0</v>
      </c>
      <c r="I44" s="36">
        <f t="shared" si="2"/>
        <v>0</v>
      </c>
      <c r="J44" s="36">
        <f t="shared" si="3"/>
        <v>0</v>
      </c>
      <c r="M44" s="7"/>
      <c r="Q44" s="1"/>
    </row>
    <row r="45" spans="1:17" x14ac:dyDescent="0.25">
      <c r="A45" s="1" t="s">
        <v>1</v>
      </c>
      <c r="B45" s="36">
        <f>'Reimbursement Rates &lt;-INPUT'!E28</f>
        <v>0</v>
      </c>
      <c r="C45" s="36">
        <f t="shared" si="2"/>
        <v>0</v>
      </c>
      <c r="D45" s="36">
        <f t="shared" si="2"/>
        <v>0</v>
      </c>
      <c r="E45" s="36">
        <f t="shared" si="2"/>
        <v>0</v>
      </c>
      <c r="F45" s="36">
        <f t="shared" si="2"/>
        <v>0</v>
      </c>
      <c r="G45" s="36">
        <f t="shared" si="2"/>
        <v>0</v>
      </c>
      <c r="H45" s="36">
        <f t="shared" si="2"/>
        <v>0</v>
      </c>
      <c r="I45" s="36">
        <f t="shared" si="2"/>
        <v>0</v>
      </c>
      <c r="J45" s="36">
        <f t="shared" si="3"/>
        <v>0</v>
      </c>
      <c r="M45" s="7"/>
      <c r="Q45" s="1"/>
    </row>
    <row r="46" spans="1:17" ht="15.75" thickBot="1" x14ac:dyDescent="0.3">
      <c r="A46" s="1"/>
      <c r="B46" s="9"/>
      <c r="C46" s="9"/>
      <c r="D46" s="9"/>
      <c r="E46" s="9"/>
      <c r="F46" s="9"/>
      <c r="G46" s="9"/>
      <c r="H46" s="9"/>
      <c r="I46" s="9"/>
      <c r="J46" s="9"/>
      <c r="M46" s="7"/>
      <c r="Q46" s="1"/>
    </row>
    <row r="47" spans="1:17" ht="15.75" thickBot="1" x14ac:dyDescent="0.3">
      <c r="A47" s="170" t="s">
        <v>33</v>
      </c>
      <c r="B47" s="171"/>
      <c r="C47" s="171"/>
      <c r="D47" s="171"/>
      <c r="E47" s="171"/>
      <c r="F47" s="171"/>
      <c r="G47" s="171"/>
      <c r="H47" s="171"/>
      <c r="I47" s="171"/>
      <c r="J47" s="172"/>
      <c r="M47" s="7"/>
      <c r="Q47" s="1"/>
    </row>
    <row r="48" spans="1:17" x14ac:dyDescent="0.25">
      <c r="A48" s="4" t="s">
        <v>16</v>
      </c>
      <c r="B48" s="5" t="s">
        <v>15</v>
      </c>
      <c r="C48" s="5" t="s">
        <v>14</v>
      </c>
      <c r="D48" s="5" t="s">
        <v>13</v>
      </c>
      <c r="E48" s="5" t="s">
        <v>12</v>
      </c>
      <c r="F48" s="5" t="s">
        <v>93</v>
      </c>
      <c r="G48" s="5" t="s">
        <v>94</v>
      </c>
      <c r="H48" s="5" t="s">
        <v>38</v>
      </c>
      <c r="I48" s="5" t="s">
        <v>9</v>
      </c>
      <c r="J48" s="5" t="s">
        <v>0</v>
      </c>
      <c r="M48" s="7"/>
    </row>
    <row r="49" spans="1:17" x14ac:dyDescent="0.25">
      <c r="A49" s="1" t="s">
        <v>49</v>
      </c>
      <c r="B49" s="37">
        <f t="shared" ref="B49:B50" si="4">IF(B8&gt;0,B8*(1-B29),0)</f>
        <v>0</v>
      </c>
      <c r="C49" s="37">
        <f t="shared" ref="C49:I49" si="5">IF(C8&gt;0,C8*(1-C29),0)</f>
        <v>0</v>
      </c>
      <c r="D49" s="37">
        <f t="shared" si="5"/>
        <v>0</v>
      </c>
      <c r="E49" s="37">
        <f t="shared" si="5"/>
        <v>0</v>
      </c>
      <c r="F49" s="37">
        <f t="shared" si="5"/>
        <v>0</v>
      </c>
      <c r="G49" s="37">
        <f t="shared" si="5"/>
        <v>0</v>
      </c>
      <c r="H49" s="37">
        <f t="shared" si="5"/>
        <v>0</v>
      </c>
      <c r="I49" s="37">
        <f t="shared" si="5"/>
        <v>0</v>
      </c>
      <c r="J49" s="37">
        <f>SUM(B49:H49)</f>
        <v>0</v>
      </c>
      <c r="M49" s="7"/>
      <c r="Q49" s="1"/>
    </row>
    <row r="50" spans="1:17" x14ac:dyDescent="0.25">
      <c r="A50" s="1" t="s">
        <v>8</v>
      </c>
      <c r="B50" s="37">
        <f t="shared" si="4"/>
        <v>0</v>
      </c>
      <c r="C50" s="37">
        <f t="shared" ref="C50:I50" si="6">IF(C9&gt;0,C9*(1-C30),0)</f>
        <v>0</v>
      </c>
      <c r="D50" s="37">
        <f t="shared" si="6"/>
        <v>0</v>
      </c>
      <c r="E50" s="37">
        <f t="shared" si="6"/>
        <v>0</v>
      </c>
      <c r="F50" s="37">
        <f t="shared" si="6"/>
        <v>0</v>
      </c>
      <c r="G50" s="37">
        <f t="shared" si="6"/>
        <v>0</v>
      </c>
      <c r="H50" s="37">
        <f t="shared" si="6"/>
        <v>0</v>
      </c>
      <c r="I50" s="37">
        <f t="shared" si="6"/>
        <v>0</v>
      </c>
      <c r="J50" s="37">
        <f t="shared" ref="J50:J65" si="7">SUM(B50:H50)</f>
        <v>0</v>
      </c>
      <c r="M50" s="7"/>
      <c r="Q50" s="7"/>
    </row>
    <row r="51" spans="1:17" x14ac:dyDescent="0.25">
      <c r="A51" s="1" t="s">
        <v>7</v>
      </c>
      <c r="B51" s="37">
        <f>IF(B10&gt;0,B10*(1-B31),0)</f>
        <v>0</v>
      </c>
      <c r="C51" s="37">
        <f t="shared" ref="C51:I51" si="8">IF(C10&gt;0,C10*(1-C31),0)</f>
        <v>0</v>
      </c>
      <c r="D51" s="37">
        <f t="shared" si="8"/>
        <v>0</v>
      </c>
      <c r="E51" s="37">
        <f t="shared" si="8"/>
        <v>0</v>
      </c>
      <c r="F51" s="37">
        <f t="shared" si="8"/>
        <v>0</v>
      </c>
      <c r="G51" s="37">
        <f t="shared" si="8"/>
        <v>0</v>
      </c>
      <c r="H51" s="37">
        <f t="shared" si="8"/>
        <v>0</v>
      </c>
      <c r="I51" s="37">
        <f t="shared" si="8"/>
        <v>0</v>
      </c>
      <c r="J51" s="37">
        <f t="shared" si="7"/>
        <v>0</v>
      </c>
      <c r="M51" s="7"/>
    </row>
    <row r="52" spans="1:17" x14ac:dyDescent="0.25">
      <c r="A52" s="1" t="s">
        <v>42</v>
      </c>
      <c r="B52" s="37">
        <f t="shared" ref="B52:B65" si="9">IF(B11&gt;0,B11*(1-B32),0)</f>
        <v>0</v>
      </c>
      <c r="C52" s="37">
        <f t="shared" ref="C52:I52" si="10">IF(C11&gt;0,C11*(1-C32),0)</f>
        <v>0</v>
      </c>
      <c r="D52" s="37">
        <f t="shared" si="10"/>
        <v>0</v>
      </c>
      <c r="E52" s="37">
        <f t="shared" si="10"/>
        <v>0</v>
      </c>
      <c r="F52" s="37">
        <f t="shared" si="10"/>
        <v>0</v>
      </c>
      <c r="G52" s="37">
        <f t="shared" si="10"/>
        <v>0</v>
      </c>
      <c r="H52" s="37">
        <f t="shared" si="10"/>
        <v>0</v>
      </c>
      <c r="I52" s="37">
        <f t="shared" si="10"/>
        <v>0</v>
      </c>
      <c r="J52" s="37">
        <f t="shared" si="7"/>
        <v>0</v>
      </c>
      <c r="M52" s="7"/>
    </row>
    <row r="53" spans="1:17" x14ac:dyDescent="0.25">
      <c r="A53" s="1" t="s">
        <v>6</v>
      </c>
      <c r="B53" s="37">
        <f t="shared" si="9"/>
        <v>0</v>
      </c>
      <c r="C53" s="37">
        <f t="shared" ref="C53:I53" si="11">IF(C12&gt;0,C12*(1-C33),0)</f>
        <v>0</v>
      </c>
      <c r="D53" s="37">
        <f t="shared" si="11"/>
        <v>0</v>
      </c>
      <c r="E53" s="37">
        <f t="shared" si="11"/>
        <v>0</v>
      </c>
      <c r="F53" s="37">
        <f t="shared" si="11"/>
        <v>0</v>
      </c>
      <c r="G53" s="37">
        <f t="shared" si="11"/>
        <v>0</v>
      </c>
      <c r="H53" s="37">
        <f t="shared" si="11"/>
        <v>0</v>
      </c>
      <c r="I53" s="37">
        <f t="shared" si="11"/>
        <v>0</v>
      </c>
      <c r="J53" s="37">
        <f t="shared" si="7"/>
        <v>0</v>
      </c>
      <c r="M53" s="7"/>
    </row>
    <row r="54" spans="1:17" x14ac:dyDescent="0.25">
      <c r="A54" s="1" t="s">
        <v>50</v>
      </c>
      <c r="B54" s="37">
        <f t="shared" si="9"/>
        <v>0</v>
      </c>
      <c r="C54" s="37">
        <f t="shared" ref="C54:I54" si="12">IF(C13&gt;0,C13*(1-C34),0)</f>
        <v>0</v>
      </c>
      <c r="D54" s="37">
        <f t="shared" si="12"/>
        <v>0</v>
      </c>
      <c r="E54" s="37">
        <f t="shared" si="12"/>
        <v>0</v>
      </c>
      <c r="F54" s="37">
        <f t="shared" si="12"/>
        <v>0</v>
      </c>
      <c r="G54" s="37">
        <f t="shared" si="12"/>
        <v>0</v>
      </c>
      <c r="H54" s="37">
        <f t="shared" si="12"/>
        <v>0</v>
      </c>
      <c r="I54" s="37">
        <f t="shared" si="12"/>
        <v>0</v>
      </c>
      <c r="J54" s="37">
        <f t="shared" si="7"/>
        <v>0</v>
      </c>
      <c r="M54" s="7"/>
    </row>
    <row r="55" spans="1:17" x14ac:dyDescent="0.25">
      <c r="A55" s="1" t="s">
        <v>89</v>
      </c>
      <c r="B55" s="37">
        <f t="shared" si="9"/>
        <v>0</v>
      </c>
      <c r="C55" s="37">
        <f t="shared" ref="C55:I55" si="13">IF(C14&gt;0,C14*(1-C35),0)</f>
        <v>0</v>
      </c>
      <c r="D55" s="37">
        <f t="shared" si="13"/>
        <v>0</v>
      </c>
      <c r="E55" s="37">
        <f t="shared" si="13"/>
        <v>0</v>
      </c>
      <c r="F55" s="37">
        <f t="shared" si="13"/>
        <v>0</v>
      </c>
      <c r="G55" s="37">
        <f t="shared" si="13"/>
        <v>0</v>
      </c>
      <c r="H55" s="37">
        <f t="shared" si="13"/>
        <v>0</v>
      </c>
      <c r="I55" s="37">
        <f t="shared" si="13"/>
        <v>0</v>
      </c>
      <c r="J55" s="37">
        <f t="shared" si="7"/>
        <v>0</v>
      </c>
      <c r="M55" s="7"/>
    </row>
    <row r="56" spans="1:17" x14ac:dyDescent="0.25">
      <c r="A56" s="1" t="s">
        <v>5</v>
      </c>
      <c r="B56" s="37">
        <f t="shared" si="9"/>
        <v>0</v>
      </c>
      <c r="C56" s="37">
        <f t="shared" ref="C56:I56" si="14">IF(C15&gt;0,C15*(1-C36),0)</f>
        <v>0</v>
      </c>
      <c r="D56" s="37">
        <f t="shared" si="14"/>
        <v>0</v>
      </c>
      <c r="E56" s="37">
        <f t="shared" si="14"/>
        <v>0</v>
      </c>
      <c r="F56" s="37">
        <f t="shared" si="14"/>
        <v>0</v>
      </c>
      <c r="G56" s="37">
        <f t="shared" si="14"/>
        <v>0</v>
      </c>
      <c r="H56" s="37">
        <f t="shared" si="14"/>
        <v>0</v>
      </c>
      <c r="I56" s="37">
        <f t="shared" si="14"/>
        <v>0</v>
      </c>
      <c r="J56" s="37">
        <f t="shared" si="7"/>
        <v>0</v>
      </c>
      <c r="M56" s="7"/>
    </row>
    <row r="57" spans="1:17" x14ac:dyDescent="0.25">
      <c r="A57" s="1" t="s">
        <v>84</v>
      </c>
      <c r="B57" s="37">
        <f t="shared" si="9"/>
        <v>0</v>
      </c>
      <c r="C57" s="37">
        <f t="shared" ref="C57:I57" si="15">IF(C16&gt;0,C16*(1-C37),0)</f>
        <v>0</v>
      </c>
      <c r="D57" s="37">
        <f t="shared" si="15"/>
        <v>0</v>
      </c>
      <c r="E57" s="37">
        <f t="shared" si="15"/>
        <v>0</v>
      </c>
      <c r="F57" s="37">
        <f t="shared" si="15"/>
        <v>0</v>
      </c>
      <c r="G57" s="37">
        <f t="shared" si="15"/>
        <v>0</v>
      </c>
      <c r="H57" s="37">
        <f t="shared" si="15"/>
        <v>0</v>
      </c>
      <c r="I57" s="37">
        <f t="shared" si="15"/>
        <v>0</v>
      </c>
      <c r="J57" s="37">
        <f t="shared" si="7"/>
        <v>0</v>
      </c>
      <c r="M57" s="7"/>
    </row>
    <row r="58" spans="1:17" x14ac:dyDescent="0.25">
      <c r="A58" s="1" t="s">
        <v>4</v>
      </c>
      <c r="B58" s="37">
        <f t="shared" si="9"/>
        <v>0</v>
      </c>
      <c r="C58" s="37">
        <f t="shared" ref="C58:I58" si="16">IF(C17&gt;0,C17*(1-C38),0)</f>
        <v>0</v>
      </c>
      <c r="D58" s="37">
        <f t="shared" si="16"/>
        <v>0</v>
      </c>
      <c r="E58" s="37">
        <f t="shared" si="16"/>
        <v>0</v>
      </c>
      <c r="F58" s="37">
        <f t="shared" si="16"/>
        <v>0</v>
      </c>
      <c r="G58" s="37">
        <f t="shared" si="16"/>
        <v>0</v>
      </c>
      <c r="H58" s="37">
        <f t="shared" si="16"/>
        <v>0</v>
      </c>
      <c r="I58" s="37">
        <f t="shared" si="16"/>
        <v>0</v>
      </c>
      <c r="J58" s="37">
        <f t="shared" si="7"/>
        <v>0</v>
      </c>
      <c r="M58" s="7"/>
    </row>
    <row r="59" spans="1:17" x14ac:dyDescent="0.25">
      <c r="A59" s="1" t="s">
        <v>51</v>
      </c>
      <c r="B59" s="37">
        <f t="shared" si="9"/>
        <v>0</v>
      </c>
      <c r="C59" s="37">
        <f t="shared" ref="C59:I59" si="17">IF(C18&gt;0,C18*(1-C39),0)</f>
        <v>0</v>
      </c>
      <c r="D59" s="37">
        <f t="shared" si="17"/>
        <v>0</v>
      </c>
      <c r="E59" s="37">
        <f t="shared" si="17"/>
        <v>0</v>
      </c>
      <c r="F59" s="37">
        <f t="shared" si="17"/>
        <v>0</v>
      </c>
      <c r="G59" s="37">
        <f t="shared" si="17"/>
        <v>0</v>
      </c>
      <c r="H59" s="37">
        <f t="shared" si="17"/>
        <v>0</v>
      </c>
      <c r="I59" s="37">
        <f t="shared" si="17"/>
        <v>0</v>
      </c>
      <c r="J59" s="37">
        <f t="shared" si="7"/>
        <v>0</v>
      </c>
      <c r="M59" s="7"/>
    </row>
    <row r="60" spans="1:17" x14ac:dyDescent="0.25">
      <c r="A60" s="1" t="s">
        <v>85</v>
      </c>
      <c r="B60" s="37">
        <f t="shared" si="9"/>
        <v>0</v>
      </c>
      <c r="C60" s="37">
        <f t="shared" ref="C60:I60" si="18">IF(C19&gt;0,C19*(1-C40),0)</f>
        <v>0</v>
      </c>
      <c r="D60" s="37">
        <f t="shared" si="18"/>
        <v>0</v>
      </c>
      <c r="E60" s="37">
        <f t="shared" si="18"/>
        <v>0</v>
      </c>
      <c r="F60" s="37">
        <f t="shared" si="18"/>
        <v>0</v>
      </c>
      <c r="G60" s="37">
        <f t="shared" si="18"/>
        <v>0</v>
      </c>
      <c r="H60" s="37">
        <f t="shared" si="18"/>
        <v>0</v>
      </c>
      <c r="I60" s="37">
        <f t="shared" si="18"/>
        <v>0</v>
      </c>
      <c r="J60" s="37">
        <f t="shared" si="7"/>
        <v>0</v>
      </c>
      <c r="M60" s="7"/>
    </row>
    <row r="61" spans="1:17" x14ac:dyDescent="0.25">
      <c r="A61" s="1" t="s">
        <v>2</v>
      </c>
      <c r="B61" s="37">
        <f t="shared" si="9"/>
        <v>0</v>
      </c>
      <c r="C61" s="37">
        <f t="shared" ref="C61:I61" si="19">IF(C20&gt;0,C20*(1-C41),0)</f>
        <v>0</v>
      </c>
      <c r="D61" s="37">
        <f t="shared" si="19"/>
        <v>0</v>
      </c>
      <c r="E61" s="37">
        <f t="shared" si="19"/>
        <v>0</v>
      </c>
      <c r="F61" s="37">
        <f t="shared" si="19"/>
        <v>0</v>
      </c>
      <c r="G61" s="37">
        <f t="shared" si="19"/>
        <v>0</v>
      </c>
      <c r="H61" s="37">
        <f t="shared" si="19"/>
        <v>0</v>
      </c>
      <c r="I61" s="37">
        <f t="shared" si="19"/>
        <v>0</v>
      </c>
      <c r="J61" s="37">
        <f t="shared" si="7"/>
        <v>0</v>
      </c>
      <c r="M61" s="7"/>
    </row>
    <row r="62" spans="1:17" x14ac:dyDescent="0.25">
      <c r="A62" s="1" t="s">
        <v>86</v>
      </c>
      <c r="B62" s="37">
        <f t="shared" si="9"/>
        <v>0</v>
      </c>
      <c r="C62" s="37">
        <f t="shared" ref="C62:I62" si="20">IF(C21&gt;0,C21*(1-C42),0)</f>
        <v>0</v>
      </c>
      <c r="D62" s="37">
        <f t="shared" si="20"/>
        <v>0</v>
      </c>
      <c r="E62" s="37">
        <f t="shared" si="20"/>
        <v>0</v>
      </c>
      <c r="F62" s="37">
        <f t="shared" si="20"/>
        <v>0</v>
      </c>
      <c r="G62" s="37">
        <f t="shared" si="20"/>
        <v>0</v>
      </c>
      <c r="H62" s="37">
        <f t="shared" si="20"/>
        <v>0</v>
      </c>
      <c r="I62" s="37">
        <f t="shared" si="20"/>
        <v>0</v>
      </c>
      <c r="J62" s="37">
        <f t="shared" si="7"/>
        <v>0</v>
      </c>
      <c r="M62" s="183" t="s">
        <v>62</v>
      </c>
    </row>
    <row r="63" spans="1:17" x14ac:dyDescent="0.25">
      <c r="A63" s="1" t="s">
        <v>29</v>
      </c>
      <c r="B63" s="37">
        <f t="shared" si="9"/>
        <v>0</v>
      </c>
      <c r="C63" s="37">
        <f t="shared" ref="C63:I63" si="21">IF(C22&gt;0,C22*(1-C43),0)</f>
        <v>0</v>
      </c>
      <c r="D63" s="37">
        <f t="shared" si="21"/>
        <v>0</v>
      </c>
      <c r="E63" s="37">
        <f t="shared" si="21"/>
        <v>0</v>
      </c>
      <c r="F63" s="37">
        <f t="shared" si="21"/>
        <v>0</v>
      </c>
      <c r="G63" s="37">
        <f t="shared" si="21"/>
        <v>0</v>
      </c>
      <c r="H63" s="37">
        <f t="shared" si="21"/>
        <v>0</v>
      </c>
      <c r="I63" s="37">
        <f t="shared" si="21"/>
        <v>0</v>
      </c>
      <c r="J63" s="37">
        <f t="shared" si="7"/>
        <v>0</v>
      </c>
      <c r="M63" s="183"/>
    </row>
    <row r="64" spans="1:17" x14ac:dyDescent="0.25">
      <c r="A64" s="1" t="s">
        <v>52</v>
      </c>
      <c r="B64" s="37">
        <f t="shared" si="9"/>
        <v>0</v>
      </c>
      <c r="C64" s="37">
        <f t="shared" ref="C64:I64" si="22">IF(C23&gt;0,C23*(1-C44),0)</f>
        <v>0</v>
      </c>
      <c r="D64" s="37">
        <f t="shared" si="22"/>
        <v>0</v>
      </c>
      <c r="E64" s="37">
        <f t="shared" si="22"/>
        <v>0</v>
      </c>
      <c r="F64" s="37">
        <f t="shared" si="22"/>
        <v>0</v>
      </c>
      <c r="G64" s="37">
        <f t="shared" si="22"/>
        <v>0</v>
      </c>
      <c r="H64" s="37">
        <f t="shared" si="22"/>
        <v>0</v>
      </c>
      <c r="I64" s="37">
        <f t="shared" si="22"/>
        <v>0</v>
      </c>
      <c r="J64" s="37">
        <f t="shared" si="7"/>
        <v>0</v>
      </c>
      <c r="L64" s="35" t="s">
        <v>41</v>
      </c>
      <c r="M64" s="183" t="s">
        <v>63</v>
      </c>
    </row>
    <row r="65" spans="1:13" x14ac:dyDescent="0.25">
      <c r="A65" s="1" t="s">
        <v>1</v>
      </c>
      <c r="B65" s="38">
        <f t="shared" si="9"/>
        <v>0</v>
      </c>
      <c r="C65" s="38">
        <f t="shared" ref="C65:I65" si="23">IF(C24&gt;0,C24*(1-C45),0)</f>
        <v>0</v>
      </c>
      <c r="D65" s="38">
        <f t="shared" si="23"/>
        <v>0</v>
      </c>
      <c r="E65" s="38">
        <f t="shared" si="23"/>
        <v>0</v>
      </c>
      <c r="F65" s="38">
        <f t="shared" si="23"/>
        <v>0</v>
      </c>
      <c r="G65" s="38">
        <f t="shared" si="23"/>
        <v>0</v>
      </c>
      <c r="H65" s="38">
        <f t="shared" si="23"/>
        <v>0</v>
      </c>
      <c r="I65" s="38">
        <f t="shared" si="23"/>
        <v>0</v>
      </c>
      <c r="J65" s="38">
        <f t="shared" si="7"/>
        <v>0</v>
      </c>
      <c r="L65" s="42" t="s">
        <v>61</v>
      </c>
      <c r="M65" s="184"/>
    </row>
    <row r="66" spans="1:13" x14ac:dyDescent="0.25">
      <c r="A66" s="1"/>
      <c r="B66" s="9">
        <f>SUM(B49:B65)</f>
        <v>0</v>
      </c>
      <c r="C66" s="9">
        <f t="shared" ref="C66:J66" si="24">SUM(C49:C65)</f>
        <v>0</v>
      </c>
      <c r="D66" s="9">
        <f t="shared" si="24"/>
        <v>0</v>
      </c>
      <c r="E66" s="9">
        <f t="shared" si="24"/>
        <v>0</v>
      </c>
      <c r="F66" s="9">
        <f t="shared" si="24"/>
        <v>0</v>
      </c>
      <c r="G66" s="9">
        <f t="shared" si="24"/>
        <v>0</v>
      </c>
      <c r="H66" s="9">
        <f t="shared" si="24"/>
        <v>0</v>
      </c>
      <c r="I66" s="9">
        <f t="shared" si="24"/>
        <v>0</v>
      </c>
      <c r="J66" s="9">
        <f t="shared" si="24"/>
        <v>0</v>
      </c>
      <c r="L66" s="108">
        <v>60000</v>
      </c>
      <c r="M66" s="7">
        <f>J66-L66</f>
        <v>-60000</v>
      </c>
    </row>
    <row r="67" spans="1:13" ht="15.75" thickBot="1" x14ac:dyDescent="0.3">
      <c r="A67" s="1"/>
      <c r="B67" s="9"/>
      <c r="C67" s="9"/>
      <c r="D67" s="9"/>
      <c r="E67" s="9"/>
      <c r="F67" s="9"/>
      <c r="G67" s="9"/>
      <c r="H67" s="9"/>
      <c r="I67" s="9"/>
      <c r="J67" s="9"/>
      <c r="M67" s="7"/>
    </row>
    <row r="68" spans="1:13" ht="15.75" thickBot="1" x14ac:dyDescent="0.3">
      <c r="A68" s="170" t="s">
        <v>64</v>
      </c>
      <c r="B68" s="171"/>
      <c r="C68" s="171"/>
      <c r="D68" s="171"/>
      <c r="E68" s="171"/>
      <c r="F68" s="171"/>
      <c r="G68" s="171"/>
      <c r="H68" s="171"/>
      <c r="I68" s="171"/>
      <c r="J68" s="172"/>
      <c r="M68" s="7"/>
    </row>
    <row r="69" spans="1:13" x14ac:dyDescent="0.25">
      <c r="A69" s="4" t="s">
        <v>16</v>
      </c>
      <c r="B69" s="5" t="s">
        <v>15</v>
      </c>
      <c r="C69" s="5" t="s">
        <v>14</v>
      </c>
      <c r="D69" s="5" t="s">
        <v>13</v>
      </c>
      <c r="E69" s="5" t="s">
        <v>12</v>
      </c>
      <c r="F69" s="5" t="s">
        <v>93</v>
      </c>
      <c r="G69" s="5" t="s">
        <v>94</v>
      </c>
      <c r="H69" s="5" t="s">
        <v>38</v>
      </c>
      <c r="I69" s="5" t="s">
        <v>9</v>
      </c>
      <c r="J69" s="5" t="s">
        <v>0</v>
      </c>
      <c r="M69" s="7"/>
    </row>
    <row r="70" spans="1:13" x14ac:dyDescent="0.25">
      <c r="A70" s="1" t="s">
        <v>49</v>
      </c>
      <c r="B70" s="39">
        <f t="shared" ref="B70:B71" si="25">B8-B49</f>
        <v>0</v>
      </c>
      <c r="C70" s="39">
        <f t="shared" ref="C70:I70" si="26">C8-C49</f>
        <v>0</v>
      </c>
      <c r="D70" s="39">
        <f t="shared" si="26"/>
        <v>0</v>
      </c>
      <c r="E70" s="39">
        <f t="shared" si="26"/>
        <v>0</v>
      </c>
      <c r="F70" s="39">
        <f t="shared" si="26"/>
        <v>0</v>
      </c>
      <c r="G70" s="39">
        <f t="shared" si="26"/>
        <v>0</v>
      </c>
      <c r="H70" s="39">
        <f t="shared" si="26"/>
        <v>0</v>
      </c>
      <c r="I70" s="39">
        <f t="shared" si="26"/>
        <v>0</v>
      </c>
      <c r="J70" s="39">
        <f>SUM(B70:H70)</f>
        <v>0</v>
      </c>
      <c r="M70" s="7"/>
    </row>
    <row r="71" spans="1:13" x14ac:dyDescent="0.25">
      <c r="A71" s="1" t="s">
        <v>8</v>
      </c>
      <c r="B71" s="39">
        <f t="shared" si="25"/>
        <v>0</v>
      </c>
      <c r="C71" s="39">
        <f t="shared" ref="C71:I71" si="27">C9-C50</f>
        <v>0</v>
      </c>
      <c r="D71" s="39">
        <f t="shared" si="27"/>
        <v>0</v>
      </c>
      <c r="E71" s="39">
        <f t="shared" si="27"/>
        <v>0</v>
      </c>
      <c r="F71" s="39">
        <f t="shared" si="27"/>
        <v>0</v>
      </c>
      <c r="G71" s="39">
        <f t="shared" si="27"/>
        <v>0</v>
      </c>
      <c r="H71" s="39">
        <f t="shared" si="27"/>
        <v>0</v>
      </c>
      <c r="I71" s="39">
        <f t="shared" si="27"/>
        <v>0</v>
      </c>
      <c r="J71" s="39">
        <f t="shared" ref="J71:J86" si="28">SUM(B71:H71)</f>
        <v>0</v>
      </c>
      <c r="M71" s="7"/>
    </row>
    <row r="72" spans="1:13" x14ac:dyDescent="0.25">
      <c r="A72" s="1" t="s">
        <v>7</v>
      </c>
      <c r="B72" s="39">
        <f>B10-B51</f>
        <v>0</v>
      </c>
      <c r="C72" s="39">
        <f t="shared" ref="C72:I72" si="29">C10-C51</f>
        <v>0</v>
      </c>
      <c r="D72" s="39">
        <f t="shared" si="29"/>
        <v>0</v>
      </c>
      <c r="E72" s="39">
        <f t="shared" si="29"/>
        <v>0</v>
      </c>
      <c r="F72" s="39">
        <f t="shared" si="29"/>
        <v>0</v>
      </c>
      <c r="G72" s="39">
        <f t="shared" si="29"/>
        <v>0</v>
      </c>
      <c r="H72" s="39">
        <f t="shared" si="29"/>
        <v>0</v>
      </c>
      <c r="I72" s="39">
        <f t="shared" si="29"/>
        <v>0</v>
      </c>
      <c r="J72" s="39">
        <f t="shared" si="28"/>
        <v>0</v>
      </c>
      <c r="M72" s="7"/>
    </row>
    <row r="73" spans="1:13" x14ac:dyDescent="0.25">
      <c r="A73" s="1" t="s">
        <v>42</v>
      </c>
      <c r="B73" s="39">
        <f t="shared" ref="B73:B86" si="30">B11-B52</f>
        <v>0</v>
      </c>
      <c r="C73" s="39">
        <f t="shared" ref="C73:I73" si="31">C11-C52</f>
        <v>0</v>
      </c>
      <c r="D73" s="39">
        <f t="shared" si="31"/>
        <v>0</v>
      </c>
      <c r="E73" s="39">
        <f t="shared" si="31"/>
        <v>0</v>
      </c>
      <c r="F73" s="39">
        <f t="shared" si="31"/>
        <v>0</v>
      </c>
      <c r="G73" s="39">
        <f t="shared" si="31"/>
        <v>0</v>
      </c>
      <c r="H73" s="39">
        <f t="shared" si="31"/>
        <v>0</v>
      </c>
      <c r="I73" s="39">
        <f t="shared" si="31"/>
        <v>0</v>
      </c>
      <c r="J73" s="39">
        <f t="shared" si="28"/>
        <v>0</v>
      </c>
      <c r="M73" s="7"/>
    </row>
    <row r="74" spans="1:13" x14ac:dyDescent="0.25">
      <c r="A74" s="1" t="s">
        <v>6</v>
      </c>
      <c r="B74" s="39">
        <f t="shared" si="30"/>
        <v>0</v>
      </c>
      <c r="C74" s="39">
        <f t="shared" ref="C74:I74" si="32">C12-C53</f>
        <v>0</v>
      </c>
      <c r="D74" s="39">
        <f t="shared" si="32"/>
        <v>0</v>
      </c>
      <c r="E74" s="39">
        <f t="shared" si="32"/>
        <v>0</v>
      </c>
      <c r="F74" s="39">
        <f t="shared" si="32"/>
        <v>0</v>
      </c>
      <c r="G74" s="39">
        <f t="shared" si="32"/>
        <v>0</v>
      </c>
      <c r="H74" s="39">
        <f t="shared" si="32"/>
        <v>0</v>
      </c>
      <c r="I74" s="39">
        <f t="shared" si="32"/>
        <v>0</v>
      </c>
      <c r="J74" s="39">
        <f t="shared" si="28"/>
        <v>0</v>
      </c>
      <c r="M74" s="7"/>
    </row>
    <row r="75" spans="1:13" x14ac:dyDescent="0.25">
      <c r="A75" s="1" t="s">
        <v>50</v>
      </c>
      <c r="B75" s="39">
        <f t="shared" si="30"/>
        <v>0</v>
      </c>
      <c r="C75" s="39">
        <f t="shared" ref="C75:I75" si="33">C13-C54</f>
        <v>0</v>
      </c>
      <c r="D75" s="39">
        <f t="shared" si="33"/>
        <v>0</v>
      </c>
      <c r="E75" s="39">
        <f t="shared" si="33"/>
        <v>0</v>
      </c>
      <c r="F75" s="39">
        <f t="shared" si="33"/>
        <v>0</v>
      </c>
      <c r="G75" s="39">
        <f t="shared" si="33"/>
        <v>0</v>
      </c>
      <c r="H75" s="39">
        <f t="shared" si="33"/>
        <v>0</v>
      </c>
      <c r="I75" s="39">
        <f t="shared" si="33"/>
        <v>0</v>
      </c>
      <c r="J75" s="39">
        <f t="shared" si="28"/>
        <v>0</v>
      </c>
      <c r="M75" s="7"/>
    </row>
    <row r="76" spans="1:13" x14ac:dyDescent="0.25">
      <c r="A76" s="1" t="s">
        <v>89</v>
      </c>
      <c r="B76" s="39">
        <f t="shared" si="30"/>
        <v>0</v>
      </c>
      <c r="C76" s="39">
        <f t="shared" ref="C76:I76" si="34">C14-C55</f>
        <v>0</v>
      </c>
      <c r="D76" s="39">
        <f t="shared" si="34"/>
        <v>0</v>
      </c>
      <c r="E76" s="39">
        <f t="shared" si="34"/>
        <v>0</v>
      </c>
      <c r="F76" s="39">
        <f t="shared" si="34"/>
        <v>0</v>
      </c>
      <c r="G76" s="39">
        <f t="shared" si="34"/>
        <v>0</v>
      </c>
      <c r="H76" s="39">
        <f t="shared" si="34"/>
        <v>0</v>
      </c>
      <c r="I76" s="39">
        <f t="shared" si="34"/>
        <v>0</v>
      </c>
      <c r="J76" s="39">
        <f t="shared" si="28"/>
        <v>0</v>
      </c>
      <c r="M76" s="7"/>
    </row>
    <row r="77" spans="1:13" x14ac:dyDescent="0.25">
      <c r="A77" s="1" t="s">
        <v>5</v>
      </c>
      <c r="B77" s="39">
        <f t="shared" si="30"/>
        <v>0</v>
      </c>
      <c r="C77" s="39">
        <f t="shared" ref="C77:I77" si="35">C15-C56</f>
        <v>0</v>
      </c>
      <c r="D77" s="39">
        <f t="shared" si="35"/>
        <v>0</v>
      </c>
      <c r="E77" s="39">
        <f t="shared" si="35"/>
        <v>0</v>
      </c>
      <c r="F77" s="39">
        <f t="shared" si="35"/>
        <v>0</v>
      </c>
      <c r="G77" s="39">
        <f t="shared" si="35"/>
        <v>0</v>
      </c>
      <c r="H77" s="39">
        <f t="shared" si="35"/>
        <v>0</v>
      </c>
      <c r="I77" s="39">
        <f t="shared" si="35"/>
        <v>0</v>
      </c>
      <c r="J77" s="39">
        <f t="shared" si="28"/>
        <v>0</v>
      </c>
      <c r="M77" s="7"/>
    </row>
    <row r="78" spans="1:13" x14ac:dyDescent="0.25">
      <c r="A78" s="1" t="s">
        <v>84</v>
      </c>
      <c r="B78" s="39">
        <f t="shared" si="30"/>
        <v>0</v>
      </c>
      <c r="C78" s="39">
        <f t="shared" ref="C78:I78" si="36">C16-C57</f>
        <v>0</v>
      </c>
      <c r="D78" s="39">
        <f t="shared" si="36"/>
        <v>0</v>
      </c>
      <c r="E78" s="39">
        <f t="shared" si="36"/>
        <v>0</v>
      </c>
      <c r="F78" s="39">
        <f t="shared" si="36"/>
        <v>0</v>
      </c>
      <c r="G78" s="39">
        <f t="shared" si="36"/>
        <v>0</v>
      </c>
      <c r="H78" s="39">
        <f t="shared" si="36"/>
        <v>0</v>
      </c>
      <c r="I78" s="39">
        <f t="shared" si="36"/>
        <v>0</v>
      </c>
      <c r="J78" s="39">
        <f t="shared" si="28"/>
        <v>0</v>
      </c>
      <c r="M78" s="7"/>
    </row>
    <row r="79" spans="1:13" x14ac:dyDescent="0.25">
      <c r="A79" s="1" t="s">
        <v>4</v>
      </c>
      <c r="B79" s="39">
        <f t="shared" si="30"/>
        <v>0</v>
      </c>
      <c r="C79" s="39">
        <f t="shared" ref="C79:I79" si="37">C17-C58</f>
        <v>0</v>
      </c>
      <c r="D79" s="39">
        <f t="shared" si="37"/>
        <v>0</v>
      </c>
      <c r="E79" s="39">
        <f t="shared" si="37"/>
        <v>0</v>
      </c>
      <c r="F79" s="39">
        <f t="shared" si="37"/>
        <v>0</v>
      </c>
      <c r="G79" s="39">
        <f t="shared" si="37"/>
        <v>0</v>
      </c>
      <c r="H79" s="39">
        <f t="shared" si="37"/>
        <v>0</v>
      </c>
      <c r="I79" s="39">
        <f t="shared" si="37"/>
        <v>0</v>
      </c>
      <c r="J79" s="39">
        <f t="shared" si="28"/>
        <v>0</v>
      </c>
      <c r="M79" s="7"/>
    </row>
    <row r="80" spans="1:13" x14ac:dyDescent="0.25">
      <c r="A80" s="1" t="s">
        <v>51</v>
      </c>
      <c r="B80" s="39">
        <f t="shared" si="30"/>
        <v>0</v>
      </c>
      <c r="C80" s="39">
        <f t="shared" ref="C80:I80" si="38">C18-C59</f>
        <v>0</v>
      </c>
      <c r="D80" s="39">
        <f t="shared" si="38"/>
        <v>0</v>
      </c>
      <c r="E80" s="39">
        <f t="shared" si="38"/>
        <v>0</v>
      </c>
      <c r="F80" s="39">
        <f t="shared" si="38"/>
        <v>0</v>
      </c>
      <c r="G80" s="39">
        <f t="shared" si="38"/>
        <v>0</v>
      </c>
      <c r="H80" s="39">
        <f t="shared" si="38"/>
        <v>0</v>
      </c>
      <c r="I80" s="39">
        <f t="shared" si="38"/>
        <v>0</v>
      </c>
      <c r="J80" s="39">
        <f t="shared" si="28"/>
        <v>0</v>
      </c>
      <c r="M80" s="7"/>
    </row>
    <row r="81" spans="1:13" x14ac:dyDescent="0.25">
      <c r="A81" s="1" t="s">
        <v>85</v>
      </c>
      <c r="B81" s="39">
        <f t="shared" si="30"/>
        <v>0</v>
      </c>
      <c r="C81" s="39">
        <f t="shared" ref="C81:I81" si="39">C19-C60</f>
        <v>0</v>
      </c>
      <c r="D81" s="39">
        <f t="shared" si="39"/>
        <v>0</v>
      </c>
      <c r="E81" s="39">
        <f t="shared" si="39"/>
        <v>0</v>
      </c>
      <c r="F81" s="39">
        <f t="shared" si="39"/>
        <v>0</v>
      </c>
      <c r="G81" s="39">
        <f t="shared" si="39"/>
        <v>0</v>
      </c>
      <c r="H81" s="39">
        <f t="shared" si="39"/>
        <v>0</v>
      </c>
      <c r="I81" s="39">
        <f t="shared" si="39"/>
        <v>0</v>
      </c>
      <c r="J81" s="39">
        <f t="shared" si="28"/>
        <v>0</v>
      </c>
      <c r="M81" s="7"/>
    </row>
    <row r="82" spans="1:13" x14ac:dyDescent="0.25">
      <c r="A82" s="1" t="s">
        <v>2</v>
      </c>
      <c r="B82" s="39">
        <f t="shared" si="30"/>
        <v>0</v>
      </c>
      <c r="C82" s="39">
        <f t="shared" ref="C82:I82" si="40">C20-C61</f>
        <v>0</v>
      </c>
      <c r="D82" s="39">
        <f t="shared" si="40"/>
        <v>0</v>
      </c>
      <c r="E82" s="39">
        <f t="shared" si="40"/>
        <v>0</v>
      </c>
      <c r="F82" s="39">
        <f t="shared" si="40"/>
        <v>0</v>
      </c>
      <c r="G82" s="39">
        <f t="shared" si="40"/>
        <v>0</v>
      </c>
      <c r="H82" s="39">
        <f t="shared" si="40"/>
        <v>0</v>
      </c>
      <c r="I82" s="39">
        <f t="shared" si="40"/>
        <v>0</v>
      </c>
      <c r="J82" s="39">
        <f t="shared" si="28"/>
        <v>0</v>
      </c>
      <c r="M82" s="7"/>
    </row>
    <row r="83" spans="1:13" x14ac:dyDescent="0.25">
      <c r="A83" s="1" t="s">
        <v>86</v>
      </c>
      <c r="B83" s="39">
        <f t="shared" si="30"/>
        <v>0</v>
      </c>
      <c r="C83" s="39">
        <f t="shared" ref="C83:I83" si="41">C21-C62</f>
        <v>0</v>
      </c>
      <c r="D83" s="39">
        <f t="shared" si="41"/>
        <v>0</v>
      </c>
      <c r="E83" s="39">
        <f t="shared" si="41"/>
        <v>0</v>
      </c>
      <c r="F83" s="39">
        <f t="shared" si="41"/>
        <v>0</v>
      </c>
      <c r="G83" s="39">
        <f t="shared" si="41"/>
        <v>0</v>
      </c>
      <c r="H83" s="39">
        <f t="shared" si="41"/>
        <v>0</v>
      </c>
      <c r="I83" s="39">
        <f t="shared" si="41"/>
        <v>0</v>
      </c>
      <c r="J83" s="39">
        <f t="shared" si="28"/>
        <v>0</v>
      </c>
      <c r="M83" s="7"/>
    </row>
    <row r="84" spans="1:13" x14ac:dyDescent="0.25">
      <c r="A84" s="1" t="s">
        <v>29</v>
      </c>
      <c r="B84" s="39">
        <f t="shared" si="30"/>
        <v>0</v>
      </c>
      <c r="C84" s="39">
        <f t="shared" ref="C84:I84" si="42">C22-C63</f>
        <v>0</v>
      </c>
      <c r="D84" s="39">
        <f t="shared" si="42"/>
        <v>0</v>
      </c>
      <c r="E84" s="39">
        <f t="shared" si="42"/>
        <v>0</v>
      </c>
      <c r="F84" s="39">
        <f t="shared" si="42"/>
        <v>0</v>
      </c>
      <c r="G84" s="39">
        <f t="shared" si="42"/>
        <v>0</v>
      </c>
      <c r="H84" s="39">
        <f t="shared" si="42"/>
        <v>0</v>
      </c>
      <c r="I84" s="39">
        <f t="shared" si="42"/>
        <v>0</v>
      </c>
      <c r="J84" s="39">
        <f t="shared" si="28"/>
        <v>0</v>
      </c>
      <c r="M84" s="7"/>
    </row>
    <row r="85" spans="1:13" x14ac:dyDescent="0.25">
      <c r="A85" s="1" t="s">
        <v>52</v>
      </c>
      <c r="B85" s="39">
        <f t="shared" si="30"/>
        <v>0</v>
      </c>
      <c r="C85" s="39">
        <f t="shared" ref="C85:I85" si="43">C23-C64</f>
        <v>0</v>
      </c>
      <c r="D85" s="39">
        <f t="shared" si="43"/>
        <v>0</v>
      </c>
      <c r="E85" s="39">
        <f t="shared" si="43"/>
        <v>0</v>
      </c>
      <c r="F85" s="39">
        <f t="shared" si="43"/>
        <v>0</v>
      </c>
      <c r="G85" s="39">
        <f t="shared" si="43"/>
        <v>0</v>
      </c>
      <c r="H85" s="39">
        <f t="shared" si="43"/>
        <v>0</v>
      </c>
      <c r="I85" s="39">
        <f t="shared" si="43"/>
        <v>0</v>
      </c>
      <c r="J85" s="39">
        <f t="shared" si="28"/>
        <v>0</v>
      </c>
      <c r="M85" s="7"/>
    </row>
    <row r="86" spans="1:13" x14ac:dyDescent="0.25">
      <c r="A86" s="1" t="s">
        <v>1</v>
      </c>
      <c r="B86" s="40">
        <f t="shared" si="30"/>
        <v>0</v>
      </c>
      <c r="C86" s="40">
        <f t="shared" ref="C86:I86" si="44">C24-C65</f>
        <v>0</v>
      </c>
      <c r="D86" s="40">
        <f t="shared" si="44"/>
        <v>0</v>
      </c>
      <c r="E86" s="40">
        <f t="shared" si="44"/>
        <v>0</v>
      </c>
      <c r="F86" s="40">
        <f t="shared" si="44"/>
        <v>0</v>
      </c>
      <c r="G86" s="40">
        <f t="shared" si="44"/>
        <v>0</v>
      </c>
      <c r="H86" s="40">
        <f t="shared" si="44"/>
        <v>0</v>
      </c>
      <c r="I86" s="40">
        <f t="shared" si="44"/>
        <v>0</v>
      </c>
      <c r="J86" s="40">
        <f t="shared" si="28"/>
        <v>0</v>
      </c>
      <c r="M86" s="7"/>
    </row>
    <row r="87" spans="1:13" x14ac:dyDescent="0.25">
      <c r="A87" s="4"/>
      <c r="B87" s="39">
        <f>SUM(B70:B86)</f>
        <v>0</v>
      </c>
      <c r="C87" s="39">
        <f t="shared" ref="C87:J87" si="45">SUM(C70:C86)</f>
        <v>0</v>
      </c>
      <c r="D87" s="39">
        <f t="shared" si="45"/>
        <v>0</v>
      </c>
      <c r="E87" s="39">
        <f t="shared" si="45"/>
        <v>0</v>
      </c>
      <c r="F87" s="39">
        <f t="shared" si="45"/>
        <v>0</v>
      </c>
      <c r="G87" s="39">
        <f t="shared" si="45"/>
        <v>0</v>
      </c>
      <c r="H87" s="39">
        <f t="shared" si="45"/>
        <v>0</v>
      </c>
      <c r="I87" s="39">
        <f t="shared" si="45"/>
        <v>0</v>
      </c>
      <c r="J87" s="39">
        <f t="shared" si="45"/>
        <v>0</v>
      </c>
      <c r="M87" s="7"/>
    </row>
    <row r="88" spans="1:13" ht="15.75" thickBot="1" x14ac:dyDescent="0.3">
      <c r="A88" s="4"/>
      <c r="B88" s="39"/>
      <c r="C88" s="39"/>
      <c r="D88" s="39"/>
      <c r="E88" s="39"/>
      <c r="F88" s="39"/>
      <c r="G88" s="39"/>
      <c r="H88" s="39"/>
      <c r="I88" s="39"/>
      <c r="J88" s="39"/>
      <c r="M88" s="7"/>
    </row>
    <row r="89" spans="1:13" ht="15.75" thickBot="1" x14ac:dyDescent="0.3">
      <c r="A89" s="167" t="s">
        <v>59</v>
      </c>
      <c r="B89" s="168"/>
      <c r="C89" s="168"/>
      <c r="D89" s="168"/>
      <c r="E89" s="168"/>
      <c r="F89" s="168"/>
      <c r="G89" s="168"/>
      <c r="H89" s="168"/>
      <c r="I89" s="168"/>
      <c r="J89" s="169"/>
      <c r="M89" s="7"/>
    </row>
    <row r="90" spans="1:13" x14ac:dyDescent="0.25">
      <c r="A90" s="4" t="s">
        <v>16</v>
      </c>
      <c r="B90" s="5" t="s">
        <v>15</v>
      </c>
      <c r="C90" s="5" t="s">
        <v>14</v>
      </c>
      <c r="D90" s="5" t="s">
        <v>13</v>
      </c>
      <c r="E90" s="5" t="s">
        <v>12</v>
      </c>
      <c r="F90" s="5" t="s">
        <v>93</v>
      </c>
      <c r="G90" s="5" t="s">
        <v>94</v>
      </c>
      <c r="H90" s="5" t="s">
        <v>38</v>
      </c>
      <c r="I90" s="5" t="s">
        <v>9</v>
      </c>
      <c r="J90" s="5" t="s">
        <v>0</v>
      </c>
      <c r="M90" s="7"/>
    </row>
    <row r="91" spans="1:13" x14ac:dyDescent="0.25">
      <c r="A91" s="1" t="s">
        <v>49</v>
      </c>
      <c r="B91" s="41">
        <v>0</v>
      </c>
      <c r="C91" s="41">
        <v>0</v>
      </c>
      <c r="D91" s="41">
        <v>0</v>
      </c>
      <c r="E91" s="41">
        <v>0.1</v>
      </c>
      <c r="F91" s="41">
        <v>0.15</v>
      </c>
      <c r="G91" s="41">
        <v>0.15</v>
      </c>
      <c r="H91" s="41">
        <v>0.2</v>
      </c>
      <c r="I91" s="41">
        <v>1</v>
      </c>
      <c r="J91" s="39"/>
      <c r="M91" s="7"/>
    </row>
    <row r="92" spans="1:13" x14ac:dyDescent="0.25">
      <c r="A92" s="1" t="s">
        <v>8</v>
      </c>
      <c r="B92" s="41">
        <v>0</v>
      </c>
      <c r="C92" s="41">
        <v>0</v>
      </c>
      <c r="D92" s="41">
        <v>0</v>
      </c>
      <c r="E92" s="41">
        <v>0.1</v>
      </c>
      <c r="F92" s="41">
        <v>0.15</v>
      </c>
      <c r="G92" s="41">
        <v>0.15</v>
      </c>
      <c r="H92" s="41">
        <v>0.2</v>
      </c>
      <c r="I92" s="41">
        <v>1</v>
      </c>
      <c r="J92" s="39"/>
      <c r="M92" s="7"/>
    </row>
    <row r="93" spans="1:13" x14ac:dyDescent="0.25">
      <c r="A93" s="1" t="s">
        <v>7</v>
      </c>
      <c r="B93" s="41">
        <v>0</v>
      </c>
      <c r="C93" s="41">
        <v>0</v>
      </c>
      <c r="D93" s="41">
        <v>0</v>
      </c>
      <c r="E93" s="41">
        <v>0.1</v>
      </c>
      <c r="F93" s="41">
        <v>0.15</v>
      </c>
      <c r="G93" s="41">
        <v>0.15</v>
      </c>
      <c r="H93" s="41">
        <v>0.2</v>
      </c>
      <c r="I93" s="41">
        <v>1</v>
      </c>
      <c r="J93" s="39"/>
      <c r="M93" s="7"/>
    </row>
    <row r="94" spans="1:13" x14ac:dyDescent="0.25">
      <c r="A94" s="1" t="s">
        <v>42</v>
      </c>
      <c r="B94" s="41">
        <v>0</v>
      </c>
      <c r="C94" s="41">
        <v>0</v>
      </c>
      <c r="D94" s="41">
        <v>0</v>
      </c>
      <c r="E94" s="41">
        <v>0.1</v>
      </c>
      <c r="F94" s="41">
        <v>0.15</v>
      </c>
      <c r="G94" s="41">
        <v>0.15</v>
      </c>
      <c r="H94" s="41">
        <v>0.2</v>
      </c>
      <c r="I94" s="41">
        <v>1</v>
      </c>
      <c r="J94" s="39"/>
      <c r="M94" s="7"/>
    </row>
    <row r="95" spans="1:13" x14ac:dyDescent="0.25">
      <c r="A95" s="1" t="s">
        <v>6</v>
      </c>
      <c r="B95" s="41">
        <v>0</v>
      </c>
      <c r="C95" s="41">
        <v>0</v>
      </c>
      <c r="D95" s="41">
        <v>0</v>
      </c>
      <c r="E95" s="41">
        <v>0.1</v>
      </c>
      <c r="F95" s="41">
        <v>0.15</v>
      </c>
      <c r="G95" s="41">
        <v>0.15</v>
      </c>
      <c r="H95" s="41">
        <v>0.2</v>
      </c>
      <c r="I95" s="41">
        <v>1</v>
      </c>
      <c r="J95" s="39"/>
      <c r="M95" s="7"/>
    </row>
    <row r="96" spans="1:13" x14ac:dyDescent="0.25">
      <c r="A96" s="1" t="s">
        <v>50</v>
      </c>
      <c r="B96" s="41">
        <v>0</v>
      </c>
      <c r="C96" s="41">
        <v>0</v>
      </c>
      <c r="D96" s="41">
        <v>0</v>
      </c>
      <c r="E96" s="41">
        <v>0.1</v>
      </c>
      <c r="F96" s="41">
        <v>0.15</v>
      </c>
      <c r="G96" s="41">
        <v>0.15</v>
      </c>
      <c r="H96" s="41">
        <v>0.2</v>
      </c>
      <c r="I96" s="41">
        <v>1</v>
      </c>
      <c r="J96" s="39"/>
      <c r="M96" s="7"/>
    </row>
    <row r="97" spans="1:13" x14ac:dyDescent="0.25">
      <c r="A97" s="1" t="s">
        <v>89</v>
      </c>
      <c r="B97" s="41">
        <v>0</v>
      </c>
      <c r="C97" s="41">
        <v>0</v>
      </c>
      <c r="D97" s="41">
        <v>0</v>
      </c>
      <c r="E97" s="41">
        <v>0.1</v>
      </c>
      <c r="F97" s="41">
        <v>0.15</v>
      </c>
      <c r="G97" s="41">
        <v>0.15</v>
      </c>
      <c r="H97" s="41">
        <v>0.2</v>
      </c>
      <c r="I97" s="41">
        <v>1</v>
      </c>
      <c r="J97" s="39"/>
      <c r="M97" s="7"/>
    </row>
    <row r="98" spans="1:13" x14ac:dyDescent="0.25">
      <c r="A98" s="1" t="s">
        <v>5</v>
      </c>
      <c r="B98" s="41">
        <v>0</v>
      </c>
      <c r="C98" s="41">
        <v>0</v>
      </c>
      <c r="D98" s="41">
        <v>0</v>
      </c>
      <c r="E98" s="41">
        <v>0.1</v>
      </c>
      <c r="F98" s="41">
        <v>0.15</v>
      </c>
      <c r="G98" s="41">
        <v>0.15</v>
      </c>
      <c r="H98" s="41">
        <v>0.2</v>
      </c>
      <c r="I98" s="41">
        <v>1</v>
      </c>
      <c r="J98" s="39"/>
      <c r="M98" s="7"/>
    </row>
    <row r="99" spans="1:13" x14ac:dyDescent="0.25">
      <c r="A99" s="1" t="s">
        <v>84</v>
      </c>
      <c r="B99" s="41">
        <v>0</v>
      </c>
      <c r="C99" s="41">
        <v>0</v>
      </c>
      <c r="D99" s="41">
        <v>0</v>
      </c>
      <c r="E99" s="41">
        <v>0.1</v>
      </c>
      <c r="F99" s="41">
        <v>0.15</v>
      </c>
      <c r="G99" s="41">
        <v>0.15</v>
      </c>
      <c r="H99" s="41">
        <v>0.2</v>
      </c>
      <c r="I99" s="41">
        <v>1</v>
      </c>
      <c r="J99" s="39"/>
      <c r="M99" s="7"/>
    </row>
    <row r="100" spans="1:13" x14ac:dyDescent="0.25">
      <c r="A100" s="1" t="s">
        <v>4</v>
      </c>
      <c r="B100" s="41">
        <v>0</v>
      </c>
      <c r="C100" s="41">
        <v>0</v>
      </c>
      <c r="D100" s="41">
        <v>0</v>
      </c>
      <c r="E100" s="41">
        <v>0.1</v>
      </c>
      <c r="F100" s="41">
        <v>0.15</v>
      </c>
      <c r="G100" s="41">
        <v>0.15</v>
      </c>
      <c r="H100" s="41">
        <v>0.2</v>
      </c>
      <c r="I100" s="41">
        <v>1</v>
      </c>
      <c r="J100" s="39"/>
      <c r="M100" s="7"/>
    </row>
    <row r="101" spans="1:13" x14ac:dyDescent="0.25">
      <c r="A101" s="1" t="s">
        <v>51</v>
      </c>
      <c r="B101" s="41">
        <v>0</v>
      </c>
      <c r="C101" s="41">
        <v>0</v>
      </c>
      <c r="D101" s="41">
        <v>0</v>
      </c>
      <c r="E101" s="41">
        <v>0.1</v>
      </c>
      <c r="F101" s="41">
        <v>0.15</v>
      </c>
      <c r="G101" s="41">
        <v>0.15</v>
      </c>
      <c r="H101" s="41">
        <v>0.2</v>
      </c>
      <c r="I101" s="41">
        <v>1</v>
      </c>
      <c r="J101" s="39"/>
      <c r="M101" s="7"/>
    </row>
    <row r="102" spans="1:13" x14ac:dyDescent="0.25">
      <c r="A102" s="1" t="s">
        <v>85</v>
      </c>
      <c r="B102" s="41">
        <v>0</v>
      </c>
      <c r="C102" s="41">
        <v>0</v>
      </c>
      <c r="D102" s="41">
        <v>0</v>
      </c>
      <c r="E102" s="41">
        <v>0.1</v>
      </c>
      <c r="F102" s="41">
        <v>0.15</v>
      </c>
      <c r="G102" s="41">
        <v>0.15</v>
      </c>
      <c r="H102" s="41">
        <v>0.2</v>
      </c>
      <c r="I102" s="41">
        <v>1</v>
      </c>
      <c r="J102" s="39"/>
      <c r="M102" s="7"/>
    </row>
    <row r="103" spans="1:13" x14ac:dyDescent="0.25">
      <c r="A103" s="1" t="s">
        <v>2</v>
      </c>
      <c r="B103" s="41">
        <v>0</v>
      </c>
      <c r="C103" s="41">
        <v>0</v>
      </c>
      <c r="D103" s="41">
        <v>0.1</v>
      </c>
      <c r="E103" s="41">
        <v>0.5</v>
      </c>
      <c r="F103" s="41">
        <v>1</v>
      </c>
      <c r="G103" s="41">
        <v>1</v>
      </c>
      <c r="H103" s="41">
        <v>1</v>
      </c>
      <c r="I103" s="41">
        <v>1</v>
      </c>
      <c r="J103" s="39"/>
      <c r="M103" s="7"/>
    </row>
    <row r="104" spans="1:13" x14ac:dyDescent="0.25">
      <c r="A104" s="1" t="s">
        <v>86</v>
      </c>
      <c r="B104" s="41">
        <v>0</v>
      </c>
      <c r="C104" s="41">
        <v>0</v>
      </c>
      <c r="D104" s="41">
        <v>0</v>
      </c>
      <c r="E104" s="41">
        <v>0.1</v>
      </c>
      <c r="F104" s="41">
        <v>0.15</v>
      </c>
      <c r="G104" s="41">
        <v>0.15</v>
      </c>
      <c r="H104" s="41">
        <v>0.2</v>
      </c>
      <c r="I104" s="41">
        <v>1</v>
      </c>
      <c r="J104" s="39"/>
      <c r="M104" s="7"/>
    </row>
    <row r="105" spans="1:13" x14ac:dyDescent="0.25">
      <c r="A105" s="1" t="s">
        <v>29</v>
      </c>
      <c r="B105" s="41">
        <v>0</v>
      </c>
      <c r="C105" s="41">
        <v>0</v>
      </c>
      <c r="D105" s="41">
        <v>0</v>
      </c>
      <c r="E105" s="41">
        <v>0.1</v>
      </c>
      <c r="F105" s="41">
        <v>0.15</v>
      </c>
      <c r="G105" s="41">
        <v>0.15</v>
      </c>
      <c r="H105" s="41">
        <v>0.2</v>
      </c>
      <c r="I105" s="41">
        <v>1</v>
      </c>
      <c r="J105" s="39"/>
      <c r="M105" s="7"/>
    </row>
    <row r="106" spans="1:13" x14ac:dyDescent="0.25">
      <c r="A106" s="1" t="s">
        <v>52</v>
      </c>
      <c r="B106" s="41">
        <v>0</v>
      </c>
      <c r="C106" s="41">
        <v>0</v>
      </c>
      <c r="D106" s="41">
        <v>0</v>
      </c>
      <c r="E106" s="41">
        <v>0.1</v>
      </c>
      <c r="F106" s="41">
        <v>0.15</v>
      </c>
      <c r="G106" s="41">
        <v>0.15</v>
      </c>
      <c r="H106" s="41">
        <v>0.2</v>
      </c>
      <c r="I106" s="41">
        <v>1</v>
      </c>
      <c r="J106" s="39"/>
      <c r="M106" s="7"/>
    </row>
    <row r="107" spans="1:13" x14ac:dyDescent="0.25">
      <c r="A107" s="1" t="s">
        <v>1</v>
      </c>
      <c r="B107" s="41">
        <v>0</v>
      </c>
      <c r="C107" s="41">
        <v>0</v>
      </c>
      <c r="D107" s="41">
        <v>0</v>
      </c>
      <c r="E107" s="41">
        <v>0.1</v>
      </c>
      <c r="F107" s="41">
        <v>0.15</v>
      </c>
      <c r="G107" s="41">
        <v>0.15</v>
      </c>
      <c r="H107" s="41">
        <v>0.2</v>
      </c>
      <c r="I107" s="41">
        <v>1</v>
      </c>
      <c r="J107" s="39"/>
      <c r="M107" s="7"/>
    </row>
    <row r="108" spans="1:13" ht="15.75" thickBot="1" x14ac:dyDescent="0.3">
      <c r="A108" s="4"/>
      <c r="B108" s="39"/>
      <c r="C108" s="39"/>
      <c r="D108" s="39"/>
      <c r="E108" s="39"/>
      <c r="F108" s="39"/>
      <c r="G108" s="39"/>
      <c r="H108" s="39"/>
      <c r="I108" s="39"/>
      <c r="J108" s="39"/>
      <c r="M108" s="7"/>
    </row>
    <row r="109" spans="1:13" ht="15.75" thickBot="1" x14ac:dyDescent="0.3">
      <c r="A109" s="170" t="s">
        <v>60</v>
      </c>
      <c r="B109" s="171"/>
      <c r="C109" s="171"/>
      <c r="D109" s="171"/>
      <c r="E109" s="171"/>
      <c r="F109" s="171"/>
      <c r="G109" s="171"/>
      <c r="H109" s="171"/>
      <c r="I109" s="171"/>
      <c r="J109" s="172"/>
      <c r="M109" s="7"/>
    </row>
    <row r="110" spans="1:13" x14ac:dyDescent="0.25">
      <c r="A110" s="4" t="s">
        <v>16</v>
      </c>
      <c r="B110" s="5" t="s">
        <v>15</v>
      </c>
      <c r="C110" s="5" t="s">
        <v>14</v>
      </c>
      <c r="D110" s="5" t="s">
        <v>13</v>
      </c>
      <c r="E110" s="5" t="s">
        <v>12</v>
      </c>
      <c r="F110" s="5" t="s">
        <v>93</v>
      </c>
      <c r="G110" s="5" t="s">
        <v>94</v>
      </c>
      <c r="H110" s="5" t="s">
        <v>38</v>
      </c>
      <c r="I110" s="5" t="s">
        <v>9</v>
      </c>
      <c r="J110" s="5" t="s">
        <v>0</v>
      </c>
      <c r="M110" s="7"/>
    </row>
    <row r="111" spans="1:13" x14ac:dyDescent="0.25">
      <c r="A111" s="1" t="s">
        <v>49</v>
      </c>
      <c r="B111" s="66">
        <f>IF(B70&gt;0,B70*B91,0)</f>
        <v>0</v>
      </c>
      <c r="C111" s="66">
        <f t="shared" ref="C111:I111" si="46">IF(C70&gt;0,C70*C91,0)</f>
        <v>0</v>
      </c>
      <c r="D111" s="66">
        <f t="shared" si="46"/>
        <v>0</v>
      </c>
      <c r="E111" s="66">
        <f t="shared" si="46"/>
        <v>0</v>
      </c>
      <c r="F111" s="66">
        <f t="shared" si="46"/>
        <v>0</v>
      </c>
      <c r="G111" s="66">
        <f t="shared" si="46"/>
        <v>0</v>
      </c>
      <c r="H111" s="66">
        <f t="shared" si="46"/>
        <v>0</v>
      </c>
      <c r="I111" s="66">
        <f t="shared" si="46"/>
        <v>0</v>
      </c>
      <c r="J111" s="39">
        <f>SUM(B111:H111)</f>
        <v>0</v>
      </c>
      <c r="M111" s="7"/>
    </row>
    <row r="112" spans="1:13" x14ac:dyDescent="0.25">
      <c r="A112" s="1" t="s">
        <v>8</v>
      </c>
      <c r="B112" s="39">
        <f>IF(B71&gt;0,B71*B92,0)</f>
        <v>0</v>
      </c>
      <c r="C112" s="39">
        <f t="shared" ref="C112:I112" si="47">IF(C71&gt;0,C71*C92,0)</f>
        <v>0</v>
      </c>
      <c r="D112" s="39">
        <f t="shared" si="47"/>
        <v>0</v>
      </c>
      <c r="E112" s="39">
        <f t="shared" si="47"/>
        <v>0</v>
      </c>
      <c r="F112" s="39">
        <f t="shared" si="47"/>
        <v>0</v>
      </c>
      <c r="G112" s="39">
        <f t="shared" si="47"/>
        <v>0</v>
      </c>
      <c r="H112" s="39">
        <f t="shared" si="47"/>
        <v>0</v>
      </c>
      <c r="I112" s="39">
        <f t="shared" si="47"/>
        <v>0</v>
      </c>
      <c r="J112" s="39">
        <f t="shared" ref="J112:J127" si="48">SUM(B112:H112)</f>
        <v>0</v>
      </c>
      <c r="M112" s="7"/>
    </row>
    <row r="113" spans="1:13" x14ac:dyDescent="0.25">
      <c r="A113" s="1" t="s">
        <v>7</v>
      </c>
      <c r="B113" s="39">
        <f>IF(B72&gt;0,B72*B93,0)</f>
        <v>0</v>
      </c>
      <c r="C113" s="39">
        <f t="shared" ref="C113:I113" si="49">IF(C72&gt;0,C72*C93,0)</f>
        <v>0</v>
      </c>
      <c r="D113" s="39">
        <f t="shared" si="49"/>
        <v>0</v>
      </c>
      <c r="E113" s="39">
        <f t="shared" si="49"/>
        <v>0</v>
      </c>
      <c r="F113" s="39">
        <f t="shared" si="49"/>
        <v>0</v>
      </c>
      <c r="G113" s="39">
        <f t="shared" si="49"/>
        <v>0</v>
      </c>
      <c r="H113" s="39">
        <f t="shared" si="49"/>
        <v>0</v>
      </c>
      <c r="I113" s="39">
        <f t="shared" si="49"/>
        <v>0</v>
      </c>
      <c r="J113" s="39">
        <f t="shared" si="48"/>
        <v>0</v>
      </c>
      <c r="M113" s="7"/>
    </row>
    <row r="114" spans="1:13" x14ac:dyDescent="0.25">
      <c r="A114" s="1" t="s">
        <v>42</v>
      </c>
      <c r="B114" s="39">
        <f t="shared" ref="B114:B127" si="50">IF(B73&gt;0,B73*B94,0)</f>
        <v>0</v>
      </c>
      <c r="C114" s="39">
        <f t="shared" ref="C114:I114" si="51">IF(C73&gt;0,C73*C94,0)</f>
        <v>0</v>
      </c>
      <c r="D114" s="39">
        <f t="shared" si="51"/>
        <v>0</v>
      </c>
      <c r="E114" s="39">
        <f t="shared" si="51"/>
        <v>0</v>
      </c>
      <c r="F114" s="39">
        <f t="shared" si="51"/>
        <v>0</v>
      </c>
      <c r="G114" s="39">
        <f t="shared" si="51"/>
        <v>0</v>
      </c>
      <c r="H114" s="39">
        <f t="shared" si="51"/>
        <v>0</v>
      </c>
      <c r="I114" s="39">
        <f t="shared" si="51"/>
        <v>0</v>
      </c>
      <c r="J114" s="39">
        <f t="shared" si="48"/>
        <v>0</v>
      </c>
      <c r="M114" s="7"/>
    </row>
    <row r="115" spans="1:13" x14ac:dyDescent="0.25">
      <c r="A115" s="1" t="s">
        <v>6</v>
      </c>
      <c r="B115" s="39">
        <f t="shared" si="50"/>
        <v>0</v>
      </c>
      <c r="C115" s="39">
        <f t="shared" ref="C115:I115" si="52">IF(C74&gt;0,C74*C95,0)</f>
        <v>0</v>
      </c>
      <c r="D115" s="39">
        <f t="shared" si="52"/>
        <v>0</v>
      </c>
      <c r="E115" s="39">
        <f t="shared" si="52"/>
        <v>0</v>
      </c>
      <c r="F115" s="39">
        <f t="shared" si="52"/>
        <v>0</v>
      </c>
      <c r="G115" s="39">
        <f t="shared" si="52"/>
        <v>0</v>
      </c>
      <c r="H115" s="39">
        <f t="shared" si="52"/>
        <v>0</v>
      </c>
      <c r="I115" s="39">
        <f t="shared" si="52"/>
        <v>0</v>
      </c>
      <c r="J115" s="39">
        <f t="shared" si="48"/>
        <v>0</v>
      </c>
      <c r="M115" s="7"/>
    </row>
    <row r="116" spans="1:13" x14ac:dyDescent="0.25">
      <c r="A116" s="1" t="s">
        <v>50</v>
      </c>
      <c r="B116" s="39">
        <f t="shared" si="50"/>
        <v>0</v>
      </c>
      <c r="C116" s="39">
        <f t="shared" ref="C116:I116" si="53">IF(C75&gt;0,C75*C96,0)</f>
        <v>0</v>
      </c>
      <c r="D116" s="39">
        <f t="shared" si="53"/>
        <v>0</v>
      </c>
      <c r="E116" s="39">
        <f t="shared" si="53"/>
        <v>0</v>
      </c>
      <c r="F116" s="39">
        <f t="shared" si="53"/>
        <v>0</v>
      </c>
      <c r="G116" s="39">
        <f t="shared" si="53"/>
        <v>0</v>
      </c>
      <c r="H116" s="39">
        <f t="shared" si="53"/>
        <v>0</v>
      </c>
      <c r="I116" s="39">
        <f t="shared" si="53"/>
        <v>0</v>
      </c>
      <c r="J116" s="39">
        <f t="shared" si="48"/>
        <v>0</v>
      </c>
      <c r="M116" s="7"/>
    </row>
    <row r="117" spans="1:13" x14ac:dyDescent="0.25">
      <c r="A117" s="1" t="s">
        <v>89</v>
      </c>
      <c r="B117" s="39">
        <f t="shared" si="50"/>
        <v>0</v>
      </c>
      <c r="C117" s="39">
        <f t="shared" ref="C117:I117" si="54">IF(C76&gt;0,C76*C97,0)</f>
        <v>0</v>
      </c>
      <c r="D117" s="39">
        <f t="shared" si="54"/>
        <v>0</v>
      </c>
      <c r="E117" s="39">
        <f t="shared" si="54"/>
        <v>0</v>
      </c>
      <c r="F117" s="39">
        <f t="shared" si="54"/>
        <v>0</v>
      </c>
      <c r="G117" s="39">
        <f t="shared" si="54"/>
        <v>0</v>
      </c>
      <c r="H117" s="39">
        <f t="shared" si="54"/>
        <v>0</v>
      </c>
      <c r="I117" s="39">
        <f t="shared" si="54"/>
        <v>0</v>
      </c>
      <c r="J117" s="39">
        <f t="shared" si="48"/>
        <v>0</v>
      </c>
      <c r="M117" s="7"/>
    </row>
    <row r="118" spans="1:13" x14ac:dyDescent="0.25">
      <c r="A118" s="1" t="s">
        <v>5</v>
      </c>
      <c r="B118" s="39">
        <f t="shared" si="50"/>
        <v>0</v>
      </c>
      <c r="C118" s="39">
        <f t="shared" ref="C118:I118" si="55">IF(C77&gt;0,C77*C98,0)</f>
        <v>0</v>
      </c>
      <c r="D118" s="39">
        <f t="shared" si="55"/>
        <v>0</v>
      </c>
      <c r="E118" s="39">
        <f t="shared" si="55"/>
        <v>0</v>
      </c>
      <c r="F118" s="39">
        <f t="shared" si="55"/>
        <v>0</v>
      </c>
      <c r="G118" s="39">
        <f t="shared" si="55"/>
        <v>0</v>
      </c>
      <c r="H118" s="39">
        <f t="shared" si="55"/>
        <v>0</v>
      </c>
      <c r="I118" s="39">
        <f t="shared" si="55"/>
        <v>0</v>
      </c>
      <c r="J118" s="39">
        <f t="shared" si="48"/>
        <v>0</v>
      </c>
      <c r="M118" s="7"/>
    </row>
    <row r="119" spans="1:13" x14ac:dyDescent="0.25">
      <c r="A119" s="1" t="s">
        <v>84</v>
      </c>
      <c r="B119" s="39">
        <f t="shared" si="50"/>
        <v>0</v>
      </c>
      <c r="C119" s="39">
        <f t="shared" ref="C119:I119" si="56">IF(C78&gt;0,C78*C99,0)</f>
        <v>0</v>
      </c>
      <c r="D119" s="39">
        <f t="shared" si="56"/>
        <v>0</v>
      </c>
      <c r="E119" s="39">
        <f t="shared" si="56"/>
        <v>0</v>
      </c>
      <c r="F119" s="39">
        <f t="shared" si="56"/>
        <v>0</v>
      </c>
      <c r="G119" s="39">
        <f t="shared" si="56"/>
        <v>0</v>
      </c>
      <c r="H119" s="39">
        <f t="shared" si="56"/>
        <v>0</v>
      </c>
      <c r="I119" s="39">
        <f t="shared" si="56"/>
        <v>0</v>
      </c>
      <c r="J119" s="39">
        <f t="shared" si="48"/>
        <v>0</v>
      </c>
      <c r="M119" s="7"/>
    </row>
    <row r="120" spans="1:13" x14ac:dyDescent="0.25">
      <c r="A120" s="1" t="s">
        <v>4</v>
      </c>
      <c r="B120" s="39">
        <f t="shared" si="50"/>
        <v>0</v>
      </c>
      <c r="C120" s="39">
        <f t="shared" ref="C120:I120" si="57">IF(C79&gt;0,C79*C100,0)</f>
        <v>0</v>
      </c>
      <c r="D120" s="39">
        <f t="shared" si="57"/>
        <v>0</v>
      </c>
      <c r="E120" s="39">
        <f t="shared" si="57"/>
        <v>0</v>
      </c>
      <c r="F120" s="39">
        <f t="shared" si="57"/>
        <v>0</v>
      </c>
      <c r="G120" s="39">
        <f t="shared" si="57"/>
        <v>0</v>
      </c>
      <c r="H120" s="39">
        <f t="shared" si="57"/>
        <v>0</v>
      </c>
      <c r="I120" s="39">
        <f t="shared" si="57"/>
        <v>0</v>
      </c>
      <c r="J120" s="39">
        <f t="shared" si="48"/>
        <v>0</v>
      </c>
      <c r="M120" s="7"/>
    </row>
    <row r="121" spans="1:13" x14ac:dyDescent="0.25">
      <c r="A121" s="1" t="s">
        <v>51</v>
      </c>
      <c r="B121" s="39">
        <f t="shared" si="50"/>
        <v>0</v>
      </c>
      <c r="C121" s="39">
        <f t="shared" ref="C121:I121" si="58">IF(C80&gt;0,C80*C101,0)</f>
        <v>0</v>
      </c>
      <c r="D121" s="39">
        <f t="shared" si="58"/>
        <v>0</v>
      </c>
      <c r="E121" s="39">
        <f t="shared" si="58"/>
        <v>0</v>
      </c>
      <c r="F121" s="39">
        <f t="shared" si="58"/>
        <v>0</v>
      </c>
      <c r="G121" s="39">
        <f t="shared" si="58"/>
        <v>0</v>
      </c>
      <c r="H121" s="39">
        <f t="shared" si="58"/>
        <v>0</v>
      </c>
      <c r="I121" s="39">
        <f t="shared" si="58"/>
        <v>0</v>
      </c>
      <c r="J121" s="39">
        <f t="shared" si="48"/>
        <v>0</v>
      </c>
      <c r="M121" s="7"/>
    </row>
    <row r="122" spans="1:13" x14ac:dyDescent="0.25">
      <c r="A122" s="1" t="s">
        <v>85</v>
      </c>
      <c r="B122" s="39">
        <f t="shared" si="50"/>
        <v>0</v>
      </c>
      <c r="C122" s="39">
        <f t="shared" ref="C122:I122" si="59">IF(C81&gt;0,C81*C102,0)</f>
        <v>0</v>
      </c>
      <c r="D122" s="39">
        <f t="shared" si="59"/>
        <v>0</v>
      </c>
      <c r="E122" s="39">
        <f t="shared" si="59"/>
        <v>0</v>
      </c>
      <c r="F122" s="39">
        <f t="shared" si="59"/>
        <v>0</v>
      </c>
      <c r="G122" s="39">
        <f t="shared" si="59"/>
        <v>0</v>
      </c>
      <c r="H122" s="39">
        <f t="shared" si="59"/>
        <v>0</v>
      </c>
      <c r="I122" s="39">
        <f t="shared" si="59"/>
        <v>0</v>
      </c>
      <c r="J122" s="39">
        <f t="shared" si="48"/>
        <v>0</v>
      </c>
      <c r="M122" s="7"/>
    </row>
    <row r="123" spans="1:13" x14ac:dyDescent="0.25">
      <c r="A123" s="1" t="s">
        <v>2</v>
      </c>
      <c r="B123" s="39">
        <f t="shared" si="50"/>
        <v>0</v>
      </c>
      <c r="C123" s="39">
        <f t="shared" ref="C123:I123" si="60">IF(C82&gt;0,C82*C103,0)</f>
        <v>0</v>
      </c>
      <c r="D123" s="39">
        <f t="shared" si="60"/>
        <v>0</v>
      </c>
      <c r="E123" s="39">
        <f t="shared" si="60"/>
        <v>0</v>
      </c>
      <c r="F123" s="39">
        <f t="shared" si="60"/>
        <v>0</v>
      </c>
      <c r="G123" s="39">
        <f t="shared" si="60"/>
        <v>0</v>
      </c>
      <c r="H123" s="39">
        <f t="shared" si="60"/>
        <v>0</v>
      </c>
      <c r="I123" s="39">
        <f t="shared" si="60"/>
        <v>0</v>
      </c>
      <c r="J123" s="39">
        <f t="shared" si="48"/>
        <v>0</v>
      </c>
      <c r="M123" s="7"/>
    </row>
    <row r="124" spans="1:13" x14ac:dyDescent="0.25">
      <c r="A124" s="1" t="s">
        <v>86</v>
      </c>
      <c r="B124" s="39">
        <f t="shared" si="50"/>
        <v>0</v>
      </c>
      <c r="C124" s="39">
        <f t="shared" ref="C124:I124" si="61">IF(C83&gt;0,C83*C104,0)</f>
        <v>0</v>
      </c>
      <c r="D124" s="39">
        <f t="shared" si="61"/>
        <v>0</v>
      </c>
      <c r="E124" s="39">
        <f t="shared" si="61"/>
        <v>0</v>
      </c>
      <c r="F124" s="39">
        <f t="shared" si="61"/>
        <v>0</v>
      </c>
      <c r="G124" s="39">
        <f t="shared" si="61"/>
        <v>0</v>
      </c>
      <c r="H124" s="39">
        <f t="shared" si="61"/>
        <v>0</v>
      </c>
      <c r="I124" s="39">
        <f t="shared" si="61"/>
        <v>0</v>
      </c>
      <c r="J124" s="39">
        <f t="shared" si="48"/>
        <v>0</v>
      </c>
      <c r="M124" s="183" t="s">
        <v>62</v>
      </c>
    </row>
    <row r="125" spans="1:13" x14ac:dyDescent="0.25">
      <c r="A125" s="1" t="s">
        <v>29</v>
      </c>
      <c r="B125" s="39">
        <f t="shared" si="50"/>
        <v>0</v>
      </c>
      <c r="C125" s="39">
        <f t="shared" ref="C125:I125" si="62">IF(C84&gt;0,C84*C105,0)</f>
        <v>0</v>
      </c>
      <c r="D125" s="39">
        <f t="shared" si="62"/>
        <v>0</v>
      </c>
      <c r="E125" s="39">
        <f t="shared" si="62"/>
        <v>0</v>
      </c>
      <c r="F125" s="39">
        <f t="shared" si="62"/>
        <v>0</v>
      </c>
      <c r="G125" s="39">
        <f t="shared" si="62"/>
        <v>0</v>
      </c>
      <c r="H125" s="39">
        <f t="shared" si="62"/>
        <v>0</v>
      </c>
      <c r="I125" s="39">
        <f t="shared" si="62"/>
        <v>0</v>
      </c>
      <c r="J125" s="39">
        <f t="shared" si="48"/>
        <v>0</v>
      </c>
      <c r="M125" s="183"/>
    </row>
    <row r="126" spans="1:13" x14ac:dyDescent="0.25">
      <c r="A126" s="1" t="s">
        <v>52</v>
      </c>
      <c r="B126" s="39">
        <f t="shared" si="50"/>
        <v>0</v>
      </c>
      <c r="C126" s="39">
        <f t="shared" ref="C126:I126" si="63">IF(C85&gt;0,C85*C106,0)</f>
        <v>0</v>
      </c>
      <c r="D126" s="39">
        <f t="shared" si="63"/>
        <v>0</v>
      </c>
      <c r="E126" s="39">
        <f t="shared" si="63"/>
        <v>0</v>
      </c>
      <c r="F126" s="39">
        <f t="shared" si="63"/>
        <v>0</v>
      </c>
      <c r="G126" s="39">
        <f t="shared" si="63"/>
        <v>0</v>
      </c>
      <c r="H126" s="39">
        <f t="shared" si="63"/>
        <v>0</v>
      </c>
      <c r="I126" s="39">
        <f t="shared" si="63"/>
        <v>0</v>
      </c>
      <c r="J126" s="39">
        <f t="shared" si="48"/>
        <v>0</v>
      </c>
      <c r="L126" s="35" t="s">
        <v>151</v>
      </c>
      <c r="M126" s="183" t="s">
        <v>63</v>
      </c>
    </row>
    <row r="127" spans="1:13" x14ac:dyDescent="0.25">
      <c r="A127" s="1" t="s">
        <v>1</v>
      </c>
      <c r="B127" s="40">
        <f t="shared" si="50"/>
        <v>0</v>
      </c>
      <c r="C127" s="40">
        <f t="shared" ref="C127:I127" si="64">IF(C86&gt;0,C86*C107,0)</f>
        <v>0</v>
      </c>
      <c r="D127" s="40">
        <f t="shared" si="64"/>
        <v>0</v>
      </c>
      <c r="E127" s="40">
        <f t="shared" si="64"/>
        <v>0</v>
      </c>
      <c r="F127" s="40">
        <f t="shared" si="64"/>
        <v>0</v>
      </c>
      <c r="G127" s="40">
        <f t="shared" si="64"/>
        <v>0</v>
      </c>
      <c r="H127" s="40">
        <f t="shared" si="64"/>
        <v>0</v>
      </c>
      <c r="I127" s="40">
        <f t="shared" si="64"/>
        <v>0</v>
      </c>
      <c r="J127" s="40">
        <f t="shared" si="48"/>
        <v>0</v>
      </c>
      <c r="L127" s="42" t="s">
        <v>61</v>
      </c>
      <c r="M127" s="184"/>
    </row>
    <row r="128" spans="1:13" x14ac:dyDescent="0.25">
      <c r="A128" s="4"/>
      <c r="B128" s="39">
        <f>SUM(B111:B127)</f>
        <v>0</v>
      </c>
      <c r="C128" s="39">
        <f t="shared" ref="C128:J128" si="65">SUM(C111:C127)</f>
        <v>0</v>
      </c>
      <c r="D128" s="39">
        <f t="shared" si="65"/>
        <v>0</v>
      </c>
      <c r="E128" s="39">
        <f t="shared" si="65"/>
        <v>0</v>
      </c>
      <c r="F128" s="39">
        <f t="shared" si="65"/>
        <v>0</v>
      </c>
      <c r="G128" s="39">
        <f t="shared" si="65"/>
        <v>0</v>
      </c>
      <c r="H128" s="39">
        <f t="shared" si="65"/>
        <v>0</v>
      </c>
      <c r="I128" s="39">
        <f t="shared" si="65"/>
        <v>0</v>
      </c>
      <c r="J128" s="39">
        <f t="shared" si="65"/>
        <v>0</v>
      </c>
      <c r="L128" s="108">
        <v>60000</v>
      </c>
      <c r="M128" s="7">
        <f>J128-L128</f>
        <v>-60000</v>
      </c>
    </row>
    <row r="129" spans="1:13" ht="15.75" thickBot="1" x14ac:dyDescent="0.3">
      <c r="A129" s="4"/>
      <c r="B129" s="39"/>
      <c r="C129" s="39"/>
      <c r="D129" s="39"/>
      <c r="E129" s="39"/>
      <c r="F129" s="39"/>
      <c r="G129" s="39"/>
      <c r="H129" s="39"/>
      <c r="I129" s="39"/>
      <c r="J129" s="39"/>
      <c r="M129" s="7"/>
    </row>
    <row r="130" spans="1:13" ht="15.75" thickBot="1" x14ac:dyDescent="0.3">
      <c r="A130" s="170" t="s">
        <v>30</v>
      </c>
      <c r="B130" s="171"/>
      <c r="C130" s="171"/>
      <c r="D130" s="171"/>
      <c r="E130" s="171"/>
      <c r="F130" s="171"/>
      <c r="G130" s="171"/>
      <c r="H130" s="171"/>
      <c r="I130" s="171"/>
      <c r="J130" s="172"/>
      <c r="M130" s="7"/>
    </row>
    <row r="131" spans="1:13" x14ac:dyDescent="0.25">
      <c r="A131" s="4" t="s">
        <v>16</v>
      </c>
      <c r="B131" s="5" t="s">
        <v>15</v>
      </c>
      <c r="C131" s="5" t="s">
        <v>14</v>
      </c>
      <c r="D131" s="5" t="s">
        <v>13</v>
      </c>
      <c r="E131" s="5" t="s">
        <v>12</v>
      </c>
      <c r="F131" s="5" t="s">
        <v>93</v>
      </c>
      <c r="G131" s="5" t="s">
        <v>94</v>
      </c>
      <c r="H131" s="5" t="s">
        <v>38</v>
      </c>
      <c r="I131" s="5" t="s">
        <v>9</v>
      </c>
      <c r="J131" s="5" t="s">
        <v>0</v>
      </c>
      <c r="M131" s="7"/>
    </row>
    <row r="132" spans="1:13" x14ac:dyDescent="0.25">
      <c r="A132" s="1" t="s">
        <v>49</v>
      </c>
      <c r="B132" s="39">
        <f>B70-B111</f>
        <v>0</v>
      </c>
      <c r="C132" s="39">
        <f t="shared" ref="C132:I132" si="66">C70-C111</f>
        <v>0</v>
      </c>
      <c r="D132" s="39">
        <f t="shared" si="66"/>
        <v>0</v>
      </c>
      <c r="E132" s="39">
        <f t="shared" si="66"/>
        <v>0</v>
      </c>
      <c r="F132" s="39">
        <f t="shared" si="66"/>
        <v>0</v>
      </c>
      <c r="G132" s="39">
        <f t="shared" si="66"/>
        <v>0</v>
      </c>
      <c r="H132" s="39">
        <f t="shared" si="66"/>
        <v>0</v>
      </c>
      <c r="I132" s="39">
        <f t="shared" si="66"/>
        <v>0</v>
      </c>
      <c r="J132" s="39">
        <f>SUM(B132:H132)</f>
        <v>0</v>
      </c>
      <c r="M132" s="7"/>
    </row>
    <row r="133" spans="1:13" x14ac:dyDescent="0.25">
      <c r="A133" s="1" t="s">
        <v>8</v>
      </c>
      <c r="B133" s="39">
        <f>B71-B112</f>
        <v>0</v>
      </c>
      <c r="C133" s="39">
        <f t="shared" ref="C133:I133" si="67">C71-C112</f>
        <v>0</v>
      </c>
      <c r="D133" s="39">
        <f t="shared" si="67"/>
        <v>0</v>
      </c>
      <c r="E133" s="39">
        <f t="shared" si="67"/>
        <v>0</v>
      </c>
      <c r="F133" s="39">
        <f t="shared" si="67"/>
        <v>0</v>
      </c>
      <c r="G133" s="39">
        <f t="shared" si="67"/>
        <v>0</v>
      </c>
      <c r="H133" s="39">
        <f t="shared" si="67"/>
        <v>0</v>
      </c>
      <c r="I133" s="39">
        <f t="shared" si="67"/>
        <v>0</v>
      </c>
      <c r="J133" s="39">
        <f t="shared" ref="J133:J148" si="68">SUM(B133:H133)</f>
        <v>0</v>
      </c>
      <c r="M133" s="7"/>
    </row>
    <row r="134" spans="1:13" x14ac:dyDescent="0.25">
      <c r="A134" s="1" t="s">
        <v>7</v>
      </c>
      <c r="B134" s="39">
        <f>B72-B113</f>
        <v>0</v>
      </c>
      <c r="C134" s="39">
        <f t="shared" ref="C134:I134" si="69">C72-C113</f>
        <v>0</v>
      </c>
      <c r="D134" s="39">
        <f t="shared" si="69"/>
        <v>0</v>
      </c>
      <c r="E134" s="39">
        <f t="shared" si="69"/>
        <v>0</v>
      </c>
      <c r="F134" s="39">
        <f t="shared" si="69"/>
        <v>0</v>
      </c>
      <c r="G134" s="39">
        <f t="shared" si="69"/>
        <v>0</v>
      </c>
      <c r="H134" s="39">
        <f t="shared" si="69"/>
        <v>0</v>
      </c>
      <c r="I134" s="39">
        <f t="shared" si="69"/>
        <v>0</v>
      </c>
      <c r="J134" s="39">
        <f t="shared" si="68"/>
        <v>0</v>
      </c>
      <c r="M134" s="7"/>
    </row>
    <row r="135" spans="1:13" x14ac:dyDescent="0.25">
      <c r="A135" s="1" t="s">
        <v>42</v>
      </c>
      <c r="B135" s="39">
        <f t="shared" ref="B135:B148" si="70">B73-B114</f>
        <v>0</v>
      </c>
      <c r="C135" s="39">
        <f t="shared" ref="C135:I135" si="71">C73-C114</f>
        <v>0</v>
      </c>
      <c r="D135" s="39">
        <f t="shared" si="71"/>
        <v>0</v>
      </c>
      <c r="E135" s="39">
        <f t="shared" si="71"/>
        <v>0</v>
      </c>
      <c r="F135" s="39">
        <f t="shared" si="71"/>
        <v>0</v>
      </c>
      <c r="G135" s="39">
        <f t="shared" si="71"/>
        <v>0</v>
      </c>
      <c r="H135" s="39">
        <f t="shared" si="71"/>
        <v>0</v>
      </c>
      <c r="I135" s="39">
        <f t="shared" si="71"/>
        <v>0</v>
      </c>
      <c r="J135" s="39">
        <f t="shared" si="68"/>
        <v>0</v>
      </c>
      <c r="M135" s="7"/>
    </row>
    <row r="136" spans="1:13" x14ac:dyDescent="0.25">
      <c r="A136" s="1" t="s">
        <v>6</v>
      </c>
      <c r="B136" s="39">
        <f t="shared" si="70"/>
        <v>0</v>
      </c>
      <c r="C136" s="39">
        <f t="shared" ref="C136:I136" si="72">C74-C115</f>
        <v>0</v>
      </c>
      <c r="D136" s="39">
        <f t="shared" si="72"/>
        <v>0</v>
      </c>
      <c r="E136" s="39">
        <f t="shared" si="72"/>
        <v>0</v>
      </c>
      <c r="F136" s="39">
        <f t="shared" si="72"/>
        <v>0</v>
      </c>
      <c r="G136" s="39">
        <f t="shared" si="72"/>
        <v>0</v>
      </c>
      <c r="H136" s="39">
        <f t="shared" si="72"/>
        <v>0</v>
      </c>
      <c r="I136" s="39">
        <f t="shared" si="72"/>
        <v>0</v>
      </c>
      <c r="J136" s="39">
        <f t="shared" si="68"/>
        <v>0</v>
      </c>
      <c r="M136" s="7"/>
    </row>
    <row r="137" spans="1:13" x14ac:dyDescent="0.25">
      <c r="A137" s="1" t="s">
        <v>50</v>
      </c>
      <c r="B137" s="39">
        <f t="shared" si="70"/>
        <v>0</v>
      </c>
      <c r="C137" s="39">
        <f t="shared" ref="C137:I137" si="73">C75-C116</f>
        <v>0</v>
      </c>
      <c r="D137" s="39">
        <f t="shared" si="73"/>
        <v>0</v>
      </c>
      <c r="E137" s="39">
        <f t="shared" si="73"/>
        <v>0</v>
      </c>
      <c r="F137" s="39">
        <f t="shared" si="73"/>
        <v>0</v>
      </c>
      <c r="G137" s="39">
        <f t="shared" si="73"/>
        <v>0</v>
      </c>
      <c r="H137" s="39">
        <f t="shared" si="73"/>
        <v>0</v>
      </c>
      <c r="I137" s="39">
        <f t="shared" si="73"/>
        <v>0</v>
      </c>
      <c r="J137" s="39">
        <f t="shared" si="68"/>
        <v>0</v>
      </c>
      <c r="M137" s="7"/>
    </row>
    <row r="138" spans="1:13" x14ac:dyDescent="0.25">
      <c r="A138" s="1" t="s">
        <v>89</v>
      </c>
      <c r="B138" s="39">
        <f t="shared" si="70"/>
        <v>0</v>
      </c>
      <c r="C138" s="39">
        <f t="shared" ref="C138:I138" si="74">C76-C117</f>
        <v>0</v>
      </c>
      <c r="D138" s="39">
        <f t="shared" si="74"/>
        <v>0</v>
      </c>
      <c r="E138" s="39">
        <f t="shared" si="74"/>
        <v>0</v>
      </c>
      <c r="F138" s="39">
        <f t="shared" si="74"/>
        <v>0</v>
      </c>
      <c r="G138" s="39">
        <f t="shared" si="74"/>
        <v>0</v>
      </c>
      <c r="H138" s="39">
        <f t="shared" si="74"/>
        <v>0</v>
      </c>
      <c r="I138" s="39">
        <f t="shared" si="74"/>
        <v>0</v>
      </c>
      <c r="J138" s="39">
        <f t="shared" si="68"/>
        <v>0</v>
      </c>
      <c r="M138" s="7"/>
    </row>
    <row r="139" spans="1:13" x14ac:dyDescent="0.25">
      <c r="A139" s="1" t="s">
        <v>5</v>
      </c>
      <c r="B139" s="39">
        <f t="shared" si="70"/>
        <v>0</v>
      </c>
      <c r="C139" s="39">
        <f t="shared" ref="C139:I139" si="75">C77-C118</f>
        <v>0</v>
      </c>
      <c r="D139" s="39">
        <f t="shared" si="75"/>
        <v>0</v>
      </c>
      <c r="E139" s="39">
        <f t="shared" si="75"/>
        <v>0</v>
      </c>
      <c r="F139" s="39">
        <f t="shared" si="75"/>
        <v>0</v>
      </c>
      <c r="G139" s="39">
        <f t="shared" si="75"/>
        <v>0</v>
      </c>
      <c r="H139" s="39">
        <f t="shared" si="75"/>
        <v>0</v>
      </c>
      <c r="I139" s="39">
        <f t="shared" si="75"/>
        <v>0</v>
      </c>
      <c r="J139" s="39">
        <f t="shared" si="68"/>
        <v>0</v>
      </c>
      <c r="M139" s="7"/>
    </row>
    <row r="140" spans="1:13" x14ac:dyDescent="0.25">
      <c r="A140" s="1" t="s">
        <v>84</v>
      </c>
      <c r="B140" s="39">
        <f t="shared" si="70"/>
        <v>0</v>
      </c>
      <c r="C140" s="39">
        <f t="shared" ref="C140:I140" si="76">C78-C119</f>
        <v>0</v>
      </c>
      <c r="D140" s="39">
        <f t="shared" si="76"/>
        <v>0</v>
      </c>
      <c r="E140" s="39">
        <f t="shared" si="76"/>
        <v>0</v>
      </c>
      <c r="F140" s="39">
        <f t="shared" si="76"/>
        <v>0</v>
      </c>
      <c r="G140" s="39">
        <f t="shared" si="76"/>
        <v>0</v>
      </c>
      <c r="H140" s="39">
        <f t="shared" si="76"/>
        <v>0</v>
      </c>
      <c r="I140" s="39">
        <f t="shared" si="76"/>
        <v>0</v>
      </c>
      <c r="J140" s="39">
        <f t="shared" si="68"/>
        <v>0</v>
      </c>
      <c r="M140" s="7"/>
    </row>
    <row r="141" spans="1:13" x14ac:dyDescent="0.25">
      <c r="A141" s="1" t="s">
        <v>4</v>
      </c>
      <c r="B141" s="39">
        <f t="shared" si="70"/>
        <v>0</v>
      </c>
      <c r="C141" s="39">
        <f t="shared" ref="C141:I141" si="77">C79-C120</f>
        <v>0</v>
      </c>
      <c r="D141" s="39">
        <f t="shared" si="77"/>
        <v>0</v>
      </c>
      <c r="E141" s="39">
        <f t="shared" si="77"/>
        <v>0</v>
      </c>
      <c r="F141" s="39">
        <f t="shared" si="77"/>
        <v>0</v>
      </c>
      <c r="G141" s="39">
        <f t="shared" si="77"/>
        <v>0</v>
      </c>
      <c r="H141" s="39">
        <f t="shared" si="77"/>
        <v>0</v>
      </c>
      <c r="I141" s="39">
        <f t="shared" si="77"/>
        <v>0</v>
      </c>
      <c r="J141" s="39">
        <f t="shared" si="68"/>
        <v>0</v>
      </c>
      <c r="M141" s="7"/>
    </row>
    <row r="142" spans="1:13" x14ac:dyDescent="0.25">
      <c r="A142" s="1" t="s">
        <v>51</v>
      </c>
      <c r="B142" s="39">
        <f t="shared" si="70"/>
        <v>0</v>
      </c>
      <c r="C142" s="39">
        <f t="shared" ref="C142:I142" si="78">C80-C121</f>
        <v>0</v>
      </c>
      <c r="D142" s="39">
        <f t="shared" si="78"/>
        <v>0</v>
      </c>
      <c r="E142" s="39">
        <f t="shared" si="78"/>
        <v>0</v>
      </c>
      <c r="F142" s="39">
        <f t="shared" si="78"/>
        <v>0</v>
      </c>
      <c r="G142" s="39">
        <f t="shared" si="78"/>
        <v>0</v>
      </c>
      <c r="H142" s="39">
        <f t="shared" si="78"/>
        <v>0</v>
      </c>
      <c r="I142" s="39">
        <f t="shared" si="78"/>
        <v>0</v>
      </c>
      <c r="J142" s="39">
        <f t="shared" si="68"/>
        <v>0</v>
      </c>
      <c r="M142" s="7"/>
    </row>
    <row r="143" spans="1:13" x14ac:dyDescent="0.25">
      <c r="A143" s="1" t="s">
        <v>85</v>
      </c>
      <c r="B143" s="39">
        <f t="shared" si="70"/>
        <v>0</v>
      </c>
      <c r="C143" s="39">
        <f t="shared" ref="C143:I143" si="79">C81-C122</f>
        <v>0</v>
      </c>
      <c r="D143" s="39">
        <f t="shared" si="79"/>
        <v>0</v>
      </c>
      <c r="E143" s="39">
        <f t="shared" si="79"/>
        <v>0</v>
      </c>
      <c r="F143" s="39">
        <f t="shared" si="79"/>
        <v>0</v>
      </c>
      <c r="G143" s="39">
        <f t="shared" si="79"/>
        <v>0</v>
      </c>
      <c r="H143" s="39">
        <f t="shared" si="79"/>
        <v>0</v>
      </c>
      <c r="I143" s="39">
        <f t="shared" si="79"/>
        <v>0</v>
      </c>
      <c r="J143" s="39">
        <f t="shared" si="68"/>
        <v>0</v>
      </c>
      <c r="M143" s="7"/>
    </row>
    <row r="144" spans="1:13" x14ac:dyDescent="0.25">
      <c r="A144" s="1" t="s">
        <v>2</v>
      </c>
      <c r="B144" s="39">
        <f t="shared" si="70"/>
        <v>0</v>
      </c>
      <c r="C144" s="39">
        <f t="shared" ref="C144:I144" si="80">C82-C123</f>
        <v>0</v>
      </c>
      <c r="D144" s="39">
        <f t="shared" si="80"/>
        <v>0</v>
      </c>
      <c r="E144" s="39">
        <f t="shared" si="80"/>
        <v>0</v>
      </c>
      <c r="F144" s="39">
        <f t="shared" si="80"/>
        <v>0</v>
      </c>
      <c r="G144" s="39">
        <f t="shared" si="80"/>
        <v>0</v>
      </c>
      <c r="H144" s="39">
        <f t="shared" si="80"/>
        <v>0</v>
      </c>
      <c r="I144" s="39">
        <f t="shared" si="80"/>
        <v>0</v>
      </c>
      <c r="J144" s="39">
        <f t="shared" si="68"/>
        <v>0</v>
      </c>
      <c r="M144" s="7"/>
    </row>
    <row r="145" spans="1:13" x14ac:dyDescent="0.25">
      <c r="A145" s="1" t="s">
        <v>86</v>
      </c>
      <c r="B145" s="39">
        <f t="shared" si="70"/>
        <v>0</v>
      </c>
      <c r="C145" s="39">
        <f t="shared" ref="C145:I145" si="81">C83-C124</f>
        <v>0</v>
      </c>
      <c r="D145" s="39">
        <f t="shared" si="81"/>
        <v>0</v>
      </c>
      <c r="E145" s="39">
        <f t="shared" si="81"/>
        <v>0</v>
      </c>
      <c r="F145" s="39">
        <f t="shared" si="81"/>
        <v>0</v>
      </c>
      <c r="G145" s="39">
        <f t="shared" si="81"/>
        <v>0</v>
      </c>
      <c r="H145" s="39">
        <f t="shared" si="81"/>
        <v>0</v>
      </c>
      <c r="I145" s="39">
        <f t="shared" si="81"/>
        <v>0</v>
      </c>
      <c r="J145" s="39">
        <f t="shared" si="68"/>
        <v>0</v>
      </c>
      <c r="M145" s="7"/>
    </row>
    <row r="146" spans="1:13" x14ac:dyDescent="0.25">
      <c r="A146" s="1" t="s">
        <v>29</v>
      </c>
      <c r="B146" s="39">
        <f t="shared" si="70"/>
        <v>0</v>
      </c>
      <c r="C146" s="39">
        <f t="shared" ref="C146:I146" si="82">C84-C125</f>
        <v>0</v>
      </c>
      <c r="D146" s="39">
        <f t="shared" si="82"/>
        <v>0</v>
      </c>
      <c r="E146" s="39">
        <f t="shared" si="82"/>
        <v>0</v>
      </c>
      <c r="F146" s="39">
        <f t="shared" si="82"/>
        <v>0</v>
      </c>
      <c r="G146" s="39">
        <f t="shared" si="82"/>
        <v>0</v>
      </c>
      <c r="H146" s="39">
        <f t="shared" si="82"/>
        <v>0</v>
      </c>
      <c r="I146" s="39">
        <f t="shared" si="82"/>
        <v>0</v>
      </c>
      <c r="J146" s="39">
        <f t="shared" si="68"/>
        <v>0</v>
      </c>
      <c r="M146" s="7"/>
    </row>
    <row r="147" spans="1:13" x14ac:dyDescent="0.25">
      <c r="A147" s="1" t="s">
        <v>52</v>
      </c>
      <c r="B147" s="39">
        <f t="shared" si="70"/>
        <v>0</v>
      </c>
      <c r="C147" s="39">
        <f t="shared" ref="C147:I147" si="83">C85-C126</f>
        <v>0</v>
      </c>
      <c r="D147" s="39">
        <f t="shared" si="83"/>
        <v>0</v>
      </c>
      <c r="E147" s="39">
        <f t="shared" si="83"/>
        <v>0</v>
      </c>
      <c r="F147" s="39">
        <f t="shared" si="83"/>
        <v>0</v>
      </c>
      <c r="G147" s="39">
        <f t="shared" si="83"/>
        <v>0</v>
      </c>
      <c r="H147" s="39">
        <f t="shared" si="83"/>
        <v>0</v>
      </c>
      <c r="I147" s="39">
        <f t="shared" si="83"/>
        <v>0</v>
      </c>
      <c r="J147" s="39">
        <f t="shared" si="68"/>
        <v>0</v>
      </c>
      <c r="M147" s="7"/>
    </row>
    <row r="148" spans="1:13" x14ac:dyDescent="0.25">
      <c r="A148" s="1" t="s">
        <v>1</v>
      </c>
      <c r="B148" s="40">
        <f t="shared" si="70"/>
        <v>0</v>
      </c>
      <c r="C148" s="40">
        <f t="shared" ref="C148:I148" si="84">C86-C127</f>
        <v>0</v>
      </c>
      <c r="D148" s="40">
        <f t="shared" si="84"/>
        <v>0</v>
      </c>
      <c r="E148" s="40">
        <f t="shared" si="84"/>
        <v>0</v>
      </c>
      <c r="F148" s="40">
        <f t="shared" si="84"/>
        <v>0</v>
      </c>
      <c r="G148" s="40">
        <f t="shared" si="84"/>
        <v>0</v>
      </c>
      <c r="H148" s="40">
        <f t="shared" si="84"/>
        <v>0</v>
      </c>
      <c r="I148" s="40">
        <f t="shared" si="84"/>
        <v>0</v>
      </c>
      <c r="J148" s="40">
        <f t="shared" si="68"/>
        <v>0</v>
      </c>
      <c r="M148" s="7"/>
    </row>
    <row r="149" spans="1:13" x14ac:dyDescent="0.25">
      <c r="A149" s="4"/>
      <c r="B149" s="39">
        <f>SUM(B132:B148)</f>
        <v>0</v>
      </c>
      <c r="C149" s="39">
        <f t="shared" ref="C149:J149" si="85">SUM(C132:C148)</f>
        <v>0</v>
      </c>
      <c r="D149" s="39">
        <f t="shared" si="85"/>
        <v>0</v>
      </c>
      <c r="E149" s="39">
        <f t="shared" si="85"/>
        <v>0</v>
      </c>
      <c r="F149" s="39">
        <f t="shared" si="85"/>
        <v>0</v>
      </c>
      <c r="G149" s="39">
        <f t="shared" si="85"/>
        <v>0</v>
      </c>
      <c r="H149" s="39">
        <f t="shared" si="85"/>
        <v>0</v>
      </c>
      <c r="I149" s="39">
        <f t="shared" si="85"/>
        <v>0</v>
      </c>
      <c r="J149" s="39">
        <f t="shared" si="85"/>
        <v>0</v>
      </c>
      <c r="M149" s="7"/>
    </row>
    <row r="150" spans="1:13" x14ac:dyDescent="0.25">
      <c r="A150" s="4"/>
      <c r="B150" s="39"/>
      <c r="C150" s="39"/>
      <c r="D150" s="39"/>
      <c r="E150" s="39"/>
      <c r="F150" s="39"/>
      <c r="G150" s="39"/>
      <c r="H150" s="39"/>
      <c r="I150" s="39"/>
      <c r="J150" s="39"/>
      <c r="M150" s="7"/>
    </row>
    <row r="151" spans="1:13" x14ac:dyDescent="0.25">
      <c r="A151" s="4"/>
      <c r="B151" s="39"/>
      <c r="C151" s="39"/>
      <c r="D151" s="39"/>
      <c r="E151" s="39"/>
      <c r="F151" s="39"/>
      <c r="G151" s="39"/>
      <c r="H151" s="39"/>
      <c r="I151" s="39"/>
      <c r="J151" s="39"/>
      <c r="M151" s="7"/>
    </row>
    <row r="152" spans="1:13" x14ac:dyDescent="0.25">
      <c r="A152" s="4"/>
      <c r="B152" s="39"/>
      <c r="C152" s="39"/>
      <c r="D152" s="39"/>
      <c r="E152" s="39"/>
      <c r="F152" s="39"/>
      <c r="G152" s="39"/>
      <c r="H152" s="39"/>
      <c r="I152" s="39"/>
      <c r="J152" s="39"/>
      <c r="M152" s="7"/>
    </row>
    <row r="153" spans="1:13" x14ac:dyDescent="0.25">
      <c r="A153" s="4"/>
      <c r="B153" s="39"/>
      <c r="C153" s="39"/>
      <c r="D153" s="39"/>
      <c r="E153" s="39"/>
      <c r="F153" s="39"/>
      <c r="G153" s="39"/>
      <c r="H153" s="39"/>
      <c r="I153" s="39"/>
      <c r="J153" s="39"/>
      <c r="M153" s="7"/>
    </row>
    <row r="154" spans="1:13" x14ac:dyDescent="0.25">
      <c r="A154" s="4"/>
      <c r="B154" s="39"/>
      <c r="C154" s="39"/>
      <c r="D154" s="39"/>
      <c r="E154" s="39"/>
      <c r="F154" s="39"/>
      <c r="G154" s="39"/>
      <c r="H154" s="39"/>
      <c r="I154" s="39"/>
      <c r="J154" s="39"/>
      <c r="M154" s="7"/>
    </row>
    <row r="155" spans="1:13" x14ac:dyDescent="0.25">
      <c r="A155" s="4"/>
      <c r="B155" s="39"/>
      <c r="C155" s="39"/>
      <c r="D155" s="39"/>
      <c r="E155" s="39"/>
      <c r="F155" s="39"/>
      <c r="G155" s="39"/>
      <c r="H155" s="39"/>
      <c r="I155" s="39"/>
      <c r="J155" s="39"/>
      <c r="M155" s="7"/>
    </row>
    <row r="156" spans="1:13" x14ac:dyDescent="0.25">
      <c r="A156" s="4"/>
      <c r="B156" s="39"/>
      <c r="C156" s="39"/>
      <c r="D156" s="39"/>
      <c r="E156" s="39"/>
      <c r="F156" s="39"/>
      <c r="G156" s="39"/>
      <c r="H156" s="39"/>
      <c r="I156" s="39"/>
      <c r="J156" s="39"/>
      <c r="M156" s="7"/>
    </row>
    <row r="157" spans="1:13" x14ac:dyDescent="0.25">
      <c r="A157" s="1"/>
      <c r="B157" s="9"/>
      <c r="C157" s="9"/>
      <c r="D157" s="9"/>
      <c r="E157" s="9"/>
      <c r="F157" s="9"/>
      <c r="G157" s="9"/>
      <c r="H157" s="9"/>
      <c r="I157" s="9"/>
      <c r="J157" s="9"/>
      <c r="M157" s="7"/>
    </row>
    <row r="158" spans="1:13" x14ac:dyDescent="0.25">
      <c r="A158" s="1"/>
      <c r="B158" s="9"/>
      <c r="C158" s="9"/>
      <c r="D158" s="9"/>
      <c r="E158" s="9"/>
      <c r="F158" s="9"/>
      <c r="G158" s="9"/>
      <c r="H158" s="9"/>
      <c r="I158" s="9"/>
      <c r="J158" s="9"/>
      <c r="M158" s="7"/>
    </row>
  </sheetData>
  <mergeCells count="16">
    <mergeCell ref="A1:M1"/>
    <mergeCell ref="A2:M2"/>
    <mergeCell ref="A3:M3"/>
    <mergeCell ref="A4:M4"/>
    <mergeCell ref="A6:J6"/>
    <mergeCell ref="L6:M6"/>
    <mergeCell ref="A109:J109"/>
    <mergeCell ref="M124:M125"/>
    <mergeCell ref="M126:M127"/>
    <mergeCell ref="A130:J130"/>
    <mergeCell ref="A27:J27"/>
    <mergeCell ref="A47:J47"/>
    <mergeCell ref="M62:M63"/>
    <mergeCell ref="M64:M65"/>
    <mergeCell ref="A68:J68"/>
    <mergeCell ref="A89:J89"/>
  </mergeCells>
  <pageMargins left="0.7" right="0.7" top="0.75" bottom="0.75" header="0.3" footer="0.3"/>
  <pageSetup scale="31"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fitToPage="1"/>
  </sheetPr>
  <dimension ref="A1:Q158"/>
  <sheetViews>
    <sheetView zoomScale="85" zoomScaleNormal="85" workbookViewId="0">
      <selection activeCell="B7" sqref="B7:I7"/>
    </sheetView>
  </sheetViews>
  <sheetFormatPr defaultColWidth="9.140625" defaultRowHeight="15" x14ac:dyDescent="0.25"/>
  <cols>
    <col min="1" max="1" width="38.85546875" bestFit="1" customWidth="1"/>
    <col min="2" max="10" width="12.7109375" customWidth="1"/>
    <col min="11" max="11" width="2.5703125" customWidth="1"/>
    <col min="12" max="12" width="12.7109375" customWidth="1"/>
    <col min="13" max="13" width="30.7109375" customWidth="1"/>
    <col min="14" max="14" width="18.5703125" customWidth="1"/>
  </cols>
  <sheetData>
    <row r="1" spans="1:15" ht="18.75" x14ac:dyDescent="0.3">
      <c r="A1" s="173" t="s">
        <v>17</v>
      </c>
      <c r="B1" s="173"/>
      <c r="C1" s="173"/>
      <c r="D1" s="173"/>
      <c r="E1" s="173"/>
      <c r="F1" s="173"/>
      <c r="G1" s="173"/>
      <c r="H1" s="173"/>
      <c r="I1" s="173"/>
      <c r="J1" s="173"/>
      <c r="K1" s="173"/>
      <c r="L1" s="173"/>
      <c r="M1" s="173"/>
      <c r="O1" s="31"/>
    </row>
    <row r="2" spans="1:15" ht="15.75" x14ac:dyDescent="0.25">
      <c r="A2" s="174" t="s">
        <v>269</v>
      </c>
      <c r="B2" s="174"/>
      <c r="C2" s="174"/>
      <c r="D2" s="174"/>
      <c r="E2" s="174"/>
      <c r="F2" s="174"/>
      <c r="G2" s="174"/>
      <c r="H2" s="174"/>
      <c r="I2" s="174"/>
      <c r="J2" s="174"/>
      <c r="K2" s="174"/>
      <c r="L2" s="174"/>
      <c r="M2" s="174"/>
      <c r="O2" s="31"/>
    </row>
    <row r="3" spans="1:15" x14ac:dyDescent="0.25">
      <c r="A3" s="175" t="s">
        <v>31</v>
      </c>
      <c r="B3" s="175"/>
      <c r="C3" s="175"/>
      <c r="D3" s="175"/>
      <c r="E3" s="175"/>
      <c r="F3" s="175"/>
      <c r="G3" s="175"/>
      <c r="H3" s="175"/>
      <c r="I3" s="175"/>
      <c r="J3" s="175"/>
      <c r="K3" s="175"/>
      <c r="L3" s="175"/>
      <c r="M3" s="175"/>
    </row>
    <row r="4" spans="1:15" x14ac:dyDescent="0.25">
      <c r="A4" s="187">
        <f>'Company Summary'!A4:J4</f>
        <v>45199</v>
      </c>
      <c r="B4" s="187"/>
      <c r="C4" s="187"/>
      <c r="D4" s="187"/>
      <c r="E4" s="187"/>
      <c r="F4" s="187"/>
      <c r="G4" s="187"/>
      <c r="H4" s="187"/>
      <c r="I4" s="187"/>
      <c r="J4" s="187"/>
      <c r="K4" s="187"/>
      <c r="L4" s="187"/>
      <c r="M4" s="187"/>
    </row>
    <row r="5" spans="1:15" ht="15.75" thickBot="1" x14ac:dyDescent="0.3">
      <c r="A5" s="81"/>
      <c r="B5" s="81"/>
      <c r="C5" s="81"/>
      <c r="D5" s="81"/>
      <c r="E5" s="81"/>
      <c r="F5" s="81"/>
      <c r="G5" s="81"/>
      <c r="H5" s="81"/>
      <c r="I5" s="81"/>
      <c r="J5" s="81"/>
      <c r="K5" s="81"/>
      <c r="L5" s="81"/>
      <c r="M5" s="81"/>
    </row>
    <row r="6" spans="1:15" ht="15.75" thickBot="1" x14ac:dyDescent="0.3">
      <c r="A6" s="170" t="s">
        <v>54</v>
      </c>
      <c r="B6" s="171"/>
      <c r="C6" s="171"/>
      <c r="D6" s="171"/>
      <c r="E6" s="171"/>
      <c r="F6" s="171"/>
      <c r="G6" s="171"/>
      <c r="H6" s="171"/>
      <c r="I6" s="171"/>
      <c r="J6" s="172"/>
      <c r="L6" s="186"/>
      <c r="M6" s="186"/>
    </row>
    <row r="7" spans="1:15" x14ac:dyDescent="0.25">
      <c r="A7" s="4" t="s">
        <v>16</v>
      </c>
      <c r="B7" s="5" t="s">
        <v>15</v>
      </c>
      <c r="C7" s="5" t="s">
        <v>14</v>
      </c>
      <c r="D7" s="5" t="s">
        <v>13</v>
      </c>
      <c r="E7" s="5" t="s">
        <v>12</v>
      </c>
      <c r="F7" s="5" t="s">
        <v>93</v>
      </c>
      <c r="G7" s="5" t="s">
        <v>94</v>
      </c>
      <c r="H7" s="5" t="s">
        <v>38</v>
      </c>
      <c r="I7" s="5" t="s">
        <v>9</v>
      </c>
      <c r="J7" s="5" t="s">
        <v>0</v>
      </c>
      <c r="L7" s="4"/>
      <c r="M7" s="4"/>
    </row>
    <row r="8" spans="1:15" x14ac:dyDescent="0.25">
      <c r="A8" s="1" t="s">
        <v>49</v>
      </c>
      <c r="B8" s="33">
        <f>'Agile AR Aging &lt;-INPUT'!C127</f>
        <v>0</v>
      </c>
      <c r="C8" s="33">
        <f>'Agile AR Aging &lt;-INPUT'!D127</f>
        <v>0</v>
      </c>
      <c r="D8" s="33">
        <f>'Agile AR Aging &lt;-INPUT'!E127</f>
        <v>0</v>
      </c>
      <c r="E8" s="33">
        <f>'Agile AR Aging &lt;-INPUT'!F127</f>
        <v>0</v>
      </c>
      <c r="F8" s="33">
        <f>'Agile AR Aging &lt;-INPUT'!G127</f>
        <v>0</v>
      </c>
      <c r="G8" s="33">
        <f>'Agile AR Aging &lt;-INPUT'!H127</f>
        <v>0</v>
      </c>
      <c r="H8" s="33">
        <f>'Agile AR Aging &lt;-INPUT'!I127</f>
        <v>0</v>
      </c>
      <c r="I8" s="33">
        <f>'Agile AR Aging &lt;-INPUT'!J127</f>
        <v>0</v>
      </c>
      <c r="J8" s="2">
        <f t="shared" ref="J8:J24" si="0">SUM(B8:H8)</f>
        <v>0</v>
      </c>
      <c r="L8" s="67"/>
    </row>
    <row r="9" spans="1:15" x14ac:dyDescent="0.25">
      <c r="A9" s="1" t="s">
        <v>8</v>
      </c>
      <c r="B9" s="33">
        <f>'Agile AR Aging &lt;-INPUT'!C128</f>
        <v>0</v>
      </c>
      <c r="C9" s="33">
        <f>'Agile AR Aging &lt;-INPUT'!D128</f>
        <v>0</v>
      </c>
      <c r="D9" s="33">
        <f>'Agile AR Aging &lt;-INPUT'!E128</f>
        <v>0</v>
      </c>
      <c r="E9" s="33">
        <f>'Agile AR Aging &lt;-INPUT'!F128</f>
        <v>0</v>
      </c>
      <c r="F9" s="33">
        <f>'Agile AR Aging &lt;-INPUT'!G128</f>
        <v>0</v>
      </c>
      <c r="G9" s="33">
        <f>'Agile AR Aging &lt;-INPUT'!H128</f>
        <v>0</v>
      </c>
      <c r="H9" s="33">
        <f>'Agile AR Aging &lt;-INPUT'!I128</f>
        <v>0</v>
      </c>
      <c r="I9" s="33">
        <f>'Agile AR Aging &lt;-INPUT'!J128</f>
        <v>0</v>
      </c>
      <c r="J9" s="2">
        <f t="shared" si="0"/>
        <v>0</v>
      </c>
      <c r="L9" s="67"/>
      <c r="N9" s="68"/>
    </row>
    <row r="10" spans="1:15" x14ac:dyDescent="0.25">
      <c r="A10" s="1" t="s">
        <v>7</v>
      </c>
      <c r="B10" s="33">
        <f>'Agile AR Aging &lt;-INPUT'!C129</f>
        <v>0</v>
      </c>
      <c r="C10" s="33">
        <f>'Agile AR Aging &lt;-INPUT'!D129</f>
        <v>0</v>
      </c>
      <c r="D10" s="33">
        <f>'Agile AR Aging &lt;-INPUT'!E129</f>
        <v>0</v>
      </c>
      <c r="E10" s="33">
        <f>'Agile AR Aging &lt;-INPUT'!F129</f>
        <v>0</v>
      </c>
      <c r="F10" s="33">
        <f>'Agile AR Aging &lt;-INPUT'!G129</f>
        <v>0</v>
      </c>
      <c r="G10" s="33">
        <f>'Agile AR Aging &lt;-INPUT'!H129</f>
        <v>0</v>
      </c>
      <c r="H10" s="33">
        <f>'Agile AR Aging &lt;-INPUT'!I129</f>
        <v>0</v>
      </c>
      <c r="I10" s="33">
        <f>'Agile AR Aging &lt;-INPUT'!J129</f>
        <v>0</v>
      </c>
      <c r="J10" s="2">
        <f t="shared" si="0"/>
        <v>0</v>
      </c>
      <c r="L10" s="67"/>
      <c r="N10" s="68"/>
    </row>
    <row r="11" spans="1:15" x14ac:dyDescent="0.25">
      <c r="A11" s="1" t="s">
        <v>42</v>
      </c>
      <c r="B11" s="33">
        <f>'Agile AR Aging &lt;-INPUT'!C130</f>
        <v>0</v>
      </c>
      <c r="C11" s="33">
        <f>'Agile AR Aging &lt;-INPUT'!D130</f>
        <v>0</v>
      </c>
      <c r="D11" s="33">
        <f>'Agile AR Aging &lt;-INPUT'!E130</f>
        <v>0</v>
      </c>
      <c r="E11" s="33">
        <f>'Agile AR Aging &lt;-INPUT'!F130</f>
        <v>0</v>
      </c>
      <c r="F11" s="33">
        <f>'Agile AR Aging &lt;-INPUT'!G130</f>
        <v>0</v>
      </c>
      <c r="G11" s="33">
        <f>'Agile AR Aging &lt;-INPUT'!H130</f>
        <v>0</v>
      </c>
      <c r="H11" s="33">
        <f>'Agile AR Aging &lt;-INPUT'!I130</f>
        <v>0</v>
      </c>
      <c r="I11" s="33">
        <f>'Agile AR Aging &lt;-INPUT'!J130</f>
        <v>0</v>
      </c>
      <c r="J11" s="2">
        <f t="shared" si="0"/>
        <v>0</v>
      </c>
      <c r="L11" s="67"/>
      <c r="N11" s="68"/>
    </row>
    <row r="12" spans="1:15" x14ac:dyDescent="0.25">
      <c r="A12" s="1" t="s">
        <v>6</v>
      </c>
      <c r="B12" s="33">
        <f>'Agile AR Aging &lt;-INPUT'!C131+'Agile AR Aging &lt;-INPUT'!C132+'Agile AR Aging &lt;-INPUT'!C139+'Agile AR Aging &lt;-INPUT'!C145</f>
        <v>0</v>
      </c>
      <c r="C12" s="33">
        <f>'Agile AR Aging &lt;-INPUT'!D131+'Agile AR Aging &lt;-INPUT'!D132+'Agile AR Aging &lt;-INPUT'!D139+'Agile AR Aging &lt;-INPUT'!D145</f>
        <v>0</v>
      </c>
      <c r="D12" s="33">
        <f>'Agile AR Aging &lt;-INPUT'!E131+'Agile AR Aging &lt;-INPUT'!E132+'Agile AR Aging &lt;-INPUT'!E139+'Agile AR Aging &lt;-INPUT'!E145</f>
        <v>0</v>
      </c>
      <c r="E12" s="33">
        <f>'Agile AR Aging &lt;-INPUT'!F131+'Agile AR Aging &lt;-INPUT'!F132+'Agile AR Aging &lt;-INPUT'!F139+'Agile AR Aging &lt;-INPUT'!F145</f>
        <v>0</v>
      </c>
      <c r="F12" s="33">
        <f>'Agile AR Aging &lt;-INPUT'!G131+'Agile AR Aging &lt;-INPUT'!G132+'Agile AR Aging &lt;-INPUT'!G139+'Agile AR Aging &lt;-INPUT'!G145</f>
        <v>0</v>
      </c>
      <c r="G12" s="33">
        <f>'Agile AR Aging &lt;-INPUT'!H131+'Agile AR Aging &lt;-INPUT'!H132+'Agile AR Aging &lt;-INPUT'!H139+'Agile AR Aging &lt;-INPUT'!H145</f>
        <v>0</v>
      </c>
      <c r="H12" s="33">
        <f>'Agile AR Aging &lt;-INPUT'!I131+'Agile AR Aging &lt;-INPUT'!I132+'Agile AR Aging &lt;-INPUT'!I139+'Agile AR Aging &lt;-INPUT'!I145</f>
        <v>0</v>
      </c>
      <c r="I12" s="33">
        <f>'Agile AR Aging &lt;-INPUT'!J131+'Agile AR Aging &lt;-INPUT'!J132+'Agile AR Aging &lt;-INPUT'!J139+'Agile AR Aging &lt;-INPUT'!J145</f>
        <v>0</v>
      </c>
      <c r="J12" s="2">
        <f t="shared" si="0"/>
        <v>0</v>
      </c>
      <c r="L12" s="73"/>
      <c r="N12" s="68"/>
    </row>
    <row r="13" spans="1:15" x14ac:dyDescent="0.25">
      <c r="A13" s="1" t="s">
        <v>50</v>
      </c>
      <c r="B13" s="33">
        <f>'Agile AR Aging &lt;-INPUT'!C133</f>
        <v>0</v>
      </c>
      <c r="C13" s="33">
        <f>'Agile AR Aging &lt;-INPUT'!D133</f>
        <v>0</v>
      </c>
      <c r="D13" s="33">
        <f>'Agile AR Aging &lt;-INPUT'!E133</f>
        <v>0</v>
      </c>
      <c r="E13" s="33">
        <f>'Agile AR Aging &lt;-INPUT'!F133</f>
        <v>0</v>
      </c>
      <c r="F13" s="33">
        <f>'Agile AR Aging &lt;-INPUT'!G133</f>
        <v>0</v>
      </c>
      <c r="G13" s="33">
        <f>'Agile AR Aging &lt;-INPUT'!H133</f>
        <v>0</v>
      </c>
      <c r="H13" s="33">
        <f>'Agile AR Aging &lt;-INPUT'!I133</f>
        <v>0</v>
      </c>
      <c r="I13" s="33">
        <f>'Agile AR Aging &lt;-INPUT'!J133</f>
        <v>0</v>
      </c>
      <c r="J13" s="2">
        <f t="shared" si="0"/>
        <v>0</v>
      </c>
      <c r="L13" s="73"/>
      <c r="N13" s="68"/>
    </row>
    <row r="14" spans="1:15" x14ac:dyDescent="0.25">
      <c r="A14" s="1" t="s">
        <v>89</v>
      </c>
      <c r="B14" s="33">
        <f>'Agile AR Aging &lt;-INPUT'!C134</f>
        <v>0</v>
      </c>
      <c r="C14" s="33">
        <f>'Agile AR Aging &lt;-INPUT'!D134</f>
        <v>0</v>
      </c>
      <c r="D14" s="33">
        <f>'Agile AR Aging &lt;-INPUT'!E134</f>
        <v>0</v>
      </c>
      <c r="E14" s="33">
        <f>'Agile AR Aging &lt;-INPUT'!F134</f>
        <v>0</v>
      </c>
      <c r="F14" s="33">
        <f>'Agile AR Aging &lt;-INPUT'!G134</f>
        <v>0</v>
      </c>
      <c r="G14" s="33">
        <f>'Agile AR Aging &lt;-INPUT'!H134</f>
        <v>0</v>
      </c>
      <c r="H14" s="33">
        <f>'Agile AR Aging &lt;-INPUT'!I134</f>
        <v>0</v>
      </c>
      <c r="I14" s="33">
        <f>'Agile AR Aging &lt;-INPUT'!J134</f>
        <v>0</v>
      </c>
      <c r="J14" s="2">
        <f t="shared" si="0"/>
        <v>0</v>
      </c>
      <c r="L14" s="73"/>
      <c r="N14" s="68"/>
    </row>
    <row r="15" spans="1:15" x14ac:dyDescent="0.25">
      <c r="A15" s="1" t="s">
        <v>5</v>
      </c>
      <c r="B15" s="33">
        <f>'Agile AR Aging &lt;-INPUT'!C135</f>
        <v>0</v>
      </c>
      <c r="C15" s="33">
        <f>'Agile AR Aging &lt;-INPUT'!D135</f>
        <v>0</v>
      </c>
      <c r="D15" s="33">
        <f>'Agile AR Aging &lt;-INPUT'!E135</f>
        <v>0</v>
      </c>
      <c r="E15" s="33">
        <f>'Agile AR Aging &lt;-INPUT'!F135</f>
        <v>0</v>
      </c>
      <c r="F15" s="33">
        <f>'Agile AR Aging &lt;-INPUT'!G135</f>
        <v>0</v>
      </c>
      <c r="G15" s="33">
        <f>'Agile AR Aging &lt;-INPUT'!H135</f>
        <v>0</v>
      </c>
      <c r="H15" s="33">
        <f>'Agile AR Aging &lt;-INPUT'!I135</f>
        <v>0</v>
      </c>
      <c r="I15" s="33">
        <f>'Agile AR Aging &lt;-INPUT'!J135</f>
        <v>0</v>
      </c>
      <c r="J15" s="2">
        <f t="shared" si="0"/>
        <v>0</v>
      </c>
      <c r="L15" s="73"/>
      <c r="N15" s="68"/>
    </row>
    <row r="16" spans="1:15" x14ac:dyDescent="0.25">
      <c r="A16" s="1" t="s">
        <v>84</v>
      </c>
      <c r="B16" s="33">
        <f>'Agile AR Aging &lt;-INPUT'!C136</f>
        <v>0</v>
      </c>
      <c r="C16" s="33">
        <f>'Agile AR Aging &lt;-INPUT'!D136</f>
        <v>0</v>
      </c>
      <c r="D16" s="33">
        <f>'Agile AR Aging &lt;-INPUT'!E136</f>
        <v>0</v>
      </c>
      <c r="E16" s="33">
        <f>'Agile AR Aging &lt;-INPUT'!F136</f>
        <v>0</v>
      </c>
      <c r="F16" s="33">
        <f>'Agile AR Aging &lt;-INPUT'!G136</f>
        <v>0</v>
      </c>
      <c r="G16" s="33">
        <f>'Agile AR Aging &lt;-INPUT'!H136</f>
        <v>0</v>
      </c>
      <c r="H16" s="33">
        <f>'Agile AR Aging &lt;-INPUT'!I136</f>
        <v>0</v>
      </c>
      <c r="I16" s="33">
        <f>'Agile AR Aging &lt;-INPUT'!J136</f>
        <v>0</v>
      </c>
      <c r="J16" s="2">
        <f t="shared" si="0"/>
        <v>0</v>
      </c>
      <c r="L16" s="73"/>
      <c r="N16" s="68"/>
    </row>
    <row r="17" spans="1:17" x14ac:dyDescent="0.25">
      <c r="A17" s="1" t="s">
        <v>4</v>
      </c>
      <c r="B17" s="33">
        <f>'Agile AR Aging &lt;-INPUT'!C137</f>
        <v>0</v>
      </c>
      <c r="C17" s="33">
        <f>'Agile AR Aging &lt;-INPUT'!D137</f>
        <v>0</v>
      </c>
      <c r="D17" s="33">
        <f>'Agile AR Aging &lt;-INPUT'!E137</f>
        <v>0</v>
      </c>
      <c r="E17" s="33">
        <f>'Agile AR Aging &lt;-INPUT'!F137</f>
        <v>0</v>
      </c>
      <c r="F17" s="33">
        <f>'Agile AR Aging &lt;-INPUT'!G137</f>
        <v>0</v>
      </c>
      <c r="G17" s="33">
        <f>'Agile AR Aging &lt;-INPUT'!H137</f>
        <v>0</v>
      </c>
      <c r="H17" s="33">
        <f>'Agile AR Aging &lt;-INPUT'!I137</f>
        <v>0</v>
      </c>
      <c r="I17" s="33">
        <f>'Agile AR Aging &lt;-INPUT'!J137</f>
        <v>0</v>
      </c>
      <c r="J17" s="2">
        <f t="shared" si="0"/>
        <v>0</v>
      </c>
      <c r="L17" s="73"/>
      <c r="N17" s="68"/>
    </row>
    <row r="18" spans="1:17" x14ac:dyDescent="0.25">
      <c r="A18" s="1" t="s">
        <v>51</v>
      </c>
      <c r="B18" s="33">
        <f>'Agile AR Aging &lt;-INPUT'!C138</f>
        <v>0</v>
      </c>
      <c r="C18" s="33">
        <f>'Agile AR Aging &lt;-INPUT'!D138</f>
        <v>0</v>
      </c>
      <c r="D18" s="33">
        <f>'Agile AR Aging &lt;-INPUT'!E138</f>
        <v>0</v>
      </c>
      <c r="E18" s="33">
        <f>'Agile AR Aging &lt;-INPUT'!F138</f>
        <v>0</v>
      </c>
      <c r="F18" s="33">
        <f>'Agile AR Aging &lt;-INPUT'!G138</f>
        <v>0</v>
      </c>
      <c r="G18" s="33">
        <f>'Agile AR Aging &lt;-INPUT'!H138</f>
        <v>0</v>
      </c>
      <c r="H18" s="33">
        <f>'Agile AR Aging &lt;-INPUT'!I138</f>
        <v>0</v>
      </c>
      <c r="I18" s="33">
        <f>'Agile AR Aging &lt;-INPUT'!J138</f>
        <v>0</v>
      </c>
      <c r="J18" s="2">
        <f t="shared" si="0"/>
        <v>0</v>
      </c>
      <c r="L18" s="73"/>
      <c r="N18" s="68"/>
    </row>
    <row r="19" spans="1:17" x14ac:dyDescent="0.25">
      <c r="A19" s="1" t="s">
        <v>85</v>
      </c>
      <c r="B19" s="33">
        <f>'Agile AR Aging &lt;-INPUT'!C140</f>
        <v>0</v>
      </c>
      <c r="C19" s="33">
        <f>'Agile AR Aging &lt;-INPUT'!D140</f>
        <v>0</v>
      </c>
      <c r="D19" s="33">
        <f>'Agile AR Aging &lt;-INPUT'!E140</f>
        <v>0</v>
      </c>
      <c r="E19" s="33">
        <f>'Agile AR Aging &lt;-INPUT'!F140</f>
        <v>0</v>
      </c>
      <c r="F19" s="33">
        <f>'Agile AR Aging &lt;-INPUT'!G140</f>
        <v>0</v>
      </c>
      <c r="G19" s="33">
        <f>'Agile AR Aging &lt;-INPUT'!H140</f>
        <v>0</v>
      </c>
      <c r="H19" s="33">
        <f>'Agile AR Aging &lt;-INPUT'!I140</f>
        <v>0</v>
      </c>
      <c r="I19" s="33">
        <f>'Agile AR Aging &lt;-INPUT'!J140</f>
        <v>0</v>
      </c>
      <c r="J19" s="2">
        <f t="shared" si="0"/>
        <v>0</v>
      </c>
      <c r="L19" s="73"/>
      <c r="N19" s="68"/>
    </row>
    <row r="20" spans="1:17" x14ac:dyDescent="0.25">
      <c r="A20" s="1" t="s">
        <v>2</v>
      </c>
      <c r="B20" s="33">
        <f>'Agile AR Aging &lt;-INPUT'!C141</f>
        <v>0</v>
      </c>
      <c r="C20" s="33">
        <f>'Agile AR Aging &lt;-INPUT'!D141</f>
        <v>0</v>
      </c>
      <c r="D20" s="33">
        <f>'Agile AR Aging &lt;-INPUT'!E141</f>
        <v>0</v>
      </c>
      <c r="E20" s="33">
        <f>'Agile AR Aging &lt;-INPUT'!F141</f>
        <v>0</v>
      </c>
      <c r="F20" s="33">
        <f>'Agile AR Aging &lt;-INPUT'!G141</f>
        <v>0</v>
      </c>
      <c r="G20" s="33">
        <f>'Agile AR Aging &lt;-INPUT'!H141</f>
        <v>0</v>
      </c>
      <c r="H20" s="33">
        <f>'Agile AR Aging &lt;-INPUT'!I141</f>
        <v>0</v>
      </c>
      <c r="I20" s="33">
        <f>'Agile AR Aging &lt;-INPUT'!J141</f>
        <v>0</v>
      </c>
      <c r="J20" s="2">
        <f t="shared" si="0"/>
        <v>0</v>
      </c>
      <c r="L20" s="73"/>
      <c r="N20" s="68"/>
    </row>
    <row r="21" spans="1:17" x14ac:dyDescent="0.25">
      <c r="A21" s="1" t="s">
        <v>86</v>
      </c>
      <c r="B21" s="33">
        <f>'Agile AR Aging &lt;-INPUT'!C142</f>
        <v>0</v>
      </c>
      <c r="C21" s="33">
        <f>'Agile AR Aging &lt;-INPUT'!D142</f>
        <v>0</v>
      </c>
      <c r="D21" s="33">
        <f>'Agile AR Aging &lt;-INPUT'!E142</f>
        <v>0</v>
      </c>
      <c r="E21" s="33">
        <f>'Agile AR Aging &lt;-INPUT'!F142</f>
        <v>0</v>
      </c>
      <c r="F21" s="33">
        <f>'Agile AR Aging &lt;-INPUT'!G142</f>
        <v>0</v>
      </c>
      <c r="G21" s="33">
        <f>'Agile AR Aging &lt;-INPUT'!H142</f>
        <v>0</v>
      </c>
      <c r="H21" s="33">
        <f>'Agile AR Aging &lt;-INPUT'!I142</f>
        <v>0</v>
      </c>
      <c r="I21" s="33">
        <f>'Agile AR Aging &lt;-INPUT'!J142</f>
        <v>0</v>
      </c>
      <c r="J21" s="2">
        <f t="shared" si="0"/>
        <v>0</v>
      </c>
      <c r="L21" s="73"/>
      <c r="N21" s="68"/>
    </row>
    <row r="22" spans="1:17" x14ac:dyDescent="0.25">
      <c r="A22" s="1" t="s">
        <v>29</v>
      </c>
      <c r="B22" s="33">
        <f>'Agile AR Aging &lt;-INPUT'!C143</f>
        <v>0</v>
      </c>
      <c r="C22" s="33">
        <f>'Agile AR Aging &lt;-INPUT'!D143</f>
        <v>0</v>
      </c>
      <c r="D22" s="33">
        <f>'Agile AR Aging &lt;-INPUT'!E143</f>
        <v>0</v>
      </c>
      <c r="E22" s="33">
        <f>'Agile AR Aging &lt;-INPUT'!F143</f>
        <v>0</v>
      </c>
      <c r="F22" s="33">
        <f>'Agile AR Aging &lt;-INPUT'!G143</f>
        <v>0</v>
      </c>
      <c r="G22" s="33">
        <f>'Agile AR Aging &lt;-INPUT'!H143</f>
        <v>0</v>
      </c>
      <c r="H22" s="33">
        <f>'Agile AR Aging &lt;-INPUT'!I143</f>
        <v>0</v>
      </c>
      <c r="I22" s="33">
        <f>'Agile AR Aging &lt;-INPUT'!J143</f>
        <v>0</v>
      </c>
      <c r="J22" s="2">
        <f t="shared" si="0"/>
        <v>0</v>
      </c>
      <c r="L22" s="73"/>
      <c r="N22" s="68"/>
    </row>
    <row r="23" spans="1:17" x14ac:dyDescent="0.25">
      <c r="A23" s="1" t="s">
        <v>52</v>
      </c>
      <c r="B23" s="33">
        <f>'Agile AR Aging &lt;-INPUT'!C144</f>
        <v>0</v>
      </c>
      <c r="C23" s="33">
        <f>'Agile AR Aging &lt;-INPUT'!D144</f>
        <v>0</v>
      </c>
      <c r="D23" s="33">
        <f>'Agile AR Aging &lt;-INPUT'!E144</f>
        <v>0</v>
      </c>
      <c r="E23" s="33">
        <f>'Agile AR Aging &lt;-INPUT'!F144</f>
        <v>0</v>
      </c>
      <c r="F23" s="33">
        <f>'Agile AR Aging &lt;-INPUT'!G144</f>
        <v>0</v>
      </c>
      <c r="G23" s="33">
        <f>'Agile AR Aging &lt;-INPUT'!H144</f>
        <v>0</v>
      </c>
      <c r="H23" s="33">
        <f>'Agile AR Aging &lt;-INPUT'!I144</f>
        <v>0</v>
      </c>
      <c r="I23" s="33">
        <f>'Agile AR Aging &lt;-INPUT'!J144</f>
        <v>0</v>
      </c>
      <c r="J23" s="2">
        <f t="shared" si="0"/>
        <v>0</v>
      </c>
      <c r="L23" s="73"/>
      <c r="N23" s="68"/>
    </row>
    <row r="24" spans="1:17" x14ac:dyDescent="0.25">
      <c r="A24" s="1" t="s">
        <v>1</v>
      </c>
      <c r="B24" s="32">
        <f>'Agile AR Aging &lt;-INPUT'!C146</f>
        <v>0</v>
      </c>
      <c r="C24" s="32">
        <f>'Agile AR Aging &lt;-INPUT'!D146</f>
        <v>0</v>
      </c>
      <c r="D24" s="32">
        <f>'Agile AR Aging &lt;-INPUT'!E146</f>
        <v>0</v>
      </c>
      <c r="E24" s="32">
        <f>'Agile AR Aging &lt;-INPUT'!F146</f>
        <v>0</v>
      </c>
      <c r="F24" s="32">
        <f>'Agile AR Aging &lt;-INPUT'!G146</f>
        <v>0</v>
      </c>
      <c r="G24" s="32">
        <f>'Agile AR Aging &lt;-INPUT'!H146</f>
        <v>0</v>
      </c>
      <c r="H24" s="32">
        <f>'Agile AR Aging &lt;-INPUT'!I146</f>
        <v>0</v>
      </c>
      <c r="I24" s="32">
        <f>'Agile AR Aging &lt;-INPUT'!J146</f>
        <v>0</v>
      </c>
      <c r="J24" s="9">
        <f t="shared" si="0"/>
        <v>0</v>
      </c>
      <c r="L24" s="73"/>
      <c r="N24" s="68"/>
    </row>
    <row r="25" spans="1:17" x14ac:dyDescent="0.25">
      <c r="A25" s="1" t="s">
        <v>0</v>
      </c>
      <c r="B25" s="10">
        <f t="shared" ref="B25:I25" si="1">SUM(B8:B24)</f>
        <v>0</v>
      </c>
      <c r="C25" s="10">
        <f t="shared" si="1"/>
        <v>0</v>
      </c>
      <c r="D25" s="10">
        <f t="shared" si="1"/>
        <v>0</v>
      </c>
      <c r="E25" s="10">
        <f t="shared" si="1"/>
        <v>0</v>
      </c>
      <c r="F25" s="10">
        <f t="shared" si="1"/>
        <v>0</v>
      </c>
      <c r="G25" s="10">
        <f t="shared" si="1"/>
        <v>0</v>
      </c>
      <c r="H25" s="10">
        <f t="shared" si="1"/>
        <v>0</v>
      </c>
      <c r="I25" s="10">
        <f t="shared" si="1"/>
        <v>0</v>
      </c>
      <c r="J25" s="10">
        <f>SUM(B25:H25)</f>
        <v>0</v>
      </c>
      <c r="L25" s="31"/>
    </row>
    <row r="26" spans="1:17" ht="15.75" thickBot="1" x14ac:dyDescent="0.3">
      <c r="A26" s="1"/>
      <c r="B26" s="9"/>
      <c r="C26" s="9"/>
      <c r="D26" s="9"/>
      <c r="E26" s="9"/>
      <c r="F26" s="9"/>
      <c r="G26" s="9"/>
      <c r="H26" s="9"/>
      <c r="I26" s="9"/>
      <c r="J26" s="9"/>
      <c r="L26" s="31"/>
      <c r="Q26" s="1"/>
    </row>
    <row r="27" spans="1:17" ht="15.75" thickBot="1" x14ac:dyDescent="0.3">
      <c r="A27" s="167" t="s">
        <v>55</v>
      </c>
      <c r="B27" s="168"/>
      <c r="C27" s="168"/>
      <c r="D27" s="168"/>
      <c r="E27" s="168"/>
      <c r="F27" s="168"/>
      <c r="G27" s="168"/>
      <c r="H27" s="168"/>
      <c r="I27" s="168"/>
      <c r="J27" s="169"/>
      <c r="Q27" s="1"/>
    </row>
    <row r="28" spans="1:17" x14ac:dyDescent="0.25">
      <c r="A28" s="4" t="s">
        <v>16</v>
      </c>
      <c r="B28" s="5" t="s">
        <v>15</v>
      </c>
      <c r="C28" s="5" t="s">
        <v>14</v>
      </c>
      <c r="D28" s="5" t="s">
        <v>13</v>
      </c>
      <c r="E28" s="5" t="s">
        <v>12</v>
      </c>
      <c r="F28" s="5" t="s">
        <v>93</v>
      </c>
      <c r="G28" s="5" t="s">
        <v>94</v>
      </c>
      <c r="H28" s="5" t="s">
        <v>38</v>
      </c>
      <c r="I28" s="5" t="s">
        <v>9</v>
      </c>
      <c r="J28" s="5" t="s">
        <v>0</v>
      </c>
      <c r="Q28" s="1"/>
    </row>
    <row r="29" spans="1:17" x14ac:dyDescent="0.25">
      <c r="A29" s="1" t="s">
        <v>49</v>
      </c>
      <c r="B29" s="36">
        <f>'Reimbursement Rates &lt;-INPUT'!F9</f>
        <v>0</v>
      </c>
      <c r="C29" s="36">
        <f t="shared" ref="C29:I45" si="2">B29</f>
        <v>0</v>
      </c>
      <c r="D29" s="36">
        <f t="shared" si="2"/>
        <v>0</v>
      </c>
      <c r="E29" s="36">
        <f t="shared" si="2"/>
        <v>0</v>
      </c>
      <c r="F29" s="36">
        <f t="shared" si="2"/>
        <v>0</v>
      </c>
      <c r="G29" s="36">
        <f t="shared" si="2"/>
        <v>0</v>
      </c>
      <c r="H29" s="36">
        <f t="shared" si="2"/>
        <v>0</v>
      </c>
      <c r="I29" s="36">
        <f t="shared" si="2"/>
        <v>0</v>
      </c>
      <c r="J29" s="36">
        <f t="shared" ref="J29:J45" si="3">H29</f>
        <v>0</v>
      </c>
    </row>
    <row r="30" spans="1:17" x14ac:dyDescent="0.25">
      <c r="A30" s="1" t="s">
        <v>8</v>
      </c>
      <c r="B30" s="36">
        <f>'Reimbursement Rates &lt;-INPUT'!F10</f>
        <v>0</v>
      </c>
      <c r="C30" s="36">
        <f t="shared" si="2"/>
        <v>0</v>
      </c>
      <c r="D30" s="36">
        <f t="shared" si="2"/>
        <v>0</v>
      </c>
      <c r="E30" s="36">
        <f t="shared" si="2"/>
        <v>0</v>
      </c>
      <c r="F30" s="36">
        <f t="shared" si="2"/>
        <v>0</v>
      </c>
      <c r="G30" s="36">
        <f t="shared" si="2"/>
        <v>0</v>
      </c>
      <c r="H30" s="36">
        <f t="shared" si="2"/>
        <v>0</v>
      </c>
      <c r="I30" s="36">
        <f t="shared" si="2"/>
        <v>0</v>
      </c>
      <c r="J30" s="36">
        <f t="shared" si="3"/>
        <v>0</v>
      </c>
      <c r="Q30" s="1"/>
    </row>
    <row r="31" spans="1:17" x14ac:dyDescent="0.25">
      <c r="A31" s="1" t="s">
        <v>7</v>
      </c>
      <c r="B31" s="36">
        <f>'Reimbursement Rates &lt;-INPUT'!F11</f>
        <v>0</v>
      </c>
      <c r="C31" s="36">
        <f t="shared" si="2"/>
        <v>0</v>
      </c>
      <c r="D31" s="36">
        <f t="shared" si="2"/>
        <v>0</v>
      </c>
      <c r="E31" s="36">
        <f t="shared" si="2"/>
        <v>0</v>
      </c>
      <c r="F31" s="36">
        <f t="shared" si="2"/>
        <v>0</v>
      </c>
      <c r="G31" s="36">
        <f t="shared" si="2"/>
        <v>0</v>
      </c>
      <c r="H31" s="36">
        <f t="shared" si="2"/>
        <v>0</v>
      </c>
      <c r="I31" s="36">
        <f t="shared" si="2"/>
        <v>0</v>
      </c>
      <c r="J31" s="36">
        <f t="shared" si="3"/>
        <v>0</v>
      </c>
    </row>
    <row r="32" spans="1:17" x14ac:dyDescent="0.25">
      <c r="A32" s="1" t="s">
        <v>42</v>
      </c>
      <c r="B32" s="36">
        <f>'Reimbursement Rates &lt;-INPUT'!F12</f>
        <v>0</v>
      </c>
      <c r="C32" s="36">
        <f t="shared" si="2"/>
        <v>0</v>
      </c>
      <c r="D32" s="36">
        <f t="shared" si="2"/>
        <v>0</v>
      </c>
      <c r="E32" s="36">
        <f t="shared" si="2"/>
        <v>0</v>
      </c>
      <c r="F32" s="36">
        <f t="shared" si="2"/>
        <v>0</v>
      </c>
      <c r="G32" s="36">
        <f t="shared" si="2"/>
        <v>0</v>
      </c>
      <c r="H32" s="36">
        <f t="shared" si="2"/>
        <v>0</v>
      </c>
      <c r="I32" s="36">
        <f t="shared" si="2"/>
        <v>0</v>
      </c>
      <c r="J32" s="36">
        <f t="shared" si="3"/>
        <v>0</v>
      </c>
    </row>
    <row r="33" spans="1:17" x14ac:dyDescent="0.25">
      <c r="A33" s="1" t="s">
        <v>6</v>
      </c>
      <c r="B33" s="36">
        <f>'Reimbursement Rates &lt;-INPUT'!F13</f>
        <v>0</v>
      </c>
      <c r="C33" s="36">
        <f t="shared" si="2"/>
        <v>0</v>
      </c>
      <c r="D33" s="36">
        <f t="shared" si="2"/>
        <v>0</v>
      </c>
      <c r="E33" s="36">
        <f t="shared" si="2"/>
        <v>0</v>
      </c>
      <c r="F33" s="36">
        <f t="shared" si="2"/>
        <v>0</v>
      </c>
      <c r="G33" s="36">
        <f t="shared" si="2"/>
        <v>0</v>
      </c>
      <c r="H33" s="36">
        <f t="shared" si="2"/>
        <v>0</v>
      </c>
      <c r="I33" s="36">
        <f t="shared" si="2"/>
        <v>0</v>
      </c>
      <c r="J33" s="36">
        <f t="shared" si="3"/>
        <v>0</v>
      </c>
      <c r="Q33" s="1"/>
    </row>
    <row r="34" spans="1:17" x14ac:dyDescent="0.25">
      <c r="A34" s="1" t="s">
        <v>50</v>
      </c>
      <c r="B34" s="36">
        <f>'Reimbursement Rates &lt;-INPUT'!F15</f>
        <v>0</v>
      </c>
      <c r="C34" s="36">
        <f t="shared" si="2"/>
        <v>0</v>
      </c>
      <c r="D34" s="36">
        <f t="shared" si="2"/>
        <v>0</v>
      </c>
      <c r="E34" s="36">
        <f t="shared" si="2"/>
        <v>0</v>
      </c>
      <c r="F34" s="36">
        <f t="shared" si="2"/>
        <v>0</v>
      </c>
      <c r="G34" s="36">
        <f t="shared" si="2"/>
        <v>0</v>
      </c>
      <c r="H34" s="36">
        <f t="shared" si="2"/>
        <v>0</v>
      </c>
      <c r="I34" s="36">
        <f t="shared" si="2"/>
        <v>0</v>
      </c>
      <c r="J34" s="36">
        <f t="shared" si="3"/>
        <v>0</v>
      </c>
      <c r="M34" s="7"/>
    </row>
    <row r="35" spans="1:17" x14ac:dyDescent="0.25">
      <c r="A35" s="1" t="s">
        <v>89</v>
      </c>
      <c r="B35" s="36">
        <f>'Reimbursement Rates &lt;-INPUT'!F16</f>
        <v>0</v>
      </c>
      <c r="C35" s="36">
        <f t="shared" si="2"/>
        <v>0</v>
      </c>
      <c r="D35" s="36">
        <f t="shared" si="2"/>
        <v>0</v>
      </c>
      <c r="E35" s="36">
        <f t="shared" si="2"/>
        <v>0</v>
      </c>
      <c r="F35" s="36">
        <f t="shared" si="2"/>
        <v>0</v>
      </c>
      <c r="G35" s="36">
        <f t="shared" si="2"/>
        <v>0</v>
      </c>
      <c r="H35" s="36">
        <f t="shared" si="2"/>
        <v>0</v>
      </c>
      <c r="I35" s="36">
        <f t="shared" si="2"/>
        <v>0</v>
      </c>
      <c r="J35" s="36">
        <f t="shared" si="3"/>
        <v>0</v>
      </c>
      <c r="M35" s="7"/>
    </row>
    <row r="36" spans="1:17" x14ac:dyDescent="0.25">
      <c r="A36" s="1" t="s">
        <v>5</v>
      </c>
      <c r="B36" s="36">
        <f>'Reimbursement Rates &lt;-INPUT'!F17</f>
        <v>0</v>
      </c>
      <c r="C36" s="36">
        <f t="shared" si="2"/>
        <v>0</v>
      </c>
      <c r="D36" s="36">
        <f t="shared" si="2"/>
        <v>0</v>
      </c>
      <c r="E36" s="36">
        <f t="shared" si="2"/>
        <v>0</v>
      </c>
      <c r="F36" s="36">
        <f t="shared" si="2"/>
        <v>0</v>
      </c>
      <c r="G36" s="36">
        <f t="shared" si="2"/>
        <v>0</v>
      </c>
      <c r="H36" s="36">
        <f t="shared" si="2"/>
        <v>0</v>
      </c>
      <c r="I36" s="36">
        <f t="shared" si="2"/>
        <v>0</v>
      </c>
      <c r="J36" s="36">
        <f t="shared" si="3"/>
        <v>0</v>
      </c>
      <c r="M36" s="7"/>
      <c r="Q36" s="1"/>
    </row>
    <row r="37" spans="1:17" x14ac:dyDescent="0.25">
      <c r="A37" s="1" t="s">
        <v>84</v>
      </c>
      <c r="B37" s="36">
        <f>'Reimbursement Rates &lt;-INPUT'!F18</f>
        <v>0</v>
      </c>
      <c r="C37" s="36">
        <f t="shared" si="2"/>
        <v>0</v>
      </c>
      <c r="D37" s="36">
        <f t="shared" si="2"/>
        <v>0</v>
      </c>
      <c r="E37" s="36">
        <f t="shared" si="2"/>
        <v>0</v>
      </c>
      <c r="F37" s="36">
        <f t="shared" si="2"/>
        <v>0</v>
      </c>
      <c r="G37" s="36">
        <f t="shared" si="2"/>
        <v>0</v>
      </c>
      <c r="H37" s="36">
        <f t="shared" si="2"/>
        <v>0</v>
      </c>
      <c r="I37" s="36">
        <f t="shared" si="2"/>
        <v>0</v>
      </c>
      <c r="J37" s="36">
        <f t="shared" si="3"/>
        <v>0</v>
      </c>
      <c r="M37" s="7"/>
      <c r="Q37" s="1"/>
    </row>
    <row r="38" spans="1:17" x14ac:dyDescent="0.25">
      <c r="A38" s="1" t="s">
        <v>4</v>
      </c>
      <c r="B38" s="36">
        <f>'Reimbursement Rates &lt;-INPUT'!F19</f>
        <v>0</v>
      </c>
      <c r="C38" s="36">
        <f t="shared" si="2"/>
        <v>0</v>
      </c>
      <c r="D38" s="36">
        <f t="shared" si="2"/>
        <v>0</v>
      </c>
      <c r="E38" s="36">
        <f t="shared" si="2"/>
        <v>0</v>
      </c>
      <c r="F38" s="36">
        <f t="shared" si="2"/>
        <v>0</v>
      </c>
      <c r="G38" s="36">
        <f t="shared" si="2"/>
        <v>0</v>
      </c>
      <c r="H38" s="36">
        <f t="shared" si="2"/>
        <v>0</v>
      </c>
      <c r="I38" s="36">
        <f t="shared" si="2"/>
        <v>0</v>
      </c>
      <c r="J38" s="36">
        <f t="shared" si="3"/>
        <v>0</v>
      </c>
      <c r="M38" s="7"/>
    </row>
    <row r="39" spans="1:17" x14ac:dyDescent="0.25">
      <c r="A39" s="1" t="s">
        <v>51</v>
      </c>
      <c r="B39" s="36">
        <f>'Reimbursement Rates &lt;-INPUT'!F20</f>
        <v>0</v>
      </c>
      <c r="C39" s="36">
        <f t="shared" si="2"/>
        <v>0</v>
      </c>
      <c r="D39" s="36">
        <f t="shared" si="2"/>
        <v>0</v>
      </c>
      <c r="E39" s="36">
        <f t="shared" si="2"/>
        <v>0</v>
      </c>
      <c r="F39" s="36">
        <f t="shared" si="2"/>
        <v>0</v>
      </c>
      <c r="G39" s="36">
        <f t="shared" si="2"/>
        <v>0</v>
      </c>
      <c r="H39" s="36">
        <f t="shared" si="2"/>
        <v>0</v>
      </c>
      <c r="I39" s="36">
        <f t="shared" si="2"/>
        <v>0</v>
      </c>
      <c r="J39" s="36">
        <f t="shared" si="3"/>
        <v>0</v>
      </c>
      <c r="M39" s="7"/>
      <c r="Q39" s="1"/>
    </row>
    <row r="40" spans="1:17" x14ac:dyDescent="0.25">
      <c r="A40" s="1" t="s">
        <v>85</v>
      </c>
      <c r="B40" s="36">
        <f>'Reimbursement Rates &lt;-INPUT'!F22</f>
        <v>0</v>
      </c>
      <c r="C40" s="36">
        <f t="shared" si="2"/>
        <v>0</v>
      </c>
      <c r="D40" s="36">
        <f t="shared" si="2"/>
        <v>0</v>
      </c>
      <c r="E40" s="36">
        <f t="shared" si="2"/>
        <v>0</v>
      </c>
      <c r="F40" s="36">
        <f t="shared" si="2"/>
        <v>0</v>
      </c>
      <c r="G40" s="36">
        <f t="shared" si="2"/>
        <v>0</v>
      </c>
      <c r="H40" s="36">
        <f t="shared" si="2"/>
        <v>0</v>
      </c>
      <c r="I40" s="36">
        <f t="shared" si="2"/>
        <v>0</v>
      </c>
      <c r="J40" s="36">
        <f t="shared" si="3"/>
        <v>0</v>
      </c>
      <c r="M40" s="7"/>
      <c r="Q40" s="1"/>
    </row>
    <row r="41" spans="1:17" x14ac:dyDescent="0.25">
      <c r="A41" s="1" t="s">
        <v>2</v>
      </c>
      <c r="B41" s="36">
        <f>'Reimbursement Rates &lt;-INPUT'!F23</f>
        <v>0</v>
      </c>
      <c r="C41" s="36">
        <f t="shared" si="2"/>
        <v>0</v>
      </c>
      <c r="D41" s="36">
        <f t="shared" si="2"/>
        <v>0</v>
      </c>
      <c r="E41" s="36">
        <f t="shared" si="2"/>
        <v>0</v>
      </c>
      <c r="F41" s="36">
        <f t="shared" si="2"/>
        <v>0</v>
      </c>
      <c r="G41" s="36">
        <f t="shared" si="2"/>
        <v>0</v>
      </c>
      <c r="H41" s="36">
        <f t="shared" si="2"/>
        <v>0</v>
      </c>
      <c r="I41" s="36">
        <f t="shared" si="2"/>
        <v>0</v>
      </c>
      <c r="J41" s="36">
        <f t="shared" si="3"/>
        <v>0</v>
      </c>
      <c r="M41" s="7"/>
      <c r="Q41" s="1"/>
    </row>
    <row r="42" spans="1:17" x14ac:dyDescent="0.25">
      <c r="A42" s="1" t="s">
        <v>86</v>
      </c>
      <c r="B42" s="36">
        <f>'Reimbursement Rates &lt;-INPUT'!F24</f>
        <v>0</v>
      </c>
      <c r="C42" s="36">
        <f t="shared" si="2"/>
        <v>0</v>
      </c>
      <c r="D42" s="36">
        <f t="shared" si="2"/>
        <v>0</v>
      </c>
      <c r="E42" s="36">
        <f t="shared" si="2"/>
        <v>0</v>
      </c>
      <c r="F42" s="36">
        <f t="shared" si="2"/>
        <v>0</v>
      </c>
      <c r="G42" s="36">
        <f t="shared" si="2"/>
        <v>0</v>
      </c>
      <c r="H42" s="36">
        <f t="shared" si="2"/>
        <v>0</v>
      </c>
      <c r="I42" s="36">
        <f t="shared" si="2"/>
        <v>0</v>
      </c>
      <c r="J42" s="36">
        <f t="shared" si="3"/>
        <v>0</v>
      </c>
      <c r="M42" s="7"/>
    </row>
    <row r="43" spans="1:17" x14ac:dyDescent="0.25">
      <c r="A43" s="1" t="s">
        <v>29</v>
      </c>
      <c r="B43" s="36">
        <f>'Reimbursement Rates &lt;-INPUT'!F25</f>
        <v>0</v>
      </c>
      <c r="C43" s="36">
        <f t="shared" si="2"/>
        <v>0</v>
      </c>
      <c r="D43" s="36">
        <f t="shared" si="2"/>
        <v>0</v>
      </c>
      <c r="E43" s="36">
        <f t="shared" si="2"/>
        <v>0</v>
      </c>
      <c r="F43" s="36">
        <f t="shared" si="2"/>
        <v>0</v>
      </c>
      <c r="G43" s="36">
        <f t="shared" si="2"/>
        <v>0</v>
      </c>
      <c r="H43" s="36">
        <f t="shared" si="2"/>
        <v>0</v>
      </c>
      <c r="I43" s="36">
        <f t="shared" si="2"/>
        <v>0</v>
      </c>
      <c r="J43" s="36">
        <f t="shared" si="3"/>
        <v>0</v>
      </c>
      <c r="M43" s="7"/>
    </row>
    <row r="44" spans="1:17" x14ac:dyDescent="0.25">
      <c r="A44" s="1" t="s">
        <v>52</v>
      </c>
      <c r="B44" s="36">
        <f>'Reimbursement Rates &lt;-INPUT'!F26</f>
        <v>0</v>
      </c>
      <c r="C44" s="36">
        <f t="shared" si="2"/>
        <v>0</v>
      </c>
      <c r="D44" s="36">
        <f t="shared" si="2"/>
        <v>0</v>
      </c>
      <c r="E44" s="36">
        <f t="shared" si="2"/>
        <v>0</v>
      </c>
      <c r="F44" s="36">
        <f t="shared" si="2"/>
        <v>0</v>
      </c>
      <c r="G44" s="36">
        <f t="shared" si="2"/>
        <v>0</v>
      </c>
      <c r="H44" s="36">
        <f t="shared" si="2"/>
        <v>0</v>
      </c>
      <c r="I44" s="36">
        <f t="shared" si="2"/>
        <v>0</v>
      </c>
      <c r="J44" s="36">
        <f t="shared" si="3"/>
        <v>0</v>
      </c>
      <c r="M44" s="7"/>
      <c r="Q44" s="1"/>
    </row>
    <row r="45" spans="1:17" x14ac:dyDescent="0.25">
      <c r="A45" s="1" t="s">
        <v>1</v>
      </c>
      <c r="B45" s="36">
        <f>'Reimbursement Rates &lt;-INPUT'!F28</f>
        <v>0</v>
      </c>
      <c r="C45" s="36">
        <f t="shared" si="2"/>
        <v>0</v>
      </c>
      <c r="D45" s="36">
        <f t="shared" si="2"/>
        <v>0</v>
      </c>
      <c r="E45" s="36">
        <f t="shared" si="2"/>
        <v>0</v>
      </c>
      <c r="F45" s="36">
        <f t="shared" si="2"/>
        <v>0</v>
      </c>
      <c r="G45" s="36">
        <f t="shared" si="2"/>
        <v>0</v>
      </c>
      <c r="H45" s="36">
        <f t="shared" si="2"/>
        <v>0</v>
      </c>
      <c r="I45" s="36">
        <f t="shared" si="2"/>
        <v>0</v>
      </c>
      <c r="J45" s="36">
        <f t="shared" si="3"/>
        <v>0</v>
      </c>
      <c r="M45" s="7"/>
      <c r="Q45" s="1"/>
    </row>
    <row r="46" spans="1:17" ht="15.75" thickBot="1" x14ac:dyDescent="0.3">
      <c r="A46" s="1"/>
      <c r="B46" s="9"/>
      <c r="C46" s="9"/>
      <c r="D46" s="9"/>
      <c r="E46" s="9"/>
      <c r="F46" s="9"/>
      <c r="G46" s="9"/>
      <c r="H46" s="9"/>
      <c r="I46" s="9"/>
      <c r="J46" s="9"/>
      <c r="M46" s="7"/>
      <c r="Q46" s="1"/>
    </row>
    <row r="47" spans="1:17" ht="15.75" thickBot="1" x14ac:dyDescent="0.3">
      <c r="A47" s="170" t="s">
        <v>33</v>
      </c>
      <c r="B47" s="171"/>
      <c r="C47" s="171"/>
      <c r="D47" s="171"/>
      <c r="E47" s="171"/>
      <c r="F47" s="171"/>
      <c r="G47" s="171"/>
      <c r="H47" s="171"/>
      <c r="I47" s="171"/>
      <c r="J47" s="172"/>
      <c r="M47" s="7"/>
      <c r="Q47" s="1"/>
    </row>
    <row r="48" spans="1:17" x14ac:dyDescent="0.25">
      <c r="A48" s="4" t="s">
        <v>16</v>
      </c>
      <c r="B48" s="5" t="s">
        <v>15</v>
      </c>
      <c r="C48" s="5" t="s">
        <v>14</v>
      </c>
      <c r="D48" s="5" t="s">
        <v>13</v>
      </c>
      <c r="E48" s="5" t="s">
        <v>12</v>
      </c>
      <c r="F48" s="5" t="s">
        <v>93</v>
      </c>
      <c r="G48" s="5" t="s">
        <v>94</v>
      </c>
      <c r="H48" s="5" t="s">
        <v>38</v>
      </c>
      <c r="I48" s="5" t="s">
        <v>9</v>
      </c>
      <c r="J48" s="5" t="s">
        <v>0</v>
      </c>
      <c r="M48" s="7"/>
    </row>
    <row r="49" spans="1:17" x14ac:dyDescent="0.25">
      <c r="A49" s="1" t="s">
        <v>49</v>
      </c>
      <c r="B49" s="37">
        <f t="shared" ref="B49:B50" si="4">IF(B8&gt;0,B8*(1-B29),0)</f>
        <v>0</v>
      </c>
      <c r="C49" s="37">
        <f t="shared" ref="C49:I49" si="5">IF(C8&gt;0,C8*(1-C29),0)</f>
        <v>0</v>
      </c>
      <c r="D49" s="37">
        <f t="shared" si="5"/>
        <v>0</v>
      </c>
      <c r="E49" s="37">
        <f t="shared" si="5"/>
        <v>0</v>
      </c>
      <c r="F49" s="37">
        <f t="shared" si="5"/>
        <v>0</v>
      </c>
      <c r="G49" s="37">
        <f t="shared" si="5"/>
        <v>0</v>
      </c>
      <c r="H49" s="37">
        <f t="shared" si="5"/>
        <v>0</v>
      </c>
      <c r="I49" s="37">
        <f t="shared" si="5"/>
        <v>0</v>
      </c>
      <c r="J49" s="37">
        <f>SUM(B49:H49)</f>
        <v>0</v>
      </c>
      <c r="M49" s="7"/>
      <c r="Q49" s="1"/>
    </row>
    <row r="50" spans="1:17" x14ac:dyDescent="0.25">
      <c r="A50" s="1" t="s">
        <v>8</v>
      </c>
      <c r="B50" s="37">
        <f t="shared" si="4"/>
        <v>0</v>
      </c>
      <c r="C50" s="37">
        <f t="shared" ref="C50:I50" si="6">IF(C9&gt;0,C9*(1-C30),0)</f>
        <v>0</v>
      </c>
      <c r="D50" s="37">
        <f t="shared" si="6"/>
        <v>0</v>
      </c>
      <c r="E50" s="37">
        <f t="shared" si="6"/>
        <v>0</v>
      </c>
      <c r="F50" s="37">
        <f t="shared" si="6"/>
        <v>0</v>
      </c>
      <c r="G50" s="37">
        <f t="shared" si="6"/>
        <v>0</v>
      </c>
      <c r="H50" s="37">
        <f t="shared" si="6"/>
        <v>0</v>
      </c>
      <c r="I50" s="37">
        <f t="shared" si="6"/>
        <v>0</v>
      </c>
      <c r="J50" s="37">
        <f t="shared" ref="J50:J65" si="7">SUM(B50:H50)</f>
        <v>0</v>
      </c>
      <c r="M50" s="7"/>
      <c r="Q50" s="7"/>
    </row>
    <row r="51" spans="1:17" x14ac:dyDescent="0.25">
      <c r="A51" s="1" t="s">
        <v>7</v>
      </c>
      <c r="B51" s="37">
        <f>IF(B10&gt;0,B10*(1-B31),0)</f>
        <v>0</v>
      </c>
      <c r="C51" s="37">
        <f t="shared" ref="C51:I51" si="8">IF(C10&gt;0,C10*(1-C31),0)</f>
        <v>0</v>
      </c>
      <c r="D51" s="37">
        <f t="shared" si="8"/>
        <v>0</v>
      </c>
      <c r="E51" s="37">
        <f t="shared" si="8"/>
        <v>0</v>
      </c>
      <c r="F51" s="37">
        <f t="shared" si="8"/>
        <v>0</v>
      </c>
      <c r="G51" s="37">
        <f t="shared" si="8"/>
        <v>0</v>
      </c>
      <c r="H51" s="37">
        <f t="shared" si="8"/>
        <v>0</v>
      </c>
      <c r="I51" s="37">
        <f t="shared" si="8"/>
        <v>0</v>
      </c>
      <c r="J51" s="37">
        <f t="shared" si="7"/>
        <v>0</v>
      </c>
      <c r="M51" s="7"/>
    </row>
    <row r="52" spans="1:17" x14ac:dyDescent="0.25">
      <c r="A52" s="1" t="s">
        <v>42</v>
      </c>
      <c r="B52" s="37">
        <f t="shared" ref="B52:B65" si="9">IF(B11&gt;0,B11*(1-B32),0)</f>
        <v>0</v>
      </c>
      <c r="C52" s="37">
        <f t="shared" ref="C52:I52" si="10">IF(C11&gt;0,C11*(1-C32),0)</f>
        <v>0</v>
      </c>
      <c r="D52" s="37">
        <f t="shared" si="10"/>
        <v>0</v>
      </c>
      <c r="E52" s="37">
        <f t="shared" si="10"/>
        <v>0</v>
      </c>
      <c r="F52" s="37">
        <f t="shared" si="10"/>
        <v>0</v>
      </c>
      <c r="G52" s="37">
        <f t="shared" si="10"/>
        <v>0</v>
      </c>
      <c r="H52" s="37">
        <f t="shared" si="10"/>
        <v>0</v>
      </c>
      <c r="I52" s="37">
        <f t="shared" si="10"/>
        <v>0</v>
      </c>
      <c r="J52" s="37">
        <f t="shared" si="7"/>
        <v>0</v>
      </c>
      <c r="M52" s="7"/>
    </row>
    <row r="53" spans="1:17" x14ac:dyDescent="0.25">
      <c r="A53" s="1" t="s">
        <v>6</v>
      </c>
      <c r="B53" s="37">
        <f t="shared" si="9"/>
        <v>0</v>
      </c>
      <c r="C53" s="37">
        <f t="shared" ref="C53:I53" si="11">IF(C12&gt;0,C12*(1-C33),0)</f>
        <v>0</v>
      </c>
      <c r="D53" s="37">
        <f t="shared" si="11"/>
        <v>0</v>
      </c>
      <c r="E53" s="37">
        <f t="shared" si="11"/>
        <v>0</v>
      </c>
      <c r="F53" s="37">
        <f t="shared" si="11"/>
        <v>0</v>
      </c>
      <c r="G53" s="37">
        <f t="shared" si="11"/>
        <v>0</v>
      </c>
      <c r="H53" s="37">
        <f t="shared" si="11"/>
        <v>0</v>
      </c>
      <c r="I53" s="37">
        <f t="shared" si="11"/>
        <v>0</v>
      </c>
      <c r="J53" s="37">
        <f t="shared" si="7"/>
        <v>0</v>
      </c>
      <c r="M53" s="7"/>
    </row>
    <row r="54" spans="1:17" x14ac:dyDescent="0.25">
      <c r="A54" s="1" t="s">
        <v>50</v>
      </c>
      <c r="B54" s="37">
        <f t="shared" si="9"/>
        <v>0</v>
      </c>
      <c r="C54" s="37">
        <f t="shared" ref="C54:I54" si="12">IF(C13&gt;0,C13*(1-C34),0)</f>
        <v>0</v>
      </c>
      <c r="D54" s="37">
        <f t="shared" si="12"/>
        <v>0</v>
      </c>
      <c r="E54" s="37">
        <f t="shared" si="12"/>
        <v>0</v>
      </c>
      <c r="F54" s="37">
        <f t="shared" si="12"/>
        <v>0</v>
      </c>
      <c r="G54" s="37">
        <f t="shared" si="12"/>
        <v>0</v>
      </c>
      <c r="H54" s="37">
        <f t="shared" si="12"/>
        <v>0</v>
      </c>
      <c r="I54" s="37">
        <f t="shared" si="12"/>
        <v>0</v>
      </c>
      <c r="J54" s="37">
        <f t="shared" si="7"/>
        <v>0</v>
      </c>
      <c r="M54" s="7"/>
    </row>
    <row r="55" spans="1:17" x14ac:dyDescent="0.25">
      <c r="A55" s="1" t="s">
        <v>89</v>
      </c>
      <c r="B55" s="37">
        <f t="shared" si="9"/>
        <v>0</v>
      </c>
      <c r="C55" s="37">
        <f t="shared" ref="C55:I55" si="13">IF(C14&gt;0,C14*(1-C35),0)</f>
        <v>0</v>
      </c>
      <c r="D55" s="37">
        <f t="shared" si="13"/>
        <v>0</v>
      </c>
      <c r="E55" s="37">
        <f t="shared" si="13"/>
        <v>0</v>
      </c>
      <c r="F55" s="37">
        <f t="shared" si="13"/>
        <v>0</v>
      </c>
      <c r="G55" s="37">
        <f t="shared" si="13"/>
        <v>0</v>
      </c>
      <c r="H55" s="37">
        <f t="shared" si="13"/>
        <v>0</v>
      </c>
      <c r="I55" s="37">
        <f t="shared" si="13"/>
        <v>0</v>
      </c>
      <c r="J55" s="37">
        <f t="shared" si="7"/>
        <v>0</v>
      </c>
      <c r="M55" s="7"/>
    </row>
    <row r="56" spans="1:17" x14ac:dyDescent="0.25">
      <c r="A56" s="1" t="s">
        <v>5</v>
      </c>
      <c r="B56" s="37">
        <f t="shared" si="9"/>
        <v>0</v>
      </c>
      <c r="C56" s="37">
        <f t="shared" ref="C56:I56" si="14">IF(C15&gt;0,C15*(1-C36),0)</f>
        <v>0</v>
      </c>
      <c r="D56" s="37">
        <f t="shared" si="14"/>
        <v>0</v>
      </c>
      <c r="E56" s="37">
        <f t="shared" si="14"/>
        <v>0</v>
      </c>
      <c r="F56" s="37">
        <f t="shared" si="14"/>
        <v>0</v>
      </c>
      <c r="G56" s="37">
        <f t="shared" si="14"/>
        <v>0</v>
      </c>
      <c r="H56" s="37">
        <f t="shared" si="14"/>
        <v>0</v>
      </c>
      <c r="I56" s="37">
        <f t="shared" si="14"/>
        <v>0</v>
      </c>
      <c r="J56" s="37">
        <f t="shared" si="7"/>
        <v>0</v>
      </c>
      <c r="M56" s="7"/>
    </row>
    <row r="57" spans="1:17" x14ac:dyDescent="0.25">
      <c r="A57" s="1" t="s">
        <v>84</v>
      </c>
      <c r="B57" s="37">
        <f t="shared" si="9"/>
        <v>0</v>
      </c>
      <c r="C57" s="37">
        <f t="shared" ref="C57:I57" si="15">IF(C16&gt;0,C16*(1-C37),0)</f>
        <v>0</v>
      </c>
      <c r="D57" s="37">
        <f t="shared" si="15"/>
        <v>0</v>
      </c>
      <c r="E57" s="37">
        <f t="shared" si="15"/>
        <v>0</v>
      </c>
      <c r="F57" s="37">
        <f t="shared" si="15"/>
        <v>0</v>
      </c>
      <c r="G57" s="37">
        <f t="shared" si="15"/>
        <v>0</v>
      </c>
      <c r="H57" s="37">
        <f t="shared" si="15"/>
        <v>0</v>
      </c>
      <c r="I57" s="37">
        <f t="shared" si="15"/>
        <v>0</v>
      </c>
      <c r="J57" s="37">
        <f t="shared" si="7"/>
        <v>0</v>
      </c>
      <c r="M57" s="7"/>
    </row>
    <row r="58" spans="1:17" x14ac:dyDescent="0.25">
      <c r="A58" s="1" t="s">
        <v>4</v>
      </c>
      <c r="B58" s="37">
        <f t="shared" si="9"/>
        <v>0</v>
      </c>
      <c r="C58" s="37">
        <f t="shared" ref="C58:I58" si="16">IF(C17&gt;0,C17*(1-C38),0)</f>
        <v>0</v>
      </c>
      <c r="D58" s="37">
        <f t="shared" si="16"/>
        <v>0</v>
      </c>
      <c r="E58" s="37">
        <f t="shared" si="16"/>
        <v>0</v>
      </c>
      <c r="F58" s="37">
        <f t="shared" si="16"/>
        <v>0</v>
      </c>
      <c r="G58" s="37">
        <f t="shared" si="16"/>
        <v>0</v>
      </c>
      <c r="H58" s="37">
        <f t="shared" si="16"/>
        <v>0</v>
      </c>
      <c r="I58" s="37">
        <f t="shared" si="16"/>
        <v>0</v>
      </c>
      <c r="J58" s="37">
        <f t="shared" si="7"/>
        <v>0</v>
      </c>
      <c r="M58" s="7"/>
    </row>
    <row r="59" spans="1:17" x14ac:dyDescent="0.25">
      <c r="A59" s="1" t="s">
        <v>51</v>
      </c>
      <c r="B59" s="37">
        <f t="shared" si="9"/>
        <v>0</v>
      </c>
      <c r="C59" s="37">
        <f t="shared" ref="C59:I59" si="17">IF(C18&gt;0,C18*(1-C39),0)</f>
        <v>0</v>
      </c>
      <c r="D59" s="37">
        <f t="shared" si="17"/>
        <v>0</v>
      </c>
      <c r="E59" s="37">
        <f t="shared" si="17"/>
        <v>0</v>
      </c>
      <c r="F59" s="37">
        <f t="shared" si="17"/>
        <v>0</v>
      </c>
      <c r="G59" s="37">
        <f t="shared" si="17"/>
        <v>0</v>
      </c>
      <c r="H59" s="37">
        <f t="shared" si="17"/>
        <v>0</v>
      </c>
      <c r="I59" s="37">
        <f t="shared" si="17"/>
        <v>0</v>
      </c>
      <c r="J59" s="37">
        <f t="shared" si="7"/>
        <v>0</v>
      </c>
      <c r="M59" s="7"/>
    </row>
    <row r="60" spans="1:17" x14ac:dyDescent="0.25">
      <c r="A60" s="1" t="s">
        <v>85</v>
      </c>
      <c r="B60" s="37">
        <f t="shared" si="9"/>
        <v>0</v>
      </c>
      <c r="C60" s="37">
        <f t="shared" ref="C60:I60" si="18">IF(C19&gt;0,C19*(1-C40),0)</f>
        <v>0</v>
      </c>
      <c r="D60" s="37">
        <f t="shared" si="18"/>
        <v>0</v>
      </c>
      <c r="E60" s="37">
        <f t="shared" si="18"/>
        <v>0</v>
      </c>
      <c r="F60" s="37">
        <f t="shared" si="18"/>
        <v>0</v>
      </c>
      <c r="G60" s="37">
        <f t="shared" si="18"/>
        <v>0</v>
      </c>
      <c r="H60" s="37">
        <f t="shared" si="18"/>
        <v>0</v>
      </c>
      <c r="I60" s="37">
        <f t="shared" si="18"/>
        <v>0</v>
      </c>
      <c r="J60" s="37">
        <f t="shared" si="7"/>
        <v>0</v>
      </c>
      <c r="M60" s="7"/>
    </row>
    <row r="61" spans="1:17" x14ac:dyDescent="0.25">
      <c r="A61" s="1" t="s">
        <v>2</v>
      </c>
      <c r="B61" s="37">
        <f t="shared" si="9"/>
        <v>0</v>
      </c>
      <c r="C61" s="37">
        <f t="shared" ref="C61:I61" si="19">IF(C20&gt;0,C20*(1-C41),0)</f>
        <v>0</v>
      </c>
      <c r="D61" s="37">
        <f t="shared" si="19"/>
        <v>0</v>
      </c>
      <c r="E61" s="37">
        <f t="shared" si="19"/>
        <v>0</v>
      </c>
      <c r="F61" s="37">
        <f t="shared" si="19"/>
        <v>0</v>
      </c>
      <c r="G61" s="37">
        <f t="shared" si="19"/>
        <v>0</v>
      </c>
      <c r="H61" s="37">
        <f t="shared" si="19"/>
        <v>0</v>
      </c>
      <c r="I61" s="37">
        <f t="shared" si="19"/>
        <v>0</v>
      </c>
      <c r="J61" s="37">
        <f t="shared" si="7"/>
        <v>0</v>
      </c>
      <c r="M61" s="7"/>
    </row>
    <row r="62" spans="1:17" x14ac:dyDescent="0.25">
      <c r="A62" s="1" t="s">
        <v>86</v>
      </c>
      <c r="B62" s="37">
        <f t="shared" si="9"/>
        <v>0</v>
      </c>
      <c r="C62" s="37">
        <f t="shared" ref="C62:I62" si="20">IF(C21&gt;0,C21*(1-C42),0)</f>
        <v>0</v>
      </c>
      <c r="D62" s="37">
        <f t="shared" si="20"/>
        <v>0</v>
      </c>
      <c r="E62" s="37">
        <f t="shared" si="20"/>
        <v>0</v>
      </c>
      <c r="F62" s="37">
        <f t="shared" si="20"/>
        <v>0</v>
      </c>
      <c r="G62" s="37">
        <f t="shared" si="20"/>
        <v>0</v>
      </c>
      <c r="H62" s="37">
        <f t="shared" si="20"/>
        <v>0</v>
      </c>
      <c r="I62" s="37">
        <f t="shared" si="20"/>
        <v>0</v>
      </c>
      <c r="J62" s="37">
        <f t="shared" si="7"/>
        <v>0</v>
      </c>
      <c r="M62" s="183" t="s">
        <v>62</v>
      </c>
    </row>
    <row r="63" spans="1:17" x14ac:dyDescent="0.25">
      <c r="A63" s="1" t="s">
        <v>29</v>
      </c>
      <c r="B63" s="37">
        <f t="shared" si="9"/>
        <v>0</v>
      </c>
      <c r="C63" s="37">
        <f t="shared" ref="C63:I63" si="21">IF(C22&gt;0,C22*(1-C43),0)</f>
        <v>0</v>
      </c>
      <c r="D63" s="37">
        <f t="shared" si="21"/>
        <v>0</v>
      </c>
      <c r="E63" s="37">
        <f t="shared" si="21"/>
        <v>0</v>
      </c>
      <c r="F63" s="37">
        <f t="shared" si="21"/>
        <v>0</v>
      </c>
      <c r="G63" s="37">
        <f t="shared" si="21"/>
        <v>0</v>
      </c>
      <c r="H63" s="37">
        <f t="shared" si="21"/>
        <v>0</v>
      </c>
      <c r="I63" s="37">
        <f t="shared" si="21"/>
        <v>0</v>
      </c>
      <c r="J63" s="37">
        <f t="shared" si="7"/>
        <v>0</v>
      </c>
      <c r="M63" s="183"/>
    </row>
    <row r="64" spans="1:17" x14ac:dyDescent="0.25">
      <c r="A64" s="1" t="s">
        <v>52</v>
      </c>
      <c r="B64" s="37">
        <f t="shared" si="9"/>
        <v>0</v>
      </c>
      <c r="C64" s="37">
        <f t="shared" ref="C64:I64" si="22">IF(C23&gt;0,C23*(1-C44),0)</f>
        <v>0</v>
      </c>
      <c r="D64" s="37">
        <f t="shared" si="22"/>
        <v>0</v>
      </c>
      <c r="E64" s="37">
        <f t="shared" si="22"/>
        <v>0</v>
      </c>
      <c r="F64" s="37">
        <f t="shared" si="22"/>
        <v>0</v>
      </c>
      <c r="G64" s="37">
        <f t="shared" si="22"/>
        <v>0</v>
      </c>
      <c r="H64" s="37">
        <f t="shared" si="22"/>
        <v>0</v>
      </c>
      <c r="I64" s="37">
        <f t="shared" si="22"/>
        <v>0</v>
      </c>
      <c r="J64" s="37">
        <f t="shared" si="7"/>
        <v>0</v>
      </c>
      <c r="L64" s="35" t="s">
        <v>41</v>
      </c>
      <c r="M64" s="183" t="s">
        <v>63</v>
      </c>
    </row>
    <row r="65" spans="1:13" x14ac:dyDescent="0.25">
      <c r="A65" s="1" t="s">
        <v>1</v>
      </c>
      <c r="B65" s="38">
        <f t="shared" si="9"/>
        <v>0</v>
      </c>
      <c r="C65" s="38">
        <f t="shared" ref="C65:I65" si="23">IF(C24&gt;0,C24*(1-C45),0)</f>
        <v>0</v>
      </c>
      <c r="D65" s="38">
        <f t="shared" si="23"/>
        <v>0</v>
      </c>
      <c r="E65" s="38">
        <f t="shared" si="23"/>
        <v>0</v>
      </c>
      <c r="F65" s="38">
        <f t="shared" si="23"/>
        <v>0</v>
      </c>
      <c r="G65" s="38">
        <f t="shared" si="23"/>
        <v>0</v>
      </c>
      <c r="H65" s="38">
        <f t="shared" si="23"/>
        <v>0</v>
      </c>
      <c r="I65" s="38">
        <f t="shared" si="23"/>
        <v>0</v>
      </c>
      <c r="J65" s="38">
        <f t="shared" si="7"/>
        <v>0</v>
      </c>
      <c r="L65" s="42" t="s">
        <v>61</v>
      </c>
      <c r="M65" s="184"/>
    </row>
    <row r="66" spans="1:13" x14ac:dyDescent="0.25">
      <c r="A66" s="1"/>
      <c r="B66" s="9">
        <f>SUM(B49:B65)</f>
        <v>0</v>
      </c>
      <c r="C66" s="9">
        <f t="shared" ref="C66:J66" si="24">SUM(C49:C65)</f>
        <v>0</v>
      </c>
      <c r="D66" s="9">
        <f t="shared" si="24"/>
        <v>0</v>
      </c>
      <c r="E66" s="9">
        <f t="shared" si="24"/>
        <v>0</v>
      </c>
      <c r="F66" s="9">
        <f t="shared" si="24"/>
        <v>0</v>
      </c>
      <c r="G66" s="9">
        <f t="shared" si="24"/>
        <v>0</v>
      </c>
      <c r="H66" s="9">
        <f t="shared" si="24"/>
        <v>0</v>
      </c>
      <c r="I66" s="9">
        <f t="shared" si="24"/>
        <v>0</v>
      </c>
      <c r="J66" s="9">
        <f t="shared" si="24"/>
        <v>0</v>
      </c>
      <c r="L66" s="108">
        <v>60000</v>
      </c>
      <c r="M66" s="7">
        <f>J66-L66</f>
        <v>-60000</v>
      </c>
    </row>
    <row r="67" spans="1:13" ht="15.75" thickBot="1" x14ac:dyDescent="0.3">
      <c r="A67" s="1"/>
      <c r="B67" s="9"/>
      <c r="C67" s="9"/>
      <c r="D67" s="9"/>
      <c r="E67" s="9"/>
      <c r="F67" s="9"/>
      <c r="G67" s="9"/>
      <c r="H67" s="9"/>
      <c r="I67" s="9"/>
      <c r="J67" s="9"/>
      <c r="M67" s="7"/>
    </row>
    <row r="68" spans="1:13" ht="15.75" thickBot="1" x14ac:dyDescent="0.3">
      <c r="A68" s="170" t="s">
        <v>64</v>
      </c>
      <c r="B68" s="171"/>
      <c r="C68" s="171"/>
      <c r="D68" s="171"/>
      <c r="E68" s="171"/>
      <c r="F68" s="171"/>
      <c r="G68" s="171"/>
      <c r="H68" s="171"/>
      <c r="I68" s="171"/>
      <c r="J68" s="172"/>
      <c r="M68" s="7"/>
    </row>
    <row r="69" spans="1:13" x14ac:dyDescent="0.25">
      <c r="A69" s="4" t="s">
        <v>16</v>
      </c>
      <c r="B69" s="5" t="s">
        <v>15</v>
      </c>
      <c r="C69" s="5" t="s">
        <v>14</v>
      </c>
      <c r="D69" s="5" t="s">
        <v>13</v>
      </c>
      <c r="E69" s="5" t="s">
        <v>12</v>
      </c>
      <c r="F69" s="5" t="s">
        <v>93</v>
      </c>
      <c r="G69" s="5" t="s">
        <v>94</v>
      </c>
      <c r="H69" s="5" t="s">
        <v>38</v>
      </c>
      <c r="I69" s="5" t="s">
        <v>9</v>
      </c>
      <c r="J69" s="5" t="s">
        <v>0</v>
      </c>
      <c r="M69" s="7"/>
    </row>
    <row r="70" spans="1:13" x14ac:dyDescent="0.25">
      <c r="A70" s="1" t="s">
        <v>49</v>
      </c>
      <c r="B70" s="39">
        <f t="shared" ref="B70:B71" si="25">B8-B49</f>
        <v>0</v>
      </c>
      <c r="C70" s="39">
        <f t="shared" ref="C70:I70" si="26">C8-C49</f>
        <v>0</v>
      </c>
      <c r="D70" s="39">
        <f t="shared" si="26"/>
        <v>0</v>
      </c>
      <c r="E70" s="39">
        <f t="shared" si="26"/>
        <v>0</v>
      </c>
      <c r="F70" s="39">
        <f t="shared" si="26"/>
        <v>0</v>
      </c>
      <c r="G70" s="39">
        <f t="shared" si="26"/>
        <v>0</v>
      </c>
      <c r="H70" s="39">
        <f t="shared" si="26"/>
        <v>0</v>
      </c>
      <c r="I70" s="39">
        <f t="shared" si="26"/>
        <v>0</v>
      </c>
      <c r="J70" s="39">
        <f>SUM(B70:H70)</f>
        <v>0</v>
      </c>
      <c r="M70" s="7"/>
    </row>
    <row r="71" spans="1:13" x14ac:dyDescent="0.25">
      <c r="A71" s="1" t="s">
        <v>8</v>
      </c>
      <c r="B71" s="39">
        <f t="shared" si="25"/>
        <v>0</v>
      </c>
      <c r="C71" s="39">
        <f t="shared" ref="C71:I71" si="27">C9-C50</f>
        <v>0</v>
      </c>
      <c r="D71" s="39">
        <f t="shared" si="27"/>
        <v>0</v>
      </c>
      <c r="E71" s="39">
        <f t="shared" si="27"/>
        <v>0</v>
      </c>
      <c r="F71" s="39">
        <f t="shared" si="27"/>
        <v>0</v>
      </c>
      <c r="G71" s="39">
        <f t="shared" si="27"/>
        <v>0</v>
      </c>
      <c r="H71" s="39">
        <f t="shared" si="27"/>
        <v>0</v>
      </c>
      <c r="I71" s="39">
        <f t="shared" si="27"/>
        <v>0</v>
      </c>
      <c r="J71" s="39">
        <f t="shared" ref="J71:J86" si="28">SUM(B71:H71)</f>
        <v>0</v>
      </c>
      <c r="M71" s="7"/>
    </row>
    <row r="72" spans="1:13" x14ac:dyDescent="0.25">
      <c r="A72" s="1" t="s">
        <v>7</v>
      </c>
      <c r="B72" s="39">
        <f>B10-B51</f>
        <v>0</v>
      </c>
      <c r="C72" s="39">
        <f t="shared" ref="C72:I72" si="29">C10-C51</f>
        <v>0</v>
      </c>
      <c r="D72" s="39">
        <f t="shared" si="29"/>
        <v>0</v>
      </c>
      <c r="E72" s="39">
        <f t="shared" si="29"/>
        <v>0</v>
      </c>
      <c r="F72" s="39">
        <f t="shared" si="29"/>
        <v>0</v>
      </c>
      <c r="G72" s="39">
        <f t="shared" si="29"/>
        <v>0</v>
      </c>
      <c r="H72" s="39">
        <f t="shared" si="29"/>
        <v>0</v>
      </c>
      <c r="I72" s="39">
        <f t="shared" si="29"/>
        <v>0</v>
      </c>
      <c r="J72" s="39">
        <f t="shared" si="28"/>
        <v>0</v>
      </c>
      <c r="M72" s="7"/>
    </row>
    <row r="73" spans="1:13" x14ac:dyDescent="0.25">
      <c r="A73" s="1" t="s">
        <v>42</v>
      </c>
      <c r="B73" s="39">
        <f t="shared" ref="B73:B86" si="30">B11-B52</f>
        <v>0</v>
      </c>
      <c r="C73" s="39">
        <f t="shared" ref="C73:I73" si="31">C11-C52</f>
        <v>0</v>
      </c>
      <c r="D73" s="39">
        <f t="shared" si="31"/>
        <v>0</v>
      </c>
      <c r="E73" s="39">
        <f t="shared" si="31"/>
        <v>0</v>
      </c>
      <c r="F73" s="39">
        <f t="shared" si="31"/>
        <v>0</v>
      </c>
      <c r="G73" s="39">
        <f t="shared" si="31"/>
        <v>0</v>
      </c>
      <c r="H73" s="39">
        <f t="shared" si="31"/>
        <v>0</v>
      </c>
      <c r="I73" s="39">
        <f t="shared" si="31"/>
        <v>0</v>
      </c>
      <c r="J73" s="39">
        <f t="shared" si="28"/>
        <v>0</v>
      </c>
      <c r="M73" s="7"/>
    </row>
    <row r="74" spans="1:13" x14ac:dyDescent="0.25">
      <c r="A74" s="1" t="s">
        <v>6</v>
      </c>
      <c r="B74" s="39">
        <f t="shared" si="30"/>
        <v>0</v>
      </c>
      <c r="C74" s="39">
        <f t="shared" ref="C74:I74" si="32">C12-C53</f>
        <v>0</v>
      </c>
      <c r="D74" s="39">
        <f t="shared" si="32"/>
        <v>0</v>
      </c>
      <c r="E74" s="39">
        <f t="shared" si="32"/>
        <v>0</v>
      </c>
      <c r="F74" s="39">
        <f t="shared" si="32"/>
        <v>0</v>
      </c>
      <c r="G74" s="39">
        <f t="shared" si="32"/>
        <v>0</v>
      </c>
      <c r="H74" s="39">
        <f t="shared" si="32"/>
        <v>0</v>
      </c>
      <c r="I74" s="39">
        <f t="shared" si="32"/>
        <v>0</v>
      </c>
      <c r="J74" s="39">
        <f t="shared" si="28"/>
        <v>0</v>
      </c>
      <c r="M74" s="7"/>
    </row>
    <row r="75" spans="1:13" x14ac:dyDescent="0.25">
      <c r="A75" s="1" t="s">
        <v>50</v>
      </c>
      <c r="B75" s="39">
        <f t="shared" si="30"/>
        <v>0</v>
      </c>
      <c r="C75" s="39">
        <f t="shared" ref="C75:I75" si="33">C13-C54</f>
        <v>0</v>
      </c>
      <c r="D75" s="39">
        <f t="shared" si="33"/>
        <v>0</v>
      </c>
      <c r="E75" s="39">
        <f t="shared" si="33"/>
        <v>0</v>
      </c>
      <c r="F75" s="39">
        <f t="shared" si="33"/>
        <v>0</v>
      </c>
      <c r="G75" s="39">
        <f t="shared" si="33"/>
        <v>0</v>
      </c>
      <c r="H75" s="39">
        <f t="shared" si="33"/>
        <v>0</v>
      </c>
      <c r="I75" s="39">
        <f t="shared" si="33"/>
        <v>0</v>
      </c>
      <c r="J75" s="39">
        <f t="shared" si="28"/>
        <v>0</v>
      </c>
      <c r="M75" s="7"/>
    </row>
    <row r="76" spans="1:13" x14ac:dyDescent="0.25">
      <c r="A76" s="1" t="s">
        <v>89</v>
      </c>
      <c r="B76" s="39">
        <f t="shared" si="30"/>
        <v>0</v>
      </c>
      <c r="C76" s="39">
        <f t="shared" ref="C76:I76" si="34">C14-C55</f>
        <v>0</v>
      </c>
      <c r="D76" s="39">
        <f t="shared" si="34"/>
        <v>0</v>
      </c>
      <c r="E76" s="39">
        <f t="shared" si="34"/>
        <v>0</v>
      </c>
      <c r="F76" s="39">
        <f t="shared" si="34"/>
        <v>0</v>
      </c>
      <c r="G76" s="39">
        <f t="shared" si="34"/>
        <v>0</v>
      </c>
      <c r="H76" s="39">
        <f t="shared" si="34"/>
        <v>0</v>
      </c>
      <c r="I76" s="39">
        <f t="shared" si="34"/>
        <v>0</v>
      </c>
      <c r="J76" s="39">
        <f t="shared" si="28"/>
        <v>0</v>
      </c>
      <c r="M76" s="7"/>
    </row>
    <row r="77" spans="1:13" x14ac:dyDescent="0.25">
      <c r="A77" s="1" t="s">
        <v>5</v>
      </c>
      <c r="B77" s="39">
        <f t="shared" si="30"/>
        <v>0</v>
      </c>
      <c r="C77" s="39">
        <f t="shared" ref="C77:I77" si="35">C15-C56</f>
        <v>0</v>
      </c>
      <c r="D77" s="39">
        <f t="shared" si="35"/>
        <v>0</v>
      </c>
      <c r="E77" s="39">
        <f t="shared" si="35"/>
        <v>0</v>
      </c>
      <c r="F77" s="39">
        <f t="shared" si="35"/>
        <v>0</v>
      </c>
      <c r="G77" s="39">
        <f t="shared" si="35"/>
        <v>0</v>
      </c>
      <c r="H77" s="39">
        <f t="shared" si="35"/>
        <v>0</v>
      </c>
      <c r="I77" s="39">
        <f t="shared" si="35"/>
        <v>0</v>
      </c>
      <c r="J77" s="39">
        <f t="shared" si="28"/>
        <v>0</v>
      </c>
      <c r="M77" s="7"/>
    </row>
    <row r="78" spans="1:13" x14ac:dyDescent="0.25">
      <c r="A78" s="1" t="s">
        <v>84</v>
      </c>
      <c r="B78" s="39">
        <f t="shared" si="30"/>
        <v>0</v>
      </c>
      <c r="C78" s="39">
        <f t="shared" ref="C78:I78" si="36">C16-C57</f>
        <v>0</v>
      </c>
      <c r="D78" s="39">
        <f t="shared" si="36"/>
        <v>0</v>
      </c>
      <c r="E78" s="39">
        <f t="shared" si="36"/>
        <v>0</v>
      </c>
      <c r="F78" s="39">
        <f t="shared" si="36"/>
        <v>0</v>
      </c>
      <c r="G78" s="39">
        <f t="shared" si="36"/>
        <v>0</v>
      </c>
      <c r="H78" s="39">
        <f t="shared" si="36"/>
        <v>0</v>
      </c>
      <c r="I78" s="39">
        <f t="shared" si="36"/>
        <v>0</v>
      </c>
      <c r="J78" s="39">
        <f t="shared" si="28"/>
        <v>0</v>
      </c>
      <c r="M78" s="7"/>
    </row>
    <row r="79" spans="1:13" x14ac:dyDescent="0.25">
      <c r="A79" s="1" t="s">
        <v>4</v>
      </c>
      <c r="B79" s="39">
        <f t="shared" si="30"/>
        <v>0</v>
      </c>
      <c r="C79" s="39">
        <f t="shared" ref="C79:I79" si="37">C17-C58</f>
        <v>0</v>
      </c>
      <c r="D79" s="39">
        <f t="shared" si="37"/>
        <v>0</v>
      </c>
      <c r="E79" s="39">
        <f t="shared" si="37"/>
        <v>0</v>
      </c>
      <c r="F79" s="39">
        <f t="shared" si="37"/>
        <v>0</v>
      </c>
      <c r="G79" s="39">
        <f t="shared" si="37"/>
        <v>0</v>
      </c>
      <c r="H79" s="39">
        <f t="shared" si="37"/>
        <v>0</v>
      </c>
      <c r="I79" s="39">
        <f t="shared" si="37"/>
        <v>0</v>
      </c>
      <c r="J79" s="39">
        <f t="shared" si="28"/>
        <v>0</v>
      </c>
      <c r="M79" s="7"/>
    </row>
    <row r="80" spans="1:13" x14ac:dyDescent="0.25">
      <c r="A80" s="1" t="s">
        <v>51</v>
      </c>
      <c r="B80" s="39">
        <f t="shared" si="30"/>
        <v>0</v>
      </c>
      <c r="C80" s="39">
        <f t="shared" ref="C80:I80" si="38">C18-C59</f>
        <v>0</v>
      </c>
      <c r="D80" s="39">
        <f t="shared" si="38"/>
        <v>0</v>
      </c>
      <c r="E80" s="39">
        <f t="shared" si="38"/>
        <v>0</v>
      </c>
      <c r="F80" s="39">
        <f t="shared" si="38"/>
        <v>0</v>
      </c>
      <c r="G80" s="39">
        <f t="shared" si="38"/>
        <v>0</v>
      </c>
      <c r="H80" s="39">
        <f t="shared" si="38"/>
        <v>0</v>
      </c>
      <c r="I80" s="39">
        <f t="shared" si="38"/>
        <v>0</v>
      </c>
      <c r="J80" s="39">
        <f t="shared" si="28"/>
        <v>0</v>
      </c>
      <c r="M80" s="7"/>
    </row>
    <row r="81" spans="1:13" x14ac:dyDescent="0.25">
      <c r="A81" s="1" t="s">
        <v>85</v>
      </c>
      <c r="B81" s="39">
        <f t="shared" si="30"/>
        <v>0</v>
      </c>
      <c r="C81" s="39">
        <f t="shared" ref="C81:I81" si="39">C19-C60</f>
        <v>0</v>
      </c>
      <c r="D81" s="39">
        <f t="shared" si="39"/>
        <v>0</v>
      </c>
      <c r="E81" s="39">
        <f t="shared" si="39"/>
        <v>0</v>
      </c>
      <c r="F81" s="39">
        <f t="shared" si="39"/>
        <v>0</v>
      </c>
      <c r="G81" s="39">
        <f t="shared" si="39"/>
        <v>0</v>
      </c>
      <c r="H81" s="39">
        <f t="shared" si="39"/>
        <v>0</v>
      </c>
      <c r="I81" s="39">
        <f t="shared" si="39"/>
        <v>0</v>
      </c>
      <c r="J81" s="39">
        <f t="shared" si="28"/>
        <v>0</v>
      </c>
      <c r="M81" s="7"/>
    </row>
    <row r="82" spans="1:13" x14ac:dyDescent="0.25">
      <c r="A82" s="1" t="s">
        <v>2</v>
      </c>
      <c r="B82" s="39">
        <f t="shared" si="30"/>
        <v>0</v>
      </c>
      <c r="C82" s="39">
        <f t="shared" ref="C82:I82" si="40">C20-C61</f>
        <v>0</v>
      </c>
      <c r="D82" s="39">
        <f t="shared" si="40"/>
        <v>0</v>
      </c>
      <c r="E82" s="39">
        <f t="shared" si="40"/>
        <v>0</v>
      </c>
      <c r="F82" s="39">
        <f t="shared" si="40"/>
        <v>0</v>
      </c>
      <c r="G82" s="39">
        <f t="shared" si="40"/>
        <v>0</v>
      </c>
      <c r="H82" s="39">
        <f t="shared" si="40"/>
        <v>0</v>
      </c>
      <c r="I82" s="39">
        <f t="shared" si="40"/>
        <v>0</v>
      </c>
      <c r="J82" s="39">
        <f t="shared" si="28"/>
        <v>0</v>
      </c>
      <c r="M82" s="7"/>
    </row>
    <row r="83" spans="1:13" x14ac:dyDescent="0.25">
      <c r="A83" s="1" t="s">
        <v>86</v>
      </c>
      <c r="B83" s="39">
        <f t="shared" si="30"/>
        <v>0</v>
      </c>
      <c r="C83" s="39">
        <f t="shared" ref="C83:I83" si="41">C21-C62</f>
        <v>0</v>
      </c>
      <c r="D83" s="39">
        <f t="shared" si="41"/>
        <v>0</v>
      </c>
      <c r="E83" s="39">
        <f t="shared" si="41"/>
        <v>0</v>
      </c>
      <c r="F83" s="39">
        <f t="shared" si="41"/>
        <v>0</v>
      </c>
      <c r="G83" s="39">
        <f t="shared" si="41"/>
        <v>0</v>
      </c>
      <c r="H83" s="39">
        <f t="shared" si="41"/>
        <v>0</v>
      </c>
      <c r="I83" s="39">
        <f t="shared" si="41"/>
        <v>0</v>
      </c>
      <c r="J83" s="39">
        <f t="shared" si="28"/>
        <v>0</v>
      </c>
      <c r="M83" s="7"/>
    </row>
    <row r="84" spans="1:13" x14ac:dyDescent="0.25">
      <c r="A84" s="1" t="s">
        <v>29</v>
      </c>
      <c r="B84" s="39">
        <f t="shared" si="30"/>
        <v>0</v>
      </c>
      <c r="C84" s="39">
        <f t="shared" ref="C84:I84" si="42">C22-C63</f>
        <v>0</v>
      </c>
      <c r="D84" s="39">
        <f t="shared" si="42"/>
        <v>0</v>
      </c>
      <c r="E84" s="39">
        <f t="shared" si="42"/>
        <v>0</v>
      </c>
      <c r="F84" s="39">
        <f t="shared" si="42"/>
        <v>0</v>
      </c>
      <c r="G84" s="39">
        <f t="shared" si="42"/>
        <v>0</v>
      </c>
      <c r="H84" s="39">
        <f t="shared" si="42"/>
        <v>0</v>
      </c>
      <c r="I84" s="39">
        <f t="shared" si="42"/>
        <v>0</v>
      </c>
      <c r="J84" s="39">
        <f t="shared" si="28"/>
        <v>0</v>
      </c>
      <c r="M84" s="7"/>
    </row>
    <row r="85" spans="1:13" x14ac:dyDescent="0.25">
      <c r="A85" s="1" t="s">
        <v>52</v>
      </c>
      <c r="B85" s="39">
        <f t="shared" si="30"/>
        <v>0</v>
      </c>
      <c r="C85" s="39">
        <f t="shared" ref="C85:I85" si="43">C23-C64</f>
        <v>0</v>
      </c>
      <c r="D85" s="39">
        <f t="shared" si="43"/>
        <v>0</v>
      </c>
      <c r="E85" s="39">
        <f t="shared" si="43"/>
        <v>0</v>
      </c>
      <c r="F85" s="39">
        <f t="shared" si="43"/>
        <v>0</v>
      </c>
      <c r="G85" s="39">
        <f t="shared" si="43"/>
        <v>0</v>
      </c>
      <c r="H85" s="39">
        <f t="shared" si="43"/>
        <v>0</v>
      </c>
      <c r="I85" s="39">
        <f t="shared" si="43"/>
        <v>0</v>
      </c>
      <c r="J85" s="39">
        <f t="shared" si="28"/>
        <v>0</v>
      </c>
      <c r="M85" s="7"/>
    </row>
    <row r="86" spans="1:13" x14ac:dyDescent="0.25">
      <c r="A86" s="1" t="s">
        <v>1</v>
      </c>
      <c r="B86" s="40">
        <f t="shared" si="30"/>
        <v>0</v>
      </c>
      <c r="C86" s="40">
        <f t="shared" ref="C86:I86" si="44">C24-C65</f>
        <v>0</v>
      </c>
      <c r="D86" s="40">
        <f t="shared" si="44"/>
        <v>0</v>
      </c>
      <c r="E86" s="40">
        <f t="shared" si="44"/>
        <v>0</v>
      </c>
      <c r="F86" s="40">
        <f t="shared" si="44"/>
        <v>0</v>
      </c>
      <c r="G86" s="40">
        <f t="shared" si="44"/>
        <v>0</v>
      </c>
      <c r="H86" s="40">
        <f t="shared" si="44"/>
        <v>0</v>
      </c>
      <c r="I86" s="40">
        <f t="shared" si="44"/>
        <v>0</v>
      </c>
      <c r="J86" s="40">
        <f t="shared" si="28"/>
        <v>0</v>
      </c>
      <c r="M86" s="7"/>
    </row>
    <row r="87" spans="1:13" x14ac:dyDescent="0.25">
      <c r="A87" s="4"/>
      <c r="B87" s="39">
        <f>SUM(B70:B86)</f>
        <v>0</v>
      </c>
      <c r="C87" s="39">
        <f t="shared" ref="C87:J87" si="45">SUM(C70:C86)</f>
        <v>0</v>
      </c>
      <c r="D87" s="39">
        <f t="shared" si="45"/>
        <v>0</v>
      </c>
      <c r="E87" s="39">
        <f t="shared" si="45"/>
        <v>0</v>
      </c>
      <c r="F87" s="39">
        <f t="shared" si="45"/>
        <v>0</v>
      </c>
      <c r="G87" s="39">
        <f t="shared" si="45"/>
        <v>0</v>
      </c>
      <c r="H87" s="39">
        <f t="shared" si="45"/>
        <v>0</v>
      </c>
      <c r="I87" s="39">
        <f t="shared" si="45"/>
        <v>0</v>
      </c>
      <c r="J87" s="39">
        <f t="shared" si="45"/>
        <v>0</v>
      </c>
      <c r="M87" s="7"/>
    </row>
    <row r="88" spans="1:13" ht="15.75" thickBot="1" x14ac:dyDescent="0.3">
      <c r="A88" s="4"/>
      <c r="B88" s="39"/>
      <c r="C88" s="39"/>
      <c r="D88" s="39"/>
      <c r="E88" s="39"/>
      <c r="F88" s="39"/>
      <c r="G88" s="39"/>
      <c r="H88" s="39"/>
      <c r="I88" s="39"/>
      <c r="J88" s="39"/>
      <c r="M88" s="7"/>
    </row>
    <row r="89" spans="1:13" ht="15.75" thickBot="1" x14ac:dyDescent="0.3">
      <c r="A89" s="167" t="s">
        <v>59</v>
      </c>
      <c r="B89" s="168"/>
      <c r="C89" s="168"/>
      <c r="D89" s="168"/>
      <c r="E89" s="168"/>
      <c r="F89" s="168"/>
      <c r="G89" s="168"/>
      <c r="H89" s="168"/>
      <c r="I89" s="168"/>
      <c r="J89" s="169"/>
      <c r="M89" s="7"/>
    </row>
    <row r="90" spans="1:13" x14ac:dyDescent="0.25">
      <c r="A90" s="4" t="s">
        <v>16</v>
      </c>
      <c r="B90" s="5" t="s">
        <v>15</v>
      </c>
      <c r="C90" s="5" t="s">
        <v>14</v>
      </c>
      <c r="D90" s="5" t="s">
        <v>13</v>
      </c>
      <c r="E90" s="5" t="s">
        <v>12</v>
      </c>
      <c r="F90" s="5" t="s">
        <v>93</v>
      </c>
      <c r="G90" s="5" t="s">
        <v>94</v>
      </c>
      <c r="H90" s="5" t="s">
        <v>38</v>
      </c>
      <c r="I90" s="5" t="s">
        <v>9</v>
      </c>
      <c r="J90" s="5" t="s">
        <v>0</v>
      </c>
      <c r="M90" s="7"/>
    </row>
    <row r="91" spans="1:13" x14ac:dyDescent="0.25">
      <c r="A91" s="1" t="s">
        <v>49</v>
      </c>
      <c r="B91" s="41">
        <v>0</v>
      </c>
      <c r="C91" s="41">
        <v>0</v>
      </c>
      <c r="D91" s="41">
        <v>0</v>
      </c>
      <c r="E91" s="41">
        <v>0.1</v>
      </c>
      <c r="F91" s="41">
        <v>0.15</v>
      </c>
      <c r="G91" s="41">
        <v>0.15</v>
      </c>
      <c r="H91" s="41">
        <v>0.2</v>
      </c>
      <c r="I91" s="41">
        <v>1</v>
      </c>
      <c r="J91" s="39"/>
      <c r="M91" s="7"/>
    </row>
    <row r="92" spans="1:13" x14ac:dyDescent="0.25">
      <c r="A92" s="1" t="s">
        <v>8</v>
      </c>
      <c r="B92" s="41">
        <v>0</v>
      </c>
      <c r="C92" s="41">
        <v>0</v>
      </c>
      <c r="D92" s="41">
        <v>0</v>
      </c>
      <c r="E92" s="41">
        <v>0.1</v>
      </c>
      <c r="F92" s="41">
        <v>0.15</v>
      </c>
      <c r="G92" s="41">
        <v>0.15</v>
      </c>
      <c r="H92" s="41">
        <v>0.2</v>
      </c>
      <c r="I92" s="41">
        <v>1</v>
      </c>
      <c r="J92" s="39"/>
      <c r="M92" s="7"/>
    </row>
    <row r="93" spans="1:13" x14ac:dyDescent="0.25">
      <c r="A93" s="1" t="s">
        <v>7</v>
      </c>
      <c r="B93" s="41">
        <v>0</v>
      </c>
      <c r="C93" s="41">
        <v>0</v>
      </c>
      <c r="D93" s="41">
        <v>0</v>
      </c>
      <c r="E93" s="41">
        <v>0.1</v>
      </c>
      <c r="F93" s="41">
        <v>0.15</v>
      </c>
      <c r="G93" s="41">
        <v>0.15</v>
      </c>
      <c r="H93" s="41">
        <v>0.2</v>
      </c>
      <c r="I93" s="41">
        <v>1</v>
      </c>
      <c r="J93" s="39"/>
      <c r="M93" s="7"/>
    </row>
    <row r="94" spans="1:13" x14ac:dyDescent="0.25">
      <c r="A94" s="1" t="s">
        <v>42</v>
      </c>
      <c r="B94" s="41">
        <v>0</v>
      </c>
      <c r="C94" s="41">
        <v>0</v>
      </c>
      <c r="D94" s="41">
        <v>0</v>
      </c>
      <c r="E94" s="41">
        <v>0.1</v>
      </c>
      <c r="F94" s="41">
        <v>0.15</v>
      </c>
      <c r="G94" s="41">
        <v>0.15</v>
      </c>
      <c r="H94" s="41">
        <v>0.2</v>
      </c>
      <c r="I94" s="41">
        <v>1</v>
      </c>
      <c r="J94" s="39"/>
      <c r="M94" s="7"/>
    </row>
    <row r="95" spans="1:13" x14ac:dyDescent="0.25">
      <c r="A95" s="1" t="s">
        <v>6</v>
      </c>
      <c r="B95" s="41">
        <v>0</v>
      </c>
      <c r="C95" s="41">
        <v>0</v>
      </c>
      <c r="D95" s="41">
        <v>0</v>
      </c>
      <c r="E95" s="41">
        <v>0.1</v>
      </c>
      <c r="F95" s="41">
        <v>0.15</v>
      </c>
      <c r="G95" s="41">
        <v>0.15</v>
      </c>
      <c r="H95" s="41">
        <v>0.2</v>
      </c>
      <c r="I95" s="41">
        <v>1</v>
      </c>
      <c r="J95" s="39"/>
      <c r="M95" s="7"/>
    </row>
    <row r="96" spans="1:13" x14ac:dyDescent="0.25">
      <c r="A96" s="1" t="s">
        <v>50</v>
      </c>
      <c r="B96" s="41">
        <v>0</v>
      </c>
      <c r="C96" s="41">
        <v>0</v>
      </c>
      <c r="D96" s="41">
        <v>0</v>
      </c>
      <c r="E96" s="41">
        <v>0.1</v>
      </c>
      <c r="F96" s="41">
        <v>0.15</v>
      </c>
      <c r="G96" s="41">
        <v>0.15</v>
      </c>
      <c r="H96" s="41">
        <v>0.2</v>
      </c>
      <c r="I96" s="41">
        <v>1</v>
      </c>
      <c r="J96" s="39"/>
      <c r="M96" s="7"/>
    </row>
    <row r="97" spans="1:13" x14ac:dyDescent="0.25">
      <c r="A97" s="1" t="s">
        <v>89</v>
      </c>
      <c r="B97" s="41">
        <v>0</v>
      </c>
      <c r="C97" s="41">
        <v>0</v>
      </c>
      <c r="D97" s="41">
        <v>0</v>
      </c>
      <c r="E97" s="41">
        <v>0.1</v>
      </c>
      <c r="F97" s="41">
        <v>0.15</v>
      </c>
      <c r="G97" s="41">
        <v>0.15</v>
      </c>
      <c r="H97" s="41">
        <v>0.2</v>
      </c>
      <c r="I97" s="41">
        <v>1</v>
      </c>
      <c r="J97" s="39"/>
      <c r="M97" s="7"/>
    </row>
    <row r="98" spans="1:13" x14ac:dyDescent="0.25">
      <c r="A98" s="1" t="s">
        <v>5</v>
      </c>
      <c r="B98" s="41">
        <v>0</v>
      </c>
      <c r="C98" s="41">
        <v>0</v>
      </c>
      <c r="D98" s="41">
        <v>0</v>
      </c>
      <c r="E98" s="41">
        <v>0.1</v>
      </c>
      <c r="F98" s="41">
        <v>0.15</v>
      </c>
      <c r="G98" s="41">
        <v>0.15</v>
      </c>
      <c r="H98" s="41">
        <v>0.2</v>
      </c>
      <c r="I98" s="41">
        <v>1</v>
      </c>
      <c r="J98" s="39"/>
      <c r="M98" s="7"/>
    </row>
    <row r="99" spans="1:13" x14ac:dyDescent="0.25">
      <c r="A99" s="1" t="s">
        <v>84</v>
      </c>
      <c r="B99" s="41">
        <v>0</v>
      </c>
      <c r="C99" s="41">
        <v>0</v>
      </c>
      <c r="D99" s="41">
        <v>0</v>
      </c>
      <c r="E99" s="41">
        <v>0.1</v>
      </c>
      <c r="F99" s="41">
        <v>0.15</v>
      </c>
      <c r="G99" s="41">
        <v>0.15</v>
      </c>
      <c r="H99" s="41">
        <v>0.2</v>
      </c>
      <c r="I99" s="41">
        <v>1</v>
      </c>
      <c r="J99" s="39"/>
      <c r="M99" s="7"/>
    </row>
    <row r="100" spans="1:13" x14ac:dyDescent="0.25">
      <c r="A100" s="1" t="s">
        <v>4</v>
      </c>
      <c r="B100" s="41">
        <v>0</v>
      </c>
      <c r="C100" s="41">
        <v>0</v>
      </c>
      <c r="D100" s="41">
        <v>0</v>
      </c>
      <c r="E100" s="41">
        <v>0.1</v>
      </c>
      <c r="F100" s="41">
        <v>0.15</v>
      </c>
      <c r="G100" s="41">
        <v>0.15</v>
      </c>
      <c r="H100" s="41">
        <v>0.2</v>
      </c>
      <c r="I100" s="41">
        <v>1</v>
      </c>
      <c r="J100" s="39"/>
      <c r="M100" s="7"/>
    </row>
    <row r="101" spans="1:13" x14ac:dyDescent="0.25">
      <c r="A101" s="1" t="s">
        <v>51</v>
      </c>
      <c r="B101" s="41">
        <v>0</v>
      </c>
      <c r="C101" s="41">
        <v>0</v>
      </c>
      <c r="D101" s="41">
        <v>0</v>
      </c>
      <c r="E101" s="41">
        <v>0.1</v>
      </c>
      <c r="F101" s="41">
        <v>0.15</v>
      </c>
      <c r="G101" s="41">
        <v>0.15</v>
      </c>
      <c r="H101" s="41">
        <v>0.2</v>
      </c>
      <c r="I101" s="41">
        <v>1</v>
      </c>
      <c r="J101" s="39"/>
      <c r="M101" s="7"/>
    </row>
    <row r="102" spans="1:13" x14ac:dyDescent="0.25">
      <c r="A102" s="1" t="s">
        <v>85</v>
      </c>
      <c r="B102" s="41">
        <v>0</v>
      </c>
      <c r="C102" s="41">
        <v>0</v>
      </c>
      <c r="D102" s="41">
        <v>0</v>
      </c>
      <c r="E102" s="41">
        <v>0.1</v>
      </c>
      <c r="F102" s="41">
        <v>0.15</v>
      </c>
      <c r="G102" s="41">
        <v>0.15</v>
      </c>
      <c r="H102" s="41">
        <v>0.2</v>
      </c>
      <c r="I102" s="41">
        <v>1</v>
      </c>
      <c r="J102" s="39"/>
      <c r="M102" s="7"/>
    </row>
    <row r="103" spans="1:13" x14ac:dyDescent="0.25">
      <c r="A103" s="1" t="s">
        <v>2</v>
      </c>
      <c r="B103" s="41">
        <v>0</v>
      </c>
      <c r="C103" s="41">
        <v>0</v>
      </c>
      <c r="D103" s="41">
        <v>0.1</v>
      </c>
      <c r="E103" s="41">
        <v>0.5</v>
      </c>
      <c r="F103" s="41">
        <v>1</v>
      </c>
      <c r="G103" s="41">
        <v>1</v>
      </c>
      <c r="H103" s="41">
        <v>1</v>
      </c>
      <c r="I103" s="41">
        <v>1</v>
      </c>
      <c r="J103" s="39"/>
      <c r="M103" s="7"/>
    </row>
    <row r="104" spans="1:13" x14ac:dyDescent="0.25">
      <c r="A104" s="1" t="s">
        <v>86</v>
      </c>
      <c r="B104" s="41">
        <v>0</v>
      </c>
      <c r="C104" s="41">
        <v>0</v>
      </c>
      <c r="D104" s="41">
        <v>0</v>
      </c>
      <c r="E104" s="41">
        <v>0.1</v>
      </c>
      <c r="F104" s="41">
        <v>0.15</v>
      </c>
      <c r="G104" s="41">
        <v>0.15</v>
      </c>
      <c r="H104" s="41">
        <v>0.2</v>
      </c>
      <c r="I104" s="41">
        <v>1</v>
      </c>
      <c r="J104" s="39"/>
      <c r="M104" s="7"/>
    </row>
    <row r="105" spans="1:13" x14ac:dyDescent="0.25">
      <c r="A105" s="1" t="s">
        <v>29</v>
      </c>
      <c r="B105" s="41">
        <v>0</v>
      </c>
      <c r="C105" s="41">
        <v>0</v>
      </c>
      <c r="D105" s="41">
        <v>0</v>
      </c>
      <c r="E105" s="41">
        <v>0.1</v>
      </c>
      <c r="F105" s="41">
        <v>0.15</v>
      </c>
      <c r="G105" s="41">
        <v>0.15</v>
      </c>
      <c r="H105" s="41">
        <v>0.2</v>
      </c>
      <c r="I105" s="41">
        <v>1</v>
      </c>
      <c r="J105" s="39"/>
      <c r="M105" s="7"/>
    </row>
    <row r="106" spans="1:13" x14ac:dyDescent="0.25">
      <c r="A106" s="1" t="s">
        <v>52</v>
      </c>
      <c r="B106" s="41">
        <v>0</v>
      </c>
      <c r="C106" s="41">
        <v>0</v>
      </c>
      <c r="D106" s="41">
        <v>0</v>
      </c>
      <c r="E106" s="41">
        <v>0.1</v>
      </c>
      <c r="F106" s="41">
        <v>0.15</v>
      </c>
      <c r="G106" s="41">
        <v>0.15</v>
      </c>
      <c r="H106" s="41">
        <v>0.2</v>
      </c>
      <c r="I106" s="41">
        <v>1</v>
      </c>
      <c r="J106" s="39"/>
      <c r="M106" s="7"/>
    </row>
    <row r="107" spans="1:13" x14ac:dyDescent="0.25">
      <c r="A107" s="1" t="s">
        <v>1</v>
      </c>
      <c r="B107" s="41">
        <v>0</v>
      </c>
      <c r="C107" s="41">
        <v>0</v>
      </c>
      <c r="D107" s="41">
        <v>0</v>
      </c>
      <c r="E107" s="41">
        <v>0.1</v>
      </c>
      <c r="F107" s="41">
        <v>0.15</v>
      </c>
      <c r="G107" s="41">
        <v>0.15</v>
      </c>
      <c r="H107" s="41">
        <v>0.2</v>
      </c>
      <c r="I107" s="41">
        <v>1</v>
      </c>
      <c r="J107" s="39"/>
      <c r="M107" s="7"/>
    </row>
    <row r="108" spans="1:13" ht="15.75" thickBot="1" x14ac:dyDescent="0.3">
      <c r="A108" s="4"/>
      <c r="B108" s="39"/>
      <c r="C108" s="39"/>
      <c r="D108" s="39"/>
      <c r="E108" s="39"/>
      <c r="F108" s="39"/>
      <c r="G108" s="39"/>
      <c r="H108" s="39"/>
      <c r="I108" s="39"/>
      <c r="J108" s="39"/>
      <c r="M108" s="7"/>
    </row>
    <row r="109" spans="1:13" ht="15.75" thickBot="1" x14ac:dyDescent="0.3">
      <c r="A109" s="170" t="s">
        <v>60</v>
      </c>
      <c r="B109" s="171"/>
      <c r="C109" s="171"/>
      <c r="D109" s="171"/>
      <c r="E109" s="171"/>
      <c r="F109" s="171"/>
      <c r="G109" s="171"/>
      <c r="H109" s="171"/>
      <c r="I109" s="171"/>
      <c r="J109" s="172"/>
      <c r="M109" s="7"/>
    </row>
    <row r="110" spans="1:13" x14ac:dyDescent="0.25">
      <c r="A110" s="4" t="s">
        <v>16</v>
      </c>
      <c r="B110" s="5" t="s">
        <v>15</v>
      </c>
      <c r="C110" s="5" t="s">
        <v>14</v>
      </c>
      <c r="D110" s="5" t="s">
        <v>13</v>
      </c>
      <c r="E110" s="5" t="s">
        <v>12</v>
      </c>
      <c r="F110" s="5" t="s">
        <v>93</v>
      </c>
      <c r="G110" s="5" t="s">
        <v>94</v>
      </c>
      <c r="H110" s="5" t="s">
        <v>38</v>
      </c>
      <c r="I110" s="5" t="s">
        <v>9</v>
      </c>
      <c r="J110" s="5" t="s">
        <v>0</v>
      </c>
      <c r="M110" s="7"/>
    </row>
    <row r="111" spans="1:13" x14ac:dyDescent="0.25">
      <c r="A111" s="1" t="s">
        <v>49</v>
      </c>
      <c r="B111" s="66">
        <f>IF(B70&gt;0,B70*B91,0)</f>
        <v>0</v>
      </c>
      <c r="C111" s="66">
        <f t="shared" ref="C111:I111" si="46">IF(C70&gt;0,C70*C91,0)</f>
        <v>0</v>
      </c>
      <c r="D111" s="66">
        <f t="shared" si="46"/>
        <v>0</v>
      </c>
      <c r="E111" s="66">
        <f t="shared" si="46"/>
        <v>0</v>
      </c>
      <c r="F111" s="66">
        <f t="shared" si="46"/>
        <v>0</v>
      </c>
      <c r="G111" s="66">
        <f t="shared" si="46"/>
        <v>0</v>
      </c>
      <c r="H111" s="66">
        <f t="shared" si="46"/>
        <v>0</v>
      </c>
      <c r="I111" s="66">
        <f t="shared" si="46"/>
        <v>0</v>
      </c>
      <c r="J111" s="39">
        <f>SUM(B111:H111)</f>
        <v>0</v>
      </c>
      <c r="M111" s="7"/>
    </row>
    <row r="112" spans="1:13" x14ac:dyDescent="0.25">
      <c r="A112" s="1" t="s">
        <v>8</v>
      </c>
      <c r="B112" s="39">
        <f>IF(B71&gt;0,B71*B92,0)</f>
        <v>0</v>
      </c>
      <c r="C112" s="39">
        <f t="shared" ref="C112:I112" si="47">IF(C71&gt;0,C71*C92,0)</f>
        <v>0</v>
      </c>
      <c r="D112" s="39">
        <f t="shared" si="47"/>
        <v>0</v>
      </c>
      <c r="E112" s="39">
        <f t="shared" si="47"/>
        <v>0</v>
      </c>
      <c r="F112" s="39">
        <f t="shared" si="47"/>
        <v>0</v>
      </c>
      <c r="G112" s="39">
        <f t="shared" si="47"/>
        <v>0</v>
      </c>
      <c r="H112" s="39">
        <f t="shared" si="47"/>
        <v>0</v>
      </c>
      <c r="I112" s="39">
        <f t="shared" si="47"/>
        <v>0</v>
      </c>
      <c r="J112" s="39">
        <f t="shared" ref="J112:J127" si="48">SUM(B112:H112)</f>
        <v>0</v>
      </c>
      <c r="M112" s="7"/>
    </row>
    <row r="113" spans="1:13" x14ac:dyDescent="0.25">
      <c r="A113" s="1" t="s">
        <v>7</v>
      </c>
      <c r="B113" s="39">
        <f>IF(B72&gt;0,B72*B93,0)</f>
        <v>0</v>
      </c>
      <c r="C113" s="39">
        <f t="shared" ref="C113:I113" si="49">IF(C72&gt;0,C72*C93,0)</f>
        <v>0</v>
      </c>
      <c r="D113" s="39">
        <f t="shared" si="49"/>
        <v>0</v>
      </c>
      <c r="E113" s="39">
        <f t="shared" si="49"/>
        <v>0</v>
      </c>
      <c r="F113" s="39">
        <f t="shared" si="49"/>
        <v>0</v>
      </c>
      <c r="G113" s="39">
        <f t="shared" si="49"/>
        <v>0</v>
      </c>
      <c r="H113" s="39">
        <f t="shared" si="49"/>
        <v>0</v>
      </c>
      <c r="I113" s="39">
        <f t="shared" si="49"/>
        <v>0</v>
      </c>
      <c r="J113" s="39">
        <f t="shared" si="48"/>
        <v>0</v>
      </c>
      <c r="M113" s="7"/>
    </row>
    <row r="114" spans="1:13" x14ac:dyDescent="0.25">
      <c r="A114" s="1" t="s">
        <v>42</v>
      </c>
      <c r="B114" s="39">
        <f t="shared" ref="B114:B127" si="50">IF(B73&gt;0,B73*B94,0)</f>
        <v>0</v>
      </c>
      <c r="C114" s="39">
        <f t="shared" ref="C114:I114" si="51">IF(C73&gt;0,C73*C94,0)</f>
        <v>0</v>
      </c>
      <c r="D114" s="39">
        <f t="shared" si="51"/>
        <v>0</v>
      </c>
      <c r="E114" s="39">
        <f t="shared" si="51"/>
        <v>0</v>
      </c>
      <c r="F114" s="39">
        <f t="shared" si="51"/>
        <v>0</v>
      </c>
      <c r="G114" s="39">
        <f t="shared" si="51"/>
        <v>0</v>
      </c>
      <c r="H114" s="39">
        <f t="shared" si="51"/>
        <v>0</v>
      </c>
      <c r="I114" s="39">
        <f t="shared" si="51"/>
        <v>0</v>
      </c>
      <c r="J114" s="39">
        <f t="shared" si="48"/>
        <v>0</v>
      </c>
      <c r="M114" s="7"/>
    </row>
    <row r="115" spans="1:13" x14ac:dyDescent="0.25">
      <c r="A115" s="1" t="s">
        <v>6</v>
      </c>
      <c r="B115" s="39">
        <f t="shared" si="50"/>
        <v>0</v>
      </c>
      <c r="C115" s="39">
        <f t="shared" ref="C115:I115" si="52">IF(C74&gt;0,C74*C95,0)</f>
        <v>0</v>
      </c>
      <c r="D115" s="39">
        <f t="shared" si="52"/>
        <v>0</v>
      </c>
      <c r="E115" s="39">
        <f t="shared" si="52"/>
        <v>0</v>
      </c>
      <c r="F115" s="39">
        <f t="shared" si="52"/>
        <v>0</v>
      </c>
      <c r="G115" s="39">
        <f t="shared" si="52"/>
        <v>0</v>
      </c>
      <c r="H115" s="39">
        <f t="shared" si="52"/>
        <v>0</v>
      </c>
      <c r="I115" s="39">
        <f t="shared" si="52"/>
        <v>0</v>
      </c>
      <c r="J115" s="39">
        <f t="shared" si="48"/>
        <v>0</v>
      </c>
      <c r="M115" s="7"/>
    </row>
    <row r="116" spans="1:13" x14ac:dyDescent="0.25">
      <c r="A116" s="1" t="s">
        <v>50</v>
      </c>
      <c r="B116" s="39">
        <f t="shared" si="50"/>
        <v>0</v>
      </c>
      <c r="C116" s="39">
        <f t="shared" ref="C116:I116" si="53">IF(C75&gt;0,C75*C96,0)</f>
        <v>0</v>
      </c>
      <c r="D116" s="39">
        <f t="shared" si="53"/>
        <v>0</v>
      </c>
      <c r="E116" s="39">
        <f t="shared" si="53"/>
        <v>0</v>
      </c>
      <c r="F116" s="39">
        <f t="shared" si="53"/>
        <v>0</v>
      </c>
      <c r="G116" s="39">
        <f t="shared" si="53"/>
        <v>0</v>
      </c>
      <c r="H116" s="39">
        <f t="shared" si="53"/>
        <v>0</v>
      </c>
      <c r="I116" s="39">
        <f t="shared" si="53"/>
        <v>0</v>
      </c>
      <c r="J116" s="39">
        <f t="shared" si="48"/>
        <v>0</v>
      </c>
      <c r="M116" s="7"/>
    </row>
    <row r="117" spans="1:13" x14ac:dyDescent="0.25">
      <c r="A117" s="1" t="s">
        <v>89</v>
      </c>
      <c r="B117" s="39">
        <f t="shared" si="50"/>
        <v>0</v>
      </c>
      <c r="C117" s="39">
        <f t="shared" ref="C117:I117" si="54">IF(C76&gt;0,C76*C97,0)</f>
        <v>0</v>
      </c>
      <c r="D117" s="39">
        <f t="shared" si="54"/>
        <v>0</v>
      </c>
      <c r="E117" s="39">
        <f t="shared" si="54"/>
        <v>0</v>
      </c>
      <c r="F117" s="39">
        <f t="shared" si="54"/>
        <v>0</v>
      </c>
      <c r="G117" s="39">
        <f t="shared" si="54"/>
        <v>0</v>
      </c>
      <c r="H117" s="39">
        <f t="shared" si="54"/>
        <v>0</v>
      </c>
      <c r="I117" s="39">
        <f t="shared" si="54"/>
        <v>0</v>
      </c>
      <c r="J117" s="39">
        <f t="shared" si="48"/>
        <v>0</v>
      </c>
      <c r="M117" s="7"/>
    </row>
    <row r="118" spans="1:13" x14ac:dyDescent="0.25">
      <c r="A118" s="1" t="s">
        <v>5</v>
      </c>
      <c r="B118" s="39">
        <f t="shared" si="50"/>
        <v>0</v>
      </c>
      <c r="C118" s="39">
        <f t="shared" ref="C118:I118" si="55">IF(C77&gt;0,C77*C98,0)</f>
        <v>0</v>
      </c>
      <c r="D118" s="39">
        <f t="shared" si="55"/>
        <v>0</v>
      </c>
      <c r="E118" s="39">
        <f t="shared" si="55"/>
        <v>0</v>
      </c>
      <c r="F118" s="39">
        <f t="shared" si="55"/>
        <v>0</v>
      </c>
      <c r="G118" s="39">
        <f t="shared" si="55"/>
        <v>0</v>
      </c>
      <c r="H118" s="39">
        <f t="shared" si="55"/>
        <v>0</v>
      </c>
      <c r="I118" s="39">
        <f t="shared" si="55"/>
        <v>0</v>
      </c>
      <c r="J118" s="39">
        <f t="shared" si="48"/>
        <v>0</v>
      </c>
      <c r="M118" s="7"/>
    </row>
    <row r="119" spans="1:13" x14ac:dyDescent="0.25">
      <c r="A119" s="1" t="s">
        <v>84</v>
      </c>
      <c r="B119" s="39">
        <f t="shared" si="50"/>
        <v>0</v>
      </c>
      <c r="C119" s="39">
        <f t="shared" ref="C119:I119" si="56">IF(C78&gt;0,C78*C99,0)</f>
        <v>0</v>
      </c>
      <c r="D119" s="39">
        <f t="shared" si="56"/>
        <v>0</v>
      </c>
      <c r="E119" s="39">
        <f t="shared" si="56"/>
        <v>0</v>
      </c>
      <c r="F119" s="39">
        <f t="shared" si="56"/>
        <v>0</v>
      </c>
      <c r="G119" s="39">
        <f t="shared" si="56"/>
        <v>0</v>
      </c>
      <c r="H119" s="39">
        <f t="shared" si="56"/>
        <v>0</v>
      </c>
      <c r="I119" s="39">
        <f t="shared" si="56"/>
        <v>0</v>
      </c>
      <c r="J119" s="39">
        <f t="shared" si="48"/>
        <v>0</v>
      </c>
      <c r="M119" s="7"/>
    </row>
    <row r="120" spans="1:13" x14ac:dyDescent="0.25">
      <c r="A120" s="1" t="s">
        <v>4</v>
      </c>
      <c r="B120" s="39">
        <f t="shared" si="50"/>
        <v>0</v>
      </c>
      <c r="C120" s="39">
        <f t="shared" ref="C120:I120" si="57">IF(C79&gt;0,C79*C100,0)</f>
        <v>0</v>
      </c>
      <c r="D120" s="39">
        <f t="shared" si="57"/>
        <v>0</v>
      </c>
      <c r="E120" s="39">
        <f t="shared" si="57"/>
        <v>0</v>
      </c>
      <c r="F120" s="39">
        <f t="shared" si="57"/>
        <v>0</v>
      </c>
      <c r="G120" s="39">
        <f t="shared" si="57"/>
        <v>0</v>
      </c>
      <c r="H120" s="39">
        <f t="shared" si="57"/>
        <v>0</v>
      </c>
      <c r="I120" s="39">
        <f t="shared" si="57"/>
        <v>0</v>
      </c>
      <c r="J120" s="39">
        <f t="shared" si="48"/>
        <v>0</v>
      </c>
      <c r="M120" s="7"/>
    </row>
    <row r="121" spans="1:13" x14ac:dyDescent="0.25">
      <c r="A121" s="1" t="s">
        <v>51</v>
      </c>
      <c r="B121" s="39">
        <f t="shared" si="50"/>
        <v>0</v>
      </c>
      <c r="C121" s="39">
        <f t="shared" ref="C121:I121" si="58">IF(C80&gt;0,C80*C101,0)</f>
        <v>0</v>
      </c>
      <c r="D121" s="39">
        <f t="shared" si="58"/>
        <v>0</v>
      </c>
      <c r="E121" s="39">
        <f t="shared" si="58"/>
        <v>0</v>
      </c>
      <c r="F121" s="39">
        <f t="shared" si="58"/>
        <v>0</v>
      </c>
      <c r="G121" s="39">
        <f t="shared" si="58"/>
        <v>0</v>
      </c>
      <c r="H121" s="39">
        <f t="shared" si="58"/>
        <v>0</v>
      </c>
      <c r="I121" s="39">
        <f t="shared" si="58"/>
        <v>0</v>
      </c>
      <c r="J121" s="39">
        <f t="shared" si="48"/>
        <v>0</v>
      </c>
      <c r="M121" s="7"/>
    </row>
    <row r="122" spans="1:13" x14ac:dyDescent="0.25">
      <c r="A122" s="1" t="s">
        <v>85</v>
      </c>
      <c r="B122" s="39">
        <f t="shared" si="50"/>
        <v>0</v>
      </c>
      <c r="C122" s="39">
        <f t="shared" ref="C122:I122" si="59">IF(C81&gt;0,C81*C102,0)</f>
        <v>0</v>
      </c>
      <c r="D122" s="39">
        <f t="shared" si="59"/>
        <v>0</v>
      </c>
      <c r="E122" s="39">
        <f t="shared" si="59"/>
        <v>0</v>
      </c>
      <c r="F122" s="39">
        <f t="shared" si="59"/>
        <v>0</v>
      </c>
      <c r="G122" s="39">
        <f t="shared" si="59"/>
        <v>0</v>
      </c>
      <c r="H122" s="39">
        <f t="shared" si="59"/>
        <v>0</v>
      </c>
      <c r="I122" s="39">
        <f t="shared" si="59"/>
        <v>0</v>
      </c>
      <c r="J122" s="39">
        <f t="shared" si="48"/>
        <v>0</v>
      </c>
      <c r="M122" s="7"/>
    </row>
    <row r="123" spans="1:13" x14ac:dyDescent="0.25">
      <c r="A123" s="1" t="s">
        <v>2</v>
      </c>
      <c r="B123" s="39">
        <f t="shared" si="50"/>
        <v>0</v>
      </c>
      <c r="C123" s="39">
        <f t="shared" ref="C123:I123" si="60">IF(C82&gt;0,C82*C103,0)</f>
        <v>0</v>
      </c>
      <c r="D123" s="39">
        <f t="shared" si="60"/>
        <v>0</v>
      </c>
      <c r="E123" s="39">
        <f t="shared" si="60"/>
        <v>0</v>
      </c>
      <c r="F123" s="39">
        <f t="shared" si="60"/>
        <v>0</v>
      </c>
      <c r="G123" s="39">
        <f t="shared" si="60"/>
        <v>0</v>
      </c>
      <c r="H123" s="39">
        <f t="shared" si="60"/>
        <v>0</v>
      </c>
      <c r="I123" s="39">
        <f t="shared" si="60"/>
        <v>0</v>
      </c>
      <c r="J123" s="39">
        <f t="shared" si="48"/>
        <v>0</v>
      </c>
      <c r="M123" s="7"/>
    </row>
    <row r="124" spans="1:13" x14ac:dyDescent="0.25">
      <c r="A124" s="1" t="s">
        <v>86</v>
      </c>
      <c r="B124" s="39">
        <f t="shared" si="50"/>
        <v>0</v>
      </c>
      <c r="C124" s="39">
        <f t="shared" ref="C124:I124" si="61">IF(C83&gt;0,C83*C104,0)</f>
        <v>0</v>
      </c>
      <c r="D124" s="39">
        <f t="shared" si="61"/>
        <v>0</v>
      </c>
      <c r="E124" s="39">
        <f t="shared" si="61"/>
        <v>0</v>
      </c>
      <c r="F124" s="39">
        <f t="shared" si="61"/>
        <v>0</v>
      </c>
      <c r="G124" s="39">
        <f t="shared" si="61"/>
        <v>0</v>
      </c>
      <c r="H124" s="39">
        <f t="shared" si="61"/>
        <v>0</v>
      </c>
      <c r="I124" s="39">
        <f t="shared" si="61"/>
        <v>0</v>
      </c>
      <c r="J124" s="39">
        <f t="shared" si="48"/>
        <v>0</v>
      </c>
      <c r="M124" s="183" t="s">
        <v>62</v>
      </c>
    </row>
    <row r="125" spans="1:13" x14ac:dyDescent="0.25">
      <c r="A125" s="1" t="s">
        <v>29</v>
      </c>
      <c r="B125" s="39">
        <f t="shared" si="50"/>
        <v>0</v>
      </c>
      <c r="C125" s="39">
        <f t="shared" ref="C125:I125" si="62">IF(C84&gt;0,C84*C105,0)</f>
        <v>0</v>
      </c>
      <c r="D125" s="39">
        <f t="shared" si="62"/>
        <v>0</v>
      </c>
      <c r="E125" s="39">
        <f t="shared" si="62"/>
        <v>0</v>
      </c>
      <c r="F125" s="39">
        <f t="shared" si="62"/>
        <v>0</v>
      </c>
      <c r="G125" s="39">
        <f t="shared" si="62"/>
        <v>0</v>
      </c>
      <c r="H125" s="39">
        <f t="shared" si="62"/>
        <v>0</v>
      </c>
      <c r="I125" s="39">
        <f t="shared" si="62"/>
        <v>0</v>
      </c>
      <c r="J125" s="39">
        <f t="shared" si="48"/>
        <v>0</v>
      </c>
      <c r="M125" s="183"/>
    </row>
    <row r="126" spans="1:13" x14ac:dyDescent="0.25">
      <c r="A126" s="1" t="s">
        <v>52</v>
      </c>
      <c r="B126" s="39">
        <f t="shared" si="50"/>
        <v>0</v>
      </c>
      <c r="C126" s="39">
        <f t="shared" ref="C126:I126" si="63">IF(C85&gt;0,C85*C106,0)</f>
        <v>0</v>
      </c>
      <c r="D126" s="39">
        <f t="shared" si="63"/>
        <v>0</v>
      </c>
      <c r="E126" s="39">
        <f t="shared" si="63"/>
        <v>0</v>
      </c>
      <c r="F126" s="39">
        <f t="shared" si="63"/>
        <v>0</v>
      </c>
      <c r="G126" s="39">
        <f t="shared" si="63"/>
        <v>0</v>
      </c>
      <c r="H126" s="39">
        <f t="shared" si="63"/>
        <v>0</v>
      </c>
      <c r="I126" s="39">
        <f t="shared" si="63"/>
        <v>0</v>
      </c>
      <c r="J126" s="39">
        <f t="shared" si="48"/>
        <v>0</v>
      </c>
      <c r="L126" s="35" t="s">
        <v>151</v>
      </c>
      <c r="M126" s="183" t="s">
        <v>63</v>
      </c>
    </row>
    <row r="127" spans="1:13" x14ac:dyDescent="0.25">
      <c r="A127" s="1" t="s">
        <v>1</v>
      </c>
      <c r="B127" s="40">
        <f t="shared" si="50"/>
        <v>0</v>
      </c>
      <c r="C127" s="40">
        <f t="shared" ref="C127:I127" si="64">IF(C86&gt;0,C86*C107,0)</f>
        <v>0</v>
      </c>
      <c r="D127" s="40">
        <f t="shared" si="64"/>
        <v>0</v>
      </c>
      <c r="E127" s="40">
        <f t="shared" si="64"/>
        <v>0</v>
      </c>
      <c r="F127" s="40">
        <f t="shared" si="64"/>
        <v>0</v>
      </c>
      <c r="G127" s="40">
        <f t="shared" si="64"/>
        <v>0</v>
      </c>
      <c r="H127" s="40">
        <f t="shared" si="64"/>
        <v>0</v>
      </c>
      <c r="I127" s="40">
        <f t="shared" si="64"/>
        <v>0</v>
      </c>
      <c r="J127" s="40">
        <f t="shared" si="48"/>
        <v>0</v>
      </c>
      <c r="L127" s="42" t="s">
        <v>61</v>
      </c>
      <c r="M127" s="184"/>
    </row>
    <row r="128" spans="1:13" x14ac:dyDescent="0.25">
      <c r="A128" s="4"/>
      <c r="B128" s="39">
        <f>SUM(B111:B127)</f>
        <v>0</v>
      </c>
      <c r="C128" s="39">
        <f t="shared" ref="C128:J128" si="65">SUM(C111:C127)</f>
        <v>0</v>
      </c>
      <c r="D128" s="39">
        <f t="shared" si="65"/>
        <v>0</v>
      </c>
      <c r="E128" s="39">
        <f t="shared" si="65"/>
        <v>0</v>
      </c>
      <c r="F128" s="39">
        <f t="shared" si="65"/>
        <v>0</v>
      </c>
      <c r="G128" s="39">
        <f t="shared" si="65"/>
        <v>0</v>
      </c>
      <c r="H128" s="39">
        <f t="shared" si="65"/>
        <v>0</v>
      </c>
      <c r="I128" s="39">
        <f t="shared" si="65"/>
        <v>0</v>
      </c>
      <c r="J128" s="39">
        <f t="shared" si="65"/>
        <v>0</v>
      </c>
      <c r="L128" s="108">
        <v>60000</v>
      </c>
      <c r="M128" s="7">
        <f>J128-L128</f>
        <v>-60000</v>
      </c>
    </row>
    <row r="129" spans="1:13" ht="15.75" thickBot="1" x14ac:dyDescent="0.3">
      <c r="A129" s="4"/>
      <c r="B129" s="39"/>
      <c r="C129" s="39"/>
      <c r="D129" s="39"/>
      <c r="E129" s="39"/>
      <c r="F129" s="39"/>
      <c r="G129" s="39"/>
      <c r="H129" s="39"/>
      <c r="I129" s="39"/>
      <c r="J129" s="39"/>
      <c r="M129" s="7"/>
    </row>
    <row r="130" spans="1:13" ht="15.75" thickBot="1" x14ac:dyDescent="0.3">
      <c r="A130" s="170" t="s">
        <v>30</v>
      </c>
      <c r="B130" s="171"/>
      <c r="C130" s="171"/>
      <c r="D130" s="171"/>
      <c r="E130" s="171"/>
      <c r="F130" s="171"/>
      <c r="G130" s="171"/>
      <c r="H130" s="171"/>
      <c r="I130" s="171"/>
      <c r="J130" s="172"/>
      <c r="M130" s="7"/>
    </row>
    <row r="131" spans="1:13" x14ac:dyDescent="0.25">
      <c r="A131" s="4" t="s">
        <v>16</v>
      </c>
      <c r="B131" s="5" t="s">
        <v>15</v>
      </c>
      <c r="C131" s="5" t="s">
        <v>14</v>
      </c>
      <c r="D131" s="5" t="s">
        <v>13</v>
      </c>
      <c r="E131" s="5" t="s">
        <v>12</v>
      </c>
      <c r="F131" s="5" t="s">
        <v>93</v>
      </c>
      <c r="G131" s="5" t="s">
        <v>94</v>
      </c>
      <c r="H131" s="5" t="s">
        <v>38</v>
      </c>
      <c r="I131" s="5" t="s">
        <v>9</v>
      </c>
      <c r="J131" s="5" t="s">
        <v>0</v>
      </c>
      <c r="M131" s="7"/>
    </row>
    <row r="132" spans="1:13" x14ac:dyDescent="0.25">
      <c r="A132" s="1" t="s">
        <v>49</v>
      </c>
      <c r="B132" s="39">
        <f>B70-B111</f>
        <v>0</v>
      </c>
      <c r="C132" s="39">
        <f t="shared" ref="C132:I132" si="66">C70-C111</f>
        <v>0</v>
      </c>
      <c r="D132" s="39">
        <f t="shared" si="66"/>
        <v>0</v>
      </c>
      <c r="E132" s="39">
        <f t="shared" si="66"/>
        <v>0</v>
      </c>
      <c r="F132" s="39">
        <f t="shared" si="66"/>
        <v>0</v>
      </c>
      <c r="G132" s="39">
        <f t="shared" si="66"/>
        <v>0</v>
      </c>
      <c r="H132" s="39">
        <f t="shared" si="66"/>
        <v>0</v>
      </c>
      <c r="I132" s="39">
        <f t="shared" si="66"/>
        <v>0</v>
      </c>
      <c r="J132" s="39">
        <f>SUM(B132:H132)</f>
        <v>0</v>
      </c>
      <c r="M132" s="7"/>
    </row>
    <row r="133" spans="1:13" x14ac:dyDescent="0.25">
      <c r="A133" s="1" t="s">
        <v>8</v>
      </c>
      <c r="B133" s="39">
        <f>B71-B112</f>
        <v>0</v>
      </c>
      <c r="C133" s="39">
        <f t="shared" ref="C133:I133" si="67">C71-C112</f>
        <v>0</v>
      </c>
      <c r="D133" s="39">
        <f t="shared" si="67"/>
        <v>0</v>
      </c>
      <c r="E133" s="39">
        <f t="shared" si="67"/>
        <v>0</v>
      </c>
      <c r="F133" s="39">
        <f t="shared" si="67"/>
        <v>0</v>
      </c>
      <c r="G133" s="39">
        <f t="shared" si="67"/>
        <v>0</v>
      </c>
      <c r="H133" s="39">
        <f t="shared" si="67"/>
        <v>0</v>
      </c>
      <c r="I133" s="39">
        <f t="shared" si="67"/>
        <v>0</v>
      </c>
      <c r="J133" s="39">
        <f t="shared" ref="J133:J148" si="68">SUM(B133:H133)</f>
        <v>0</v>
      </c>
      <c r="M133" s="7"/>
    </row>
    <row r="134" spans="1:13" x14ac:dyDescent="0.25">
      <c r="A134" s="1" t="s">
        <v>7</v>
      </c>
      <c r="B134" s="39">
        <f>B72-B113</f>
        <v>0</v>
      </c>
      <c r="C134" s="39">
        <f t="shared" ref="C134:I134" si="69">C72-C113</f>
        <v>0</v>
      </c>
      <c r="D134" s="39">
        <f t="shared" si="69"/>
        <v>0</v>
      </c>
      <c r="E134" s="39">
        <f t="shared" si="69"/>
        <v>0</v>
      </c>
      <c r="F134" s="39">
        <f t="shared" si="69"/>
        <v>0</v>
      </c>
      <c r="G134" s="39">
        <f t="shared" si="69"/>
        <v>0</v>
      </c>
      <c r="H134" s="39">
        <f t="shared" si="69"/>
        <v>0</v>
      </c>
      <c r="I134" s="39">
        <f t="shared" si="69"/>
        <v>0</v>
      </c>
      <c r="J134" s="39">
        <f t="shared" si="68"/>
        <v>0</v>
      </c>
      <c r="M134" s="7"/>
    </row>
    <row r="135" spans="1:13" x14ac:dyDescent="0.25">
      <c r="A135" s="1" t="s">
        <v>42</v>
      </c>
      <c r="B135" s="39">
        <f t="shared" ref="B135:B148" si="70">B73-B114</f>
        <v>0</v>
      </c>
      <c r="C135" s="39">
        <f t="shared" ref="C135:I135" si="71">C73-C114</f>
        <v>0</v>
      </c>
      <c r="D135" s="39">
        <f t="shared" si="71"/>
        <v>0</v>
      </c>
      <c r="E135" s="39">
        <f t="shared" si="71"/>
        <v>0</v>
      </c>
      <c r="F135" s="39">
        <f t="shared" si="71"/>
        <v>0</v>
      </c>
      <c r="G135" s="39">
        <f t="shared" si="71"/>
        <v>0</v>
      </c>
      <c r="H135" s="39">
        <f t="shared" si="71"/>
        <v>0</v>
      </c>
      <c r="I135" s="39">
        <f t="shared" si="71"/>
        <v>0</v>
      </c>
      <c r="J135" s="39">
        <f t="shared" si="68"/>
        <v>0</v>
      </c>
      <c r="M135" s="7"/>
    </row>
    <row r="136" spans="1:13" x14ac:dyDescent="0.25">
      <c r="A136" s="1" t="s">
        <v>6</v>
      </c>
      <c r="B136" s="39">
        <f t="shared" si="70"/>
        <v>0</v>
      </c>
      <c r="C136" s="39">
        <f t="shared" ref="C136:I136" si="72">C74-C115</f>
        <v>0</v>
      </c>
      <c r="D136" s="39">
        <f t="shared" si="72"/>
        <v>0</v>
      </c>
      <c r="E136" s="39">
        <f t="shared" si="72"/>
        <v>0</v>
      </c>
      <c r="F136" s="39">
        <f t="shared" si="72"/>
        <v>0</v>
      </c>
      <c r="G136" s="39">
        <f t="shared" si="72"/>
        <v>0</v>
      </c>
      <c r="H136" s="39">
        <f t="shared" si="72"/>
        <v>0</v>
      </c>
      <c r="I136" s="39">
        <f t="shared" si="72"/>
        <v>0</v>
      </c>
      <c r="J136" s="39">
        <f t="shared" si="68"/>
        <v>0</v>
      </c>
      <c r="M136" s="7"/>
    </row>
    <row r="137" spans="1:13" x14ac:dyDescent="0.25">
      <c r="A137" s="1" t="s">
        <v>50</v>
      </c>
      <c r="B137" s="39">
        <f t="shared" si="70"/>
        <v>0</v>
      </c>
      <c r="C137" s="39">
        <f t="shared" ref="C137:I137" si="73">C75-C116</f>
        <v>0</v>
      </c>
      <c r="D137" s="39">
        <f t="shared" si="73"/>
        <v>0</v>
      </c>
      <c r="E137" s="39">
        <f t="shared" si="73"/>
        <v>0</v>
      </c>
      <c r="F137" s="39">
        <f t="shared" si="73"/>
        <v>0</v>
      </c>
      <c r="G137" s="39">
        <f t="shared" si="73"/>
        <v>0</v>
      </c>
      <c r="H137" s="39">
        <f t="shared" si="73"/>
        <v>0</v>
      </c>
      <c r="I137" s="39">
        <f t="shared" si="73"/>
        <v>0</v>
      </c>
      <c r="J137" s="39">
        <f t="shared" si="68"/>
        <v>0</v>
      </c>
      <c r="M137" s="7"/>
    </row>
    <row r="138" spans="1:13" x14ac:dyDescent="0.25">
      <c r="A138" s="1" t="s">
        <v>89</v>
      </c>
      <c r="B138" s="39">
        <f t="shared" si="70"/>
        <v>0</v>
      </c>
      <c r="C138" s="39">
        <f t="shared" ref="C138:I138" si="74">C76-C117</f>
        <v>0</v>
      </c>
      <c r="D138" s="39">
        <f t="shared" si="74"/>
        <v>0</v>
      </c>
      <c r="E138" s="39">
        <f t="shared" si="74"/>
        <v>0</v>
      </c>
      <c r="F138" s="39">
        <f t="shared" si="74"/>
        <v>0</v>
      </c>
      <c r="G138" s="39">
        <f t="shared" si="74"/>
        <v>0</v>
      </c>
      <c r="H138" s="39">
        <f t="shared" si="74"/>
        <v>0</v>
      </c>
      <c r="I138" s="39">
        <f t="shared" si="74"/>
        <v>0</v>
      </c>
      <c r="J138" s="39">
        <f t="shared" si="68"/>
        <v>0</v>
      </c>
      <c r="M138" s="7"/>
    </row>
    <row r="139" spans="1:13" x14ac:dyDescent="0.25">
      <c r="A139" s="1" t="s">
        <v>5</v>
      </c>
      <c r="B139" s="39">
        <f t="shared" si="70"/>
        <v>0</v>
      </c>
      <c r="C139" s="39">
        <f t="shared" ref="C139:I139" si="75">C77-C118</f>
        <v>0</v>
      </c>
      <c r="D139" s="39">
        <f t="shared" si="75"/>
        <v>0</v>
      </c>
      <c r="E139" s="39">
        <f t="shared" si="75"/>
        <v>0</v>
      </c>
      <c r="F139" s="39">
        <f t="shared" si="75"/>
        <v>0</v>
      </c>
      <c r="G139" s="39">
        <f t="shared" si="75"/>
        <v>0</v>
      </c>
      <c r="H139" s="39">
        <f t="shared" si="75"/>
        <v>0</v>
      </c>
      <c r="I139" s="39">
        <f t="shared" si="75"/>
        <v>0</v>
      </c>
      <c r="J139" s="39">
        <f t="shared" si="68"/>
        <v>0</v>
      </c>
      <c r="M139" s="7"/>
    </row>
    <row r="140" spans="1:13" x14ac:dyDescent="0.25">
      <c r="A140" s="1" t="s">
        <v>84</v>
      </c>
      <c r="B140" s="39">
        <f t="shared" si="70"/>
        <v>0</v>
      </c>
      <c r="C140" s="39">
        <f t="shared" ref="C140:I140" si="76">C78-C119</f>
        <v>0</v>
      </c>
      <c r="D140" s="39">
        <f t="shared" si="76"/>
        <v>0</v>
      </c>
      <c r="E140" s="39">
        <f t="shared" si="76"/>
        <v>0</v>
      </c>
      <c r="F140" s="39">
        <f t="shared" si="76"/>
        <v>0</v>
      </c>
      <c r="G140" s="39">
        <f t="shared" si="76"/>
        <v>0</v>
      </c>
      <c r="H140" s="39">
        <f t="shared" si="76"/>
        <v>0</v>
      </c>
      <c r="I140" s="39">
        <f t="shared" si="76"/>
        <v>0</v>
      </c>
      <c r="J140" s="39">
        <f t="shared" si="68"/>
        <v>0</v>
      </c>
      <c r="M140" s="7"/>
    </row>
    <row r="141" spans="1:13" x14ac:dyDescent="0.25">
      <c r="A141" s="1" t="s">
        <v>4</v>
      </c>
      <c r="B141" s="39">
        <f t="shared" si="70"/>
        <v>0</v>
      </c>
      <c r="C141" s="39">
        <f t="shared" ref="C141:I141" si="77">C79-C120</f>
        <v>0</v>
      </c>
      <c r="D141" s="39">
        <f t="shared" si="77"/>
        <v>0</v>
      </c>
      <c r="E141" s="39">
        <f t="shared" si="77"/>
        <v>0</v>
      </c>
      <c r="F141" s="39">
        <f t="shared" si="77"/>
        <v>0</v>
      </c>
      <c r="G141" s="39">
        <f t="shared" si="77"/>
        <v>0</v>
      </c>
      <c r="H141" s="39">
        <f t="shared" si="77"/>
        <v>0</v>
      </c>
      <c r="I141" s="39">
        <f t="shared" si="77"/>
        <v>0</v>
      </c>
      <c r="J141" s="39">
        <f t="shared" si="68"/>
        <v>0</v>
      </c>
      <c r="M141" s="7"/>
    </row>
    <row r="142" spans="1:13" x14ac:dyDescent="0.25">
      <c r="A142" s="1" t="s">
        <v>51</v>
      </c>
      <c r="B142" s="39">
        <f t="shared" si="70"/>
        <v>0</v>
      </c>
      <c r="C142" s="39">
        <f t="shared" ref="C142:I142" si="78">C80-C121</f>
        <v>0</v>
      </c>
      <c r="D142" s="39">
        <f t="shared" si="78"/>
        <v>0</v>
      </c>
      <c r="E142" s="39">
        <f t="shared" si="78"/>
        <v>0</v>
      </c>
      <c r="F142" s="39">
        <f t="shared" si="78"/>
        <v>0</v>
      </c>
      <c r="G142" s="39">
        <f t="shared" si="78"/>
        <v>0</v>
      </c>
      <c r="H142" s="39">
        <f t="shared" si="78"/>
        <v>0</v>
      </c>
      <c r="I142" s="39">
        <f t="shared" si="78"/>
        <v>0</v>
      </c>
      <c r="J142" s="39">
        <f t="shared" si="68"/>
        <v>0</v>
      </c>
      <c r="M142" s="7"/>
    </row>
    <row r="143" spans="1:13" x14ac:dyDescent="0.25">
      <c r="A143" s="1" t="s">
        <v>85</v>
      </c>
      <c r="B143" s="39">
        <f t="shared" si="70"/>
        <v>0</v>
      </c>
      <c r="C143" s="39">
        <f t="shared" ref="C143:I143" si="79">C81-C122</f>
        <v>0</v>
      </c>
      <c r="D143" s="39">
        <f t="shared" si="79"/>
        <v>0</v>
      </c>
      <c r="E143" s="39">
        <f t="shared" si="79"/>
        <v>0</v>
      </c>
      <c r="F143" s="39">
        <f t="shared" si="79"/>
        <v>0</v>
      </c>
      <c r="G143" s="39">
        <f t="shared" si="79"/>
        <v>0</v>
      </c>
      <c r="H143" s="39">
        <f t="shared" si="79"/>
        <v>0</v>
      </c>
      <c r="I143" s="39">
        <f t="shared" si="79"/>
        <v>0</v>
      </c>
      <c r="J143" s="39">
        <f t="shared" si="68"/>
        <v>0</v>
      </c>
      <c r="M143" s="7"/>
    </row>
    <row r="144" spans="1:13" x14ac:dyDescent="0.25">
      <c r="A144" s="1" t="s">
        <v>2</v>
      </c>
      <c r="B144" s="39">
        <f t="shared" si="70"/>
        <v>0</v>
      </c>
      <c r="C144" s="39">
        <f t="shared" ref="C144:I144" si="80">C82-C123</f>
        <v>0</v>
      </c>
      <c r="D144" s="39">
        <f t="shared" si="80"/>
        <v>0</v>
      </c>
      <c r="E144" s="39">
        <f t="shared" si="80"/>
        <v>0</v>
      </c>
      <c r="F144" s="39">
        <f t="shared" si="80"/>
        <v>0</v>
      </c>
      <c r="G144" s="39">
        <f t="shared" si="80"/>
        <v>0</v>
      </c>
      <c r="H144" s="39">
        <f t="shared" si="80"/>
        <v>0</v>
      </c>
      <c r="I144" s="39">
        <f t="shared" si="80"/>
        <v>0</v>
      </c>
      <c r="J144" s="39">
        <f t="shared" si="68"/>
        <v>0</v>
      </c>
      <c r="M144" s="7"/>
    </row>
    <row r="145" spans="1:13" x14ac:dyDescent="0.25">
      <c r="A145" s="1" t="s">
        <v>86</v>
      </c>
      <c r="B145" s="39">
        <f t="shared" si="70"/>
        <v>0</v>
      </c>
      <c r="C145" s="39">
        <f t="shared" ref="C145:I145" si="81">C83-C124</f>
        <v>0</v>
      </c>
      <c r="D145" s="39">
        <f t="shared" si="81"/>
        <v>0</v>
      </c>
      <c r="E145" s="39">
        <f t="shared" si="81"/>
        <v>0</v>
      </c>
      <c r="F145" s="39">
        <f t="shared" si="81"/>
        <v>0</v>
      </c>
      <c r="G145" s="39">
        <f t="shared" si="81"/>
        <v>0</v>
      </c>
      <c r="H145" s="39">
        <f t="shared" si="81"/>
        <v>0</v>
      </c>
      <c r="I145" s="39">
        <f t="shared" si="81"/>
        <v>0</v>
      </c>
      <c r="J145" s="39">
        <f t="shared" si="68"/>
        <v>0</v>
      </c>
      <c r="M145" s="7"/>
    </row>
    <row r="146" spans="1:13" x14ac:dyDescent="0.25">
      <c r="A146" s="1" t="s">
        <v>29</v>
      </c>
      <c r="B146" s="39">
        <f t="shared" si="70"/>
        <v>0</v>
      </c>
      <c r="C146" s="39">
        <f t="shared" ref="C146:I146" si="82">C84-C125</f>
        <v>0</v>
      </c>
      <c r="D146" s="39">
        <f t="shared" si="82"/>
        <v>0</v>
      </c>
      <c r="E146" s="39">
        <f t="shared" si="82"/>
        <v>0</v>
      </c>
      <c r="F146" s="39">
        <f t="shared" si="82"/>
        <v>0</v>
      </c>
      <c r="G146" s="39">
        <f t="shared" si="82"/>
        <v>0</v>
      </c>
      <c r="H146" s="39">
        <f t="shared" si="82"/>
        <v>0</v>
      </c>
      <c r="I146" s="39">
        <f t="shared" si="82"/>
        <v>0</v>
      </c>
      <c r="J146" s="39">
        <f t="shared" si="68"/>
        <v>0</v>
      </c>
      <c r="M146" s="7"/>
    </row>
    <row r="147" spans="1:13" x14ac:dyDescent="0.25">
      <c r="A147" s="1" t="s">
        <v>52</v>
      </c>
      <c r="B147" s="39">
        <f t="shared" si="70"/>
        <v>0</v>
      </c>
      <c r="C147" s="39">
        <f t="shared" ref="C147:I147" si="83">C85-C126</f>
        <v>0</v>
      </c>
      <c r="D147" s="39">
        <f t="shared" si="83"/>
        <v>0</v>
      </c>
      <c r="E147" s="39">
        <f t="shared" si="83"/>
        <v>0</v>
      </c>
      <c r="F147" s="39">
        <f t="shared" si="83"/>
        <v>0</v>
      </c>
      <c r="G147" s="39">
        <f t="shared" si="83"/>
        <v>0</v>
      </c>
      <c r="H147" s="39">
        <f t="shared" si="83"/>
        <v>0</v>
      </c>
      <c r="I147" s="39">
        <f t="shared" si="83"/>
        <v>0</v>
      </c>
      <c r="J147" s="39">
        <f t="shared" si="68"/>
        <v>0</v>
      </c>
      <c r="M147" s="7"/>
    </row>
    <row r="148" spans="1:13" x14ac:dyDescent="0.25">
      <c r="A148" s="1" t="s">
        <v>1</v>
      </c>
      <c r="B148" s="40">
        <f t="shared" si="70"/>
        <v>0</v>
      </c>
      <c r="C148" s="40">
        <f t="shared" ref="C148:I148" si="84">C86-C127</f>
        <v>0</v>
      </c>
      <c r="D148" s="40">
        <f t="shared" si="84"/>
        <v>0</v>
      </c>
      <c r="E148" s="40">
        <f t="shared" si="84"/>
        <v>0</v>
      </c>
      <c r="F148" s="40">
        <f t="shared" si="84"/>
        <v>0</v>
      </c>
      <c r="G148" s="40">
        <f t="shared" si="84"/>
        <v>0</v>
      </c>
      <c r="H148" s="40">
        <f t="shared" si="84"/>
        <v>0</v>
      </c>
      <c r="I148" s="40">
        <f t="shared" si="84"/>
        <v>0</v>
      </c>
      <c r="J148" s="40">
        <f t="shared" si="68"/>
        <v>0</v>
      </c>
      <c r="M148" s="7"/>
    </row>
    <row r="149" spans="1:13" x14ac:dyDescent="0.25">
      <c r="A149" s="4"/>
      <c r="B149" s="39">
        <f>SUM(B132:B148)</f>
        <v>0</v>
      </c>
      <c r="C149" s="39">
        <f t="shared" ref="C149:J149" si="85">SUM(C132:C148)</f>
        <v>0</v>
      </c>
      <c r="D149" s="39">
        <f t="shared" si="85"/>
        <v>0</v>
      </c>
      <c r="E149" s="39">
        <f t="shared" si="85"/>
        <v>0</v>
      </c>
      <c r="F149" s="39">
        <f t="shared" si="85"/>
        <v>0</v>
      </c>
      <c r="G149" s="39">
        <f t="shared" si="85"/>
        <v>0</v>
      </c>
      <c r="H149" s="39">
        <f t="shared" si="85"/>
        <v>0</v>
      </c>
      <c r="I149" s="39">
        <f t="shared" si="85"/>
        <v>0</v>
      </c>
      <c r="J149" s="39">
        <f t="shared" si="85"/>
        <v>0</v>
      </c>
      <c r="M149" s="7"/>
    </row>
    <row r="150" spans="1:13" x14ac:dyDescent="0.25">
      <c r="A150" s="4"/>
      <c r="B150" s="39"/>
      <c r="C150" s="39"/>
      <c r="D150" s="39"/>
      <c r="E150" s="39"/>
      <c r="F150" s="39"/>
      <c r="G150" s="39"/>
      <c r="H150" s="39"/>
      <c r="I150" s="39"/>
      <c r="J150" s="39"/>
      <c r="M150" s="7"/>
    </row>
    <row r="151" spans="1:13" x14ac:dyDescent="0.25">
      <c r="A151" s="4"/>
      <c r="B151" s="39"/>
      <c r="C151" s="39"/>
      <c r="D151" s="39"/>
      <c r="E151" s="39"/>
      <c r="F151" s="39"/>
      <c r="G151" s="39"/>
      <c r="H151" s="39"/>
      <c r="I151" s="39"/>
      <c r="J151" s="39"/>
      <c r="M151" s="7"/>
    </row>
    <row r="152" spans="1:13" x14ac:dyDescent="0.25">
      <c r="A152" s="4"/>
      <c r="B152" s="39"/>
      <c r="C152" s="39"/>
      <c r="D152" s="39"/>
      <c r="E152" s="39"/>
      <c r="F152" s="39"/>
      <c r="G152" s="39"/>
      <c r="H152" s="39"/>
      <c r="I152" s="39"/>
      <c r="J152" s="39"/>
      <c r="M152" s="7"/>
    </row>
    <row r="153" spans="1:13" x14ac:dyDescent="0.25">
      <c r="A153" s="4"/>
      <c r="B153" s="39"/>
      <c r="C153" s="39"/>
      <c r="D153" s="39"/>
      <c r="E153" s="39"/>
      <c r="F153" s="39"/>
      <c r="G153" s="39"/>
      <c r="H153" s="39"/>
      <c r="I153" s="39"/>
      <c r="J153" s="39"/>
      <c r="M153" s="7"/>
    </row>
    <row r="154" spans="1:13" x14ac:dyDescent="0.25">
      <c r="A154" s="4"/>
      <c r="B154" s="39"/>
      <c r="C154" s="39"/>
      <c r="D154" s="39"/>
      <c r="E154" s="39"/>
      <c r="F154" s="39"/>
      <c r="G154" s="39"/>
      <c r="H154" s="39"/>
      <c r="I154" s="39"/>
      <c r="J154" s="39"/>
      <c r="M154" s="7"/>
    </row>
    <row r="155" spans="1:13" x14ac:dyDescent="0.25">
      <c r="A155" s="4"/>
      <c r="B155" s="39"/>
      <c r="C155" s="39"/>
      <c r="D155" s="39"/>
      <c r="E155" s="39"/>
      <c r="F155" s="39"/>
      <c r="G155" s="39"/>
      <c r="H155" s="39"/>
      <c r="I155" s="39"/>
      <c r="J155" s="39"/>
      <c r="M155" s="7"/>
    </row>
    <row r="156" spans="1:13" x14ac:dyDescent="0.25">
      <c r="A156" s="4"/>
      <c r="B156" s="39"/>
      <c r="C156" s="39"/>
      <c r="D156" s="39"/>
      <c r="E156" s="39"/>
      <c r="F156" s="39"/>
      <c r="G156" s="39"/>
      <c r="H156" s="39"/>
      <c r="I156" s="39"/>
      <c r="J156" s="39"/>
      <c r="M156" s="7"/>
    </row>
    <row r="157" spans="1:13" x14ac:dyDescent="0.25">
      <c r="A157" s="1"/>
      <c r="B157" s="9"/>
      <c r="C157" s="9"/>
      <c r="D157" s="9"/>
      <c r="E157" s="9"/>
      <c r="F157" s="9"/>
      <c r="G157" s="9"/>
      <c r="H157" s="9"/>
      <c r="I157" s="9"/>
      <c r="J157" s="9"/>
      <c r="M157" s="7"/>
    </row>
    <row r="158" spans="1:13" x14ac:dyDescent="0.25">
      <c r="A158" s="1"/>
      <c r="B158" s="9"/>
      <c r="C158" s="9"/>
      <c r="D158" s="9"/>
      <c r="E158" s="9"/>
      <c r="F158" s="9"/>
      <c r="G158" s="9"/>
      <c r="H158" s="9"/>
      <c r="I158" s="9"/>
      <c r="J158" s="9"/>
      <c r="M158" s="7"/>
    </row>
  </sheetData>
  <mergeCells count="16">
    <mergeCell ref="A1:M1"/>
    <mergeCell ref="A2:M2"/>
    <mergeCell ref="A3:M3"/>
    <mergeCell ref="A4:M4"/>
    <mergeCell ref="A6:J6"/>
    <mergeCell ref="L6:M6"/>
    <mergeCell ref="A109:J109"/>
    <mergeCell ref="M124:M125"/>
    <mergeCell ref="M126:M127"/>
    <mergeCell ref="A130:J130"/>
    <mergeCell ref="A27:J27"/>
    <mergeCell ref="A47:J47"/>
    <mergeCell ref="M62:M63"/>
    <mergeCell ref="M64:M65"/>
    <mergeCell ref="A68:J68"/>
    <mergeCell ref="A89:J89"/>
  </mergeCells>
  <pageMargins left="0.7" right="0.7" top="0.75" bottom="0.75" header="0.3" footer="0.3"/>
  <pageSetup scale="31"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Q158"/>
  <sheetViews>
    <sheetView topLeftCell="A118" zoomScale="85" zoomScaleNormal="85" workbookViewId="0">
      <selection activeCell="B7" sqref="B7:I7"/>
    </sheetView>
  </sheetViews>
  <sheetFormatPr defaultColWidth="9.140625" defaultRowHeight="15" x14ac:dyDescent="0.25"/>
  <cols>
    <col min="1" max="1" width="38.85546875" bestFit="1" customWidth="1"/>
    <col min="2" max="10" width="12.7109375" customWidth="1"/>
    <col min="11" max="11" width="2.5703125" customWidth="1"/>
    <col min="12" max="12" width="12.7109375" customWidth="1"/>
    <col min="13" max="13" width="30.7109375" customWidth="1"/>
    <col min="14" max="14" width="18.5703125" customWidth="1"/>
  </cols>
  <sheetData>
    <row r="1" spans="1:15" ht="18.75" x14ac:dyDescent="0.3">
      <c r="A1" s="173" t="s">
        <v>17</v>
      </c>
      <c r="B1" s="173"/>
      <c r="C1" s="173"/>
      <c r="D1" s="173"/>
      <c r="E1" s="173"/>
      <c r="F1" s="173"/>
      <c r="G1" s="173"/>
      <c r="H1" s="173"/>
      <c r="I1" s="173"/>
      <c r="J1" s="173"/>
      <c r="K1" s="173"/>
      <c r="L1" s="173"/>
      <c r="M1" s="173"/>
      <c r="O1" s="31"/>
    </row>
    <row r="2" spans="1:15" ht="15.75" x14ac:dyDescent="0.25">
      <c r="A2" s="174" t="s">
        <v>269</v>
      </c>
      <c r="B2" s="174"/>
      <c r="C2" s="174"/>
      <c r="D2" s="174"/>
      <c r="E2" s="174"/>
      <c r="F2" s="174"/>
      <c r="G2" s="174"/>
      <c r="H2" s="174"/>
      <c r="I2" s="174"/>
      <c r="J2" s="174"/>
      <c r="K2" s="174"/>
      <c r="L2" s="174"/>
      <c r="M2" s="174"/>
      <c r="O2" s="31"/>
    </row>
    <row r="3" spans="1:15" x14ac:dyDescent="0.25">
      <c r="A3" s="175" t="s">
        <v>31</v>
      </c>
      <c r="B3" s="175"/>
      <c r="C3" s="175"/>
      <c r="D3" s="175"/>
      <c r="E3" s="175"/>
      <c r="F3" s="175"/>
      <c r="G3" s="175"/>
      <c r="H3" s="175"/>
      <c r="I3" s="175"/>
      <c r="J3" s="175"/>
      <c r="K3" s="175"/>
      <c r="L3" s="175"/>
      <c r="M3" s="175"/>
    </row>
    <row r="4" spans="1:15" x14ac:dyDescent="0.25">
      <c r="A4" s="187">
        <f>'Company Summary'!A4:J4</f>
        <v>45199</v>
      </c>
      <c r="B4" s="187"/>
      <c r="C4" s="187"/>
      <c r="D4" s="187"/>
      <c r="E4" s="187"/>
      <c r="F4" s="187"/>
      <c r="G4" s="187"/>
      <c r="H4" s="187"/>
      <c r="I4" s="187"/>
      <c r="J4" s="187"/>
      <c r="K4" s="187"/>
      <c r="L4" s="187"/>
      <c r="M4" s="187"/>
    </row>
    <row r="5" spans="1:15" ht="15.75" thickBot="1" x14ac:dyDescent="0.3">
      <c r="A5" s="81"/>
      <c r="B5" s="81"/>
      <c r="C5" s="81"/>
      <c r="D5" s="81"/>
      <c r="E5" s="81"/>
      <c r="F5" s="81"/>
      <c r="G5" s="81"/>
      <c r="H5" s="81"/>
      <c r="I5" s="81"/>
      <c r="J5" s="81"/>
      <c r="K5" s="81"/>
      <c r="L5" s="81"/>
      <c r="M5" s="81"/>
    </row>
    <row r="6" spans="1:15" ht="15.75" thickBot="1" x14ac:dyDescent="0.3">
      <c r="A6" s="170" t="s">
        <v>54</v>
      </c>
      <c r="B6" s="171"/>
      <c r="C6" s="171"/>
      <c r="D6" s="171"/>
      <c r="E6" s="171"/>
      <c r="F6" s="171"/>
      <c r="G6" s="171"/>
      <c r="H6" s="171"/>
      <c r="I6" s="171"/>
      <c r="J6" s="172"/>
      <c r="L6" s="186"/>
      <c r="M6" s="186"/>
    </row>
    <row r="7" spans="1:15" x14ac:dyDescent="0.25">
      <c r="A7" s="4" t="s">
        <v>16</v>
      </c>
      <c r="B7" s="5" t="s">
        <v>15</v>
      </c>
      <c r="C7" s="5" t="s">
        <v>14</v>
      </c>
      <c r="D7" s="5" t="s">
        <v>13</v>
      </c>
      <c r="E7" s="5" t="s">
        <v>12</v>
      </c>
      <c r="F7" s="5" t="s">
        <v>93</v>
      </c>
      <c r="G7" s="5" t="s">
        <v>94</v>
      </c>
      <c r="H7" s="5" t="s">
        <v>38</v>
      </c>
      <c r="I7" s="5" t="s">
        <v>9</v>
      </c>
      <c r="J7" s="5" t="s">
        <v>0</v>
      </c>
      <c r="L7" s="4"/>
      <c r="M7" s="4"/>
    </row>
    <row r="8" spans="1:15" x14ac:dyDescent="0.25">
      <c r="A8" s="1" t="s">
        <v>49</v>
      </c>
      <c r="B8" s="33">
        <f>'Agile AR Aging &lt;-INPUT'!C153</f>
        <v>0</v>
      </c>
      <c r="C8" s="33">
        <f>'Agile AR Aging &lt;-INPUT'!D153</f>
        <v>0</v>
      </c>
      <c r="D8" s="33">
        <f>'Agile AR Aging &lt;-INPUT'!E153</f>
        <v>0</v>
      </c>
      <c r="E8" s="33">
        <f>'Agile AR Aging &lt;-INPUT'!F153</f>
        <v>0</v>
      </c>
      <c r="F8" s="33">
        <f>'Agile AR Aging &lt;-INPUT'!G153</f>
        <v>0</v>
      </c>
      <c r="G8" s="33">
        <f>'Agile AR Aging &lt;-INPUT'!H153</f>
        <v>0</v>
      </c>
      <c r="H8" s="33">
        <f>'Agile AR Aging &lt;-INPUT'!I153</f>
        <v>0</v>
      </c>
      <c r="I8" s="33">
        <f>'Agile AR Aging &lt;-INPUT'!J153</f>
        <v>0</v>
      </c>
      <c r="J8" s="2">
        <f t="shared" ref="J8:J24" si="0">SUM(B8:H8)</f>
        <v>0</v>
      </c>
      <c r="L8" s="67"/>
    </row>
    <row r="9" spans="1:15" x14ac:dyDescent="0.25">
      <c r="A9" s="1" t="s">
        <v>8</v>
      </c>
      <c r="B9" s="33">
        <f>'Agile AR Aging &lt;-INPUT'!C154</f>
        <v>0</v>
      </c>
      <c r="C9" s="33">
        <f>'Agile AR Aging &lt;-INPUT'!D154</f>
        <v>0</v>
      </c>
      <c r="D9" s="33">
        <f>'Agile AR Aging &lt;-INPUT'!E154</f>
        <v>0</v>
      </c>
      <c r="E9" s="33">
        <f>'Agile AR Aging &lt;-INPUT'!F154</f>
        <v>0</v>
      </c>
      <c r="F9" s="33">
        <f>'Agile AR Aging &lt;-INPUT'!G154</f>
        <v>0</v>
      </c>
      <c r="G9" s="33">
        <f>'Agile AR Aging &lt;-INPUT'!H154</f>
        <v>0</v>
      </c>
      <c r="H9" s="33">
        <f>'Agile AR Aging &lt;-INPUT'!I154</f>
        <v>0</v>
      </c>
      <c r="I9" s="33">
        <f>'Agile AR Aging &lt;-INPUT'!J154</f>
        <v>0</v>
      </c>
      <c r="J9" s="2">
        <f t="shared" si="0"/>
        <v>0</v>
      </c>
      <c r="L9" s="67"/>
      <c r="N9" s="68"/>
    </row>
    <row r="10" spans="1:15" x14ac:dyDescent="0.25">
      <c r="A10" s="1" t="s">
        <v>7</v>
      </c>
      <c r="B10" s="33">
        <f>'Agile AR Aging &lt;-INPUT'!C155</f>
        <v>0</v>
      </c>
      <c r="C10" s="33">
        <f>'Agile AR Aging &lt;-INPUT'!D155</f>
        <v>0</v>
      </c>
      <c r="D10" s="33">
        <f>'Agile AR Aging &lt;-INPUT'!E155</f>
        <v>0</v>
      </c>
      <c r="E10" s="33">
        <f>'Agile AR Aging &lt;-INPUT'!F155</f>
        <v>0</v>
      </c>
      <c r="F10" s="33">
        <f>'Agile AR Aging &lt;-INPUT'!G155</f>
        <v>0</v>
      </c>
      <c r="G10" s="33">
        <f>'Agile AR Aging &lt;-INPUT'!H155</f>
        <v>0</v>
      </c>
      <c r="H10" s="33">
        <f>'Agile AR Aging &lt;-INPUT'!I155</f>
        <v>0</v>
      </c>
      <c r="I10" s="33">
        <f>'Agile AR Aging &lt;-INPUT'!J155</f>
        <v>0</v>
      </c>
      <c r="J10" s="2">
        <f t="shared" si="0"/>
        <v>0</v>
      </c>
      <c r="L10" s="67"/>
      <c r="N10" s="68"/>
    </row>
    <row r="11" spans="1:15" x14ac:dyDescent="0.25">
      <c r="A11" s="1" t="s">
        <v>42</v>
      </c>
      <c r="B11" s="33">
        <f>'Agile AR Aging &lt;-INPUT'!C156</f>
        <v>0</v>
      </c>
      <c r="C11" s="33">
        <f>'Agile AR Aging &lt;-INPUT'!D156</f>
        <v>0</v>
      </c>
      <c r="D11" s="33">
        <f>'Agile AR Aging &lt;-INPUT'!E156</f>
        <v>0</v>
      </c>
      <c r="E11" s="33">
        <f>'Agile AR Aging &lt;-INPUT'!F156</f>
        <v>0</v>
      </c>
      <c r="F11" s="33">
        <f>'Agile AR Aging &lt;-INPUT'!G156</f>
        <v>0</v>
      </c>
      <c r="G11" s="33">
        <f>'Agile AR Aging &lt;-INPUT'!H156</f>
        <v>0</v>
      </c>
      <c r="H11" s="33">
        <f>'Agile AR Aging &lt;-INPUT'!I156</f>
        <v>0</v>
      </c>
      <c r="I11" s="33">
        <f>'Agile AR Aging &lt;-INPUT'!J156</f>
        <v>0</v>
      </c>
      <c r="J11" s="2">
        <f t="shared" si="0"/>
        <v>0</v>
      </c>
      <c r="L11" s="67"/>
      <c r="N11" s="68"/>
    </row>
    <row r="12" spans="1:15" x14ac:dyDescent="0.25">
      <c r="A12" s="1" t="s">
        <v>6</v>
      </c>
      <c r="B12" s="33">
        <f>'Agile AR Aging &lt;-INPUT'!C157+'Agile AR Aging &lt;-INPUT'!C158+'Agile AR Aging &lt;-INPUT'!C165+'Agile AR Aging &lt;-INPUT'!C171</f>
        <v>0</v>
      </c>
      <c r="C12" s="33">
        <f>'Agile AR Aging &lt;-INPUT'!D157+'Agile AR Aging &lt;-INPUT'!D158+'Agile AR Aging &lt;-INPUT'!D165+'Agile AR Aging &lt;-INPUT'!D171</f>
        <v>0</v>
      </c>
      <c r="D12" s="33">
        <f>'Agile AR Aging &lt;-INPUT'!E157+'Agile AR Aging &lt;-INPUT'!E158+'Agile AR Aging &lt;-INPUT'!E165+'Agile AR Aging &lt;-INPUT'!E171</f>
        <v>0</v>
      </c>
      <c r="E12" s="33">
        <f>'Agile AR Aging &lt;-INPUT'!F157+'Agile AR Aging &lt;-INPUT'!F158+'Agile AR Aging &lt;-INPUT'!F165+'Agile AR Aging &lt;-INPUT'!F171</f>
        <v>0</v>
      </c>
      <c r="F12" s="33">
        <f>'Agile AR Aging &lt;-INPUT'!G157+'Agile AR Aging &lt;-INPUT'!G158+'Agile AR Aging &lt;-INPUT'!G165+'Agile AR Aging &lt;-INPUT'!G171</f>
        <v>0</v>
      </c>
      <c r="G12" s="33">
        <f>'Agile AR Aging &lt;-INPUT'!H157+'Agile AR Aging &lt;-INPUT'!H158+'Agile AR Aging &lt;-INPUT'!H165+'Agile AR Aging &lt;-INPUT'!H171</f>
        <v>0</v>
      </c>
      <c r="H12" s="33">
        <f>'Agile AR Aging &lt;-INPUT'!I157+'Agile AR Aging &lt;-INPUT'!I158+'Agile AR Aging &lt;-INPUT'!I165+'Agile AR Aging &lt;-INPUT'!I171</f>
        <v>0</v>
      </c>
      <c r="I12" s="33">
        <f>'Agile AR Aging &lt;-INPUT'!J157+'Agile AR Aging &lt;-INPUT'!J158+'Agile AR Aging &lt;-INPUT'!J165+'Agile AR Aging &lt;-INPUT'!J171</f>
        <v>0</v>
      </c>
      <c r="J12" s="2">
        <f t="shared" si="0"/>
        <v>0</v>
      </c>
      <c r="L12" s="73"/>
      <c r="N12" s="68"/>
    </row>
    <row r="13" spans="1:15" x14ac:dyDescent="0.25">
      <c r="A13" s="1" t="s">
        <v>50</v>
      </c>
      <c r="B13" s="33">
        <f>'Agile AR Aging &lt;-INPUT'!C159</f>
        <v>0</v>
      </c>
      <c r="C13" s="33">
        <f>'Agile AR Aging &lt;-INPUT'!D159</f>
        <v>0</v>
      </c>
      <c r="D13" s="33">
        <f>'Agile AR Aging &lt;-INPUT'!E159</f>
        <v>0</v>
      </c>
      <c r="E13" s="33">
        <f>'Agile AR Aging &lt;-INPUT'!F159</f>
        <v>0</v>
      </c>
      <c r="F13" s="33">
        <f>'Agile AR Aging &lt;-INPUT'!G159</f>
        <v>0</v>
      </c>
      <c r="G13" s="33">
        <f>'Agile AR Aging &lt;-INPUT'!H159</f>
        <v>0</v>
      </c>
      <c r="H13" s="33">
        <f>'Agile AR Aging &lt;-INPUT'!I159</f>
        <v>0</v>
      </c>
      <c r="I13" s="33">
        <f>'Agile AR Aging &lt;-INPUT'!J159</f>
        <v>0</v>
      </c>
      <c r="J13" s="2">
        <f t="shared" si="0"/>
        <v>0</v>
      </c>
      <c r="L13" s="73"/>
      <c r="N13" s="68"/>
    </row>
    <row r="14" spans="1:15" x14ac:dyDescent="0.25">
      <c r="A14" s="1" t="s">
        <v>89</v>
      </c>
      <c r="B14" s="33">
        <f>'Agile AR Aging &lt;-INPUT'!C160</f>
        <v>0</v>
      </c>
      <c r="C14" s="33">
        <f>'Agile AR Aging &lt;-INPUT'!D160</f>
        <v>0</v>
      </c>
      <c r="D14" s="33">
        <f>'Agile AR Aging &lt;-INPUT'!E160</f>
        <v>0</v>
      </c>
      <c r="E14" s="33">
        <f>'Agile AR Aging &lt;-INPUT'!F160</f>
        <v>0</v>
      </c>
      <c r="F14" s="33">
        <f>'Agile AR Aging &lt;-INPUT'!G160</f>
        <v>0</v>
      </c>
      <c r="G14" s="33">
        <f>'Agile AR Aging &lt;-INPUT'!H160</f>
        <v>0</v>
      </c>
      <c r="H14" s="33">
        <f>'Agile AR Aging &lt;-INPUT'!I160</f>
        <v>0</v>
      </c>
      <c r="I14" s="33">
        <f>'Agile AR Aging &lt;-INPUT'!J160</f>
        <v>0</v>
      </c>
      <c r="J14" s="2">
        <f t="shared" si="0"/>
        <v>0</v>
      </c>
      <c r="L14" s="73"/>
      <c r="N14" s="68"/>
    </row>
    <row r="15" spans="1:15" x14ac:dyDescent="0.25">
      <c r="A15" s="1" t="s">
        <v>5</v>
      </c>
      <c r="B15" s="33">
        <f>'Agile AR Aging &lt;-INPUT'!C161</f>
        <v>0</v>
      </c>
      <c r="C15" s="33">
        <f>'Agile AR Aging &lt;-INPUT'!D161</f>
        <v>0</v>
      </c>
      <c r="D15" s="33">
        <f>'Agile AR Aging &lt;-INPUT'!E161</f>
        <v>0</v>
      </c>
      <c r="E15" s="33">
        <f>'Agile AR Aging &lt;-INPUT'!F161</f>
        <v>0</v>
      </c>
      <c r="F15" s="33">
        <f>'Agile AR Aging &lt;-INPUT'!G161</f>
        <v>0</v>
      </c>
      <c r="G15" s="33">
        <f>'Agile AR Aging &lt;-INPUT'!H161</f>
        <v>0</v>
      </c>
      <c r="H15" s="33">
        <f>'Agile AR Aging &lt;-INPUT'!I161</f>
        <v>0</v>
      </c>
      <c r="I15" s="33">
        <f>'Agile AR Aging &lt;-INPUT'!J161</f>
        <v>0</v>
      </c>
      <c r="J15" s="2">
        <f t="shared" si="0"/>
        <v>0</v>
      </c>
      <c r="L15" s="73"/>
      <c r="N15" s="68"/>
    </row>
    <row r="16" spans="1:15" x14ac:dyDescent="0.25">
      <c r="A16" s="1" t="s">
        <v>84</v>
      </c>
      <c r="B16" s="33">
        <f>'Agile AR Aging &lt;-INPUT'!C162</f>
        <v>0</v>
      </c>
      <c r="C16" s="33">
        <f>'Agile AR Aging &lt;-INPUT'!D162</f>
        <v>0</v>
      </c>
      <c r="D16" s="33">
        <f>'Agile AR Aging &lt;-INPUT'!E162</f>
        <v>0</v>
      </c>
      <c r="E16" s="33">
        <f>'Agile AR Aging &lt;-INPUT'!F162</f>
        <v>0</v>
      </c>
      <c r="F16" s="33">
        <f>'Agile AR Aging &lt;-INPUT'!G162</f>
        <v>0</v>
      </c>
      <c r="G16" s="33">
        <f>'Agile AR Aging &lt;-INPUT'!H162</f>
        <v>0</v>
      </c>
      <c r="H16" s="33">
        <f>'Agile AR Aging &lt;-INPUT'!I162</f>
        <v>0</v>
      </c>
      <c r="I16" s="33">
        <f>'Agile AR Aging &lt;-INPUT'!J162</f>
        <v>0</v>
      </c>
      <c r="J16" s="2">
        <f t="shared" si="0"/>
        <v>0</v>
      </c>
      <c r="L16" s="73"/>
      <c r="N16" s="68"/>
    </row>
    <row r="17" spans="1:17" x14ac:dyDescent="0.25">
      <c r="A17" s="1" t="s">
        <v>4</v>
      </c>
      <c r="B17" s="33">
        <f>'Agile AR Aging &lt;-INPUT'!C163</f>
        <v>0</v>
      </c>
      <c r="C17" s="33">
        <f>'Agile AR Aging &lt;-INPUT'!D163</f>
        <v>0</v>
      </c>
      <c r="D17" s="33">
        <f>'Agile AR Aging &lt;-INPUT'!E163</f>
        <v>0</v>
      </c>
      <c r="E17" s="33">
        <f>'Agile AR Aging &lt;-INPUT'!F163</f>
        <v>0</v>
      </c>
      <c r="F17" s="33">
        <f>'Agile AR Aging &lt;-INPUT'!G163</f>
        <v>0</v>
      </c>
      <c r="G17" s="33">
        <f>'Agile AR Aging &lt;-INPUT'!H163</f>
        <v>0</v>
      </c>
      <c r="H17" s="33">
        <f>'Agile AR Aging &lt;-INPUT'!I163</f>
        <v>0</v>
      </c>
      <c r="I17" s="33">
        <f>'Agile AR Aging &lt;-INPUT'!J163</f>
        <v>0</v>
      </c>
      <c r="J17" s="2">
        <f t="shared" si="0"/>
        <v>0</v>
      </c>
      <c r="L17" s="73"/>
      <c r="N17" s="68"/>
    </row>
    <row r="18" spans="1:17" x14ac:dyDescent="0.25">
      <c r="A18" s="1" t="s">
        <v>51</v>
      </c>
      <c r="B18" s="33">
        <f>'Agile AR Aging &lt;-INPUT'!C164</f>
        <v>0</v>
      </c>
      <c r="C18" s="33">
        <f>'Agile AR Aging &lt;-INPUT'!D164</f>
        <v>0</v>
      </c>
      <c r="D18" s="33">
        <f>'Agile AR Aging &lt;-INPUT'!E164</f>
        <v>0</v>
      </c>
      <c r="E18" s="33">
        <f>'Agile AR Aging &lt;-INPUT'!F164</f>
        <v>0</v>
      </c>
      <c r="F18" s="33">
        <f>'Agile AR Aging &lt;-INPUT'!G164</f>
        <v>0</v>
      </c>
      <c r="G18" s="33">
        <f>'Agile AR Aging &lt;-INPUT'!H164</f>
        <v>0</v>
      </c>
      <c r="H18" s="33">
        <f>'Agile AR Aging &lt;-INPUT'!I164</f>
        <v>0</v>
      </c>
      <c r="I18" s="33">
        <f>'Agile AR Aging &lt;-INPUT'!J164</f>
        <v>0</v>
      </c>
      <c r="J18" s="2">
        <f t="shared" si="0"/>
        <v>0</v>
      </c>
      <c r="L18" s="73"/>
      <c r="N18" s="68"/>
    </row>
    <row r="19" spans="1:17" x14ac:dyDescent="0.25">
      <c r="A19" s="1" t="s">
        <v>85</v>
      </c>
      <c r="B19" s="33">
        <f>'Agile AR Aging &lt;-INPUT'!C166</f>
        <v>0</v>
      </c>
      <c r="C19" s="33">
        <f>'Agile AR Aging &lt;-INPUT'!D166</f>
        <v>0</v>
      </c>
      <c r="D19" s="33">
        <f>'Agile AR Aging &lt;-INPUT'!E166</f>
        <v>0</v>
      </c>
      <c r="E19" s="33">
        <f>'Agile AR Aging &lt;-INPUT'!F166</f>
        <v>0</v>
      </c>
      <c r="F19" s="33">
        <f>'Agile AR Aging &lt;-INPUT'!G166</f>
        <v>0</v>
      </c>
      <c r="G19" s="33">
        <f>'Agile AR Aging &lt;-INPUT'!H166</f>
        <v>0</v>
      </c>
      <c r="H19" s="33">
        <f>'Agile AR Aging &lt;-INPUT'!I166</f>
        <v>0</v>
      </c>
      <c r="I19" s="33">
        <f>'Agile AR Aging &lt;-INPUT'!J166</f>
        <v>0</v>
      </c>
      <c r="J19" s="2">
        <f t="shared" si="0"/>
        <v>0</v>
      </c>
      <c r="L19" s="73"/>
      <c r="N19" s="68"/>
    </row>
    <row r="20" spans="1:17" x14ac:dyDescent="0.25">
      <c r="A20" s="1" t="s">
        <v>2</v>
      </c>
      <c r="B20" s="33">
        <f>'Agile AR Aging &lt;-INPUT'!C167</f>
        <v>0</v>
      </c>
      <c r="C20" s="33">
        <f>'Agile AR Aging &lt;-INPUT'!D167</f>
        <v>0</v>
      </c>
      <c r="D20" s="33">
        <f>'Agile AR Aging &lt;-INPUT'!E167</f>
        <v>0</v>
      </c>
      <c r="E20" s="33">
        <f>'Agile AR Aging &lt;-INPUT'!F167</f>
        <v>0</v>
      </c>
      <c r="F20" s="33">
        <f>'Agile AR Aging &lt;-INPUT'!G167</f>
        <v>0</v>
      </c>
      <c r="G20" s="33">
        <f>'Agile AR Aging &lt;-INPUT'!H167</f>
        <v>0</v>
      </c>
      <c r="H20" s="33">
        <f>'Agile AR Aging &lt;-INPUT'!I167</f>
        <v>0</v>
      </c>
      <c r="I20" s="33">
        <f>'Agile AR Aging &lt;-INPUT'!J167</f>
        <v>0</v>
      </c>
      <c r="J20" s="2">
        <f t="shared" si="0"/>
        <v>0</v>
      </c>
      <c r="L20" s="73"/>
      <c r="N20" s="68"/>
    </row>
    <row r="21" spans="1:17" x14ac:dyDescent="0.25">
      <c r="A21" s="1" t="s">
        <v>86</v>
      </c>
      <c r="B21" s="33">
        <f>'Agile AR Aging &lt;-INPUT'!C168</f>
        <v>0</v>
      </c>
      <c r="C21" s="33">
        <f>'Agile AR Aging &lt;-INPUT'!D168</f>
        <v>0</v>
      </c>
      <c r="D21" s="33">
        <f>'Agile AR Aging &lt;-INPUT'!E168</f>
        <v>0</v>
      </c>
      <c r="E21" s="33">
        <f>'Agile AR Aging &lt;-INPUT'!F168</f>
        <v>0</v>
      </c>
      <c r="F21" s="33">
        <f>'Agile AR Aging &lt;-INPUT'!G168</f>
        <v>0</v>
      </c>
      <c r="G21" s="33">
        <f>'Agile AR Aging &lt;-INPUT'!H168</f>
        <v>0</v>
      </c>
      <c r="H21" s="33">
        <f>'Agile AR Aging &lt;-INPUT'!I168</f>
        <v>0</v>
      </c>
      <c r="I21" s="33">
        <f>'Agile AR Aging &lt;-INPUT'!J168</f>
        <v>0</v>
      </c>
      <c r="J21" s="2">
        <f t="shared" si="0"/>
        <v>0</v>
      </c>
      <c r="L21" s="73"/>
      <c r="N21" s="68"/>
    </row>
    <row r="22" spans="1:17" x14ac:dyDescent="0.25">
      <c r="A22" s="1" t="s">
        <v>29</v>
      </c>
      <c r="B22" s="33">
        <f>'Agile AR Aging &lt;-INPUT'!C169</f>
        <v>0</v>
      </c>
      <c r="C22" s="33">
        <f>'Agile AR Aging &lt;-INPUT'!D169</f>
        <v>0</v>
      </c>
      <c r="D22" s="33">
        <f>'Agile AR Aging &lt;-INPUT'!E169</f>
        <v>0</v>
      </c>
      <c r="E22" s="33">
        <f>'Agile AR Aging &lt;-INPUT'!F169</f>
        <v>0</v>
      </c>
      <c r="F22" s="33">
        <f>'Agile AR Aging &lt;-INPUT'!G169</f>
        <v>0</v>
      </c>
      <c r="G22" s="33">
        <f>'Agile AR Aging &lt;-INPUT'!H169</f>
        <v>0</v>
      </c>
      <c r="H22" s="33">
        <f>'Agile AR Aging &lt;-INPUT'!I169</f>
        <v>0</v>
      </c>
      <c r="I22" s="33">
        <f>'Agile AR Aging &lt;-INPUT'!J169</f>
        <v>0</v>
      </c>
      <c r="J22" s="2">
        <f t="shared" si="0"/>
        <v>0</v>
      </c>
      <c r="L22" s="73"/>
      <c r="N22" s="68"/>
    </row>
    <row r="23" spans="1:17" x14ac:dyDescent="0.25">
      <c r="A23" s="1" t="s">
        <v>52</v>
      </c>
      <c r="B23" s="33">
        <f>'Agile AR Aging &lt;-INPUT'!C170</f>
        <v>0</v>
      </c>
      <c r="C23" s="33">
        <f>'Agile AR Aging &lt;-INPUT'!D170</f>
        <v>0</v>
      </c>
      <c r="D23" s="33">
        <f>'Agile AR Aging &lt;-INPUT'!E170</f>
        <v>0</v>
      </c>
      <c r="E23" s="33">
        <f>'Agile AR Aging &lt;-INPUT'!F170</f>
        <v>0</v>
      </c>
      <c r="F23" s="33">
        <f>'Agile AR Aging &lt;-INPUT'!G170</f>
        <v>0</v>
      </c>
      <c r="G23" s="33">
        <f>'Agile AR Aging &lt;-INPUT'!H170</f>
        <v>0</v>
      </c>
      <c r="H23" s="33">
        <f>'Agile AR Aging &lt;-INPUT'!I170</f>
        <v>0</v>
      </c>
      <c r="I23" s="33">
        <f>'Agile AR Aging &lt;-INPUT'!J170</f>
        <v>0</v>
      </c>
      <c r="J23" s="2">
        <f t="shared" si="0"/>
        <v>0</v>
      </c>
      <c r="L23" s="73"/>
      <c r="N23" s="68"/>
    </row>
    <row r="24" spans="1:17" x14ac:dyDescent="0.25">
      <c r="A24" s="1" t="s">
        <v>1</v>
      </c>
      <c r="B24" s="32">
        <f>'Agile AR Aging &lt;-INPUT'!C172</f>
        <v>0</v>
      </c>
      <c r="C24" s="32">
        <f>'Agile AR Aging &lt;-INPUT'!D172</f>
        <v>0</v>
      </c>
      <c r="D24" s="32">
        <f>'Agile AR Aging &lt;-INPUT'!E172</f>
        <v>0</v>
      </c>
      <c r="E24" s="32">
        <f>'Agile AR Aging &lt;-INPUT'!F172</f>
        <v>0</v>
      </c>
      <c r="F24" s="32">
        <f>'Agile AR Aging &lt;-INPUT'!G172</f>
        <v>0</v>
      </c>
      <c r="G24" s="32">
        <f>'Agile AR Aging &lt;-INPUT'!H172</f>
        <v>0</v>
      </c>
      <c r="H24" s="32">
        <f>'Agile AR Aging &lt;-INPUT'!I172</f>
        <v>0</v>
      </c>
      <c r="I24" s="32">
        <f>'Agile AR Aging &lt;-INPUT'!J172</f>
        <v>0</v>
      </c>
      <c r="J24" s="9">
        <f t="shared" si="0"/>
        <v>0</v>
      </c>
      <c r="L24" s="73"/>
      <c r="N24" s="68"/>
    </row>
    <row r="25" spans="1:17" x14ac:dyDescent="0.25">
      <c r="A25" s="1" t="s">
        <v>0</v>
      </c>
      <c r="B25" s="10">
        <f t="shared" ref="B25:I25" si="1">SUM(B8:B24)</f>
        <v>0</v>
      </c>
      <c r="C25" s="10">
        <f t="shared" si="1"/>
        <v>0</v>
      </c>
      <c r="D25" s="10">
        <f t="shared" si="1"/>
        <v>0</v>
      </c>
      <c r="E25" s="10">
        <f t="shared" si="1"/>
        <v>0</v>
      </c>
      <c r="F25" s="10">
        <f t="shared" si="1"/>
        <v>0</v>
      </c>
      <c r="G25" s="10">
        <f t="shared" si="1"/>
        <v>0</v>
      </c>
      <c r="H25" s="10">
        <f t="shared" si="1"/>
        <v>0</v>
      </c>
      <c r="I25" s="10">
        <f t="shared" si="1"/>
        <v>0</v>
      </c>
      <c r="J25" s="10">
        <f>SUM(B25:H25)</f>
        <v>0</v>
      </c>
      <c r="L25" s="31"/>
    </row>
    <row r="26" spans="1:17" ht="15.75" thickBot="1" x14ac:dyDescent="0.3">
      <c r="A26" s="1"/>
      <c r="B26" s="9"/>
      <c r="C26" s="9"/>
      <c r="D26" s="9"/>
      <c r="E26" s="9"/>
      <c r="F26" s="9"/>
      <c r="G26" s="9"/>
      <c r="H26" s="9"/>
      <c r="I26" s="9"/>
      <c r="J26" s="9"/>
      <c r="L26" s="31"/>
      <c r="Q26" s="1"/>
    </row>
    <row r="27" spans="1:17" ht="15.75" thickBot="1" x14ac:dyDescent="0.3">
      <c r="A27" s="167" t="s">
        <v>55</v>
      </c>
      <c r="B27" s="168"/>
      <c r="C27" s="168"/>
      <c r="D27" s="168"/>
      <c r="E27" s="168"/>
      <c r="F27" s="168"/>
      <c r="G27" s="168"/>
      <c r="H27" s="168"/>
      <c r="I27" s="168"/>
      <c r="J27" s="169"/>
      <c r="Q27" s="1"/>
    </row>
    <row r="28" spans="1:17" x14ac:dyDescent="0.25">
      <c r="A28" s="4" t="s">
        <v>16</v>
      </c>
      <c r="B28" s="5" t="s">
        <v>15</v>
      </c>
      <c r="C28" s="5" t="s">
        <v>14</v>
      </c>
      <c r="D28" s="5" t="s">
        <v>13</v>
      </c>
      <c r="E28" s="5" t="s">
        <v>12</v>
      </c>
      <c r="F28" s="5" t="s">
        <v>93</v>
      </c>
      <c r="G28" s="5" t="s">
        <v>94</v>
      </c>
      <c r="H28" s="5" t="s">
        <v>38</v>
      </c>
      <c r="I28" s="5" t="s">
        <v>9</v>
      </c>
      <c r="J28" s="5" t="s">
        <v>0</v>
      </c>
      <c r="Q28" s="1"/>
    </row>
    <row r="29" spans="1:17" x14ac:dyDescent="0.25">
      <c r="A29" s="1" t="s">
        <v>49</v>
      </c>
      <c r="B29" s="36">
        <f>'Reimbursement Rates &lt;-INPUT'!G9</f>
        <v>0</v>
      </c>
      <c r="C29" s="36">
        <f t="shared" ref="C29:I45" si="2">B29</f>
        <v>0</v>
      </c>
      <c r="D29" s="36">
        <f t="shared" si="2"/>
        <v>0</v>
      </c>
      <c r="E29" s="36">
        <f t="shared" si="2"/>
        <v>0</v>
      </c>
      <c r="F29" s="36">
        <f t="shared" si="2"/>
        <v>0</v>
      </c>
      <c r="G29" s="36">
        <f t="shared" si="2"/>
        <v>0</v>
      </c>
      <c r="H29" s="36">
        <f t="shared" si="2"/>
        <v>0</v>
      </c>
      <c r="I29" s="36">
        <f t="shared" si="2"/>
        <v>0</v>
      </c>
      <c r="J29" s="36">
        <f t="shared" ref="J29:J45" si="3">H29</f>
        <v>0</v>
      </c>
    </row>
    <row r="30" spans="1:17" x14ac:dyDescent="0.25">
      <c r="A30" s="1" t="s">
        <v>8</v>
      </c>
      <c r="B30" s="36">
        <f>'Reimbursement Rates &lt;-INPUT'!G10</f>
        <v>0</v>
      </c>
      <c r="C30" s="36">
        <f t="shared" si="2"/>
        <v>0</v>
      </c>
      <c r="D30" s="36">
        <f t="shared" si="2"/>
        <v>0</v>
      </c>
      <c r="E30" s="36">
        <f t="shared" si="2"/>
        <v>0</v>
      </c>
      <c r="F30" s="36">
        <f t="shared" si="2"/>
        <v>0</v>
      </c>
      <c r="G30" s="36">
        <f t="shared" si="2"/>
        <v>0</v>
      </c>
      <c r="H30" s="36">
        <f t="shared" si="2"/>
        <v>0</v>
      </c>
      <c r="I30" s="36">
        <f t="shared" si="2"/>
        <v>0</v>
      </c>
      <c r="J30" s="36">
        <f t="shared" si="3"/>
        <v>0</v>
      </c>
      <c r="Q30" s="1"/>
    </row>
    <row r="31" spans="1:17" x14ac:dyDescent="0.25">
      <c r="A31" s="1" t="s">
        <v>7</v>
      </c>
      <c r="B31" s="36">
        <f>'Reimbursement Rates &lt;-INPUT'!G11</f>
        <v>0</v>
      </c>
      <c r="C31" s="36">
        <f t="shared" si="2"/>
        <v>0</v>
      </c>
      <c r="D31" s="36">
        <f t="shared" si="2"/>
        <v>0</v>
      </c>
      <c r="E31" s="36">
        <f t="shared" si="2"/>
        <v>0</v>
      </c>
      <c r="F31" s="36">
        <f t="shared" si="2"/>
        <v>0</v>
      </c>
      <c r="G31" s="36">
        <f t="shared" si="2"/>
        <v>0</v>
      </c>
      <c r="H31" s="36">
        <f t="shared" si="2"/>
        <v>0</v>
      </c>
      <c r="I31" s="36">
        <f t="shared" si="2"/>
        <v>0</v>
      </c>
      <c r="J31" s="36">
        <f t="shared" si="3"/>
        <v>0</v>
      </c>
    </row>
    <row r="32" spans="1:17" x14ac:dyDescent="0.25">
      <c r="A32" s="1" t="s">
        <v>42</v>
      </c>
      <c r="B32" s="36">
        <f>'Reimbursement Rates &lt;-INPUT'!G12</f>
        <v>0</v>
      </c>
      <c r="C32" s="36">
        <f t="shared" si="2"/>
        <v>0</v>
      </c>
      <c r="D32" s="36">
        <f t="shared" si="2"/>
        <v>0</v>
      </c>
      <c r="E32" s="36">
        <f t="shared" si="2"/>
        <v>0</v>
      </c>
      <c r="F32" s="36">
        <f t="shared" si="2"/>
        <v>0</v>
      </c>
      <c r="G32" s="36">
        <f t="shared" si="2"/>
        <v>0</v>
      </c>
      <c r="H32" s="36">
        <f t="shared" si="2"/>
        <v>0</v>
      </c>
      <c r="I32" s="36">
        <f t="shared" si="2"/>
        <v>0</v>
      </c>
      <c r="J32" s="36">
        <f t="shared" si="3"/>
        <v>0</v>
      </c>
    </row>
    <row r="33" spans="1:17" x14ac:dyDescent="0.25">
      <c r="A33" s="1" t="s">
        <v>6</v>
      </c>
      <c r="B33" s="36">
        <f>'Reimbursement Rates &lt;-INPUT'!G13</f>
        <v>0</v>
      </c>
      <c r="C33" s="36">
        <f t="shared" si="2"/>
        <v>0</v>
      </c>
      <c r="D33" s="36">
        <f t="shared" si="2"/>
        <v>0</v>
      </c>
      <c r="E33" s="36">
        <f t="shared" si="2"/>
        <v>0</v>
      </c>
      <c r="F33" s="36">
        <f t="shared" si="2"/>
        <v>0</v>
      </c>
      <c r="G33" s="36">
        <f t="shared" si="2"/>
        <v>0</v>
      </c>
      <c r="H33" s="36">
        <f t="shared" si="2"/>
        <v>0</v>
      </c>
      <c r="I33" s="36">
        <f t="shared" si="2"/>
        <v>0</v>
      </c>
      <c r="J33" s="36">
        <f t="shared" si="3"/>
        <v>0</v>
      </c>
      <c r="Q33" s="1"/>
    </row>
    <row r="34" spans="1:17" x14ac:dyDescent="0.25">
      <c r="A34" s="1" t="s">
        <v>50</v>
      </c>
      <c r="B34" s="36">
        <f>'Reimbursement Rates &lt;-INPUT'!G15</f>
        <v>0</v>
      </c>
      <c r="C34" s="36">
        <f t="shared" si="2"/>
        <v>0</v>
      </c>
      <c r="D34" s="36">
        <f t="shared" si="2"/>
        <v>0</v>
      </c>
      <c r="E34" s="36">
        <f t="shared" si="2"/>
        <v>0</v>
      </c>
      <c r="F34" s="36">
        <f t="shared" si="2"/>
        <v>0</v>
      </c>
      <c r="G34" s="36">
        <f t="shared" si="2"/>
        <v>0</v>
      </c>
      <c r="H34" s="36">
        <f t="shared" si="2"/>
        <v>0</v>
      </c>
      <c r="I34" s="36">
        <f t="shared" si="2"/>
        <v>0</v>
      </c>
      <c r="J34" s="36">
        <f t="shared" si="3"/>
        <v>0</v>
      </c>
      <c r="M34" s="7"/>
    </row>
    <row r="35" spans="1:17" x14ac:dyDescent="0.25">
      <c r="A35" s="1" t="s">
        <v>89</v>
      </c>
      <c r="B35" s="36">
        <f>'Reimbursement Rates &lt;-INPUT'!G16</f>
        <v>0</v>
      </c>
      <c r="C35" s="36">
        <f t="shared" si="2"/>
        <v>0</v>
      </c>
      <c r="D35" s="36">
        <f t="shared" si="2"/>
        <v>0</v>
      </c>
      <c r="E35" s="36">
        <f t="shared" si="2"/>
        <v>0</v>
      </c>
      <c r="F35" s="36">
        <f t="shared" si="2"/>
        <v>0</v>
      </c>
      <c r="G35" s="36">
        <f t="shared" si="2"/>
        <v>0</v>
      </c>
      <c r="H35" s="36">
        <f t="shared" si="2"/>
        <v>0</v>
      </c>
      <c r="I35" s="36">
        <f t="shared" si="2"/>
        <v>0</v>
      </c>
      <c r="J35" s="36">
        <f t="shared" si="3"/>
        <v>0</v>
      </c>
      <c r="M35" s="7"/>
    </row>
    <row r="36" spans="1:17" x14ac:dyDescent="0.25">
      <c r="A36" s="1" t="s">
        <v>5</v>
      </c>
      <c r="B36" s="36">
        <f>'Reimbursement Rates &lt;-INPUT'!G17</f>
        <v>0</v>
      </c>
      <c r="C36" s="36">
        <f t="shared" si="2"/>
        <v>0</v>
      </c>
      <c r="D36" s="36">
        <f t="shared" si="2"/>
        <v>0</v>
      </c>
      <c r="E36" s="36">
        <f t="shared" si="2"/>
        <v>0</v>
      </c>
      <c r="F36" s="36">
        <f t="shared" si="2"/>
        <v>0</v>
      </c>
      <c r="G36" s="36">
        <f t="shared" si="2"/>
        <v>0</v>
      </c>
      <c r="H36" s="36">
        <f t="shared" si="2"/>
        <v>0</v>
      </c>
      <c r="I36" s="36">
        <f t="shared" si="2"/>
        <v>0</v>
      </c>
      <c r="J36" s="36">
        <f t="shared" si="3"/>
        <v>0</v>
      </c>
      <c r="M36" s="7"/>
      <c r="Q36" s="1"/>
    </row>
    <row r="37" spans="1:17" x14ac:dyDescent="0.25">
      <c r="A37" s="1" t="s">
        <v>84</v>
      </c>
      <c r="B37" s="36">
        <f>'Reimbursement Rates &lt;-INPUT'!G18</f>
        <v>0</v>
      </c>
      <c r="C37" s="36">
        <f t="shared" si="2"/>
        <v>0</v>
      </c>
      <c r="D37" s="36">
        <f t="shared" si="2"/>
        <v>0</v>
      </c>
      <c r="E37" s="36">
        <f t="shared" si="2"/>
        <v>0</v>
      </c>
      <c r="F37" s="36">
        <f t="shared" si="2"/>
        <v>0</v>
      </c>
      <c r="G37" s="36">
        <f t="shared" si="2"/>
        <v>0</v>
      </c>
      <c r="H37" s="36">
        <f t="shared" si="2"/>
        <v>0</v>
      </c>
      <c r="I37" s="36">
        <f t="shared" si="2"/>
        <v>0</v>
      </c>
      <c r="J37" s="36">
        <f t="shared" si="3"/>
        <v>0</v>
      </c>
      <c r="M37" s="7"/>
      <c r="Q37" s="1"/>
    </row>
    <row r="38" spans="1:17" x14ac:dyDescent="0.25">
      <c r="A38" s="1" t="s">
        <v>4</v>
      </c>
      <c r="B38" s="36">
        <f>'Reimbursement Rates &lt;-INPUT'!G19</f>
        <v>0</v>
      </c>
      <c r="C38" s="36">
        <f t="shared" si="2"/>
        <v>0</v>
      </c>
      <c r="D38" s="36">
        <f t="shared" si="2"/>
        <v>0</v>
      </c>
      <c r="E38" s="36">
        <f t="shared" si="2"/>
        <v>0</v>
      </c>
      <c r="F38" s="36">
        <f t="shared" si="2"/>
        <v>0</v>
      </c>
      <c r="G38" s="36">
        <f t="shared" si="2"/>
        <v>0</v>
      </c>
      <c r="H38" s="36">
        <f t="shared" si="2"/>
        <v>0</v>
      </c>
      <c r="I38" s="36">
        <f t="shared" si="2"/>
        <v>0</v>
      </c>
      <c r="J38" s="36">
        <f t="shared" si="3"/>
        <v>0</v>
      </c>
      <c r="M38" s="7"/>
    </row>
    <row r="39" spans="1:17" x14ac:dyDescent="0.25">
      <c r="A39" s="1" t="s">
        <v>51</v>
      </c>
      <c r="B39" s="36">
        <f>'Reimbursement Rates &lt;-INPUT'!G20</f>
        <v>0</v>
      </c>
      <c r="C39" s="36">
        <f t="shared" si="2"/>
        <v>0</v>
      </c>
      <c r="D39" s="36">
        <f t="shared" si="2"/>
        <v>0</v>
      </c>
      <c r="E39" s="36">
        <f t="shared" si="2"/>
        <v>0</v>
      </c>
      <c r="F39" s="36">
        <f t="shared" si="2"/>
        <v>0</v>
      </c>
      <c r="G39" s="36">
        <f t="shared" si="2"/>
        <v>0</v>
      </c>
      <c r="H39" s="36">
        <f t="shared" si="2"/>
        <v>0</v>
      </c>
      <c r="I39" s="36">
        <f t="shared" si="2"/>
        <v>0</v>
      </c>
      <c r="J39" s="36">
        <f t="shared" si="3"/>
        <v>0</v>
      </c>
      <c r="M39" s="7"/>
      <c r="Q39" s="1"/>
    </row>
    <row r="40" spans="1:17" x14ac:dyDescent="0.25">
      <c r="A40" s="1" t="s">
        <v>85</v>
      </c>
      <c r="B40" s="36">
        <f>'Reimbursement Rates &lt;-INPUT'!G22</f>
        <v>0</v>
      </c>
      <c r="C40" s="36">
        <f t="shared" si="2"/>
        <v>0</v>
      </c>
      <c r="D40" s="36">
        <f t="shared" si="2"/>
        <v>0</v>
      </c>
      <c r="E40" s="36">
        <f t="shared" si="2"/>
        <v>0</v>
      </c>
      <c r="F40" s="36">
        <f t="shared" si="2"/>
        <v>0</v>
      </c>
      <c r="G40" s="36">
        <f t="shared" si="2"/>
        <v>0</v>
      </c>
      <c r="H40" s="36">
        <f t="shared" si="2"/>
        <v>0</v>
      </c>
      <c r="I40" s="36">
        <f t="shared" si="2"/>
        <v>0</v>
      </c>
      <c r="J40" s="36">
        <f t="shared" si="3"/>
        <v>0</v>
      </c>
      <c r="M40" s="7"/>
      <c r="Q40" s="1"/>
    </row>
    <row r="41" spans="1:17" x14ac:dyDescent="0.25">
      <c r="A41" s="1" t="s">
        <v>2</v>
      </c>
      <c r="B41" s="36">
        <f>'Reimbursement Rates &lt;-INPUT'!G23</f>
        <v>0</v>
      </c>
      <c r="C41" s="36">
        <f t="shared" si="2"/>
        <v>0</v>
      </c>
      <c r="D41" s="36">
        <f t="shared" si="2"/>
        <v>0</v>
      </c>
      <c r="E41" s="36">
        <f t="shared" si="2"/>
        <v>0</v>
      </c>
      <c r="F41" s="36">
        <f t="shared" si="2"/>
        <v>0</v>
      </c>
      <c r="G41" s="36">
        <f t="shared" si="2"/>
        <v>0</v>
      </c>
      <c r="H41" s="36">
        <f t="shared" si="2"/>
        <v>0</v>
      </c>
      <c r="I41" s="36">
        <f t="shared" si="2"/>
        <v>0</v>
      </c>
      <c r="J41" s="36">
        <f t="shared" si="3"/>
        <v>0</v>
      </c>
      <c r="M41" s="7"/>
      <c r="Q41" s="1"/>
    </row>
    <row r="42" spans="1:17" x14ac:dyDescent="0.25">
      <c r="A42" s="1" t="s">
        <v>86</v>
      </c>
      <c r="B42" s="36">
        <f>'Reimbursement Rates &lt;-INPUT'!G24</f>
        <v>0</v>
      </c>
      <c r="C42" s="36">
        <f t="shared" si="2"/>
        <v>0</v>
      </c>
      <c r="D42" s="36">
        <f t="shared" si="2"/>
        <v>0</v>
      </c>
      <c r="E42" s="36">
        <f t="shared" si="2"/>
        <v>0</v>
      </c>
      <c r="F42" s="36">
        <f t="shared" si="2"/>
        <v>0</v>
      </c>
      <c r="G42" s="36">
        <f t="shared" si="2"/>
        <v>0</v>
      </c>
      <c r="H42" s="36">
        <f t="shared" si="2"/>
        <v>0</v>
      </c>
      <c r="I42" s="36">
        <f t="shared" si="2"/>
        <v>0</v>
      </c>
      <c r="J42" s="36">
        <f t="shared" si="3"/>
        <v>0</v>
      </c>
      <c r="M42" s="7"/>
    </row>
    <row r="43" spans="1:17" x14ac:dyDescent="0.25">
      <c r="A43" s="1" t="s">
        <v>29</v>
      </c>
      <c r="B43" s="36">
        <f>'Reimbursement Rates &lt;-INPUT'!G25</f>
        <v>0</v>
      </c>
      <c r="C43" s="36">
        <f t="shared" si="2"/>
        <v>0</v>
      </c>
      <c r="D43" s="36">
        <f t="shared" si="2"/>
        <v>0</v>
      </c>
      <c r="E43" s="36">
        <f t="shared" si="2"/>
        <v>0</v>
      </c>
      <c r="F43" s="36">
        <f t="shared" si="2"/>
        <v>0</v>
      </c>
      <c r="G43" s="36">
        <f t="shared" si="2"/>
        <v>0</v>
      </c>
      <c r="H43" s="36">
        <f t="shared" si="2"/>
        <v>0</v>
      </c>
      <c r="I43" s="36">
        <f t="shared" si="2"/>
        <v>0</v>
      </c>
      <c r="J43" s="36">
        <f t="shared" si="3"/>
        <v>0</v>
      </c>
      <c r="M43" s="7"/>
    </row>
    <row r="44" spans="1:17" x14ac:dyDescent="0.25">
      <c r="A44" s="1" t="s">
        <v>52</v>
      </c>
      <c r="B44" s="36">
        <f>'Reimbursement Rates &lt;-INPUT'!G26</f>
        <v>0</v>
      </c>
      <c r="C44" s="36">
        <f t="shared" si="2"/>
        <v>0</v>
      </c>
      <c r="D44" s="36">
        <f t="shared" si="2"/>
        <v>0</v>
      </c>
      <c r="E44" s="36">
        <f t="shared" si="2"/>
        <v>0</v>
      </c>
      <c r="F44" s="36">
        <f t="shared" si="2"/>
        <v>0</v>
      </c>
      <c r="G44" s="36">
        <f t="shared" si="2"/>
        <v>0</v>
      </c>
      <c r="H44" s="36">
        <f t="shared" si="2"/>
        <v>0</v>
      </c>
      <c r="I44" s="36">
        <f t="shared" si="2"/>
        <v>0</v>
      </c>
      <c r="J44" s="36">
        <f t="shared" si="3"/>
        <v>0</v>
      </c>
      <c r="M44" s="7"/>
      <c r="Q44" s="1"/>
    </row>
    <row r="45" spans="1:17" x14ac:dyDescent="0.25">
      <c r="A45" s="1" t="s">
        <v>1</v>
      </c>
      <c r="B45" s="36">
        <f>'Reimbursement Rates &lt;-INPUT'!G28</f>
        <v>0</v>
      </c>
      <c r="C45" s="36">
        <f t="shared" si="2"/>
        <v>0</v>
      </c>
      <c r="D45" s="36">
        <f t="shared" si="2"/>
        <v>0</v>
      </c>
      <c r="E45" s="36">
        <f t="shared" si="2"/>
        <v>0</v>
      </c>
      <c r="F45" s="36">
        <f t="shared" si="2"/>
        <v>0</v>
      </c>
      <c r="G45" s="36">
        <f t="shared" si="2"/>
        <v>0</v>
      </c>
      <c r="H45" s="36">
        <f t="shared" si="2"/>
        <v>0</v>
      </c>
      <c r="I45" s="36">
        <f t="shared" si="2"/>
        <v>0</v>
      </c>
      <c r="J45" s="36">
        <f t="shared" si="3"/>
        <v>0</v>
      </c>
      <c r="M45" s="7"/>
      <c r="Q45" s="1"/>
    </row>
    <row r="46" spans="1:17" ht="15.75" thickBot="1" x14ac:dyDescent="0.3">
      <c r="A46" s="1"/>
      <c r="B46" s="9"/>
      <c r="C46" s="9"/>
      <c r="D46" s="9"/>
      <c r="E46" s="9"/>
      <c r="F46" s="9"/>
      <c r="G46" s="9"/>
      <c r="H46" s="9"/>
      <c r="I46" s="9"/>
      <c r="J46" s="9"/>
      <c r="M46" s="7"/>
      <c r="Q46" s="1"/>
    </row>
    <row r="47" spans="1:17" ht="15.75" thickBot="1" x14ac:dyDescent="0.3">
      <c r="A47" s="170" t="s">
        <v>33</v>
      </c>
      <c r="B47" s="171"/>
      <c r="C47" s="171"/>
      <c r="D47" s="171"/>
      <c r="E47" s="171"/>
      <c r="F47" s="171"/>
      <c r="G47" s="171"/>
      <c r="H47" s="171"/>
      <c r="I47" s="171"/>
      <c r="J47" s="172"/>
      <c r="M47" s="7"/>
      <c r="Q47" s="1"/>
    </row>
    <row r="48" spans="1:17" x14ac:dyDescent="0.25">
      <c r="A48" s="4" t="s">
        <v>16</v>
      </c>
      <c r="B48" s="5" t="s">
        <v>15</v>
      </c>
      <c r="C48" s="5" t="s">
        <v>14</v>
      </c>
      <c r="D48" s="5" t="s">
        <v>13</v>
      </c>
      <c r="E48" s="5" t="s">
        <v>12</v>
      </c>
      <c r="F48" s="5" t="s">
        <v>93</v>
      </c>
      <c r="G48" s="5" t="s">
        <v>94</v>
      </c>
      <c r="H48" s="5" t="s">
        <v>38</v>
      </c>
      <c r="I48" s="5" t="s">
        <v>9</v>
      </c>
      <c r="J48" s="5" t="s">
        <v>0</v>
      </c>
      <c r="M48" s="7"/>
    </row>
    <row r="49" spans="1:17" x14ac:dyDescent="0.25">
      <c r="A49" s="1" t="s">
        <v>49</v>
      </c>
      <c r="B49" s="37">
        <f t="shared" ref="B49:B50" si="4">IF(B8&gt;0,B8*(1-B29),0)</f>
        <v>0</v>
      </c>
      <c r="C49" s="37">
        <f t="shared" ref="C49:I49" si="5">IF(C8&gt;0,C8*(1-C29),0)</f>
        <v>0</v>
      </c>
      <c r="D49" s="37">
        <f t="shared" si="5"/>
        <v>0</v>
      </c>
      <c r="E49" s="37">
        <f t="shared" si="5"/>
        <v>0</v>
      </c>
      <c r="F49" s="37">
        <f t="shared" si="5"/>
        <v>0</v>
      </c>
      <c r="G49" s="37">
        <f t="shared" si="5"/>
        <v>0</v>
      </c>
      <c r="H49" s="37">
        <f t="shared" si="5"/>
        <v>0</v>
      </c>
      <c r="I49" s="37">
        <f t="shared" si="5"/>
        <v>0</v>
      </c>
      <c r="J49" s="37">
        <f>SUM(B49:H49)</f>
        <v>0</v>
      </c>
      <c r="M49" s="7"/>
      <c r="Q49" s="1"/>
    </row>
    <row r="50" spans="1:17" x14ac:dyDescent="0.25">
      <c r="A50" s="1" t="s">
        <v>8</v>
      </c>
      <c r="B50" s="37">
        <f t="shared" si="4"/>
        <v>0</v>
      </c>
      <c r="C50" s="37">
        <f t="shared" ref="C50:I50" si="6">IF(C9&gt;0,C9*(1-C30),0)</f>
        <v>0</v>
      </c>
      <c r="D50" s="37">
        <f t="shared" si="6"/>
        <v>0</v>
      </c>
      <c r="E50" s="37">
        <f t="shared" si="6"/>
        <v>0</v>
      </c>
      <c r="F50" s="37">
        <f t="shared" si="6"/>
        <v>0</v>
      </c>
      <c r="G50" s="37">
        <f t="shared" si="6"/>
        <v>0</v>
      </c>
      <c r="H50" s="37">
        <f t="shared" si="6"/>
        <v>0</v>
      </c>
      <c r="I50" s="37">
        <f t="shared" si="6"/>
        <v>0</v>
      </c>
      <c r="J50" s="37">
        <f t="shared" ref="J50:J65" si="7">SUM(B50:H50)</f>
        <v>0</v>
      </c>
      <c r="M50" s="7"/>
      <c r="Q50" s="7"/>
    </row>
    <row r="51" spans="1:17" x14ac:dyDescent="0.25">
      <c r="A51" s="1" t="s">
        <v>7</v>
      </c>
      <c r="B51" s="37">
        <f>IF(B10&gt;0,B10*(1-B31),0)</f>
        <v>0</v>
      </c>
      <c r="C51" s="37">
        <f t="shared" ref="C51:I51" si="8">IF(C10&gt;0,C10*(1-C31),0)</f>
        <v>0</v>
      </c>
      <c r="D51" s="37">
        <f t="shared" si="8"/>
        <v>0</v>
      </c>
      <c r="E51" s="37">
        <f t="shared" si="8"/>
        <v>0</v>
      </c>
      <c r="F51" s="37">
        <f t="shared" si="8"/>
        <v>0</v>
      </c>
      <c r="G51" s="37">
        <f t="shared" si="8"/>
        <v>0</v>
      </c>
      <c r="H51" s="37">
        <f t="shared" si="8"/>
        <v>0</v>
      </c>
      <c r="I51" s="37">
        <f t="shared" si="8"/>
        <v>0</v>
      </c>
      <c r="J51" s="37">
        <f t="shared" si="7"/>
        <v>0</v>
      </c>
      <c r="M51" s="7"/>
    </row>
    <row r="52" spans="1:17" x14ac:dyDescent="0.25">
      <c r="A52" s="1" t="s">
        <v>42</v>
      </c>
      <c r="B52" s="37">
        <f t="shared" ref="B52:B65" si="9">IF(B11&gt;0,B11*(1-B32),0)</f>
        <v>0</v>
      </c>
      <c r="C52" s="37">
        <f t="shared" ref="C52:I52" si="10">IF(C11&gt;0,C11*(1-C32),0)</f>
        <v>0</v>
      </c>
      <c r="D52" s="37">
        <f t="shared" si="10"/>
        <v>0</v>
      </c>
      <c r="E52" s="37">
        <f t="shared" si="10"/>
        <v>0</v>
      </c>
      <c r="F52" s="37">
        <f t="shared" si="10"/>
        <v>0</v>
      </c>
      <c r="G52" s="37">
        <f t="shared" si="10"/>
        <v>0</v>
      </c>
      <c r="H52" s="37">
        <f t="shared" si="10"/>
        <v>0</v>
      </c>
      <c r="I52" s="37">
        <f t="shared" si="10"/>
        <v>0</v>
      </c>
      <c r="J52" s="37">
        <f t="shared" si="7"/>
        <v>0</v>
      </c>
      <c r="M52" s="7"/>
    </row>
    <row r="53" spans="1:17" x14ac:dyDescent="0.25">
      <c r="A53" s="1" t="s">
        <v>6</v>
      </c>
      <c r="B53" s="37">
        <f t="shared" si="9"/>
        <v>0</v>
      </c>
      <c r="C53" s="37">
        <f t="shared" ref="C53:I53" si="11">IF(C12&gt;0,C12*(1-C33),0)</f>
        <v>0</v>
      </c>
      <c r="D53" s="37">
        <f t="shared" si="11"/>
        <v>0</v>
      </c>
      <c r="E53" s="37">
        <f t="shared" si="11"/>
        <v>0</v>
      </c>
      <c r="F53" s="37">
        <f t="shared" si="11"/>
        <v>0</v>
      </c>
      <c r="G53" s="37">
        <f t="shared" si="11"/>
        <v>0</v>
      </c>
      <c r="H53" s="37">
        <f t="shared" si="11"/>
        <v>0</v>
      </c>
      <c r="I53" s="37">
        <f t="shared" si="11"/>
        <v>0</v>
      </c>
      <c r="J53" s="37">
        <f t="shared" si="7"/>
        <v>0</v>
      </c>
      <c r="M53" s="7"/>
    </row>
    <row r="54" spans="1:17" x14ac:dyDescent="0.25">
      <c r="A54" s="1" t="s">
        <v>50</v>
      </c>
      <c r="B54" s="37">
        <f t="shared" si="9"/>
        <v>0</v>
      </c>
      <c r="C54" s="37">
        <f t="shared" ref="C54:I54" si="12">IF(C13&gt;0,C13*(1-C34),0)</f>
        <v>0</v>
      </c>
      <c r="D54" s="37">
        <f t="shared" si="12"/>
        <v>0</v>
      </c>
      <c r="E54" s="37">
        <f t="shared" si="12"/>
        <v>0</v>
      </c>
      <c r="F54" s="37">
        <f t="shared" si="12"/>
        <v>0</v>
      </c>
      <c r="G54" s="37">
        <f t="shared" si="12"/>
        <v>0</v>
      </c>
      <c r="H54" s="37">
        <f t="shared" si="12"/>
        <v>0</v>
      </c>
      <c r="I54" s="37">
        <f t="shared" si="12"/>
        <v>0</v>
      </c>
      <c r="J54" s="37">
        <f t="shared" si="7"/>
        <v>0</v>
      </c>
      <c r="M54" s="7"/>
    </row>
    <row r="55" spans="1:17" x14ac:dyDescent="0.25">
      <c r="A55" s="1" t="s">
        <v>89</v>
      </c>
      <c r="B55" s="37">
        <f t="shared" si="9"/>
        <v>0</v>
      </c>
      <c r="C55" s="37">
        <f t="shared" ref="C55:I55" si="13">IF(C14&gt;0,C14*(1-C35),0)</f>
        <v>0</v>
      </c>
      <c r="D55" s="37">
        <f t="shared" si="13"/>
        <v>0</v>
      </c>
      <c r="E55" s="37">
        <f t="shared" si="13"/>
        <v>0</v>
      </c>
      <c r="F55" s="37">
        <f t="shared" si="13"/>
        <v>0</v>
      </c>
      <c r="G55" s="37">
        <f t="shared" si="13"/>
        <v>0</v>
      </c>
      <c r="H55" s="37">
        <f t="shared" si="13"/>
        <v>0</v>
      </c>
      <c r="I55" s="37">
        <f t="shared" si="13"/>
        <v>0</v>
      </c>
      <c r="J55" s="37">
        <f t="shared" si="7"/>
        <v>0</v>
      </c>
      <c r="M55" s="7"/>
    </row>
    <row r="56" spans="1:17" x14ac:dyDescent="0.25">
      <c r="A56" s="1" t="s">
        <v>5</v>
      </c>
      <c r="B56" s="37">
        <f t="shared" si="9"/>
        <v>0</v>
      </c>
      <c r="C56" s="37">
        <f t="shared" ref="C56:I56" si="14">IF(C15&gt;0,C15*(1-C36),0)</f>
        <v>0</v>
      </c>
      <c r="D56" s="37">
        <f t="shared" si="14"/>
        <v>0</v>
      </c>
      <c r="E56" s="37">
        <f t="shared" si="14"/>
        <v>0</v>
      </c>
      <c r="F56" s="37">
        <f t="shared" si="14"/>
        <v>0</v>
      </c>
      <c r="G56" s="37">
        <f t="shared" si="14"/>
        <v>0</v>
      </c>
      <c r="H56" s="37">
        <f t="shared" si="14"/>
        <v>0</v>
      </c>
      <c r="I56" s="37">
        <f t="shared" si="14"/>
        <v>0</v>
      </c>
      <c r="J56" s="37">
        <f t="shared" si="7"/>
        <v>0</v>
      </c>
      <c r="M56" s="7"/>
    </row>
    <row r="57" spans="1:17" x14ac:dyDescent="0.25">
      <c r="A57" s="1" t="s">
        <v>84</v>
      </c>
      <c r="B57" s="37">
        <f t="shared" si="9"/>
        <v>0</v>
      </c>
      <c r="C57" s="37">
        <f t="shared" ref="C57:I57" si="15">IF(C16&gt;0,C16*(1-C37),0)</f>
        <v>0</v>
      </c>
      <c r="D57" s="37">
        <f t="shared" si="15"/>
        <v>0</v>
      </c>
      <c r="E57" s="37">
        <f t="shared" si="15"/>
        <v>0</v>
      </c>
      <c r="F57" s="37">
        <f t="shared" si="15"/>
        <v>0</v>
      </c>
      <c r="G57" s="37">
        <f t="shared" si="15"/>
        <v>0</v>
      </c>
      <c r="H57" s="37">
        <f t="shared" si="15"/>
        <v>0</v>
      </c>
      <c r="I57" s="37">
        <f t="shared" si="15"/>
        <v>0</v>
      </c>
      <c r="J57" s="37">
        <f t="shared" si="7"/>
        <v>0</v>
      </c>
      <c r="M57" s="7"/>
    </row>
    <row r="58" spans="1:17" x14ac:dyDescent="0.25">
      <c r="A58" s="1" t="s">
        <v>4</v>
      </c>
      <c r="B58" s="37">
        <f t="shared" si="9"/>
        <v>0</v>
      </c>
      <c r="C58" s="37">
        <f t="shared" ref="C58:I58" si="16">IF(C17&gt;0,C17*(1-C38),0)</f>
        <v>0</v>
      </c>
      <c r="D58" s="37">
        <f t="shared" si="16"/>
        <v>0</v>
      </c>
      <c r="E58" s="37">
        <f t="shared" si="16"/>
        <v>0</v>
      </c>
      <c r="F58" s="37">
        <f t="shared" si="16"/>
        <v>0</v>
      </c>
      <c r="G58" s="37">
        <f t="shared" si="16"/>
        <v>0</v>
      </c>
      <c r="H58" s="37">
        <f t="shared" si="16"/>
        <v>0</v>
      </c>
      <c r="I58" s="37">
        <f t="shared" si="16"/>
        <v>0</v>
      </c>
      <c r="J58" s="37">
        <f t="shared" si="7"/>
        <v>0</v>
      </c>
      <c r="M58" s="7"/>
    </row>
    <row r="59" spans="1:17" x14ac:dyDescent="0.25">
      <c r="A59" s="1" t="s">
        <v>51</v>
      </c>
      <c r="B59" s="37">
        <f t="shared" si="9"/>
        <v>0</v>
      </c>
      <c r="C59" s="37">
        <f t="shared" ref="C59:I59" si="17">IF(C18&gt;0,C18*(1-C39),0)</f>
        <v>0</v>
      </c>
      <c r="D59" s="37">
        <f t="shared" si="17"/>
        <v>0</v>
      </c>
      <c r="E59" s="37">
        <f t="shared" si="17"/>
        <v>0</v>
      </c>
      <c r="F59" s="37">
        <f t="shared" si="17"/>
        <v>0</v>
      </c>
      <c r="G59" s="37">
        <f t="shared" si="17"/>
        <v>0</v>
      </c>
      <c r="H59" s="37">
        <f t="shared" si="17"/>
        <v>0</v>
      </c>
      <c r="I59" s="37">
        <f t="shared" si="17"/>
        <v>0</v>
      </c>
      <c r="J59" s="37">
        <f t="shared" si="7"/>
        <v>0</v>
      </c>
      <c r="M59" s="7"/>
    </row>
    <row r="60" spans="1:17" x14ac:dyDescent="0.25">
      <c r="A60" s="1" t="s">
        <v>85</v>
      </c>
      <c r="B60" s="37">
        <f t="shared" si="9"/>
        <v>0</v>
      </c>
      <c r="C60" s="37">
        <f t="shared" ref="C60:I60" si="18">IF(C19&gt;0,C19*(1-C40),0)</f>
        <v>0</v>
      </c>
      <c r="D60" s="37">
        <f t="shared" si="18"/>
        <v>0</v>
      </c>
      <c r="E60" s="37">
        <f t="shared" si="18"/>
        <v>0</v>
      </c>
      <c r="F60" s="37">
        <f t="shared" si="18"/>
        <v>0</v>
      </c>
      <c r="G60" s="37">
        <f t="shared" si="18"/>
        <v>0</v>
      </c>
      <c r="H60" s="37">
        <f t="shared" si="18"/>
        <v>0</v>
      </c>
      <c r="I60" s="37">
        <f t="shared" si="18"/>
        <v>0</v>
      </c>
      <c r="J60" s="37">
        <f t="shared" si="7"/>
        <v>0</v>
      </c>
      <c r="M60" s="7"/>
    </row>
    <row r="61" spans="1:17" x14ac:dyDescent="0.25">
      <c r="A61" s="1" t="s">
        <v>2</v>
      </c>
      <c r="B61" s="37">
        <f t="shared" si="9"/>
        <v>0</v>
      </c>
      <c r="C61" s="37">
        <f t="shared" ref="C61:I61" si="19">IF(C20&gt;0,C20*(1-C41),0)</f>
        <v>0</v>
      </c>
      <c r="D61" s="37">
        <f t="shared" si="19"/>
        <v>0</v>
      </c>
      <c r="E61" s="37">
        <f t="shared" si="19"/>
        <v>0</v>
      </c>
      <c r="F61" s="37">
        <f t="shared" si="19"/>
        <v>0</v>
      </c>
      <c r="G61" s="37">
        <f t="shared" si="19"/>
        <v>0</v>
      </c>
      <c r="H61" s="37">
        <f t="shared" si="19"/>
        <v>0</v>
      </c>
      <c r="I61" s="37">
        <f t="shared" si="19"/>
        <v>0</v>
      </c>
      <c r="J61" s="37">
        <f t="shared" si="7"/>
        <v>0</v>
      </c>
      <c r="M61" s="7"/>
    </row>
    <row r="62" spans="1:17" x14ac:dyDescent="0.25">
      <c r="A62" s="1" t="s">
        <v>86</v>
      </c>
      <c r="B62" s="37">
        <f t="shared" si="9"/>
        <v>0</v>
      </c>
      <c r="C62" s="37">
        <f t="shared" ref="C62:I62" si="20">IF(C21&gt;0,C21*(1-C42),0)</f>
        <v>0</v>
      </c>
      <c r="D62" s="37">
        <f t="shared" si="20"/>
        <v>0</v>
      </c>
      <c r="E62" s="37">
        <f t="shared" si="20"/>
        <v>0</v>
      </c>
      <c r="F62" s="37">
        <f t="shared" si="20"/>
        <v>0</v>
      </c>
      <c r="G62" s="37">
        <f t="shared" si="20"/>
        <v>0</v>
      </c>
      <c r="H62" s="37">
        <f t="shared" si="20"/>
        <v>0</v>
      </c>
      <c r="I62" s="37">
        <f t="shared" si="20"/>
        <v>0</v>
      </c>
      <c r="J62" s="37">
        <f t="shared" si="7"/>
        <v>0</v>
      </c>
      <c r="M62" s="183" t="s">
        <v>62</v>
      </c>
    </row>
    <row r="63" spans="1:17" x14ac:dyDescent="0.25">
      <c r="A63" s="1" t="s">
        <v>29</v>
      </c>
      <c r="B63" s="37">
        <f t="shared" si="9"/>
        <v>0</v>
      </c>
      <c r="C63" s="37">
        <f t="shared" ref="C63:I63" si="21">IF(C22&gt;0,C22*(1-C43),0)</f>
        <v>0</v>
      </c>
      <c r="D63" s="37">
        <f t="shared" si="21"/>
        <v>0</v>
      </c>
      <c r="E63" s="37">
        <f t="shared" si="21"/>
        <v>0</v>
      </c>
      <c r="F63" s="37">
        <f t="shared" si="21"/>
        <v>0</v>
      </c>
      <c r="G63" s="37">
        <f t="shared" si="21"/>
        <v>0</v>
      </c>
      <c r="H63" s="37">
        <f t="shared" si="21"/>
        <v>0</v>
      </c>
      <c r="I63" s="37">
        <f t="shared" si="21"/>
        <v>0</v>
      </c>
      <c r="J63" s="37">
        <f t="shared" si="7"/>
        <v>0</v>
      </c>
      <c r="M63" s="183"/>
    </row>
    <row r="64" spans="1:17" x14ac:dyDescent="0.25">
      <c r="A64" s="1" t="s">
        <v>52</v>
      </c>
      <c r="B64" s="37">
        <f t="shared" si="9"/>
        <v>0</v>
      </c>
      <c r="C64" s="37">
        <f t="shared" ref="C64:I64" si="22">IF(C23&gt;0,C23*(1-C44),0)</f>
        <v>0</v>
      </c>
      <c r="D64" s="37">
        <f t="shared" si="22"/>
        <v>0</v>
      </c>
      <c r="E64" s="37">
        <f t="shared" si="22"/>
        <v>0</v>
      </c>
      <c r="F64" s="37">
        <f t="shared" si="22"/>
        <v>0</v>
      </c>
      <c r="G64" s="37">
        <f t="shared" si="22"/>
        <v>0</v>
      </c>
      <c r="H64" s="37">
        <f t="shared" si="22"/>
        <v>0</v>
      </c>
      <c r="I64" s="37">
        <f t="shared" si="22"/>
        <v>0</v>
      </c>
      <c r="J64" s="37">
        <f t="shared" si="7"/>
        <v>0</v>
      </c>
      <c r="L64" s="35" t="s">
        <v>41</v>
      </c>
      <c r="M64" s="183" t="s">
        <v>63</v>
      </c>
    </row>
    <row r="65" spans="1:13" x14ac:dyDescent="0.25">
      <c r="A65" s="1" t="s">
        <v>1</v>
      </c>
      <c r="B65" s="38">
        <f t="shared" si="9"/>
        <v>0</v>
      </c>
      <c r="C65" s="38">
        <f t="shared" ref="C65:I65" si="23">IF(C24&gt;0,C24*(1-C45),0)</f>
        <v>0</v>
      </c>
      <c r="D65" s="38">
        <f t="shared" si="23"/>
        <v>0</v>
      </c>
      <c r="E65" s="38">
        <f t="shared" si="23"/>
        <v>0</v>
      </c>
      <c r="F65" s="38">
        <f t="shared" si="23"/>
        <v>0</v>
      </c>
      <c r="G65" s="38">
        <f t="shared" si="23"/>
        <v>0</v>
      </c>
      <c r="H65" s="38">
        <f t="shared" si="23"/>
        <v>0</v>
      </c>
      <c r="I65" s="38">
        <f t="shared" si="23"/>
        <v>0</v>
      </c>
      <c r="J65" s="38">
        <f t="shared" si="7"/>
        <v>0</v>
      </c>
      <c r="L65" s="42" t="s">
        <v>61</v>
      </c>
      <c r="M65" s="184"/>
    </row>
    <row r="66" spans="1:13" x14ac:dyDescent="0.25">
      <c r="A66" s="1"/>
      <c r="B66" s="9">
        <f>SUM(B49:B65)</f>
        <v>0</v>
      </c>
      <c r="C66" s="9">
        <f t="shared" ref="C66:J66" si="24">SUM(C49:C65)</f>
        <v>0</v>
      </c>
      <c r="D66" s="9">
        <f t="shared" si="24"/>
        <v>0</v>
      </c>
      <c r="E66" s="9">
        <f t="shared" si="24"/>
        <v>0</v>
      </c>
      <c r="F66" s="9">
        <f t="shared" si="24"/>
        <v>0</v>
      </c>
      <c r="G66" s="9">
        <f t="shared" si="24"/>
        <v>0</v>
      </c>
      <c r="H66" s="9">
        <f t="shared" si="24"/>
        <v>0</v>
      </c>
      <c r="I66" s="9">
        <f t="shared" si="24"/>
        <v>0</v>
      </c>
      <c r="J66" s="9">
        <f t="shared" si="24"/>
        <v>0</v>
      </c>
      <c r="L66" s="108">
        <v>60000</v>
      </c>
      <c r="M66" s="7">
        <f>J66-L66</f>
        <v>-60000</v>
      </c>
    </row>
    <row r="67" spans="1:13" ht="15.75" thickBot="1" x14ac:dyDescent="0.3">
      <c r="A67" s="1"/>
      <c r="B67" s="9"/>
      <c r="C67" s="9"/>
      <c r="D67" s="9"/>
      <c r="E67" s="9"/>
      <c r="F67" s="9"/>
      <c r="G67" s="9"/>
      <c r="H67" s="9"/>
      <c r="I67" s="9"/>
      <c r="J67" s="9"/>
      <c r="M67" s="7"/>
    </row>
    <row r="68" spans="1:13" ht="15.75" thickBot="1" x14ac:dyDescent="0.3">
      <c r="A68" s="170" t="s">
        <v>64</v>
      </c>
      <c r="B68" s="171"/>
      <c r="C68" s="171"/>
      <c r="D68" s="171"/>
      <c r="E68" s="171"/>
      <c r="F68" s="171"/>
      <c r="G68" s="171"/>
      <c r="H68" s="171"/>
      <c r="I68" s="171"/>
      <c r="J68" s="172"/>
      <c r="M68" s="7"/>
    </row>
    <row r="69" spans="1:13" x14ac:dyDescent="0.25">
      <c r="A69" s="4" t="s">
        <v>16</v>
      </c>
      <c r="B69" s="5" t="s">
        <v>15</v>
      </c>
      <c r="C69" s="5" t="s">
        <v>14</v>
      </c>
      <c r="D69" s="5" t="s">
        <v>13</v>
      </c>
      <c r="E69" s="5" t="s">
        <v>12</v>
      </c>
      <c r="F69" s="5" t="s">
        <v>93</v>
      </c>
      <c r="G69" s="5" t="s">
        <v>94</v>
      </c>
      <c r="H69" s="5" t="s">
        <v>38</v>
      </c>
      <c r="I69" s="5" t="s">
        <v>9</v>
      </c>
      <c r="J69" s="5" t="s">
        <v>0</v>
      </c>
      <c r="M69" s="7"/>
    </row>
    <row r="70" spans="1:13" x14ac:dyDescent="0.25">
      <c r="A70" s="1" t="s">
        <v>49</v>
      </c>
      <c r="B70" s="39">
        <f t="shared" ref="B70:B71" si="25">B8-B49</f>
        <v>0</v>
      </c>
      <c r="C70" s="39">
        <f t="shared" ref="C70:I70" si="26">C8-C49</f>
        <v>0</v>
      </c>
      <c r="D70" s="39">
        <f t="shared" si="26"/>
        <v>0</v>
      </c>
      <c r="E70" s="39">
        <f t="shared" si="26"/>
        <v>0</v>
      </c>
      <c r="F70" s="39">
        <f t="shared" si="26"/>
        <v>0</v>
      </c>
      <c r="G70" s="39">
        <f t="shared" si="26"/>
        <v>0</v>
      </c>
      <c r="H70" s="39">
        <f t="shared" si="26"/>
        <v>0</v>
      </c>
      <c r="I70" s="39">
        <f t="shared" si="26"/>
        <v>0</v>
      </c>
      <c r="J70" s="39">
        <f>SUM(B70:H70)</f>
        <v>0</v>
      </c>
      <c r="M70" s="7"/>
    </row>
    <row r="71" spans="1:13" x14ac:dyDescent="0.25">
      <c r="A71" s="1" t="s">
        <v>8</v>
      </c>
      <c r="B71" s="39">
        <f t="shared" si="25"/>
        <v>0</v>
      </c>
      <c r="C71" s="39">
        <f t="shared" ref="C71:I71" si="27">C9-C50</f>
        <v>0</v>
      </c>
      <c r="D71" s="39">
        <f t="shared" si="27"/>
        <v>0</v>
      </c>
      <c r="E71" s="39">
        <f t="shared" si="27"/>
        <v>0</v>
      </c>
      <c r="F71" s="39">
        <f t="shared" si="27"/>
        <v>0</v>
      </c>
      <c r="G71" s="39">
        <f t="shared" si="27"/>
        <v>0</v>
      </c>
      <c r="H71" s="39">
        <f t="shared" si="27"/>
        <v>0</v>
      </c>
      <c r="I71" s="39">
        <f t="shared" si="27"/>
        <v>0</v>
      </c>
      <c r="J71" s="39">
        <f t="shared" ref="J71:J86" si="28">SUM(B71:H71)</f>
        <v>0</v>
      </c>
      <c r="M71" s="7"/>
    </row>
    <row r="72" spans="1:13" x14ac:dyDescent="0.25">
      <c r="A72" s="1" t="s">
        <v>7</v>
      </c>
      <c r="B72" s="39">
        <f>B10-B51</f>
        <v>0</v>
      </c>
      <c r="C72" s="39">
        <f t="shared" ref="C72:I72" si="29">C10-C51</f>
        <v>0</v>
      </c>
      <c r="D72" s="39">
        <f t="shared" si="29"/>
        <v>0</v>
      </c>
      <c r="E72" s="39">
        <f t="shared" si="29"/>
        <v>0</v>
      </c>
      <c r="F72" s="39">
        <f t="shared" si="29"/>
        <v>0</v>
      </c>
      <c r="G72" s="39">
        <f t="shared" si="29"/>
        <v>0</v>
      </c>
      <c r="H72" s="39">
        <f t="shared" si="29"/>
        <v>0</v>
      </c>
      <c r="I72" s="39">
        <f t="shared" si="29"/>
        <v>0</v>
      </c>
      <c r="J72" s="39">
        <f t="shared" si="28"/>
        <v>0</v>
      </c>
      <c r="M72" s="7"/>
    </row>
    <row r="73" spans="1:13" x14ac:dyDescent="0.25">
      <c r="A73" s="1" t="s">
        <v>42</v>
      </c>
      <c r="B73" s="39">
        <f t="shared" ref="B73:B86" si="30">B11-B52</f>
        <v>0</v>
      </c>
      <c r="C73" s="39">
        <f t="shared" ref="C73:I73" si="31">C11-C52</f>
        <v>0</v>
      </c>
      <c r="D73" s="39">
        <f t="shared" si="31"/>
        <v>0</v>
      </c>
      <c r="E73" s="39">
        <f t="shared" si="31"/>
        <v>0</v>
      </c>
      <c r="F73" s="39">
        <f t="shared" si="31"/>
        <v>0</v>
      </c>
      <c r="G73" s="39">
        <f t="shared" si="31"/>
        <v>0</v>
      </c>
      <c r="H73" s="39">
        <f t="shared" si="31"/>
        <v>0</v>
      </c>
      <c r="I73" s="39">
        <f t="shared" si="31"/>
        <v>0</v>
      </c>
      <c r="J73" s="39">
        <f t="shared" si="28"/>
        <v>0</v>
      </c>
      <c r="M73" s="7"/>
    </row>
    <row r="74" spans="1:13" x14ac:dyDescent="0.25">
      <c r="A74" s="1" t="s">
        <v>6</v>
      </c>
      <c r="B74" s="39">
        <f t="shared" si="30"/>
        <v>0</v>
      </c>
      <c r="C74" s="39">
        <f t="shared" ref="C74:I74" si="32">C12-C53</f>
        <v>0</v>
      </c>
      <c r="D74" s="39">
        <f t="shared" si="32"/>
        <v>0</v>
      </c>
      <c r="E74" s="39">
        <f t="shared" si="32"/>
        <v>0</v>
      </c>
      <c r="F74" s="39">
        <f t="shared" si="32"/>
        <v>0</v>
      </c>
      <c r="G74" s="39">
        <f t="shared" si="32"/>
        <v>0</v>
      </c>
      <c r="H74" s="39">
        <f t="shared" si="32"/>
        <v>0</v>
      </c>
      <c r="I74" s="39">
        <f t="shared" si="32"/>
        <v>0</v>
      </c>
      <c r="J74" s="39">
        <f t="shared" si="28"/>
        <v>0</v>
      </c>
      <c r="M74" s="7"/>
    </row>
    <row r="75" spans="1:13" x14ac:dyDescent="0.25">
      <c r="A75" s="1" t="s">
        <v>50</v>
      </c>
      <c r="B75" s="39">
        <f t="shared" si="30"/>
        <v>0</v>
      </c>
      <c r="C75" s="39">
        <f t="shared" ref="C75:I75" si="33">C13-C54</f>
        <v>0</v>
      </c>
      <c r="D75" s="39">
        <f t="shared" si="33"/>
        <v>0</v>
      </c>
      <c r="E75" s="39">
        <f t="shared" si="33"/>
        <v>0</v>
      </c>
      <c r="F75" s="39">
        <f t="shared" si="33"/>
        <v>0</v>
      </c>
      <c r="G75" s="39">
        <f t="shared" si="33"/>
        <v>0</v>
      </c>
      <c r="H75" s="39">
        <f t="shared" si="33"/>
        <v>0</v>
      </c>
      <c r="I75" s="39">
        <f t="shared" si="33"/>
        <v>0</v>
      </c>
      <c r="J75" s="39">
        <f t="shared" si="28"/>
        <v>0</v>
      </c>
      <c r="M75" s="7"/>
    </row>
    <row r="76" spans="1:13" x14ac:dyDescent="0.25">
      <c r="A76" s="1" t="s">
        <v>89</v>
      </c>
      <c r="B76" s="39">
        <f t="shared" si="30"/>
        <v>0</v>
      </c>
      <c r="C76" s="39">
        <f t="shared" ref="C76:I76" si="34">C14-C55</f>
        <v>0</v>
      </c>
      <c r="D76" s="39">
        <f t="shared" si="34"/>
        <v>0</v>
      </c>
      <c r="E76" s="39">
        <f t="shared" si="34"/>
        <v>0</v>
      </c>
      <c r="F76" s="39">
        <f t="shared" si="34"/>
        <v>0</v>
      </c>
      <c r="G76" s="39">
        <f t="shared" si="34"/>
        <v>0</v>
      </c>
      <c r="H76" s="39">
        <f t="shared" si="34"/>
        <v>0</v>
      </c>
      <c r="I76" s="39">
        <f t="shared" si="34"/>
        <v>0</v>
      </c>
      <c r="J76" s="39">
        <f t="shared" si="28"/>
        <v>0</v>
      </c>
      <c r="M76" s="7"/>
    </row>
    <row r="77" spans="1:13" x14ac:dyDescent="0.25">
      <c r="A77" s="1" t="s">
        <v>5</v>
      </c>
      <c r="B77" s="39">
        <f t="shared" si="30"/>
        <v>0</v>
      </c>
      <c r="C77" s="39">
        <f t="shared" ref="C77:I77" si="35">C15-C56</f>
        <v>0</v>
      </c>
      <c r="D77" s="39">
        <f t="shared" si="35"/>
        <v>0</v>
      </c>
      <c r="E77" s="39">
        <f t="shared" si="35"/>
        <v>0</v>
      </c>
      <c r="F77" s="39">
        <f t="shared" si="35"/>
        <v>0</v>
      </c>
      <c r="G77" s="39">
        <f t="shared" si="35"/>
        <v>0</v>
      </c>
      <c r="H77" s="39">
        <f t="shared" si="35"/>
        <v>0</v>
      </c>
      <c r="I77" s="39">
        <f t="shared" si="35"/>
        <v>0</v>
      </c>
      <c r="J77" s="39">
        <f t="shared" si="28"/>
        <v>0</v>
      </c>
      <c r="M77" s="7"/>
    </row>
    <row r="78" spans="1:13" x14ac:dyDescent="0.25">
      <c r="A78" s="1" t="s">
        <v>84</v>
      </c>
      <c r="B78" s="39">
        <f t="shared" si="30"/>
        <v>0</v>
      </c>
      <c r="C78" s="39">
        <f t="shared" ref="C78:I78" si="36">C16-C57</f>
        <v>0</v>
      </c>
      <c r="D78" s="39">
        <f t="shared" si="36"/>
        <v>0</v>
      </c>
      <c r="E78" s="39">
        <f t="shared" si="36"/>
        <v>0</v>
      </c>
      <c r="F78" s="39">
        <f t="shared" si="36"/>
        <v>0</v>
      </c>
      <c r="G78" s="39">
        <f t="shared" si="36"/>
        <v>0</v>
      </c>
      <c r="H78" s="39">
        <f t="shared" si="36"/>
        <v>0</v>
      </c>
      <c r="I78" s="39">
        <f t="shared" si="36"/>
        <v>0</v>
      </c>
      <c r="J78" s="39">
        <f t="shared" si="28"/>
        <v>0</v>
      </c>
      <c r="M78" s="7"/>
    </row>
    <row r="79" spans="1:13" x14ac:dyDescent="0.25">
      <c r="A79" s="1" t="s">
        <v>4</v>
      </c>
      <c r="B79" s="39">
        <f t="shared" si="30"/>
        <v>0</v>
      </c>
      <c r="C79" s="39">
        <f t="shared" ref="C79:I79" si="37">C17-C58</f>
        <v>0</v>
      </c>
      <c r="D79" s="39">
        <f t="shared" si="37"/>
        <v>0</v>
      </c>
      <c r="E79" s="39">
        <f t="shared" si="37"/>
        <v>0</v>
      </c>
      <c r="F79" s="39">
        <f t="shared" si="37"/>
        <v>0</v>
      </c>
      <c r="G79" s="39">
        <f t="shared" si="37"/>
        <v>0</v>
      </c>
      <c r="H79" s="39">
        <f t="shared" si="37"/>
        <v>0</v>
      </c>
      <c r="I79" s="39">
        <f t="shared" si="37"/>
        <v>0</v>
      </c>
      <c r="J79" s="39">
        <f t="shared" si="28"/>
        <v>0</v>
      </c>
      <c r="M79" s="7"/>
    </row>
    <row r="80" spans="1:13" x14ac:dyDescent="0.25">
      <c r="A80" s="1" t="s">
        <v>51</v>
      </c>
      <c r="B80" s="39">
        <f t="shared" si="30"/>
        <v>0</v>
      </c>
      <c r="C80" s="39">
        <f t="shared" ref="C80:I80" si="38">C18-C59</f>
        <v>0</v>
      </c>
      <c r="D80" s="39">
        <f t="shared" si="38"/>
        <v>0</v>
      </c>
      <c r="E80" s="39">
        <f t="shared" si="38"/>
        <v>0</v>
      </c>
      <c r="F80" s="39">
        <f t="shared" si="38"/>
        <v>0</v>
      </c>
      <c r="G80" s="39">
        <f t="shared" si="38"/>
        <v>0</v>
      </c>
      <c r="H80" s="39">
        <f t="shared" si="38"/>
        <v>0</v>
      </c>
      <c r="I80" s="39">
        <f t="shared" si="38"/>
        <v>0</v>
      </c>
      <c r="J80" s="39">
        <f t="shared" si="28"/>
        <v>0</v>
      </c>
      <c r="M80" s="7"/>
    </row>
    <row r="81" spans="1:13" x14ac:dyDescent="0.25">
      <c r="A81" s="1" t="s">
        <v>85</v>
      </c>
      <c r="B81" s="39">
        <f t="shared" si="30"/>
        <v>0</v>
      </c>
      <c r="C81" s="39">
        <f t="shared" ref="C81:I81" si="39">C19-C60</f>
        <v>0</v>
      </c>
      <c r="D81" s="39">
        <f t="shared" si="39"/>
        <v>0</v>
      </c>
      <c r="E81" s="39">
        <f t="shared" si="39"/>
        <v>0</v>
      </c>
      <c r="F81" s="39">
        <f t="shared" si="39"/>
        <v>0</v>
      </c>
      <c r="G81" s="39">
        <f t="shared" si="39"/>
        <v>0</v>
      </c>
      <c r="H81" s="39">
        <f t="shared" si="39"/>
        <v>0</v>
      </c>
      <c r="I81" s="39">
        <f t="shared" si="39"/>
        <v>0</v>
      </c>
      <c r="J81" s="39">
        <f t="shared" si="28"/>
        <v>0</v>
      </c>
      <c r="M81" s="7"/>
    </row>
    <row r="82" spans="1:13" x14ac:dyDescent="0.25">
      <c r="A82" s="1" t="s">
        <v>2</v>
      </c>
      <c r="B82" s="39">
        <f t="shared" si="30"/>
        <v>0</v>
      </c>
      <c r="C82" s="39">
        <f t="shared" ref="C82:I82" si="40">C20-C61</f>
        <v>0</v>
      </c>
      <c r="D82" s="39">
        <f t="shared" si="40"/>
        <v>0</v>
      </c>
      <c r="E82" s="39">
        <f t="shared" si="40"/>
        <v>0</v>
      </c>
      <c r="F82" s="39">
        <f t="shared" si="40"/>
        <v>0</v>
      </c>
      <c r="G82" s="39">
        <f t="shared" si="40"/>
        <v>0</v>
      </c>
      <c r="H82" s="39">
        <f t="shared" si="40"/>
        <v>0</v>
      </c>
      <c r="I82" s="39">
        <f t="shared" si="40"/>
        <v>0</v>
      </c>
      <c r="J82" s="39">
        <f t="shared" si="28"/>
        <v>0</v>
      </c>
      <c r="M82" s="7"/>
    </row>
    <row r="83" spans="1:13" x14ac:dyDescent="0.25">
      <c r="A83" s="1" t="s">
        <v>86</v>
      </c>
      <c r="B83" s="39">
        <f t="shared" si="30"/>
        <v>0</v>
      </c>
      <c r="C83" s="39">
        <f t="shared" ref="C83:I83" si="41">C21-C62</f>
        <v>0</v>
      </c>
      <c r="D83" s="39">
        <f t="shared" si="41"/>
        <v>0</v>
      </c>
      <c r="E83" s="39">
        <f t="shared" si="41"/>
        <v>0</v>
      </c>
      <c r="F83" s="39">
        <f t="shared" si="41"/>
        <v>0</v>
      </c>
      <c r="G83" s="39">
        <f t="shared" si="41"/>
        <v>0</v>
      </c>
      <c r="H83" s="39">
        <f t="shared" si="41"/>
        <v>0</v>
      </c>
      <c r="I83" s="39">
        <f t="shared" si="41"/>
        <v>0</v>
      </c>
      <c r="J83" s="39">
        <f t="shared" si="28"/>
        <v>0</v>
      </c>
      <c r="M83" s="7"/>
    </row>
    <row r="84" spans="1:13" x14ac:dyDescent="0.25">
      <c r="A84" s="1" t="s">
        <v>29</v>
      </c>
      <c r="B84" s="39">
        <f t="shared" si="30"/>
        <v>0</v>
      </c>
      <c r="C84" s="39">
        <f t="shared" ref="C84:I84" si="42">C22-C63</f>
        <v>0</v>
      </c>
      <c r="D84" s="39">
        <f t="shared" si="42"/>
        <v>0</v>
      </c>
      <c r="E84" s="39">
        <f t="shared" si="42"/>
        <v>0</v>
      </c>
      <c r="F84" s="39">
        <f t="shared" si="42"/>
        <v>0</v>
      </c>
      <c r="G84" s="39">
        <f t="shared" si="42"/>
        <v>0</v>
      </c>
      <c r="H84" s="39">
        <f t="shared" si="42"/>
        <v>0</v>
      </c>
      <c r="I84" s="39">
        <f t="shared" si="42"/>
        <v>0</v>
      </c>
      <c r="J84" s="39">
        <f t="shared" si="28"/>
        <v>0</v>
      </c>
      <c r="M84" s="7"/>
    </row>
    <row r="85" spans="1:13" x14ac:dyDescent="0.25">
      <c r="A85" s="1" t="s">
        <v>52</v>
      </c>
      <c r="B85" s="39">
        <f t="shared" si="30"/>
        <v>0</v>
      </c>
      <c r="C85" s="39">
        <f t="shared" ref="C85:I85" si="43">C23-C64</f>
        <v>0</v>
      </c>
      <c r="D85" s="39">
        <f t="shared" si="43"/>
        <v>0</v>
      </c>
      <c r="E85" s="39">
        <f t="shared" si="43"/>
        <v>0</v>
      </c>
      <c r="F85" s="39">
        <f t="shared" si="43"/>
        <v>0</v>
      </c>
      <c r="G85" s="39">
        <f t="shared" si="43"/>
        <v>0</v>
      </c>
      <c r="H85" s="39">
        <f t="shared" si="43"/>
        <v>0</v>
      </c>
      <c r="I85" s="39">
        <f t="shared" si="43"/>
        <v>0</v>
      </c>
      <c r="J85" s="39">
        <f t="shared" si="28"/>
        <v>0</v>
      </c>
      <c r="M85" s="7"/>
    </row>
    <row r="86" spans="1:13" x14ac:dyDescent="0.25">
      <c r="A86" s="1" t="s">
        <v>1</v>
      </c>
      <c r="B86" s="40">
        <f t="shared" si="30"/>
        <v>0</v>
      </c>
      <c r="C86" s="40">
        <f t="shared" ref="C86:I86" si="44">C24-C65</f>
        <v>0</v>
      </c>
      <c r="D86" s="40">
        <f t="shared" si="44"/>
        <v>0</v>
      </c>
      <c r="E86" s="40">
        <f t="shared" si="44"/>
        <v>0</v>
      </c>
      <c r="F86" s="40">
        <f t="shared" si="44"/>
        <v>0</v>
      </c>
      <c r="G86" s="40">
        <f t="shared" si="44"/>
        <v>0</v>
      </c>
      <c r="H86" s="40">
        <f t="shared" si="44"/>
        <v>0</v>
      </c>
      <c r="I86" s="40">
        <f t="shared" si="44"/>
        <v>0</v>
      </c>
      <c r="J86" s="40">
        <f t="shared" si="28"/>
        <v>0</v>
      </c>
      <c r="M86" s="7"/>
    </row>
    <row r="87" spans="1:13" x14ac:dyDescent="0.25">
      <c r="A87" s="4"/>
      <c r="B87" s="39">
        <f>SUM(B70:B86)</f>
        <v>0</v>
      </c>
      <c r="C87" s="39">
        <f t="shared" ref="C87:J87" si="45">SUM(C70:C86)</f>
        <v>0</v>
      </c>
      <c r="D87" s="39">
        <f t="shared" si="45"/>
        <v>0</v>
      </c>
      <c r="E87" s="39">
        <f t="shared" si="45"/>
        <v>0</v>
      </c>
      <c r="F87" s="39">
        <f t="shared" si="45"/>
        <v>0</v>
      </c>
      <c r="G87" s="39">
        <f t="shared" si="45"/>
        <v>0</v>
      </c>
      <c r="H87" s="39">
        <f t="shared" si="45"/>
        <v>0</v>
      </c>
      <c r="I87" s="39">
        <f t="shared" si="45"/>
        <v>0</v>
      </c>
      <c r="J87" s="39">
        <f t="shared" si="45"/>
        <v>0</v>
      </c>
      <c r="M87" s="7"/>
    </row>
    <row r="88" spans="1:13" ht="15.75" thickBot="1" x14ac:dyDescent="0.3">
      <c r="A88" s="4"/>
      <c r="B88" s="39"/>
      <c r="C88" s="39"/>
      <c r="D88" s="39"/>
      <c r="E88" s="39"/>
      <c r="F88" s="39"/>
      <c r="G88" s="39"/>
      <c r="H88" s="39"/>
      <c r="I88" s="39"/>
      <c r="J88" s="39"/>
      <c r="M88" s="7"/>
    </row>
    <row r="89" spans="1:13" ht="15.75" thickBot="1" x14ac:dyDescent="0.3">
      <c r="A89" s="167" t="s">
        <v>59</v>
      </c>
      <c r="B89" s="168"/>
      <c r="C89" s="168"/>
      <c r="D89" s="168"/>
      <c r="E89" s="168"/>
      <c r="F89" s="168"/>
      <c r="G89" s="168"/>
      <c r="H89" s="168"/>
      <c r="I89" s="168"/>
      <c r="J89" s="169"/>
      <c r="M89" s="7"/>
    </row>
    <row r="90" spans="1:13" x14ac:dyDescent="0.25">
      <c r="A90" s="4" t="s">
        <v>16</v>
      </c>
      <c r="B90" s="5" t="s">
        <v>15</v>
      </c>
      <c r="C90" s="5" t="s">
        <v>14</v>
      </c>
      <c r="D90" s="5" t="s">
        <v>13</v>
      </c>
      <c r="E90" s="5" t="s">
        <v>12</v>
      </c>
      <c r="F90" s="5" t="s">
        <v>93</v>
      </c>
      <c r="G90" s="5" t="s">
        <v>94</v>
      </c>
      <c r="H90" s="5" t="s">
        <v>38</v>
      </c>
      <c r="I90" s="5" t="s">
        <v>9</v>
      </c>
      <c r="J90" s="5" t="s">
        <v>0</v>
      </c>
      <c r="M90" s="7"/>
    </row>
    <row r="91" spans="1:13" x14ac:dyDescent="0.25">
      <c r="A91" s="1" t="s">
        <v>49</v>
      </c>
      <c r="B91" s="41">
        <v>0</v>
      </c>
      <c r="C91" s="41">
        <v>0</v>
      </c>
      <c r="D91" s="41">
        <v>0</v>
      </c>
      <c r="E91" s="41">
        <v>0.1</v>
      </c>
      <c r="F91" s="41">
        <v>0.15</v>
      </c>
      <c r="G91" s="41">
        <v>0.15</v>
      </c>
      <c r="H91" s="41">
        <v>0.2</v>
      </c>
      <c r="I91" s="41">
        <v>1</v>
      </c>
      <c r="J91" s="39"/>
      <c r="M91" s="7"/>
    </row>
    <row r="92" spans="1:13" x14ac:dyDescent="0.25">
      <c r="A92" s="1" t="s">
        <v>8</v>
      </c>
      <c r="B92" s="41">
        <v>0</v>
      </c>
      <c r="C92" s="41">
        <v>0</v>
      </c>
      <c r="D92" s="41">
        <v>0</v>
      </c>
      <c r="E92" s="41">
        <v>0.1</v>
      </c>
      <c r="F92" s="41">
        <v>0.15</v>
      </c>
      <c r="G92" s="41">
        <v>0.15</v>
      </c>
      <c r="H92" s="41">
        <v>0.2</v>
      </c>
      <c r="I92" s="41">
        <v>1</v>
      </c>
      <c r="J92" s="39"/>
      <c r="M92" s="7"/>
    </row>
    <row r="93" spans="1:13" x14ac:dyDescent="0.25">
      <c r="A93" s="1" t="s">
        <v>7</v>
      </c>
      <c r="B93" s="41">
        <v>0</v>
      </c>
      <c r="C93" s="41">
        <v>0</v>
      </c>
      <c r="D93" s="41">
        <v>0</v>
      </c>
      <c r="E93" s="41">
        <v>0.1</v>
      </c>
      <c r="F93" s="41">
        <v>0.15</v>
      </c>
      <c r="G93" s="41">
        <v>0.15</v>
      </c>
      <c r="H93" s="41">
        <v>0.2</v>
      </c>
      <c r="I93" s="41">
        <v>1</v>
      </c>
      <c r="J93" s="39"/>
      <c r="M93" s="7"/>
    </row>
    <row r="94" spans="1:13" x14ac:dyDescent="0.25">
      <c r="A94" s="1" t="s">
        <v>42</v>
      </c>
      <c r="B94" s="41">
        <v>0</v>
      </c>
      <c r="C94" s="41">
        <v>0</v>
      </c>
      <c r="D94" s="41">
        <v>0</v>
      </c>
      <c r="E94" s="41">
        <v>0.1</v>
      </c>
      <c r="F94" s="41">
        <v>0.15</v>
      </c>
      <c r="G94" s="41">
        <v>0.15</v>
      </c>
      <c r="H94" s="41">
        <v>0.2</v>
      </c>
      <c r="I94" s="41">
        <v>1</v>
      </c>
      <c r="J94" s="39"/>
      <c r="M94" s="7"/>
    </row>
    <row r="95" spans="1:13" x14ac:dyDescent="0.25">
      <c r="A95" s="1" t="s">
        <v>6</v>
      </c>
      <c r="B95" s="41">
        <v>0</v>
      </c>
      <c r="C95" s="41">
        <v>0</v>
      </c>
      <c r="D95" s="41">
        <v>0</v>
      </c>
      <c r="E95" s="41">
        <v>0.1</v>
      </c>
      <c r="F95" s="41">
        <v>0.15</v>
      </c>
      <c r="G95" s="41">
        <v>0.15</v>
      </c>
      <c r="H95" s="41">
        <v>0.2</v>
      </c>
      <c r="I95" s="41">
        <v>1</v>
      </c>
      <c r="J95" s="39"/>
      <c r="M95" s="7"/>
    </row>
    <row r="96" spans="1:13" x14ac:dyDescent="0.25">
      <c r="A96" s="1" t="s">
        <v>50</v>
      </c>
      <c r="B96" s="41">
        <v>0</v>
      </c>
      <c r="C96" s="41">
        <v>0</v>
      </c>
      <c r="D96" s="41">
        <v>0</v>
      </c>
      <c r="E96" s="41">
        <v>0.1</v>
      </c>
      <c r="F96" s="41">
        <v>0.15</v>
      </c>
      <c r="G96" s="41">
        <v>0.15</v>
      </c>
      <c r="H96" s="41">
        <v>0.2</v>
      </c>
      <c r="I96" s="41">
        <v>1</v>
      </c>
      <c r="J96" s="39"/>
      <c r="M96" s="7"/>
    </row>
    <row r="97" spans="1:13" x14ac:dyDescent="0.25">
      <c r="A97" s="1" t="s">
        <v>89</v>
      </c>
      <c r="B97" s="41">
        <v>0</v>
      </c>
      <c r="C97" s="41">
        <v>0</v>
      </c>
      <c r="D97" s="41">
        <v>0</v>
      </c>
      <c r="E97" s="41">
        <v>0.1</v>
      </c>
      <c r="F97" s="41">
        <v>0.15</v>
      </c>
      <c r="G97" s="41">
        <v>0.15</v>
      </c>
      <c r="H97" s="41">
        <v>0.2</v>
      </c>
      <c r="I97" s="41">
        <v>1</v>
      </c>
      <c r="J97" s="39"/>
      <c r="M97" s="7"/>
    </row>
    <row r="98" spans="1:13" x14ac:dyDescent="0.25">
      <c r="A98" s="1" t="s">
        <v>5</v>
      </c>
      <c r="B98" s="41">
        <v>0</v>
      </c>
      <c r="C98" s="41">
        <v>0</v>
      </c>
      <c r="D98" s="41">
        <v>0</v>
      </c>
      <c r="E98" s="41">
        <v>0.1</v>
      </c>
      <c r="F98" s="41">
        <v>0.15</v>
      </c>
      <c r="G98" s="41">
        <v>0.15</v>
      </c>
      <c r="H98" s="41">
        <v>0.2</v>
      </c>
      <c r="I98" s="41">
        <v>1</v>
      </c>
      <c r="J98" s="39"/>
      <c r="M98" s="7"/>
    </row>
    <row r="99" spans="1:13" x14ac:dyDescent="0.25">
      <c r="A99" s="1" t="s">
        <v>84</v>
      </c>
      <c r="B99" s="41">
        <v>0</v>
      </c>
      <c r="C99" s="41">
        <v>0</v>
      </c>
      <c r="D99" s="41">
        <v>0</v>
      </c>
      <c r="E99" s="41">
        <v>0.1</v>
      </c>
      <c r="F99" s="41">
        <v>0.15</v>
      </c>
      <c r="G99" s="41">
        <v>0.15</v>
      </c>
      <c r="H99" s="41">
        <v>0.2</v>
      </c>
      <c r="I99" s="41">
        <v>1</v>
      </c>
      <c r="J99" s="39"/>
      <c r="M99" s="7"/>
    </row>
    <row r="100" spans="1:13" x14ac:dyDescent="0.25">
      <c r="A100" s="1" t="s">
        <v>4</v>
      </c>
      <c r="B100" s="41">
        <v>0</v>
      </c>
      <c r="C100" s="41">
        <v>0</v>
      </c>
      <c r="D100" s="41">
        <v>0</v>
      </c>
      <c r="E100" s="41">
        <v>0.1</v>
      </c>
      <c r="F100" s="41">
        <v>0.15</v>
      </c>
      <c r="G100" s="41">
        <v>0.15</v>
      </c>
      <c r="H100" s="41">
        <v>0.2</v>
      </c>
      <c r="I100" s="41">
        <v>1</v>
      </c>
      <c r="J100" s="39"/>
      <c r="M100" s="7"/>
    </row>
    <row r="101" spans="1:13" x14ac:dyDescent="0.25">
      <c r="A101" s="1" t="s">
        <v>51</v>
      </c>
      <c r="B101" s="41">
        <v>0</v>
      </c>
      <c r="C101" s="41">
        <v>0</v>
      </c>
      <c r="D101" s="41">
        <v>0</v>
      </c>
      <c r="E101" s="41">
        <v>0.1</v>
      </c>
      <c r="F101" s="41">
        <v>0.15</v>
      </c>
      <c r="G101" s="41">
        <v>0.15</v>
      </c>
      <c r="H101" s="41">
        <v>0.2</v>
      </c>
      <c r="I101" s="41">
        <v>1</v>
      </c>
      <c r="J101" s="39"/>
      <c r="M101" s="7"/>
    </row>
    <row r="102" spans="1:13" x14ac:dyDescent="0.25">
      <c r="A102" s="1" t="s">
        <v>85</v>
      </c>
      <c r="B102" s="41">
        <v>0</v>
      </c>
      <c r="C102" s="41">
        <v>0</v>
      </c>
      <c r="D102" s="41">
        <v>0</v>
      </c>
      <c r="E102" s="41">
        <v>0.1</v>
      </c>
      <c r="F102" s="41">
        <v>0.15</v>
      </c>
      <c r="G102" s="41">
        <v>0.15</v>
      </c>
      <c r="H102" s="41">
        <v>0.2</v>
      </c>
      <c r="I102" s="41">
        <v>1</v>
      </c>
      <c r="J102" s="39"/>
      <c r="M102" s="7"/>
    </row>
    <row r="103" spans="1:13" x14ac:dyDescent="0.25">
      <c r="A103" s="1" t="s">
        <v>2</v>
      </c>
      <c r="B103" s="41">
        <v>0</v>
      </c>
      <c r="C103" s="41">
        <v>0</v>
      </c>
      <c r="D103" s="41">
        <v>0.1</v>
      </c>
      <c r="E103" s="41">
        <v>0.5</v>
      </c>
      <c r="F103" s="41">
        <v>1</v>
      </c>
      <c r="G103" s="41">
        <v>1</v>
      </c>
      <c r="H103" s="41">
        <v>1</v>
      </c>
      <c r="I103" s="41">
        <v>1</v>
      </c>
      <c r="J103" s="39"/>
      <c r="M103" s="7"/>
    </row>
    <row r="104" spans="1:13" x14ac:dyDescent="0.25">
      <c r="A104" s="1" t="s">
        <v>86</v>
      </c>
      <c r="B104" s="41">
        <v>0</v>
      </c>
      <c r="C104" s="41">
        <v>0</v>
      </c>
      <c r="D104" s="41">
        <v>0</v>
      </c>
      <c r="E104" s="41">
        <v>0.1</v>
      </c>
      <c r="F104" s="41">
        <v>0.15</v>
      </c>
      <c r="G104" s="41">
        <v>0.15</v>
      </c>
      <c r="H104" s="41">
        <v>0.2</v>
      </c>
      <c r="I104" s="41">
        <v>1</v>
      </c>
      <c r="J104" s="39"/>
      <c r="M104" s="7"/>
    </row>
    <row r="105" spans="1:13" x14ac:dyDescent="0.25">
      <c r="A105" s="1" t="s">
        <v>29</v>
      </c>
      <c r="B105" s="41">
        <v>0</v>
      </c>
      <c r="C105" s="41">
        <v>0</v>
      </c>
      <c r="D105" s="41">
        <v>0</v>
      </c>
      <c r="E105" s="41">
        <v>0.1</v>
      </c>
      <c r="F105" s="41">
        <v>0.15</v>
      </c>
      <c r="G105" s="41">
        <v>0.15</v>
      </c>
      <c r="H105" s="41">
        <v>0.2</v>
      </c>
      <c r="I105" s="41">
        <v>1</v>
      </c>
      <c r="J105" s="39"/>
      <c r="M105" s="7"/>
    </row>
    <row r="106" spans="1:13" x14ac:dyDescent="0.25">
      <c r="A106" s="1" t="s">
        <v>52</v>
      </c>
      <c r="B106" s="41">
        <v>0</v>
      </c>
      <c r="C106" s="41">
        <v>0</v>
      </c>
      <c r="D106" s="41">
        <v>0</v>
      </c>
      <c r="E106" s="41">
        <v>0.1</v>
      </c>
      <c r="F106" s="41">
        <v>0.15</v>
      </c>
      <c r="G106" s="41">
        <v>0.15</v>
      </c>
      <c r="H106" s="41">
        <v>0.2</v>
      </c>
      <c r="I106" s="41">
        <v>1</v>
      </c>
      <c r="J106" s="39"/>
      <c r="M106" s="7"/>
    </row>
    <row r="107" spans="1:13" x14ac:dyDescent="0.25">
      <c r="A107" s="1" t="s">
        <v>1</v>
      </c>
      <c r="B107" s="41">
        <v>0</v>
      </c>
      <c r="C107" s="41">
        <v>0</v>
      </c>
      <c r="D107" s="41">
        <v>0</v>
      </c>
      <c r="E107" s="41">
        <v>0.1</v>
      </c>
      <c r="F107" s="41">
        <v>0.15</v>
      </c>
      <c r="G107" s="41">
        <v>0.15</v>
      </c>
      <c r="H107" s="41">
        <v>0.2</v>
      </c>
      <c r="I107" s="41">
        <v>1</v>
      </c>
      <c r="J107" s="39"/>
      <c r="M107" s="7"/>
    </row>
    <row r="108" spans="1:13" ht="15.75" thickBot="1" x14ac:dyDescent="0.3">
      <c r="A108" s="4"/>
      <c r="B108" s="39"/>
      <c r="C108" s="39"/>
      <c r="D108" s="39"/>
      <c r="E108" s="39"/>
      <c r="F108" s="39"/>
      <c r="G108" s="39"/>
      <c r="H108" s="39"/>
      <c r="I108" s="39"/>
      <c r="J108" s="39"/>
      <c r="M108" s="7"/>
    </row>
    <row r="109" spans="1:13" ht="15.75" thickBot="1" x14ac:dyDescent="0.3">
      <c r="A109" s="170" t="s">
        <v>60</v>
      </c>
      <c r="B109" s="171"/>
      <c r="C109" s="171"/>
      <c r="D109" s="171"/>
      <c r="E109" s="171"/>
      <c r="F109" s="171"/>
      <c r="G109" s="171"/>
      <c r="H109" s="171"/>
      <c r="I109" s="171"/>
      <c r="J109" s="172"/>
      <c r="M109" s="7"/>
    </row>
    <row r="110" spans="1:13" x14ac:dyDescent="0.25">
      <c r="A110" s="4" t="s">
        <v>16</v>
      </c>
      <c r="B110" s="5" t="s">
        <v>15</v>
      </c>
      <c r="C110" s="5" t="s">
        <v>14</v>
      </c>
      <c r="D110" s="5" t="s">
        <v>13</v>
      </c>
      <c r="E110" s="5" t="s">
        <v>12</v>
      </c>
      <c r="F110" s="5" t="s">
        <v>93</v>
      </c>
      <c r="G110" s="5" t="s">
        <v>94</v>
      </c>
      <c r="H110" s="5" t="s">
        <v>38</v>
      </c>
      <c r="I110" s="5" t="s">
        <v>9</v>
      </c>
      <c r="J110" s="5" t="s">
        <v>0</v>
      </c>
      <c r="M110" s="7"/>
    </row>
    <row r="111" spans="1:13" x14ac:dyDescent="0.25">
      <c r="A111" s="1" t="s">
        <v>49</v>
      </c>
      <c r="B111" s="66">
        <f>IF(B70&gt;0,B70*B91,0)</f>
        <v>0</v>
      </c>
      <c r="C111" s="66">
        <f t="shared" ref="C111:I111" si="46">IF(C70&gt;0,C70*C91,0)</f>
        <v>0</v>
      </c>
      <c r="D111" s="66">
        <f t="shared" si="46"/>
        <v>0</v>
      </c>
      <c r="E111" s="66">
        <f t="shared" si="46"/>
        <v>0</v>
      </c>
      <c r="F111" s="66">
        <f t="shared" si="46"/>
        <v>0</v>
      </c>
      <c r="G111" s="66">
        <f t="shared" si="46"/>
        <v>0</v>
      </c>
      <c r="H111" s="66">
        <f t="shared" si="46"/>
        <v>0</v>
      </c>
      <c r="I111" s="66">
        <f t="shared" si="46"/>
        <v>0</v>
      </c>
      <c r="J111" s="39">
        <f>SUM(B111:H111)</f>
        <v>0</v>
      </c>
      <c r="M111" s="7"/>
    </row>
    <row r="112" spans="1:13" x14ac:dyDescent="0.25">
      <c r="A112" s="1" t="s">
        <v>8</v>
      </c>
      <c r="B112" s="39">
        <f>IF(B71&gt;0,B71*B92,0)</f>
        <v>0</v>
      </c>
      <c r="C112" s="39">
        <f t="shared" ref="C112:I112" si="47">IF(C71&gt;0,C71*C92,0)</f>
        <v>0</v>
      </c>
      <c r="D112" s="39">
        <f t="shared" si="47"/>
        <v>0</v>
      </c>
      <c r="E112" s="39">
        <f t="shared" si="47"/>
        <v>0</v>
      </c>
      <c r="F112" s="39">
        <f t="shared" si="47"/>
        <v>0</v>
      </c>
      <c r="G112" s="39">
        <f t="shared" si="47"/>
        <v>0</v>
      </c>
      <c r="H112" s="39">
        <f t="shared" si="47"/>
        <v>0</v>
      </c>
      <c r="I112" s="39">
        <f t="shared" si="47"/>
        <v>0</v>
      </c>
      <c r="J112" s="39">
        <f t="shared" ref="J112:J127" si="48">SUM(B112:H112)</f>
        <v>0</v>
      </c>
      <c r="M112" s="7"/>
    </row>
    <row r="113" spans="1:13" x14ac:dyDescent="0.25">
      <c r="A113" s="1" t="s">
        <v>7</v>
      </c>
      <c r="B113" s="39">
        <f>IF(B72&gt;0,B72*B93,0)</f>
        <v>0</v>
      </c>
      <c r="C113" s="39">
        <f t="shared" ref="C113:I113" si="49">IF(C72&gt;0,C72*C93,0)</f>
        <v>0</v>
      </c>
      <c r="D113" s="39">
        <f t="shared" si="49"/>
        <v>0</v>
      </c>
      <c r="E113" s="39">
        <f t="shared" si="49"/>
        <v>0</v>
      </c>
      <c r="F113" s="39">
        <f t="shared" si="49"/>
        <v>0</v>
      </c>
      <c r="G113" s="39">
        <f t="shared" si="49"/>
        <v>0</v>
      </c>
      <c r="H113" s="39">
        <f t="shared" si="49"/>
        <v>0</v>
      </c>
      <c r="I113" s="39">
        <f t="shared" si="49"/>
        <v>0</v>
      </c>
      <c r="J113" s="39">
        <f t="shared" si="48"/>
        <v>0</v>
      </c>
      <c r="M113" s="7"/>
    </row>
    <row r="114" spans="1:13" x14ac:dyDescent="0.25">
      <c r="A114" s="1" t="s">
        <v>42</v>
      </c>
      <c r="B114" s="39">
        <f t="shared" ref="B114:B127" si="50">IF(B73&gt;0,B73*B94,0)</f>
        <v>0</v>
      </c>
      <c r="C114" s="39">
        <f t="shared" ref="C114:I114" si="51">IF(C73&gt;0,C73*C94,0)</f>
        <v>0</v>
      </c>
      <c r="D114" s="39">
        <f t="shared" si="51"/>
        <v>0</v>
      </c>
      <c r="E114" s="39">
        <f t="shared" si="51"/>
        <v>0</v>
      </c>
      <c r="F114" s="39">
        <f t="shared" si="51"/>
        <v>0</v>
      </c>
      <c r="G114" s="39">
        <f t="shared" si="51"/>
        <v>0</v>
      </c>
      <c r="H114" s="39">
        <f t="shared" si="51"/>
        <v>0</v>
      </c>
      <c r="I114" s="39">
        <f t="shared" si="51"/>
        <v>0</v>
      </c>
      <c r="J114" s="39">
        <f t="shared" si="48"/>
        <v>0</v>
      </c>
      <c r="M114" s="7"/>
    </row>
    <row r="115" spans="1:13" x14ac:dyDescent="0.25">
      <c r="A115" s="1" t="s">
        <v>6</v>
      </c>
      <c r="B115" s="39">
        <f t="shared" si="50"/>
        <v>0</v>
      </c>
      <c r="C115" s="39">
        <f t="shared" ref="C115:I115" si="52">IF(C74&gt;0,C74*C95,0)</f>
        <v>0</v>
      </c>
      <c r="D115" s="39">
        <f t="shared" si="52"/>
        <v>0</v>
      </c>
      <c r="E115" s="39">
        <f t="shared" si="52"/>
        <v>0</v>
      </c>
      <c r="F115" s="39">
        <f t="shared" si="52"/>
        <v>0</v>
      </c>
      <c r="G115" s="39">
        <f t="shared" si="52"/>
        <v>0</v>
      </c>
      <c r="H115" s="39">
        <f t="shared" si="52"/>
        <v>0</v>
      </c>
      <c r="I115" s="39">
        <f t="shared" si="52"/>
        <v>0</v>
      </c>
      <c r="J115" s="39">
        <f t="shared" si="48"/>
        <v>0</v>
      </c>
      <c r="M115" s="7"/>
    </row>
    <row r="116" spans="1:13" x14ac:dyDescent="0.25">
      <c r="A116" s="1" t="s">
        <v>50</v>
      </c>
      <c r="B116" s="39">
        <f t="shared" si="50"/>
        <v>0</v>
      </c>
      <c r="C116" s="39">
        <f t="shared" ref="C116:I116" si="53">IF(C75&gt;0,C75*C96,0)</f>
        <v>0</v>
      </c>
      <c r="D116" s="39">
        <f t="shared" si="53"/>
        <v>0</v>
      </c>
      <c r="E116" s="39">
        <f t="shared" si="53"/>
        <v>0</v>
      </c>
      <c r="F116" s="39">
        <f t="shared" si="53"/>
        <v>0</v>
      </c>
      <c r="G116" s="39">
        <f t="shared" si="53"/>
        <v>0</v>
      </c>
      <c r="H116" s="39">
        <f t="shared" si="53"/>
        <v>0</v>
      </c>
      <c r="I116" s="39">
        <f t="shared" si="53"/>
        <v>0</v>
      </c>
      <c r="J116" s="39">
        <f t="shared" si="48"/>
        <v>0</v>
      </c>
      <c r="M116" s="7"/>
    </row>
    <row r="117" spans="1:13" x14ac:dyDescent="0.25">
      <c r="A117" s="1" t="s">
        <v>89</v>
      </c>
      <c r="B117" s="39">
        <f t="shared" si="50"/>
        <v>0</v>
      </c>
      <c r="C117" s="39">
        <f t="shared" ref="C117:I117" si="54">IF(C76&gt;0,C76*C97,0)</f>
        <v>0</v>
      </c>
      <c r="D117" s="39">
        <f t="shared" si="54"/>
        <v>0</v>
      </c>
      <c r="E117" s="39">
        <f t="shared" si="54"/>
        <v>0</v>
      </c>
      <c r="F117" s="39">
        <f t="shared" si="54"/>
        <v>0</v>
      </c>
      <c r="G117" s="39">
        <f t="shared" si="54"/>
        <v>0</v>
      </c>
      <c r="H117" s="39">
        <f t="shared" si="54"/>
        <v>0</v>
      </c>
      <c r="I117" s="39">
        <f t="shared" si="54"/>
        <v>0</v>
      </c>
      <c r="J117" s="39">
        <f t="shared" si="48"/>
        <v>0</v>
      </c>
      <c r="M117" s="7"/>
    </row>
    <row r="118" spans="1:13" x14ac:dyDescent="0.25">
      <c r="A118" s="1" t="s">
        <v>5</v>
      </c>
      <c r="B118" s="39">
        <f t="shared" si="50"/>
        <v>0</v>
      </c>
      <c r="C118" s="39">
        <f t="shared" ref="C118:I118" si="55">IF(C77&gt;0,C77*C98,0)</f>
        <v>0</v>
      </c>
      <c r="D118" s="39">
        <f t="shared" si="55"/>
        <v>0</v>
      </c>
      <c r="E118" s="39">
        <f t="shared" si="55"/>
        <v>0</v>
      </c>
      <c r="F118" s="39">
        <f t="shared" si="55"/>
        <v>0</v>
      </c>
      <c r="G118" s="39">
        <f t="shared" si="55"/>
        <v>0</v>
      </c>
      <c r="H118" s="39">
        <f t="shared" si="55"/>
        <v>0</v>
      </c>
      <c r="I118" s="39">
        <f t="shared" si="55"/>
        <v>0</v>
      </c>
      <c r="J118" s="39">
        <f t="shared" si="48"/>
        <v>0</v>
      </c>
      <c r="M118" s="7"/>
    </row>
    <row r="119" spans="1:13" x14ac:dyDescent="0.25">
      <c r="A119" s="1" t="s">
        <v>84</v>
      </c>
      <c r="B119" s="39">
        <f t="shared" si="50"/>
        <v>0</v>
      </c>
      <c r="C119" s="39">
        <f t="shared" ref="C119:I119" si="56">IF(C78&gt;0,C78*C99,0)</f>
        <v>0</v>
      </c>
      <c r="D119" s="39">
        <f t="shared" si="56"/>
        <v>0</v>
      </c>
      <c r="E119" s="39">
        <f t="shared" si="56"/>
        <v>0</v>
      </c>
      <c r="F119" s="39">
        <f t="shared" si="56"/>
        <v>0</v>
      </c>
      <c r="G119" s="39">
        <f t="shared" si="56"/>
        <v>0</v>
      </c>
      <c r="H119" s="39">
        <f t="shared" si="56"/>
        <v>0</v>
      </c>
      <c r="I119" s="39">
        <f t="shared" si="56"/>
        <v>0</v>
      </c>
      <c r="J119" s="39">
        <f t="shared" si="48"/>
        <v>0</v>
      </c>
      <c r="M119" s="7"/>
    </row>
    <row r="120" spans="1:13" x14ac:dyDescent="0.25">
      <c r="A120" s="1" t="s">
        <v>4</v>
      </c>
      <c r="B120" s="39">
        <f t="shared" si="50"/>
        <v>0</v>
      </c>
      <c r="C120" s="39">
        <f t="shared" ref="C120:I120" si="57">IF(C79&gt;0,C79*C100,0)</f>
        <v>0</v>
      </c>
      <c r="D120" s="39">
        <f t="shared" si="57"/>
        <v>0</v>
      </c>
      <c r="E120" s="39">
        <f t="shared" si="57"/>
        <v>0</v>
      </c>
      <c r="F120" s="39">
        <f t="shared" si="57"/>
        <v>0</v>
      </c>
      <c r="G120" s="39">
        <f t="shared" si="57"/>
        <v>0</v>
      </c>
      <c r="H120" s="39">
        <f t="shared" si="57"/>
        <v>0</v>
      </c>
      <c r="I120" s="39">
        <f t="shared" si="57"/>
        <v>0</v>
      </c>
      <c r="J120" s="39">
        <f t="shared" si="48"/>
        <v>0</v>
      </c>
      <c r="M120" s="7"/>
    </row>
    <row r="121" spans="1:13" x14ac:dyDescent="0.25">
      <c r="A121" s="1" t="s">
        <v>51</v>
      </c>
      <c r="B121" s="39">
        <f t="shared" si="50"/>
        <v>0</v>
      </c>
      <c r="C121" s="39">
        <f t="shared" ref="C121:I121" si="58">IF(C80&gt;0,C80*C101,0)</f>
        <v>0</v>
      </c>
      <c r="D121" s="39">
        <f t="shared" si="58"/>
        <v>0</v>
      </c>
      <c r="E121" s="39">
        <f t="shared" si="58"/>
        <v>0</v>
      </c>
      <c r="F121" s="39">
        <f t="shared" si="58"/>
        <v>0</v>
      </c>
      <c r="G121" s="39">
        <f t="shared" si="58"/>
        <v>0</v>
      </c>
      <c r="H121" s="39">
        <f t="shared" si="58"/>
        <v>0</v>
      </c>
      <c r="I121" s="39">
        <f t="shared" si="58"/>
        <v>0</v>
      </c>
      <c r="J121" s="39">
        <f t="shared" si="48"/>
        <v>0</v>
      </c>
      <c r="M121" s="7"/>
    </row>
    <row r="122" spans="1:13" x14ac:dyDescent="0.25">
      <c r="A122" s="1" t="s">
        <v>85</v>
      </c>
      <c r="B122" s="39">
        <f t="shared" si="50"/>
        <v>0</v>
      </c>
      <c r="C122" s="39">
        <f t="shared" ref="C122:I122" si="59">IF(C81&gt;0,C81*C102,0)</f>
        <v>0</v>
      </c>
      <c r="D122" s="39">
        <f t="shared" si="59"/>
        <v>0</v>
      </c>
      <c r="E122" s="39">
        <f t="shared" si="59"/>
        <v>0</v>
      </c>
      <c r="F122" s="39">
        <f t="shared" si="59"/>
        <v>0</v>
      </c>
      <c r="G122" s="39">
        <f t="shared" si="59"/>
        <v>0</v>
      </c>
      <c r="H122" s="39">
        <f t="shared" si="59"/>
        <v>0</v>
      </c>
      <c r="I122" s="39">
        <f t="shared" si="59"/>
        <v>0</v>
      </c>
      <c r="J122" s="39">
        <f t="shared" si="48"/>
        <v>0</v>
      </c>
      <c r="M122" s="7"/>
    </row>
    <row r="123" spans="1:13" x14ac:dyDescent="0.25">
      <c r="A123" s="1" t="s">
        <v>2</v>
      </c>
      <c r="B123" s="39">
        <f t="shared" si="50"/>
        <v>0</v>
      </c>
      <c r="C123" s="39">
        <f t="shared" ref="C123:I123" si="60">IF(C82&gt;0,C82*C103,0)</f>
        <v>0</v>
      </c>
      <c r="D123" s="39">
        <f t="shared" si="60"/>
        <v>0</v>
      </c>
      <c r="E123" s="39">
        <f t="shared" si="60"/>
        <v>0</v>
      </c>
      <c r="F123" s="39">
        <f t="shared" si="60"/>
        <v>0</v>
      </c>
      <c r="G123" s="39">
        <f t="shared" si="60"/>
        <v>0</v>
      </c>
      <c r="H123" s="39">
        <f t="shared" si="60"/>
        <v>0</v>
      </c>
      <c r="I123" s="39">
        <f t="shared" si="60"/>
        <v>0</v>
      </c>
      <c r="J123" s="39">
        <f t="shared" si="48"/>
        <v>0</v>
      </c>
      <c r="M123" s="7"/>
    </row>
    <row r="124" spans="1:13" x14ac:dyDescent="0.25">
      <c r="A124" s="1" t="s">
        <v>86</v>
      </c>
      <c r="B124" s="39">
        <f t="shared" si="50"/>
        <v>0</v>
      </c>
      <c r="C124" s="39">
        <f t="shared" ref="C124:I124" si="61">IF(C83&gt;0,C83*C104,0)</f>
        <v>0</v>
      </c>
      <c r="D124" s="39">
        <f t="shared" si="61"/>
        <v>0</v>
      </c>
      <c r="E124" s="39">
        <f t="shared" si="61"/>
        <v>0</v>
      </c>
      <c r="F124" s="39">
        <f t="shared" si="61"/>
        <v>0</v>
      </c>
      <c r="G124" s="39">
        <f t="shared" si="61"/>
        <v>0</v>
      </c>
      <c r="H124" s="39">
        <f t="shared" si="61"/>
        <v>0</v>
      </c>
      <c r="I124" s="39">
        <f t="shared" si="61"/>
        <v>0</v>
      </c>
      <c r="J124" s="39">
        <f t="shared" si="48"/>
        <v>0</v>
      </c>
      <c r="M124" s="183" t="s">
        <v>62</v>
      </c>
    </row>
    <row r="125" spans="1:13" x14ac:dyDescent="0.25">
      <c r="A125" s="1" t="s">
        <v>29</v>
      </c>
      <c r="B125" s="39">
        <f t="shared" si="50"/>
        <v>0</v>
      </c>
      <c r="C125" s="39">
        <f t="shared" ref="C125:I125" si="62">IF(C84&gt;0,C84*C105,0)</f>
        <v>0</v>
      </c>
      <c r="D125" s="39">
        <f t="shared" si="62"/>
        <v>0</v>
      </c>
      <c r="E125" s="39">
        <f t="shared" si="62"/>
        <v>0</v>
      </c>
      <c r="F125" s="39">
        <f t="shared" si="62"/>
        <v>0</v>
      </c>
      <c r="G125" s="39">
        <f t="shared" si="62"/>
        <v>0</v>
      </c>
      <c r="H125" s="39">
        <f t="shared" si="62"/>
        <v>0</v>
      </c>
      <c r="I125" s="39">
        <f t="shared" si="62"/>
        <v>0</v>
      </c>
      <c r="J125" s="39">
        <f t="shared" si="48"/>
        <v>0</v>
      </c>
      <c r="M125" s="183"/>
    </row>
    <row r="126" spans="1:13" x14ac:dyDescent="0.25">
      <c r="A126" s="1" t="s">
        <v>52</v>
      </c>
      <c r="B126" s="39">
        <f t="shared" si="50"/>
        <v>0</v>
      </c>
      <c r="C126" s="39">
        <f t="shared" ref="C126:I126" si="63">IF(C85&gt;0,C85*C106,0)</f>
        <v>0</v>
      </c>
      <c r="D126" s="39">
        <f t="shared" si="63"/>
        <v>0</v>
      </c>
      <c r="E126" s="39">
        <f t="shared" si="63"/>
        <v>0</v>
      </c>
      <c r="F126" s="39">
        <f t="shared" si="63"/>
        <v>0</v>
      </c>
      <c r="G126" s="39">
        <f t="shared" si="63"/>
        <v>0</v>
      </c>
      <c r="H126" s="39">
        <f t="shared" si="63"/>
        <v>0</v>
      </c>
      <c r="I126" s="39">
        <f t="shared" si="63"/>
        <v>0</v>
      </c>
      <c r="J126" s="39">
        <f t="shared" si="48"/>
        <v>0</v>
      </c>
      <c r="L126" s="35" t="s">
        <v>151</v>
      </c>
      <c r="M126" s="183" t="s">
        <v>63</v>
      </c>
    </row>
    <row r="127" spans="1:13" x14ac:dyDescent="0.25">
      <c r="A127" s="1" t="s">
        <v>1</v>
      </c>
      <c r="B127" s="40">
        <f t="shared" si="50"/>
        <v>0</v>
      </c>
      <c r="C127" s="40">
        <f t="shared" ref="C127:I127" si="64">IF(C86&gt;0,C86*C107,0)</f>
        <v>0</v>
      </c>
      <c r="D127" s="40">
        <f t="shared" si="64"/>
        <v>0</v>
      </c>
      <c r="E127" s="40">
        <f t="shared" si="64"/>
        <v>0</v>
      </c>
      <c r="F127" s="40">
        <f t="shared" si="64"/>
        <v>0</v>
      </c>
      <c r="G127" s="40">
        <f t="shared" si="64"/>
        <v>0</v>
      </c>
      <c r="H127" s="40">
        <f t="shared" si="64"/>
        <v>0</v>
      </c>
      <c r="I127" s="40">
        <f t="shared" si="64"/>
        <v>0</v>
      </c>
      <c r="J127" s="40">
        <f t="shared" si="48"/>
        <v>0</v>
      </c>
      <c r="L127" s="42" t="s">
        <v>61</v>
      </c>
      <c r="M127" s="184"/>
    </row>
    <row r="128" spans="1:13" x14ac:dyDescent="0.25">
      <c r="A128" s="4"/>
      <c r="B128" s="39">
        <f>SUM(B111:B127)</f>
        <v>0</v>
      </c>
      <c r="C128" s="39">
        <f t="shared" ref="C128:J128" si="65">SUM(C111:C127)</f>
        <v>0</v>
      </c>
      <c r="D128" s="39">
        <f t="shared" si="65"/>
        <v>0</v>
      </c>
      <c r="E128" s="39">
        <f t="shared" si="65"/>
        <v>0</v>
      </c>
      <c r="F128" s="39">
        <f t="shared" si="65"/>
        <v>0</v>
      </c>
      <c r="G128" s="39">
        <f t="shared" si="65"/>
        <v>0</v>
      </c>
      <c r="H128" s="39">
        <f t="shared" si="65"/>
        <v>0</v>
      </c>
      <c r="I128" s="39">
        <f t="shared" si="65"/>
        <v>0</v>
      </c>
      <c r="J128" s="39">
        <f t="shared" si="65"/>
        <v>0</v>
      </c>
      <c r="L128" s="108">
        <v>60000</v>
      </c>
      <c r="M128" s="7">
        <f>J128-L128</f>
        <v>-60000</v>
      </c>
    </row>
    <row r="129" spans="1:13" ht="15.75" thickBot="1" x14ac:dyDescent="0.3">
      <c r="A129" s="4"/>
      <c r="B129" s="39"/>
      <c r="C129" s="39"/>
      <c r="D129" s="39"/>
      <c r="E129" s="39"/>
      <c r="F129" s="39"/>
      <c r="G129" s="39"/>
      <c r="H129" s="39"/>
      <c r="I129" s="39"/>
      <c r="J129" s="39"/>
      <c r="M129" s="7"/>
    </row>
    <row r="130" spans="1:13" ht="15.75" thickBot="1" x14ac:dyDescent="0.3">
      <c r="A130" s="170" t="s">
        <v>30</v>
      </c>
      <c r="B130" s="171"/>
      <c r="C130" s="171"/>
      <c r="D130" s="171"/>
      <c r="E130" s="171"/>
      <c r="F130" s="171"/>
      <c r="G130" s="171"/>
      <c r="H130" s="171"/>
      <c r="I130" s="171"/>
      <c r="J130" s="172"/>
      <c r="M130" s="7"/>
    </row>
    <row r="131" spans="1:13" x14ac:dyDescent="0.25">
      <c r="A131" s="4" t="s">
        <v>16</v>
      </c>
      <c r="B131" s="5" t="s">
        <v>15</v>
      </c>
      <c r="C131" s="5" t="s">
        <v>14</v>
      </c>
      <c r="D131" s="5" t="s">
        <v>13</v>
      </c>
      <c r="E131" s="5" t="s">
        <v>12</v>
      </c>
      <c r="F131" s="5" t="s">
        <v>93</v>
      </c>
      <c r="G131" s="5" t="s">
        <v>94</v>
      </c>
      <c r="H131" s="5" t="s">
        <v>38</v>
      </c>
      <c r="I131" s="5" t="s">
        <v>9</v>
      </c>
      <c r="J131" s="5" t="s">
        <v>0</v>
      </c>
      <c r="M131" s="7"/>
    </row>
    <row r="132" spans="1:13" x14ac:dyDescent="0.25">
      <c r="A132" s="1" t="s">
        <v>49</v>
      </c>
      <c r="B132" s="39">
        <f>B70-B111</f>
        <v>0</v>
      </c>
      <c r="C132" s="39">
        <f t="shared" ref="C132:I132" si="66">C70-C111</f>
        <v>0</v>
      </c>
      <c r="D132" s="39">
        <f t="shared" si="66"/>
        <v>0</v>
      </c>
      <c r="E132" s="39">
        <f t="shared" si="66"/>
        <v>0</v>
      </c>
      <c r="F132" s="39">
        <f t="shared" si="66"/>
        <v>0</v>
      </c>
      <c r="G132" s="39">
        <f t="shared" si="66"/>
        <v>0</v>
      </c>
      <c r="H132" s="39">
        <f t="shared" si="66"/>
        <v>0</v>
      </c>
      <c r="I132" s="39">
        <f t="shared" si="66"/>
        <v>0</v>
      </c>
      <c r="J132" s="39">
        <f>SUM(B132:H132)</f>
        <v>0</v>
      </c>
      <c r="M132" s="7"/>
    </row>
    <row r="133" spans="1:13" x14ac:dyDescent="0.25">
      <c r="A133" s="1" t="s">
        <v>8</v>
      </c>
      <c r="B133" s="39">
        <f>B71-B112</f>
        <v>0</v>
      </c>
      <c r="C133" s="39">
        <f t="shared" ref="C133:I133" si="67">C71-C112</f>
        <v>0</v>
      </c>
      <c r="D133" s="39">
        <f t="shared" si="67"/>
        <v>0</v>
      </c>
      <c r="E133" s="39">
        <f t="shared" si="67"/>
        <v>0</v>
      </c>
      <c r="F133" s="39">
        <f t="shared" si="67"/>
        <v>0</v>
      </c>
      <c r="G133" s="39">
        <f t="shared" si="67"/>
        <v>0</v>
      </c>
      <c r="H133" s="39">
        <f t="shared" si="67"/>
        <v>0</v>
      </c>
      <c r="I133" s="39">
        <f t="shared" si="67"/>
        <v>0</v>
      </c>
      <c r="J133" s="39">
        <f t="shared" ref="J133:J148" si="68">SUM(B133:H133)</f>
        <v>0</v>
      </c>
      <c r="M133" s="7"/>
    </row>
    <row r="134" spans="1:13" x14ac:dyDescent="0.25">
      <c r="A134" s="1" t="s">
        <v>7</v>
      </c>
      <c r="B134" s="39">
        <f>B72-B113</f>
        <v>0</v>
      </c>
      <c r="C134" s="39">
        <f t="shared" ref="C134:I134" si="69">C72-C113</f>
        <v>0</v>
      </c>
      <c r="D134" s="39">
        <f t="shared" si="69"/>
        <v>0</v>
      </c>
      <c r="E134" s="39">
        <f t="shared" si="69"/>
        <v>0</v>
      </c>
      <c r="F134" s="39">
        <f t="shared" si="69"/>
        <v>0</v>
      </c>
      <c r="G134" s="39">
        <f t="shared" si="69"/>
        <v>0</v>
      </c>
      <c r="H134" s="39">
        <f t="shared" si="69"/>
        <v>0</v>
      </c>
      <c r="I134" s="39">
        <f t="shared" si="69"/>
        <v>0</v>
      </c>
      <c r="J134" s="39">
        <f t="shared" si="68"/>
        <v>0</v>
      </c>
      <c r="M134" s="7"/>
    </row>
    <row r="135" spans="1:13" x14ac:dyDescent="0.25">
      <c r="A135" s="1" t="s">
        <v>42</v>
      </c>
      <c r="B135" s="39">
        <f t="shared" ref="B135:B148" si="70">B73-B114</f>
        <v>0</v>
      </c>
      <c r="C135" s="39">
        <f t="shared" ref="C135:I135" si="71">C73-C114</f>
        <v>0</v>
      </c>
      <c r="D135" s="39">
        <f t="shared" si="71"/>
        <v>0</v>
      </c>
      <c r="E135" s="39">
        <f t="shared" si="71"/>
        <v>0</v>
      </c>
      <c r="F135" s="39">
        <f t="shared" si="71"/>
        <v>0</v>
      </c>
      <c r="G135" s="39">
        <f t="shared" si="71"/>
        <v>0</v>
      </c>
      <c r="H135" s="39">
        <f t="shared" si="71"/>
        <v>0</v>
      </c>
      <c r="I135" s="39">
        <f t="shared" si="71"/>
        <v>0</v>
      </c>
      <c r="J135" s="39">
        <f t="shared" si="68"/>
        <v>0</v>
      </c>
      <c r="M135" s="7"/>
    </row>
    <row r="136" spans="1:13" x14ac:dyDescent="0.25">
      <c r="A136" s="1" t="s">
        <v>6</v>
      </c>
      <c r="B136" s="39">
        <f t="shared" si="70"/>
        <v>0</v>
      </c>
      <c r="C136" s="39">
        <f t="shared" ref="C136:I136" si="72">C74-C115</f>
        <v>0</v>
      </c>
      <c r="D136" s="39">
        <f t="shared" si="72"/>
        <v>0</v>
      </c>
      <c r="E136" s="39">
        <f t="shared" si="72"/>
        <v>0</v>
      </c>
      <c r="F136" s="39">
        <f t="shared" si="72"/>
        <v>0</v>
      </c>
      <c r="G136" s="39">
        <f t="shared" si="72"/>
        <v>0</v>
      </c>
      <c r="H136" s="39">
        <f t="shared" si="72"/>
        <v>0</v>
      </c>
      <c r="I136" s="39">
        <f t="shared" si="72"/>
        <v>0</v>
      </c>
      <c r="J136" s="39">
        <f t="shared" si="68"/>
        <v>0</v>
      </c>
      <c r="M136" s="7"/>
    </row>
    <row r="137" spans="1:13" x14ac:dyDescent="0.25">
      <c r="A137" s="1" t="s">
        <v>50</v>
      </c>
      <c r="B137" s="39">
        <f t="shared" si="70"/>
        <v>0</v>
      </c>
      <c r="C137" s="39">
        <f t="shared" ref="C137:I137" si="73">C75-C116</f>
        <v>0</v>
      </c>
      <c r="D137" s="39">
        <f t="shared" si="73"/>
        <v>0</v>
      </c>
      <c r="E137" s="39">
        <f t="shared" si="73"/>
        <v>0</v>
      </c>
      <c r="F137" s="39">
        <f t="shared" si="73"/>
        <v>0</v>
      </c>
      <c r="G137" s="39">
        <f t="shared" si="73"/>
        <v>0</v>
      </c>
      <c r="H137" s="39">
        <f t="shared" si="73"/>
        <v>0</v>
      </c>
      <c r="I137" s="39">
        <f t="shared" si="73"/>
        <v>0</v>
      </c>
      <c r="J137" s="39">
        <f t="shared" si="68"/>
        <v>0</v>
      </c>
      <c r="M137" s="7"/>
    </row>
    <row r="138" spans="1:13" x14ac:dyDescent="0.25">
      <c r="A138" s="1" t="s">
        <v>89</v>
      </c>
      <c r="B138" s="39">
        <f t="shared" si="70"/>
        <v>0</v>
      </c>
      <c r="C138" s="39">
        <f t="shared" ref="C138:I138" si="74">C76-C117</f>
        <v>0</v>
      </c>
      <c r="D138" s="39">
        <f t="shared" si="74"/>
        <v>0</v>
      </c>
      <c r="E138" s="39">
        <f t="shared" si="74"/>
        <v>0</v>
      </c>
      <c r="F138" s="39">
        <f t="shared" si="74"/>
        <v>0</v>
      </c>
      <c r="G138" s="39">
        <f t="shared" si="74"/>
        <v>0</v>
      </c>
      <c r="H138" s="39">
        <f t="shared" si="74"/>
        <v>0</v>
      </c>
      <c r="I138" s="39">
        <f t="shared" si="74"/>
        <v>0</v>
      </c>
      <c r="J138" s="39">
        <f t="shared" si="68"/>
        <v>0</v>
      </c>
      <c r="M138" s="7"/>
    </row>
    <row r="139" spans="1:13" x14ac:dyDescent="0.25">
      <c r="A139" s="1" t="s">
        <v>5</v>
      </c>
      <c r="B139" s="39">
        <f t="shared" si="70"/>
        <v>0</v>
      </c>
      <c r="C139" s="39">
        <f t="shared" ref="C139:I139" si="75">C77-C118</f>
        <v>0</v>
      </c>
      <c r="D139" s="39">
        <f t="shared" si="75"/>
        <v>0</v>
      </c>
      <c r="E139" s="39">
        <f t="shared" si="75"/>
        <v>0</v>
      </c>
      <c r="F139" s="39">
        <f t="shared" si="75"/>
        <v>0</v>
      </c>
      <c r="G139" s="39">
        <f t="shared" si="75"/>
        <v>0</v>
      </c>
      <c r="H139" s="39">
        <f t="shared" si="75"/>
        <v>0</v>
      </c>
      <c r="I139" s="39">
        <f t="shared" si="75"/>
        <v>0</v>
      </c>
      <c r="J139" s="39">
        <f t="shared" si="68"/>
        <v>0</v>
      </c>
      <c r="M139" s="7"/>
    </row>
    <row r="140" spans="1:13" x14ac:dyDescent="0.25">
      <c r="A140" s="1" t="s">
        <v>84</v>
      </c>
      <c r="B140" s="39">
        <f t="shared" si="70"/>
        <v>0</v>
      </c>
      <c r="C140" s="39">
        <f t="shared" ref="C140:I140" si="76">C78-C119</f>
        <v>0</v>
      </c>
      <c r="D140" s="39">
        <f t="shared" si="76"/>
        <v>0</v>
      </c>
      <c r="E140" s="39">
        <f t="shared" si="76"/>
        <v>0</v>
      </c>
      <c r="F140" s="39">
        <f t="shared" si="76"/>
        <v>0</v>
      </c>
      <c r="G140" s="39">
        <f t="shared" si="76"/>
        <v>0</v>
      </c>
      <c r="H140" s="39">
        <f t="shared" si="76"/>
        <v>0</v>
      </c>
      <c r="I140" s="39">
        <f t="shared" si="76"/>
        <v>0</v>
      </c>
      <c r="J140" s="39">
        <f t="shared" si="68"/>
        <v>0</v>
      </c>
      <c r="M140" s="7"/>
    </row>
    <row r="141" spans="1:13" x14ac:dyDescent="0.25">
      <c r="A141" s="1" t="s">
        <v>4</v>
      </c>
      <c r="B141" s="39">
        <f t="shared" si="70"/>
        <v>0</v>
      </c>
      <c r="C141" s="39">
        <f t="shared" ref="C141:I141" si="77">C79-C120</f>
        <v>0</v>
      </c>
      <c r="D141" s="39">
        <f t="shared" si="77"/>
        <v>0</v>
      </c>
      <c r="E141" s="39">
        <f t="shared" si="77"/>
        <v>0</v>
      </c>
      <c r="F141" s="39">
        <f t="shared" si="77"/>
        <v>0</v>
      </c>
      <c r="G141" s="39">
        <f t="shared" si="77"/>
        <v>0</v>
      </c>
      <c r="H141" s="39">
        <f t="shared" si="77"/>
        <v>0</v>
      </c>
      <c r="I141" s="39">
        <f t="shared" si="77"/>
        <v>0</v>
      </c>
      <c r="J141" s="39">
        <f t="shared" si="68"/>
        <v>0</v>
      </c>
      <c r="M141" s="7"/>
    </row>
    <row r="142" spans="1:13" x14ac:dyDescent="0.25">
      <c r="A142" s="1" t="s">
        <v>51</v>
      </c>
      <c r="B142" s="39">
        <f t="shared" si="70"/>
        <v>0</v>
      </c>
      <c r="C142" s="39">
        <f t="shared" ref="C142:I142" si="78">C80-C121</f>
        <v>0</v>
      </c>
      <c r="D142" s="39">
        <f t="shared" si="78"/>
        <v>0</v>
      </c>
      <c r="E142" s="39">
        <f t="shared" si="78"/>
        <v>0</v>
      </c>
      <c r="F142" s="39">
        <f t="shared" si="78"/>
        <v>0</v>
      </c>
      <c r="G142" s="39">
        <f t="shared" si="78"/>
        <v>0</v>
      </c>
      <c r="H142" s="39">
        <f t="shared" si="78"/>
        <v>0</v>
      </c>
      <c r="I142" s="39">
        <f t="shared" si="78"/>
        <v>0</v>
      </c>
      <c r="J142" s="39">
        <f t="shared" si="68"/>
        <v>0</v>
      </c>
      <c r="M142" s="7"/>
    </row>
    <row r="143" spans="1:13" x14ac:dyDescent="0.25">
      <c r="A143" s="1" t="s">
        <v>85</v>
      </c>
      <c r="B143" s="39">
        <f t="shared" si="70"/>
        <v>0</v>
      </c>
      <c r="C143" s="39">
        <f t="shared" ref="C143:I143" si="79">C81-C122</f>
        <v>0</v>
      </c>
      <c r="D143" s="39">
        <f t="shared" si="79"/>
        <v>0</v>
      </c>
      <c r="E143" s="39">
        <f t="shared" si="79"/>
        <v>0</v>
      </c>
      <c r="F143" s="39">
        <f t="shared" si="79"/>
        <v>0</v>
      </c>
      <c r="G143" s="39">
        <f t="shared" si="79"/>
        <v>0</v>
      </c>
      <c r="H143" s="39">
        <f t="shared" si="79"/>
        <v>0</v>
      </c>
      <c r="I143" s="39">
        <f t="shared" si="79"/>
        <v>0</v>
      </c>
      <c r="J143" s="39">
        <f t="shared" si="68"/>
        <v>0</v>
      </c>
      <c r="M143" s="7"/>
    </row>
    <row r="144" spans="1:13" x14ac:dyDescent="0.25">
      <c r="A144" s="1" t="s">
        <v>2</v>
      </c>
      <c r="B144" s="39">
        <f t="shared" si="70"/>
        <v>0</v>
      </c>
      <c r="C144" s="39">
        <f t="shared" ref="C144:I144" si="80">C82-C123</f>
        <v>0</v>
      </c>
      <c r="D144" s="39">
        <f t="shared" si="80"/>
        <v>0</v>
      </c>
      <c r="E144" s="39">
        <f t="shared" si="80"/>
        <v>0</v>
      </c>
      <c r="F144" s="39">
        <f t="shared" si="80"/>
        <v>0</v>
      </c>
      <c r="G144" s="39">
        <f t="shared" si="80"/>
        <v>0</v>
      </c>
      <c r="H144" s="39">
        <f t="shared" si="80"/>
        <v>0</v>
      </c>
      <c r="I144" s="39">
        <f t="shared" si="80"/>
        <v>0</v>
      </c>
      <c r="J144" s="39">
        <f t="shared" si="68"/>
        <v>0</v>
      </c>
      <c r="M144" s="7"/>
    </row>
    <row r="145" spans="1:13" x14ac:dyDescent="0.25">
      <c r="A145" s="1" t="s">
        <v>86</v>
      </c>
      <c r="B145" s="39">
        <f t="shared" si="70"/>
        <v>0</v>
      </c>
      <c r="C145" s="39">
        <f t="shared" ref="C145:I145" si="81">C83-C124</f>
        <v>0</v>
      </c>
      <c r="D145" s="39">
        <f t="shared" si="81"/>
        <v>0</v>
      </c>
      <c r="E145" s="39">
        <f t="shared" si="81"/>
        <v>0</v>
      </c>
      <c r="F145" s="39">
        <f t="shared" si="81"/>
        <v>0</v>
      </c>
      <c r="G145" s="39">
        <f t="shared" si="81"/>
        <v>0</v>
      </c>
      <c r="H145" s="39">
        <f t="shared" si="81"/>
        <v>0</v>
      </c>
      <c r="I145" s="39">
        <f t="shared" si="81"/>
        <v>0</v>
      </c>
      <c r="J145" s="39">
        <f t="shared" si="68"/>
        <v>0</v>
      </c>
      <c r="M145" s="7"/>
    </row>
    <row r="146" spans="1:13" x14ac:dyDescent="0.25">
      <c r="A146" s="1" t="s">
        <v>29</v>
      </c>
      <c r="B146" s="39">
        <f t="shared" si="70"/>
        <v>0</v>
      </c>
      <c r="C146" s="39">
        <f t="shared" ref="C146:I146" si="82">C84-C125</f>
        <v>0</v>
      </c>
      <c r="D146" s="39">
        <f t="shared" si="82"/>
        <v>0</v>
      </c>
      <c r="E146" s="39">
        <f t="shared" si="82"/>
        <v>0</v>
      </c>
      <c r="F146" s="39">
        <f t="shared" si="82"/>
        <v>0</v>
      </c>
      <c r="G146" s="39">
        <f t="shared" si="82"/>
        <v>0</v>
      </c>
      <c r="H146" s="39">
        <f t="shared" si="82"/>
        <v>0</v>
      </c>
      <c r="I146" s="39">
        <f t="shared" si="82"/>
        <v>0</v>
      </c>
      <c r="J146" s="39">
        <f t="shared" si="68"/>
        <v>0</v>
      </c>
      <c r="M146" s="7"/>
    </row>
    <row r="147" spans="1:13" x14ac:dyDescent="0.25">
      <c r="A147" s="1" t="s">
        <v>52</v>
      </c>
      <c r="B147" s="39">
        <f t="shared" si="70"/>
        <v>0</v>
      </c>
      <c r="C147" s="39">
        <f t="shared" ref="C147:I147" si="83">C85-C126</f>
        <v>0</v>
      </c>
      <c r="D147" s="39">
        <f t="shared" si="83"/>
        <v>0</v>
      </c>
      <c r="E147" s="39">
        <f t="shared" si="83"/>
        <v>0</v>
      </c>
      <c r="F147" s="39">
        <f t="shared" si="83"/>
        <v>0</v>
      </c>
      <c r="G147" s="39">
        <f t="shared" si="83"/>
        <v>0</v>
      </c>
      <c r="H147" s="39">
        <f t="shared" si="83"/>
        <v>0</v>
      </c>
      <c r="I147" s="39">
        <f t="shared" si="83"/>
        <v>0</v>
      </c>
      <c r="J147" s="39">
        <f t="shared" si="68"/>
        <v>0</v>
      </c>
      <c r="M147" s="7"/>
    </row>
    <row r="148" spans="1:13" x14ac:dyDescent="0.25">
      <c r="A148" s="1" t="s">
        <v>1</v>
      </c>
      <c r="B148" s="40">
        <f t="shared" si="70"/>
        <v>0</v>
      </c>
      <c r="C148" s="40">
        <f t="shared" ref="C148:I148" si="84">C86-C127</f>
        <v>0</v>
      </c>
      <c r="D148" s="40">
        <f t="shared" si="84"/>
        <v>0</v>
      </c>
      <c r="E148" s="40">
        <f t="shared" si="84"/>
        <v>0</v>
      </c>
      <c r="F148" s="40">
        <f t="shared" si="84"/>
        <v>0</v>
      </c>
      <c r="G148" s="40">
        <f t="shared" si="84"/>
        <v>0</v>
      </c>
      <c r="H148" s="40">
        <f t="shared" si="84"/>
        <v>0</v>
      </c>
      <c r="I148" s="40">
        <f t="shared" si="84"/>
        <v>0</v>
      </c>
      <c r="J148" s="40">
        <f t="shared" si="68"/>
        <v>0</v>
      </c>
      <c r="M148" s="7"/>
    </row>
    <row r="149" spans="1:13" x14ac:dyDescent="0.25">
      <c r="A149" s="4"/>
      <c r="B149" s="39">
        <f>SUM(B132:B148)</f>
        <v>0</v>
      </c>
      <c r="C149" s="39">
        <f t="shared" ref="C149:J149" si="85">SUM(C132:C148)</f>
        <v>0</v>
      </c>
      <c r="D149" s="39">
        <f t="shared" si="85"/>
        <v>0</v>
      </c>
      <c r="E149" s="39">
        <f t="shared" si="85"/>
        <v>0</v>
      </c>
      <c r="F149" s="39">
        <f t="shared" si="85"/>
        <v>0</v>
      </c>
      <c r="G149" s="39">
        <f t="shared" si="85"/>
        <v>0</v>
      </c>
      <c r="H149" s="39">
        <f t="shared" si="85"/>
        <v>0</v>
      </c>
      <c r="I149" s="39">
        <f t="shared" si="85"/>
        <v>0</v>
      </c>
      <c r="J149" s="39">
        <f t="shared" si="85"/>
        <v>0</v>
      </c>
      <c r="M149" s="7"/>
    </row>
    <row r="150" spans="1:13" x14ac:dyDescent="0.25">
      <c r="A150" s="4"/>
      <c r="B150" s="39"/>
      <c r="C150" s="39"/>
      <c r="D150" s="39"/>
      <c r="E150" s="39"/>
      <c r="F150" s="39"/>
      <c r="G150" s="39"/>
      <c r="H150" s="39"/>
      <c r="I150" s="39"/>
      <c r="J150" s="39"/>
      <c r="M150" s="7"/>
    </row>
    <row r="151" spans="1:13" x14ac:dyDescent="0.25">
      <c r="A151" s="4"/>
      <c r="B151" s="39"/>
      <c r="C151" s="39"/>
      <c r="D151" s="39"/>
      <c r="E151" s="39"/>
      <c r="F151" s="39"/>
      <c r="G151" s="39"/>
      <c r="H151" s="39"/>
      <c r="I151" s="39"/>
      <c r="J151" s="39"/>
      <c r="M151" s="7"/>
    </row>
    <row r="152" spans="1:13" x14ac:dyDescent="0.25">
      <c r="A152" s="4"/>
      <c r="B152" s="39"/>
      <c r="C152" s="39"/>
      <c r="D152" s="39"/>
      <c r="E152" s="39"/>
      <c r="F152" s="39"/>
      <c r="G152" s="39"/>
      <c r="H152" s="39"/>
      <c r="I152" s="39"/>
      <c r="J152" s="39"/>
      <c r="M152" s="7"/>
    </row>
    <row r="153" spans="1:13" x14ac:dyDescent="0.25">
      <c r="A153" s="4"/>
      <c r="B153" s="39"/>
      <c r="C153" s="39"/>
      <c r="D153" s="39"/>
      <c r="E153" s="39"/>
      <c r="F153" s="39"/>
      <c r="G153" s="39"/>
      <c r="H153" s="39"/>
      <c r="I153" s="39"/>
      <c r="J153" s="39"/>
      <c r="M153" s="7"/>
    </row>
    <row r="154" spans="1:13" x14ac:dyDescent="0.25">
      <c r="A154" s="4"/>
      <c r="B154" s="39"/>
      <c r="C154" s="39"/>
      <c r="D154" s="39"/>
      <c r="E154" s="39"/>
      <c r="F154" s="39"/>
      <c r="G154" s="39"/>
      <c r="H154" s="39"/>
      <c r="I154" s="39"/>
      <c r="J154" s="39"/>
      <c r="M154" s="7"/>
    </row>
    <row r="155" spans="1:13" x14ac:dyDescent="0.25">
      <c r="A155" s="4"/>
      <c r="B155" s="39"/>
      <c r="C155" s="39"/>
      <c r="D155" s="39"/>
      <c r="E155" s="39"/>
      <c r="F155" s="39"/>
      <c r="G155" s="39"/>
      <c r="H155" s="39"/>
      <c r="I155" s="39"/>
      <c r="J155" s="39"/>
      <c r="M155" s="7"/>
    </row>
    <row r="156" spans="1:13" x14ac:dyDescent="0.25">
      <c r="A156" s="4"/>
      <c r="B156" s="39"/>
      <c r="C156" s="39"/>
      <c r="D156" s="39"/>
      <c r="E156" s="39"/>
      <c r="F156" s="39"/>
      <c r="G156" s="39"/>
      <c r="H156" s="39"/>
      <c r="I156" s="39"/>
      <c r="J156" s="39"/>
      <c r="M156" s="7"/>
    </row>
    <row r="157" spans="1:13" x14ac:dyDescent="0.25">
      <c r="A157" s="1"/>
      <c r="B157" s="9"/>
      <c r="C157" s="9"/>
      <c r="D157" s="9"/>
      <c r="E157" s="9"/>
      <c r="F157" s="9"/>
      <c r="G157" s="9"/>
      <c r="H157" s="9"/>
      <c r="I157" s="9"/>
      <c r="J157" s="9"/>
      <c r="M157" s="7"/>
    </row>
    <row r="158" spans="1:13" x14ac:dyDescent="0.25">
      <c r="A158" s="1"/>
      <c r="B158" s="9"/>
      <c r="C158" s="9"/>
      <c r="D158" s="9"/>
      <c r="E158" s="9"/>
      <c r="F158" s="9"/>
      <c r="G158" s="9"/>
      <c r="H158" s="9"/>
      <c r="I158" s="9"/>
      <c r="J158" s="9"/>
      <c r="M158" s="7"/>
    </row>
  </sheetData>
  <mergeCells count="16">
    <mergeCell ref="A1:M1"/>
    <mergeCell ref="A2:M2"/>
    <mergeCell ref="A3:M3"/>
    <mergeCell ref="A4:M4"/>
    <mergeCell ref="A6:J6"/>
    <mergeCell ref="L6:M6"/>
    <mergeCell ref="A109:J109"/>
    <mergeCell ref="M124:M125"/>
    <mergeCell ref="M126:M127"/>
    <mergeCell ref="A130:J130"/>
    <mergeCell ref="A27:J27"/>
    <mergeCell ref="A47:J47"/>
    <mergeCell ref="M62:M63"/>
    <mergeCell ref="M64:M65"/>
    <mergeCell ref="A68:J68"/>
    <mergeCell ref="A89:J89"/>
  </mergeCells>
  <pageMargins left="0.7" right="0.7" top="0.75" bottom="0.75" header="0.3" footer="0.3"/>
  <pageSetup scale="31"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A1:Q158"/>
  <sheetViews>
    <sheetView zoomScale="85" zoomScaleNormal="85" workbookViewId="0">
      <selection activeCell="B7" sqref="B7:I7"/>
    </sheetView>
  </sheetViews>
  <sheetFormatPr defaultColWidth="9.140625" defaultRowHeight="15" x14ac:dyDescent="0.25"/>
  <cols>
    <col min="1" max="1" width="38.85546875" bestFit="1" customWidth="1"/>
    <col min="2" max="10" width="12.7109375" customWidth="1"/>
    <col min="11" max="11" width="2.5703125" customWidth="1"/>
    <col min="12" max="12" width="12.7109375" customWidth="1"/>
    <col min="13" max="13" width="30.7109375" customWidth="1"/>
    <col min="14" max="14" width="18.5703125" customWidth="1"/>
  </cols>
  <sheetData>
    <row r="1" spans="1:15" ht="18.75" x14ac:dyDescent="0.3">
      <c r="A1" s="173" t="s">
        <v>17</v>
      </c>
      <c r="B1" s="173"/>
      <c r="C1" s="173"/>
      <c r="D1" s="173"/>
      <c r="E1" s="173"/>
      <c r="F1" s="173"/>
      <c r="G1" s="173"/>
      <c r="H1" s="173"/>
      <c r="I1" s="173"/>
      <c r="J1" s="173"/>
      <c r="K1" s="173"/>
      <c r="L1" s="173"/>
      <c r="M1" s="173"/>
      <c r="O1" s="31"/>
    </row>
    <row r="2" spans="1:15" ht="15.75" x14ac:dyDescent="0.25">
      <c r="A2" s="174" t="s">
        <v>269</v>
      </c>
      <c r="B2" s="174"/>
      <c r="C2" s="174"/>
      <c r="D2" s="174"/>
      <c r="E2" s="174"/>
      <c r="F2" s="174"/>
      <c r="G2" s="174"/>
      <c r="H2" s="174"/>
      <c r="I2" s="174"/>
      <c r="J2" s="174"/>
      <c r="K2" s="174"/>
      <c r="L2" s="174"/>
      <c r="M2" s="174"/>
      <c r="O2" s="31"/>
    </row>
    <row r="3" spans="1:15" x14ac:dyDescent="0.25">
      <c r="A3" s="175" t="s">
        <v>31</v>
      </c>
      <c r="B3" s="175"/>
      <c r="C3" s="175"/>
      <c r="D3" s="175"/>
      <c r="E3" s="175"/>
      <c r="F3" s="175"/>
      <c r="G3" s="175"/>
      <c r="H3" s="175"/>
      <c r="I3" s="175"/>
      <c r="J3" s="175"/>
      <c r="K3" s="175"/>
      <c r="L3" s="175"/>
      <c r="M3" s="175"/>
    </row>
    <row r="4" spans="1:15" x14ac:dyDescent="0.25">
      <c r="A4" s="187">
        <f>'Company Summary'!A4:J4</f>
        <v>45199</v>
      </c>
      <c r="B4" s="187"/>
      <c r="C4" s="187"/>
      <c r="D4" s="187"/>
      <c r="E4" s="187"/>
      <c r="F4" s="187"/>
      <c r="G4" s="187"/>
      <c r="H4" s="187"/>
      <c r="I4" s="187"/>
      <c r="J4" s="187"/>
      <c r="K4" s="187"/>
      <c r="L4" s="187"/>
      <c r="M4" s="187"/>
    </row>
    <row r="5" spans="1:15" ht="15.75" thickBot="1" x14ac:dyDescent="0.3">
      <c r="A5" s="81"/>
      <c r="B5" s="81"/>
      <c r="C5" s="81"/>
      <c r="D5" s="81"/>
      <c r="E5" s="81"/>
      <c r="F5" s="81"/>
      <c r="G5" s="81"/>
      <c r="H5" s="81"/>
      <c r="I5" s="81"/>
      <c r="J5" s="81"/>
      <c r="K5" s="81"/>
      <c r="L5" s="81"/>
      <c r="M5" s="81"/>
    </row>
    <row r="6" spans="1:15" ht="15.75" thickBot="1" x14ac:dyDescent="0.3">
      <c r="A6" s="170" t="s">
        <v>54</v>
      </c>
      <c r="B6" s="171"/>
      <c r="C6" s="171"/>
      <c r="D6" s="171"/>
      <c r="E6" s="171"/>
      <c r="F6" s="171"/>
      <c r="G6" s="171"/>
      <c r="H6" s="171"/>
      <c r="I6" s="171"/>
      <c r="J6" s="172"/>
      <c r="L6" s="186"/>
      <c r="M6" s="186"/>
    </row>
    <row r="7" spans="1:15" x14ac:dyDescent="0.25">
      <c r="A7" s="4" t="s">
        <v>16</v>
      </c>
      <c r="B7" s="5" t="s">
        <v>15</v>
      </c>
      <c r="C7" s="5" t="s">
        <v>14</v>
      </c>
      <c r="D7" s="5" t="s">
        <v>13</v>
      </c>
      <c r="E7" s="5" t="s">
        <v>12</v>
      </c>
      <c r="F7" s="5" t="s">
        <v>93</v>
      </c>
      <c r="G7" s="5" t="s">
        <v>94</v>
      </c>
      <c r="H7" s="5" t="s">
        <v>38</v>
      </c>
      <c r="I7" s="5" t="s">
        <v>9</v>
      </c>
      <c r="J7" s="5" t="s">
        <v>0</v>
      </c>
      <c r="L7" s="4"/>
      <c r="M7" s="4"/>
    </row>
    <row r="8" spans="1:15" x14ac:dyDescent="0.25">
      <c r="A8" s="1" t="s">
        <v>49</v>
      </c>
      <c r="B8" s="33">
        <f>'Agile AR Aging &lt;-INPUT'!C179</f>
        <v>0</v>
      </c>
      <c r="C8" s="33">
        <f>'Agile AR Aging &lt;-INPUT'!D179</f>
        <v>0</v>
      </c>
      <c r="D8" s="33">
        <f>'Agile AR Aging &lt;-INPUT'!E179</f>
        <v>0</v>
      </c>
      <c r="E8" s="33">
        <f>'Agile AR Aging &lt;-INPUT'!F179</f>
        <v>0</v>
      </c>
      <c r="F8" s="33">
        <f>'Agile AR Aging &lt;-INPUT'!G179</f>
        <v>0</v>
      </c>
      <c r="G8" s="33">
        <f>'Agile AR Aging &lt;-INPUT'!H179</f>
        <v>0</v>
      </c>
      <c r="H8" s="33">
        <f>'Agile AR Aging &lt;-INPUT'!I179</f>
        <v>0</v>
      </c>
      <c r="I8" s="33">
        <f>'Agile AR Aging &lt;-INPUT'!J179</f>
        <v>0</v>
      </c>
      <c r="J8" s="2">
        <f t="shared" ref="J8:J24" si="0">SUM(B8:H8)</f>
        <v>0</v>
      </c>
      <c r="L8" s="67"/>
    </row>
    <row r="9" spans="1:15" x14ac:dyDescent="0.25">
      <c r="A9" s="1" t="s">
        <v>8</v>
      </c>
      <c r="B9" s="33">
        <f>'Agile AR Aging &lt;-INPUT'!C180</f>
        <v>0</v>
      </c>
      <c r="C9" s="33">
        <f>'Agile AR Aging &lt;-INPUT'!D180</f>
        <v>0</v>
      </c>
      <c r="D9" s="33">
        <f>'Agile AR Aging &lt;-INPUT'!E180</f>
        <v>0</v>
      </c>
      <c r="E9" s="33">
        <f>'Agile AR Aging &lt;-INPUT'!F180</f>
        <v>0</v>
      </c>
      <c r="F9" s="33">
        <f>'Agile AR Aging &lt;-INPUT'!G180</f>
        <v>0</v>
      </c>
      <c r="G9" s="33">
        <f>'Agile AR Aging &lt;-INPUT'!H180</f>
        <v>0</v>
      </c>
      <c r="H9" s="33">
        <f>'Agile AR Aging &lt;-INPUT'!I180</f>
        <v>0</v>
      </c>
      <c r="I9" s="33">
        <f>'Agile AR Aging &lt;-INPUT'!J180</f>
        <v>0</v>
      </c>
      <c r="J9" s="2">
        <f t="shared" si="0"/>
        <v>0</v>
      </c>
      <c r="L9" s="67"/>
      <c r="N9" s="68"/>
    </row>
    <row r="10" spans="1:15" x14ac:dyDescent="0.25">
      <c r="A10" s="1" t="s">
        <v>7</v>
      </c>
      <c r="B10" s="33">
        <f>'Agile AR Aging &lt;-INPUT'!C181</f>
        <v>0</v>
      </c>
      <c r="C10" s="33">
        <f>'Agile AR Aging &lt;-INPUT'!D181</f>
        <v>0</v>
      </c>
      <c r="D10" s="33">
        <f>'Agile AR Aging &lt;-INPUT'!E181</f>
        <v>0</v>
      </c>
      <c r="E10" s="33">
        <f>'Agile AR Aging &lt;-INPUT'!F181</f>
        <v>0</v>
      </c>
      <c r="F10" s="33">
        <f>'Agile AR Aging &lt;-INPUT'!G181</f>
        <v>0</v>
      </c>
      <c r="G10" s="33">
        <f>'Agile AR Aging &lt;-INPUT'!H181</f>
        <v>0</v>
      </c>
      <c r="H10" s="33">
        <f>'Agile AR Aging &lt;-INPUT'!I181</f>
        <v>0</v>
      </c>
      <c r="I10" s="33">
        <f>'Agile AR Aging &lt;-INPUT'!J181</f>
        <v>0</v>
      </c>
      <c r="J10" s="2">
        <f t="shared" si="0"/>
        <v>0</v>
      </c>
      <c r="L10" s="67"/>
      <c r="N10" s="68"/>
    </row>
    <row r="11" spans="1:15" x14ac:dyDescent="0.25">
      <c r="A11" s="1" t="s">
        <v>42</v>
      </c>
      <c r="B11" s="33">
        <f>'Agile AR Aging &lt;-INPUT'!C182</f>
        <v>0</v>
      </c>
      <c r="C11" s="33">
        <f>'Agile AR Aging &lt;-INPUT'!D182</f>
        <v>0</v>
      </c>
      <c r="D11" s="33">
        <f>'Agile AR Aging &lt;-INPUT'!E182</f>
        <v>0</v>
      </c>
      <c r="E11" s="33">
        <f>'Agile AR Aging &lt;-INPUT'!F182</f>
        <v>0</v>
      </c>
      <c r="F11" s="33">
        <f>'Agile AR Aging &lt;-INPUT'!G182</f>
        <v>0</v>
      </c>
      <c r="G11" s="33">
        <f>'Agile AR Aging &lt;-INPUT'!H182</f>
        <v>0</v>
      </c>
      <c r="H11" s="33">
        <f>'Agile AR Aging &lt;-INPUT'!I182</f>
        <v>0</v>
      </c>
      <c r="I11" s="33">
        <f>'Agile AR Aging &lt;-INPUT'!J182</f>
        <v>0</v>
      </c>
      <c r="J11" s="2">
        <f t="shared" si="0"/>
        <v>0</v>
      </c>
      <c r="L11" s="67"/>
      <c r="N11" s="68"/>
    </row>
    <row r="12" spans="1:15" x14ac:dyDescent="0.25">
      <c r="A12" s="1" t="s">
        <v>6</v>
      </c>
      <c r="B12" s="33">
        <f>'Agile AR Aging &lt;-INPUT'!C183+'Agile AR Aging &lt;-INPUT'!C184+'Agile AR Aging &lt;-INPUT'!C191+'Agile AR Aging &lt;-INPUT'!C197</f>
        <v>0</v>
      </c>
      <c r="C12" s="33">
        <f>'Agile AR Aging &lt;-INPUT'!D183+'Agile AR Aging &lt;-INPUT'!D184+'Agile AR Aging &lt;-INPUT'!D191+'Agile AR Aging &lt;-INPUT'!D197</f>
        <v>0</v>
      </c>
      <c r="D12" s="33">
        <f>'Agile AR Aging &lt;-INPUT'!E183+'Agile AR Aging &lt;-INPUT'!E184+'Agile AR Aging &lt;-INPUT'!E191+'Agile AR Aging &lt;-INPUT'!E197</f>
        <v>0</v>
      </c>
      <c r="E12" s="33">
        <f>'Agile AR Aging &lt;-INPUT'!F183+'Agile AR Aging &lt;-INPUT'!F184+'Agile AR Aging &lt;-INPUT'!F191+'Agile AR Aging &lt;-INPUT'!F197</f>
        <v>0</v>
      </c>
      <c r="F12" s="33">
        <f>'Agile AR Aging &lt;-INPUT'!G183+'Agile AR Aging &lt;-INPUT'!G184+'Agile AR Aging &lt;-INPUT'!G191+'Agile AR Aging &lt;-INPUT'!G197</f>
        <v>0</v>
      </c>
      <c r="G12" s="33">
        <f>'Agile AR Aging &lt;-INPUT'!H183+'Agile AR Aging &lt;-INPUT'!H184+'Agile AR Aging &lt;-INPUT'!H191+'Agile AR Aging &lt;-INPUT'!H197</f>
        <v>0</v>
      </c>
      <c r="H12" s="33">
        <f>'Agile AR Aging &lt;-INPUT'!I183+'Agile AR Aging &lt;-INPUT'!I184+'Agile AR Aging &lt;-INPUT'!I191+'Agile AR Aging &lt;-INPUT'!I197</f>
        <v>0</v>
      </c>
      <c r="I12" s="33">
        <f>'Agile AR Aging &lt;-INPUT'!J183+'Agile AR Aging &lt;-INPUT'!J184+'Agile AR Aging &lt;-INPUT'!J191+'Agile AR Aging &lt;-INPUT'!J197</f>
        <v>0</v>
      </c>
      <c r="J12" s="2">
        <f t="shared" si="0"/>
        <v>0</v>
      </c>
      <c r="L12" s="73"/>
      <c r="N12" s="68"/>
    </row>
    <row r="13" spans="1:15" x14ac:dyDescent="0.25">
      <c r="A13" s="1" t="s">
        <v>50</v>
      </c>
      <c r="B13" s="33">
        <f>'Agile AR Aging &lt;-INPUT'!C185</f>
        <v>0</v>
      </c>
      <c r="C13" s="33">
        <f>'Agile AR Aging &lt;-INPUT'!D185</f>
        <v>0</v>
      </c>
      <c r="D13" s="33">
        <f>'Agile AR Aging &lt;-INPUT'!E185</f>
        <v>0</v>
      </c>
      <c r="E13" s="33">
        <f>'Agile AR Aging &lt;-INPUT'!F185</f>
        <v>0</v>
      </c>
      <c r="F13" s="33">
        <f>'Agile AR Aging &lt;-INPUT'!G185</f>
        <v>0</v>
      </c>
      <c r="G13" s="33">
        <f>'Agile AR Aging &lt;-INPUT'!H185</f>
        <v>0</v>
      </c>
      <c r="H13" s="33">
        <f>'Agile AR Aging &lt;-INPUT'!I185</f>
        <v>0</v>
      </c>
      <c r="I13" s="33">
        <f>'Agile AR Aging &lt;-INPUT'!J185</f>
        <v>0</v>
      </c>
      <c r="J13" s="2">
        <f t="shared" si="0"/>
        <v>0</v>
      </c>
      <c r="L13" s="73"/>
      <c r="N13" s="68"/>
    </row>
    <row r="14" spans="1:15" x14ac:dyDescent="0.25">
      <c r="A14" s="1" t="s">
        <v>89</v>
      </c>
      <c r="B14" s="33">
        <f>'Agile AR Aging &lt;-INPUT'!C186</f>
        <v>0</v>
      </c>
      <c r="C14" s="33">
        <f>'Agile AR Aging &lt;-INPUT'!D186</f>
        <v>0</v>
      </c>
      <c r="D14" s="33">
        <f>'Agile AR Aging &lt;-INPUT'!E186</f>
        <v>0</v>
      </c>
      <c r="E14" s="33">
        <f>'Agile AR Aging &lt;-INPUT'!F186</f>
        <v>0</v>
      </c>
      <c r="F14" s="33">
        <f>'Agile AR Aging &lt;-INPUT'!G186</f>
        <v>0</v>
      </c>
      <c r="G14" s="33">
        <f>'Agile AR Aging &lt;-INPUT'!H186</f>
        <v>0</v>
      </c>
      <c r="H14" s="33">
        <f>'Agile AR Aging &lt;-INPUT'!I186</f>
        <v>0</v>
      </c>
      <c r="I14" s="33">
        <f>'Agile AR Aging &lt;-INPUT'!J186</f>
        <v>0</v>
      </c>
      <c r="J14" s="2">
        <f t="shared" si="0"/>
        <v>0</v>
      </c>
      <c r="L14" s="73"/>
      <c r="N14" s="68"/>
    </row>
    <row r="15" spans="1:15" x14ac:dyDescent="0.25">
      <c r="A15" s="1" t="s">
        <v>5</v>
      </c>
      <c r="B15" s="33">
        <f>'Agile AR Aging &lt;-INPUT'!C187</f>
        <v>0</v>
      </c>
      <c r="C15" s="33">
        <f>'Agile AR Aging &lt;-INPUT'!D187</f>
        <v>0</v>
      </c>
      <c r="D15" s="33">
        <f>'Agile AR Aging &lt;-INPUT'!E187</f>
        <v>0</v>
      </c>
      <c r="E15" s="33">
        <f>'Agile AR Aging &lt;-INPUT'!F187</f>
        <v>0</v>
      </c>
      <c r="F15" s="33">
        <f>'Agile AR Aging &lt;-INPUT'!G187</f>
        <v>0</v>
      </c>
      <c r="G15" s="33">
        <f>'Agile AR Aging &lt;-INPUT'!H187</f>
        <v>0</v>
      </c>
      <c r="H15" s="33">
        <f>'Agile AR Aging &lt;-INPUT'!I187</f>
        <v>0</v>
      </c>
      <c r="I15" s="33">
        <f>'Agile AR Aging &lt;-INPUT'!J187</f>
        <v>0</v>
      </c>
      <c r="J15" s="2">
        <f t="shared" si="0"/>
        <v>0</v>
      </c>
      <c r="L15" s="73"/>
      <c r="N15" s="68"/>
    </row>
    <row r="16" spans="1:15" x14ac:dyDescent="0.25">
      <c r="A16" s="1" t="s">
        <v>84</v>
      </c>
      <c r="B16" s="33">
        <f>'Agile AR Aging &lt;-INPUT'!C188</f>
        <v>0</v>
      </c>
      <c r="C16" s="33">
        <f>'Agile AR Aging &lt;-INPUT'!D188</f>
        <v>0</v>
      </c>
      <c r="D16" s="33">
        <f>'Agile AR Aging &lt;-INPUT'!E188</f>
        <v>0</v>
      </c>
      <c r="E16" s="33">
        <f>'Agile AR Aging &lt;-INPUT'!F188</f>
        <v>0</v>
      </c>
      <c r="F16" s="33">
        <f>'Agile AR Aging &lt;-INPUT'!G188</f>
        <v>0</v>
      </c>
      <c r="G16" s="33">
        <f>'Agile AR Aging &lt;-INPUT'!H188</f>
        <v>0</v>
      </c>
      <c r="H16" s="33">
        <f>'Agile AR Aging &lt;-INPUT'!I188</f>
        <v>0</v>
      </c>
      <c r="I16" s="33">
        <f>'Agile AR Aging &lt;-INPUT'!J188</f>
        <v>0</v>
      </c>
      <c r="J16" s="2">
        <f t="shared" si="0"/>
        <v>0</v>
      </c>
      <c r="L16" s="73"/>
      <c r="N16" s="68"/>
    </row>
    <row r="17" spans="1:17" x14ac:dyDescent="0.25">
      <c r="A17" s="1" t="s">
        <v>4</v>
      </c>
      <c r="B17" s="33">
        <f>'Agile AR Aging &lt;-INPUT'!C189</f>
        <v>0</v>
      </c>
      <c r="C17" s="33">
        <f>'Agile AR Aging &lt;-INPUT'!D189</f>
        <v>0</v>
      </c>
      <c r="D17" s="33">
        <f>'Agile AR Aging &lt;-INPUT'!E189</f>
        <v>0</v>
      </c>
      <c r="E17" s="33">
        <f>'Agile AR Aging &lt;-INPUT'!F189</f>
        <v>0</v>
      </c>
      <c r="F17" s="33">
        <f>'Agile AR Aging &lt;-INPUT'!G189</f>
        <v>0</v>
      </c>
      <c r="G17" s="33">
        <f>'Agile AR Aging &lt;-INPUT'!H189</f>
        <v>0</v>
      </c>
      <c r="H17" s="33">
        <f>'Agile AR Aging &lt;-INPUT'!I189</f>
        <v>0</v>
      </c>
      <c r="I17" s="33">
        <f>'Agile AR Aging &lt;-INPUT'!J189</f>
        <v>0</v>
      </c>
      <c r="J17" s="2">
        <f t="shared" si="0"/>
        <v>0</v>
      </c>
      <c r="L17" s="73"/>
      <c r="N17" s="68"/>
    </row>
    <row r="18" spans="1:17" x14ac:dyDescent="0.25">
      <c r="A18" s="1" t="s">
        <v>51</v>
      </c>
      <c r="B18" s="33">
        <f>'Agile AR Aging &lt;-INPUT'!C190</f>
        <v>0</v>
      </c>
      <c r="C18" s="33">
        <f>'Agile AR Aging &lt;-INPUT'!D190</f>
        <v>0</v>
      </c>
      <c r="D18" s="33">
        <f>'Agile AR Aging &lt;-INPUT'!E190</f>
        <v>0</v>
      </c>
      <c r="E18" s="33">
        <f>'Agile AR Aging &lt;-INPUT'!F190</f>
        <v>0</v>
      </c>
      <c r="F18" s="33">
        <f>'Agile AR Aging &lt;-INPUT'!G190</f>
        <v>0</v>
      </c>
      <c r="G18" s="33">
        <f>'Agile AR Aging &lt;-INPUT'!H190</f>
        <v>0</v>
      </c>
      <c r="H18" s="33">
        <f>'Agile AR Aging &lt;-INPUT'!I190</f>
        <v>0</v>
      </c>
      <c r="I18" s="33">
        <f>'Agile AR Aging &lt;-INPUT'!J190</f>
        <v>0</v>
      </c>
      <c r="J18" s="2">
        <f t="shared" si="0"/>
        <v>0</v>
      </c>
      <c r="L18" s="73"/>
      <c r="N18" s="68"/>
    </row>
    <row r="19" spans="1:17" x14ac:dyDescent="0.25">
      <c r="A19" s="1" t="s">
        <v>85</v>
      </c>
      <c r="B19" s="33">
        <f>'Agile AR Aging &lt;-INPUT'!C192</f>
        <v>0</v>
      </c>
      <c r="C19" s="33">
        <f>'Agile AR Aging &lt;-INPUT'!D192</f>
        <v>0</v>
      </c>
      <c r="D19" s="33">
        <f>'Agile AR Aging &lt;-INPUT'!E192</f>
        <v>0</v>
      </c>
      <c r="E19" s="33">
        <f>'Agile AR Aging &lt;-INPUT'!F192</f>
        <v>0</v>
      </c>
      <c r="F19" s="33">
        <f>'Agile AR Aging &lt;-INPUT'!G192</f>
        <v>0</v>
      </c>
      <c r="G19" s="33">
        <f>'Agile AR Aging &lt;-INPUT'!H192</f>
        <v>0</v>
      </c>
      <c r="H19" s="33">
        <f>'Agile AR Aging &lt;-INPUT'!I192</f>
        <v>0</v>
      </c>
      <c r="I19" s="33">
        <f>'Agile AR Aging &lt;-INPUT'!J192</f>
        <v>0</v>
      </c>
      <c r="J19" s="2">
        <f t="shared" si="0"/>
        <v>0</v>
      </c>
      <c r="L19" s="73"/>
      <c r="N19" s="68"/>
    </row>
    <row r="20" spans="1:17" x14ac:dyDescent="0.25">
      <c r="A20" s="1" t="s">
        <v>2</v>
      </c>
      <c r="B20" s="33">
        <f>'Agile AR Aging &lt;-INPUT'!C193</f>
        <v>0</v>
      </c>
      <c r="C20" s="33">
        <f>'Agile AR Aging &lt;-INPUT'!D193</f>
        <v>0</v>
      </c>
      <c r="D20" s="33">
        <f>'Agile AR Aging &lt;-INPUT'!E193</f>
        <v>0</v>
      </c>
      <c r="E20" s="33">
        <f>'Agile AR Aging &lt;-INPUT'!F193</f>
        <v>0</v>
      </c>
      <c r="F20" s="33">
        <f>'Agile AR Aging &lt;-INPUT'!G193</f>
        <v>0</v>
      </c>
      <c r="G20" s="33">
        <f>'Agile AR Aging &lt;-INPUT'!H193</f>
        <v>0</v>
      </c>
      <c r="H20" s="33">
        <f>'Agile AR Aging &lt;-INPUT'!I193</f>
        <v>0</v>
      </c>
      <c r="I20" s="33">
        <f>'Agile AR Aging &lt;-INPUT'!J193</f>
        <v>0</v>
      </c>
      <c r="J20" s="2">
        <f t="shared" si="0"/>
        <v>0</v>
      </c>
      <c r="L20" s="73"/>
      <c r="N20" s="68"/>
    </row>
    <row r="21" spans="1:17" x14ac:dyDescent="0.25">
      <c r="A21" s="1" t="s">
        <v>86</v>
      </c>
      <c r="B21" s="33">
        <f>'Agile AR Aging &lt;-INPUT'!C194</f>
        <v>0</v>
      </c>
      <c r="C21" s="33">
        <f>'Agile AR Aging &lt;-INPUT'!D194</f>
        <v>0</v>
      </c>
      <c r="D21" s="33">
        <f>'Agile AR Aging &lt;-INPUT'!E194</f>
        <v>0</v>
      </c>
      <c r="E21" s="33">
        <f>'Agile AR Aging &lt;-INPUT'!F194</f>
        <v>0</v>
      </c>
      <c r="F21" s="33">
        <f>'Agile AR Aging &lt;-INPUT'!G194</f>
        <v>0</v>
      </c>
      <c r="G21" s="33">
        <f>'Agile AR Aging &lt;-INPUT'!H194</f>
        <v>0</v>
      </c>
      <c r="H21" s="33">
        <f>'Agile AR Aging &lt;-INPUT'!I194</f>
        <v>0</v>
      </c>
      <c r="I21" s="33">
        <f>'Agile AR Aging &lt;-INPUT'!J194</f>
        <v>0</v>
      </c>
      <c r="J21" s="2">
        <f t="shared" si="0"/>
        <v>0</v>
      </c>
      <c r="L21" s="73"/>
      <c r="N21" s="68"/>
    </row>
    <row r="22" spans="1:17" x14ac:dyDescent="0.25">
      <c r="A22" s="1" t="s">
        <v>29</v>
      </c>
      <c r="B22" s="33">
        <f>'Agile AR Aging &lt;-INPUT'!C195</f>
        <v>0</v>
      </c>
      <c r="C22" s="33">
        <f>'Agile AR Aging &lt;-INPUT'!D195</f>
        <v>0</v>
      </c>
      <c r="D22" s="33">
        <f>'Agile AR Aging &lt;-INPUT'!E195</f>
        <v>0</v>
      </c>
      <c r="E22" s="33">
        <f>'Agile AR Aging &lt;-INPUT'!F195</f>
        <v>0</v>
      </c>
      <c r="F22" s="33">
        <f>'Agile AR Aging &lt;-INPUT'!G195</f>
        <v>0</v>
      </c>
      <c r="G22" s="33">
        <f>'Agile AR Aging &lt;-INPUT'!H195</f>
        <v>0</v>
      </c>
      <c r="H22" s="33">
        <f>'Agile AR Aging &lt;-INPUT'!I195</f>
        <v>0</v>
      </c>
      <c r="I22" s="33">
        <f>'Agile AR Aging &lt;-INPUT'!J195</f>
        <v>0</v>
      </c>
      <c r="J22" s="2">
        <f t="shared" si="0"/>
        <v>0</v>
      </c>
      <c r="L22" s="73"/>
      <c r="N22" s="68"/>
    </row>
    <row r="23" spans="1:17" x14ac:dyDescent="0.25">
      <c r="A23" s="1" t="s">
        <v>52</v>
      </c>
      <c r="B23" s="33">
        <f>'Agile AR Aging &lt;-INPUT'!C196</f>
        <v>0</v>
      </c>
      <c r="C23" s="33">
        <f>'Agile AR Aging &lt;-INPUT'!D196</f>
        <v>0</v>
      </c>
      <c r="D23" s="33">
        <f>'Agile AR Aging &lt;-INPUT'!E196</f>
        <v>0</v>
      </c>
      <c r="E23" s="33">
        <f>'Agile AR Aging &lt;-INPUT'!F196</f>
        <v>0</v>
      </c>
      <c r="F23" s="33">
        <f>'Agile AR Aging &lt;-INPUT'!G196</f>
        <v>0</v>
      </c>
      <c r="G23" s="33">
        <f>'Agile AR Aging &lt;-INPUT'!H196</f>
        <v>0</v>
      </c>
      <c r="H23" s="33">
        <f>'Agile AR Aging &lt;-INPUT'!I196</f>
        <v>0</v>
      </c>
      <c r="I23" s="33">
        <f>'Agile AR Aging &lt;-INPUT'!J196</f>
        <v>0</v>
      </c>
      <c r="J23" s="2">
        <f t="shared" si="0"/>
        <v>0</v>
      </c>
      <c r="L23" s="73"/>
      <c r="N23" s="68"/>
    </row>
    <row r="24" spans="1:17" x14ac:dyDescent="0.25">
      <c r="A24" s="1" t="s">
        <v>1</v>
      </c>
      <c r="B24" s="32">
        <f>'Agile AR Aging &lt;-INPUT'!C198</f>
        <v>0</v>
      </c>
      <c r="C24" s="32">
        <f>'Agile AR Aging &lt;-INPUT'!D198</f>
        <v>0</v>
      </c>
      <c r="D24" s="32">
        <f>'Agile AR Aging &lt;-INPUT'!E198</f>
        <v>0</v>
      </c>
      <c r="E24" s="32">
        <f>'Agile AR Aging &lt;-INPUT'!F198</f>
        <v>0</v>
      </c>
      <c r="F24" s="32">
        <f>'Agile AR Aging &lt;-INPUT'!G198</f>
        <v>0</v>
      </c>
      <c r="G24" s="32">
        <f>'Agile AR Aging &lt;-INPUT'!H198</f>
        <v>0</v>
      </c>
      <c r="H24" s="32">
        <f>'Agile AR Aging &lt;-INPUT'!I198</f>
        <v>0</v>
      </c>
      <c r="I24" s="32">
        <f>'Agile AR Aging &lt;-INPUT'!J198</f>
        <v>0</v>
      </c>
      <c r="J24" s="9">
        <f t="shared" si="0"/>
        <v>0</v>
      </c>
      <c r="L24" s="73"/>
      <c r="N24" s="68"/>
    </row>
    <row r="25" spans="1:17" x14ac:dyDescent="0.25">
      <c r="A25" s="1" t="s">
        <v>0</v>
      </c>
      <c r="B25" s="10">
        <f t="shared" ref="B25:I25" si="1">SUM(B8:B24)</f>
        <v>0</v>
      </c>
      <c r="C25" s="10">
        <f t="shared" si="1"/>
        <v>0</v>
      </c>
      <c r="D25" s="10">
        <f t="shared" si="1"/>
        <v>0</v>
      </c>
      <c r="E25" s="10">
        <f t="shared" si="1"/>
        <v>0</v>
      </c>
      <c r="F25" s="10">
        <f t="shared" si="1"/>
        <v>0</v>
      </c>
      <c r="G25" s="10">
        <f t="shared" si="1"/>
        <v>0</v>
      </c>
      <c r="H25" s="10">
        <f t="shared" si="1"/>
        <v>0</v>
      </c>
      <c r="I25" s="10">
        <f t="shared" si="1"/>
        <v>0</v>
      </c>
      <c r="J25" s="10">
        <f>SUM(B25:H25)</f>
        <v>0</v>
      </c>
      <c r="L25" s="31"/>
    </row>
    <row r="26" spans="1:17" ht="15.75" thickBot="1" x14ac:dyDescent="0.3">
      <c r="A26" s="1"/>
      <c r="B26" s="9"/>
      <c r="C26" s="9"/>
      <c r="D26" s="9"/>
      <c r="E26" s="9"/>
      <c r="F26" s="9"/>
      <c r="G26" s="9"/>
      <c r="H26" s="9"/>
      <c r="I26" s="9"/>
      <c r="J26" s="9"/>
      <c r="L26" s="31"/>
      <c r="Q26" s="1"/>
    </row>
    <row r="27" spans="1:17" ht="15.75" thickBot="1" x14ac:dyDescent="0.3">
      <c r="A27" s="167" t="s">
        <v>55</v>
      </c>
      <c r="B27" s="168"/>
      <c r="C27" s="168"/>
      <c r="D27" s="168"/>
      <c r="E27" s="168"/>
      <c r="F27" s="168"/>
      <c r="G27" s="168"/>
      <c r="H27" s="168"/>
      <c r="I27" s="168"/>
      <c r="J27" s="169"/>
      <c r="Q27" s="1"/>
    </row>
    <row r="28" spans="1:17" x14ac:dyDescent="0.25">
      <c r="A28" s="4" t="s">
        <v>16</v>
      </c>
      <c r="B28" s="5" t="s">
        <v>15</v>
      </c>
      <c r="C28" s="5" t="s">
        <v>14</v>
      </c>
      <c r="D28" s="5" t="s">
        <v>13</v>
      </c>
      <c r="E28" s="5" t="s">
        <v>12</v>
      </c>
      <c r="F28" s="5" t="s">
        <v>93</v>
      </c>
      <c r="G28" s="5" t="s">
        <v>94</v>
      </c>
      <c r="H28" s="5" t="s">
        <v>38</v>
      </c>
      <c r="I28" s="5" t="s">
        <v>9</v>
      </c>
      <c r="J28" s="5" t="s">
        <v>0</v>
      </c>
      <c r="Q28" s="1"/>
    </row>
    <row r="29" spans="1:17" x14ac:dyDescent="0.25">
      <c r="A29" s="1" t="s">
        <v>49</v>
      </c>
      <c r="B29" s="36">
        <f>'Reimbursement Rates &lt;-INPUT'!H9</f>
        <v>0</v>
      </c>
      <c r="C29" s="36">
        <f t="shared" ref="C29:I45" si="2">B29</f>
        <v>0</v>
      </c>
      <c r="D29" s="36">
        <f t="shared" si="2"/>
        <v>0</v>
      </c>
      <c r="E29" s="36">
        <f t="shared" si="2"/>
        <v>0</v>
      </c>
      <c r="F29" s="36">
        <f t="shared" si="2"/>
        <v>0</v>
      </c>
      <c r="G29" s="36">
        <f t="shared" si="2"/>
        <v>0</v>
      </c>
      <c r="H29" s="36">
        <f t="shared" si="2"/>
        <v>0</v>
      </c>
      <c r="I29" s="36">
        <f t="shared" si="2"/>
        <v>0</v>
      </c>
      <c r="J29" s="36">
        <f t="shared" ref="J29:J45" si="3">H29</f>
        <v>0</v>
      </c>
    </row>
    <row r="30" spans="1:17" x14ac:dyDescent="0.25">
      <c r="A30" s="1" t="s">
        <v>8</v>
      </c>
      <c r="B30" s="36">
        <f>'Reimbursement Rates &lt;-INPUT'!H10</f>
        <v>0</v>
      </c>
      <c r="C30" s="36">
        <f t="shared" si="2"/>
        <v>0</v>
      </c>
      <c r="D30" s="36">
        <f t="shared" si="2"/>
        <v>0</v>
      </c>
      <c r="E30" s="36">
        <f t="shared" si="2"/>
        <v>0</v>
      </c>
      <c r="F30" s="36">
        <f t="shared" si="2"/>
        <v>0</v>
      </c>
      <c r="G30" s="36">
        <f t="shared" si="2"/>
        <v>0</v>
      </c>
      <c r="H30" s="36">
        <f t="shared" si="2"/>
        <v>0</v>
      </c>
      <c r="I30" s="36">
        <f t="shared" si="2"/>
        <v>0</v>
      </c>
      <c r="J30" s="36">
        <f t="shared" si="3"/>
        <v>0</v>
      </c>
      <c r="Q30" s="1"/>
    </row>
    <row r="31" spans="1:17" x14ac:dyDescent="0.25">
      <c r="A31" s="1" t="s">
        <v>7</v>
      </c>
      <c r="B31" s="36">
        <f>'Reimbursement Rates &lt;-INPUT'!H11</f>
        <v>0</v>
      </c>
      <c r="C31" s="36">
        <f t="shared" si="2"/>
        <v>0</v>
      </c>
      <c r="D31" s="36">
        <f t="shared" si="2"/>
        <v>0</v>
      </c>
      <c r="E31" s="36">
        <f t="shared" si="2"/>
        <v>0</v>
      </c>
      <c r="F31" s="36">
        <f t="shared" si="2"/>
        <v>0</v>
      </c>
      <c r="G31" s="36">
        <f t="shared" si="2"/>
        <v>0</v>
      </c>
      <c r="H31" s="36">
        <f t="shared" si="2"/>
        <v>0</v>
      </c>
      <c r="I31" s="36">
        <f t="shared" si="2"/>
        <v>0</v>
      </c>
      <c r="J31" s="36">
        <f t="shared" si="3"/>
        <v>0</v>
      </c>
    </row>
    <row r="32" spans="1:17" x14ac:dyDescent="0.25">
      <c r="A32" s="1" t="s">
        <v>42</v>
      </c>
      <c r="B32" s="36">
        <f>'Reimbursement Rates &lt;-INPUT'!H12</f>
        <v>0</v>
      </c>
      <c r="C32" s="36">
        <f t="shared" si="2"/>
        <v>0</v>
      </c>
      <c r="D32" s="36">
        <f t="shared" si="2"/>
        <v>0</v>
      </c>
      <c r="E32" s="36">
        <f t="shared" si="2"/>
        <v>0</v>
      </c>
      <c r="F32" s="36">
        <f t="shared" si="2"/>
        <v>0</v>
      </c>
      <c r="G32" s="36">
        <f t="shared" si="2"/>
        <v>0</v>
      </c>
      <c r="H32" s="36">
        <f t="shared" si="2"/>
        <v>0</v>
      </c>
      <c r="I32" s="36">
        <f t="shared" si="2"/>
        <v>0</v>
      </c>
      <c r="J32" s="36">
        <f t="shared" si="3"/>
        <v>0</v>
      </c>
    </row>
    <row r="33" spans="1:17" x14ac:dyDescent="0.25">
      <c r="A33" s="1" t="s">
        <v>6</v>
      </c>
      <c r="B33" s="36">
        <f>'Reimbursement Rates &lt;-INPUT'!H13</f>
        <v>0</v>
      </c>
      <c r="C33" s="36">
        <f t="shared" si="2"/>
        <v>0</v>
      </c>
      <c r="D33" s="36">
        <f t="shared" si="2"/>
        <v>0</v>
      </c>
      <c r="E33" s="36">
        <f t="shared" si="2"/>
        <v>0</v>
      </c>
      <c r="F33" s="36">
        <f t="shared" si="2"/>
        <v>0</v>
      </c>
      <c r="G33" s="36">
        <f t="shared" si="2"/>
        <v>0</v>
      </c>
      <c r="H33" s="36">
        <f t="shared" si="2"/>
        <v>0</v>
      </c>
      <c r="I33" s="36">
        <f t="shared" si="2"/>
        <v>0</v>
      </c>
      <c r="J33" s="36">
        <f t="shared" si="3"/>
        <v>0</v>
      </c>
      <c r="Q33" s="1"/>
    </row>
    <row r="34" spans="1:17" x14ac:dyDescent="0.25">
      <c r="A34" s="1" t="s">
        <v>50</v>
      </c>
      <c r="B34" s="36">
        <f>'Reimbursement Rates &lt;-INPUT'!H15</f>
        <v>0</v>
      </c>
      <c r="C34" s="36">
        <f t="shared" si="2"/>
        <v>0</v>
      </c>
      <c r="D34" s="36">
        <f t="shared" si="2"/>
        <v>0</v>
      </c>
      <c r="E34" s="36">
        <f t="shared" si="2"/>
        <v>0</v>
      </c>
      <c r="F34" s="36">
        <f t="shared" si="2"/>
        <v>0</v>
      </c>
      <c r="G34" s="36">
        <f t="shared" si="2"/>
        <v>0</v>
      </c>
      <c r="H34" s="36">
        <f t="shared" si="2"/>
        <v>0</v>
      </c>
      <c r="I34" s="36">
        <f t="shared" si="2"/>
        <v>0</v>
      </c>
      <c r="J34" s="36">
        <f t="shared" si="3"/>
        <v>0</v>
      </c>
      <c r="M34" s="7"/>
    </row>
    <row r="35" spans="1:17" x14ac:dyDescent="0.25">
      <c r="A35" s="1" t="s">
        <v>89</v>
      </c>
      <c r="B35" s="36">
        <f>'Reimbursement Rates &lt;-INPUT'!H16</f>
        <v>0</v>
      </c>
      <c r="C35" s="36">
        <f t="shared" si="2"/>
        <v>0</v>
      </c>
      <c r="D35" s="36">
        <f t="shared" si="2"/>
        <v>0</v>
      </c>
      <c r="E35" s="36">
        <f t="shared" si="2"/>
        <v>0</v>
      </c>
      <c r="F35" s="36">
        <f t="shared" si="2"/>
        <v>0</v>
      </c>
      <c r="G35" s="36">
        <f t="shared" si="2"/>
        <v>0</v>
      </c>
      <c r="H35" s="36">
        <f t="shared" si="2"/>
        <v>0</v>
      </c>
      <c r="I35" s="36">
        <f t="shared" si="2"/>
        <v>0</v>
      </c>
      <c r="J35" s="36">
        <f t="shared" si="3"/>
        <v>0</v>
      </c>
      <c r="M35" s="7"/>
    </row>
    <row r="36" spans="1:17" x14ac:dyDescent="0.25">
      <c r="A36" s="1" t="s">
        <v>5</v>
      </c>
      <c r="B36" s="36">
        <f>'Reimbursement Rates &lt;-INPUT'!H17</f>
        <v>0</v>
      </c>
      <c r="C36" s="36">
        <f t="shared" si="2"/>
        <v>0</v>
      </c>
      <c r="D36" s="36">
        <f t="shared" si="2"/>
        <v>0</v>
      </c>
      <c r="E36" s="36">
        <f t="shared" si="2"/>
        <v>0</v>
      </c>
      <c r="F36" s="36">
        <f t="shared" si="2"/>
        <v>0</v>
      </c>
      <c r="G36" s="36">
        <f t="shared" si="2"/>
        <v>0</v>
      </c>
      <c r="H36" s="36">
        <f t="shared" si="2"/>
        <v>0</v>
      </c>
      <c r="I36" s="36">
        <f t="shared" si="2"/>
        <v>0</v>
      </c>
      <c r="J36" s="36">
        <f t="shared" si="3"/>
        <v>0</v>
      </c>
      <c r="M36" s="7"/>
      <c r="Q36" s="1"/>
    </row>
    <row r="37" spans="1:17" x14ac:dyDescent="0.25">
      <c r="A37" s="1" t="s">
        <v>84</v>
      </c>
      <c r="B37" s="36">
        <f>'Reimbursement Rates &lt;-INPUT'!H18</f>
        <v>0</v>
      </c>
      <c r="C37" s="36">
        <f t="shared" si="2"/>
        <v>0</v>
      </c>
      <c r="D37" s="36">
        <f t="shared" si="2"/>
        <v>0</v>
      </c>
      <c r="E37" s="36">
        <f t="shared" si="2"/>
        <v>0</v>
      </c>
      <c r="F37" s="36">
        <f t="shared" si="2"/>
        <v>0</v>
      </c>
      <c r="G37" s="36">
        <f t="shared" si="2"/>
        <v>0</v>
      </c>
      <c r="H37" s="36">
        <f t="shared" si="2"/>
        <v>0</v>
      </c>
      <c r="I37" s="36">
        <f t="shared" si="2"/>
        <v>0</v>
      </c>
      <c r="J37" s="36">
        <f t="shared" si="3"/>
        <v>0</v>
      </c>
      <c r="M37" s="7"/>
      <c r="Q37" s="1"/>
    </row>
    <row r="38" spans="1:17" x14ac:dyDescent="0.25">
      <c r="A38" s="1" t="s">
        <v>4</v>
      </c>
      <c r="B38" s="36">
        <f>'Reimbursement Rates &lt;-INPUT'!H19</f>
        <v>0</v>
      </c>
      <c r="C38" s="36">
        <f t="shared" si="2"/>
        <v>0</v>
      </c>
      <c r="D38" s="36">
        <f t="shared" si="2"/>
        <v>0</v>
      </c>
      <c r="E38" s="36">
        <f t="shared" si="2"/>
        <v>0</v>
      </c>
      <c r="F38" s="36">
        <f t="shared" si="2"/>
        <v>0</v>
      </c>
      <c r="G38" s="36">
        <f t="shared" si="2"/>
        <v>0</v>
      </c>
      <c r="H38" s="36">
        <f t="shared" si="2"/>
        <v>0</v>
      </c>
      <c r="I38" s="36">
        <f t="shared" si="2"/>
        <v>0</v>
      </c>
      <c r="J38" s="36">
        <f t="shared" si="3"/>
        <v>0</v>
      </c>
      <c r="M38" s="7"/>
    </row>
    <row r="39" spans="1:17" x14ac:dyDescent="0.25">
      <c r="A39" s="1" t="s">
        <v>51</v>
      </c>
      <c r="B39" s="36">
        <f>'Reimbursement Rates &lt;-INPUT'!H20</f>
        <v>0</v>
      </c>
      <c r="C39" s="36">
        <f t="shared" si="2"/>
        <v>0</v>
      </c>
      <c r="D39" s="36">
        <f t="shared" si="2"/>
        <v>0</v>
      </c>
      <c r="E39" s="36">
        <f t="shared" si="2"/>
        <v>0</v>
      </c>
      <c r="F39" s="36">
        <f t="shared" si="2"/>
        <v>0</v>
      </c>
      <c r="G39" s="36">
        <f t="shared" si="2"/>
        <v>0</v>
      </c>
      <c r="H39" s="36">
        <f t="shared" si="2"/>
        <v>0</v>
      </c>
      <c r="I39" s="36">
        <f t="shared" si="2"/>
        <v>0</v>
      </c>
      <c r="J39" s="36">
        <f t="shared" si="3"/>
        <v>0</v>
      </c>
      <c r="M39" s="7"/>
      <c r="Q39" s="1"/>
    </row>
    <row r="40" spans="1:17" x14ac:dyDescent="0.25">
      <c r="A40" s="1" t="s">
        <v>85</v>
      </c>
      <c r="B40" s="36">
        <f>'Reimbursement Rates &lt;-INPUT'!H22</f>
        <v>0</v>
      </c>
      <c r="C40" s="36">
        <f t="shared" si="2"/>
        <v>0</v>
      </c>
      <c r="D40" s="36">
        <f t="shared" si="2"/>
        <v>0</v>
      </c>
      <c r="E40" s="36">
        <f t="shared" si="2"/>
        <v>0</v>
      </c>
      <c r="F40" s="36">
        <f t="shared" si="2"/>
        <v>0</v>
      </c>
      <c r="G40" s="36">
        <f t="shared" si="2"/>
        <v>0</v>
      </c>
      <c r="H40" s="36">
        <f t="shared" si="2"/>
        <v>0</v>
      </c>
      <c r="I40" s="36">
        <f t="shared" si="2"/>
        <v>0</v>
      </c>
      <c r="J40" s="36">
        <f t="shared" si="3"/>
        <v>0</v>
      </c>
      <c r="M40" s="7"/>
      <c r="Q40" s="1"/>
    </row>
    <row r="41" spans="1:17" x14ac:dyDescent="0.25">
      <c r="A41" s="1" t="s">
        <v>2</v>
      </c>
      <c r="B41" s="36">
        <f>'Reimbursement Rates &lt;-INPUT'!H23</f>
        <v>0</v>
      </c>
      <c r="C41" s="36">
        <f t="shared" si="2"/>
        <v>0</v>
      </c>
      <c r="D41" s="36">
        <f t="shared" si="2"/>
        <v>0</v>
      </c>
      <c r="E41" s="36">
        <f t="shared" si="2"/>
        <v>0</v>
      </c>
      <c r="F41" s="36">
        <f t="shared" si="2"/>
        <v>0</v>
      </c>
      <c r="G41" s="36">
        <f t="shared" si="2"/>
        <v>0</v>
      </c>
      <c r="H41" s="36">
        <f t="shared" si="2"/>
        <v>0</v>
      </c>
      <c r="I41" s="36">
        <f t="shared" si="2"/>
        <v>0</v>
      </c>
      <c r="J41" s="36">
        <f t="shared" si="3"/>
        <v>0</v>
      </c>
      <c r="M41" s="7"/>
      <c r="Q41" s="1"/>
    </row>
    <row r="42" spans="1:17" x14ac:dyDescent="0.25">
      <c r="A42" s="1" t="s">
        <v>86</v>
      </c>
      <c r="B42" s="36">
        <f>'Reimbursement Rates &lt;-INPUT'!H24</f>
        <v>0</v>
      </c>
      <c r="C42" s="36">
        <f t="shared" si="2"/>
        <v>0</v>
      </c>
      <c r="D42" s="36">
        <f t="shared" si="2"/>
        <v>0</v>
      </c>
      <c r="E42" s="36">
        <f t="shared" si="2"/>
        <v>0</v>
      </c>
      <c r="F42" s="36">
        <f t="shared" si="2"/>
        <v>0</v>
      </c>
      <c r="G42" s="36">
        <f t="shared" si="2"/>
        <v>0</v>
      </c>
      <c r="H42" s="36">
        <f t="shared" si="2"/>
        <v>0</v>
      </c>
      <c r="I42" s="36">
        <f t="shared" si="2"/>
        <v>0</v>
      </c>
      <c r="J42" s="36">
        <f t="shared" si="3"/>
        <v>0</v>
      </c>
      <c r="M42" s="7"/>
    </row>
    <row r="43" spans="1:17" x14ac:dyDescent="0.25">
      <c r="A43" s="1" t="s">
        <v>29</v>
      </c>
      <c r="B43" s="36">
        <f>'Reimbursement Rates &lt;-INPUT'!H25</f>
        <v>0</v>
      </c>
      <c r="C43" s="36">
        <f t="shared" si="2"/>
        <v>0</v>
      </c>
      <c r="D43" s="36">
        <f t="shared" si="2"/>
        <v>0</v>
      </c>
      <c r="E43" s="36">
        <f t="shared" si="2"/>
        <v>0</v>
      </c>
      <c r="F43" s="36">
        <f t="shared" si="2"/>
        <v>0</v>
      </c>
      <c r="G43" s="36">
        <f t="shared" si="2"/>
        <v>0</v>
      </c>
      <c r="H43" s="36">
        <f t="shared" si="2"/>
        <v>0</v>
      </c>
      <c r="I43" s="36">
        <f t="shared" si="2"/>
        <v>0</v>
      </c>
      <c r="J43" s="36">
        <f t="shared" si="3"/>
        <v>0</v>
      </c>
      <c r="M43" s="7"/>
    </row>
    <row r="44" spans="1:17" x14ac:dyDescent="0.25">
      <c r="A44" s="1" t="s">
        <v>52</v>
      </c>
      <c r="B44" s="36">
        <f>'Reimbursement Rates &lt;-INPUT'!H26</f>
        <v>0</v>
      </c>
      <c r="C44" s="36">
        <f t="shared" si="2"/>
        <v>0</v>
      </c>
      <c r="D44" s="36">
        <f t="shared" si="2"/>
        <v>0</v>
      </c>
      <c r="E44" s="36">
        <f t="shared" si="2"/>
        <v>0</v>
      </c>
      <c r="F44" s="36">
        <f t="shared" si="2"/>
        <v>0</v>
      </c>
      <c r="G44" s="36">
        <f t="shared" si="2"/>
        <v>0</v>
      </c>
      <c r="H44" s="36">
        <f t="shared" si="2"/>
        <v>0</v>
      </c>
      <c r="I44" s="36">
        <f t="shared" si="2"/>
        <v>0</v>
      </c>
      <c r="J44" s="36">
        <f t="shared" si="3"/>
        <v>0</v>
      </c>
      <c r="M44" s="7"/>
      <c r="Q44" s="1"/>
    </row>
    <row r="45" spans="1:17" x14ac:dyDescent="0.25">
      <c r="A45" s="1" t="s">
        <v>1</v>
      </c>
      <c r="B45" s="36">
        <f>'Reimbursement Rates &lt;-INPUT'!H28</f>
        <v>0</v>
      </c>
      <c r="C45" s="36">
        <f t="shared" si="2"/>
        <v>0</v>
      </c>
      <c r="D45" s="36">
        <f t="shared" si="2"/>
        <v>0</v>
      </c>
      <c r="E45" s="36">
        <f t="shared" si="2"/>
        <v>0</v>
      </c>
      <c r="F45" s="36">
        <f t="shared" si="2"/>
        <v>0</v>
      </c>
      <c r="G45" s="36">
        <f t="shared" si="2"/>
        <v>0</v>
      </c>
      <c r="H45" s="36">
        <f t="shared" si="2"/>
        <v>0</v>
      </c>
      <c r="I45" s="36">
        <f t="shared" si="2"/>
        <v>0</v>
      </c>
      <c r="J45" s="36">
        <f t="shared" si="3"/>
        <v>0</v>
      </c>
      <c r="M45" s="7"/>
      <c r="Q45" s="1"/>
    </row>
    <row r="46" spans="1:17" ht="15.75" thickBot="1" x14ac:dyDescent="0.3">
      <c r="A46" s="1"/>
      <c r="B46" s="9"/>
      <c r="C46" s="9"/>
      <c r="D46" s="9"/>
      <c r="E46" s="9"/>
      <c r="F46" s="9"/>
      <c r="G46" s="9"/>
      <c r="H46" s="9"/>
      <c r="I46" s="9"/>
      <c r="J46" s="9"/>
      <c r="M46" s="7"/>
      <c r="Q46" s="1"/>
    </row>
    <row r="47" spans="1:17" ht="15.75" thickBot="1" x14ac:dyDescent="0.3">
      <c r="A47" s="170" t="s">
        <v>33</v>
      </c>
      <c r="B47" s="171"/>
      <c r="C47" s="171"/>
      <c r="D47" s="171"/>
      <c r="E47" s="171"/>
      <c r="F47" s="171"/>
      <c r="G47" s="171"/>
      <c r="H47" s="171"/>
      <c r="I47" s="171"/>
      <c r="J47" s="172"/>
      <c r="M47" s="7"/>
      <c r="Q47" s="1"/>
    </row>
    <row r="48" spans="1:17" x14ac:dyDescent="0.25">
      <c r="A48" s="4" t="s">
        <v>16</v>
      </c>
      <c r="B48" s="5" t="s">
        <v>15</v>
      </c>
      <c r="C48" s="5" t="s">
        <v>14</v>
      </c>
      <c r="D48" s="5" t="s">
        <v>13</v>
      </c>
      <c r="E48" s="5" t="s">
        <v>12</v>
      </c>
      <c r="F48" s="5" t="s">
        <v>93</v>
      </c>
      <c r="G48" s="5" t="s">
        <v>94</v>
      </c>
      <c r="H48" s="5" t="s">
        <v>38</v>
      </c>
      <c r="I48" s="5" t="s">
        <v>9</v>
      </c>
      <c r="J48" s="5" t="s">
        <v>0</v>
      </c>
      <c r="M48" s="7"/>
    </row>
    <row r="49" spans="1:17" x14ac:dyDescent="0.25">
      <c r="A49" s="1" t="s">
        <v>49</v>
      </c>
      <c r="B49" s="37">
        <f t="shared" ref="B49:B50" si="4">IF(B8&gt;0,B8*(1-B29),0)</f>
        <v>0</v>
      </c>
      <c r="C49" s="37">
        <f t="shared" ref="C49:I49" si="5">IF(C8&gt;0,C8*(1-C29),0)</f>
        <v>0</v>
      </c>
      <c r="D49" s="37">
        <f t="shared" si="5"/>
        <v>0</v>
      </c>
      <c r="E49" s="37">
        <f t="shared" si="5"/>
        <v>0</v>
      </c>
      <c r="F49" s="37">
        <f t="shared" si="5"/>
        <v>0</v>
      </c>
      <c r="G49" s="37">
        <f t="shared" si="5"/>
        <v>0</v>
      </c>
      <c r="H49" s="37">
        <f t="shared" si="5"/>
        <v>0</v>
      </c>
      <c r="I49" s="37">
        <f t="shared" si="5"/>
        <v>0</v>
      </c>
      <c r="J49" s="37">
        <f>SUM(B49:H49)</f>
        <v>0</v>
      </c>
      <c r="M49" s="7"/>
      <c r="Q49" s="1"/>
    </row>
    <row r="50" spans="1:17" x14ac:dyDescent="0.25">
      <c r="A50" s="1" t="s">
        <v>8</v>
      </c>
      <c r="B50" s="37">
        <f t="shared" si="4"/>
        <v>0</v>
      </c>
      <c r="C50" s="37">
        <f t="shared" ref="C50:I50" si="6">IF(C9&gt;0,C9*(1-C30),0)</f>
        <v>0</v>
      </c>
      <c r="D50" s="37">
        <f t="shared" si="6"/>
        <v>0</v>
      </c>
      <c r="E50" s="37">
        <f t="shared" si="6"/>
        <v>0</v>
      </c>
      <c r="F50" s="37">
        <f t="shared" si="6"/>
        <v>0</v>
      </c>
      <c r="G50" s="37">
        <f t="shared" si="6"/>
        <v>0</v>
      </c>
      <c r="H50" s="37">
        <f t="shared" si="6"/>
        <v>0</v>
      </c>
      <c r="I50" s="37">
        <f t="shared" si="6"/>
        <v>0</v>
      </c>
      <c r="J50" s="37">
        <f t="shared" ref="J50:J65" si="7">SUM(B50:H50)</f>
        <v>0</v>
      </c>
      <c r="M50" s="7"/>
      <c r="Q50" s="7"/>
    </row>
    <row r="51" spans="1:17" x14ac:dyDescent="0.25">
      <c r="A51" s="1" t="s">
        <v>7</v>
      </c>
      <c r="B51" s="37">
        <f>IF(B10&gt;0,B10*(1-B31),0)</f>
        <v>0</v>
      </c>
      <c r="C51" s="37">
        <f t="shared" ref="C51:I51" si="8">IF(C10&gt;0,C10*(1-C31),0)</f>
        <v>0</v>
      </c>
      <c r="D51" s="37">
        <f t="shared" si="8"/>
        <v>0</v>
      </c>
      <c r="E51" s="37">
        <f t="shared" si="8"/>
        <v>0</v>
      </c>
      <c r="F51" s="37">
        <f t="shared" si="8"/>
        <v>0</v>
      </c>
      <c r="G51" s="37">
        <f t="shared" si="8"/>
        <v>0</v>
      </c>
      <c r="H51" s="37">
        <f t="shared" si="8"/>
        <v>0</v>
      </c>
      <c r="I51" s="37">
        <f t="shared" si="8"/>
        <v>0</v>
      </c>
      <c r="J51" s="37">
        <f t="shared" si="7"/>
        <v>0</v>
      </c>
      <c r="M51" s="7"/>
    </row>
    <row r="52" spans="1:17" x14ac:dyDescent="0.25">
      <c r="A52" s="1" t="s">
        <v>42</v>
      </c>
      <c r="B52" s="37">
        <f t="shared" ref="B52:B65" si="9">IF(B11&gt;0,B11*(1-B32),0)</f>
        <v>0</v>
      </c>
      <c r="C52" s="37">
        <f t="shared" ref="C52:I52" si="10">IF(C11&gt;0,C11*(1-C32),0)</f>
        <v>0</v>
      </c>
      <c r="D52" s="37">
        <f t="shared" si="10"/>
        <v>0</v>
      </c>
      <c r="E52" s="37">
        <f t="shared" si="10"/>
        <v>0</v>
      </c>
      <c r="F52" s="37">
        <f t="shared" si="10"/>
        <v>0</v>
      </c>
      <c r="G52" s="37">
        <f t="shared" si="10"/>
        <v>0</v>
      </c>
      <c r="H52" s="37">
        <f t="shared" si="10"/>
        <v>0</v>
      </c>
      <c r="I52" s="37">
        <f t="shared" si="10"/>
        <v>0</v>
      </c>
      <c r="J52" s="37">
        <f t="shared" si="7"/>
        <v>0</v>
      </c>
      <c r="M52" s="7"/>
    </row>
    <row r="53" spans="1:17" x14ac:dyDescent="0.25">
      <c r="A53" s="1" t="s">
        <v>6</v>
      </c>
      <c r="B53" s="37">
        <f t="shared" si="9"/>
        <v>0</v>
      </c>
      <c r="C53" s="37">
        <f t="shared" ref="C53:I53" si="11">IF(C12&gt;0,C12*(1-C33),0)</f>
        <v>0</v>
      </c>
      <c r="D53" s="37">
        <f t="shared" si="11"/>
        <v>0</v>
      </c>
      <c r="E53" s="37">
        <f t="shared" si="11"/>
        <v>0</v>
      </c>
      <c r="F53" s="37">
        <f t="shared" si="11"/>
        <v>0</v>
      </c>
      <c r="G53" s="37">
        <f t="shared" si="11"/>
        <v>0</v>
      </c>
      <c r="H53" s="37">
        <f t="shared" si="11"/>
        <v>0</v>
      </c>
      <c r="I53" s="37">
        <f t="shared" si="11"/>
        <v>0</v>
      </c>
      <c r="J53" s="37">
        <f t="shared" si="7"/>
        <v>0</v>
      </c>
      <c r="M53" s="7"/>
    </row>
    <row r="54" spans="1:17" x14ac:dyDescent="0.25">
      <c r="A54" s="1" t="s">
        <v>50</v>
      </c>
      <c r="B54" s="37">
        <f t="shared" si="9"/>
        <v>0</v>
      </c>
      <c r="C54" s="37">
        <f t="shared" ref="C54:I54" si="12">IF(C13&gt;0,C13*(1-C34),0)</f>
        <v>0</v>
      </c>
      <c r="D54" s="37">
        <f t="shared" si="12"/>
        <v>0</v>
      </c>
      <c r="E54" s="37">
        <f t="shared" si="12"/>
        <v>0</v>
      </c>
      <c r="F54" s="37">
        <f t="shared" si="12"/>
        <v>0</v>
      </c>
      <c r="G54" s="37">
        <f t="shared" si="12"/>
        <v>0</v>
      </c>
      <c r="H54" s="37">
        <f t="shared" si="12"/>
        <v>0</v>
      </c>
      <c r="I54" s="37">
        <f t="shared" si="12"/>
        <v>0</v>
      </c>
      <c r="J54" s="37">
        <f t="shared" si="7"/>
        <v>0</v>
      </c>
      <c r="M54" s="7"/>
    </row>
    <row r="55" spans="1:17" x14ac:dyDescent="0.25">
      <c r="A55" s="1" t="s">
        <v>89</v>
      </c>
      <c r="B55" s="37">
        <f t="shared" si="9"/>
        <v>0</v>
      </c>
      <c r="C55" s="37">
        <f t="shared" ref="C55:I55" si="13">IF(C14&gt;0,C14*(1-C35),0)</f>
        <v>0</v>
      </c>
      <c r="D55" s="37">
        <f t="shared" si="13"/>
        <v>0</v>
      </c>
      <c r="E55" s="37">
        <f t="shared" si="13"/>
        <v>0</v>
      </c>
      <c r="F55" s="37">
        <f t="shared" si="13"/>
        <v>0</v>
      </c>
      <c r="G55" s="37">
        <f t="shared" si="13"/>
        <v>0</v>
      </c>
      <c r="H55" s="37">
        <f t="shared" si="13"/>
        <v>0</v>
      </c>
      <c r="I55" s="37">
        <f t="shared" si="13"/>
        <v>0</v>
      </c>
      <c r="J55" s="37">
        <f t="shared" si="7"/>
        <v>0</v>
      </c>
      <c r="M55" s="7"/>
    </row>
    <row r="56" spans="1:17" x14ac:dyDescent="0.25">
      <c r="A56" s="1" t="s">
        <v>5</v>
      </c>
      <c r="B56" s="37">
        <f t="shared" si="9"/>
        <v>0</v>
      </c>
      <c r="C56" s="37">
        <f t="shared" ref="C56:I56" si="14">IF(C15&gt;0,C15*(1-C36),0)</f>
        <v>0</v>
      </c>
      <c r="D56" s="37">
        <f t="shared" si="14"/>
        <v>0</v>
      </c>
      <c r="E56" s="37">
        <f t="shared" si="14"/>
        <v>0</v>
      </c>
      <c r="F56" s="37">
        <f t="shared" si="14"/>
        <v>0</v>
      </c>
      <c r="G56" s="37">
        <f t="shared" si="14"/>
        <v>0</v>
      </c>
      <c r="H56" s="37">
        <f t="shared" si="14"/>
        <v>0</v>
      </c>
      <c r="I56" s="37">
        <f t="shared" si="14"/>
        <v>0</v>
      </c>
      <c r="J56" s="37">
        <f t="shared" si="7"/>
        <v>0</v>
      </c>
      <c r="M56" s="7"/>
    </row>
    <row r="57" spans="1:17" x14ac:dyDescent="0.25">
      <c r="A57" s="1" t="s">
        <v>84</v>
      </c>
      <c r="B57" s="37">
        <f t="shared" si="9"/>
        <v>0</v>
      </c>
      <c r="C57" s="37">
        <f t="shared" ref="C57:I57" si="15">IF(C16&gt;0,C16*(1-C37),0)</f>
        <v>0</v>
      </c>
      <c r="D57" s="37">
        <f t="shared" si="15"/>
        <v>0</v>
      </c>
      <c r="E57" s="37">
        <f t="shared" si="15"/>
        <v>0</v>
      </c>
      <c r="F57" s="37">
        <f t="shared" si="15"/>
        <v>0</v>
      </c>
      <c r="G57" s="37">
        <f t="shared" si="15"/>
        <v>0</v>
      </c>
      <c r="H57" s="37">
        <f t="shared" si="15"/>
        <v>0</v>
      </c>
      <c r="I57" s="37">
        <f t="shared" si="15"/>
        <v>0</v>
      </c>
      <c r="J57" s="37">
        <f t="shared" si="7"/>
        <v>0</v>
      </c>
      <c r="M57" s="7"/>
    </row>
    <row r="58" spans="1:17" x14ac:dyDescent="0.25">
      <c r="A58" s="1" t="s">
        <v>4</v>
      </c>
      <c r="B58" s="37">
        <f t="shared" si="9"/>
        <v>0</v>
      </c>
      <c r="C58" s="37">
        <f t="shared" ref="C58:I58" si="16">IF(C17&gt;0,C17*(1-C38),0)</f>
        <v>0</v>
      </c>
      <c r="D58" s="37">
        <f t="shared" si="16"/>
        <v>0</v>
      </c>
      <c r="E58" s="37">
        <f t="shared" si="16"/>
        <v>0</v>
      </c>
      <c r="F58" s="37">
        <f t="shared" si="16"/>
        <v>0</v>
      </c>
      <c r="G58" s="37">
        <f t="shared" si="16"/>
        <v>0</v>
      </c>
      <c r="H58" s="37">
        <f t="shared" si="16"/>
        <v>0</v>
      </c>
      <c r="I58" s="37">
        <f t="shared" si="16"/>
        <v>0</v>
      </c>
      <c r="J58" s="37">
        <f t="shared" si="7"/>
        <v>0</v>
      </c>
      <c r="M58" s="7"/>
    </row>
    <row r="59" spans="1:17" x14ac:dyDescent="0.25">
      <c r="A59" s="1" t="s">
        <v>51</v>
      </c>
      <c r="B59" s="37">
        <f t="shared" si="9"/>
        <v>0</v>
      </c>
      <c r="C59" s="37">
        <f t="shared" ref="C59:I59" si="17">IF(C18&gt;0,C18*(1-C39),0)</f>
        <v>0</v>
      </c>
      <c r="D59" s="37">
        <f t="shared" si="17"/>
        <v>0</v>
      </c>
      <c r="E59" s="37">
        <f t="shared" si="17"/>
        <v>0</v>
      </c>
      <c r="F59" s="37">
        <f t="shared" si="17"/>
        <v>0</v>
      </c>
      <c r="G59" s="37">
        <f t="shared" si="17"/>
        <v>0</v>
      </c>
      <c r="H59" s="37">
        <f t="shared" si="17"/>
        <v>0</v>
      </c>
      <c r="I59" s="37">
        <f t="shared" si="17"/>
        <v>0</v>
      </c>
      <c r="J59" s="37">
        <f t="shared" si="7"/>
        <v>0</v>
      </c>
      <c r="M59" s="7"/>
    </row>
    <row r="60" spans="1:17" x14ac:dyDescent="0.25">
      <c r="A60" s="1" t="s">
        <v>85</v>
      </c>
      <c r="B60" s="37">
        <f t="shared" si="9"/>
        <v>0</v>
      </c>
      <c r="C60" s="37">
        <f t="shared" ref="C60:I60" si="18">IF(C19&gt;0,C19*(1-C40),0)</f>
        <v>0</v>
      </c>
      <c r="D60" s="37">
        <f t="shared" si="18"/>
        <v>0</v>
      </c>
      <c r="E60" s="37">
        <f t="shared" si="18"/>
        <v>0</v>
      </c>
      <c r="F60" s="37">
        <f t="shared" si="18"/>
        <v>0</v>
      </c>
      <c r="G60" s="37">
        <f t="shared" si="18"/>
        <v>0</v>
      </c>
      <c r="H60" s="37">
        <f t="shared" si="18"/>
        <v>0</v>
      </c>
      <c r="I60" s="37">
        <f t="shared" si="18"/>
        <v>0</v>
      </c>
      <c r="J60" s="37">
        <f t="shared" si="7"/>
        <v>0</v>
      </c>
      <c r="M60" s="7"/>
    </row>
    <row r="61" spans="1:17" x14ac:dyDescent="0.25">
      <c r="A61" s="1" t="s">
        <v>2</v>
      </c>
      <c r="B61" s="37">
        <f t="shared" si="9"/>
        <v>0</v>
      </c>
      <c r="C61" s="37">
        <f t="shared" ref="C61:I61" si="19">IF(C20&gt;0,C20*(1-C41),0)</f>
        <v>0</v>
      </c>
      <c r="D61" s="37">
        <f t="shared" si="19"/>
        <v>0</v>
      </c>
      <c r="E61" s="37">
        <f t="shared" si="19"/>
        <v>0</v>
      </c>
      <c r="F61" s="37">
        <f t="shared" si="19"/>
        <v>0</v>
      </c>
      <c r="G61" s="37">
        <f t="shared" si="19"/>
        <v>0</v>
      </c>
      <c r="H61" s="37">
        <f t="shared" si="19"/>
        <v>0</v>
      </c>
      <c r="I61" s="37">
        <f t="shared" si="19"/>
        <v>0</v>
      </c>
      <c r="J61" s="37">
        <f t="shared" si="7"/>
        <v>0</v>
      </c>
      <c r="M61" s="7"/>
    </row>
    <row r="62" spans="1:17" x14ac:dyDescent="0.25">
      <c r="A62" s="1" t="s">
        <v>86</v>
      </c>
      <c r="B62" s="37">
        <f t="shared" si="9"/>
        <v>0</v>
      </c>
      <c r="C62" s="37">
        <f t="shared" ref="C62:I62" si="20">IF(C21&gt;0,C21*(1-C42),0)</f>
        <v>0</v>
      </c>
      <c r="D62" s="37">
        <f t="shared" si="20"/>
        <v>0</v>
      </c>
      <c r="E62" s="37">
        <f t="shared" si="20"/>
        <v>0</v>
      </c>
      <c r="F62" s="37">
        <f t="shared" si="20"/>
        <v>0</v>
      </c>
      <c r="G62" s="37">
        <f t="shared" si="20"/>
        <v>0</v>
      </c>
      <c r="H62" s="37">
        <f t="shared" si="20"/>
        <v>0</v>
      </c>
      <c r="I62" s="37">
        <f t="shared" si="20"/>
        <v>0</v>
      </c>
      <c r="J62" s="37">
        <f t="shared" si="7"/>
        <v>0</v>
      </c>
      <c r="M62" s="183" t="s">
        <v>62</v>
      </c>
    </row>
    <row r="63" spans="1:17" x14ac:dyDescent="0.25">
      <c r="A63" s="1" t="s">
        <v>29</v>
      </c>
      <c r="B63" s="37">
        <f t="shared" si="9"/>
        <v>0</v>
      </c>
      <c r="C63" s="37">
        <f t="shared" ref="C63:I63" si="21">IF(C22&gt;0,C22*(1-C43),0)</f>
        <v>0</v>
      </c>
      <c r="D63" s="37">
        <f t="shared" si="21"/>
        <v>0</v>
      </c>
      <c r="E63" s="37">
        <f t="shared" si="21"/>
        <v>0</v>
      </c>
      <c r="F63" s="37">
        <f t="shared" si="21"/>
        <v>0</v>
      </c>
      <c r="G63" s="37">
        <f t="shared" si="21"/>
        <v>0</v>
      </c>
      <c r="H63" s="37">
        <f t="shared" si="21"/>
        <v>0</v>
      </c>
      <c r="I63" s="37">
        <f t="shared" si="21"/>
        <v>0</v>
      </c>
      <c r="J63" s="37">
        <f t="shared" si="7"/>
        <v>0</v>
      </c>
      <c r="M63" s="183"/>
    </row>
    <row r="64" spans="1:17" x14ac:dyDescent="0.25">
      <c r="A64" s="1" t="s">
        <v>52</v>
      </c>
      <c r="B64" s="37">
        <f t="shared" si="9"/>
        <v>0</v>
      </c>
      <c r="C64" s="37">
        <f t="shared" ref="C64:I64" si="22">IF(C23&gt;0,C23*(1-C44),0)</f>
        <v>0</v>
      </c>
      <c r="D64" s="37">
        <f t="shared" si="22"/>
        <v>0</v>
      </c>
      <c r="E64" s="37">
        <f t="shared" si="22"/>
        <v>0</v>
      </c>
      <c r="F64" s="37">
        <f t="shared" si="22"/>
        <v>0</v>
      </c>
      <c r="G64" s="37">
        <f t="shared" si="22"/>
        <v>0</v>
      </c>
      <c r="H64" s="37">
        <f t="shared" si="22"/>
        <v>0</v>
      </c>
      <c r="I64" s="37">
        <f t="shared" si="22"/>
        <v>0</v>
      </c>
      <c r="J64" s="37">
        <f t="shared" si="7"/>
        <v>0</v>
      </c>
      <c r="L64" s="35" t="s">
        <v>41</v>
      </c>
      <c r="M64" s="183" t="s">
        <v>63</v>
      </c>
    </row>
    <row r="65" spans="1:13" x14ac:dyDescent="0.25">
      <c r="A65" s="1" t="s">
        <v>1</v>
      </c>
      <c r="B65" s="38">
        <f t="shared" si="9"/>
        <v>0</v>
      </c>
      <c r="C65" s="38">
        <f t="shared" ref="C65:I65" si="23">IF(C24&gt;0,C24*(1-C45),0)</f>
        <v>0</v>
      </c>
      <c r="D65" s="38">
        <f t="shared" si="23"/>
        <v>0</v>
      </c>
      <c r="E65" s="38">
        <f t="shared" si="23"/>
        <v>0</v>
      </c>
      <c r="F65" s="38">
        <f t="shared" si="23"/>
        <v>0</v>
      </c>
      <c r="G65" s="38">
        <f t="shared" si="23"/>
        <v>0</v>
      </c>
      <c r="H65" s="38">
        <f t="shared" si="23"/>
        <v>0</v>
      </c>
      <c r="I65" s="38">
        <f t="shared" si="23"/>
        <v>0</v>
      </c>
      <c r="J65" s="38">
        <f t="shared" si="7"/>
        <v>0</v>
      </c>
      <c r="L65" s="42" t="s">
        <v>61</v>
      </c>
      <c r="M65" s="184"/>
    </row>
    <row r="66" spans="1:13" x14ac:dyDescent="0.25">
      <c r="A66" s="1"/>
      <c r="B66" s="9">
        <f>SUM(B49:B65)</f>
        <v>0</v>
      </c>
      <c r="C66" s="9">
        <f t="shared" ref="C66:J66" si="24">SUM(C49:C65)</f>
        <v>0</v>
      </c>
      <c r="D66" s="9">
        <f t="shared" si="24"/>
        <v>0</v>
      </c>
      <c r="E66" s="9">
        <f t="shared" si="24"/>
        <v>0</v>
      </c>
      <c r="F66" s="9">
        <f t="shared" si="24"/>
        <v>0</v>
      </c>
      <c r="G66" s="9">
        <f t="shared" si="24"/>
        <v>0</v>
      </c>
      <c r="H66" s="9">
        <f t="shared" si="24"/>
        <v>0</v>
      </c>
      <c r="I66" s="9">
        <f t="shared" si="24"/>
        <v>0</v>
      </c>
      <c r="J66" s="9">
        <f t="shared" si="24"/>
        <v>0</v>
      </c>
      <c r="L66" s="108">
        <v>60000</v>
      </c>
      <c r="M66" s="7">
        <f>J66-L66</f>
        <v>-60000</v>
      </c>
    </row>
    <row r="67" spans="1:13" ht="15.75" thickBot="1" x14ac:dyDescent="0.3">
      <c r="A67" s="1"/>
      <c r="B67" s="9"/>
      <c r="C67" s="9"/>
      <c r="D67" s="9"/>
      <c r="E67" s="9"/>
      <c r="F67" s="9"/>
      <c r="G67" s="9"/>
      <c r="H67" s="9"/>
      <c r="I67" s="9"/>
      <c r="J67" s="9"/>
      <c r="M67" s="7"/>
    </row>
    <row r="68" spans="1:13" ht="15.75" thickBot="1" x14ac:dyDescent="0.3">
      <c r="A68" s="170" t="s">
        <v>64</v>
      </c>
      <c r="B68" s="171"/>
      <c r="C68" s="171"/>
      <c r="D68" s="171"/>
      <c r="E68" s="171"/>
      <c r="F68" s="171"/>
      <c r="G68" s="171"/>
      <c r="H68" s="171"/>
      <c r="I68" s="171"/>
      <c r="J68" s="172"/>
      <c r="M68" s="7"/>
    </row>
    <row r="69" spans="1:13" x14ac:dyDescent="0.25">
      <c r="A69" s="4" t="s">
        <v>16</v>
      </c>
      <c r="B69" s="5" t="s">
        <v>15</v>
      </c>
      <c r="C69" s="5" t="s">
        <v>14</v>
      </c>
      <c r="D69" s="5" t="s">
        <v>13</v>
      </c>
      <c r="E69" s="5" t="s">
        <v>12</v>
      </c>
      <c r="F69" s="5" t="s">
        <v>93</v>
      </c>
      <c r="G69" s="5" t="s">
        <v>94</v>
      </c>
      <c r="H69" s="5" t="s">
        <v>38</v>
      </c>
      <c r="I69" s="5" t="s">
        <v>9</v>
      </c>
      <c r="J69" s="5" t="s">
        <v>0</v>
      </c>
      <c r="M69" s="7"/>
    </row>
    <row r="70" spans="1:13" x14ac:dyDescent="0.25">
      <c r="A70" s="1" t="s">
        <v>49</v>
      </c>
      <c r="B70" s="39">
        <f t="shared" ref="B70:B71" si="25">B8-B49</f>
        <v>0</v>
      </c>
      <c r="C70" s="39">
        <f t="shared" ref="C70:I70" si="26">C8-C49</f>
        <v>0</v>
      </c>
      <c r="D70" s="39">
        <f t="shared" si="26"/>
        <v>0</v>
      </c>
      <c r="E70" s="39">
        <f t="shared" si="26"/>
        <v>0</v>
      </c>
      <c r="F70" s="39">
        <f t="shared" si="26"/>
        <v>0</v>
      </c>
      <c r="G70" s="39">
        <f t="shared" si="26"/>
        <v>0</v>
      </c>
      <c r="H70" s="39">
        <f t="shared" si="26"/>
        <v>0</v>
      </c>
      <c r="I70" s="39">
        <f t="shared" si="26"/>
        <v>0</v>
      </c>
      <c r="J70" s="39">
        <f>SUM(B70:H70)</f>
        <v>0</v>
      </c>
      <c r="M70" s="7"/>
    </row>
    <row r="71" spans="1:13" x14ac:dyDescent="0.25">
      <c r="A71" s="1" t="s">
        <v>8</v>
      </c>
      <c r="B71" s="39">
        <f t="shared" si="25"/>
        <v>0</v>
      </c>
      <c r="C71" s="39">
        <f t="shared" ref="C71:I71" si="27">C9-C50</f>
        <v>0</v>
      </c>
      <c r="D71" s="39">
        <f t="shared" si="27"/>
        <v>0</v>
      </c>
      <c r="E71" s="39">
        <f t="shared" si="27"/>
        <v>0</v>
      </c>
      <c r="F71" s="39">
        <f t="shared" si="27"/>
        <v>0</v>
      </c>
      <c r="G71" s="39">
        <f t="shared" si="27"/>
        <v>0</v>
      </c>
      <c r="H71" s="39">
        <f t="shared" si="27"/>
        <v>0</v>
      </c>
      <c r="I71" s="39">
        <f t="shared" si="27"/>
        <v>0</v>
      </c>
      <c r="J71" s="39">
        <f t="shared" ref="J71:J86" si="28">SUM(B71:H71)</f>
        <v>0</v>
      </c>
      <c r="M71" s="7"/>
    </row>
    <row r="72" spans="1:13" x14ac:dyDescent="0.25">
      <c r="A72" s="1" t="s">
        <v>7</v>
      </c>
      <c r="B72" s="39">
        <f>B10-B51</f>
        <v>0</v>
      </c>
      <c r="C72" s="39">
        <f t="shared" ref="C72:I72" si="29">C10-C51</f>
        <v>0</v>
      </c>
      <c r="D72" s="39">
        <f t="shared" si="29"/>
        <v>0</v>
      </c>
      <c r="E72" s="39">
        <f t="shared" si="29"/>
        <v>0</v>
      </c>
      <c r="F72" s="39">
        <f t="shared" si="29"/>
        <v>0</v>
      </c>
      <c r="G72" s="39">
        <f t="shared" si="29"/>
        <v>0</v>
      </c>
      <c r="H72" s="39">
        <f t="shared" si="29"/>
        <v>0</v>
      </c>
      <c r="I72" s="39">
        <f t="shared" si="29"/>
        <v>0</v>
      </c>
      <c r="J72" s="39">
        <f t="shared" si="28"/>
        <v>0</v>
      </c>
      <c r="M72" s="7"/>
    </row>
    <row r="73" spans="1:13" x14ac:dyDescent="0.25">
      <c r="A73" s="1" t="s">
        <v>42</v>
      </c>
      <c r="B73" s="39">
        <f t="shared" ref="B73:B86" si="30">B11-B52</f>
        <v>0</v>
      </c>
      <c r="C73" s="39">
        <f t="shared" ref="C73:I73" si="31">C11-C52</f>
        <v>0</v>
      </c>
      <c r="D73" s="39">
        <f t="shared" si="31"/>
        <v>0</v>
      </c>
      <c r="E73" s="39">
        <f t="shared" si="31"/>
        <v>0</v>
      </c>
      <c r="F73" s="39">
        <f t="shared" si="31"/>
        <v>0</v>
      </c>
      <c r="G73" s="39">
        <f t="shared" si="31"/>
        <v>0</v>
      </c>
      <c r="H73" s="39">
        <f t="shared" si="31"/>
        <v>0</v>
      </c>
      <c r="I73" s="39">
        <f t="shared" si="31"/>
        <v>0</v>
      </c>
      <c r="J73" s="39">
        <f t="shared" si="28"/>
        <v>0</v>
      </c>
      <c r="M73" s="7"/>
    </row>
    <row r="74" spans="1:13" x14ac:dyDescent="0.25">
      <c r="A74" s="1" t="s">
        <v>6</v>
      </c>
      <c r="B74" s="39">
        <f t="shared" si="30"/>
        <v>0</v>
      </c>
      <c r="C74" s="39">
        <f t="shared" ref="C74:I74" si="32">C12-C53</f>
        <v>0</v>
      </c>
      <c r="D74" s="39">
        <f t="shared" si="32"/>
        <v>0</v>
      </c>
      <c r="E74" s="39">
        <f t="shared" si="32"/>
        <v>0</v>
      </c>
      <c r="F74" s="39">
        <f t="shared" si="32"/>
        <v>0</v>
      </c>
      <c r="G74" s="39">
        <f t="shared" si="32"/>
        <v>0</v>
      </c>
      <c r="H74" s="39">
        <f t="shared" si="32"/>
        <v>0</v>
      </c>
      <c r="I74" s="39">
        <f t="shared" si="32"/>
        <v>0</v>
      </c>
      <c r="J74" s="39">
        <f t="shared" si="28"/>
        <v>0</v>
      </c>
      <c r="M74" s="7"/>
    </row>
    <row r="75" spans="1:13" x14ac:dyDescent="0.25">
      <c r="A75" s="1" t="s">
        <v>50</v>
      </c>
      <c r="B75" s="39">
        <f t="shared" si="30"/>
        <v>0</v>
      </c>
      <c r="C75" s="39">
        <f t="shared" ref="C75:I75" si="33">C13-C54</f>
        <v>0</v>
      </c>
      <c r="D75" s="39">
        <f t="shared" si="33"/>
        <v>0</v>
      </c>
      <c r="E75" s="39">
        <f t="shared" si="33"/>
        <v>0</v>
      </c>
      <c r="F75" s="39">
        <f t="shared" si="33"/>
        <v>0</v>
      </c>
      <c r="G75" s="39">
        <f t="shared" si="33"/>
        <v>0</v>
      </c>
      <c r="H75" s="39">
        <f t="shared" si="33"/>
        <v>0</v>
      </c>
      <c r="I75" s="39">
        <f t="shared" si="33"/>
        <v>0</v>
      </c>
      <c r="J75" s="39">
        <f t="shared" si="28"/>
        <v>0</v>
      </c>
      <c r="M75" s="7"/>
    </row>
    <row r="76" spans="1:13" x14ac:dyDescent="0.25">
      <c r="A76" s="1" t="s">
        <v>89</v>
      </c>
      <c r="B76" s="39">
        <f t="shared" si="30"/>
        <v>0</v>
      </c>
      <c r="C76" s="39">
        <f t="shared" ref="C76:I76" si="34">C14-C55</f>
        <v>0</v>
      </c>
      <c r="D76" s="39">
        <f t="shared" si="34"/>
        <v>0</v>
      </c>
      <c r="E76" s="39">
        <f t="shared" si="34"/>
        <v>0</v>
      </c>
      <c r="F76" s="39">
        <f t="shared" si="34"/>
        <v>0</v>
      </c>
      <c r="G76" s="39">
        <f t="shared" si="34"/>
        <v>0</v>
      </c>
      <c r="H76" s="39">
        <f t="shared" si="34"/>
        <v>0</v>
      </c>
      <c r="I76" s="39">
        <f t="shared" si="34"/>
        <v>0</v>
      </c>
      <c r="J76" s="39">
        <f t="shared" si="28"/>
        <v>0</v>
      </c>
      <c r="M76" s="7"/>
    </row>
    <row r="77" spans="1:13" x14ac:dyDescent="0.25">
      <c r="A77" s="1" t="s">
        <v>5</v>
      </c>
      <c r="B77" s="39">
        <f t="shared" si="30"/>
        <v>0</v>
      </c>
      <c r="C77" s="39">
        <f t="shared" ref="C77:I77" si="35">C15-C56</f>
        <v>0</v>
      </c>
      <c r="D77" s="39">
        <f t="shared" si="35"/>
        <v>0</v>
      </c>
      <c r="E77" s="39">
        <f t="shared" si="35"/>
        <v>0</v>
      </c>
      <c r="F77" s="39">
        <f t="shared" si="35"/>
        <v>0</v>
      </c>
      <c r="G77" s="39">
        <f t="shared" si="35"/>
        <v>0</v>
      </c>
      <c r="H77" s="39">
        <f t="shared" si="35"/>
        <v>0</v>
      </c>
      <c r="I77" s="39">
        <f t="shared" si="35"/>
        <v>0</v>
      </c>
      <c r="J77" s="39">
        <f t="shared" si="28"/>
        <v>0</v>
      </c>
      <c r="M77" s="7"/>
    </row>
    <row r="78" spans="1:13" x14ac:dyDescent="0.25">
      <c r="A78" s="1" t="s">
        <v>84</v>
      </c>
      <c r="B78" s="39">
        <f t="shared" si="30"/>
        <v>0</v>
      </c>
      <c r="C78" s="39">
        <f t="shared" ref="C78:I78" si="36">C16-C57</f>
        <v>0</v>
      </c>
      <c r="D78" s="39">
        <f t="shared" si="36"/>
        <v>0</v>
      </c>
      <c r="E78" s="39">
        <f t="shared" si="36"/>
        <v>0</v>
      </c>
      <c r="F78" s="39">
        <f t="shared" si="36"/>
        <v>0</v>
      </c>
      <c r="G78" s="39">
        <f t="shared" si="36"/>
        <v>0</v>
      </c>
      <c r="H78" s="39">
        <f t="shared" si="36"/>
        <v>0</v>
      </c>
      <c r="I78" s="39">
        <f t="shared" si="36"/>
        <v>0</v>
      </c>
      <c r="J78" s="39">
        <f t="shared" si="28"/>
        <v>0</v>
      </c>
      <c r="M78" s="7"/>
    </row>
    <row r="79" spans="1:13" x14ac:dyDescent="0.25">
      <c r="A79" s="1" t="s">
        <v>4</v>
      </c>
      <c r="B79" s="39">
        <f t="shared" si="30"/>
        <v>0</v>
      </c>
      <c r="C79" s="39">
        <f t="shared" ref="C79:I79" si="37">C17-C58</f>
        <v>0</v>
      </c>
      <c r="D79" s="39">
        <f t="shared" si="37"/>
        <v>0</v>
      </c>
      <c r="E79" s="39">
        <f t="shared" si="37"/>
        <v>0</v>
      </c>
      <c r="F79" s="39">
        <f t="shared" si="37"/>
        <v>0</v>
      </c>
      <c r="G79" s="39">
        <f t="shared" si="37"/>
        <v>0</v>
      </c>
      <c r="H79" s="39">
        <f t="shared" si="37"/>
        <v>0</v>
      </c>
      <c r="I79" s="39">
        <f t="shared" si="37"/>
        <v>0</v>
      </c>
      <c r="J79" s="39">
        <f t="shared" si="28"/>
        <v>0</v>
      </c>
      <c r="M79" s="7"/>
    </row>
    <row r="80" spans="1:13" x14ac:dyDescent="0.25">
      <c r="A80" s="1" t="s">
        <v>51</v>
      </c>
      <c r="B80" s="39">
        <f t="shared" si="30"/>
        <v>0</v>
      </c>
      <c r="C80" s="39">
        <f t="shared" ref="C80:I80" si="38">C18-C59</f>
        <v>0</v>
      </c>
      <c r="D80" s="39">
        <f t="shared" si="38"/>
        <v>0</v>
      </c>
      <c r="E80" s="39">
        <f t="shared" si="38"/>
        <v>0</v>
      </c>
      <c r="F80" s="39">
        <f t="shared" si="38"/>
        <v>0</v>
      </c>
      <c r="G80" s="39">
        <f t="shared" si="38"/>
        <v>0</v>
      </c>
      <c r="H80" s="39">
        <f t="shared" si="38"/>
        <v>0</v>
      </c>
      <c r="I80" s="39">
        <f t="shared" si="38"/>
        <v>0</v>
      </c>
      <c r="J80" s="39">
        <f t="shared" si="28"/>
        <v>0</v>
      </c>
      <c r="M80" s="7"/>
    </row>
    <row r="81" spans="1:13" x14ac:dyDescent="0.25">
      <c r="A81" s="1" t="s">
        <v>85</v>
      </c>
      <c r="B81" s="39">
        <f t="shared" si="30"/>
        <v>0</v>
      </c>
      <c r="C81" s="39">
        <f t="shared" ref="C81:I81" si="39">C19-C60</f>
        <v>0</v>
      </c>
      <c r="D81" s="39">
        <f t="shared" si="39"/>
        <v>0</v>
      </c>
      <c r="E81" s="39">
        <f t="shared" si="39"/>
        <v>0</v>
      </c>
      <c r="F81" s="39">
        <f t="shared" si="39"/>
        <v>0</v>
      </c>
      <c r="G81" s="39">
        <f t="shared" si="39"/>
        <v>0</v>
      </c>
      <c r="H81" s="39">
        <f t="shared" si="39"/>
        <v>0</v>
      </c>
      <c r="I81" s="39">
        <f t="shared" si="39"/>
        <v>0</v>
      </c>
      <c r="J81" s="39">
        <f t="shared" si="28"/>
        <v>0</v>
      </c>
      <c r="M81" s="7"/>
    </row>
    <row r="82" spans="1:13" x14ac:dyDescent="0.25">
      <c r="A82" s="1" t="s">
        <v>2</v>
      </c>
      <c r="B82" s="39">
        <f t="shared" si="30"/>
        <v>0</v>
      </c>
      <c r="C82" s="39">
        <f t="shared" ref="C82:I82" si="40">C20-C61</f>
        <v>0</v>
      </c>
      <c r="D82" s="39">
        <f t="shared" si="40"/>
        <v>0</v>
      </c>
      <c r="E82" s="39">
        <f t="shared" si="40"/>
        <v>0</v>
      </c>
      <c r="F82" s="39">
        <f t="shared" si="40"/>
        <v>0</v>
      </c>
      <c r="G82" s="39">
        <f t="shared" si="40"/>
        <v>0</v>
      </c>
      <c r="H82" s="39">
        <f t="shared" si="40"/>
        <v>0</v>
      </c>
      <c r="I82" s="39">
        <f t="shared" si="40"/>
        <v>0</v>
      </c>
      <c r="J82" s="39">
        <f t="shared" si="28"/>
        <v>0</v>
      </c>
      <c r="M82" s="7"/>
    </row>
    <row r="83" spans="1:13" x14ac:dyDescent="0.25">
      <c r="A83" s="1" t="s">
        <v>86</v>
      </c>
      <c r="B83" s="39">
        <f t="shared" si="30"/>
        <v>0</v>
      </c>
      <c r="C83" s="39">
        <f t="shared" ref="C83:I83" si="41">C21-C62</f>
        <v>0</v>
      </c>
      <c r="D83" s="39">
        <f t="shared" si="41"/>
        <v>0</v>
      </c>
      <c r="E83" s="39">
        <f t="shared" si="41"/>
        <v>0</v>
      </c>
      <c r="F83" s="39">
        <f t="shared" si="41"/>
        <v>0</v>
      </c>
      <c r="G83" s="39">
        <f t="shared" si="41"/>
        <v>0</v>
      </c>
      <c r="H83" s="39">
        <f t="shared" si="41"/>
        <v>0</v>
      </c>
      <c r="I83" s="39">
        <f t="shared" si="41"/>
        <v>0</v>
      </c>
      <c r="J83" s="39">
        <f t="shared" si="28"/>
        <v>0</v>
      </c>
      <c r="M83" s="7"/>
    </row>
    <row r="84" spans="1:13" x14ac:dyDescent="0.25">
      <c r="A84" s="1" t="s">
        <v>29</v>
      </c>
      <c r="B84" s="39">
        <f t="shared" si="30"/>
        <v>0</v>
      </c>
      <c r="C84" s="39">
        <f t="shared" ref="C84:I84" si="42">C22-C63</f>
        <v>0</v>
      </c>
      <c r="D84" s="39">
        <f t="shared" si="42"/>
        <v>0</v>
      </c>
      <c r="E84" s="39">
        <f t="shared" si="42"/>
        <v>0</v>
      </c>
      <c r="F84" s="39">
        <f t="shared" si="42"/>
        <v>0</v>
      </c>
      <c r="G84" s="39">
        <f t="shared" si="42"/>
        <v>0</v>
      </c>
      <c r="H84" s="39">
        <f t="shared" si="42"/>
        <v>0</v>
      </c>
      <c r="I84" s="39">
        <f t="shared" si="42"/>
        <v>0</v>
      </c>
      <c r="J84" s="39">
        <f t="shared" si="28"/>
        <v>0</v>
      </c>
      <c r="M84" s="7"/>
    </row>
    <row r="85" spans="1:13" x14ac:dyDescent="0.25">
      <c r="A85" s="1" t="s">
        <v>52</v>
      </c>
      <c r="B85" s="39">
        <f t="shared" si="30"/>
        <v>0</v>
      </c>
      <c r="C85" s="39">
        <f t="shared" ref="C85:I85" si="43">C23-C64</f>
        <v>0</v>
      </c>
      <c r="D85" s="39">
        <f t="shared" si="43"/>
        <v>0</v>
      </c>
      <c r="E85" s="39">
        <f t="shared" si="43"/>
        <v>0</v>
      </c>
      <c r="F85" s="39">
        <f t="shared" si="43"/>
        <v>0</v>
      </c>
      <c r="G85" s="39">
        <f t="shared" si="43"/>
        <v>0</v>
      </c>
      <c r="H85" s="39">
        <f t="shared" si="43"/>
        <v>0</v>
      </c>
      <c r="I85" s="39">
        <f t="shared" si="43"/>
        <v>0</v>
      </c>
      <c r="J85" s="39">
        <f t="shared" si="28"/>
        <v>0</v>
      </c>
      <c r="M85" s="7"/>
    </row>
    <row r="86" spans="1:13" x14ac:dyDescent="0.25">
      <c r="A86" s="1" t="s">
        <v>1</v>
      </c>
      <c r="B86" s="40">
        <f t="shared" si="30"/>
        <v>0</v>
      </c>
      <c r="C86" s="40">
        <f t="shared" ref="C86:I86" si="44">C24-C65</f>
        <v>0</v>
      </c>
      <c r="D86" s="40">
        <f t="shared" si="44"/>
        <v>0</v>
      </c>
      <c r="E86" s="40">
        <f t="shared" si="44"/>
        <v>0</v>
      </c>
      <c r="F86" s="40">
        <f t="shared" si="44"/>
        <v>0</v>
      </c>
      <c r="G86" s="40">
        <f t="shared" si="44"/>
        <v>0</v>
      </c>
      <c r="H86" s="40">
        <f t="shared" si="44"/>
        <v>0</v>
      </c>
      <c r="I86" s="40">
        <f t="shared" si="44"/>
        <v>0</v>
      </c>
      <c r="J86" s="40">
        <f t="shared" si="28"/>
        <v>0</v>
      </c>
      <c r="M86" s="7"/>
    </row>
    <row r="87" spans="1:13" x14ac:dyDescent="0.25">
      <c r="A87" s="4"/>
      <c r="B87" s="39">
        <f>SUM(B70:B86)</f>
        <v>0</v>
      </c>
      <c r="C87" s="39">
        <f t="shared" ref="C87:J87" si="45">SUM(C70:C86)</f>
        <v>0</v>
      </c>
      <c r="D87" s="39">
        <f t="shared" si="45"/>
        <v>0</v>
      </c>
      <c r="E87" s="39">
        <f t="shared" si="45"/>
        <v>0</v>
      </c>
      <c r="F87" s="39">
        <f t="shared" si="45"/>
        <v>0</v>
      </c>
      <c r="G87" s="39">
        <f t="shared" si="45"/>
        <v>0</v>
      </c>
      <c r="H87" s="39">
        <f t="shared" si="45"/>
        <v>0</v>
      </c>
      <c r="I87" s="39">
        <f t="shared" si="45"/>
        <v>0</v>
      </c>
      <c r="J87" s="39">
        <f t="shared" si="45"/>
        <v>0</v>
      </c>
      <c r="M87" s="7"/>
    </row>
    <row r="88" spans="1:13" ht="15.75" thickBot="1" x14ac:dyDescent="0.3">
      <c r="A88" s="4"/>
      <c r="B88" s="39"/>
      <c r="C88" s="39"/>
      <c r="D88" s="39"/>
      <c r="E88" s="39"/>
      <c r="F88" s="39"/>
      <c r="G88" s="39"/>
      <c r="H88" s="39"/>
      <c r="I88" s="39"/>
      <c r="J88" s="39"/>
      <c r="M88" s="7"/>
    </row>
    <row r="89" spans="1:13" ht="15.75" thickBot="1" x14ac:dyDescent="0.3">
      <c r="A89" s="167" t="s">
        <v>59</v>
      </c>
      <c r="B89" s="168"/>
      <c r="C89" s="168"/>
      <c r="D89" s="168"/>
      <c r="E89" s="168"/>
      <c r="F89" s="168"/>
      <c r="G89" s="168"/>
      <c r="H89" s="168"/>
      <c r="I89" s="168"/>
      <c r="J89" s="169"/>
      <c r="M89" s="7"/>
    </row>
    <row r="90" spans="1:13" x14ac:dyDescent="0.25">
      <c r="A90" s="4" t="s">
        <v>16</v>
      </c>
      <c r="B90" s="5" t="s">
        <v>15</v>
      </c>
      <c r="C90" s="5" t="s">
        <v>14</v>
      </c>
      <c r="D90" s="5" t="s">
        <v>13</v>
      </c>
      <c r="E90" s="5" t="s">
        <v>12</v>
      </c>
      <c r="F90" s="5" t="s">
        <v>93</v>
      </c>
      <c r="G90" s="5" t="s">
        <v>94</v>
      </c>
      <c r="H90" s="5" t="s">
        <v>38</v>
      </c>
      <c r="I90" s="5" t="s">
        <v>9</v>
      </c>
      <c r="J90" s="5" t="s">
        <v>0</v>
      </c>
      <c r="M90" s="7"/>
    </row>
    <row r="91" spans="1:13" x14ac:dyDescent="0.25">
      <c r="A91" s="1" t="s">
        <v>49</v>
      </c>
      <c r="B91" s="41">
        <v>0</v>
      </c>
      <c r="C91" s="41">
        <v>0</v>
      </c>
      <c r="D91" s="41">
        <v>0</v>
      </c>
      <c r="E91" s="41">
        <v>0.1</v>
      </c>
      <c r="F91" s="41">
        <v>0.15</v>
      </c>
      <c r="G91" s="41">
        <v>0.15</v>
      </c>
      <c r="H91" s="41">
        <v>0.2</v>
      </c>
      <c r="I91" s="41">
        <v>1</v>
      </c>
      <c r="J91" s="39"/>
      <c r="M91" s="7"/>
    </row>
    <row r="92" spans="1:13" x14ac:dyDescent="0.25">
      <c r="A92" s="1" t="s">
        <v>8</v>
      </c>
      <c r="B92" s="41">
        <v>0</v>
      </c>
      <c r="C92" s="41">
        <v>0</v>
      </c>
      <c r="D92" s="41">
        <v>0</v>
      </c>
      <c r="E92" s="41">
        <v>0.1</v>
      </c>
      <c r="F92" s="41">
        <v>0.15</v>
      </c>
      <c r="G92" s="41">
        <v>0.15</v>
      </c>
      <c r="H92" s="41">
        <v>0.2</v>
      </c>
      <c r="I92" s="41">
        <v>1</v>
      </c>
      <c r="J92" s="39"/>
      <c r="M92" s="7"/>
    </row>
    <row r="93" spans="1:13" x14ac:dyDescent="0.25">
      <c r="A93" s="1" t="s">
        <v>7</v>
      </c>
      <c r="B93" s="41">
        <v>0</v>
      </c>
      <c r="C93" s="41">
        <v>0</v>
      </c>
      <c r="D93" s="41">
        <v>0</v>
      </c>
      <c r="E93" s="41">
        <v>0.1</v>
      </c>
      <c r="F93" s="41">
        <v>0.15</v>
      </c>
      <c r="G93" s="41">
        <v>0.15</v>
      </c>
      <c r="H93" s="41">
        <v>0.2</v>
      </c>
      <c r="I93" s="41">
        <v>1</v>
      </c>
      <c r="J93" s="39"/>
      <c r="M93" s="7"/>
    </row>
    <row r="94" spans="1:13" x14ac:dyDescent="0.25">
      <c r="A94" s="1" t="s">
        <v>42</v>
      </c>
      <c r="B94" s="41">
        <v>0</v>
      </c>
      <c r="C94" s="41">
        <v>0</v>
      </c>
      <c r="D94" s="41">
        <v>0</v>
      </c>
      <c r="E94" s="41">
        <v>0.1</v>
      </c>
      <c r="F94" s="41">
        <v>0.15</v>
      </c>
      <c r="G94" s="41">
        <v>0.15</v>
      </c>
      <c r="H94" s="41">
        <v>0.2</v>
      </c>
      <c r="I94" s="41">
        <v>1</v>
      </c>
      <c r="J94" s="39"/>
      <c r="M94" s="7"/>
    </row>
    <row r="95" spans="1:13" x14ac:dyDescent="0.25">
      <c r="A95" s="1" t="s">
        <v>6</v>
      </c>
      <c r="B95" s="41">
        <v>0</v>
      </c>
      <c r="C95" s="41">
        <v>0</v>
      </c>
      <c r="D95" s="41">
        <v>0</v>
      </c>
      <c r="E95" s="41">
        <v>0.1</v>
      </c>
      <c r="F95" s="41">
        <v>0.15</v>
      </c>
      <c r="G95" s="41">
        <v>0.15</v>
      </c>
      <c r="H95" s="41">
        <v>0.2</v>
      </c>
      <c r="I95" s="41">
        <v>1</v>
      </c>
      <c r="J95" s="39"/>
      <c r="M95" s="7"/>
    </row>
    <row r="96" spans="1:13" x14ac:dyDescent="0.25">
      <c r="A96" s="1" t="s">
        <v>50</v>
      </c>
      <c r="B96" s="41">
        <v>0</v>
      </c>
      <c r="C96" s="41">
        <v>0</v>
      </c>
      <c r="D96" s="41">
        <v>0</v>
      </c>
      <c r="E96" s="41">
        <v>0.1</v>
      </c>
      <c r="F96" s="41">
        <v>0.15</v>
      </c>
      <c r="G96" s="41">
        <v>0.15</v>
      </c>
      <c r="H96" s="41">
        <v>0.2</v>
      </c>
      <c r="I96" s="41">
        <v>1</v>
      </c>
      <c r="J96" s="39"/>
      <c r="M96" s="7"/>
    </row>
    <row r="97" spans="1:13" x14ac:dyDescent="0.25">
      <c r="A97" s="1" t="s">
        <v>89</v>
      </c>
      <c r="B97" s="41">
        <v>0</v>
      </c>
      <c r="C97" s="41">
        <v>0</v>
      </c>
      <c r="D97" s="41">
        <v>0</v>
      </c>
      <c r="E97" s="41">
        <v>0.1</v>
      </c>
      <c r="F97" s="41">
        <v>0.15</v>
      </c>
      <c r="G97" s="41">
        <v>0.15</v>
      </c>
      <c r="H97" s="41">
        <v>0.2</v>
      </c>
      <c r="I97" s="41">
        <v>1</v>
      </c>
      <c r="J97" s="39"/>
      <c r="M97" s="7"/>
    </row>
    <row r="98" spans="1:13" x14ac:dyDescent="0.25">
      <c r="A98" s="1" t="s">
        <v>5</v>
      </c>
      <c r="B98" s="41">
        <v>0</v>
      </c>
      <c r="C98" s="41">
        <v>0</v>
      </c>
      <c r="D98" s="41">
        <v>0</v>
      </c>
      <c r="E98" s="41">
        <v>0.1</v>
      </c>
      <c r="F98" s="41">
        <v>0.15</v>
      </c>
      <c r="G98" s="41">
        <v>0.15</v>
      </c>
      <c r="H98" s="41">
        <v>0.2</v>
      </c>
      <c r="I98" s="41">
        <v>1</v>
      </c>
      <c r="J98" s="39"/>
      <c r="M98" s="7"/>
    </row>
    <row r="99" spans="1:13" x14ac:dyDescent="0.25">
      <c r="A99" s="1" t="s">
        <v>84</v>
      </c>
      <c r="B99" s="41">
        <v>0</v>
      </c>
      <c r="C99" s="41">
        <v>0</v>
      </c>
      <c r="D99" s="41">
        <v>0</v>
      </c>
      <c r="E99" s="41">
        <v>0.1</v>
      </c>
      <c r="F99" s="41">
        <v>0.15</v>
      </c>
      <c r="G99" s="41">
        <v>0.15</v>
      </c>
      <c r="H99" s="41">
        <v>0.2</v>
      </c>
      <c r="I99" s="41">
        <v>1</v>
      </c>
      <c r="J99" s="39"/>
      <c r="M99" s="7"/>
    </row>
    <row r="100" spans="1:13" x14ac:dyDescent="0.25">
      <c r="A100" s="1" t="s">
        <v>4</v>
      </c>
      <c r="B100" s="41">
        <v>0</v>
      </c>
      <c r="C100" s="41">
        <v>0</v>
      </c>
      <c r="D100" s="41">
        <v>0</v>
      </c>
      <c r="E100" s="41">
        <v>0.1</v>
      </c>
      <c r="F100" s="41">
        <v>0.15</v>
      </c>
      <c r="G100" s="41">
        <v>0.15</v>
      </c>
      <c r="H100" s="41">
        <v>0.2</v>
      </c>
      <c r="I100" s="41">
        <v>1</v>
      </c>
      <c r="J100" s="39"/>
      <c r="M100" s="7"/>
    </row>
    <row r="101" spans="1:13" x14ac:dyDescent="0.25">
      <c r="A101" s="1" t="s">
        <v>51</v>
      </c>
      <c r="B101" s="41">
        <v>0</v>
      </c>
      <c r="C101" s="41">
        <v>0</v>
      </c>
      <c r="D101" s="41">
        <v>0</v>
      </c>
      <c r="E101" s="41">
        <v>0.1</v>
      </c>
      <c r="F101" s="41">
        <v>0.15</v>
      </c>
      <c r="G101" s="41">
        <v>0.15</v>
      </c>
      <c r="H101" s="41">
        <v>0.2</v>
      </c>
      <c r="I101" s="41">
        <v>1</v>
      </c>
      <c r="J101" s="39"/>
      <c r="M101" s="7"/>
    </row>
    <row r="102" spans="1:13" x14ac:dyDescent="0.25">
      <c r="A102" s="1" t="s">
        <v>85</v>
      </c>
      <c r="B102" s="41">
        <v>0</v>
      </c>
      <c r="C102" s="41">
        <v>0</v>
      </c>
      <c r="D102" s="41">
        <v>0</v>
      </c>
      <c r="E102" s="41">
        <v>0.1</v>
      </c>
      <c r="F102" s="41">
        <v>0.15</v>
      </c>
      <c r="G102" s="41">
        <v>0.15</v>
      </c>
      <c r="H102" s="41">
        <v>0.2</v>
      </c>
      <c r="I102" s="41">
        <v>1</v>
      </c>
      <c r="J102" s="39"/>
      <c r="M102" s="7"/>
    </row>
    <row r="103" spans="1:13" x14ac:dyDescent="0.25">
      <c r="A103" s="1" t="s">
        <v>2</v>
      </c>
      <c r="B103" s="41">
        <v>0</v>
      </c>
      <c r="C103" s="41">
        <v>0</v>
      </c>
      <c r="D103" s="41">
        <v>0.1</v>
      </c>
      <c r="E103" s="41">
        <v>0.5</v>
      </c>
      <c r="F103" s="41">
        <v>1</v>
      </c>
      <c r="G103" s="41">
        <v>1</v>
      </c>
      <c r="H103" s="41">
        <v>1</v>
      </c>
      <c r="I103" s="41">
        <v>1</v>
      </c>
      <c r="J103" s="39"/>
      <c r="M103" s="7"/>
    </row>
    <row r="104" spans="1:13" x14ac:dyDescent="0.25">
      <c r="A104" s="1" t="s">
        <v>86</v>
      </c>
      <c r="B104" s="41">
        <v>0</v>
      </c>
      <c r="C104" s="41">
        <v>0</v>
      </c>
      <c r="D104" s="41">
        <v>0</v>
      </c>
      <c r="E104" s="41">
        <v>0.1</v>
      </c>
      <c r="F104" s="41">
        <v>0.15</v>
      </c>
      <c r="G104" s="41">
        <v>0.15</v>
      </c>
      <c r="H104" s="41">
        <v>0.2</v>
      </c>
      <c r="I104" s="41">
        <v>1</v>
      </c>
      <c r="J104" s="39"/>
      <c r="M104" s="7"/>
    </row>
    <row r="105" spans="1:13" x14ac:dyDescent="0.25">
      <c r="A105" s="1" t="s">
        <v>29</v>
      </c>
      <c r="B105" s="41">
        <v>0</v>
      </c>
      <c r="C105" s="41">
        <v>0</v>
      </c>
      <c r="D105" s="41">
        <v>0</v>
      </c>
      <c r="E105" s="41">
        <v>0.1</v>
      </c>
      <c r="F105" s="41">
        <v>0.15</v>
      </c>
      <c r="G105" s="41">
        <v>0.15</v>
      </c>
      <c r="H105" s="41">
        <v>0.2</v>
      </c>
      <c r="I105" s="41">
        <v>1</v>
      </c>
      <c r="J105" s="39"/>
      <c r="M105" s="7"/>
    </row>
    <row r="106" spans="1:13" x14ac:dyDescent="0.25">
      <c r="A106" s="1" t="s">
        <v>52</v>
      </c>
      <c r="B106" s="41">
        <v>0</v>
      </c>
      <c r="C106" s="41">
        <v>0</v>
      </c>
      <c r="D106" s="41">
        <v>0</v>
      </c>
      <c r="E106" s="41">
        <v>0.1</v>
      </c>
      <c r="F106" s="41">
        <v>0.15</v>
      </c>
      <c r="G106" s="41">
        <v>0.15</v>
      </c>
      <c r="H106" s="41">
        <v>0.2</v>
      </c>
      <c r="I106" s="41">
        <v>1</v>
      </c>
      <c r="J106" s="39"/>
      <c r="M106" s="7"/>
    </row>
    <row r="107" spans="1:13" x14ac:dyDescent="0.25">
      <c r="A107" s="1" t="s">
        <v>1</v>
      </c>
      <c r="B107" s="41">
        <v>0</v>
      </c>
      <c r="C107" s="41">
        <v>0</v>
      </c>
      <c r="D107" s="41">
        <v>0</v>
      </c>
      <c r="E107" s="41">
        <v>0.1</v>
      </c>
      <c r="F107" s="41">
        <v>0.15</v>
      </c>
      <c r="G107" s="41">
        <v>0.15</v>
      </c>
      <c r="H107" s="41">
        <v>0.2</v>
      </c>
      <c r="I107" s="41">
        <v>1</v>
      </c>
      <c r="J107" s="39"/>
      <c r="M107" s="7"/>
    </row>
    <row r="108" spans="1:13" ht="15.75" thickBot="1" x14ac:dyDescent="0.3">
      <c r="A108" s="4"/>
      <c r="B108" s="39"/>
      <c r="C108" s="39"/>
      <c r="D108" s="39"/>
      <c r="E108" s="39"/>
      <c r="F108" s="39"/>
      <c r="G108" s="39"/>
      <c r="H108" s="39"/>
      <c r="I108" s="39"/>
      <c r="J108" s="39"/>
      <c r="M108" s="7"/>
    </row>
    <row r="109" spans="1:13" ht="15.75" thickBot="1" x14ac:dyDescent="0.3">
      <c r="A109" s="170" t="s">
        <v>60</v>
      </c>
      <c r="B109" s="171"/>
      <c r="C109" s="171"/>
      <c r="D109" s="171"/>
      <c r="E109" s="171"/>
      <c r="F109" s="171"/>
      <c r="G109" s="171"/>
      <c r="H109" s="171"/>
      <c r="I109" s="171"/>
      <c r="J109" s="172"/>
      <c r="M109" s="7"/>
    </row>
    <row r="110" spans="1:13" x14ac:dyDescent="0.25">
      <c r="A110" s="4" t="s">
        <v>16</v>
      </c>
      <c r="B110" s="5" t="s">
        <v>15</v>
      </c>
      <c r="C110" s="5" t="s">
        <v>14</v>
      </c>
      <c r="D110" s="5" t="s">
        <v>13</v>
      </c>
      <c r="E110" s="5" t="s">
        <v>12</v>
      </c>
      <c r="F110" s="5" t="s">
        <v>93</v>
      </c>
      <c r="G110" s="5" t="s">
        <v>94</v>
      </c>
      <c r="H110" s="5" t="s">
        <v>38</v>
      </c>
      <c r="I110" s="5" t="s">
        <v>9</v>
      </c>
      <c r="J110" s="5" t="s">
        <v>0</v>
      </c>
      <c r="M110" s="7"/>
    </row>
    <row r="111" spans="1:13" x14ac:dyDescent="0.25">
      <c r="A111" s="1" t="s">
        <v>49</v>
      </c>
      <c r="B111" s="66">
        <f>IF(B70&gt;0,B70*B91,0)</f>
        <v>0</v>
      </c>
      <c r="C111" s="66">
        <f t="shared" ref="C111:I111" si="46">IF(C70&gt;0,C70*C91,0)</f>
        <v>0</v>
      </c>
      <c r="D111" s="66">
        <f t="shared" si="46"/>
        <v>0</v>
      </c>
      <c r="E111" s="66">
        <f t="shared" si="46"/>
        <v>0</v>
      </c>
      <c r="F111" s="66">
        <f t="shared" si="46"/>
        <v>0</v>
      </c>
      <c r="G111" s="66">
        <f t="shared" si="46"/>
        <v>0</v>
      </c>
      <c r="H111" s="66">
        <f t="shared" si="46"/>
        <v>0</v>
      </c>
      <c r="I111" s="66">
        <f t="shared" si="46"/>
        <v>0</v>
      </c>
      <c r="J111" s="39">
        <f>SUM(B111:H111)</f>
        <v>0</v>
      </c>
      <c r="M111" s="7"/>
    </row>
    <row r="112" spans="1:13" x14ac:dyDescent="0.25">
      <c r="A112" s="1" t="s">
        <v>8</v>
      </c>
      <c r="B112" s="39">
        <f>IF(B71&gt;0,B71*B92,0)</f>
        <v>0</v>
      </c>
      <c r="C112" s="39">
        <f t="shared" ref="C112:I112" si="47">IF(C71&gt;0,C71*C92,0)</f>
        <v>0</v>
      </c>
      <c r="D112" s="39">
        <f t="shared" si="47"/>
        <v>0</v>
      </c>
      <c r="E112" s="39">
        <f t="shared" si="47"/>
        <v>0</v>
      </c>
      <c r="F112" s="39">
        <f t="shared" si="47"/>
        <v>0</v>
      </c>
      <c r="G112" s="39">
        <f t="shared" si="47"/>
        <v>0</v>
      </c>
      <c r="H112" s="39">
        <f t="shared" si="47"/>
        <v>0</v>
      </c>
      <c r="I112" s="39">
        <f t="shared" si="47"/>
        <v>0</v>
      </c>
      <c r="J112" s="39">
        <f t="shared" ref="J112:J127" si="48">SUM(B112:H112)</f>
        <v>0</v>
      </c>
      <c r="M112" s="7"/>
    </row>
    <row r="113" spans="1:13" x14ac:dyDescent="0.25">
      <c r="A113" s="1" t="s">
        <v>7</v>
      </c>
      <c r="B113" s="39">
        <f>IF(B72&gt;0,B72*B93,0)</f>
        <v>0</v>
      </c>
      <c r="C113" s="39">
        <f t="shared" ref="C113:I113" si="49">IF(C72&gt;0,C72*C93,0)</f>
        <v>0</v>
      </c>
      <c r="D113" s="39">
        <f t="shared" si="49"/>
        <v>0</v>
      </c>
      <c r="E113" s="39">
        <f t="shared" si="49"/>
        <v>0</v>
      </c>
      <c r="F113" s="39">
        <f t="shared" si="49"/>
        <v>0</v>
      </c>
      <c r="G113" s="39">
        <f t="shared" si="49"/>
        <v>0</v>
      </c>
      <c r="H113" s="39">
        <f t="shared" si="49"/>
        <v>0</v>
      </c>
      <c r="I113" s="39">
        <f t="shared" si="49"/>
        <v>0</v>
      </c>
      <c r="J113" s="39">
        <f t="shared" si="48"/>
        <v>0</v>
      </c>
      <c r="M113" s="7"/>
    </row>
    <row r="114" spans="1:13" x14ac:dyDescent="0.25">
      <c r="A114" s="1" t="s">
        <v>42</v>
      </c>
      <c r="B114" s="39">
        <f t="shared" ref="B114:B127" si="50">IF(B73&gt;0,B73*B94,0)</f>
        <v>0</v>
      </c>
      <c r="C114" s="39">
        <f t="shared" ref="C114:I114" si="51">IF(C73&gt;0,C73*C94,0)</f>
        <v>0</v>
      </c>
      <c r="D114" s="39">
        <f t="shared" si="51"/>
        <v>0</v>
      </c>
      <c r="E114" s="39">
        <f t="shared" si="51"/>
        <v>0</v>
      </c>
      <c r="F114" s="39">
        <f t="shared" si="51"/>
        <v>0</v>
      </c>
      <c r="G114" s="39">
        <f t="shared" si="51"/>
        <v>0</v>
      </c>
      <c r="H114" s="39">
        <f t="shared" si="51"/>
        <v>0</v>
      </c>
      <c r="I114" s="39">
        <f t="shared" si="51"/>
        <v>0</v>
      </c>
      <c r="J114" s="39">
        <f t="shared" si="48"/>
        <v>0</v>
      </c>
      <c r="M114" s="7"/>
    </row>
    <row r="115" spans="1:13" x14ac:dyDescent="0.25">
      <c r="A115" s="1" t="s">
        <v>6</v>
      </c>
      <c r="B115" s="39">
        <f t="shared" si="50"/>
        <v>0</v>
      </c>
      <c r="C115" s="39">
        <f t="shared" ref="C115:I115" si="52">IF(C74&gt;0,C74*C95,0)</f>
        <v>0</v>
      </c>
      <c r="D115" s="39">
        <f t="shared" si="52"/>
        <v>0</v>
      </c>
      <c r="E115" s="39">
        <f t="shared" si="52"/>
        <v>0</v>
      </c>
      <c r="F115" s="39">
        <f t="shared" si="52"/>
        <v>0</v>
      </c>
      <c r="G115" s="39">
        <f t="shared" si="52"/>
        <v>0</v>
      </c>
      <c r="H115" s="39">
        <f t="shared" si="52"/>
        <v>0</v>
      </c>
      <c r="I115" s="39">
        <f t="shared" si="52"/>
        <v>0</v>
      </c>
      <c r="J115" s="39">
        <f t="shared" si="48"/>
        <v>0</v>
      </c>
      <c r="M115" s="7"/>
    </row>
    <row r="116" spans="1:13" x14ac:dyDescent="0.25">
      <c r="A116" s="1" t="s">
        <v>50</v>
      </c>
      <c r="B116" s="39">
        <f t="shared" si="50"/>
        <v>0</v>
      </c>
      <c r="C116" s="39">
        <f t="shared" ref="C116:I116" si="53">IF(C75&gt;0,C75*C96,0)</f>
        <v>0</v>
      </c>
      <c r="D116" s="39">
        <f t="shared" si="53"/>
        <v>0</v>
      </c>
      <c r="E116" s="39">
        <f t="shared" si="53"/>
        <v>0</v>
      </c>
      <c r="F116" s="39">
        <f t="shared" si="53"/>
        <v>0</v>
      </c>
      <c r="G116" s="39">
        <f t="shared" si="53"/>
        <v>0</v>
      </c>
      <c r="H116" s="39">
        <f t="shared" si="53"/>
        <v>0</v>
      </c>
      <c r="I116" s="39">
        <f t="shared" si="53"/>
        <v>0</v>
      </c>
      <c r="J116" s="39">
        <f t="shared" si="48"/>
        <v>0</v>
      </c>
      <c r="M116" s="7"/>
    </row>
    <row r="117" spans="1:13" x14ac:dyDescent="0.25">
      <c r="A117" s="1" t="s">
        <v>89</v>
      </c>
      <c r="B117" s="39">
        <f t="shared" si="50"/>
        <v>0</v>
      </c>
      <c r="C117" s="39">
        <f t="shared" ref="C117:I117" si="54">IF(C76&gt;0,C76*C97,0)</f>
        <v>0</v>
      </c>
      <c r="D117" s="39">
        <f t="shared" si="54"/>
        <v>0</v>
      </c>
      <c r="E117" s="39">
        <f t="shared" si="54"/>
        <v>0</v>
      </c>
      <c r="F117" s="39">
        <f t="shared" si="54"/>
        <v>0</v>
      </c>
      <c r="G117" s="39">
        <f t="shared" si="54"/>
        <v>0</v>
      </c>
      <c r="H117" s="39">
        <f t="shared" si="54"/>
        <v>0</v>
      </c>
      <c r="I117" s="39">
        <f t="shared" si="54"/>
        <v>0</v>
      </c>
      <c r="J117" s="39">
        <f t="shared" si="48"/>
        <v>0</v>
      </c>
      <c r="M117" s="7"/>
    </row>
    <row r="118" spans="1:13" x14ac:dyDescent="0.25">
      <c r="A118" s="1" t="s">
        <v>5</v>
      </c>
      <c r="B118" s="39">
        <f t="shared" si="50"/>
        <v>0</v>
      </c>
      <c r="C118" s="39">
        <f t="shared" ref="C118:I118" si="55">IF(C77&gt;0,C77*C98,0)</f>
        <v>0</v>
      </c>
      <c r="D118" s="39">
        <f t="shared" si="55"/>
        <v>0</v>
      </c>
      <c r="E118" s="39">
        <f t="shared" si="55"/>
        <v>0</v>
      </c>
      <c r="F118" s="39">
        <f t="shared" si="55"/>
        <v>0</v>
      </c>
      <c r="G118" s="39">
        <f t="shared" si="55"/>
        <v>0</v>
      </c>
      <c r="H118" s="39">
        <f t="shared" si="55"/>
        <v>0</v>
      </c>
      <c r="I118" s="39">
        <f t="shared" si="55"/>
        <v>0</v>
      </c>
      <c r="J118" s="39">
        <f t="shared" si="48"/>
        <v>0</v>
      </c>
      <c r="M118" s="7"/>
    </row>
    <row r="119" spans="1:13" x14ac:dyDescent="0.25">
      <c r="A119" s="1" t="s">
        <v>84</v>
      </c>
      <c r="B119" s="39">
        <f t="shared" si="50"/>
        <v>0</v>
      </c>
      <c r="C119" s="39">
        <f t="shared" ref="C119:I119" si="56">IF(C78&gt;0,C78*C99,0)</f>
        <v>0</v>
      </c>
      <c r="D119" s="39">
        <f t="shared" si="56"/>
        <v>0</v>
      </c>
      <c r="E119" s="39">
        <f t="shared" si="56"/>
        <v>0</v>
      </c>
      <c r="F119" s="39">
        <f t="shared" si="56"/>
        <v>0</v>
      </c>
      <c r="G119" s="39">
        <f t="shared" si="56"/>
        <v>0</v>
      </c>
      <c r="H119" s="39">
        <f t="shared" si="56"/>
        <v>0</v>
      </c>
      <c r="I119" s="39">
        <f t="shared" si="56"/>
        <v>0</v>
      </c>
      <c r="J119" s="39">
        <f t="shared" si="48"/>
        <v>0</v>
      </c>
      <c r="M119" s="7"/>
    </row>
    <row r="120" spans="1:13" x14ac:dyDescent="0.25">
      <c r="A120" s="1" t="s">
        <v>4</v>
      </c>
      <c r="B120" s="39">
        <f t="shared" si="50"/>
        <v>0</v>
      </c>
      <c r="C120" s="39">
        <f t="shared" ref="C120:I120" si="57">IF(C79&gt;0,C79*C100,0)</f>
        <v>0</v>
      </c>
      <c r="D120" s="39">
        <f t="shared" si="57"/>
        <v>0</v>
      </c>
      <c r="E120" s="39">
        <f t="shared" si="57"/>
        <v>0</v>
      </c>
      <c r="F120" s="39">
        <f t="shared" si="57"/>
        <v>0</v>
      </c>
      <c r="G120" s="39">
        <f t="shared" si="57"/>
        <v>0</v>
      </c>
      <c r="H120" s="39">
        <f t="shared" si="57"/>
        <v>0</v>
      </c>
      <c r="I120" s="39">
        <f t="shared" si="57"/>
        <v>0</v>
      </c>
      <c r="J120" s="39">
        <f t="shared" si="48"/>
        <v>0</v>
      </c>
      <c r="M120" s="7"/>
    </row>
    <row r="121" spans="1:13" x14ac:dyDescent="0.25">
      <c r="A121" s="1" t="s">
        <v>51</v>
      </c>
      <c r="B121" s="39">
        <f t="shared" si="50"/>
        <v>0</v>
      </c>
      <c r="C121" s="39">
        <f t="shared" ref="C121:I121" si="58">IF(C80&gt;0,C80*C101,0)</f>
        <v>0</v>
      </c>
      <c r="D121" s="39">
        <f t="shared" si="58"/>
        <v>0</v>
      </c>
      <c r="E121" s="39">
        <f t="shared" si="58"/>
        <v>0</v>
      </c>
      <c r="F121" s="39">
        <f t="shared" si="58"/>
        <v>0</v>
      </c>
      <c r="G121" s="39">
        <f t="shared" si="58"/>
        <v>0</v>
      </c>
      <c r="H121" s="39">
        <f t="shared" si="58"/>
        <v>0</v>
      </c>
      <c r="I121" s="39">
        <f t="shared" si="58"/>
        <v>0</v>
      </c>
      <c r="J121" s="39">
        <f t="shared" si="48"/>
        <v>0</v>
      </c>
      <c r="M121" s="7"/>
    </row>
    <row r="122" spans="1:13" x14ac:dyDescent="0.25">
      <c r="A122" s="1" t="s">
        <v>85</v>
      </c>
      <c r="B122" s="39">
        <f t="shared" si="50"/>
        <v>0</v>
      </c>
      <c r="C122" s="39">
        <f t="shared" ref="C122:I122" si="59">IF(C81&gt;0,C81*C102,0)</f>
        <v>0</v>
      </c>
      <c r="D122" s="39">
        <f t="shared" si="59"/>
        <v>0</v>
      </c>
      <c r="E122" s="39">
        <f t="shared" si="59"/>
        <v>0</v>
      </c>
      <c r="F122" s="39">
        <f t="shared" si="59"/>
        <v>0</v>
      </c>
      <c r="G122" s="39">
        <f t="shared" si="59"/>
        <v>0</v>
      </c>
      <c r="H122" s="39">
        <f t="shared" si="59"/>
        <v>0</v>
      </c>
      <c r="I122" s="39">
        <f t="shared" si="59"/>
        <v>0</v>
      </c>
      <c r="J122" s="39">
        <f t="shared" si="48"/>
        <v>0</v>
      </c>
      <c r="M122" s="7"/>
    </row>
    <row r="123" spans="1:13" x14ac:dyDescent="0.25">
      <c r="A123" s="1" t="s">
        <v>2</v>
      </c>
      <c r="B123" s="39">
        <f t="shared" si="50"/>
        <v>0</v>
      </c>
      <c r="C123" s="39">
        <f t="shared" ref="C123:I123" si="60">IF(C82&gt;0,C82*C103,0)</f>
        <v>0</v>
      </c>
      <c r="D123" s="39">
        <f t="shared" si="60"/>
        <v>0</v>
      </c>
      <c r="E123" s="39">
        <f t="shared" si="60"/>
        <v>0</v>
      </c>
      <c r="F123" s="39">
        <f t="shared" si="60"/>
        <v>0</v>
      </c>
      <c r="G123" s="39">
        <f t="shared" si="60"/>
        <v>0</v>
      </c>
      <c r="H123" s="39">
        <f t="shared" si="60"/>
        <v>0</v>
      </c>
      <c r="I123" s="39">
        <f t="shared" si="60"/>
        <v>0</v>
      </c>
      <c r="J123" s="39">
        <f t="shared" si="48"/>
        <v>0</v>
      </c>
      <c r="M123" s="7"/>
    </row>
    <row r="124" spans="1:13" x14ac:dyDescent="0.25">
      <c r="A124" s="1" t="s">
        <v>86</v>
      </c>
      <c r="B124" s="39">
        <f t="shared" si="50"/>
        <v>0</v>
      </c>
      <c r="C124" s="39">
        <f t="shared" ref="C124:I124" si="61">IF(C83&gt;0,C83*C104,0)</f>
        <v>0</v>
      </c>
      <c r="D124" s="39">
        <f t="shared" si="61"/>
        <v>0</v>
      </c>
      <c r="E124" s="39">
        <f t="shared" si="61"/>
        <v>0</v>
      </c>
      <c r="F124" s="39">
        <f t="shared" si="61"/>
        <v>0</v>
      </c>
      <c r="G124" s="39">
        <f t="shared" si="61"/>
        <v>0</v>
      </c>
      <c r="H124" s="39">
        <f t="shared" si="61"/>
        <v>0</v>
      </c>
      <c r="I124" s="39">
        <f t="shared" si="61"/>
        <v>0</v>
      </c>
      <c r="J124" s="39">
        <f t="shared" si="48"/>
        <v>0</v>
      </c>
      <c r="M124" s="183" t="s">
        <v>62</v>
      </c>
    </row>
    <row r="125" spans="1:13" x14ac:dyDescent="0.25">
      <c r="A125" s="1" t="s">
        <v>29</v>
      </c>
      <c r="B125" s="39">
        <f t="shared" si="50"/>
        <v>0</v>
      </c>
      <c r="C125" s="39">
        <f t="shared" ref="C125:I125" si="62">IF(C84&gt;0,C84*C105,0)</f>
        <v>0</v>
      </c>
      <c r="D125" s="39">
        <f t="shared" si="62"/>
        <v>0</v>
      </c>
      <c r="E125" s="39">
        <f t="shared" si="62"/>
        <v>0</v>
      </c>
      <c r="F125" s="39">
        <f t="shared" si="62"/>
        <v>0</v>
      </c>
      <c r="G125" s="39">
        <f t="shared" si="62"/>
        <v>0</v>
      </c>
      <c r="H125" s="39">
        <f t="shared" si="62"/>
        <v>0</v>
      </c>
      <c r="I125" s="39">
        <f t="shared" si="62"/>
        <v>0</v>
      </c>
      <c r="J125" s="39">
        <f t="shared" si="48"/>
        <v>0</v>
      </c>
      <c r="M125" s="183"/>
    </row>
    <row r="126" spans="1:13" x14ac:dyDescent="0.25">
      <c r="A126" s="1" t="s">
        <v>52</v>
      </c>
      <c r="B126" s="39">
        <f t="shared" si="50"/>
        <v>0</v>
      </c>
      <c r="C126" s="39">
        <f t="shared" ref="C126:I126" si="63">IF(C85&gt;0,C85*C106,0)</f>
        <v>0</v>
      </c>
      <c r="D126" s="39">
        <f t="shared" si="63"/>
        <v>0</v>
      </c>
      <c r="E126" s="39">
        <f t="shared" si="63"/>
        <v>0</v>
      </c>
      <c r="F126" s="39">
        <f t="shared" si="63"/>
        <v>0</v>
      </c>
      <c r="G126" s="39">
        <f t="shared" si="63"/>
        <v>0</v>
      </c>
      <c r="H126" s="39">
        <f t="shared" si="63"/>
        <v>0</v>
      </c>
      <c r="I126" s="39">
        <f t="shared" si="63"/>
        <v>0</v>
      </c>
      <c r="J126" s="39">
        <f t="shared" si="48"/>
        <v>0</v>
      </c>
      <c r="L126" s="35" t="s">
        <v>151</v>
      </c>
      <c r="M126" s="183" t="s">
        <v>63</v>
      </c>
    </row>
    <row r="127" spans="1:13" x14ac:dyDescent="0.25">
      <c r="A127" s="1" t="s">
        <v>1</v>
      </c>
      <c r="B127" s="40">
        <f t="shared" si="50"/>
        <v>0</v>
      </c>
      <c r="C127" s="40">
        <f t="shared" ref="C127:I127" si="64">IF(C86&gt;0,C86*C107,0)</f>
        <v>0</v>
      </c>
      <c r="D127" s="40">
        <f t="shared" si="64"/>
        <v>0</v>
      </c>
      <c r="E127" s="40">
        <f t="shared" si="64"/>
        <v>0</v>
      </c>
      <c r="F127" s="40">
        <f t="shared" si="64"/>
        <v>0</v>
      </c>
      <c r="G127" s="40">
        <f t="shared" si="64"/>
        <v>0</v>
      </c>
      <c r="H127" s="40">
        <f t="shared" si="64"/>
        <v>0</v>
      </c>
      <c r="I127" s="40">
        <f t="shared" si="64"/>
        <v>0</v>
      </c>
      <c r="J127" s="40">
        <f t="shared" si="48"/>
        <v>0</v>
      </c>
      <c r="L127" s="42" t="s">
        <v>61</v>
      </c>
      <c r="M127" s="184"/>
    </row>
    <row r="128" spans="1:13" x14ac:dyDescent="0.25">
      <c r="A128" s="4"/>
      <c r="B128" s="39">
        <f>SUM(B111:B127)</f>
        <v>0</v>
      </c>
      <c r="C128" s="39">
        <f t="shared" ref="C128:J128" si="65">SUM(C111:C127)</f>
        <v>0</v>
      </c>
      <c r="D128" s="39">
        <f t="shared" si="65"/>
        <v>0</v>
      </c>
      <c r="E128" s="39">
        <f t="shared" si="65"/>
        <v>0</v>
      </c>
      <c r="F128" s="39">
        <f t="shared" si="65"/>
        <v>0</v>
      </c>
      <c r="G128" s="39">
        <f t="shared" si="65"/>
        <v>0</v>
      </c>
      <c r="H128" s="39">
        <f t="shared" si="65"/>
        <v>0</v>
      </c>
      <c r="I128" s="39">
        <f t="shared" si="65"/>
        <v>0</v>
      </c>
      <c r="J128" s="39">
        <f t="shared" si="65"/>
        <v>0</v>
      </c>
      <c r="L128" s="108">
        <v>60000</v>
      </c>
      <c r="M128" s="7">
        <f>J128-L128</f>
        <v>-60000</v>
      </c>
    </row>
    <row r="129" spans="1:13" ht="15.75" thickBot="1" x14ac:dyDescent="0.3">
      <c r="A129" s="4"/>
      <c r="B129" s="39"/>
      <c r="C129" s="39"/>
      <c r="D129" s="39"/>
      <c r="E129" s="39"/>
      <c r="F129" s="39"/>
      <c r="G129" s="39"/>
      <c r="H129" s="39"/>
      <c r="I129" s="39"/>
      <c r="J129" s="39"/>
      <c r="M129" s="7"/>
    </row>
    <row r="130" spans="1:13" ht="15.75" thickBot="1" x14ac:dyDescent="0.3">
      <c r="A130" s="170" t="s">
        <v>30</v>
      </c>
      <c r="B130" s="171"/>
      <c r="C130" s="171"/>
      <c r="D130" s="171"/>
      <c r="E130" s="171"/>
      <c r="F130" s="171"/>
      <c r="G130" s="171"/>
      <c r="H130" s="171"/>
      <c r="I130" s="171"/>
      <c r="J130" s="172"/>
      <c r="M130" s="7"/>
    </row>
    <row r="131" spans="1:13" x14ac:dyDescent="0.25">
      <c r="A131" s="4" t="s">
        <v>16</v>
      </c>
      <c r="B131" s="5" t="s">
        <v>15</v>
      </c>
      <c r="C131" s="5" t="s">
        <v>14</v>
      </c>
      <c r="D131" s="5" t="s">
        <v>13</v>
      </c>
      <c r="E131" s="5" t="s">
        <v>12</v>
      </c>
      <c r="F131" s="5" t="s">
        <v>93</v>
      </c>
      <c r="G131" s="5" t="s">
        <v>94</v>
      </c>
      <c r="H131" s="5" t="s">
        <v>38</v>
      </c>
      <c r="I131" s="5" t="s">
        <v>9</v>
      </c>
      <c r="J131" s="5" t="s">
        <v>0</v>
      </c>
      <c r="M131" s="7"/>
    </row>
    <row r="132" spans="1:13" x14ac:dyDescent="0.25">
      <c r="A132" s="1" t="s">
        <v>49</v>
      </c>
      <c r="B132" s="39">
        <f>B70-B111</f>
        <v>0</v>
      </c>
      <c r="C132" s="39">
        <f t="shared" ref="C132:I132" si="66">C70-C111</f>
        <v>0</v>
      </c>
      <c r="D132" s="39">
        <f t="shared" si="66"/>
        <v>0</v>
      </c>
      <c r="E132" s="39">
        <f t="shared" si="66"/>
        <v>0</v>
      </c>
      <c r="F132" s="39">
        <f t="shared" si="66"/>
        <v>0</v>
      </c>
      <c r="G132" s="39">
        <f t="shared" si="66"/>
        <v>0</v>
      </c>
      <c r="H132" s="39">
        <f t="shared" si="66"/>
        <v>0</v>
      </c>
      <c r="I132" s="39">
        <f t="shared" si="66"/>
        <v>0</v>
      </c>
      <c r="J132" s="39">
        <f>SUM(B132:H132)</f>
        <v>0</v>
      </c>
      <c r="M132" s="7"/>
    </row>
    <row r="133" spans="1:13" x14ac:dyDescent="0.25">
      <c r="A133" s="1" t="s">
        <v>8</v>
      </c>
      <c r="B133" s="39">
        <f>B71-B112</f>
        <v>0</v>
      </c>
      <c r="C133" s="39">
        <f t="shared" ref="C133:I133" si="67">C71-C112</f>
        <v>0</v>
      </c>
      <c r="D133" s="39">
        <f t="shared" si="67"/>
        <v>0</v>
      </c>
      <c r="E133" s="39">
        <f t="shared" si="67"/>
        <v>0</v>
      </c>
      <c r="F133" s="39">
        <f t="shared" si="67"/>
        <v>0</v>
      </c>
      <c r="G133" s="39">
        <f t="shared" si="67"/>
        <v>0</v>
      </c>
      <c r="H133" s="39">
        <f t="shared" si="67"/>
        <v>0</v>
      </c>
      <c r="I133" s="39">
        <f t="shared" si="67"/>
        <v>0</v>
      </c>
      <c r="J133" s="39">
        <f t="shared" ref="J133:J148" si="68">SUM(B133:H133)</f>
        <v>0</v>
      </c>
      <c r="M133" s="7"/>
    </row>
    <row r="134" spans="1:13" x14ac:dyDescent="0.25">
      <c r="A134" s="1" t="s">
        <v>7</v>
      </c>
      <c r="B134" s="39">
        <f>B72-B113</f>
        <v>0</v>
      </c>
      <c r="C134" s="39">
        <f t="shared" ref="C134:I134" si="69">C72-C113</f>
        <v>0</v>
      </c>
      <c r="D134" s="39">
        <f t="shared" si="69"/>
        <v>0</v>
      </c>
      <c r="E134" s="39">
        <f t="shared" si="69"/>
        <v>0</v>
      </c>
      <c r="F134" s="39">
        <f t="shared" si="69"/>
        <v>0</v>
      </c>
      <c r="G134" s="39">
        <f t="shared" si="69"/>
        <v>0</v>
      </c>
      <c r="H134" s="39">
        <f t="shared" si="69"/>
        <v>0</v>
      </c>
      <c r="I134" s="39">
        <f t="shared" si="69"/>
        <v>0</v>
      </c>
      <c r="J134" s="39">
        <f t="shared" si="68"/>
        <v>0</v>
      </c>
      <c r="M134" s="7"/>
    </row>
    <row r="135" spans="1:13" x14ac:dyDescent="0.25">
      <c r="A135" s="1" t="s">
        <v>42</v>
      </c>
      <c r="B135" s="39">
        <f t="shared" ref="B135:B148" si="70">B73-B114</f>
        <v>0</v>
      </c>
      <c r="C135" s="39">
        <f t="shared" ref="C135:I135" si="71">C73-C114</f>
        <v>0</v>
      </c>
      <c r="D135" s="39">
        <f t="shared" si="71"/>
        <v>0</v>
      </c>
      <c r="E135" s="39">
        <f t="shared" si="71"/>
        <v>0</v>
      </c>
      <c r="F135" s="39">
        <f t="shared" si="71"/>
        <v>0</v>
      </c>
      <c r="G135" s="39">
        <f t="shared" si="71"/>
        <v>0</v>
      </c>
      <c r="H135" s="39">
        <f t="shared" si="71"/>
        <v>0</v>
      </c>
      <c r="I135" s="39">
        <f t="shared" si="71"/>
        <v>0</v>
      </c>
      <c r="J135" s="39">
        <f t="shared" si="68"/>
        <v>0</v>
      </c>
      <c r="M135" s="7"/>
    </row>
    <row r="136" spans="1:13" x14ac:dyDescent="0.25">
      <c r="A136" s="1" t="s">
        <v>6</v>
      </c>
      <c r="B136" s="39">
        <f t="shared" si="70"/>
        <v>0</v>
      </c>
      <c r="C136" s="39">
        <f t="shared" ref="C136:I136" si="72">C74-C115</f>
        <v>0</v>
      </c>
      <c r="D136" s="39">
        <f t="shared" si="72"/>
        <v>0</v>
      </c>
      <c r="E136" s="39">
        <f t="shared" si="72"/>
        <v>0</v>
      </c>
      <c r="F136" s="39">
        <f t="shared" si="72"/>
        <v>0</v>
      </c>
      <c r="G136" s="39">
        <f t="shared" si="72"/>
        <v>0</v>
      </c>
      <c r="H136" s="39">
        <f t="shared" si="72"/>
        <v>0</v>
      </c>
      <c r="I136" s="39">
        <f t="shared" si="72"/>
        <v>0</v>
      </c>
      <c r="J136" s="39">
        <f t="shared" si="68"/>
        <v>0</v>
      </c>
      <c r="M136" s="7"/>
    </row>
    <row r="137" spans="1:13" x14ac:dyDescent="0.25">
      <c r="A137" s="1" t="s">
        <v>50</v>
      </c>
      <c r="B137" s="39">
        <f t="shared" si="70"/>
        <v>0</v>
      </c>
      <c r="C137" s="39">
        <f t="shared" ref="C137:I137" si="73">C75-C116</f>
        <v>0</v>
      </c>
      <c r="D137" s="39">
        <f t="shared" si="73"/>
        <v>0</v>
      </c>
      <c r="E137" s="39">
        <f t="shared" si="73"/>
        <v>0</v>
      </c>
      <c r="F137" s="39">
        <f t="shared" si="73"/>
        <v>0</v>
      </c>
      <c r="G137" s="39">
        <f t="shared" si="73"/>
        <v>0</v>
      </c>
      <c r="H137" s="39">
        <f t="shared" si="73"/>
        <v>0</v>
      </c>
      <c r="I137" s="39">
        <f t="shared" si="73"/>
        <v>0</v>
      </c>
      <c r="J137" s="39">
        <f t="shared" si="68"/>
        <v>0</v>
      </c>
      <c r="M137" s="7"/>
    </row>
    <row r="138" spans="1:13" x14ac:dyDescent="0.25">
      <c r="A138" s="1" t="s">
        <v>89</v>
      </c>
      <c r="B138" s="39">
        <f t="shared" si="70"/>
        <v>0</v>
      </c>
      <c r="C138" s="39">
        <f t="shared" ref="C138:I138" si="74">C76-C117</f>
        <v>0</v>
      </c>
      <c r="D138" s="39">
        <f t="shared" si="74"/>
        <v>0</v>
      </c>
      <c r="E138" s="39">
        <f t="shared" si="74"/>
        <v>0</v>
      </c>
      <c r="F138" s="39">
        <f t="shared" si="74"/>
        <v>0</v>
      </c>
      <c r="G138" s="39">
        <f t="shared" si="74"/>
        <v>0</v>
      </c>
      <c r="H138" s="39">
        <f t="shared" si="74"/>
        <v>0</v>
      </c>
      <c r="I138" s="39">
        <f t="shared" si="74"/>
        <v>0</v>
      </c>
      <c r="J138" s="39">
        <f t="shared" si="68"/>
        <v>0</v>
      </c>
      <c r="M138" s="7"/>
    </row>
    <row r="139" spans="1:13" x14ac:dyDescent="0.25">
      <c r="A139" s="1" t="s">
        <v>5</v>
      </c>
      <c r="B139" s="39">
        <f t="shared" si="70"/>
        <v>0</v>
      </c>
      <c r="C139" s="39">
        <f t="shared" ref="C139:I139" si="75">C77-C118</f>
        <v>0</v>
      </c>
      <c r="D139" s="39">
        <f t="shared" si="75"/>
        <v>0</v>
      </c>
      <c r="E139" s="39">
        <f t="shared" si="75"/>
        <v>0</v>
      </c>
      <c r="F139" s="39">
        <f t="shared" si="75"/>
        <v>0</v>
      </c>
      <c r="G139" s="39">
        <f t="shared" si="75"/>
        <v>0</v>
      </c>
      <c r="H139" s="39">
        <f t="shared" si="75"/>
        <v>0</v>
      </c>
      <c r="I139" s="39">
        <f t="shared" si="75"/>
        <v>0</v>
      </c>
      <c r="J139" s="39">
        <f t="shared" si="68"/>
        <v>0</v>
      </c>
      <c r="M139" s="7"/>
    </row>
    <row r="140" spans="1:13" x14ac:dyDescent="0.25">
      <c r="A140" s="1" t="s">
        <v>84</v>
      </c>
      <c r="B140" s="39">
        <f t="shared" si="70"/>
        <v>0</v>
      </c>
      <c r="C140" s="39">
        <f t="shared" ref="C140:I140" si="76">C78-C119</f>
        <v>0</v>
      </c>
      <c r="D140" s="39">
        <f t="shared" si="76"/>
        <v>0</v>
      </c>
      <c r="E140" s="39">
        <f t="shared" si="76"/>
        <v>0</v>
      </c>
      <c r="F140" s="39">
        <f t="shared" si="76"/>
        <v>0</v>
      </c>
      <c r="G140" s="39">
        <f t="shared" si="76"/>
        <v>0</v>
      </c>
      <c r="H140" s="39">
        <f t="shared" si="76"/>
        <v>0</v>
      </c>
      <c r="I140" s="39">
        <f t="shared" si="76"/>
        <v>0</v>
      </c>
      <c r="J140" s="39">
        <f t="shared" si="68"/>
        <v>0</v>
      </c>
      <c r="M140" s="7"/>
    </row>
    <row r="141" spans="1:13" x14ac:dyDescent="0.25">
      <c r="A141" s="1" t="s">
        <v>4</v>
      </c>
      <c r="B141" s="39">
        <f t="shared" si="70"/>
        <v>0</v>
      </c>
      <c r="C141" s="39">
        <f t="shared" ref="C141:I141" si="77">C79-C120</f>
        <v>0</v>
      </c>
      <c r="D141" s="39">
        <f t="shared" si="77"/>
        <v>0</v>
      </c>
      <c r="E141" s="39">
        <f t="shared" si="77"/>
        <v>0</v>
      </c>
      <c r="F141" s="39">
        <f t="shared" si="77"/>
        <v>0</v>
      </c>
      <c r="G141" s="39">
        <f t="shared" si="77"/>
        <v>0</v>
      </c>
      <c r="H141" s="39">
        <f t="shared" si="77"/>
        <v>0</v>
      </c>
      <c r="I141" s="39">
        <f t="shared" si="77"/>
        <v>0</v>
      </c>
      <c r="J141" s="39">
        <f t="shared" si="68"/>
        <v>0</v>
      </c>
      <c r="M141" s="7"/>
    </row>
    <row r="142" spans="1:13" x14ac:dyDescent="0.25">
      <c r="A142" s="1" t="s">
        <v>51</v>
      </c>
      <c r="B142" s="39">
        <f t="shared" si="70"/>
        <v>0</v>
      </c>
      <c r="C142" s="39">
        <f t="shared" ref="C142:I142" si="78">C80-C121</f>
        <v>0</v>
      </c>
      <c r="D142" s="39">
        <f t="shared" si="78"/>
        <v>0</v>
      </c>
      <c r="E142" s="39">
        <f t="shared" si="78"/>
        <v>0</v>
      </c>
      <c r="F142" s="39">
        <f t="shared" si="78"/>
        <v>0</v>
      </c>
      <c r="G142" s="39">
        <f t="shared" si="78"/>
        <v>0</v>
      </c>
      <c r="H142" s="39">
        <f t="shared" si="78"/>
        <v>0</v>
      </c>
      <c r="I142" s="39">
        <f t="shared" si="78"/>
        <v>0</v>
      </c>
      <c r="J142" s="39">
        <f t="shared" si="68"/>
        <v>0</v>
      </c>
      <c r="M142" s="7"/>
    </row>
    <row r="143" spans="1:13" x14ac:dyDescent="0.25">
      <c r="A143" s="1" t="s">
        <v>85</v>
      </c>
      <c r="B143" s="39">
        <f t="shared" si="70"/>
        <v>0</v>
      </c>
      <c r="C143" s="39">
        <f t="shared" ref="C143:I143" si="79">C81-C122</f>
        <v>0</v>
      </c>
      <c r="D143" s="39">
        <f t="shared" si="79"/>
        <v>0</v>
      </c>
      <c r="E143" s="39">
        <f t="shared" si="79"/>
        <v>0</v>
      </c>
      <c r="F143" s="39">
        <f t="shared" si="79"/>
        <v>0</v>
      </c>
      <c r="G143" s="39">
        <f t="shared" si="79"/>
        <v>0</v>
      </c>
      <c r="H143" s="39">
        <f t="shared" si="79"/>
        <v>0</v>
      </c>
      <c r="I143" s="39">
        <f t="shared" si="79"/>
        <v>0</v>
      </c>
      <c r="J143" s="39">
        <f t="shared" si="68"/>
        <v>0</v>
      </c>
      <c r="M143" s="7"/>
    </row>
    <row r="144" spans="1:13" x14ac:dyDescent="0.25">
      <c r="A144" s="1" t="s">
        <v>2</v>
      </c>
      <c r="B144" s="39">
        <f t="shared" si="70"/>
        <v>0</v>
      </c>
      <c r="C144" s="39">
        <f t="shared" ref="C144:I144" si="80">C82-C123</f>
        <v>0</v>
      </c>
      <c r="D144" s="39">
        <f t="shared" si="80"/>
        <v>0</v>
      </c>
      <c r="E144" s="39">
        <f t="shared" si="80"/>
        <v>0</v>
      </c>
      <c r="F144" s="39">
        <f t="shared" si="80"/>
        <v>0</v>
      </c>
      <c r="G144" s="39">
        <f t="shared" si="80"/>
        <v>0</v>
      </c>
      <c r="H144" s="39">
        <f t="shared" si="80"/>
        <v>0</v>
      </c>
      <c r="I144" s="39">
        <f t="shared" si="80"/>
        <v>0</v>
      </c>
      <c r="J144" s="39">
        <f t="shared" si="68"/>
        <v>0</v>
      </c>
      <c r="M144" s="7"/>
    </row>
    <row r="145" spans="1:13" x14ac:dyDescent="0.25">
      <c r="A145" s="1" t="s">
        <v>86</v>
      </c>
      <c r="B145" s="39">
        <f t="shared" si="70"/>
        <v>0</v>
      </c>
      <c r="C145" s="39">
        <f t="shared" ref="C145:I145" si="81">C83-C124</f>
        <v>0</v>
      </c>
      <c r="D145" s="39">
        <f t="shared" si="81"/>
        <v>0</v>
      </c>
      <c r="E145" s="39">
        <f t="shared" si="81"/>
        <v>0</v>
      </c>
      <c r="F145" s="39">
        <f t="shared" si="81"/>
        <v>0</v>
      </c>
      <c r="G145" s="39">
        <f t="shared" si="81"/>
        <v>0</v>
      </c>
      <c r="H145" s="39">
        <f t="shared" si="81"/>
        <v>0</v>
      </c>
      <c r="I145" s="39">
        <f t="shared" si="81"/>
        <v>0</v>
      </c>
      <c r="J145" s="39">
        <f t="shared" si="68"/>
        <v>0</v>
      </c>
      <c r="M145" s="7"/>
    </row>
    <row r="146" spans="1:13" x14ac:dyDescent="0.25">
      <c r="A146" s="1" t="s">
        <v>29</v>
      </c>
      <c r="B146" s="39">
        <f t="shared" si="70"/>
        <v>0</v>
      </c>
      <c r="C146" s="39">
        <f t="shared" ref="C146:I146" si="82">C84-C125</f>
        <v>0</v>
      </c>
      <c r="D146" s="39">
        <f t="shared" si="82"/>
        <v>0</v>
      </c>
      <c r="E146" s="39">
        <f t="shared" si="82"/>
        <v>0</v>
      </c>
      <c r="F146" s="39">
        <f t="shared" si="82"/>
        <v>0</v>
      </c>
      <c r="G146" s="39">
        <f t="shared" si="82"/>
        <v>0</v>
      </c>
      <c r="H146" s="39">
        <f t="shared" si="82"/>
        <v>0</v>
      </c>
      <c r="I146" s="39">
        <f t="shared" si="82"/>
        <v>0</v>
      </c>
      <c r="J146" s="39">
        <f t="shared" si="68"/>
        <v>0</v>
      </c>
      <c r="M146" s="7"/>
    </row>
    <row r="147" spans="1:13" x14ac:dyDescent="0.25">
      <c r="A147" s="1" t="s">
        <v>52</v>
      </c>
      <c r="B147" s="39">
        <f t="shared" si="70"/>
        <v>0</v>
      </c>
      <c r="C147" s="39">
        <f t="shared" ref="C147:I147" si="83">C85-C126</f>
        <v>0</v>
      </c>
      <c r="D147" s="39">
        <f t="shared" si="83"/>
        <v>0</v>
      </c>
      <c r="E147" s="39">
        <f t="shared" si="83"/>
        <v>0</v>
      </c>
      <c r="F147" s="39">
        <f t="shared" si="83"/>
        <v>0</v>
      </c>
      <c r="G147" s="39">
        <f t="shared" si="83"/>
        <v>0</v>
      </c>
      <c r="H147" s="39">
        <f t="shared" si="83"/>
        <v>0</v>
      </c>
      <c r="I147" s="39">
        <f t="shared" si="83"/>
        <v>0</v>
      </c>
      <c r="J147" s="39">
        <f t="shared" si="68"/>
        <v>0</v>
      </c>
      <c r="M147" s="7"/>
    </row>
    <row r="148" spans="1:13" x14ac:dyDescent="0.25">
      <c r="A148" s="1" t="s">
        <v>1</v>
      </c>
      <c r="B148" s="40">
        <f t="shared" si="70"/>
        <v>0</v>
      </c>
      <c r="C148" s="40">
        <f t="shared" ref="C148:I148" si="84">C86-C127</f>
        <v>0</v>
      </c>
      <c r="D148" s="40">
        <f t="shared" si="84"/>
        <v>0</v>
      </c>
      <c r="E148" s="40">
        <f t="shared" si="84"/>
        <v>0</v>
      </c>
      <c r="F148" s="40">
        <f t="shared" si="84"/>
        <v>0</v>
      </c>
      <c r="G148" s="40">
        <f t="shared" si="84"/>
        <v>0</v>
      </c>
      <c r="H148" s="40">
        <f t="shared" si="84"/>
        <v>0</v>
      </c>
      <c r="I148" s="40">
        <f t="shared" si="84"/>
        <v>0</v>
      </c>
      <c r="J148" s="40">
        <f t="shared" si="68"/>
        <v>0</v>
      </c>
      <c r="M148" s="7"/>
    </row>
    <row r="149" spans="1:13" x14ac:dyDescent="0.25">
      <c r="A149" s="4"/>
      <c r="B149" s="39">
        <f>SUM(B132:B148)</f>
        <v>0</v>
      </c>
      <c r="C149" s="39">
        <f t="shared" ref="C149:J149" si="85">SUM(C132:C148)</f>
        <v>0</v>
      </c>
      <c r="D149" s="39">
        <f t="shared" si="85"/>
        <v>0</v>
      </c>
      <c r="E149" s="39">
        <f t="shared" si="85"/>
        <v>0</v>
      </c>
      <c r="F149" s="39">
        <f t="shared" si="85"/>
        <v>0</v>
      </c>
      <c r="G149" s="39">
        <f t="shared" si="85"/>
        <v>0</v>
      </c>
      <c r="H149" s="39">
        <f t="shared" si="85"/>
        <v>0</v>
      </c>
      <c r="I149" s="39">
        <f t="shared" si="85"/>
        <v>0</v>
      </c>
      <c r="J149" s="39">
        <f t="shared" si="85"/>
        <v>0</v>
      </c>
      <c r="M149" s="7"/>
    </row>
    <row r="150" spans="1:13" x14ac:dyDescent="0.25">
      <c r="A150" s="4"/>
      <c r="B150" s="39"/>
      <c r="C150" s="39"/>
      <c r="D150" s="39"/>
      <c r="E150" s="39"/>
      <c r="F150" s="39"/>
      <c r="G150" s="39"/>
      <c r="H150" s="39"/>
      <c r="I150" s="39"/>
      <c r="J150" s="39"/>
      <c r="M150" s="7"/>
    </row>
    <row r="151" spans="1:13" x14ac:dyDescent="0.25">
      <c r="A151" s="4"/>
      <c r="B151" s="39"/>
      <c r="C151" s="39"/>
      <c r="D151" s="39"/>
      <c r="E151" s="39"/>
      <c r="F151" s="39"/>
      <c r="G151" s="39"/>
      <c r="H151" s="39"/>
      <c r="I151" s="39"/>
      <c r="J151" s="39"/>
      <c r="M151" s="7"/>
    </row>
    <row r="152" spans="1:13" x14ac:dyDescent="0.25">
      <c r="A152" s="4"/>
      <c r="B152" s="39"/>
      <c r="C152" s="39"/>
      <c r="D152" s="39"/>
      <c r="E152" s="39"/>
      <c r="F152" s="39"/>
      <c r="G152" s="39"/>
      <c r="H152" s="39"/>
      <c r="I152" s="39"/>
      <c r="J152" s="39"/>
      <c r="M152" s="7"/>
    </row>
    <row r="153" spans="1:13" x14ac:dyDescent="0.25">
      <c r="A153" s="4"/>
      <c r="B153" s="39"/>
      <c r="C153" s="39"/>
      <c r="D153" s="39"/>
      <c r="E153" s="39"/>
      <c r="F153" s="39"/>
      <c r="G153" s="39"/>
      <c r="H153" s="39"/>
      <c r="I153" s="39"/>
      <c r="J153" s="39"/>
      <c r="M153" s="7"/>
    </row>
    <row r="154" spans="1:13" x14ac:dyDescent="0.25">
      <c r="A154" s="4"/>
      <c r="B154" s="39"/>
      <c r="C154" s="39"/>
      <c r="D154" s="39"/>
      <c r="E154" s="39"/>
      <c r="F154" s="39"/>
      <c r="G154" s="39"/>
      <c r="H154" s="39"/>
      <c r="I154" s="39"/>
      <c r="J154" s="39"/>
      <c r="M154" s="7"/>
    </row>
    <row r="155" spans="1:13" x14ac:dyDescent="0.25">
      <c r="A155" s="4"/>
      <c r="B155" s="39"/>
      <c r="C155" s="39"/>
      <c r="D155" s="39"/>
      <c r="E155" s="39"/>
      <c r="F155" s="39"/>
      <c r="G155" s="39"/>
      <c r="H155" s="39"/>
      <c r="I155" s="39"/>
      <c r="J155" s="39"/>
      <c r="M155" s="7"/>
    </row>
    <row r="156" spans="1:13" x14ac:dyDescent="0.25">
      <c r="A156" s="4"/>
      <c r="B156" s="39"/>
      <c r="C156" s="39"/>
      <c r="D156" s="39"/>
      <c r="E156" s="39"/>
      <c r="F156" s="39"/>
      <c r="G156" s="39"/>
      <c r="H156" s="39"/>
      <c r="I156" s="39"/>
      <c r="J156" s="39"/>
      <c r="M156" s="7"/>
    </row>
    <row r="157" spans="1:13" x14ac:dyDescent="0.25">
      <c r="A157" s="1"/>
      <c r="B157" s="9"/>
      <c r="C157" s="9"/>
      <c r="D157" s="9"/>
      <c r="E157" s="9"/>
      <c r="F157" s="9"/>
      <c r="G157" s="9"/>
      <c r="H157" s="9"/>
      <c r="I157" s="9"/>
      <c r="J157" s="9"/>
      <c r="M157" s="7"/>
    </row>
    <row r="158" spans="1:13" x14ac:dyDescent="0.25">
      <c r="A158" s="1"/>
      <c r="B158" s="9"/>
      <c r="C158" s="9"/>
      <c r="D158" s="9"/>
      <c r="E158" s="9"/>
      <c r="F158" s="9"/>
      <c r="G158" s="9"/>
      <c r="H158" s="9"/>
      <c r="I158" s="9"/>
      <c r="J158" s="9"/>
      <c r="M158" s="7"/>
    </row>
  </sheetData>
  <mergeCells count="16">
    <mergeCell ref="A1:M1"/>
    <mergeCell ref="A2:M2"/>
    <mergeCell ref="A3:M3"/>
    <mergeCell ref="A4:M4"/>
    <mergeCell ref="A6:J6"/>
    <mergeCell ref="L6:M6"/>
    <mergeCell ref="A109:J109"/>
    <mergeCell ref="M124:M125"/>
    <mergeCell ref="M126:M127"/>
    <mergeCell ref="A130:J130"/>
    <mergeCell ref="A27:J27"/>
    <mergeCell ref="A47:J47"/>
    <mergeCell ref="M62:M63"/>
    <mergeCell ref="M64:M65"/>
    <mergeCell ref="A68:J68"/>
    <mergeCell ref="A89:J89"/>
  </mergeCells>
  <pageMargins left="0.7" right="0.7" top="0.75" bottom="0.75" header="0.3" footer="0.3"/>
  <pageSetup scale="31"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pageSetUpPr fitToPage="1"/>
  </sheetPr>
  <dimension ref="A1:Q158"/>
  <sheetViews>
    <sheetView topLeftCell="A121" zoomScale="85" zoomScaleNormal="85" workbookViewId="0">
      <selection activeCell="B7" sqref="B7:I7"/>
    </sheetView>
  </sheetViews>
  <sheetFormatPr defaultColWidth="9.140625" defaultRowHeight="15" x14ac:dyDescent="0.25"/>
  <cols>
    <col min="1" max="1" width="38.85546875" bestFit="1" customWidth="1"/>
    <col min="2" max="10" width="12.7109375" customWidth="1"/>
    <col min="11" max="11" width="2.5703125" customWidth="1"/>
    <col min="12" max="12" width="12.7109375" customWidth="1"/>
    <col min="13" max="13" width="30.7109375" customWidth="1"/>
    <col min="14" max="14" width="18.5703125" customWidth="1"/>
  </cols>
  <sheetData>
    <row r="1" spans="1:15" ht="18.75" x14ac:dyDescent="0.3">
      <c r="A1" s="173" t="s">
        <v>17</v>
      </c>
      <c r="B1" s="173"/>
      <c r="C1" s="173"/>
      <c r="D1" s="173"/>
      <c r="E1" s="173"/>
      <c r="F1" s="173"/>
      <c r="G1" s="173"/>
      <c r="H1" s="173"/>
      <c r="I1" s="173"/>
      <c r="J1" s="173"/>
      <c r="K1" s="173"/>
      <c r="L1" s="173"/>
      <c r="M1" s="173"/>
      <c r="O1" s="31"/>
    </row>
    <row r="2" spans="1:15" ht="15.75" x14ac:dyDescent="0.25">
      <c r="A2" s="174" t="s">
        <v>269</v>
      </c>
      <c r="B2" s="174"/>
      <c r="C2" s="174"/>
      <c r="D2" s="174"/>
      <c r="E2" s="174"/>
      <c r="F2" s="174"/>
      <c r="G2" s="174"/>
      <c r="H2" s="174"/>
      <c r="I2" s="174"/>
      <c r="J2" s="174"/>
      <c r="K2" s="174"/>
      <c r="L2" s="174"/>
      <c r="M2" s="174"/>
      <c r="O2" s="31"/>
    </row>
    <row r="3" spans="1:15" x14ac:dyDescent="0.25">
      <c r="A3" s="175" t="s">
        <v>31</v>
      </c>
      <c r="B3" s="175"/>
      <c r="C3" s="175"/>
      <c r="D3" s="175"/>
      <c r="E3" s="175"/>
      <c r="F3" s="175"/>
      <c r="G3" s="175"/>
      <c r="H3" s="175"/>
      <c r="I3" s="175"/>
      <c r="J3" s="175"/>
      <c r="K3" s="175"/>
      <c r="L3" s="175"/>
      <c r="M3" s="175"/>
    </row>
    <row r="4" spans="1:15" x14ac:dyDescent="0.25">
      <c r="A4" s="187">
        <f>'Company Summary'!A4:J4</f>
        <v>45199</v>
      </c>
      <c r="B4" s="187"/>
      <c r="C4" s="187"/>
      <c r="D4" s="187"/>
      <c r="E4" s="187"/>
      <c r="F4" s="187"/>
      <c r="G4" s="187"/>
      <c r="H4" s="187"/>
      <c r="I4" s="187"/>
      <c r="J4" s="187"/>
      <c r="K4" s="187"/>
      <c r="L4" s="187"/>
      <c r="M4" s="187"/>
    </row>
    <row r="5" spans="1:15" ht="15.75" thickBot="1" x14ac:dyDescent="0.3">
      <c r="A5" s="81"/>
      <c r="B5" s="81"/>
      <c r="C5" s="81"/>
      <c r="D5" s="81"/>
      <c r="E5" s="81"/>
      <c r="F5" s="81"/>
      <c r="G5" s="81"/>
      <c r="H5" s="81"/>
      <c r="I5" s="81"/>
      <c r="J5" s="81"/>
      <c r="K5" s="81"/>
      <c r="L5" s="81"/>
      <c r="M5" s="81"/>
    </row>
    <row r="6" spans="1:15" ht="15.75" thickBot="1" x14ac:dyDescent="0.3">
      <c r="A6" s="170" t="s">
        <v>54</v>
      </c>
      <c r="B6" s="171"/>
      <c r="C6" s="171"/>
      <c r="D6" s="171"/>
      <c r="E6" s="171"/>
      <c r="F6" s="171"/>
      <c r="G6" s="171"/>
      <c r="H6" s="171"/>
      <c r="I6" s="171"/>
      <c r="J6" s="172"/>
      <c r="L6" s="186"/>
      <c r="M6" s="186"/>
    </row>
    <row r="7" spans="1:15" x14ac:dyDescent="0.25">
      <c r="A7" s="4" t="s">
        <v>16</v>
      </c>
      <c r="B7" s="5" t="s">
        <v>15</v>
      </c>
      <c r="C7" s="5" t="s">
        <v>14</v>
      </c>
      <c r="D7" s="5" t="s">
        <v>13</v>
      </c>
      <c r="E7" s="5" t="s">
        <v>12</v>
      </c>
      <c r="F7" s="5" t="s">
        <v>93</v>
      </c>
      <c r="G7" s="5" t="s">
        <v>94</v>
      </c>
      <c r="H7" s="5" t="s">
        <v>38</v>
      </c>
      <c r="I7" s="5" t="s">
        <v>9</v>
      </c>
      <c r="J7" s="5" t="s">
        <v>0</v>
      </c>
      <c r="L7" s="4"/>
      <c r="M7" s="4"/>
    </row>
    <row r="8" spans="1:15" x14ac:dyDescent="0.25">
      <c r="A8" s="1" t="s">
        <v>49</v>
      </c>
      <c r="B8" s="33">
        <f>'Agile AR Aging &lt;-INPUT'!C205</f>
        <v>0</v>
      </c>
      <c r="C8" s="33">
        <f>'Agile AR Aging &lt;-INPUT'!D205</f>
        <v>0</v>
      </c>
      <c r="D8" s="33">
        <f>'Agile AR Aging &lt;-INPUT'!E205</f>
        <v>0</v>
      </c>
      <c r="E8" s="33">
        <f>'Agile AR Aging &lt;-INPUT'!F205</f>
        <v>0</v>
      </c>
      <c r="F8" s="33">
        <f>'Agile AR Aging &lt;-INPUT'!G205</f>
        <v>0</v>
      </c>
      <c r="G8" s="33">
        <f>'Agile AR Aging &lt;-INPUT'!H205</f>
        <v>0</v>
      </c>
      <c r="H8" s="33">
        <f>'Agile AR Aging &lt;-INPUT'!I205</f>
        <v>0</v>
      </c>
      <c r="I8" s="33">
        <f>'Agile AR Aging &lt;-INPUT'!J205</f>
        <v>0</v>
      </c>
      <c r="J8" s="2">
        <f t="shared" ref="J8:J24" si="0">SUM(B8:H8)</f>
        <v>0</v>
      </c>
      <c r="L8" s="67"/>
    </row>
    <row r="9" spans="1:15" x14ac:dyDescent="0.25">
      <c r="A9" s="1" t="s">
        <v>8</v>
      </c>
      <c r="B9" s="33">
        <f>'Agile AR Aging &lt;-INPUT'!C206</f>
        <v>0</v>
      </c>
      <c r="C9" s="33">
        <f>'Agile AR Aging &lt;-INPUT'!D206</f>
        <v>0</v>
      </c>
      <c r="D9" s="33">
        <f>'Agile AR Aging &lt;-INPUT'!E206</f>
        <v>0</v>
      </c>
      <c r="E9" s="33">
        <f>'Agile AR Aging &lt;-INPUT'!F206</f>
        <v>0</v>
      </c>
      <c r="F9" s="33">
        <f>'Agile AR Aging &lt;-INPUT'!G206</f>
        <v>0</v>
      </c>
      <c r="G9" s="33">
        <f>'Agile AR Aging &lt;-INPUT'!H206</f>
        <v>0</v>
      </c>
      <c r="H9" s="33">
        <f>'Agile AR Aging &lt;-INPUT'!I206</f>
        <v>0</v>
      </c>
      <c r="I9" s="33">
        <f>'Agile AR Aging &lt;-INPUT'!J206</f>
        <v>0</v>
      </c>
      <c r="J9" s="2">
        <f t="shared" si="0"/>
        <v>0</v>
      </c>
      <c r="L9" s="67"/>
      <c r="N9" s="68"/>
    </row>
    <row r="10" spans="1:15" x14ac:dyDescent="0.25">
      <c r="A10" s="1" t="s">
        <v>7</v>
      </c>
      <c r="B10" s="33">
        <f>'Agile AR Aging &lt;-INPUT'!C207</f>
        <v>0</v>
      </c>
      <c r="C10" s="33">
        <f>'Agile AR Aging &lt;-INPUT'!D207</f>
        <v>0</v>
      </c>
      <c r="D10" s="33">
        <f>'Agile AR Aging &lt;-INPUT'!E207</f>
        <v>0</v>
      </c>
      <c r="E10" s="33">
        <f>'Agile AR Aging &lt;-INPUT'!F207</f>
        <v>0</v>
      </c>
      <c r="F10" s="33">
        <f>'Agile AR Aging &lt;-INPUT'!G207</f>
        <v>0</v>
      </c>
      <c r="G10" s="33">
        <f>'Agile AR Aging &lt;-INPUT'!H207</f>
        <v>0</v>
      </c>
      <c r="H10" s="33">
        <f>'Agile AR Aging &lt;-INPUT'!I207</f>
        <v>0</v>
      </c>
      <c r="I10" s="33">
        <f>'Agile AR Aging &lt;-INPUT'!J207</f>
        <v>0</v>
      </c>
      <c r="J10" s="2">
        <f t="shared" si="0"/>
        <v>0</v>
      </c>
      <c r="L10" s="67"/>
      <c r="N10" s="68"/>
    </row>
    <row r="11" spans="1:15" x14ac:dyDescent="0.25">
      <c r="A11" s="1" t="s">
        <v>42</v>
      </c>
      <c r="B11" s="33">
        <f>'Agile AR Aging &lt;-INPUT'!C208</f>
        <v>0</v>
      </c>
      <c r="C11" s="33">
        <f>'Agile AR Aging &lt;-INPUT'!D208</f>
        <v>0</v>
      </c>
      <c r="D11" s="33">
        <f>'Agile AR Aging &lt;-INPUT'!E208</f>
        <v>0</v>
      </c>
      <c r="E11" s="33">
        <f>'Agile AR Aging &lt;-INPUT'!F208</f>
        <v>0</v>
      </c>
      <c r="F11" s="33">
        <f>'Agile AR Aging &lt;-INPUT'!G208</f>
        <v>0</v>
      </c>
      <c r="G11" s="33">
        <f>'Agile AR Aging &lt;-INPUT'!H208</f>
        <v>0</v>
      </c>
      <c r="H11" s="33">
        <f>'Agile AR Aging &lt;-INPUT'!I208</f>
        <v>0</v>
      </c>
      <c r="I11" s="33">
        <f>'Agile AR Aging &lt;-INPUT'!J208</f>
        <v>0</v>
      </c>
      <c r="J11" s="2">
        <f t="shared" si="0"/>
        <v>0</v>
      </c>
      <c r="L11" s="67"/>
      <c r="N11" s="68"/>
    </row>
    <row r="12" spans="1:15" x14ac:dyDescent="0.25">
      <c r="A12" s="1" t="s">
        <v>6</v>
      </c>
      <c r="B12" s="33">
        <f>'Agile AR Aging &lt;-INPUT'!C209+'Agile AR Aging &lt;-INPUT'!C210+'Agile AR Aging &lt;-INPUT'!C217+'Agile AR Aging &lt;-INPUT'!C223</f>
        <v>0</v>
      </c>
      <c r="C12" s="33">
        <f>'Agile AR Aging &lt;-INPUT'!D209+'Agile AR Aging &lt;-INPUT'!D210+'Agile AR Aging &lt;-INPUT'!D217+'Agile AR Aging &lt;-INPUT'!D223</f>
        <v>0</v>
      </c>
      <c r="D12" s="33">
        <f>'Agile AR Aging &lt;-INPUT'!E209+'Agile AR Aging &lt;-INPUT'!E210+'Agile AR Aging &lt;-INPUT'!E217+'Agile AR Aging &lt;-INPUT'!E223</f>
        <v>0</v>
      </c>
      <c r="E12" s="33">
        <f>'Agile AR Aging &lt;-INPUT'!F209+'Agile AR Aging &lt;-INPUT'!F210+'Agile AR Aging &lt;-INPUT'!F217+'Agile AR Aging &lt;-INPUT'!F223</f>
        <v>0</v>
      </c>
      <c r="F12" s="33">
        <f>'Agile AR Aging &lt;-INPUT'!G209+'Agile AR Aging &lt;-INPUT'!G210+'Agile AR Aging &lt;-INPUT'!G217+'Agile AR Aging &lt;-INPUT'!G223</f>
        <v>0</v>
      </c>
      <c r="G12" s="33">
        <f>'Agile AR Aging &lt;-INPUT'!H209+'Agile AR Aging &lt;-INPUT'!H210+'Agile AR Aging &lt;-INPUT'!H217+'Agile AR Aging &lt;-INPUT'!H223</f>
        <v>0</v>
      </c>
      <c r="H12" s="33">
        <f>'Agile AR Aging &lt;-INPUT'!I209+'Agile AR Aging &lt;-INPUT'!I210+'Agile AR Aging &lt;-INPUT'!I217+'Agile AR Aging &lt;-INPUT'!I223</f>
        <v>0</v>
      </c>
      <c r="I12" s="33">
        <f>'Agile AR Aging &lt;-INPUT'!J209+'Agile AR Aging &lt;-INPUT'!J210+'Agile AR Aging &lt;-INPUT'!J217+'Agile AR Aging &lt;-INPUT'!J223</f>
        <v>0</v>
      </c>
      <c r="J12" s="2">
        <f t="shared" si="0"/>
        <v>0</v>
      </c>
      <c r="L12" s="73"/>
      <c r="N12" s="68"/>
    </row>
    <row r="13" spans="1:15" x14ac:dyDescent="0.25">
      <c r="A13" s="1" t="s">
        <v>50</v>
      </c>
      <c r="B13" s="33">
        <f>'Agile AR Aging &lt;-INPUT'!C211</f>
        <v>0</v>
      </c>
      <c r="C13" s="33">
        <f>'Agile AR Aging &lt;-INPUT'!D211</f>
        <v>0</v>
      </c>
      <c r="D13" s="33">
        <f>'Agile AR Aging &lt;-INPUT'!E211</f>
        <v>0</v>
      </c>
      <c r="E13" s="33">
        <f>'Agile AR Aging &lt;-INPUT'!F211</f>
        <v>0</v>
      </c>
      <c r="F13" s="33">
        <f>'Agile AR Aging &lt;-INPUT'!G211</f>
        <v>0</v>
      </c>
      <c r="G13" s="33">
        <f>'Agile AR Aging &lt;-INPUT'!H211</f>
        <v>0</v>
      </c>
      <c r="H13" s="33">
        <f>'Agile AR Aging &lt;-INPUT'!I211</f>
        <v>0</v>
      </c>
      <c r="I13" s="33">
        <f>'Agile AR Aging &lt;-INPUT'!J211</f>
        <v>0</v>
      </c>
      <c r="J13" s="2">
        <f t="shared" si="0"/>
        <v>0</v>
      </c>
      <c r="L13" s="73"/>
      <c r="N13" s="68"/>
    </row>
    <row r="14" spans="1:15" x14ac:dyDescent="0.25">
      <c r="A14" s="1" t="s">
        <v>89</v>
      </c>
      <c r="B14" s="33">
        <f>'Agile AR Aging &lt;-INPUT'!C212</f>
        <v>0</v>
      </c>
      <c r="C14" s="33">
        <f>'Agile AR Aging &lt;-INPUT'!D212</f>
        <v>0</v>
      </c>
      <c r="D14" s="33">
        <f>'Agile AR Aging &lt;-INPUT'!E212</f>
        <v>0</v>
      </c>
      <c r="E14" s="33">
        <f>'Agile AR Aging &lt;-INPUT'!F212</f>
        <v>0</v>
      </c>
      <c r="F14" s="33">
        <f>'Agile AR Aging &lt;-INPUT'!G212</f>
        <v>0</v>
      </c>
      <c r="G14" s="33">
        <f>'Agile AR Aging &lt;-INPUT'!H212</f>
        <v>0</v>
      </c>
      <c r="H14" s="33">
        <f>'Agile AR Aging &lt;-INPUT'!I212</f>
        <v>0</v>
      </c>
      <c r="I14" s="33">
        <f>'Agile AR Aging &lt;-INPUT'!J212</f>
        <v>0</v>
      </c>
      <c r="J14" s="2">
        <f t="shared" si="0"/>
        <v>0</v>
      </c>
      <c r="L14" s="73"/>
      <c r="N14" s="68"/>
    </row>
    <row r="15" spans="1:15" x14ac:dyDescent="0.25">
      <c r="A15" s="1" t="s">
        <v>5</v>
      </c>
      <c r="B15" s="33">
        <f>'Agile AR Aging &lt;-INPUT'!C213</f>
        <v>0</v>
      </c>
      <c r="C15" s="33">
        <f>'Agile AR Aging &lt;-INPUT'!D213</f>
        <v>0</v>
      </c>
      <c r="D15" s="33">
        <f>'Agile AR Aging &lt;-INPUT'!E213</f>
        <v>0</v>
      </c>
      <c r="E15" s="33">
        <f>'Agile AR Aging &lt;-INPUT'!F213</f>
        <v>0</v>
      </c>
      <c r="F15" s="33">
        <f>'Agile AR Aging &lt;-INPUT'!G213</f>
        <v>0</v>
      </c>
      <c r="G15" s="33">
        <f>'Agile AR Aging &lt;-INPUT'!H213</f>
        <v>0</v>
      </c>
      <c r="H15" s="33">
        <f>'Agile AR Aging &lt;-INPUT'!I213</f>
        <v>0</v>
      </c>
      <c r="I15" s="33">
        <f>'Agile AR Aging &lt;-INPUT'!J213</f>
        <v>0</v>
      </c>
      <c r="J15" s="2">
        <f t="shared" si="0"/>
        <v>0</v>
      </c>
      <c r="L15" s="73"/>
      <c r="N15" s="68"/>
    </row>
    <row r="16" spans="1:15" x14ac:dyDescent="0.25">
      <c r="A16" s="1" t="s">
        <v>84</v>
      </c>
      <c r="B16" s="33">
        <f>'Agile AR Aging &lt;-INPUT'!C214</f>
        <v>0</v>
      </c>
      <c r="C16" s="33">
        <f>'Agile AR Aging &lt;-INPUT'!D214</f>
        <v>0</v>
      </c>
      <c r="D16" s="33">
        <f>'Agile AR Aging &lt;-INPUT'!E214</f>
        <v>0</v>
      </c>
      <c r="E16" s="33">
        <f>'Agile AR Aging &lt;-INPUT'!F214</f>
        <v>0</v>
      </c>
      <c r="F16" s="33">
        <f>'Agile AR Aging &lt;-INPUT'!G214</f>
        <v>0</v>
      </c>
      <c r="G16" s="33">
        <f>'Agile AR Aging &lt;-INPUT'!H214</f>
        <v>0</v>
      </c>
      <c r="H16" s="33">
        <f>'Agile AR Aging &lt;-INPUT'!I214</f>
        <v>0</v>
      </c>
      <c r="I16" s="33">
        <f>'Agile AR Aging &lt;-INPUT'!J214</f>
        <v>0</v>
      </c>
      <c r="J16" s="2">
        <f t="shared" si="0"/>
        <v>0</v>
      </c>
      <c r="L16" s="73"/>
      <c r="N16" s="68"/>
    </row>
    <row r="17" spans="1:17" x14ac:dyDescent="0.25">
      <c r="A17" s="1" t="s">
        <v>4</v>
      </c>
      <c r="B17" s="33">
        <f>'Agile AR Aging &lt;-INPUT'!C215</f>
        <v>0</v>
      </c>
      <c r="C17" s="33">
        <f>'Agile AR Aging &lt;-INPUT'!D215</f>
        <v>0</v>
      </c>
      <c r="D17" s="33">
        <f>'Agile AR Aging &lt;-INPUT'!E215</f>
        <v>0</v>
      </c>
      <c r="E17" s="33">
        <f>'Agile AR Aging &lt;-INPUT'!F215</f>
        <v>0</v>
      </c>
      <c r="F17" s="33">
        <f>'Agile AR Aging &lt;-INPUT'!G215</f>
        <v>0</v>
      </c>
      <c r="G17" s="33">
        <f>'Agile AR Aging &lt;-INPUT'!H215</f>
        <v>0</v>
      </c>
      <c r="H17" s="33">
        <f>'Agile AR Aging &lt;-INPUT'!I215</f>
        <v>0</v>
      </c>
      <c r="I17" s="33">
        <f>'Agile AR Aging &lt;-INPUT'!J215</f>
        <v>0</v>
      </c>
      <c r="J17" s="2">
        <f t="shared" si="0"/>
        <v>0</v>
      </c>
      <c r="L17" s="73"/>
      <c r="N17" s="68"/>
    </row>
    <row r="18" spans="1:17" x14ac:dyDescent="0.25">
      <c r="A18" s="1" t="s">
        <v>51</v>
      </c>
      <c r="B18" s="33">
        <f>'Agile AR Aging &lt;-INPUT'!C216</f>
        <v>0</v>
      </c>
      <c r="C18" s="33">
        <f>'Agile AR Aging &lt;-INPUT'!D216</f>
        <v>0</v>
      </c>
      <c r="D18" s="33">
        <f>'Agile AR Aging &lt;-INPUT'!E216</f>
        <v>0</v>
      </c>
      <c r="E18" s="33">
        <f>'Agile AR Aging &lt;-INPUT'!F216</f>
        <v>0</v>
      </c>
      <c r="F18" s="33">
        <f>'Agile AR Aging &lt;-INPUT'!G216</f>
        <v>0</v>
      </c>
      <c r="G18" s="33">
        <f>'Agile AR Aging &lt;-INPUT'!H216</f>
        <v>0</v>
      </c>
      <c r="H18" s="33">
        <f>'Agile AR Aging &lt;-INPUT'!I216</f>
        <v>0</v>
      </c>
      <c r="I18" s="33">
        <f>'Agile AR Aging &lt;-INPUT'!J216</f>
        <v>0</v>
      </c>
      <c r="J18" s="2">
        <f t="shared" si="0"/>
        <v>0</v>
      </c>
      <c r="L18" s="73"/>
      <c r="N18" s="68"/>
    </row>
    <row r="19" spans="1:17" x14ac:dyDescent="0.25">
      <c r="A19" s="1" t="s">
        <v>85</v>
      </c>
      <c r="B19" s="33">
        <f>'Agile AR Aging &lt;-INPUT'!C218</f>
        <v>0</v>
      </c>
      <c r="C19" s="33">
        <f>'Agile AR Aging &lt;-INPUT'!D218</f>
        <v>0</v>
      </c>
      <c r="D19" s="33">
        <f>'Agile AR Aging &lt;-INPUT'!E218</f>
        <v>0</v>
      </c>
      <c r="E19" s="33">
        <f>'Agile AR Aging &lt;-INPUT'!F218</f>
        <v>0</v>
      </c>
      <c r="F19" s="33">
        <f>'Agile AR Aging &lt;-INPUT'!G218</f>
        <v>0</v>
      </c>
      <c r="G19" s="33">
        <f>'Agile AR Aging &lt;-INPUT'!H218</f>
        <v>0</v>
      </c>
      <c r="H19" s="33">
        <f>'Agile AR Aging &lt;-INPUT'!I218</f>
        <v>0</v>
      </c>
      <c r="I19" s="33">
        <f>'Agile AR Aging &lt;-INPUT'!J218</f>
        <v>0</v>
      </c>
      <c r="J19" s="2">
        <f t="shared" si="0"/>
        <v>0</v>
      </c>
      <c r="L19" s="73"/>
      <c r="N19" s="68"/>
    </row>
    <row r="20" spans="1:17" x14ac:dyDescent="0.25">
      <c r="A20" s="1" t="s">
        <v>2</v>
      </c>
      <c r="B20" s="33">
        <f>'Agile AR Aging &lt;-INPUT'!C219</f>
        <v>0</v>
      </c>
      <c r="C20" s="33">
        <f>'Agile AR Aging &lt;-INPUT'!D219</f>
        <v>0</v>
      </c>
      <c r="D20" s="33">
        <f>'Agile AR Aging &lt;-INPUT'!E219</f>
        <v>0</v>
      </c>
      <c r="E20" s="33">
        <f>'Agile AR Aging &lt;-INPUT'!F219</f>
        <v>0</v>
      </c>
      <c r="F20" s="33">
        <f>'Agile AR Aging &lt;-INPUT'!G219</f>
        <v>0</v>
      </c>
      <c r="G20" s="33">
        <f>'Agile AR Aging &lt;-INPUT'!H219</f>
        <v>0</v>
      </c>
      <c r="H20" s="33">
        <f>'Agile AR Aging &lt;-INPUT'!I219</f>
        <v>0</v>
      </c>
      <c r="I20" s="33">
        <f>'Agile AR Aging &lt;-INPUT'!J219</f>
        <v>0</v>
      </c>
      <c r="J20" s="2">
        <f t="shared" si="0"/>
        <v>0</v>
      </c>
      <c r="L20" s="73"/>
      <c r="N20" s="68"/>
    </row>
    <row r="21" spans="1:17" x14ac:dyDescent="0.25">
      <c r="A21" s="1" t="s">
        <v>86</v>
      </c>
      <c r="B21" s="33">
        <f>'Agile AR Aging &lt;-INPUT'!C220</f>
        <v>0</v>
      </c>
      <c r="C21" s="33">
        <f>'Agile AR Aging &lt;-INPUT'!D220</f>
        <v>0</v>
      </c>
      <c r="D21" s="33">
        <f>'Agile AR Aging &lt;-INPUT'!E220</f>
        <v>0</v>
      </c>
      <c r="E21" s="33">
        <f>'Agile AR Aging &lt;-INPUT'!F220</f>
        <v>0</v>
      </c>
      <c r="F21" s="33">
        <f>'Agile AR Aging &lt;-INPUT'!G220</f>
        <v>0</v>
      </c>
      <c r="G21" s="33">
        <f>'Agile AR Aging &lt;-INPUT'!H220</f>
        <v>0</v>
      </c>
      <c r="H21" s="33">
        <f>'Agile AR Aging &lt;-INPUT'!I220</f>
        <v>0</v>
      </c>
      <c r="I21" s="33">
        <f>'Agile AR Aging &lt;-INPUT'!J220</f>
        <v>0</v>
      </c>
      <c r="J21" s="2">
        <f t="shared" si="0"/>
        <v>0</v>
      </c>
      <c r="L21" s="73"/>
      <c r="N21" s="68"/>
    </row>
    <row r="22" spans="1:17" x14ac:dyDescent="0.25">
      <c r="A22" s="1" t="s">
        <v>29</v>
      </c>
      <c r="B22" s="33">
        <f>'Agile AR Aging &lt;-INPUT'!C221</f>
        <v>0</v>
      </c>
      <c r="C22" s="33">
        <f>'Agile AR Aging &lt;-INPUT'!D221</f>
        <v>0</v>
      </c>
      <c r="D22" s="33">
        <f>'Agile AR Aging &lt;-INPUT'!E221</f>
        <v>0</v>
      </c>
      <c r="E22" s="33">
        <f>'Agile AR Aging &lt;-INPUT'!F221</f>
        <v>0</v>
      </c>
      <c r="F22" s="33">
        <f>'Agile AR Aging &lt;-INPUT'!G221</f>
        <v>0</v>
      </c>
      <c r="G22" s="33">
        <f>'Agile AR Aging &lt;-INPUT'!H221</f>
        <v>0</v>
      </c>
      <c r="H22" s="33">
        <f>'Agile AR Aging &lt;-INPUT'!I221</f>
        <v>0</v>
      </c>
      <c r="I22" s="33">
        <f>'Agile AR Aging &lt;-INPUT'!J221</f>
        <v>0</v>
      </c>
      <c r="J22" s="2">
        <f t="shared" si="0"/>
        <v>0</v>
      </c>
      <c r="L22" s="73"/>
      <c r="N22" s="68"/>
    </row>
    <row r="23" spans="1:17" x14ac:dyDescent="0.25">
      <c r="A23" s="1" t="s">
        <v>52</v>
      </c>
      <c r="B23" s="33">
        <f>'Agile AR Aging &lt;-INPUT'!C222</f>
        <v>0</v>
      </c>
      <c r="C23" s="33">
        <f>'Agile AR Aging &lt;-INPUT'!D222</f>
        <v>0</v>
      </c>
      <c r="D23" s="33">
        <f>'Agile AR Aging &lt;-INPUT'!E222</f>
        <v>0</v>
      </c>
      <c r="E23" s="33">
        <f>'Agile AR Aging &lt;-INPUT'!F222</f>
        <v>0</v>
      </c>
      <c r="F23" s="33">
        <f>'Agile AR Aging &lt;-INPUT'!G222</f>
        <v>0</v>
      </c>
      <c r="G23" s="33">
        <f>'Agile AR Aging &lt;-INPUT'!H222</f>
        <v>0</v>
      </c>
      <c r="H23" s="33">
        <f>'Agile AR Aging &lt;-INPUT'!I222</f>
        <v>0</v>
      </c>
      <c r="I23" s="33">
        <f>'Agile AR Aging &lt;-INPUT'!J222</f>
        <v>0</v>
      </c>
      <c r="J23" s="2">
        <f t="shared" si="0"/>
        <v>0</v>
      </c>
      <c r="L23" s="73"/>
      <c r="N23" s="68"/>
    </row>
    <row r="24" spans="1:17" x14ac:dyDescent="0.25">
      <c r="A24" s="1" t="s">
        <v>1</v>
      </c>
      <c r="B24" s="32">
        <f>'Agile AR Aging &lt;-INPUT'!C224</f>
        <v>0</v>
      </c>
      <c r="C24" s="32">
        <f>'Agile AR Aging &lt;-INPUT'!D224</f>
        <v>0</v>
      </c>
      <c r="D24" s="32">
        <f>'Agile AR Aging &lt;-INPUT'!E224</f>
        <v>0</v>
      </c>
      <c r="E24" s="32">
        <f>'Agile AR Aging &lt;-INPUT'!F224</f>
        <v>0</v>
      </c>
      <c r="F24" s="32">
        <f>'Agile AR Aging &lt;-INPUT'!G224</f>
        <v>0</v>
      </c>
      <c r="G24" s="32">
        <f>'Agile AR Aging &lt;-INPUT'!H224</f>
        <v>0</v>
      </c>
      <c r="H24" s="32">
        <f>'Agile AR Aging &lt;-INPUT'!I224</f>
        <v>0</v>
      </c>
      <c r="I24" s="32">
        <f>'Agile AR Aging &lt;-INPUT'!J224</f>
        <v>0</v>
      </c>
      <c r="J24" s="9">
        <f t="shared" si="0"/>
        <v>0</v>
      </c>
      <c r="L24" s="73"/>
      <c r="N24" s="68"/>
    </row>
    <row r="25" spans="1:17" x14ac:dyDescent="0.25">
      <c r="A25" s="1" t="s">
        <v>0</v>
      </c>
      <c r="B25" s="10">
        <f t="shared" ref="B25:I25" si="1">SUM(B8:B24)</f>
        <v>0</v>
      </c>
      <c r="C25" s="10">
        <f t="shared" si="1"/>
        <v>0</v>
      </c>
      <c r="D25" s="10">
        <f t="shared" si="1"/>
        <v>0</v>
      </c>
      <c r="E25" s="10">
        <f t="shared" si="1"/>
        <v>0</v>
      </c>
      <c r="F25" s="10">
        <f t="shared" si="1"/>
        <v>0</v>
      </c>
      <c r="G25" s="10">
        <f t="shared" si="1"/>
        <v>0</v>
      </c>
      <c r="H25" s="10">
        <f t="shared" si="1"/>
        <v>0</v>
      </c>
      <c r="I25" s="10">
        <f t="shared" si="1"/>
        <v>0</v>
      </c>
      <c r="J25" s="10">
        <f>SUM(B25:H25)</f>
        <v>0</v>
      </c>
      <c r="L25" s="31"/>
    </row>
    <row r="26" spans="1:17" ht="15.75" thickBot="1" x14ac:dyDescent="0.3">
      <c r="A26" s="1"/>
      <c r="B26" s="9"/>
      <c r="C26" s="9"/>
      <c r="D26" s="9"/>
      <c r="E26" s="9"/>
      <c r="F26" s="9"/>
      <c r="G26" s="9"/>
      <c r="H26" s="9"/>
      <c r="I26" s="9"/>
      <c r="J26" s="9"/>
      <c r="L26" s="31"/>
      <c r="Q26" s="1"/>
    </row>
    <row r="27" spans="1:17" ht="15.75" thickBot="1" x14ac:dyDescent="0.3">
      <c r="A27" s="167" t="s">
        <v>55</v>
      </c>
      <c r="B27" s="168"/>
      <c r="C27" s="168"/>
      <c r="D27" s="168"/>
      <c r="E27" s="168"/>
      <c r="F27" s="168"/>
      <c r="G27" s="168"/>
      <c r="H27" s="168"/>
      <c r="I27" s="168"/>
      <c r="J27" s="169"/>
      <c r="Q27" s="1"/>
    </row>
    <row r="28" spans="1:17" x14ac:dyDescent="0.25">
      <c r="A28" s="4" t="s">
        <v>16</v>
      </c>
      <c r="B28" s="5" t="s">
        <v>15</v>
      </c>
      <c r="C28" s="5" t="s">
        <v>14</v>
      </c>
      <c r="D28" s="5" t="s">
        <v>13</v>
      </c>
      <c r="E28" s="5" t="s">
        <v>12</v>
      </c>
      <c r="F28" s="5" t="s">
        <v>93</v>
      </c>
      <c r="G28" s="5" t="s">
        <v>94</v>
      </c>
      <c r="H28" s="5" t="s">
        <v>38</v>
      </c>
      <c r="I28" s="5" t="s">
        <v>9</v>
      </c>
      <c r="J28" s="5" t="s">
        <v>0</v>
      </c>
      <c r="Q28" s="1"/>
    </row>
    <row r="29" spans="1:17" x14ac:dyDescent="0.25">
      <c r="A29" s="1" t="s">
        <v>49</v>
      </c>
      <c r="B29" s="36">
        <f>'Reimbursement Rates &lt;-INPUT'!I9</f>
        <v>0</v>
      </c>
      <c r="C29" s="36">
        <f t="shared" ref="C29:I45" si="2">B29</f>
        <v>0</v>
      </c>
      <c r="D29" s="36">
        <f t="shared" si="2"/>
        <v>0</v>
      </c>
      <c r="E29" s="36">
        <f t="shared" si="2"/>
        <v>0</v>
      </c>
      <c r="F29" s="36">
        <f t="shared" si="2"/>
        <v>0</v>
      </c>
      <c r="G29" s="36">
        <f t="shared" si="2"/>
        <v>0</v>
      </c>
      <c r="H29" s="36">
        <f t="shared" si="2"/>
        <v>0</v>
      </c>
      <c r="I29" s="36">
        <f t="shared" si="2"/>
        <v>0</v>
      </c>
      <c r="J29" s="36">
        <f t="shared" ref="J29:J45" si="3">H29</f>
        <v>0</v>
      </c>
    </row>
    <row r="30" spans="1:17" x14ac:dyDescent="0.25">
      <c r="A30" s="1" t="s">
        <v>8</v>
      </c>
      <c r="B30" s="36">
        <f>'Reimbursement Rates &lt;-INPUT'!I10</f>
        <v>0</v>
      </c>
      <c r="C30" s="36">
        <f t="shared" si="2"/>
        <v>0</v>
      </c>
      <c r="D30" s="36">
        <f t="shared" si="2"/>
        <v>0</v>
      </c>
      <c r="E30" s="36">
        <f t="shared" si="2"/>
        <v>0</v>
      </c>
      <c r="F30" s="36">
        <f t="shared" si="2"/>
        <v>0</v>
      </c>
      <c r="G30" s="36">
        <f t="shared" si="2"/>
        <v>0</v>
      </c>
      <c r="H30" s="36">
        <f t="shared" si="2"/>
        <v>0</v>
      </c>
      <c r="I30" s="36">
        <f t="shared" si="2"/>
        <v>0</v>
      </c>
      <c r="J30" s="36">
        <f t="shared" si="3"/>
        <v>0</v>
      </c>
      <c r="Q30" s="1"/>
    </row>
    <row r="31" spans="1:17" x14ac:dyDescent="0.25">
      <c r="A31" s="1" t="s">
        <v>7</v>
      </c>
      <c r="B31" s="36">
        <f>'Reimbursement Rates &lt;-INPUT'!I11</f>
        <v>0</v>
      </c>
      <c r="C31" s="36">
        <f t="shared" si="2"/>
        <v>0</v>
      </c>
      <c r="D31" s="36">
        <f t="shared" si="2"/>
        <v>0</v>
      </c>
      <c r="E31" s="36">
        <f t="shared" si="2"/>
        <v>0</v>
      </c>
      <c r="F31" s="36">
        <f t="shared" si="2"/>
        <v>0</v>
      </c>
      <c r="G31" s="36">
        <f t="shared" si="2"/>
        <v>0</v>
      </c>
      <c r="H31" s="36">
        <f t="shared" si="2"/>
        <v>0</v>
      </c>
      <c r="I31" s="36">
        <f t="shared" si="2"/>
        <v>0</v>
      </c>
      <c r="J31" s="36">
        <f t="shared" si="3"/>
        <v>0</v>
      </c>
    </row>
    <row r="32" spans="1:17" x14ac:dyDescent="0.25">
      <c r="A32" s="1" t="s">
        <v>42</v>
      </c>
      <c r="B32" s="36">
        <f>'Reimbursement Rates &lt;-INPUT'!I12</f>
        <v>0</v>
      </c>
      <c r="C32" s="36">
        <f t="shared" si="2"/>
        <v>0</v>
      </c>
      <c r="D32" s="36">
        <f t="shared" si="2"/>
        <v>0</v>
      </c>
      <c r="E32" s="36">
        <f t="shared" si="2"/>
        <v>0</v>
      </c>
      <c r="F32" s="36">
        <f t="shared" si="2"/>
        <v>0</v>
      </c>
      <c r="G32" s="36">
        <f t="shared" si="2"/>
        <v>0</v>
      </c>
      <c r="H32" s="36">
        <f t="shared" si="2"/>
        <v>0</v>
      </c>
      <c r="I32" s="36">
        <f t="shared" si="2"/>
        <v>0</v>
      </c>
      <c r="J32" s="36">
        <f t="shared" si="3"/>
        <v>0</v>
      </c>
    </row>
    <row r="33" spans="1:17" x14ac:dyDescent="0.25">
      <c r="A33" s="1" t="s">
        <v>6</v>
      </c>
      <c r="B33" s="36">
        <f>'Reimbursement Rates &lt;-INPUT'!I13</f>
        <v>0</v>
      </c>
      <c r="C33" s="36">
        <f t="shared" si="2"/>
        <v>0</v>
      </c>
      <c r="D33" s="36">
        <f t="shared" si="2"/>
        <v>0</v>
      </c>
      <c r="E33" s="36">
        <f t="shared" si="2"/>
        <v>0</v>
      </c>
      <c r="F33" s="36">
        <f t="shared" si="2"/>
        <v>0</v>
      </c>
      <c r="G33" s="36">
        <f t="shared" si="2"/>
        <v>0</v>
      </c>
      <c r="H33" s="36">
        <f t="shared" si="2"/>
        <v>0</v>
      </c>
      <c r="I33" s="36">
        <f t="shared" si="2"/>
        <v>0</v>
      </c>
      <c r="J33" s="36">
        <f t="shared" si="3"/>
        <v>0</v>
      </c>
      <c r="Q33" s="1"/>
    </row>
    <row r="34" spans="1:17" x14ac:dyDescent="0.25">
      <c r="A34" s="1" t="s">
        <v>50</v>
      </c>
      <c r="B34" s="36">
        <f>'Reimbursement Rates &lt;-INPUT'!I15</f>
        <v>0</v>
      </c>
      <c r="C34" s="36">
        <f t="shared" si="2"/>
        <v>0</v>
      </c>
      <c r="D34" s="36">
        <f t="shared" si="2"/>
        <v>0</v>
      </c>
      <c r="E34" s="36">
        <f t="shared" si="2"/>
        <v>0</v>
      </c>
      <c r="F34" s="36">
        <f t="shared" si="2"/>
        <v>0</v>
      </c>
      <c r="G34" s="36">
        <f t="shared" si="2"/>
        <v>0</v>
      </c>
      <c r="H34" s="36">
        <f t="shared" si="2"/>
        <v>0</v>
      </c>
      <c r="I34" s="36">
        <f t="shared" si="2"/>
        <v>0</v>
      </c>
      <c r="J34" s="36">
        <f t="shared" si="3"/>
        <v>0</v>
      </c>
      <c r="M34" s="7"/>
    </row>
    <row r="35" spans="1:17" x14ac:dyDescent="0.25">
      <c r="A35" s="1" t="s">
        <v>89</v>
      </c>
      <c r="B35" s="36">
        <f>'Reimbursement Rates &lt;-INPUT'!I16</f>
        <v>0</v>
      </c>
      <c r="C35" s="36">
        <f t="shared" si="2"/>
        <v>0</v>
      </c>
      <c r="D35" s="36">
        <f t="shared" si="2"/>
        <v>0</v>
      </c>
      <c r="E35" s="36">
        <f t="shared" si="2"/>
        <v>0</v>
      </c>
      <c r="F35" s="36">
        <f t="shared" si="2"/>
        <v>0</v>
      </c>
      <c r="G35" s="36">
        <f t="shared" si="2"/>
        <v>0</v>
      </c>
      <c r="H35" s="36">
        <f t="shared" si="2"/>
        <v>0</v>
      </c>
      <c r="I35" s="36">
        <f t="shared" si="2"/>
        <v>0</v>
      </c>
      <c r="J35" s="36">
        <f t="shared" si="3"/>
        <v>0</v>
      </c>
      <c r="M35" s="7"/>
    </row>
    <row r="36" spans="1:17" x14ac:dyDescent="0.25">
      <c r="A36" s="1" t="s">
        <v>5</v>
      </c>
      <c r="B36" s="36">
        <f>'Reimbursement Rates &lt;-INPUT'!I17</f>
        <v>0</v>
      </c>
      <c r="C36" s="36">
        <f t="shared" si="2"/>
        <v>0</v>
      </c>
      <c r="D36" s="36">
        <f t="shared" si="2"/>
        <v>0</v>
      </c>
      <c r="E36" s="36">
        <f t="shared" si="2"/>
        <v>0</v>
      </c>
      <c r="F36" s="36">
        <f t="shared" si="2"/>
        <v>0</v>
      </c>
      <c r="G36" s="36">
        <f t="shared" si="2"/>
        <v>0</v>
      </c>
      <c r="H36" s="36">
        <f t="shared" si="2"/>
        <v>0</v>
      </c>
      <c r="I36" s="36">
        <f t="shared" si="2"/>
        <v>0</v>
      </c>
      <c r="J36" s="36">
        <f t="shared" si="3"/>
        <v>0</v>
      </c>
      <c r="M36" s="7"/>
      <c r="Q36" s="1"/>
    </row>
    <row r="37" spans="1:17" x14ac:dyDescent="0.25">
      <c r="A37" s="1" t="s">
        <v>84</v>
      </c>
      <c r="B37" s="36">
        <f>'Reimbursement Rates &lt;-INPUT'!I18</f>
        <v>0</v>
      </c>
      <c r="C37" s="36">
        <f t="shared" si="2"/>
        <v>0</v>
      </c>
      <c r="D37" s="36">
        <f t="shared" si="2"/>
        <v>0</v>
      </c>
      <c r="E37" s="36">
        <f t="shared" si="2"/>
        <v>0</v>
      </c>
      <c r="F37" s="36">
        <f t="shared" si="2"/>
        <v>0</v>
      </c>
      <c r="G37" s="36">
        <f t="shared" si="2"/>
        <v>0</v>
      </c>
      <c r="H37" s="36">
        <f t="shared" si="2"/>
        <v>0</v>
      </c>
      <c r="I37" s="36">
        <f t="shared" si="2"/>
        <v>0</v>
      </c>
      <c r="J37" s="36">
        <f t="shared" si="3"/>
        <v>0</v>
      </c>
      <c r="M37" s="7"/>
      <c r="Q37" s="1"/>
    </row>
    <row r="38" spans="1:17" x14ac:dyDescent="0.25">
      <c r="A38" s="1" t="s">
        <v>4</v>
      </c>
      <c r="B38" s="36">
        <f>'Reimbursement Rates &lt;-INPUT'!I19</f>
        <v>0</v>
      </c>
      <c r="C38" s="36">
        <f t="shared" si="2"/>
        <v>0</v>
      </c>
      <c r="D38" s="36">
        <f t="shared" si="2"/>
        <v>0</v>
      </c>
      <c r="E38" s="36">
        <f t="shared" si="2"/>
        <v>0</v>
      </c>
      <c r="F38" s="36">
        <f t="shared" si="2"/>
        <v>0</v>
      </c>
      <c r="G38" s="36">
        <f t="shared" si="2"/>
        <v>0</v>
      </c>
      <c r="H38" s="36">
        <f t="shared" si="2"/>
        <v>0</v>
      </c>
      <c r="I38" s="36">
        <f t="shared" si="2"/>
        <v>0</v>
      </c>
      <c r="J38" s="36">
        <f t="shared" si="3"/>
        <v>0</v>
      </c>
      <c r="M38" s="7"/>
    </row>
    <row r="39" spans="1:17" x14ac:dyDescent="0.25">
      <c r="A39" s="1" t="s">
        <v>51</v>
      </c>
      <c r="B39" s="36">
        <f>'Reimbursement Rates &lt;-INPUT'!I20</f>
        <v>0</v>
      </c>
      <c r="C39" s="36">
        <f t="shared" si="2"/>
        <v>0</v>
      </c>
      <c r="D39" s="36">
        <f t="shared" si="2"/>
        <v>0</v>
      </c>
      <c r="E39" s="36">
        <f t="shared" si="2"/>
        <v>0</v>
      </c>
      <c r="F39" s="36">
        <f t="shared" si="2"/>
        <v>0</v>
      </c>
      <c r="G39" s="36">
        <f t="shared" si="2"/>
        <v>0</v>
      </c>
      <c r="H39" s="36">
        <f t="shared" si="2"/>
        <v>0</v>
      </c>
      <c r="I39" s="36">
        <f t="shared" si="2"/>
        <v>0</v>
      </c>
      <c r="J39" s="36">
        <f t="shared" si="3"/>
        <v>0</v>
      </c>
      <c r="M39" s="7"/>
      <c r="Q39" s="1"/>
    </row>
    <row r="40" spans="1:17" x14ac:dyDescent="0.25">
      <c r="A40" s="1" t="s">
        <v>85</v>
      </c>
      <c r="B40" s="36">
        <f>'Reimbursement Rates &lt;-INPUT'!I22</f>
        <v>0</v>
      </c>
      <c r="C40" s="36">
        <f t="shared" si="2"/>
        <v>0</v>
      </c>
      <c r="D40" s="36">
        <f t="shared" si="2"/>
        <v>0</v>
      </c>
      <c r="E40" s="36">
        <f t="shared" si="2"/>
        <v>0</v>
      </c>
      <c r="F40" s="36">
        <f t="shared" si="2"/>
        <v>0</v>
      </c>
      <c r="G40" s="36">
        <f t="shared" si="2"/>
        <v>0</v>
      </c>
      <c r="H40" s="36">
        <f t="shared" si="2"/>
        <v>0</v>
      </c>
      <c r="I40" s="36">
        <f t="shared" si="2"/>
        <v>0</v>
      </c>
      <c r="J40" s="36">
        <f t="shared" si="3"/>
        <v>0</v>
      </c>
      <c r="M40" s="7"/>
      <c r="Q40" s="1"/>
    </row>
    <row r="41" spans="1:17" x14ac:dyDescent="0.25">
      <c r="A41" s="1" t="s">
        <v>2</v>
      </c>
      <c r="B41" s="36">
        <f>'Reimbursement Rates &lt;-INPUT'!I23</f>
        <v>0</v>
      </c>
      <c r="C41" s="36">
        <f t="shared" si="2"/>
        <v>0</v>
      </c>
      <c r="D41" s="36">
        <f t="shared" si="2"/>
        <v>0</v>
      </c>
      <c r="E41" s="36">
        <f t="shared" si="2"/>
        <v>0</v>
      </c>
      <c r="F41" s="36">
        <f t="shared" si="2"/>
        <v>0</v>
      </c>
      <c r="G41" s="36">
        <f t="shared" si="2"/>
        <v>0</v>
      </c>
      <c r="H41" s="36">
        <f t="shared" si="2"/>
        <v>0</v>
      </c>
      <c r="I41" s="36">
        <f t="shared" si="2"/>
        <v>0</v>
      </c>
      <c r="J41" s="36">
        <f t="shared" si="3"/>
        <v>0</v>
      </c>
      <c r="M41" s="7"/>
      <c r="Q41" s="1"/>
    </row>
    <row r="42" spans="1:17" x14ac:dyDescent="0.25">
      <c r="A42" s="1" t="s">
        <v>86</v>
      </c>
      <c r="B42" s="36">
        <f>'Reimbursement Rates &lt;-INPUT'!I24</f>
        <v>0</v>
      </c>
      <c r="C42" s="36">
        <f t="shared" si="2"/>
        <v>0</v>
      </c>
      <c r="D42" s="36">
        <f t="shared" si="2"/>
        <v>0</v>
      </c>
      <c r="E42" s="36">
        <f t="shared" si="2"/>
        <v>0</v>
      </c>
      <c r="F42" s="36">
        <f t="shared" si="2"/>
        <v>0</v>
      </c>
      <c r="G42" s="36">
        <f t="shared" si="2"/>
        <v>0</v>
      </c>
      <c r="H42" s="36">
        <f t="shared" si="2"/>
        <v>0</v>
      </c>
      <c r="I42" s="36">
        <f t="shared" si="2"/>
        <v>0</v>
      </c>
      <c r="J42" s="36">
        <f t="shared" si="3"/>
        <v>0</v>
      </c>
      <c r="M42" s="7"/>
    </row>
    <row r="43" spans="1:17" x14ac:dyDescent="0.25">
      <c r="A43" s="1" t="s">
        <v>29</v>
      </c>
      <c r="B43" s="36">
        <f>'Reimbursement Rates &lt;-INPUT'!I25</f>
        <v>0</v>
      </c>
      <c r="C43" s="36">
        <f t="shared" si="2"/>
        <v>0</v>
      </c>
      <c r="D43" s="36">
        <f t="shared" si="2"/>
        <v>0</v>
      </c>
      <c r="E43" s="36">
        <f t="shared" si="2"/>
        <v>0</v>
      </c>
      <c r="F43" s="36">
        <f t="shared" si="2"/>
        <v>0</v>
      </c>
      <c r="G43" s="36">
        <f t="shared" si="2"/>
        <v>0</v>
      </c>
      <c r="H43" s="36">
        <f t="shared" si="2"/>
        <v>0</v>
      </c>
      <c r="I43" s="36">
        <f t="shared" si="2"/>
        <v>0</v>
      </c>
      <c r="J43" s="36">
        <f t="shared" si="3"/>
        <v>0</v>
      </c>
      <c r="M43" s="7"/>
    </row>
    <row r="44" spans="1:17" x14ac:dyDescent="0.25">
      <c r="A44" s="1" t="s">
        <v>52</v>
      </c>
      <c r="B44" s="36">
        <f>'Reimbursement Rates &lt;-INPUT'!I26</f>
        <v>0</v>
      </c>
      <c r="C44" s="36">
        <f t="shared" si="2"/>
        <v>0</v>
      </c>
      <c r="D44" s="36">
        <f t="shared" si="2"/>
        <v>0</v>
      </c>
      <c r="E44" s="36">
        <f t="shared" si="2"/>
        <v>0</v>
      </c>
      <c r="F44" s="36">
        <f t="shared" si="2"/>
        <v>0</v>
      </c>
      <c r="G44" s="36">
        <f t="shared" si="2"/>
        <v>0</v>
      </c>
      <c r="H44" s="36">
        <f t="shared" si="2"/>
        <v>0</v>
      </c>
      <c r="I44" s="36">
        <f t="shared" si="2"/>
        <v>0</v>
      </c>
      <c r="J44" s="36">
        <f t="shared" si="3"/>
        <v>0</v>
      </c>
      <c r="M44" s="7"/>
      <c r="Q44" s="1"/>
    </row>
    <row r="45" spans="1:17" x14ac:dyDescent="0.25">
      <c r="A45" s="1" t="s">
        <v>1</v>
      </c>
      <c r="B45" s="36">
        <f>'Reimbursement Rates &lt;-INPUT'!I28</f>
        <v>0</v>
      </c>
      <c r="C45" s="36">
        <f t="shared" si="2"/>
        <v>0</v>
      </c>
      <c r="D45" s="36">
        <f t="shared" si="2"/>
        <v>0</v>
      </c>
      <c r="E45" s="36">
        <f t="shared" si="2"/>
        <v>0</v>
      </c>
      <c r="F45" s="36">
        <f t="shared" si="2"/>
        <v>0</v>
      </c>
      <c r="G45" s="36">
        <f t="shared" si="2"/>
        <v>0</v>
      </c>
      <c r="H45" s="36">
        <f t="shared" si="2"/>
        <v>0</v>
      </c>
      <c r="I45" s="36">
        <f t="shared" si="2"/>
        <v>0</v>
      </c>
      <c r="J45" s="36">
        <f t="shared" si="3"/>
        <v>0</v>
      </c>
      <c r="M45" s="7"/>
      <c r="Q45" s="1"/>
    </row>
    <row r="46" spans="1:17" ht="15.75" thickBot="1" x14ac:dyDescent="0.3">
      <c r="A46" s="1"/>
      <c r="B46" s="9"/>
      <c r="C46" s="9"/>
      <c r="D46" s="9"/>
      <c r="E46" s="9"/>
      <c r="F46" s="9"/>
      <c r="G46" s="9"/>
      <c r="H46" s="9"/>
      <c r="I46" s="9"/>
      <c r="J46" s="9"/>
      <c r="M46" s="7"/>
      <c r="Q46" s="1"/>
    </row>
    <row r="47" spans="1:17" ht="15.75" thickBot="1" x14ac:dyDescent="0.3">
      <c r="A47" s="170" t="s">
        <v>33</v>
      </c>
      <c r="B47" s="171"/>
      <c r="C47" s="171"/>
      <c r="D47" s="171"/>
      <c r="E47" s="171"/>
      <c r="F47" s="171"/>
      <c r="G47" s="171"/>
      <c r="H47" s="171"/>
      <c r="I47" s="171"/>
      <c r="J47" s="172"/>
      <c r="M47" s="7"/>
      <c r="Q47" s="1"/>
    </row>
    <row r="48" spans="1:17" x14ac:dyDescent="0.25">
      <c r="A48" s="4" t="s">
        <v>16</v>
      </c>
      <c r="B48" s="5" t="s">
        <v>15</v>
      </c>
      <c r="C48" s="5" t="s">
        <v>14</v>
      </c>
      <c r="D48" s="5" t="s">
        <v>13</v>
      </c>
      <c r="E48" s="5" t="s">
        <v>12</v>
      </c>
      <c r="F48" s="5" t="s">
        <v>93</v>
      </c>
      <c r="G48" s="5" t="s">
        <v>94</v>
      </c>
      <c r="H48" s="5" t="s">
        <v>38</v>
      </c>
      <c r="I48" s="5" t="s">
        <v>9</v>
      </c>
      <c r="J48" s="5" t="s">
        <v>0</v>
      </c>
      <c r="M48" s="7"/>
    </row>
    <row r="49" spans="1:17" x14ac:dyDescent="0.25">
      <c r="A49" s="1" t="s">
        <v>49</v>
      </c>
      <c r="B49" s="37">
        <f t="shared" ref="B49:B50" si="4">IF(B8&gt;0,B8*(1-B29),0)</f>
        <v>0</v>
      </c>
      <c r="C49" s="37">
        <f t="shared" ref="C49:I49" si="5">IF(C8&gt;0,C8*(1-C29),0)</f>
        <v>0</v>
      </c>
      <c r="D49" s="37">
        <f t="shared" si="5"/>
        <v>0</v>
      </c>
      <c r="E49" s="37">
        <f t="shared" si="5"/>
        <v>0</v>
      </c>
      <c r="F49" s="37">
        <f t="shared" si="5"/>
        <v>0</v>
      </c>
      <c r="G49" s="37">
        <f t="shared" si="5"/>
        <v>0</v>
      </c>
      <c r="H49" s="37">
        <f t="shared" si="5"/>
        <v>0</v>
      </c>
      <c r="I49" s="37">
        <f t="shared" si="5"/>
        <v>0</v>
      </c>
      <c r="J49" s="37">
        <f>SUM(B49:H49)</f>
        <v>0</v>
      </c>
      <c r="M49" s="7"/>
      <c r="Q49" s="1"/>
    </row>
    <row r="50" spans="1:17" x14ac:dyDescent="0.25">
      <c r="A50" s="1" t="s">
        <v>8</v>
      </c>
      <c r="B50" s="37">
        <f t="shared" si="4"/>
        <v>0</v>
      </c>
      <c r="C50" s="37">
        <f t="shared" ref="C50:I50" si="6">IF(C9&gt;0,C9*(1-C30),0)</f>
        <v>0</v>
      </c>
      <c r="D50" s="37">
        <f t="shared" si="6"/>
        <v>0</v>
      </c>
      <c r="E50" s="37">
        <f t="shared" si="6"/>
        <v>0</v>
      </c>
      <c r="F50" s="37">
        <f t="shared" si="6"/>
        <v>0</v>
      </c>
      <c r="G50" s="37">
        <f t="shared" si="6"/>
        <v>0</v>
      </c>
      <c r="H50" s="37">
        <f t="shared" si="6"/>
        <v>0</v>
      </c>
      <c r="I50" s="37">
        <f t="shared" si="6"/>
        <v>0</v>
      </c>
      <c r="J50" s="37">
        <f t="shared" ref="J50:J65" si="7">SUM(B50:H50)</f>
        <v>0</v>
      </c>
      <c r="M50" s="7"/>
      <c r="Q50" s="7"/>
    </row>
    <row r="51" spans="1:17" x14ac:dyDescent="0.25">
      <c r="A51" s="1" t="s">
        <v>7</v>
      </c>
      <c r="B51" s="37">
        <f>IF(B10&gt;0,B10*(1-B31),0)</f>
        <v>0</v>
      </c>
      <c r="C51" s="37">
        <f t="shared" ref="C51:I51" si="8">IF(C10&gt;0,C10*(1-C31),0)</f>
        <v>0</v>
      </c>
      <c r="D51" s="37">
        <f t="shared" si="8"/>
        <v>0</v>
      </c>
      <c r="E51" s="37">
        <f t="shared" si="8"/>
        <v>0</v>
      </c>
      <c r="F51" s="37">
        <f t="shared" si="8"/>
        <v>0</v>
      </c>
      <c r="G51" s="37">
        <f t="shared" si="8"/>
        <v>0</v>
      </c>
      <c r="H51" s="37">
        <f t="shared" si="8"/>
        <v>0</v>
      </c>
      <c r="I51" s="37">
        <f t="shared" si="8"/>
        <v>0</v>
      </c>
      <c r="J51" s="37">
        <f t="shared" si="7"/>
        <v>0</v>
      </c>
      <c r="M51" s="7"/>
    </row>
    <row r="52" spans="1:17" x14ac:dyDescent="0.25">
      <c r="A52" s="1" t="s">
        <v>42</v>
      </c>
      <c r="B52" s="37">
        <f t="shared" ref="B52:B65" si="9">IF(B11&gt;0,B11*(1-B32),0)</f>
        <v>0</v>
      </c>
      <c r="C52" s="37">
        <f t="shared" ref="C52:I52" si="10">IF(C11&gt;0,C11*(1-C32),0)</f>
        <v>0</v>
      </c>
      <c r="D52" s="37">
        <f t="shared" si="10"/>
        <v>0</v>
      </c>
      <c r="E52" s="37">
        <f t="shared" si="10"/>
        <v>0</v>
      </c>
      <c r="F52" s="37">
        <f t="shared" si="10"/>
        <v>0</v>
      </c>
      <c r="G52" s="37">
        <f t="shared" si="10"/>
        <v>0</v>
      </c>
      <c r="H52" s="37">
        <f t="shared" si="10"/>
        <v>0</v>
      </c>
      <c r="I52" s="37">
        <f t="shared" si="10"/>
        <v>0</v>
      </c>
      <c r="J52" s="37">
        <f t="shared" si="7"/>
        <v>0</v>
      </c>
      <c r="M52" s="7"/>
    </row>
    <row r="53" spans="1:17" x14ac:dyDescent="0.25">
      <c r="A53" s="1" t="s">
        <v>6</v>
      </c>
      <c r="B53" s="37">
        <f t="shared" si="9"/>
        <v>0</v>
      </c>
      <c r="C53" s="37">
        <f t="shared" ref="C53:I53" si="11">IF(C12&gt;0,C12*(1-C33),0)</f>
        <v>0</v>
      </c>
      <c r="D53" s="37">
        <f t="shared" si="11"/>
        <v>0</v>
      </c>
      <c r="E53" s="37">
        <f t="shared" si="11"/>
        <v>0</v>
      </c>
      <c r="F53" s="37">
        <f t="shared" si="11"/>
        <v>0</v>
      </c>
      <c r="G53" s="37">
        <f t="shared" si="11"/>
        <v>0</v>
      </c>
      <c r="H53" s="37">
        <f t="shared" si="11"/>
        <v>0</v>
      </c>
      <c r="I53" s="37">
        <f t="shared" si="11"/>
        <v>0</v>
      </c>
      <c r="J53" s="37">
        <f t="shared" si="7"/>
        <v>0</v>
      </c>
      <c r="M53" s="7"/>
    </row>
    <row r="54" spans="1:17" x14ac:dyDescent="0.25">
      <c r="A54" s="1" t="s">
        <v>50</v>
      </c>
      <c r="B54" s="37">
        <f t="shared" si="9"/>
        <v>0</v>
      </c>
      <c r="C54" s="37">
        <f t="shared" ref="C54:I54" si="12">IF(C13&gt;0,C13*(1-C34),0)</f>
        <v>0</v>
      </c>
      <c r="D54" s="37">
        <f t="shared" si="12"/>
        <v>0</v>
      </c>
      <c r="E54" s="37">
        <f t="shared" si="12"/>
        <v>0</v>
      </c>
      <c r="F54" s="37">
        <f t="shared" si="12"/>
        <v>0</v>
      </c>
      <c r="G54" s="37">
        <f t="shared" si="12"/>
        <v>0</v>
      </c>
      <c r="H54" s="37">
        <f t="shared" si="12"/>
        <v>0</v>
      </c>
      <c r="I54" s="37">
        <f t="shared" si="12"/>
        <v>0</v>
      </c>
      <c r="J54" s="37">
        <f t="shared" si="7"/>
        <v>0</v>
      </c>
      <c r="M54" s="7"/>
    </row>
    <row r="55" spans="1:17" x14ac:dyDescent="0.25">
      <c r="A55" s="1" t="s">
        <v>89</v>
      </c>
      <c r="B55" s="37">
        <f t="shared" si="9"/>
        <v>0</v>
      </c>
      <c r="C55" s="37">
        <f t="shared" ref="C55:I55" si="13">IF(C14&gt;0,C14*(1-C35),0)</f>
        <v>0</v>
      </c>
      <c r="D55" s="37">
        <f t="shared" si="13"/>
        <v>0</v>
      </c>
      <c r="E55" s="37">
        <f t="shared" si="13"/>
        <v>0</v>
      </c>
      <c r="F55" s="37">
        <f t="shared" si="13"/>
        <v>0</v>
      </c>
      <c r="G55" s="37">
        <f t="shared" si="13"/>
        <v>0</v>
      </c>
      <c r="H55" s="37">
        <f t="shared" si="13"/>
        <v>0</v>
      </c>
      <c r="I55" s="37">
        <f t="shared" si="13"/>
        <v>0</v>
      </c>
      <c r="J55" s="37">
        <f t="shared" si="7"/>
        <v>0</v>
      </c>
      <c r="M55" s="7"/>
    </row>
    <row r="56" spans="1:17" x14ac:dyDescent="0.25">
      <c r="A56" s="1" t="s">
        <v>5</v>
      </c>
      <c r="B56" s="37">
        <f t="shared" si="9"/>
        <v>0</v>
      </c>
      <c r="C56" s="37">
        <f t="shared" ref="C56:I56" si="14">IF(C15&gt;0,C15*(1-C36),0)</f>
        <v>0</v>
      </c>
      <c r="D56" s="37">
        <f t="shared" si="14"/>
        <v>0</v>
      </c>
      <c r="E56" s="37">
        <f t="shared" si="14"/>
        <v>0</v>
      </c>
      <c r="F56" s="37">
        <f t="shared" si="14"/>
        <v>0</v>
      </c>
      <c r="G56" s="37">
        <f t="shared" si="14"/>
        <v>0</v>
      </c>
      <c r="H56" s="37">
        <f t="shared" si="14"/>
        <v>0</v>
      </c>
      <c r="I56" s="37">
        <f t="shared" si="14"/>
        <v>0</v>
      </c>
      <c r="J56" s="37">
        <f t="shared" si="7"/>
        <v>0</v>
      </c>
      <c r="M56" s="7"/>
    </row>
    <row r="57" spans="1:17" x14ac:dyDescent="0.25">
      <c r="A57" s="1" t="s">
        <v>84</v>
      </c>
      <c r="B57" s="37">
        <f t="shared" si="9"/>
        <v>0</v>
      </c>
      <c r="C57" s="37">
        <f t="shared" ref="C57:I57" si="15">IF(C16&gt;0,C16*(1-C37),0)</f>
        <v>0</v>
      </c>
      <c r="D57" s="37">
        <f t="shared" si="15"/>
        <v>0</v>
      </c>
      <c r="E57" s="37">
        <f t="shared" si="15"/>
        <v>0</v>
      </c>
      <c r="F57" s="37">
        <f t="shared" si="15"/>
        <v>0</v>
      </c>
      <c r="G57" s="37">
        <f t="shared" si="15"/>
        <v>0</v>
      </c>
      <c r="H57" s="37">
        <f t="shared" si="15"/>
        <v>0</v>
      </c>
      <c r="I57" s="37">
        <f t="shared" si="15"/>
        <v>0</v>
      </c>
      <c r="J57" s="37">
        <f t="shared" si="7"/>
        <v>0</v>
      </c>
      <c r="M57" s="7"/>
    </row>
    <row r="58" spans="1:17" x14ac:dyDescent="0.25">
      <c r="A58" s="1" t="s">
        <v>4</v>
      </c>
      <c r="B58" s="37">
        <f t="shared" si="9"/>
        <v>0</v>
      </c>
      <c r="C58" s="37">
        <f t="shared" ref="C58:I58" si="16">IF(C17&gt;0,C17*(1-C38),0)</f>
        <v>0</v>
      </c>
      <c r="D58" s="37">
        <f t="shared" si="16"/>
        <v>0</v>
      </c>
      <c r="E58" s="37">
        <f t="shared" si="16"/>
        <v>0</v>
      </c>
      <c r="F58" s="37">
        <f t="shared" si="16"/>
        <v>0</v>
      </c>
      <c r="G58" s="37">
        <f t="shared" si="16"/>
        <v>0</v>
      </c>
      <c r="H58" s="37">
        <f t="shared" si="16"/>
        <v>0</v>
      </c>
      <c r="I58" s="37">
        <f t="shared" si="16"/>
        <v>0</v>
      </c>
      <c r="J58" s="37">
        <f t="shared" si="7"/>
        <v>0</v>
      </c>
      <c r="M58" s="7"/>
    </row>
    <row r="59" spans="1:17" x14ac:dyDescent="0.25">
      <c r="A59" s="1" t="s">
        <v>51</v>
      </c>
      <c r="B59" s="37">
        <f t="shared" si="9"/>
        <v>0</v>
      </c>
      <c r="C59" s="37">
        <f t="shared" ref="C59:I59" si="17">IF(C18&gt;0,C18*(1-C39),0)</f>
        <v>0</v>
      </c>
      <c r="D59" s="37">
        <f t="shared" si="17"/>
        <v>0</v>
      </c>
      <c r="E59" s="37">
        <f t="shared" si="17"/>
        <v>0</v>
      </c>
      <c r="F59" s="37">
        <f t="shared" si="17"/>
        <v>0</v>
      </c>
      <c r="G59" s="37">
        <f t="shared" si="17"/>
        <v>0</v>
      </c>
      <c r="H59" s="37">
        <f t="shared" si="17"/>
        <v>0</v>
      </c>
      <c r="I59" s="37">
        <f t="shared" si="17"/>
        <v>0</v>
      </c>
      <c r="J59" s="37">
        <f t="shared" si="7"/>
        <v>0</v>
      </c>
      <c r="M59" s="7"/>
    </row>
    <row r="60" spans="1:17" x14ac:dyDescent="0.25">
      <c r="A60" s="1" t="s">
        <v>85</v>
      </c>
      <c r="B60" s="37">
        <f t="shared" si="9"/>
        <v>0</v>
      </c>
      <c r="C60" s="37">
        <f t="shared" ref="C60:I60" si="18">IF(C19&gt;0,C19*(1-C40),0)</f>
        <v>0</v>
      </c>
      <c r="D60" s="37">
        <f t="shared" si="18"/>
        <v>0</v>
      </c>
      <c r="E60" s="37">
        <f t="shared" si="18"/>
        <v>0</v>
      </c>
      <c r="F60" s="37">
        <f t="shared" si="18"/>
        <v>0</v>
      </c>
      <c r="G60" s="37">
        <f t="shared" si="18"/>
        <v>0</v>
      </c>
      <c r="H60" s="37">
        <f t="shared" si="18"/>
        <v>0</v>
      </c>
      <c r="I60" s="37">
        <f t="shared" si="18"/>
        <v>0</v>
      </c>
      <c r="J60" s="37">
        <f t="shared" si="7"/>
        <v>0</v>
      </c>
      <c r="M60" s="7"/>
    </row>
    <row r="61" spans="1:17" x14ac:dyDescent="0.25">
      <c r="A61" s="1" t="s">
        <v>2</v>
      </c>
      <c r="B61" s="37">
        <f t="shared" si="9"/>
        <v>0</v>
      </c>
      <c r="C61" s="37">
        <f t="shared" ref="C61:I61" si="19">IF(C20&gt;0,C20*(1-C41),0)</f>
        <v>0</v>
      </c>
      <c r="D61" s="37">
        <f t="shared" si="19"/>
        <v>0</v>
      </c>
      <c r="E61" s="37">
        <f t="shared" si="19"/>
        <v>0</v>
      </c>
      <c r="F61" s="37">
        <f t="shared" si="19"/>
        <v>0</v>
      </c>
      <c r="G61" s="37">
        <f t="shared" si="19"/>
        <v>0</v>
      </c>
      <c r="H61" s="37">
        <f t="shared" si="19"/>
        <v>0</v>
      </c>
      <c r="I61" s="37">
        <f t="shared" si="19"/>
        <v>0</v>
      </c>
      <c r="J61" s="37">
        <f t="shared" si="7"/>
        <v>0</v>
      </c>
      <c r="M61" s="7"/>
    </row>
    <row r="62" spans="1:17" x14ac:dyDescent="0.25">
      <c r="A62" s="1" t="s">
        <v>86</v>
      </c>
      <c r="B62" s="37">
        <f t="shared" si="9"/>
        <v>0</v>
      </c>
      <c r="C62" s="37">
        <f t="shared" ref="C62:I62" si="20">IF(C21&gt;0,C21*(1-C42),0)</f>
        <v>0</v>
      </c>
      <c r="D62" s="37">
        <f t="shared" si="20"/>
        <v>0</v>
      </c>
      <c r="E62" s="37">
        <f t="shared" si="20"/>
        <v>0</v>
      </c>
      <c r="F62" s="37">
        <f t="shared" si="20"/>
        <v>0</v>
      </c>
      <c r="G62" s="37">
        <f t="shared" si="20"/>
        <v>0</v>
      </c>
      <c r="H62" s="37">
        <f t="shared" si="20"/>
        <v>0</v>
      </c>
      <c r="I62" s="37">
        <f t="shared" si="20"/>
        <v>0</v>
      </c>
      <c r="J62" s="37">
        <f t="shared" si="7"/>
        <v>0</v>
      </c>
      <c r="M62" s="183" t="s">
        <v>62</v>
      </c>
    </row>
    <row r="63" spans="1:17" x14ac:dyDescent="0.25">
      <c r="A63" s="1" t="s">
        <v>29</v>
      </c>
      <c r="B63" s="37">
        <f t="shared" si="9"/>
        <v>0</v>
      </c>
      <c r="C63" s="37">
        <f t="shared" ref="C63:I63" si="21">IF(C22&gt;0,C22*(1-C43),0)</f>
        <v>0</v>
      </c>
      <c r="D63" s="37">
        <f t="shared" si="21"/>
        <v>0</v>
      </c>
      <c r="E63" s="37">
        <f t="shared" si="21"/>
        <v>0</v>
      </c>
      <c r="F63" s="37">
        <f t="shared" si="21"/>
        <v>0</v>
      </c>
      <c r="G63" s="37">
        <f t="shared" si="21"/>
        <v>0</v>
      </c>
      <c r="H63" s="37">
        <f t="shared" si="21"/>
        <v>0</v>
      </c>
      <c r="I63" s="37">
        <f t="shared" si="21"/>
        <v>0</v>
      </c>
      <c r="J63" s="37">
        <f t="shared" si="7"/>
        <v>0</v>
      </c>
      <c r="M63" s="183"/>
    </row>
    <row r="64" spans="1:17" x14ac:dyDescent="0.25">
      <c r="A64" s="1" t="s">
        <v>52</v>
      </c>
      <c r="B64" s="37">
        <f t="shared" si="9"/>
        <v>0</v>
      </c>
      <c r="C64" s="37">
        <f t="shared" ref="C64:I64" si="22">IF(C23&gt;0,C23*(1-C44),0)</f>
        <v>0</v>
      </c>
      <c r="D64" s="37">
        <f t="shared" si="22"/>
        <v>0</v>
      </c>
      <c r="E64" s="37">
        <f t="shared" si="22"/>
        <v>0</v>
      </c>
      <c r="F64" s="37">
        <f t="shared" si="22"/>
        <v>0</v>
      </c>
      <c r="G64" s="37">
        <f t="shared" si="22"/>
        <v>0</v>
      </c>
      <c r="H64" s="37">
        <f t="shared" si="22"/>
        <v>0</v>
      </c>
      <c r="I64" s="37">
        <f t="shared" si="22"/>
        <v>0</v>
      </c>
      <c r="J64" s="37">
        <f t="shared" si="7"/>
        <v>0</v>
      </c>
      <c r="L64" s="35" t="s">
        <v>41</v>
      </c>
      <c r="M64" s="183" t="s">
        <v>63</v>
      </c>
    </row>
    <row r="65" spans="1:13" x14ac:dyDescent="0.25">
      <c r="A65" s="1" t="s">
        <v>1</v>
      </c>
      <c r="B65" s="38">
        <f t="shared" si="9"/>
        <v>0</v>
      </c>
      <c r="C65" s="38">
        <f t="shared" ref="C65:I65" si="23">IF(C24&gt;0,C24*(1-C45),0)</f>
        <v>0</v>
      </c>
      <c r="D65" s="38">
        <f t="shared" si="23"/>
        <v>0</v>
      </c>
      <c r="E65" s="38">
        <f t="shared" si="23"/>
        <v>0</v>
      </c>
      <c r="F65" s="38">
        <f t="shared" si="23"/>
        <v>0</v>
      </c>
      <c r="G65" s="38">
        <f t="shared" si="23"/>
        <v>0</v>
      </c>
      <c r="H65" s="38">
        <f t="shared" si="23"/>
        <v>0</v>
      </c>
      <c r="I65" s="38">
        <f t="shared" si="23"/>
        <v>0</v>
      </c>
      <c r="J65" s="38">
        <f t="shared" si="7"/>
        <v>0</v>
      </c>
      <c r="L65" s="42" t="s">
        <v>61</v>
      </c>
      <c r="M65" s="184"/>
    </row>
    <row r="66" spans="1:13" x14ac:dyDescent="0.25">
      <c r="A66" s="1"/>
      <c r="B66" s="9">
        <f>SUM(B49:B65)</f>
        <v>0</v>
      </c>
      <c r="C66" s="9">
        <f t="shared" ref="C66:J66" si="24">SUM(C49:C65)</f>
        <v>0</v>
      </c>
      <c r="D66" s="9">
        <f t="shared" si="24"/>
        <v>0</v>
      </c>
      <c r="E66" s="9">
        <f t="shared" si="24"/>
        <v>0</v>
      </c>
      <c r="F66" s="9">
        <f t="shared" si="24"/>
        <v>0</v>
      </c>
      <c r="G66" s="9">
        <f t="shared" si="24"/>
        <v>0</v>
      </c>
      <c r="H66" s="9">
        <f t="shared" si="24"/>
        <v>0</v>
      </c>
      <c r="I66" s="9">
        <f t="shared" si="24"/>
        <v>0</v>
      </c>
      <c r="J66" s="9">
        <f t="shared" si="24"/>
        <v>0</v>
      </c>
      <c r="L66" s="108">
        <v>60000</v>
      </c>
      <c r="M66" s="7">
        <f>J66-L66</f>
        <v>-60000</v>
      </c>
    </row>
    <row r="67" spans="1:13" ht="15.75" thickBot="1" x14ac:dyDescent="0.3">
      <c r="A67" s="1"/>
      <c r="B67" s="9"/>
      <c r="C67" s="9"/>
      <c r="D67" s="9"/>
      <c r="E67" s="9"/>
      <c r="F67" s="9"/>
      <c r="G67" s="9"/>
      <c r="H67" s="9"/>
      <c r="I67" s="9"/>
      <c r="J67" s="9"/>
      <c r="M67" s="7"/>
    </row>
    <row r="68" spans="1:13" ht="15.75" thickBot="1" x14ac:dyDescent="0.3">
      <c r="A68" s="170" t="s">
        <v>64</v>
      </c>
      <c r="B68" s="171"/>
      <c r="C68" s="171"/>
      <c r="D68" s="171"/>
      <c r="E68" s="171"/>
      <c r="F68" s="171"/>
      <c r="G68" s="171"/>
      <c r="H68" s="171"/>
      <c r="I68" s="171"/>
      <c r="J68" s="172"/>
      <c r="M68" s="7"/>
    </row>
    <row r="69" spans="1:13" x14ac:dyDescent="0.25">
      <c r="A69" s="4" t="s">
        <v>16</v>
      </c>
      <c r="B69" s="5" t="s">
        <v>15</v>
      </c>
      <c r="C69" s="5" t="s">
        <v>14</v>
      </c>
      <c r="D69" s="5" t="s">
        <v>13</v>
      </c>
      <c r="E69" s="5" t="s">
        <v>12</v>
      </c>
      <c r="F69" s="5" t="s">
        <v>93</v>
      </c>
      <c r="G69" s="5" t="s">
        <v>94</v>
      </c>
      <c r="H69" s="5" t="s">
        <v>38</v>
      </c>
      <c r="I69" s="5" t="s">
        <v>9</v>
      </c>
      <c r="J69" s="5" t="s">
        <v>0</v>
      </c>
      <c r="M69" s="7"/>
    </row>
    <row r="70" spans="1:13" x14ac:dyDescent="0.25">
      <c r="A70" s="1" t="s">
        <v>49</v>
      </c>
      <c r="B70" s="39">
        <f t="shared" ref="B70:B71" si="25">B8-B49</f>
        <v>0</v>
      </c>
      <c r="C70" s="39">
        <f t="shared" ref="C70:I70" si="26">C8-C49</f>
        <v>0</v>
      </c>
      <c r="D70" s="39">
        <f t="shared" si="26"/>
        <v>0</v>
      </c>
      <c r="E70" s="39">
        <f t="shared" si="26"/>
        <v>0</v>
      </c>
      <c r="F70" s="39">
        <f t="shared" si="26"/>
        <v>0</v>
      </c>
      <c r="G70" s="39">
        <f t="shared" si="26"/>
        <v>0</v>
      </c>
      <c r="H70" s="39">
        <f t="shared" si="26"/>
        <v>0</v>
      </c>
      <c r="I70" s="39">
        <f t="shared" si="26"/>
        <v>0</v>
      </c>
      <c r="J70" s="39">
        <f>SUM(B70:H70)</f>
        <v>0</v>
      </c>
      <c r="M70" s="7"/>
    </row>
    <row r="71" spans="1:13" x14ac:dyDescent="0.25">
      <c r="A71" s="1" t="s">
        <v>8</v>
      </c>
      <c r="B71" s="39">
        <f t="shared" si="25"/>
        <v>0</v>
      </c>
      <c r="C71" s="39">
        <f t="shared" ref="C71:I71" si="27">C9-C50</f>
        <v>0</v>
      </c>
      <c r="D71" s="39">
        <f t="shared" si="27"/>
        <v>0</v>
      </c>
      <c r="E71" s="39">
        <f t="shared" si="27"/>
        <v>0</v>
      </c>
      <c r="F71" s="39">
        <f t="shared" si="27"/>
        <v>0</v>
      </c>
      <c r="G71" s="39">
        <f t="shared" si="27"/>
        <v>0</v>
      </c>
      <c r="H71" s="39">
        <f t="shared" si="27"/>
        <v>0</v>
      </c>
      <c r="I71" s="39">
        <f t="shared" si="27"/>
        <v>0</v>
      </c>
      <c r="J71" s="39">
        <f t="shared" ref="J71:J86" si="28">SUM(B71:H71)</f>
        <v>0</v>
      </c>
      <c r="M71" s="7"/>
    </row>
    <row r="72" spans="1:13" x14ac:dyDescent="0.25">
      <c r="A72" s="1" t="s">
        <v>7</v>
      </c>
      <c r="B72" s="39">
        <f>B10-B51</f>
        <v>0</v>
      </c>
      <c r="C72" s="39">
        <f t="shared" ref="C72:I72" si="29">C10-C51</f>
        <v>0</v>
      </c>
      <c r="D72" s="39">
        <f t="shared" si="29"/>
        <v>0</v>
      </c>
      <c r="E72" s="39">
        <f t="shared" si="29"/>
        <v>0</v>
      </c>
      <c r="F72" s="39">
        <f t="shared" si="29"/>
        <v>0</v>
      </c>
      <c r="G72" s="39">
        <f t="shared" si="29"/>
        <v>0</v>
      </c>
      <c r="H72" s="39">
        <f t="shared" si="29"/>
        <v>0</v>
      </c>
      <c r="I72" s="39">
        <f t="shared" si="29"/>
        <v>0</v>
      </c>
      <c r="J72" s="39">
        <f t="shared" si="28"/>
        <v>0</v>
      </c>
      <c r="M72" s="7"/>
    </row>
    <row r="73" spans="1:13" x14ac:dyDescent="0.25">
      <c r="A73" s="1" t="s">
        <v>42</v>
      </c>
      <c r="B73" s="39">
        <f t="shared" ref="B73:B86" si="30">B11-B52</f>
        <v>0</v>
      </c>
      <c r="C73" s="39">
        <f t="shared" ref="C73:I73" si="31">C11-C52</f>
        <v>0</v>
      </c>
      <c r="D73" s="39">
        <f t="shared" si="31"/>
        <v>0</v>
      </c>
      <c r="E73" s="39">
        <f t="shared" si="31"/>
        <v>0</v>
      </c>
      <c r="F73" s="39">
        <f t="shared" si="31"/>
        <v>0</v>
      </c>
      <c r="G73" s="39">
        <f t="shared" si="31"/>
        <v>0</v>
      </c>
      <c r="H73" s="39">
        <f t="shared" si="31"/>
        <v>0</v>
      </c>
      <c r="I73" s="39">
        <f t="shared" si="31"/>
        <v>0</v>
      </c>
      <c r="J73" s="39">
        <f t="shared" si="28"/>
        <v>0</v>
      </c>
      <c r="M73" s="7"/>
    </row>
    <row r="74" spans="1:13" x14ac:dyDescent="0.25">
      <c r="A74" s="1" t="s">
        <v>6</v>
      </c>
      <c r="B74" s="39">
        <f t="shared" si="30"/>
        <v>0</v>
      </c>
      <c r="C74" s="39">
        <f t="shared" ref="C74:I74" si="32">C12-C53</f>
        <v>0</v>
      </c>
      <c r="D74" s="39">
        <f t="shared" si="32"/>
        <v>0</v>
      </c>
      <c r="E74" s="39">
        <f t="shared" si="32"/>
        <v>0</v>
      </c>
      <c r="F74" s="39">
        <f t="shared" si="32"/>
        <v>0</v>
      </c>
      <c r="G74" s="39">
        <f t="shared" si="32"/>
        <v>0</v>
      </c>
      <c r="H74" s="39">
        <f t="shared" si="32"/>
        <v>0</v>
      </c>
      <c r="I74" s="39">
        <f t="shared" si="32"/>
        <v>0</v>
      </c>
      <c r="J74" s="39">
        <f t="shared" si="28"/>
        <v>0</v>
      </c>
      <c r="M74" s="7"/>
    </row>
    <row r="75" spans="1:13" x14ac:dyDescent="0.25">
      <c r="A75" s="1" t="s">
        <v>50</v>
      </c>
      <c r="B75" s="39">
        <f t="shared" si="30"/>
        <v>0</v>
      </c>
      <c r="C75" s="39">
        <f t="shared" ref="C75:I75" si="33">C13-C54</f>
        <v>0</v>
      </c>
      <c r="D75" s="39">
        <f t="shared" si="33"/>
        <v>0</v>
      </c>
      <c r="E75" s="39">
        <f t="shared" si="33"/>
        <v>0</v>
      </c>
      <c r="F75" s="39">
        <f t="shared" si="33"/>
        <v>0</v>
      </c>
      <c r="G75" s="39">
        <f t="shared" si="33"/>
        <v>0</v>
      </c>
      <c r="H75" s="39">
        <f t="shared" si="33"/>
        <v>0</v>
      </c>
      <c r="I75" s="39">
        <f t="shared" si="33"/>
        <v>0</v>
      </c>
      <c r="J75" s="39">
        <f t="shared" si="28"/>
        <v>0</v>
      </c>
      <c r="M75" s="7"/>
    </row>
    <row r="76" spans="1:13" x14ac:dyDescent="0.25">
      <c r="A76" s="1" t="s">
        <v>89</v>
      </c>
      <c r="B76" s="39">
        <f t="shared" si="30"/>
        <v>0</v>
      </c>
      <c r="C76" s="39">
        <f t="shared" ref="C76:I76" si="34">C14-C55</f>
        <v>0</v>
      </c>
      <c r="D76" s="39">
        <f t="shared" si="34"/>
        <v>0</v>
      </c>
      <c r="E76" s="39">
        <f t="shared" si="34"/>
        <v>0</v>
      </c>
      <c r="F76" s="39">
        <f t="shared" si="34"/>
        <v>0</v>
      </c>
      <c r="G76" s="39">
        <f t="shared" si="34"/>
        <v>0</v>
      </c>
      <c r="H76" s="39">
        <f t="shared" si="34"/>
        <v>0</v>
      </c>
      <c r="I76" s="39">
        <f t="shared" si="34"/>
        <v>0</v>
      </c>
      <c r="J76" s="39">
        <f t="shared" si="28"/>
        <v>0</v>
      </c>
      <c r="M76" s="7"/>
    </row>
    <row r="77" spans="1:13" x14ac:dyDescent="0.25">
      <c r="A77" s="1" t="s">
        <v>5</v>
      </c>
      <c r="B77" s="39">
        <f t="shared" si="30"/>
        <v>0</v>
      </c>
      <c r="C77" s="39">
        <f t="shared" ref="C77:I77" si="35">C15-C56</f>
        <v>0</v>
      </c>
      <c r="D77" s="39">
        <f t="shared" si="35"/>
        <v>0</v>
      </c>
      <c r="E77" s="39">
        <f t="shared" si="35"/>
        <v>0</v>
      </c>
      <c r="F77" s="39">
        <f t="shared" si="35"/>
        <v>0</v>
      </c>
      <c r="G77" s="39">
        <f t="shared" si="35"/>
        <v>0</v>
      </c>
      <c r="H77" s="39">
        <f t="shared" si="35"/>
        <v>0</v>
      </c>
      <c r="I77" s="39">
        <f t="shared" si="35"/>
        <v>0</v>
      </c>
      <c r="J77" s="39">
        <f t="shared" si="28"/>
        <v>0</v>
      </c>
      <c r="M77" s="7"/>
    </row>
    <row r="78" spans="1:13" x14ac:dyDescent="0.25">
      <c r="A78" s="1" t="s">
        <v>84</v>
      </c>
      <c r="B78" s="39">
        <f t="shared" si="30"/>
        <v>0</v>
      </c>
      <c r="C78" s="39">
        <f t="shared" ref="C78:I78" si="36">C16-C57</f>
        <v>0</v>
      </c>
      <c r="D78" s="39">
        <f t="shared" si="36"/>
        <v>0</v>
      </c>
      <c r="E78" s="39">
        <f t="shared" si="36"/>
        <v>0</v>
      </c>
      <c r="F78" s="39">
        <f t="shared" si="36"/>
        <v>0</v>
      </c>
      <c r="G78" s="39">
        <f t="shared" si="36"/>
        <v>0</v>
      </c>
      <c r="H78" s="39">
        <f t="shared" si="36"/>
        <v>0</v>
      </c>
      <c r="I78" s="39">
        <f t="shared" si="36"/>
        <v>0</v>
      </c>
      <c r="J78" s="39">
        <f t="shared" si="28"/>
        <v>0</v>
      </c>
      <c r="M78" s="7"/>
    </row>
    <row r="79" spans="1:13" x14ac:dyDescent="0.25">
      <c r="A79" s="1" t="s">
        <v>4</v>
      </c>
      <c r="B79" s="39">
        <f t="shared" si="30"/>
        <v>0</v>
      </c>
      <c r="C79" s="39">
        <f t="shared" ref="C79:I79" si="37">C17-C58</f>
        <v>0</v>
      </c>
      <c r="D79" s="39">
        <f t="shared" si="37"/>
        <v>0</v>
      </c>
      <c r="E79" s="39">
        <f t="shared" si="37"/>
        <v>0</v>
      </c>
      <c r="F79" s="39">
        <f t="shared" si="37"/>
        <v>0</v>
      </c>
      <c r="G79" s="39">
        <f t="shared" si="37"/>
        <v>0</v>
      </c>
      <c r="H79" s="39">
        <f t="shared" si="37"/>
        <v>0</v>
      </c>
      <c r="I79" s="39">
        <f t="shared" si="37"/>
        <v>0</v>
      </c>
      <c r="J79" s="39">
        <f t="shared" si="28"/>
        <v>0</v>
      </c>
      <c r="M79" s="7"/>
    </row>
    <row r="80" spans="1:13" x14ac:dyDescent="0.25">
      <c r="A80" s="1" t="s">
        <v>51</v>
      </c>
      <c r="B80" s="39">
        <f t="shared" si="30"/>
        <v>0</v>
      </c>
      <c r="C80" s="39">
        <f t="shared" ref="C80:I80" si="38">C18-C59</f>
        <v>0</v>
      </c>
      <c r="D80" s="39">
        <f t="shared" si="38"/>
        <v>0</v>
      </c>
      <c r="E80" s="39">
        <f t="shared" si="38"/>
        <v>0</v>
      </c>
      <c r="F80" s="39">
        <f t="shared" si="38"/>
        <v>0</v>
      </c>
      <c r="G80" s="39">
        <f t="shared" si="38"/>
        <v>0</v>
      </c>
      <c r="H80" s="39">
        <f t="shared" si="38"/>
        <v>0</v>
      </c>
      <c r="I80" s="39">
        <f t="shared" si="38"/>
        <v>0</v>
      </c>
      <c r="J80" s="39">
        <f t="shared" si="28"/>
        <v>0</v>
      </c>
      <c r="M80" s="7"/>
    </row>
    <row r="81" spans="1:13" x14ac:dyDescent="0.25">
      <c r="A81" s="1" t="s">
        <v>85</v>
      </c>
      <c r="B81" s="39">
        <f t="shared" si="30"/>
        <v>0</v>
      </c>
      <c r="C81" s="39">
        <f t="shared" ref="C81:I81" si="39">C19-C60</f>
        <v>0</v>
      </c>
      <c r="D81" s="39">
        <f t="shared" si="39"/>
        <v>0</v>
      </c>
      <c r="E81" s="39">
        <f t="shared" si="39"/>
        <v>0</v>
      </c>
      <c r="F81" s="39">
        <f t="shared" si="39"/>
        <v>0</v>
      </c>
      <c r="G81" s="39">
        <f t="shared" si="39"/>
        <v>0</v>
      </c>
      <c r="H81" s="39">
        <f t="shared" si="39"/>
        <v>0</v>
      </c>
      <c r="I81" s="39">
        <f t="shared" si="39"/>
        <v>0</v>
      </c>
      <c r="J81" s="39">
        <f t="shared" si="28"/>
        <v>0</v>
      </c>
      <c r="M81" s="7"/>
    </row>
    <row r="82" spans="1:13" x14ac:dyDescent="0.25">
      <c r="A82" s="1" t="s">
        <v>2</v>
      </c>
      <c r="B82" s="39">
        <f t="shared" si="30"/>
        <v>0</v>
      </c>
      <c r="C82" s="39">
        <f t="shared" ref="C82:I82" si="40">C20-C61</f>
        <v>0</v>
      </c>
      <c r="D82" s="39">
        <f t="shared" si="40"/>
        <v>0</v>
      </c>
      <c r="E82" s="39">
        <f t="shared" si="40"/>
        <v>0</v>
      </c>
      <c r="F82" s="39">
        <f t="shared" si="40"/>
        <v>0</v>
      </c>
      <c r="G82" s="39">
        <f t="shared" si="40"/>
        <v>0</v>
      </c>
      <c r="H82" s="39">
        <f t="shared" si="40"/>
        <v>0</v>
      </c>
      <c r="I82" s="39">
        <f t="shared" si="40"/>
        <v>0</v>
      </c>
      <c r="J82" s="39">
        <f t="shared" si="28"/>
        <v>0</v>
      </c>
      <c r="M82" s="7"/>
    </row>
    <row r="83" spans="1:13" x14ac:dyDescent="0.25">
      <c r="A83" s="1" t="s">
        <v>86</v>
      </c>
      <c r="B83" s="39">
        <f t="shared" si="30"/>
        <v>0</v>
      </c>
      <c r="C83" s="39">
        <f t="shared" ref="C83:I83" si="41">C21-C62</f>
        <v>0</v>
      </c>
      <c r="D83" s="39">
        <f t="shared" si="41"/>
        <v>0</v>
      </c>
      <c r="E83" s="39">
        <f t="shared" si="41"/>
        <v>0</v>
      </c>
      <c r="F83" s="39">
        <f t="shared" si="41"/>
        <v>0</v>
      </c>
      <c r="G83" s="39">
        <f t="shared" si="41"/>
        <v>0</v>
      </c>
      <c r="H83" s="39">
        <f t="shared" si="41"/>
        <v>0</v>
      </c>
      <c r="I83" s="39">
        <f t="shared" si="41"/>
        <v>0</v>
      </c>
      <c r="J83" s="39">
        <f t="shared" si="28"/>
        <v>0</v>
      </c>
      <c r="M83" s="7"/>
    </row>
    <row r="84" spans="1:13" x14ac:dyDescent="0.25">
      <c r="A84" s="1" t="s">
        <v>29</v>
      </c>
      <c r="B84" s="39">
        <f t="shared" si="30"/>
        <v>0</v>
      </c>
      <c r="C84" s="39">
        <f t="shared" ref="C84:I84" si="42">C22-C63</f>
        <v>0</v>
      </c>
      <c r="D84" s="39">
        <f t="shared" si="42"/>
        <v>0</v>
      </c>
      <c r="E84" s="39">
        <f t="shared" si="42"/>
        <v>0</v>
      </c>
      <c r="F84" s="39">
        <f t="shared" si="42"/>
        <v>0</v>
      </c>
      <c r="G84" s="39">
        <f t="shared" si="42"/>
        <v>0</v>
      </c>
      <c r="H84" s="39">
        <f t="shared" si="42"/>
        <v>0</v>
      </c>
      <c r="I84" s="39">
        <f t="shared" si="42"/>
        <v>0</v>
      </c>
      <c r="J84" s="39">
        <f t="shared" si="28"/>
        <v>0</v>
      </c>
      <c r="M84" s="7"/>
    </row>
    <row r="85" spans="1:13" x14ac:dyDescent="0.25">
      <c r="A85" s="1" t="s">
        <v>52</v>
      </c>
      <c r="B85" s="39">
        <f t="shared" si="30"/>
        <v>0</v>
      </c>
      <c r="C85" s="39">
        <f t="shared" ref="C85:I85" si="43">C23-C64</f>
        <v>0</v>
      </c>
      <c r="D85" s="39">
        <f t="shared" si="43"/>
        <v>0</v>
      </c>
      <c r="E85" s="39">
        <f t="shared" si="43"/>
        <v>0</v>
      </c>
      <c r="F85" s="39">
        <f t="shared" si="43"/>
        <v>0</v>
      </c>
      <c r="G85" s="39">
        <f t="shared" si="43"/>
        <v>0</v>
      </c>
      <c r="H85" s="39">
        <f t="shared" si="43"/>
        <v>0</v>
      </c>
      <c r="I85" s="39">
        <f t="shared" si="43"/>
        <v>0</v>
      </c>
      <c r="J85" s="39">
        <f t="shared" si="28"/>
        <v>0</v>
      </c>
      <c r="M85" s="7"/>
    </row>
    <row r="86" spans="1:13" x14ac:dyDescent="0.25">
      <c r="A86" s="1" t="s">
        <v>1</v>
      </c>
      <c r="B86" s="40">
        <f t="shared" si="30"/>
        <v>0</v>
      </c>
      <c r="C86" s="40">
        <f t="shared" ref="C86:I86" si="44">C24-C65</f>
        <v>0</v>
      </c>
      <c r="D86" s="40">
        <f t="shared" si="44"/>
        <v>0</v>
      </c>
      <c r="E86" s="40">
        <f t="shared" si="44"/>
        <v>0</v>
      </c>
      <c r="F86" s="40">
        <f t="shared" si="44"/>
        <v>0</v>
      </c>
      <c r="G86" s="40">
        <f t="shared" si="44"/>
        <v>0</v>
      </c>
      <c r="H86" s="40">
        <f t="shared" si="44"/>
        <v>0</v>
      </c>
      <c r="I86" s="40">
        <f t="shared" si="44"/>
        <v>0</v>
      </c>
      <c r="J86" s="40">
        <f t="shared" si="28"/>
        <v>0</v>
      </c>
      <c r="M86" s="7"/>
    </row>
    <row r="87" spans="1:13" x14ac:dyDescent="0.25">
      <c r="A87" s="4"/>
      <c r="B87" s="39">
        <f>SUM(B70:B86)</f>
        <v>0</v>
      </c>
      <c r="C87" s="39">
        <f t="shared" ref="C87:J87" si="45">SUM(C70:C86)</f>
        <v>0</v>
      </c>
      <c r="D87" s="39">
        <f t="shared" si="45"/>
        <v>0</v>
      </c>
      <c r="E87" s="39">
        <f t="shared" si="45"/>
        <v>0</v>
      </c>
      <c r="F87" s="39">
        <f t="shared" si="45"/>
        <v>0</v>
      </c>
      <c r="G87" s="39">
        <f t="shared" si="45"/>
        <v>0</v>
      </c>
      <c r="H87" s="39">
        <f t="shared" si="45"/>
        <v>0</v>
      </c>
      <c r="I87" s="39">
        <f t="shared" si="45"/>
        <v>0</v>
      </c>
      <c r="J87" s="39">
        <f t="shared" si="45"/>
        <v>0</v>
      </c>
      <c r="M87" s="7"/>
    </row>
    <row r="88" spans="1:13" ht="15.75" thickBot="1" x14ac:dyDescent="0.3">
      <c r="A88" s="4"/>
      <c r="B88" s="39"/>
      <c r="C88" s="39"/>
      <c r="D88" s="39"/>
      <c r="E88" s="39"/>
      <c r="F88" s="39"/>
      <c r="G88" s="39"/>
      <c r="H88" s="39"/>
      <c r="I88" s="39"/>
      <c r="J88" s="39"/>
      <c r="M88" s="7"/>
    </row>
    <row r="89" spans="1:13" ht="15.75" thickBot="1" x14ac:dyDescent="0.3">
      <c r="A89" s="167" t="s">
        <v>59</v>
      </c>
      <c r="B89" s="168"/>
      <c r="C89" s="168"/>
      <c r="D89" s="168"/>
      <c r="E89" s="168"/>
      <c r="F89" s="168"/>
      <c r="G89" s="168"/>
      <c r="H89" s="168"/>
      <c r="I89" s="168"/>
      <c r="J89" s="169"/>
      <c r="M89" s="7"/>
    </row>
    <row r="90" spans="1:13" x14ac:dyDescent="0.25">
      <c r="A90" s="4" t="s">
        <v>16</v>
      </c>
      <c r="B90" s="5" t="s">
        <v>15</v>
      </c>
      <c r="C90" s="5" t="s">
        <v>14</v>
      </c>
      <c r="D90" s="5" t="s">
        <v>13</v>
      </c>
      <c r="E90" s="5" t="s">
        <v>12</v>
      </c>
      <c r="F90" s="5" t="s">
        <v>93</v>
      </c>
      <c r="G90" s="5" t="s">
        <v>94</v>
      </c>
      <c r="H90" s="5" t="s">
        <v>38</v>
      </c>
      <c r="I90" s="5" t="s">
        <v>9</v>
      </c>
      <c r="J90" s="5" t="s">
        <v>0</v>
      </c>
      <c r="M90" s="7"/>
    </row>
    <row r="91" spans="1:13" x14ac:dyDescent="0.25">
      <c r="A91" s="1" t="s">
        <v>49</v>
      </c>
      <c r="B91" s="41">
        <v>0</v>
      </c>
      <c r="C91" s="41">
        <v>0</v>
      </c>
      <c r="D91" s="41">
        <v>0</v>
      </c>
      <c r="E91" s="41">
        <v>0.1</v>
      </c>
      <c r="F91" s="41">
        <v>0.15</v>
      </c>
      <c r="G91" s="41">
        <v>0.15</v>
      </c>
      <c r="H91" s="41">
        <v>0.2</v>
      </c>
      <c r="I91" s="41">
        <v>1</v>
      </c>
      <c r="J91" s="39"/>
      <c r="M91" s="7"/>
    </row>
    <row r="92" spans="1:13" x14ac:dyDescent="0.25">
      <c r="A92" s="1" t="s">
        <v>8</v>
      </c>
      <c r="B92" s="41">
        <v>0</v>
      </c>
      <c r="C92" s="41">
        <v>0</v>
      </c>
      <c r="D92" s="41">
        <v>0</v>
      </c>
      <c r="E92" s="41">
        <v>0.1</v>
      </c>
      <c r="F92" s="41">
        <v>0.15</v>
      </c>
      <c r="G92" s="41">
        <v>0.15</v>
      </c>
      <c r="H92" s="41">
        <v>0.2</v>
      </c>
      <c r="I92" s="41">
        <v>1</v>
      </c>
      <c r="J92" s="39"/>
      <c r="M92" s="7"/>
    </row>
    <row r="93" spans="1:13" x14ac:dyDescent="0.25">
      <c r="A93" s="1" t="s">
        <v>7</v>
      </c>
      <c r="B93" s="41">
        <v>0</v>
      </c>
      <c r="C93" s="41">
        <v>0</v>
      </c>
      <c r="D93" s="41">
        <v>0</v>
      </c>
      <c r="E93" s="41">
        <v>0.1</v>
      </c>
      <c r="F93" s="41">
        <v>0.15</v>
      </c>
      <c r="G93" s="41">
        <v>0.15</v>
      </c>
      <c r="H93" s="41">
        <v>0.2</v>
      </c>
      <c r="I93" s="41">
        <v>1</v>
      </c>
      <c r="J93" s="39"/>
      <c r="M93" s="7"/>
    </row>
    <row r="94" spans="1:13" x14ac:dyDescent="0.25">
      <c r="A94" s="1" t="s">
        <v>42</v>
      </c>
      <c r="B94" s="41">
        <v>0</v>
      </c>
      <c r="C94" s="41">
        <v>0</v>
      </c>
      <c r="D94" s="41">
        <v>0</v>
      </c>
      <c r="E94" s="41">
        <v>0.1</v>
      </c>
      <c r="F94" s="41">
        <v>0.15</v>
      </c>
      <c r="G94" s="41">
        <v>0.15</v>
      </c>
      <c r="H94" s="41">
        <v>0.2</v>
      </c>
      <c r="I94" s="41">
        <v>1</v>
      </c>
      <c r="J94" s="39"/>
      <c r="M94" s="7"/>
    </row>
    <row r="95" spans="1:13" x14ac:dyDescent="0.25">
      <c r="A95" s="1" t="s">
        <v>6</v>
      </c>
      <c r="B95" s="41">
        <v>0</v>
      </c>
      <c r="C95" s="41">
        <v>0</v>
      </c>
      <c r="D95" s="41">
        <v>0</v>
      </c>
      <c r="E95" s="41">
        <v>0.1</v>
      </c>
      <c r="F95" s="41">
        <v>0.15</v>
      </c>
      <c r="G95" s="41">
        <v>0.15</v>
      </c>
      <c r="H95" s="41">
        <v>0.2</v>
      </c>
      <c r="I95" s="41">
        <v>1</v>
      </c>
      <c r="J95" s="39"/>
      <c r="M95" s="7"/>
    </row>
    <row r="96" spans="1:13" x14ac:dyDescent="0.25">
      <c r="A96" s="1" t="s">
        <v>50</v>
      </c>
      <c r="B96" s="41">
        <v>0</v>
      </c>
      <c r="C96" s="41">
        <v>0</v>
      </c>
      <c r="D96" s="41">
        <v>0</v>
      </c>
      <c r="E96" s="41">
        <v>0.1</v>
      </c>
      <c r="F96" s="41">
        <v>0.15</v>
      </c>
      <c r="G96" s="41">
        <v>0.15</v>
      </c>
      <c r="H96" s="41">
        <v>0.2</v>
      </c>
      <c r="I96" s="41">
        <v>1</v>
      </c>
      <c r="J96" s="39"/>
      <c r="M96" s="7"/>
    </row>
    <row r="97" spans="1:13" x14ac:dyDescent="0.25">
      <c r="A97" s="1" t="s">
        <v>89</v>
      </c>
      <c r="B97" s="41">
        <v>0</v>
      </c>
      <c r="C97" s="41">
        <v>0</v>
      </c>
      <c r="D97" s="41">
        <v>0</v>
      </c>
      <c r="E97" s="41">
        <v>0.1</v>
      </c>
      <c r="F97" s="41">
        <v>0.15</v>
      </c>
      <c r="G97" s="41">
        <v>0.15</v>
      </c>
      <c r="H97" s="41">
        <v>0.2</v>
      </c>
      <c r="I97" s="41">
        <v>1</v>
      </c>
      <c r="J97" s="39"/>
      <c r="M97" s="7"/>
    </row>
    <row r="98" spans="1:13" x14ac:dyDescent="0.25">
      <c r="A98" s="1" t="s">
        <v>5</v>
      </c>
      <c r="B98" s="41">
        <v>0</v>
      </c>
      <c r="C98" s="41">
        <v>0</v>
      </c>
      <c r="D98" s="41">
        <v>0</v>
      </c>
      <c r="E98" s="41">
        <v>0.1</v>
      </c>
      <c r="F98" s="41">
        <v>0.15</v>
      </c>
      <c r="G98" s="41">
        <v>0.15</v>
      </c>
      <c r="H98" s="41">
        <v>0.2</v>
      </c>
      <c r="I98" s="41">
        <v>1</v>
      </c>
      <c r="J98" s="39"/>
      <c r="M98" s="7"/>
    </row>
    <row r="99" spans="1:13" x14ac:dyDescent="0.25">
      <c r="A99" s="1" t="s">
        <v>84</v>
      </c>
      <c r="B99" s="41">
        <v>0</v>
      </c>
      <c r="C99" s="41">
        <v>0</v>
      </c>
      <c r="D99" s="41">
        <v>0</v>
      </c>
      <c r="E99" s="41">
        <v>0.1</v>
      </c>
      <c r="F99" s="41">
        <v>0.15</v>
      </c>
      <c r="G99" s="41">
        <v>0.15</v>
      </c>
      <c r="H99" s="41">
        <v>0.2</v>
      </c>
      <c r="I99" s="41">
        <v>1</v>
      </c>
      <c r="J99" s="39"/>
      <c r="M99" s="7"/>
    </row>
    <row r="100" spans="1:13" x14ac:dyDescent="0.25">
      <c r="A100" s="1" t="s">
        <v>4</v>
      </c>
      <c r="B100" s="41">
        <v>0</v>
      </c>
      <c r="C100" s="41">
        <v>0</v>
      </c>
      <c r="D100" s="41">
        <v>0</v>
      </c>
      <c r="E100" s="41">
        <v>0.1</v>
      </c>
      <c r="F100" s="41">
        <v>0.15</v>
      </c>
      <c r="G100" s="41">
        <v>0.15</v>
      </c>
      <c r="H100" s="41">
        <v>0.2</v>
      </c>
      <c r="I100" s="41">
        <v>1</v>
      </c>
      <c r="J100" s="39"/>
      <c r="M100" s="7"/>
    </row>
    <row r="101" spans="1:13" x14ac:dyDescent="0.25">
      <c r="A101" s="1" t="s">
        <v>51</v>
      </c>
      <c r="B101" s="41">
        <v>0</v>
      </c>
      <c r="C101" s="41">
        <v>0</v>
      </c>
      <c r="D101" s="41">
        <v>0</v>
      </c>
      <c r="E101" s="41">
        <v>0.1</v>
      </c>
      <c r="F101" s="41">
        <v>0.15</v>
      </c>
      <c r="G101" s="41">
        <v>0.15</v>
      </c>
      <c r="H101" s="41">
        <v>0.2</v>
      </c>
      <c r="I101" s="41">
        <v>1</v>
      </c>
      <c r="J101" s="39"/>
      <c r="M101" s="7"/>
    </row>
    <row r="102" spans="1:13" x14ac:dyDescent="0.25">
      <c r="A102" s="1" t="s">
        <v>85</v>
      </c>
      <c r="B102" s="41">
        <v>0</v>
      </c>
      <c r="C102" s="41">
        <v>0</v>
      </c>
      <c r="D102" s="41">
        <v>0</v>
      </c>
      <c r="E102" s="41">
        <v>0.1</v>
      </c>
      <c r="F102" s="41">
        <v>0.15</v>
      </c>
      <c r="G102" s="41">
        <v>0.15</v>
      </c>
      <c r="H102" s="41">
        <v>0.2</v>
      </c>
      <c r="I102" s="41">
        <v>1</v>
      </c>
      <c r="J102" s="39"/>
      <c r="M102" s="7"/>
    </row>
    <row r="103" spans="1:13" x14ac:dyDescent="0.25">
      <c r="A103" s="1" t="s">
        <v>2</v>
      </c>
      <c r="B103" s="41">
        <v>0</v>
      </c>
      <c r="C103" s="41">
        <v>0</v>
      </c>
      <c r="D103" s="41">
        <v>0.1</v>
      </c>
      <c r="E103" s="41">
        <v>0.5</v>
      </c>
      <c r="F103" s="41">
        <v>1</v>
      </c>
      <c r="G103" s="41">
        <v>1</v>
      </c>
      <c r="H103" s="41">
        <v>1</v>
      </c>
      <c r="I103" s="41">
        <v>1</v>
      </c>
      <c r="J103" s="39"/>
      <c r="M103" s="7"/>
    </row>
    <row r="104" spans="1:13" x14ac:dyDescent="0.25">
      <c r="A104" s="1" t="s">
        <v>86</v>
      </c>
      <c r="B104" s="41">
        <v>0</v>
      </c>
      <c r="C104" s="41">
        <v>0</v>
      </c>
      <c r="D104" s="41">
        <v>0</v>
      </c>
      <c r="E104" s="41">
        <v>0.1</v>
      </c>
      <c r="F104" s="41">
        <v>0.15</v>
      </c>
      <c r="G104" s="41">
        <v>0.15</v>
      </c>
      <c r="H104" s="41">
        <v>0.2</v>
      </c>
      <c r="I104" s="41">
        <v>1</v>
      </c>
      <c r="J104" s="39"/>
      <c r="M104" s="7"/>
    </row>
    <row r="105" spans="1:13" x14ac:dyDescent="0.25">
      <c r="A105" s="1" t="s">
        <v>29</v>
      </c>
      <c r="B105" s="41">
        <v>0</v>
      </c>
      <c r="C105" s="41">
        <v>0</v>
      </c>
      <c r="D105" s="41">
        <v>0</v>
      </c>
      <c r="E105" s="41">
        <v>0.1</v>
      </c>
      <c r="F105" s="41">
        <v>0.15</v>
      </c>
      <c r="G105" s="41">
        <v>0.15</v>
      </c>
      <c r="H105" s="41">
        <v>0.2</v>
      </c>
      <c r="I105" s="41">
        <v>1</v>
      </c>
      <c r="J105" s="39"/>
      <c r="M105" s="7"/>
    </row>
    <row r="106" spans="1:13" x14ac:dyDescent="0.25">
      <c r="A106" s="1" t="s">
        <v>52</v>
      </c>
      <c r="B106" s="41">
        <v>0</v>
      </c>
      <c r="C106" s="41">
        <v>0</v>
      </c>
      <c r="D106" s="41">
        <v>0</v>
      </c>
      <c r="E106" s="41">
        <v>0.1</v>
      </c>
      <c r="F106" s="41">
        <v>0.15</v>
      </c>
      <c r="G106" s="41">
        <v>0.15</v>
      </c>
      <c r="H106" s="41">
        <v>0.2</v>
      </c>
      <c r="I106" s="41">
        <v>1</v>
      </c>
      <c r="J106" s="39"/>
      <c r="M106" s="7"/>
    </row>
    <row r="107" spans="1:13" x14ac:dyDescent="0.25">
      <c r="A107" s="1" t="s">
        <v>1</v>
      </c>
      <c r="B107" s="41">
        <v>0</v>
      </c>
      <c r="C107" s="41">
        <v>0</v>
      </c>
      <c r="D107" s="41">
        <v>0</v>
      </c>
      <c r="E107" s="41">
        <v>0.1</v>
      </c>
      <c r="F107" s="41">
        <v>0.15</v>
      </c>
      <c r="G107" s="41">
        <v>0.15</v>
      </c>
      <c r="H107" s="41">
        <v>0.2</v>
      </c>
      <c r="I107" s="41">
        <v>1</v>
      </c>
      <c r="J107" s="39"/>
      <c r="M107" s="7"/>
    </row>
    <row r="108" spans="1:13" ht="15.75" thickBot="1" x14ac:dyDescent="0.3">
      <c r="A108" s="4"/>
      <c r="B108" s="39"/>
      <c r="C108" s="39"/>
      <c r="D108" s="39"/>
      <c r="E108" s="39"/>
      <c r="F108" s="39"/>
      <c r="G108" s="39"/>
      <c r="H108" s="39"/>
      <c r="I108" s="39"/>
      <c r="J108" s="39"/>
      <c r="M108" s="7"/>
    </row>
    <row r="109" spans="1:13" ht="15.75" thickBot="1" x14ac:dyDescent="0.3">
      <c r="A109" s="170" t="s">
        <v>60</v>
      </c>
      <c r="B109" s="171"/>
      <c r="C109" s="171"/>
      <c r="D109" s="171"/>
      <c r="E109" s="171"/>
      <c r="F109" s="171"/>
      <c r="G109" s="171"/>
      <c r="H109" s="171"/>
      <c r="I109" s="171"/>
      <c r="J109" s="172"/>
      <c r="M109" s="7"/>
    </row>
    <row r="110" spans="1:13" x14ac:dyDescent="0.25">
      <c r="A110" s="4" t="s">
        <v>16</v>
      </c>
      <c r="B110" s="5" t="s">
        <v>15</v>
      </c>
      <c r="C110" s="5" t="s">
        <v>14</v>
      </c>
      <c r="D110" s="5" t="s">
        <v>13</v>
      </c>
      <c r="E110" s="5" t="s">
        <v>12</v>
      </c>
      <c r="F110" s="5" t="s">
        <v>93</v>
      </c>
      <c r="G110" s="5" t="s">
        <v>94</v>
      </c>
      <c r="H110" s="5" t="s">
        <v>38</v>
      </c>
      <c r="I110" s="5" t="s">
        <v>9</v>
      </c>
      <c r="J110" s="5" t="s">
        <v>0</v>
      </c>
      <c r="M110" s="7"/>
    </row>
    <row r="111" spans="1:13" x14ac:dyDescent="0.25">
      <c r="A111" s="1" t="s">
        <v>49</v>
      </c>
      <c r="B111" s="66">
        <f>IF(B70&gt;0,B70*B91,0)</f>
        <v>0</v>
      </c>
      <c r="C111" s="66">
        <f t="shared" ref="C111:I111" si="46">IF(C70&gt;0,C70*C91,0)</f>
        <v>0</v>
      </c>
      <c r="D111" s="66">
        <f t="shared" si="46"/>
        <v>0</v>
      </c>
      <c r="E111" s="66">
        <f t="shared" si="46"/>
        <v>0</v>
      </c>
      <c r="F111" s="66">
        <f t="shared" si="46"/>
        <v>0</v>
      </c>
      <c r="G111" s="66">
        <f t="shared" si="46"/>
        <v>0</v>
      </c>
      <c r="H111" s="66">
        <f t="shared" si="46"/>
        <v>0</v>
      </c>
      <c r="I111" s="66">
        <f t="shared" si="46"/>
        <v>0</v>
      </c>
      <c r="J111" s="39">
        <f>SUM(B111:H111)</f>
        <v>0</v>
      </c>
      <c r="M111" s="7"/>
    </row>
    <row r="112" spans="1:13" x14ac:dyDescent="0.25">
      <c r="A112" s="1" t="s">
        <v>8</v>
      </c>
      <c r="B112" s="39">
        <f>IF(B71&gt;0,B71*B92,0)</f>
        <v>0</v>
      </c>
      <c r="C112" s="39">
        <f t="shared" ref="C112:I112" si="47">IF(C71&gt;0,C71*C92,0)</f>
        <v>0</v>
      </c>
      <c r="D112" s="39">
        <f t="shared" si="47"/>
        <v>0</v>
      </c>
      <c r="E112" s="39">
        <f t="shared" si="47"/>
        <v>0</v>
      </c>
      <c r="F112" s="39">
        <f t="shared" si="47"/>
        <v>0</v>
      </c>
      <c r="G112" s="39">
        <f t="shared" si="47"/>
        <v>0</v>
      </c>
      <c r="H112" s="39">
        <f t="shared" si="47"/>
        <v>0</v>
      </c>
      <c r="I112" s="39">
        <f t="shared" si="47"/>
        <v>0</v>
      </c>
      <c r="J112" s="39">
        <f t="shared" ref="J112:J127" si="48">SUM(B112:H112)</f>
        <v>0</v>
      </c>
      <c r="M112" s="7"/>
    </row>
    <row r="113" spans="1:13" x14ac:dyDescent="0.25">
      <c r="A113" s="1" t="s">
        <v>7</v>
      </c>
      <c r="B113" s="39">
        <f>IF(B72&gt;0,B72*B93,0)</f>
        <v>0</v>
      </c>
      <c r="C113" s="39">
        <f t="shared" ref="C113:I113" si="49">IF(C72&gt;0,C72*C93,0)</f>
        <v>0</v>
      </c>
      <c r="D113" s="39">
        <f t="shared" si="49"/>
        <v>0</v>
      </c>
      <c r="E113" s="39">
        <f t="shared" si="49"/>
        <v>0</v>
      </c>
      <c r="F113" s="39">
        <f t="shared" si="49"/>
        <v>0</v>
      </c>
      <c r="G113" s="39">
        <f t="shared" si="49"/>
        <v>0</v>
      </c>
      <c r="H113" s="39">
        <f t="shared" si="49"/>
        <v>0</v>
      </c>
      <c r="I113" s="39">
        <f t="shared" si="49"/>
        <v>0</v>
      </c>
      <c r="J113" s="39">
        <f t="shared" si="48"/>
        <v>0</v>
      </c>
      <c r="M113" s="7"/>
    </row>
    <row r="114" spans="1:13" x14ac:dyDescent="0.25">
      <c r="A114" s="1" t="s">
        <v>42</v>
      </c>
      <c r="B114" s="39">
        <f t="shared" ref="B114:B127" si="50">IF(B73&gt;0,B73*B94,0)</f>
        <v>0</v>
      </c>
      <c r="C114" s="39">
        <f t="shared" ref="C114:I114" si="51">IF(C73&gt;0,C73*C94,0)</f>
        <v>0</v>
      </c>
      <c r="D114" s="39">
        <f t="shared" si="51"/>
        <v>0</v>
      </c>
      <c r="E114" s="39">
        <f t="shared" si="51"/>
        <v>0</v>
      </c>
      <c r="F114" s="39">
        <f t="shared" si="51"/>
        <v>0</v>
      </c>
      <c r="G114" s="39">
        <f t="shared" si="51"/>
        <v>0</v>
      </c>
      <c r="H114" s="39">
        <f t="shared" si="51"/>
        <v>0</v>
      </c>
      <c r="I114" s="39">
        <f t="shared" si="51"/>
        <v>0</v>
      </c>
      <c r="J114" s="39">
        <f t="shared" si="48"/>
        <v>0</v>
      </c>
      <c r="M114" s="7"/>
    </row>
    <row r="115" spans="1:13" x14ac:dyDescent="0.25">
      <c r="A115" s="1" t="s">
        <v>6</v>
      </c>
      <c r="B115" s="39">
        <f t="shared" si="50"/>
        <v>0</v>
      </c>
      <c r="C115" s="39">
        <f t="shared" ref="C115:I115" si="52">IF(C74&gt;0,C74*C95,0)</f>
        <v>0</v>
      </c>
      <c r="D115" s="39">
        <f t="shared" si="52"/>
        <v>0</v>
      </c>
      <c r="E115" s="39">
        <f t="shared" si="52"/>
        <v>0</v>
      </c>
      <c r="F115" s="39">
        <f t="shared" si="52"/>
        <v>0</v>
      </c>
      <c r="G115" s="39">
        <f t="shared" si="52"/>
        <v>0</v>
      </c>
      <c r="H115" s="39">
        <f t="shared" si="52"/>
        <v>0</v>
      </c>
      <c r="I115" s="39">
        <f t="shared" si="52"/>
        <v>0</v>
      </c>
      <c r="J115" s="39">
        <f t="shared" si="48"/>
        <v>0</v>
      </c>
      <c r="M115" s="7"/>
    </row>
    <row r="116" spans="1:13" x14ac:dyDescent="0.25">
      <c r="A116" s="1" t="s">
        <v>50</v>
      </c>
      <c r="B116" s="39">
        <f t="shared" si="50"/>
        <v>0</v>
      </c>
      <c r="C116" s="39">
        <f t="shared" ref="C116:I116" si="53">IF(C75&gt;0,C75*C96,0)</f>
        <v>0</v>
      </c>
      <c r="D116" s="39">
        <f t="shared" si="53"/>
        <v>0</v>
      </c>
      <c r="E116" s="39">
        <f t="shared" si="53"/>
        <v>0</v>
      </c>
      <c r="F116" s="39">
        <f t="shared" si="53"/>
        <v>0</v>
      </c>
      <c r="G116" s="39">
        <f t="shared" si="53"/>
        <v>0</v>
      </c>
      <c r="H116" s="39">
        <f t="shared" si="53"/>
        <v>0</v>
      </c>
      <c r="I116" s="39">
        <f t="shared" si="53"/>
        <v>0</v>
      </c>
      <c r="J116" s="39">
        <f t="shared" si="48"/>
        <v>0</v>
      </c>
      <c r="M116" s="7"/>
    </row>
    <row r="117" spans="1:13" x14ac:dyDescent="0.25">
      <c r="A117" s="1" t="s">
        <v>89</v>
      </c>
      <c r="B117" s="39">
        <f t="shared" si="50"/>
        <v>0</v>
      </c>
      <c r="C117" s="39">
        <f t="shared" ref="C117:I117" si="54">IF(C76&gt;0,C76*C97,0)</f>
        <v>0</v>
      </c>
      <c r="D117" s="39">
        <f t="shared" si="54"/>
        <v>0</v>
      </c>
      <c r="E117" s="39">
        <f t="shared" si="54"/>
        <v>0</v>
      </c>
      <c r="F117" s="39">
        <f t="shared" si="54"/>
        <v>0</v>
      </c>
      <c r="G117" s="39">
        <f t="shared" si="54"/>
        <v>0</v>
      </c>
      <c r="H117" s="39">
        <f t="shared" si="54"/>
        <v>0</v>
      </c>
      <c r="I117" s="39">
        <f t="shared" si="54"/>
        <v>0</v>
      </c>
      <c r="J117" s="39">
        <f t="shared" si="48"/>
        <v>0</v>
      </c>
      <c r="M117" s="7"/>
    </row>
    <row r="118" spans="1:13" x14ac:dyDescent="0.25">
      <c r="A118" s="1" t="s">
        <v>5</v>
      </c>
      <c r="B118" s="39">
        <f t="shared" si="50"/>
        <v>0</v>
      </c>
      <c r="C118" s="39">
        <f t="shared" ref="C118:I118" si="55">IF(C77&gt;0,C77*C98,0)</f>
        <v>0</v>
      </c>
      <c r="D118" s="39">
        <f t="shared" si="55"/>
        <v>0</v>
      </c>
      <c r="E118" s="39">
        <f t="shared" si="55"/>
        <v>0</v>
      </c>
      <c r="F118" s="39">
        <f t="shared" si="55"/>
        <v>0</v>
      </c>
      <c r="G118" s="39">
        <f t="shared" si="55"/>
        <v>0</v>
      </c>
      <c r="H118" s="39">
        <f t="shared" si="55"/>
        <v>0</v>
      </c>
      <c r="I118" s="39">
        <f t="shared" si="55"/>
        <v>0</v>
      </c>
      <c r="J118" s="39">
        <f t="shared" si="48"/>
        <v>0</v>
      </c>
      <c r="M118" s="7"/>
    </row>
    <row r="119" spans="1:13" x14ac:dyDescent="0.25">
      <c r="A119" s="1" t="s">
        <v>84</v>
      </c>
      <c r="B119" s="39">
        <f t="shared" si="50"/>
        <v>0</v>
      </c>
      <c r="C119" s="39">
        <f t="shared" ref="C119:I119" si="56">IF(C78&gt;0,C78*C99,0)</f>
        <v>0</v>
      </c>
      <c r="D119" s="39">
        <f t="shared" si="56"/>
        <v>0</v>
      </c>
      <c r="E119" s="39">
        <f t="shared" si="56"/>
        <v>0</v>
      </c>
      <c r="F119" s="39">
        <f t="shared" si="56"/>
        <v>0</v>
      </c>
      <c r="G119" s="39">
        <f t="shared" si="56"/>
        <v>0</v>
      </c>
      <c r="H119" s="39">
        <f t="shared" si="56"/>
        <v>0</v>
      </c>
      <c r="I119" s="39">
        <f t="shared" si="56"/>
        <v>0</v>
      </c>
      <c r="J119" s="39">
        <f t="shared" si="48"/>
        <v>0</v>
      </c>
      <c r="M119" s="7"/>
    </row>
    <row r="120" spans="1:13" x14ac:dyDescent="0.25">
      <c r="A120" s="1" t="s">
        <v>4</v>
      </c>
      <c r="B120" s="39">
        <f t="shared" si="50"/>
        <v>0</v>
      </c>
      <c r="C120" s="39">
        <f t="shared" ref="C120:I120" si="57">IF(C79&gt;0,C79*C100,0)</f>
        <v>0</v>
      </c>
      <c r="D120" s="39">
        <f t="shared" si="57"/>
        <v>0</v>
      </c>
      <c r="E120" s="39">
        <f t="shared" si="57"/>
        <v>0</v>
      </c>
      <c r="F120" s="39">
        <f t="shared" si="57"/>
        <v>0</v>
      </c>
      <c r="G120" s="39">
        <f t="shared" si="57"/>
        <v>0</v>
      </c>
      <c r="H120" s="39">
        <f t="shared" si="57"/>
        <v>0</v>
      </c>
      <c r="I120" s="39">
        <f t="shared" si="57"/>
        <v>0</v>
      </c>
      <c r="J120" s="39">
        <f t="shared" si="48"/>
        <v>0</v>
      </c>
      <c r="M120" s="7"/>
    </row>
    <row r="121" spans="1:13" x14ac:dyDescent="0.25">
      <c r="A121" s="1" t="s">
        <v>51</v>
      </c>
      <c r="B121" s="39">
        <f t="shared" si="50"/>
        <v>0</v>
      </c>
      <c r="C121" s="39">
        <f t="shared" ref="C121:I121" si="58">IF(C80&gt;0,C80*C101,0)</f>
        <v>0</v>
      </c>
      <c r="D121" s="39">
        <f t="shared" si="58"/>
        <v>0</v>
      </c>
      <c r="E121" s="39">
        <f t="shared" si="58"/>
        <v>0</v>
      </c>
      <c r="F121" s="39">
        <f t="shared" si="58"/>
        <v>0</v>
      </c>
      <c r="G121" s="39">
        <f t="shared" si="58"/>
        <v>0</v>
      </c>
      <c r="H121" s="39">
        <f t="shared" si="58"/>
        <v>0</v>
      </c>
      <c r="I121" s="39">
        <f t="shared" si="58"/>
        <v>0</v>
      </c>
      <c r="J121" s="39">
        <f t="shared" si="48"/>
        <v>0</v>
      </c>
      <c r="M121" s="7"/>
    </row>
    <row r="122" spans="1:13" x14ac:dyDescent="0.25">
      <c r="A122" s="1" t="s">
        <v>85</v>
      </c>
      <c r="B122" s="39">
        <f t="shared" si="50"/>
        <v>0</v>
      </c>
      <c r="C122" s="39">
        <f t="shared" ref="C122:I122" si="59">IF(C81&gt;0,C81*C102,0)</f>
        <v>0</v>
      </c>
      <c r="D122" s="39">
        <f t="shared" si="59"/>
        <v>0</v>
      </c>
      <c r="E122" s="39">
        <f t="shared" si="59"/>
        <v>0</v>
      </c>
      <c r="F122" s="39">
        <f t="shared" si="59"/>
        <v>0</v>
      </c>
      <c r="G122" s="39">
        <f t="shared" si="59"/>
        <v>0</v>
      </c>
      <c r="H122" s="39">
        <f t="shared" si="59"/>
        <v>0</v>
      </c>
      <c r="I122" s="39">
        <f t="shared" si="59"/>
        <v>0</v>
      </c>
      <c r="J122" s="39">
        <f t="shared" si="48"/>
        <v>0</v>
      </c>
      <c r="M122" s="7"/>
    </row>
    <row r="123" spans="1:13" x14ac:dyDescent="0.25">
      <c r="A123" s="1" t="s">
        <v>2</v>
      </c>
      <c r="B123" s="39">
        <f t="shared" si="50"/>
        <v>0</v>
      </c>
      <c r="C123" s="39">
        <f t="shared" ref="C123:I123" si="60">IF(C82&gt;0,C82*C103,0)</f>
        <v>0</v>
      </c>
      <c r="D123" s="39">
        <f t="shared" si="60"/>
        <v>0</v>
      </c>
      <c r="E123" s="39">
        <f t="shared" si="60"/>
        <v>0</v>
      </c>
      <c r="F123" s="39">
        <f t="shared" si="60"/>
        <v>0</v>
      </c>
      <c r="G123" s="39">
        <f t="shared" si="60"/>
        <v>0</v>
      </c>
      <c r="H123" s="39">
        <f t="shared" si="60"/>
        <v>0</v>
      </c>
      <c r="I123" s="39">
        <f t="shared" si="60"/>
        <v>0</v>
      </c>
      <c r="J123" s="39">
        <f t="shared" si="48"/>
        <v>0</v>
      </c>
      <c r="M123" s="7"/>
    </row>
    <row r="124" spans="1:13" x14ac:dyDescent="0.25">
      <c r="A124" s="1" t="s">
        <v>86</v>
      </c>
      <c r="B124" s="39">
        <f t="shared" si="50"/>
        <v>0</v>
      </c>
      <c r="C124" s="39">
        <f t="shared" ref="C124:I124" si="61">IF(C83&gt;0,C83*C104,0)</f>
        <v>0</v>
      </c>
      <c r="D124" s="39">
        <f t="shared" si="61"/>
        <v>0</v>
      </c>
      <c r="E124" s="39">
        <f t="shared" si="61"/>
        <v>0</v>
      </c>
      <c r="F124" s="39">
        <f t="shared" si="61"/>
        <v>0</v>
      </c>
      <c r="G124" s="39">
        <f t="shared" si="61"/>
        <v>0</v>
      </c>
      <c r="H124" s="39">
        <f t="shared" si="61"/>
        <v>0</v>
      </c>
      <c r="I124" s="39">
        <f t="shared" si="61"/>
        <v>0</v>
      </c>
      <c r="J124" s="39">
        <f t="shared" si="48"/>
        <v>0</v>
      </c>
      <c r="M124" s="183" t="s">
        <v>62</v>
      </c>
    </row>
    <row r="125" spans="1:13" x14ac:dyDescent="0.25">
      <c r="A125" s="1" t="s">
        <v>29</v>
      </c>
      <c r="B125" s="39">
        <f t="shared" si="50"/>
        <v>0</v>
      </c>
      <c r="C125" s="39">
        <f t="shared" ref="C125:I125" si="62">IF(C84&gt;0,C84*C105,0)</f>
        <v>0</v>
      </c>
      <c r="D125" s="39">
        <f t="shared" si="62"/>
        <v>0</v>
      </c>
      <c r="E125" s="39">
        <f t="shared" si="62"/>
        <v>0</v>
      </c>
      <c r="F125" s="39">
        <f t="shared" si="62"/>
        <v>0</v>
      </c>
      <c r="G125" s="39">
        <f t="shared" si="62"/>
        <v>0</v>
      </c>
      <c r="H125" s="39">
        <f t="shared" si="62"/>
        <v>0</v>
      </c>
      <c r="I125" s="39">
        <f t="shared" si="62"/>
        <v>0</v>
      </c>
      <c r="J125" s="39">
        <f t="shared" si="48"/>
        <v>0</v>
      </c>
      <c r="M125" s="183"/>
    </row>
    <row r="126" spans="1:13" x14ac:dyDescent="0.25">
      <c r="A126" s="1" t="s">
        <v>52</v>
      </c>
      <c r="B126" s="39">
        <f t="shared" si="50"/>
        <v>0</v>
      </c>
      <c r="C126" s="39">
        <f t="shared" ref="C126:I126" si="63">IF(C85&gt;0,C85*C106,0)</f>
        <v>0</v>
      </c>
      <c r="D126" s="39">
        <f t="shared" si="63"/>
        <v>0</v>
      </c>
      <c r="E126" s="39">
        <f t="shared" si="63"/>
        <v>0</v>
      </c>
      <c r="F126" s="39">
        <f t="shared" si="63"/>
        <v>0</v>
      </c>
      <c r="G126" s="39">
        <f t="shared" si="63"/>
        <v>0</v>
      </c>
      <c r="H126" s="39">
        <f t="shared" si="63"/>
        <v>0</v>
      </c>
      <c r="I126" s="39">
        <f t="shared" si="63"/>
        <v>0</v>
      </c>
      <c r="J126" s="39">
        <f t="shared" si="48"/>
        <v>0</v>
      </c>
      <c r="L126" s="35" t="s">
        <v>151</v>
      </c>
      <c r="M126" s="183" t="s">
        <v>63</v>
      </c>
    </row>
    <row r="127" spans="1:13" x14ac:dyDescent="0.25">
      <c r="A127" s="1" t="s">
        <v>1</v>
      </c>
      <c r="B127" s="40">
        <f t="shared" si="50"/>
        <v>0</v>
      </c>
      <c r="C127" s="40">
        <f t="shared" ref="C127:I127" si="64">IF(C86&gt;0,C86*C107,0)</f>
        <v>0</v>
      </c>
      <c r="D127" s="40">
        <f t="shared" si="64"/>
        <v>0</v>
      </c>
      <c r="E127" s="40">
        <f t="shared" si="64"/>
        <v>0</v>
      </c>
      <c r="F127" s="40">
        <f t="shared" si="64"/>
        <v>0</v>
      </c>
      <c r="G127" s="40">
        <f t="shared" si="64"/>
        <v>0</v>
      </c>
      <c r="H127" s="40">
        <f t="shared" si="64"/>
        <v>0</v>
      </c>
      <c r="I127" s="40">
        <f t="shared" si="64"/>
        <v>0</v>
      </c>
      <c r="J127" s="40">
        <f t="shared" si="48"/>
        <v>0</v>
      </c>
      <c r="L127" s="42" t="s">
        <v>61</v>
      </c>
      <c r="M127" s="184"/>
    </row>
    <row r="128" spans="1:13" x14ac:dyDescent="0.25">
      <c r="A128" s="4"/>
      <c r="B128" s="39">
        <f>SUM(B111:B127)</f>
        <v>0</v>
      </c>
      <c r="C128" s="39">
        <f t="shared" ref="C128:J128" si="65">SUM(C111:C127)</f>
        <v>0</v>
      </c>
      <c r="D128" s="39">
        <f t="shared" si="65"/>
        <v>0</v>
      </c>
      <c r="E128" s="39">
        <f t="shared" si="65"/>
        <v>0</v>
      </c>
      <c r="F128" s="39">
        <f t="shared" si="65"/>
        <v>0</v>
      </c>
      <c r="G128" s="39">
        <f t="shared" si="65"/>
        <v>0</v>
      </c>
      <c r="H128" s="39">
        <f t="shared" si="65"/>
        <v>0</v>
      </c>
      <c r="I128" s="39">
        <f t="shared" si="65"/>
        <v>0</v>
      </c>
      <c r="J128" s="39">
        <f t="shared" si="65"/>
        <v>0</v>
      </c>
      <c r="L128" s="108">
        <v>60000</v>
      </c>
      <c r="M128" s="7">
        <f>J128-L128</f>
        <v>-60000</v>
      </c>
    </row>
    <row r="129" spans="1:13" ht="15.75" thickBot="1" x14ac:dyDescent="0.3">
      <c r="A129" s="4"/>
      <c r="B129" s="39"/>
      <c r="C129" s="39"/>
      <c r="D129" s="39"/>
      <c r="E129" s="39"/>
      <c r="F129" s="39"/>
      <c r="G129" s="39"/>
      <c r="H129" s="39"/>
      <c r="I129" s="39"/>
      <c r="J129" s="39"/>
      <c r="M129" s="7"/>
    </row>
    <row r="130" spans="1:13" ht="15.75" thickBot="1" x14ac:dyDescent="0.3">
      <c r="A130" s="170" t="s">
        <v>30</v>
      </c>
      <c r="B130" s="171"/>
      <c r="C130" s="171"/>
      <c r="D130" s="171"/>
      <c r="E130" s="171"/>
      <c r="F130" s="171"/>
      <c r="G130" s="171"/>
      <c r="H130" s="171"/>
      <c r="I130" s="171"/>
      <c r="J130" s="172"/>
      <c r="M130" s="7"/>
    </row>
    <row r="131" spans="1:13" x14ac:dyDescent="0.25">
      <c r="A131" s="4" t="s">
        <v>16</v>
      </c>
      <c r="B131" s="5" t="s">
        <v>15</v>
      </c>
      <c r="C131" s="5" t="s">
        <v>14</v>
      </c>
      <c r="D131" s="5" t="s">
        <v>13</v>
      </c>
      <c r="E131" s="5" t="s">
        <v>12</v>
      </c>
      <c r="F131" s="5" t="s">
        <v>93</v>
      </c>
      <c r="G131" s="5" t="s">
        <v>94</v>
      </c>
      <c r="H131" s="5" t="s">
        <v>38</v>
      </c>
      <c r="I131" s="5" t="s">
        <v>9</v>
      </c>
      <c r="J131" s="5" t="s">
        <v>0</v>
      </c>
      <c r="M131" s="7"/>
    </row>
    <row r="132" spans="1:13" x14ac:dyDescent="0.25">
      <c r="A132" s="1" t="s">
        <v>49</v>
      </c>
      <c r="B132" s="39">
        <f>B70-B111</f>
        <v>0</v>
      </c>
      <c r="C132" s="39">
        <f t="shared" ref="C132:I132" si="66">C70-C111</f>
        <v>0</v>
      </c>
      <c r="D132" s="39">
        <f t="shared" si="66"/>
        <v>0</v>
      </c>
      <c r="E132" s="39">
        <f t="shared" si="66"/>
        <v>0</v>
      </c>
      <c r="F132" s="39">
        <f t="shared" si="66"/>
        <v>0</v>
      </c>
      <c r="G132" s="39">
        <f t="shared" si="66"/>
        <v>0</v>
      </c>
      <c r="H132" s="39">
        <f t="shared" si="66"/>
        <v>0</v>
      </c>
      <c r="I132" s="39">
        <f t="shared" si="66"/>
        <v>0</v>
      </c>
      <c r="J132" s="39">
        <f>SUM(B132:H132)</f>
        <v>0</v>
      </c>
      <c r="M132" s="7"/>
    </row>
    <row r="133" spans="1:13" x14ac:dyDescent="0.25">
      <c r="A133" s="1" t="s">
        <v>8</v>
      </c>
      <c r="B133" s="39">
        <f>B71-B112</f>
        <v>0</v>
      </c>
      <c r="C133" s="39">
        <f t="shared" ref="C133:I133" si="67">C71-C112</f>
        <v>0</v>
      </c>
      <c r="D133" s="39">
        <f t="shared" si="67"/>
        <v>0</v>
      </c>
      <c r="E133" s="39">
        <f t="shared" si="67"/>
        <v>0</v>
      </c>
      <c r="F133" s="39">
        <f t="shared" si="67"/>
        <v>0</v>
      </c>
      <c r="G133" s="39">
        <f t="shared" si="67"/>
        <v>0</v>
      </c>
      <c r="H133" s="39">
        <f t="shared" si="67"/>
        <v>0</v>
      </c>
      <c r="I133" s="39">
        <f t="shared" si="67"/>
        <v>0</v>
      </c>
      <c r="J133" s="39">
        <f t="shared" ref="J133:J148" si="68">SUM(B133:H133)</f>
        <v>0</v>
      </c>
      <c r="M133" s="7"/>
    </row>
    <row r="134" spans="1:13" x14ac:dyDescent="0.25">
      <c r="A134" s="1" t="s">
        <v>7</v>
      </c>
      <c r="B134" s="39">
        <f>B72-B113</f>
        <v>0</v>
      </c>
      <c r="C134" s="39">
        <f t="shared" ref="C134:I134" si="69">C72-C113</f>
        <v>0</v>
      </c>
      <c r="D134" s="39">
        <f t="shared" si="69"/>
        <v>0</v>
      </c>
      <c r="E134" s="39">
        <f t="shared" si="69"/>
        <v>0</v>
      </c>
      <c r="F134" s="39">
        <f t="shared" si="69"/>
        <v>0</v>
      </c>
      <c r="G134" s="39">
        <f t="shared" si="69"/>
        <v>0</v>
      </c>
      <c r="H134" s="39">
        <f t="shared" si="69"/>
        <v>0</v>
      </c>
      <c r="I134" s="39">
        <f t="shared" si="69"/>
        <v>0</v>
      </c>
      <c r="J134" s="39">
        <f t="shared" si="68"/>
        <v>0</v>
      </c>
      <c r="M134" s="7"/>
    </row>
    <row r="135" spans="1:13" x14ac:dyDescent="0.25">
      <c r="A135" s="1" t="s">
        <v>42</v>
      </c>
      <c r="B135" s="39">
        <f t="shared" ref="B135:B148" si="70">B73-B114</f>
        <v>0</v>
      </c>
      <c r="C135" s="39">
        <f t="shared" ref="C135:I135" si="71">C73-C114</f>
        <v>0</v>
      </c>
      <c r="D135" s="39">
        <f t="shared" si="71"/>
        <v>0</v>
      </c>
      <c r="E135" s="39">
        <f t="shared" si="71"/>
        <v>0</v>
      </c>
      <c r="F135" s="39">
        <f t="shared" si="71"/>
        <v>0</v>
      </c>
      <c r="G135" s="39">
        <f t="shared" si="71"/>
        <v>0</v>
      </c>
      <c r="H135" s="39">
        <f t="shared" si="71"/>
        <v>0</v>
      </c>
      <c r="I135" s="39">
        <f t="shared" si="71"/>
        <v>0</v>
      </c>
      <c r="J135" s="39">
        <f t="shared" si="68"/>
        <v>0</v>
      </c>
      <c r="M135" s="7"/>
    </row>
    <row r="136" spans="1:13" x14ac:dyDescent="0.25">
      <c r="A136" s="1" t="s">
        <v>6</v>
      </c>
      <c r="B136" s="39">
        <f t="shared" si="70"/>
        <v>0</v>
      </c>
      <c r="C136" s="39">
        <f t="shared" ref="C136:I136" si="72">C74-C115</f>
        <v>0</v>
      </c>
      <c r="D136" s="39">
        <f t="shared" si="72"/>
        <v>0</v>
      </c>
      <c r="E136" s="39">
        <f t="shared" si="72"/>
        <v>0</v>
      </c>
      <c r="F136" s="39">
        <f t="shared" si="72"/>
        <v>0</v>
      </c>
      <c r="G136" s="39">
        <f t="shared" si="72"/>
        <v>0</v>
      </c>
      <c r="H136" s="39">
        <f t="shared" si="72"/>
        <v>0</v>
      </c>
      <c r="I136" s="39">
        <f t="shared" si="72"/>
        <v>0</v>
      </c>
      <c r="J136" s="39">
        <f t="shared" si="68"/>
        <v>0</v>
      </c>
      <c r="M136" s="7"/>
    </row>
    <row r="137" spans="1:13" x14ac:dyDescent="0.25">
      <c r="A137" s="1" t="s">
        <v>50</v>
      </c>
      <c r="B137" s="39">
        <f t="shared" si="70"/>
        <v>0</v>
      </c>
      <c r="C137" s="39">
        <f t="shared" ref="C137:I137" si="73">C75-C116</f>
        <v>0</v>
      </c>
      <c r="D137" s="39">
        <f t="shared" si="73"/>
        <v>0</v>
      </c>
      <c r="E137" s="39">
        <f t="shared" si="73"/>
        <v>0</v>
      </c>
      <c r="F137" s="39">
        <f t="shared" si="73"/>
        <v>0</v>
      </c>
      <c r="G137" s="39">
        <f t="shared" si="73"/>
        <v>0</v>
      </c>
      <c r="H137" s="39">
        <f t="shared" si="73"/>
        <v>0</v>
      </c>
      <c r="I137" s="39">
        <f t="shared" si="73"/>
        <v>0</v>
      </c>
      <c r="J137" s="39">
        <f t="shared" si="68"/>
        <v>0</v>
      </c>
      <c r="M137" s="7"/>
    </row>
    <row r="138" spans="1:13" x14ac:dyDescent="0.25">
      <c r="A138" s="1" t="s">
        <v>89</v>
      </c>
      <c r="B138" s="39">
        <f t="shared" si="70"/>
        <v>0</v>
      </c>
      <c r="C138" s="39">
        <f t="shared" ref="C138:I138" si="74">C76-C117</f>
        <v>0</v>
      </c>
      <c r="D138" s="39">
        <f t="shared" si="74"/>
        <v>0</v>
      </c>
      <c r="E138" s="39">
        <f t="shared" si="74"/>
        <v>0</v>
      </c>
      <c r="F138" s="39">
        <f t="shared" si="74"/>
        <v>0</v>
      </c>
      <c r="G138" s="39">
        <f t="shared" si="74"/>
        <v>0</v>
      </c>
      <c r="H138" s="39">
        <f t="shared" si="74"/>
        <v>0</v>
      </c>
      <c r="I138" s="39">
        <f t="shared" si="74"/>
        <v>0</v>
      </c>
      <c r="J138" s="39">
        <f t="shared" si="68"/>
        <v>0</v>
      </c>
      <c r="M138" s="7"/>
    </row>
    <row r="139" spans="1:13" x14ac:dyDescent="0.25">
      <c r="A139" s="1" t="s">
        <v>5</v>
      </c>
      <c r="B139" s="39">
        <f t="shared" si="70"/>
        <v>0</v>
      </c>
      <c r="C139" s="39">
        <f t="shared" ref="C139:I139" si="75">C77-C118</f>
        <v>0</v>
      </c>
      <c r="D139" s="39">
        <f t="shared" si="75"/>
        <v>0</v>
      </c>
      <c r="E139" s="39">
        <f t="shared" si="75"/>
        <v>0</v>
      </c>
      <c r="F139" s="39">
        <f t="shared" si="75"/>
        <v>0</v>
      </c>
      <c r="G139" s="39">
        <f t="shared" si="75"/>
        <v>0</v>
      </c>
      <c r="H139" s="39">
        <f t="shared" si="75"/>
        <v>0</v>
      </c>
      <c r="I139" s="39">
        <f t="shared" si="75"/>
        <v>0</v>
      </c>
      <c r="J139" s="39">
        <f t="shared" si="68"/>
        <v>0</v>
      </c>
      <c r="M139" s="7"/>
    </row>
    <row r="140" spans="1:13" x14ac:dyDescent="0.25">
      <c r="A140" s="1" t="s">
        <v>84</v>
      </c>
      <c r="B140" s="39">
        <f t="shared" si="70"/>
        <v>0</v>
      </c>
      <c r="C140" s="39">
        <f t="shared" ref="C140:I140" si="76">C78-C119</f>
        <v>0</v>
      </c>
      <c r="D140" s="39">
        <f t="shared" si="76"/>
        <v>0</v>
      </c>
      <c r="E140" s="39">
        <f t="shared" si="76"/>
        <v>0</v>
      </c>
      <c r="F140" s="39">
        <f t="shared" si="76"/>
        <v>0</v>
      </c>
      <c r="G140" s="39">
        <f t="shared" si="76"/>
        <v>0</v>
      </c>
      <c r="H140" s="39">
        <f t="shared" si="76"/>
        <v>0</v>
      </c>
      <c r="I140" s="39">
        <f t="shared" si="76"/>
        <v>0</v>
      </c>
      <c r="J140" s="39">
        <f t="shared" si="68"/>
        <v>0</v>
      </c>
      <c r="M140" s="7"/>
    </row>
    <row r="141" spans="1:13" x14ac:dyDescent="0.25">
      <c r="A141" s="1" t="s">
        <v>4</v>
      </c>
      <c r="B141" s="39">
        <f t="shared" si="70"/>
        <v>0</v>
      </c>
      <c r="C141" s="39">
        <f t="shared" ref="C141:I141" si="77">C79-C120</f>
        <v>0</v>
      </c>
      <c r="D141" s="39">
        <f t="shared" si="77"/>
        <v>0</v>
      </c>
      <c r="E141" s="39">
        <f t="shared" si="77"/>
        <v>0</v>
      </c>
      <c r="F141" s="39">
        <f t="shared" si="77"/>
        <v>0</v>
      </c>
      <c r="G141" s="39">
        <f t="shared" si="77"/>
        <v>0</v>
      </c>
      <c r="H141" s="39">
        <f t="shared" si="77"/>
        <v>0</v>
      </c>
      <c r="I141" s="39">
        <f t="shared" si="77"/>
        <v>0</v>
      </c>
      <c r="J141" s="39">
        <f t="shared" si="68"/>
        <v>0</v>
      </c>
      <c r="M141" s="7"/>
    </row>
    <row r="142" spans="1:13" x14ac:dyDescent="0.25">
      <c r="A142" s="1" t="s">
        <v>51</v>
      </c>
      <c r="B142" s="39">
        <f t="shared" si="70"/>
        <v>0</v>
      </c>
      <c r="C142" s="39">
        <f t="shared" ref="C142:I142" si="78">C80-C121</f>
        <v>0</v>
      </c>
      <c r="D142" s="39">
        <f t="shared" si="78"/>
        <v>0</v>
      </c>
      <c r="E142" s="39">
        <f t="shared" si="78"/>
        <v>0</v>
      </c>
      <c r="F142" s="39">
        <f t="shared" si="78"/>
        <v>0</v>
      </c>
      <c r="G142" s="39">
        <f t="shared" si="78"/>
        <v>0</v>
      </c>
      <c r="H142" s="39">
        <f t="shared" si="78"/>
        <v>0</v>
      </c>
      <c r="I142" s="39">
        <f t="shared" si="78"/>
        <v>0</v>
      </c>
      <c r="J142" s="39">
        <f t="shared" si="68"/>
        <v>0</v>
      </c>
      <c r="M142" s="7"/>
    </row>
    <row r="143" spans="1:13" x14ac:dyDescent="0.25">
      <c r="A143" s="1" t="s">
        <v>85</v>
      </c>
      <c r="B143" s="39">
        <f t="shared" si="70"/>
        <v>0</v>
      </c>
      <c r="C143" s="39">
        <f t="shared" ref="C143:I143" si="79">C81-C122</f>
        <v>0</v>
      </c>
      <c r="D143" s="39">
        <f t="shared" si="79"/>
        <v>0</v>
      </c>
      <c r="E143" s="39">
        <f t="shared" si="79"/>
        <v>0</v>
      </c>
      <c r="F143" s="39">
        <f t="shared" si="79"/>
        <v>0</v>
      </c>
      <c r="G143" s="39">
        <f t="shared" si="79"/>
        <v>0</v>
      </c>
      <c r="H143" s="39">
        <f t="shared" si="79"/>
        <v>0</v>
      </c>
      <c r="I143" s="39">
        <f t="shared" si="79"/>
        <v>0</v>
      </c>
      <c r="J143" s="39">
        <f t="shared" si="68"/>
        <v>0</v>
      </c>
      <c r="M143" s="7"/>
    </row>
    <row r="144" spans="1:13" x14ac:dyDescent="0.25">
      <c r="A144" s="1" t="s">
        <v>2</v>
      </c>
      <c r="B144" s="39">
        <f t="shared" si="70"/>
        <v>0</v>
      </c>
      <c r="C144" s="39">
        <f t="shared" ref="C144:I144" si="80">C82-C123</f>
        <v>0</v>
      </c>
      <c r="D144" s="39">
        <f t="shared" si="80"/>
        <v>0</v>
      </c>
      <c r="E144" s="39">
        <f t="shared" si="80"/>
        <v>0</v>
      </c>
      <c r="F144" s="39">
        <f t="shared" si="80"/>
        <v>0</v>
      </c>
      <c r="G144" s="39">
        <f t="shared" si="80"/>
        <v>0</v>
      </c>
      <c r="H144" s="39">
        <f t="shared" si="80"/>
        <v>0</v>
      </c>
      <c r="I144" s="39">
        <f t="shared" si="80"/>
        <v>0</v>
      </c>
      <c r="J144" s="39">
        <f t="shared" si="68"/>
        <v>0</v>
      </c>
      <c r="M144" s="7"/>
    </row>
    <row r="145" spans="1:13" x14ac:dyDescent="0.25">
      <c r="A145" s="1" t="s">
        <v>86</v>
      </c>
      <c r="B145" s="39">
        <f t="shared" si="70"/>
        <v>0</v>
      </c>
      <c r="C145" s="39">
        <f t="shared" ref="C145:I145" si="81">C83-C124</f>
        <v>0</v>
      </c>
      <c r="D145" s="39">
        <f t="shared" si="81"/>
        <v>0</v>
      </c>
      <c r="E145" s="39">
        <f t="shared" si="81"/>
        <v>0</v>
      </c>
      <c r="F145" s="39">
        <f t="shared" si="81"/>
        <v>0</v>
      </c>
      <c r="G145" s="39">
        <f t="shared" si="81"/>
        <v>0</v>
      </c>
      <c r="H145" s="39">
        <f t="shared" si="81"/>
        <v>0</v>
      </c>
      <c r="I145" s="39">
        <f t="shared" si="81"/>
        <v>0</v>
      </c>
      <c r="J145" s="39">
        <f t="shared" si="68"/>
        <v>0</v>
      </c>
      <c r="M145" s="7"/>
    </row>
    <row r="146" spans="1:13" x14ac:dyDescent="0.25">
      <c r="A146" s="1" t="s">
        <v>29</v>
      </c>
      <c r="B146" s="39">
        <f t="shared" si="70"/>
        <v>0</v>
      </c>
      <c r="C146" s="39">
        <f t="shared" ref="C146:I146" si="82">C84-C125</f>
        <v>0</v>
      </c>
      <c r="D146" s="39">
        <f t="shared" si="82"/>
        <v>0</v>
      </c>
      <c r="E146" s="39">
        <f t="shared" si="82"/>
        <v>0</v>
      </c>
      <c r="F146" s="39">
        <f t="shared" si="82"/>
        <v>0</v>
      </c>
      <c r="G146" s="39">
        <f t="shared" si="82"/>
        <v>0</v>
      </c>
      <c r="H146" s="39">
        <f t="shared" si="82"/>
        <v>0</v>
      </c>
      <c r="I146" s="39">
        <f t="shared" si="82"/>
        <v>0</v>
      </c>
      <c r="J146" s="39">
        <f t="shared" si="68"/>
        <v>0</v>
      </c>
      <c r="M146" s="7"/>
    </row>
    <row r="147" spans="1:13" x14ac:dyDescent="0.25">
      <c r="A147" s="1" t="s">
        <v>52</v>
      </c>
      <c r="B147" s="39">
        <f t="shared" si="70"/>
        <v>0</v>
      </c>
      <c r="C147" s="39">
        <f t="shared" ref="C147:I147" si="83">C85-C126</f>
        <v>0</v>
      </c>
      <c r="D147" s="39">
        <f t="shared" si="83"/>
        <v>0</v>
      </c>
      <c r="E147" s="39">
        <f t="shared" si="83"/>
        <v>0</v>
      </c>
      <c r="F147" s="39">
        <f t="shared" si="83"/>
        <v>0</v>
      </c>
      <c r="G147" s="39">
        <f t="shared" si="83"/>
        <v>0</v>
      </c>
      <c r="H147" s="39">
        <f t="shared" si="83"/>
        <v>0</v>
      </c>
      <c r="I147" s="39">
        <f t="shared" si="83"/>
        <v>0</v>
      </c>
      <c r="J147" s="39">
        <f t="shared" si="68"/>
        <v>0</v>
      </c>
      <c r="M147" s="7"/>
    </row>
    <row r="148" spans="1:13" x14ac:dyDescent="0.25">
      <c r="A148" s="1" t="s">
        <v>1</v>
      </c>
      <c r="B148" s="40">
        <f t="shared" si="70"/>
        <v>0</v>
      </c>
      <c r="C148" s="40">
        <f t="shared" ref="C148:I148" si="84">C86-C127</f>
        <v>0</v>
      </c>
      <c r="D148" s="40">
        <f t="shared" si="84"/>
        <v>0</v>
      </c>
      <c r="E148" s="40">
        <f t="shared" si="84"/>
        <v>0</v>
      </c>
      <c r="F148" s="40">
        <f t="shared" si="84"/>
        <v>0</v>
      </c>
      <c r="G148" s="40">
        <f t="shared" si="84"/>
        <v>0</v>
      </c>
      <c r="H148" s="40">
        <f t="shared" si="84"/>
        <v>0</v>
      </c>
      <c r="I148" s="40">
        <f t="shared" si="84"/>
        <v>0</v>
      </c>
      <c r="J148" s="40">
        <f t="shared" si="68"/>
        <v>0</v>
      </c>
      <c r="M148" s="7"/>
    </row>
    <row r="149" spans="1:13" x14ac:dyDescent="0.25">
      <c r="A149" s="4"/>
      <c r="B149" s="39">
        <f>SUM(B132:B148)</f>
        <v>0</v>
      </c>
      <c r="C149" s="39">
        <f t="shared" ref="C149:J149" si="85">SUM(C132:C148)</f>
        <v>0</v>
      </c>
      <c r="D149" s="39">
        <f t="shared" si="85"/>
        <v>0</v>
      </c>
      <c r="E149" s="39">
        <f t="shared" si="85"/>
        <v>0</v>
      </c>
      <c r="F149" s="39">
        <f t="shared" si="85"/>
        <v>0</v>
      </c>
      <c r="G149" s="39">
        <f t="shared" si="85"/>
        <v>0</v>
      </c>
      <c r="H149" s="39">
        <f t="shared" si="85"/>
        <v>0</v>
      </c>
      <c r="I149" s="39">
        <f t="shared" si="85"/>
        <v>0</v>
      </c>
      <c r="J149" s="39">
        <f t="shared" si="85"/>
        <v>0</v>
      </c>
      <c r="M149" s="7"/>
    </row>
    <row r="150" spans="1:13" x14ac:dyDescent="0.25">
      <c r="A150" s="4"/>
      <c r="B150" s="39"/>
      <c r="C150" s="39"/>
      <c r="D150" s="39"/>
      <c r="E150" s="39"/>
      <c r="F150" s="39"/>
      <c r="G150" s="39"/>
      <c r="H150" s="39"/>
      <c r="I150" s="39"/>
      <c r="J150" s="39"/>
      <c r="M150" s="7"/>
    </row>
    <row r="151" spans="1:13" x14ac:dyDescent="0.25">
      <c r="A151" s="4"/>
      <c r="B151" s="39"/>
      <c r="C151" s="39"/>
      <c r="D151" s="39"/>
      <c r="E151" s="39"/>
      <c r="F151" s="39"/>
      <c r="G151" s="39"/>
      <c r="H151" s="39"/>
      <c r="I151" s="39"/>
      <c r="J151" s="39"/>
      <c r="M151" s="7"/>
    </row>
    <row r="152" spans="1:13" x14ac:dyDescent="0.25">
      <c r="A152" s="4"/>
      <c r="B152" s="39"/>
      <c r="C152" s="39"/>
      <c r="D152" s="39"/>
      <c r="E152" s="39"/>
      <c r="F152" s="39"/>
      <c r="G152" s="39"/>
      <c r="H152" s="39"/>
      <c r="I152" s="39"/>
      <c r="J152" s="39"/>
      <c r="M152" s="7"/>
    </row>
    <row r="153" spans="1:13" x14ac:dyDescent="0.25">
      <c r="A153" s="4"/>
      <c r="B153" s="39"/>
      <c r="C153" s="39"/>
      <c r="D153" s="39"/>
      <c r="E153" s="39"/>
      <c r="F153" s="39"/>
      <c r="G153" s="39"/>
      <c r="H153" s="39"/>
      <c r="I153" s="39"/>
      <c r="J153" s="39"/>
      <c r="M153" s="7"/>
    </row>
    <row r="154" spans="1:13" x14ac:dyDescent="0.25">
      <c r="A154" s="4"/>
      <c r="B154" s="39"/>
      <c r="C154" s="39"/>
      <c r="D154" s="39"/>
      <c r="E154" s="39"/>
      <c r="F154" s="39"/>
      <c r="G154" s="39"/>
      <c r="H154" s="39"/>
      <c r="I154" s="39"/>
      <c r="J154" s="39"/>
      <c r="M154" s="7"/>
    </row>
    <row r="155" spans="1:13" x14ac:dyDescent="0.25">
      <c r="A155" s="4"/>
      <c r="B155" s="39"/>
      <c r="C155" s="39"/>
      <c r="D155" s="39"/>
      <c r="E155" s="39"/>
      <c r="F155" s="39"/>
      <c r="G155" s="39"/>
      <c r="H155" s="39"/>
      <c r="I155" s="39"/>
      <c r="J155" s="39"/>
      <c r="M155" s="7"/>
    </row>
    <row r="156" spans="1:13" x14ac:dyDescent="0.25">
      <c r="A156" s="4"/>
      <c r="B156" s="39"/>
      <c r="C156" s="39"/>
      <c r="D156" s="39"/>
      <c r="E156" s="39"/>
      <c r="F156" s="39"/>
      <c r="G156" s="39"/>
      <c r="H156" s="39"/>
      <c r="I156" s="39"/>
      <c r="J156" s="39"/>
      <c r="M156" s="7"/>
    </row>
    <row r="157" spans="1:13" x14ac:dyDescent="0.25">
      <c r="A157" s="1"/>
      <c r="B157" s="9"/>
      <c r="C157" s="9"/>
      <c r="D157" s="9"/>
      <c r="E157" s="9"/>
      <c r="F157" s="9"/>
      <c r="G157" s="9"/>
      <c r="H157" s="9"/>
      <c r="I157" s="9"/>
      <c r="J157" s="9"/>
      <c r="M157" s="7"/>
    </row>
    <row r="158" spans="1:13" x14ac:dyDescent="0.25">
      <c r="A158" s="1"/>
      <c r="B158" s="9"/>
      <c r="C158" s="9"/>
      <c r="D158" s="9"/>
      <c r="E158" s="9"/>
      <c r="F158" s="9"/>
      <c r="G158" s="9"/>
      <c r="H158" s="9"/>
      <c r="I158" s="9"/>
      <c r="J158" s="9"/>
      <c r="M158" s="7"/>
    </row>
  </sheetData>
  <mergeCells count="16">
    <mergeCell ref="A1:M1"/>
    <mergeCell ref="A2:M2"/>
    <mergeCell ref="A3:M3"/>
    <mergeCell ref="A4:M4"/>
    <mergeCell ref="A6:J6"/>
    <mergeCell ref="L6:M6"/>
    <mergeCell ref="A109:J109"/>
    <mergeCell ref="M124:M125"/>
    <mergeCell ref="M126:M127"/>
    <mergeCell ref="A130:J130"/>
    <mergeCell ref="A27:J27"/>
    <mergeCell ref="A47:J47"/>
    <mergeCell ref="M62:M63"/>
    <mergeCell ref="M64:M65"/>
    <mergeCell ref="A68:J68"/>
    <mergeCell ref="A89:J89"/>
  </mergeCells>
  <pageMargins left="0.7" right="0.7" top="0.75" bottom="0.75" header="0.3" footer="0.3"/>
  <pageSetup scale="31"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pageSetUpPr fitToPage="1"/>
  </sheetPr>
  <dimension ref="A1:Q158"/>
  <sheetViews>
    <sheetView zoomScale="85" zoomScaleNormal="85" workbookViewId="0">
      <selection activeCell="B7" sqref="B7:I7"/>
    </sheetView>
  </sheetViews>
  <sheetFormatPr defaultColWidth="9.140625" defaultRowHeight="15" x14ac:dyDescent="0.25"/>
  <cols>
    <col min="1" max="1" width="38.85546875" bestFit="1" customWidth="1"/>
    <col min="2" max="10" width="12.7109375" customWidth="1"/>
    <col min="11" max="11" width="2.5703125" customWidth="1"/>
    <col min="12" max="12" width="12.7109375" customWidth="1"/>
    <col min="13" max="13" width="30.7109375" customWidth="1"/>
    <col min="14" max="14" width="18.5703125" customWidth="1"/>
  </cols>
  <sheetData>
    <row r="1" spans="1:15" ht="18.75" x14ac:dyDescent="0.3">
      <c r="A1" s="173" t="s">
        <v>17</v>
      </c>
      <c r="B1" s="173"/>
      <c r="C1" s="173"/>
      <c r="D1" s="173"/>
      <c r="E1" s="173"/>
      <c r="F1" s="173"/>
      <c r="G1" s="173"/>
      <c r="H1" s="173"/>
      <c r="I1" s="173"/>
      <c r="J1" s="173"/>
      <c r="K1" s="173"/>
      <c r="L1" s="173"/>
      <c r="M1" s="173"/>
      <c r="O1" s="31"/>
    </row>
    <row r="2" spans="1:15" ht="15.75" x14ac:dyDescent="0.25">
      <c r="A2" s="174" t="s">
        <v>269</v>
      </c>
      <c r="B2" s="174"/>
      <c r="C2" s="174"/>
      <c r="D2" s="174"/>
      <c r="E2" s="174"/>
      <c r="F2" s="174"/>
      <c r="G2" s="174"/>
      <c r="H2" s="174"/>
      <c r="I2" s="174"/>
      <c r="J2" s="174"/>
      <c r="K2" s="174"/>
      <c r="L2" s="174"/>
      <c r="M2" s="174"/>
      <c r="O2" s="31"/>
    </row>
    <row r="3" spans="1:15" x14ac:dyDescent="0.25">
      <c r="A3" s="175" t="s">
        <v>31</v>
      </c>
      <c r="B3" s="175"/>
      <c r="C3" s="175"/>
      <c r="D3" s="175"/>
      <c r="E3" s="175"/>
      <c r="F3" s="175"/>
      <c r="G3" s="175"/>
      <c r="H3" s="175"/>
      <c r="I3" s="175"/>
      <c r="J3" s="175"/>
      <c r="K3" s="175"/>
      <c r="L3" s="175"/>
      <c r="M3" s="175"/>
    </row>
    <row r="4" spans="1:15" x14ac:dyDescent="0.25">
      <c r="A4" s="187">
        <f>'Company Summary'!A4:J4</f>
        <v>45199</v>
      </c>
      <c r="B4" s="187"/>
      <c r="C4" s="187"/>
      <c r="D4" s="187"/>
      <c r="E4" s="187"/>
      <c r="F4" s="187"/>
      <c r="G4" s="187"/>
      <c r="H4" s="187"/>
      <c r="I4" s="187"/>
      <c r="J4" s="187"/>
      <c r="K4" s="187"/>
      <c r="L4" s="187"/>
      <c r="M4" s="187"/>
    </row>
    <row r="5" spans="1:15" ht="15.75" thickBot="1" x14ac:dyDescent="0.3">
      <c r="A5" s="81"/>
      <c r="B5" s="81"/>
      <c r="C5" s="81"/>
      <c r="D5" s="81"/>
      <c r="E5" s="81"/>
      <c r="F5" s="81"/>
      <c r="G5" s="81"/>
      <c r="H5" s="81"/>
      <c r="I5" s="81"/>
      <c r="J5" s="81"/>
      <c r="K5" s="81"/>
      <c r="L5" s="81"/>
      <c r="M5" s="81"/>
    </row>
    <row r="6" spans="1:15" ht="15.75" thickBot="1" x14ac:dyDescent="0.3">
      <c r="A6" s="170" t="s">
        <v>54</v>
      </c>
      <c r="B6" s="171"/>
      <c r="C6" s="171"/>
      <c r="D6" s="171"/>
      <c r="E6" s="171"/>
      <c r="F6" s="171"/>
      <c r="G6" s="171"/>
      <c r="H6" s="171"/>
      <c r="I6" s="171"/>
      <c r="J6" s="172"/>
      <c r="L6" s="186"/>
      <c r="M6" s="186"/>
    </row>
    <row r="7" spans="1:15" x14ac:dyDescent="0.25">
      <c r="A7" s="4" t="s">
        <v>16</v>
      </c>
      <c r="B7" s="5" t="s">
        <v>15</v>
      </c>
      <c r="C7" s="5" t="s">
        <v>14</v>
      </c>
      <c r="D7" s="5" t="s">
        <v>13</v>
      </c>
      <c r="E7" s="5" t="s">
        <v>12</v>
      </c>
      <c r="F7" s="5" t="s">
        <v>93</v>
      </c>
      <c r="G7" s="5" t="s">
        <v>94</v>
      </c>
      <c r="H7" s="5" t="s">
        <v>38</v>
      </c>
      <c r="I7" s="5" t="s">
        <v>9</v>
      </c>
      <c r="J7" s="5" t="s">
        <v>0</v>
      </c>
      <c r="L7" s="4"/>
      <c r="M7" s="4"/>
    </row>
    <row r="8" spans="1:15" x14ac:dyDescent="0.25">
      <c r="A8" s="1" t="s">
        <v>49</v>
      </c>
      <c r="B8" s="33">
        <f>'Agile AR Aging &lt;-INPUT'!C231</f>
        <v>0</v>
      </c>
      <c r="C8" s="33">
        <f>'Agile AR Aging &lt;-INPUT'!D231</f>
        <v>0</v>
      </c>
      <c r="D8" s="33">
        <f>'Agile AR Aging &lt;-INPUT'!E231</f>
        <v>0</v>
      </c>
      <c r="E8" s="33">
        <f>'Agile AR Aging &lt;-INPUT'!F231</f>
        <v>0</v>
      </c>
      <c r="F8" s="33">
        <f>'Agile AR Aging &lt;-INPUT'!G231</f>
        <v>0</v>
      </c>
      <c r="G8" s="33">
        <f>'Agile AR Aging &lt;-INPUT'!H231</f>
        <v>0</v>
      </c>
      <c r="H8" s="33">
        <f>'Agile AR Aging &lt;-INPUT'!I231</f>
        <v>0</v>
      </c>
      <c r="I8" s="33">
        <f>'Agile AR Aging &lt;-INPUT'!J231</f>
        <v>0</v>
      </c>
      <c r="J8" s="2">
        <f t="shared" ref="J8:J24" si="0">SUM(B8:H8)</f>
        <v>0</v>
      </c>
      <c r="L8" s="67"/>
    </row>
    <row r="9" spans="1:15" x14ac:dyDescent="0.25">
      <c r="A9" s="1" t="s">
        <v>8</v>
      </c>
      <c r="B9" s="33">
        <f>'Agile AR Aging &lt;-INPUT'!C232</f>
        <v>0</v>
      </c>
      <c r="C9" s="33">
        <f>'Agile AR Aging &lt;-INPUT'!D232</f>
        <v>0</v>
      </c>
      <c r="D9" s="33">
        <f>'Agile AR Aging &lt;-INPUT'!E232</f>
        <v>0</v>
      </c>
      <c r="E9" s="33">
        <f>'Agile AR Aging &lt;-INPUT'!F232</f>
        <v>0</v>
      </c>
      <c r="F9" s="33">
        <f>'Agile AR Aging &lt;-INPUT'!G232</f>
        <v>0</v>
      </c>
      <c r="G9" s="33">
        <f>'Agile AR Aging &lt;-INPUT'!H232</f>
        <v>0</v>
      </c>
      <c r="H9" s="33">
        <f>'Agile AR Aging &lt;-INPUT'!I232</f>
        <v>0</v>
      </c>
      <c r="I9" s="33">
        <f>'Agile AR Aging &lt;-INPUT'!J232</f>
        <v>0</v>
      </c>
      <c r="J9" s="2">
        <f t="shared" si="0"/>
        <v>0</v>
      </c>
      <c r="L9" s="67"/>
      <c r="N9" s="68"/>
    </row>
    <row r="10" spans="1:15" x14ac:dyDescent="0.25">
      <c r="A10" s="1" t="s">
        <v>7</v>
      </c>
      <c r="B10" s="33">
        <f>'Agile AR Aging &lt;-INPUT'!C233</f>
        <v>0</v>
      </c>
      <c r="C10" s="33">
        <f>'Agile AR Aging &lt;-INPUT'!D233</f>
        <v>0</v>
      </c>
      <c r="D10" s="33">
        <f>'Agile AR Aging &lt;-INPUT'!E233</f>
        <v>0</v>
      </c>
      <c r="E10" s="33">
        <f>'Agile AR Aging &lt;-INPUT'!F233</f>
        <v>0</v>
      </c>
      <c r="F10" s="33">
        <f>'Agile AR Aging &lt;-INPUT'!G233</f>
        <v>0</v>
      </c>
      <c r="G10" s="33">
        <f>'Agile AR Aging &lt;-INPUT'!H233</f>
        <v>0</v>
      </c>
      <c r="H10" s="33">
        <f>'Agile AR Aging &lt;-INPUT'!I233</f>
        <v>0</v>
      </c>
      <c r="I10" s="33">
        <f>'Agile AR Aging &lt;-INPUT'!J233</f>
        <v>0</v>
      </c>
      <c r="J10" s="2">
        <f t="shared" si="0"/>
        <v>0</v>
      </c>
      <c r="L10" s="67"/>
      <c r="N10" s="68"/>
    </row>
    <row r="11" spans="1:15" x14ac:dyDescent="0.25">
      <c r="A11" s="1" t="s">
        <v>42</v>
      </c>
      <c r="B11" s="33">
        <f>'Agile AR Aging &lt;-INPUT'!C234</f>
        <v>0</v>
      </c>
      <c r="C11" s="33">
        <f>'Agile AR Aging &lt;-INPUT'!D234</f>
        <v>0</v>
      </c>
      <c r="D11" s="33">
        <f>'Agile AR Aging &lt;-INPUT'!E234</f>
        <v>0</v>
      </c>
      <c r="E11" s="33">
        <f>'Agile AR Aging &lt;-INPUT'!F234</f>
        <v>0</v>
      </c>
      <c r="F11" s="33">
        <f>'Agile AR Aging &lt;-INPUT'!G234</f>
        <v>0</v>
      </c>
      <c r="G11" s="33">
        <f>'Agile AR Aging &lt;-INPUT'!H234</f>
        <v>0</v>
      </c>
      <c r="H11" s="33">
        <f>'Agile AR Aging &lt;-INPUT'!I234</f>
        <v>0</v>
      </c>
      <c r="I11" s="33">
        <f>'Agile AR Aging &lt;-INPUT'!J234</f>
        <v>0</v>
      </c>
      <c r="J11" s="2">
        <f t="shared" si="0"/>
        <v>0</v>
      </c>
      <c r="L11" s="67"/>
      <c r="N11" s="68"/>
    </row>
    <row r="12" spans="1:15" x14ac:dyDescent="0.25">
      <c r="A12" s="1" t="s">
        <v>6</v>
      </c>
      <c r="B12" s="33">
        <f>'Agile AR Aging &lt;-INPUT'!C235+'Agile AR Aging &lt;-INPUT'!C236+'Agile AR Aging &lt;-INPUT'!C243+'Agile AR Aging &lt;-INPUT'!C249</f>
        <v>0</v>
      </c>
      <c r="C12" s="33">
        <f>'Agile AR Aging &lt;-INPUT'!D235+'Agile AR Aging &lt;-INPUT'!D236+'Agile AR Aging &lt;-INPUT'!D243+'Agile AR Aging &lt;-INPUT'!D249</f>
        <v>0</v>
      </c>
      <c r="D12" s="33">
        <f>'Agile AR Aging &lt;-INPUT'!E235+'Agile AR Aging &lt;-INPUT'!E236+'Agile AR Aging &lt;-INPUT'!E243+'Agile AR Aging &lt;-INPUT'!E249</f>
        <v>0</v>
      </c>
      <c r="E12" s="33">
        <f>'Agile AR Aging &lt;-INPUT'!F235+'Agile AR Aging &lt;-INPUT'!F236+'Agile AR Aging &lt;-INPUT'!F243+'Agile AR Aging &lt;-INPUT'!F249</f>
        <v>0</v>
      </c>
      <c r="F12" s="33">
        <f>'Agile AR Aging &lt;-INPUT'!G235+'Agile AR Aging &lt;-INPUT'!G236+'Agile AR Aging &lt;-INPUT'!G243+'Agile AR Aging &lt;-INPUT'!G249</f>
        <v>0</v>
      </c>
      <c r="G12" s="33">
        <f>'Agile AR Aging &lt;-INPUT'!H235+'Agile AR Aging &lt;-INPUT'!H236+'Agile AR Aging &lt;-INPUT'!H243+'Agile AR Aging &lt;-INPUT'!H249</f>
        <v>0</v>
      </c>
      <c r="H12" s="33">
        <f>'Agile AR Aging &lt;-INPUT'!I235+'Agile AR Aging &lt;-INPUT'!I236+'Agile AR Aging &lt;-INPUT'!I243+'Agile AR Aging &lt;-INPUT'!I249</f>
        <v>0</v>
      </c>
      <c r="I12" s="33">
        <f>'Agile AR Aging &lt;-INPUT'!J235+'Agile AR Aging &lt;-INPUT'!J236+'Agile AR Aging &lt;-INPUT'!J243+'Agile AR Aging &lt;-INPUT'!J249</f>
        <v>0</v>
      </c>
      <c r="J12" s="2">
        <f t="shared" si="0"/>
        <v>0</v>
      </c>
      <c r="L12" s="73"/>
      <c r="N12" s="68"/>
    </row>
    <row r="13" spans="1:15" x14ac:dyDescent="0.25">
      <c r="A13" s="1" t="s">
        <v>50</v>
      </c>
      <c r="B13" s="33">
        <f>'Agile AR Aging &lt;-INPUT'!C237</f>
        <v>0</v>
      </c>
      <c r="C13" s="33">
        <f>'Agile AR Aging &lt;-INPUT'!D237</f>
        <v>0</v>
      </c>
      <c r="D13" s="33">
        <f>'Agile AR Aging &lt;-INPUT'!E237</f>
        <v>0</v>
      </c>
      <c r="E13" s="33">
        <f>'Agile AR Aging &lt;-INPUT'!F237</f>
        <v>0</v>
      </c>
      <c r="F13" s="33">
        <f>'Agile AR Aging &lt;-INPUT'!G237</f>
        <v>0</v>
      </c>
      <c r="G13" s="33">
        <f>'Agile AR Aging &lt;-INPUT'!H237</f>
        <v>0</v>
      </c>
      <c r="H13" s="33">
        <f>'Agile AR Aging &lt;-INPUT'!I237</f>
        <v>0</v>
      </c>
      <c r="I13" s="33">
        <f>'Agile AR Aging &lt;-INPUT'!J237</f>
        <v>0</v>
      </c>
      <c r="J13" s="2">
        <f t="shared" si="0"/>
        <v>0</v>
      </c>
      <c r="L13" s="73"/>
      <c r="N13" s="68"/>
    </row>
    <row r="14" spans="1:15" x14ac:dyDescent="0.25">
      <c r="A14" s="1" t="s">
        <v>89</v>
      </c>
      <c r="B14" s="33">
        <f>'Agile AR Aging &lt;-INPUT'!C238</f>
        <v>0</v>
      </c>
      <c r="C14" s="33">
        <f>'Agile AR Aging &lt;-INPUT'!D238</f>
        <v>0</v>
      </c>
      <c r="D14" s="33">
        <f>'Agile AR Aging &lt;-INPUT'!E238</f>
        <v>0</v>
      </c>
      <c r="E14" s="33">
        <f>'Agile AR Aging &lt;-INPUT'!F238</f>
        <v>0</v>
      </c>
      <c r="F14" s="33">
        <f>'Agile AR Aging &lt;-INPUT'!G238</f>
        <v>0</v>
      </c>
      <c r="G14" s="33">
        <f>'Agile AR Aging &lt;-INPUT'!H238</f>
        <v>0</v>
      </c>
      <c r="H14" s="33">
        <f>'Agile AR Aging &lt;-INPUT'!I238</f>
        <v>0</v>
      </c>
      <c r="I14" s="33">
        <f>'Agile AR Aging &lt;-INPUT'!J238</f>
        <v>0</v>
      </c>
      <c r="J14" s="2">
        <f t="shared" si="0"/>
        <v>0</v>
      </c>
      <c r="L14" s="73"/>
      <c r="N14" s="68"/>
    </row>
    <row r="15" spans="1:15" x14ac:dyDescent="0.25">
      <c r="A15" s="1" t="s">
        <v>5</v>
      </c>
      <c r="B15" s="33">
        <f>'Agile AR Aging &lt;-INPUT'!C239</f>
        <v>0</v>
      </c>
      <c r="C15" s="33">
        <f>'Agile AR Aging &lt;-INPUT'!D239</f>
        <v>0</v>
      </c>
      <c r="D15" s="33">
        <f>'Agile AR Aging &lt;-INPUT'!E239</f>
        <v>0</v>
      </c>
      <c r="E15" s="33">
        <f>'Agile AR Aging &lt;-INPUT'!F239</f>
        <v>0</v>
      </c>
      <c r="F15" s="33">
        <f>'Agile AR Aging &lt;-INPUT'!G239</f>
        <v>0</v>
      </c>
      <c r="G15" s="33">
        <f>'Agile AR Aging &lt;-INPUT'!H239</f>
        <v>0</v>
      </c>
      <c r="H15" s="33">
        <f>'Agile AR Aging &lt;-INPUT'!I239</f>
        <v>0</v>
      </c>
      <c r="I15" s="33">
        <f>'Agile AR Aging &lt;-INPUT'!J239</f>
        <v>0</v>
      </c>
      <c r="J15" s="2">
        <f t="shared" si="0"/>
        <v>0</v>
      </c>
      <c r="L15" s="73"/>
      <c r="N15" s="68"/>
    </row>
    <row r="16" spans="1:15" x14ac:dyDescent="0.25">
      <c r="A16" s="1" t="s">
        <v>84</v>
      </c>
      <c r="B16" s="33">
        <f>'Agile AR Aging &lt;-INPUT'!C240</f>
        <v>0</v>
      </c>
      <c r="C16" s="33">
        <f>'Agile AR Aging &lt;-INPUT'!D240</f>
        <v>0</v>
      </c>
      <c r="D16" s="33">
        <f>'Agile AR Aging &lt;-INPUT'!E240</f>
        <v>0</v>
      </c>
      <c r="E16" s="33">
        <f>'Agile AR Aging &lt;-INPUT'!F240</f>
        <v>0</v>
      </c>
      <c r="F16" s="33">
        <f>'Agile AR Aging &lt;-INPUT'!G240</f>
        <v>0</v>
      </c>
      <c r="G16" s="33">
        <f>'Agile AR Aging &lt;-INPUT'!H240</f>
        <v>0</v>
      </c>
      <c r="H16" s="33">
        <f>'Agile AR Aging &lt;-INPUT'!I240</f>
        <v>0</v>
      </c>
      <c r="I16" s="33">
        <f>'Agile AR Aging &lt;-INPUT'!J240</f>
        <v>0</v>
      </c>
      <c r="J16" s="2">
        <f t="shared" si="0"/>
        <v>0</v>
      </c>
      <c r="L16" s="73"/>
      <c r="N16" s="68"/>
    </row>
    <row r="17" spans="1:17" x14ac:dyDescent="0.25">
      <c r="A17" s="1" t="s">
        <v>4</v>
      </c>
      <c r="B17" s="33">
        <f>'Agile AR Aging &lt;-INPUT'!C241</f>
        <v>0</v>
      </c>
      <c r="C17" s="33">
        <f>'Agile AR Aging &lt;-INPUT'!D241</f>
        <v>0</v>
      </c>
      <c r="D17" s="33">
        <f>'Agile AR Aging &lt;-INPUT'!E241</f>
        <v>0</v>
      </c>
      <c r="E17" s="33">
        <f>'Agile AR Aging &lt;-INPUT'!F241</f>
        <v>0</v>
      </c>
      <c r="F17" s="33">
        <f>'Agile AR Aging &lt;-INPUT'!G241</f>
        <v>0</v>
      </c>
      <c r="G17" s="33">
        <f>'Agile AR Aging &lt;-INPUT'!H241</f>
        <v>0</v>
      </c>
      <c r="H17" s="33">
        <f>'Agile AR Aging &lt;-INPUT'!I241</f>
        <v>0</v>
      </c>
      <c r="I17" s="33">
        <f>'Agile AR Aging &lt;-INPUT'!J241</f>
        <v>0</v>
      </c>
      <c r="J17" s="2">
        <f t="shared" si="0"/>
        <v>0</v>
      </c>
      <c r="L17" s="73"/>
      <c r="N17" s="68"/>
    </row>
    <row r="18" spans="1:17" x14ac:dyDescent="0.25">
      <c r="A18" s="1" t="s">
        <v>51</v>
      </c>
      <c r="B18" s="33">
        <f>'Agile AR Aging &lt;-INPUT'!C242</f>
        <v>0</v>
      </c>
      <c r="C18" s="33">
        <f>'Agile AR Aging &lt;-INPUT'!D242</f>
        <v>0</v>
      </c>
      <c r="D18" s="33">
        <f>'Agile AR Aging &lt;-INPUT'!E242</f>
        <v>0</v>
      </c>
      <c r="E18" s="33">
        <f>'Agile AR Aging &lt;-INPUT'!F242</f>
        <v>0</v>
      </c>
      <c r="F18" s="33">
        <f>'Agile AR Aging &lt;-INPUT'!G242</f>
        <v>0</v>
      </c>
      <c r="G18" s="33">
        <f>'Agile AR Aging &lt;-INPUT'!H242</f>
        <v>0</v>
      </c>
      <c r="H18" s="33">
        <f>'Agile AR Aging &lt;-INPUT'!I242</f>
        <v>0</v>
      </c>
      <c r="I18" s="33">
        <f>'Agile AR Aging &lt;-INPUT'!J242</f>
        <v>0</v>
      </c>
      <c r="J18" s="2">
        <f t="shared" si="0"/>
        <v>0</v>
      </c>
      <c r="L18" s="73"/>
      <c r="N18" s="68"/>
    </row>
    <row r="19" spans="1:17" x14ac:dyDescent="0.25">
      <c r="A19" s="1" t="s">
        <v>85</v>
      </c>
      <c r="B19" s="33">
        <f>'Agile AR Aging &lt;-INPUT'!C244</f>
        <v>0</v>
      </c>
      <c r="C19" s="33">
        <f>'Agile AR Aging &lt;-INPUT'!D244</f>
        <v>0</v>
      </c>
      <c r="D19" s="33">
        <f>'Agile AR Aging &lt;-INPUT'!E244</f>
        <v>0</v>
      </c>
      <c r="E19" s="33">
        <f>'Agile AR Aging &lt;-INPUT'!F244</f>
        <v>0</v>
      </c>
      <c r="F19" s="33">
        <f>'Agile AR Aging &lt;-INPUT'!G244</f>
        <v>0</v>
      </c>
      <c r="G19" s="33">
        <f>'Agile AR Aging &lt;-INPUT'!H244</f>
        <v>0</v>
      </c>
      <c r="H19" s="33">
        <f>'Agile AR Aging &lt;-INPUT'!I244</f>
        <v>0</v>
      </c>
      <c r="I19" s="33">
        <f>'Agile AR Aging &lt;-INPUT'!J244</f>
        <v>0</v>
      </c>
      <c r="J19" s="2">
        <f t="shared" si="0"/>
        <v>0</v>
      </c>
      <c r="L19" s="73"/>
      <c r="N19" s="68"/>
    </row>
    <row r="20" spans="1:17" x14ac:dyDescent="0.25">
      <c r="A20" s="1" t="s">
        <v>2</v>
      </c>
      <c r="B20" s="33">
        <f>'Agile AR Aging &lt;-INPUT'!C245</f>
        <v>0</v>
      </c>
      <c r="C20" s="33">
        <f>'Agile AR Aging &lt;-INPUT'!D245</f>
        <v>0</v>
      </c>
      <c r="D20" s="33">
        <f>'Agile AR Aging &lt;-INPUT'!E245</f>
        <v>0</v>
      </c>
      <c r="E20" s="33">
        <f>'Agile AR Aging &lt;-INPUT'!F245</f>
        <v>0</v>
      </c>
      <c r="F20" s="33">
        <f>'Agile AR Aging &lt;-INPUT'!G245</f>
        <v>0</v>
      </c>
      <c r="G20" s="33">
        <f>'Agile AR Aging &lt;-INPUT'!H245</f>
        <v>0</v>
      </c>
      <c r="H20" s="33">
        <f>'Agile AR Aging &lt;-INPUT'!I245</f>
        <v>0</v>
      </c>
      <c r="I20" s="33">
        <f>'Agile AR Aging &lt;-INPUT'!J245</f>
        <v>0</v>
      </c>
      <c r="J20" s="2">
        <f t="shared" si="0"/>
        <v>0</v>
      </c>
      <c r="L20" s="73"/>
      <c r="N20" s="68"/>
    </row>
    <row r="21" spans="1:17" x14ac:dyDescent="0.25">
      <c r="A21" s="1" t="s">
        <v>86</v>
      </c>
      <c r="B21" s="33">
        <f>'Agile AR Aging &lt;-INPUT'!C246</f>
        <v>0</v>
      </c>
      <c r="C21" s="33">
        <f>'Agile AR Aging &lt;-INPUT'!D246</f>
        <v>0</v>
      </c>
      <c r="D21" s="33">
        <f>'Agile AR Aging &lt;-INPUT'!E246</f>
        <v>0</v>
      </c>
      <c r="E21" s="33">
        <f>'Agile AR Aging &lt;-INPUT'!F246</f>
        <v>0</v>
      </c>
      <c r="F21" s="33">
        <f>'Agile AR Aging &lt;-INPUT'!G246</f>
        <v>0</v>
      </c>
      <c r="G21" s="33">
        <f>'Agile AR Aging &lt;-INPUT'!H246</f>
        <v>0</v>
      </c>
      <c r="H21" s="33">
        <f>'Agile AR Aging &lt;-INPUT'!I246</f>
        <v>0</v>
      </c>
      <c r="I21" s="33">
        <f>'Agile AR Aging &lt;-INPUT'!J246</f>
        <v>0</v>
      </c>
      <c r="J21" s="2">
        <f t="shared" si="0"/>
        <v>0</v>
      </c>
      <c r="L21" s="73"/>
      <c r="N21" s="68"/>
    </row>
    <row r="22" spans="1:17" x14ac:dyDescent="0.25">
      <c r="A22" s="1" t="s">
        <v>29</v>
      </c>
      <c r="B22" s="33">
        <f>'Agile AR Aging &lt;-INPUT'!C247</f>
        <v>0</v>
      </c>
      <c r="C22" s="33">
        <f>'Agile AR Aging &lt;-INPUT'!D247</f>
        <v>0</v>
      </c>
      <c r="D22" s="33">
        <f>'Agile AR Aging &lt;-INPUT'!E247</f>
        <v>0</v>
      </c>
      <c r="E22" s="33">
        <f>'Agile AR Aging &lt;-INPUT'!F247</f>
        <v>0</v>
      </c>
      <c r="F22" s="33">
        <f>'Agile AR Aging &lt;-INPUT'!G247</f>
        <v>0</v>
      </c>
      <c r="G22" s="33">
        <f>'Agile AR Aging &lt;-INPUT'!H247</f>
        <v>0</v>
      </c>
      <c r="H22" s="33">
        <f>'Agile AR Aging &lt;-INPUT'!I247</f>
        <v>0</v>
      </c>
      <c r="I22" s="33">
        <f>'Agile AR Aging &lt;-INPUT'!J247</f>
        <v>0</v>
      </c>
      <c r="J22" s="2">
        <f t="shared" si="0"/>
        <v>0</v>
      </c>
      <c r="L22" s="73"/>
      <c r="N22" s="68"/>
    </row>
    <row r="23" spans="1:17" x14ac:dyDescent="0.25">
      <c r="A23" s="1" t="s">
        <v>52</v>
      </c>
      <c r="B23" s="33">
        <f>'Agile AR Aging &lt;-INPUT'!C248</f>
        <v>0</v>
      </c>
      <c r="C23" s="33">
        <f>'Agile AR Aging &lt;-INPUT'!D248</f>
        <v>0</v>
      </c>
      <c r="D23" s="33">
        <f>'Agile AR Aging &lt;-INPUT'!E248</f>
        <v>0</v>
      </c>
      <c r="E23" s="33">
        <f>'Agile AR Aging &lt;-INPUT'!F248</f>
        <v>0</v>
      </c>
      <c r="F23" s="33">
        <f>'Agile AR Aging &lt;-INPUT'!G248</f>
        <v>0</v>
      </c>
      <c r="G23" s="33">
        <f>'Agile AR Aging &lt;-INPUT'!H248</f>
        <v>0</v>
      </c>
      <c r="H23" s="33">
        <f>'Agile AR Aging &lt;-INPUT'!I248</f>
        <v>0</v>
      </c>
      <c r="I23" s="33">
        <f>'Agile AR Aging &lt;-INPUT'!J248</f>
        <v>0</v>
      </c>
      <c r="J23" s="2">
        <f t="shared" si="0"/>
        <v>0</v>
      </c>
      <c r="L23" s="73"/>
      <c r="N23" s="68"/>
    </row>
    <row r="24" spans="1:17" x14ac:dyDescent="0.25">
      <c r="A24" s="1" t="s">
        <v>1</v>
      </c>
      <c r="B24" s="32">
        <f>'Agile AR Aging &lt;-INPUT'!C250</f>
        <v>0</v>
      </c>
      <c r="C24" s="32">
        <f>'Agile AR Aging &lt;-INPUT'!D250</f>
        <v>0</v>
      </c>
      <c r="D24" s="32">
        <f>'Agile AR Aging &lt;-INPUT'!E250</f>
        <v>0</v>
      </c>
      <c r="E24" s="32">
        <f>'Agile AR Aging &lt;-INPUT'!F250</f>
        <v>0</v>
      </c>
      <c r="F24" s="32">
        <f>'Agile AR Aging &lt;-INPUT'!G250</f>
        <v>0</v>
      </c>
      <c r="G24" s="32">
        <f>'Agile AR Aging &lt;-INPUT'!H250</f>
        <v>0</v>
      </c>
      <c r="H24" s="32">
        <f>'Agile AR Aging &lt;-INPUT'!I250</f>
        <v>0</v>
      </c>
      <c r="I24" s="32">
        <f>'Agile AR Aging &lt;-INPUT'!J250</f>
        <v>0</v>
      </c>
      <c r="J24" s="9">
        <f t="shared" si="0"/>
        <v>0</v>
      </c>
      <c r="L24" s="73"/>
      <c r="N24" s="68"/>
    </row>
    <row r="25" spans="1:17" x14ac:dyDescent="0.25">
      <c r="A25" s="1" t="s">
        <v>0</v>
      </c>
      <c r="B25" s="10">
        <f t="shared" ref="B25:I25" si="1">SUM(B8:B24)</f>
        <v>0</v>
      </c>
      <c r="C25" s="10">
        <f t="shared" si="1"/>
        <v>0</v>
      </c>
      <c r="D25" s="10">
        <f t="shared" si="1"/>
        <v>0</v>
      </c>
      <c r="E25" s="10">
        <f t="shared" si="1"/>
        <v>0</v>
      </c>
      <c r="F25" s="10">
        <f t="shared" si="1"/>
        <v>0</v>
      </c>
      <c r="G25" s="10">
        <f t="shared" si="1"/>
        <v>0</v>
      </c>
      <c r="H25" s="10">
        <f t="shared" si="1"/>
        <v>0</v>
      </c>
      <c r="I25" s="10">
        <f t="shared" si="1"/>
        <v>0</v>
      </c>
      <c r="J25" s="10">
        <f>SUM(B25:H25)</f>
        <v>0</v>
      </c>
      <c r="L25" s="31"/>
    </row>
    <row r="26" spans="1:17" ht="15.75" thickBot="1" x14ac:dyDescent="0.3">
      <c r="A26" s="1"/>
      <c r="B26" s="9"/>
      <c r="C26" s="9"/>
      <c r="D26" s="9"/>
      <c r="E26" s="9"/>
      <c r="F26" s="9"/>
      <c r="G26" s="9"/>
      <c r="H26" s="9"/>
      <c r="I26" s="9"/>
      <c r="J26" s="9"/>
      <c r="L26" s="31"/>
      <c r="Q26" s="1"/>
    </row>
    <row r="27" spans="1:17" ht="15.75" thickBot="1" x14ac:dyDescent="0.3">
      <c r="A27" s="167" t="s">
        <v>55</v>
      </c>
      <c r="B27" s="168"/>
      <c r="C27" s="168"/>
      <c r="D27" s="168"/>
      <c r="E27" s="168"/>
      <c r="F27" s="168"/>
      <c r="G27" s="168"/>
      <c r="H27" s="168"/>
      <c r="I27" s="168"/>
      <c r="J27" s="169"/>
      <c r="Q27" s="1"/>
    </row>
    <row r="28" spans="1:17" x14ac:dyDescent="0.25">
      <c r="A28" s="4" t="s">
        <v>16</v>
      </c>
      <c r="B28" s="5" t="s">
        <v>15</v>
      </c>
      <c r="C28" s="5" t="s">
        <v>14</v>
      </c>
      <c r="D28" s="5" t="s">
        <v>13</v>
      </c>
      <c r="E28" s="5" t="s">
        <v>12</v>
      </c>
      <c r="F28" s="5" t="s">
        <v>93</v>
      </c>
      <c r="G28" s="5" t="s">
        <v>94</v>
      </c>
      <c r="H28" s="5" t="s">
        <v>38</v>
      </c>
      <c r="I28" s="5" t="s">
        <v>9</v>
      </c>
      <c r="J28" s="5" t="s">
        <v>0</v>
      </c>
      <c r="Q28" s="1"/>
    </row>
    <row r="29" spans="1:17" x14ac:dyDescent="0.25">
      <c r="A29" s="1" t="s">
        <v>49</v>
      </c>
      <c r="B29" s="36">
        <f>'Reimbursement Rates &lt;-INPUT'!J9</f>
        <v>0</v>
      </c>
      <c r="C29" s="36">
        <f t="shared" ref="C29:I45" si="2">B29</f>
        <v>0</v>
      </c>
      <c r="D29" s="36">
        <f t="shared" si="2"/>
        <v>0</v>
      </c>
      <c r="E29" s="36">
        <f t="shared" si="2"/>
        <v>0</v>
      </c>
      <c r="F29" s="36">
        <f t="shared" si="2"/>
        <v>0</v>
      </c>
      <c r="G29" s="36">
        <f t="shared" si="2"/>
        <v>0</v>
      </c>
      <c r="H29" s="36">
        <f t="shared" si="2"/>
        <v>0</v>
      </c>
      <c r="I29" s="36">
        <f t="shared" si="2"/>
        <v>0</v>
      </c>
      <c r="J29" s="36">
        <f t="shared" ref="J29:J45" si="3">H29</f>
        <v>0</v>
      </c>
    </row>
    <row r="30" spans="1:17" x14ac:dyDescent="0.25">
      <c r="A30" s="1" t="s">
        <v>8</v>
      </c>
      <c r="B30" s="36">
        <f>'Reimbursement Rates &lt;-INPUT'!J10</f>
        <v>0</v>
      </c>
      <c r="C30" s="36">
        <f t="shared" si="2"/>
        <v>0</v>
      </c>
      <c r="D30" s="36">
        <f t="shared" si="2"/>
        <v>0</v>
      </c>
      <c r="E30" s="36">
        <f t="shared" si="2"/>
        <v>0</v>
      </c>
      <c r="F30" s="36">
        <f t="shared" si="2"/>
        <v>0</v>
      </c>
      <c r="G30" s="36">
        <f t="shared" si="2"/>
        <v>0</v>
      </c>
      <c r="H30" s="36">
        <f t="shared" si="2"/>
        <v>0</v>
      </c>
      <c r="I30" s="36">
        <f t="shared" si="2"/>
        <v>0</v>
      </c>
      <c r="J30" s="36">
        <f t="shared" si="3"/>
        <v>0</v>
      </c>
      <c r="Q30" s="1"/>
    </row>
    <row r="31" spans="1:17" x14ac:dyDescent="0.25">
      <c r="A31" s="1" t="s">
        <v>7</v>
      </c>
      <c r="B31" s="36">
        <f>'Reimbursement Rates &lt;-INPUT'!J11</f>
        <v>0</v>
      </c>
      <c r="C31" s="36">
        <f t="shared" si="2"/>
        <v>0</v>
      </c>
      <c r="D31" s="36">
        <f t="shared" si="2"/>
        <v>0</v>
      </c>
      <c r="E31" s="36">
        <f t="shared" si="2"/>
        <v>0</v>
      </c>
      <c r="F31" s="36">
        <f t="shared" si="2"/>
        <v>0</v>
      </c>
      <c r="G31" s="36">
        <f t="shared" si="2"/>
        <v>0</v>
      </c>
      <c r="H31" s="36">
        <f t="shared" si="2"/>
        <v>0</v>
      </c>
      <c r="I31" s="36">
        <f t="shared" si="2"/>
        <v>0</v>
      </c>
      <c r="J31" s="36">
        <f t="shared" si="3"/>
        <v>0</v>
      </c>
    </row>
    <row r="32" spans="1:17" x14ac:dyDescent="0.25">
      <c r="A32" s="1" t="s">
        <v>42</v>
      </c>
      <c r="B32" s="36">
        <f>'Reimbursement Rates &lt;-INPUT'!J12</f>
        <v>0</v>
      </c>
      <c r="C32" s="36">
        <f t="shared" si="2"/>
        <v>0</v>
      </c>
      <c r="D32" s="36">
        <f t="shared" si="2"/>
        <v>0</v>
      </c>
      <c r="E32" s="36">
        <f t="shared" si="2"/>
        <v>0</v>
      </c>
      <c r="F32" s="36">
        <f t="shared" si="2"/>
        <v>0</v>
      </c>
      <c r="G32" s="36">
        <f t="shared" si="2"/>
        <v>0</v>
      </c>
      <c r="H32" s="36">
        <f t="shared" si="2"/>
        <v>0</v>
      </c>
      <c r="I32" s="36">
        <f t="shared" si="2"/>
        <v>0</v>
      </c>
      <c r="J32" s="36">
        <f t="shared" si="3"/>
        <v>0</v>
      </c>
    </row>
    <row r="33" spans="1:17" x14ac:dyDescent="0.25">
      <c r="A33" s="1" t="s">
        <v>6</v>
      </c>
      <c r="B33" s="36">
        <f>'Reimbursement Rates &lt;-INPUT'!J13</f>
        <v>0</v>
      </c>
      <c r="C33" s="36">
        <f t="shared" si="2"/>
        <v>0</v>
      </c>
      <c r="D33" s="36">
        <f t="shared" si="2"/>
        <v>0</v>
      </c>
      <c r="E33" s="36">
        <f t="shared" si="2"/>
        <v>0</v>
      </c>
      <c r="F33" s="36">
        <f t="shared" si="2"/>
        <v>0</v>
      </c>
      <c r="G33" s="36">
        <f t="shared" si="2"/>
        <v>0</v>
      </c>
      <c r="H33" s="36">
        <f t="shared" si="2"/>
        <v>0</v>
      </c>
      <c r="I33" s="36">
        <f t="shared" si="2"/>
        <v>0</v>
      </c>
      <c r="J33" s="36">
        <f t="shared" si="3"/>
        <v>0</v>
      </c>
      <c r="Q33" s="1"/>
    </row>
    <row r="34" spans="1:17" x14ac:dyDescent="0.25">
      <c r="A34" s="1" t="s">
        <v>50</v>
      </c>
      <c r="B34" s="36">
        <f>'Reimbursement Rates &lt;-INPUT'!J15</f>
        <v>0</v>
      </c>
      <c r="C34" s="36">
        <f t="shared" si="2"/>
        <v>0</v>
      </c>
      <c r="D34" s="36">
        <f t="shared" si="2"/>
        <v>0</v>
      </c>
      <c r="E34" s="36">
        <f t="shared" si="2"/>
        <v>0</v>
      </c>
      <c r="F34" s="36">
        <f t="shared" si="2"/>
        <v>0</v>
      </c>
      <c r="G34" s="36">
        <f t="shared" si="2"/>
        <v>0</v>
      </c>
      <c r="H34" s="36">
        <f t="shared" si="2"/>
        <v>0</v>
      </c>
      <c r="I34" s="36">
        <f t="shared" si="2"/>
        <v>0</v>
      </c>
      <c r="J34" s="36">
        <f t="shared" si="3"/>
        <v>0</v>
      </c>
      <c r="M34" s="7"/>
    </row>
    <row r="35" spans="1:17" x14ac:dyDescent="0.25">
      <c r="A35" s="1" t="s">
        <v>89</v>
      </c>
      <c r="B35" s="36">
        <f>'Reimbursement Rates &lt;-INPUT'!J16</f>
        <v>0</v>
      </c>
      <c r="C35" s="36">
        <f t="shared" si="2"/>
        <v>0</v>
      </c>
      <c r="D35" s="36">
        <f t="shared" si="2"/>
        <v>0</v>
      </c>
      <c r="E35" s="36">
        <f t="shared" si="2"/>
        <v>0</v>
      </c>
      <c r="F35" s="36">
        <f t="shared" si="2"/>
        <v>0</v>
      </c>
      <c r="G35" s="36">
        <f t="shared" si="2"/>
        <v>0</v>
      </c>
      <c r="H35" s="36">
        <f t="shared" si="2"/>
        <v>0</v>
      </c>
      <c r="I35" s="36">
        <f t="shared" si="2"/>
        <v>0</v>
      </c>
      <c r="J35" s="36">
        <f t="shared" si="3"/>
        <v>0</v>
      </c>
      <c r="M35" s="7"/>
    </row>
    <row r="36" spans="1:17" x14ac:dyDescent="0.25">
      <c r="A36" s="1" t="s">
        <v>5</v>
      </c>
      <c r="B36" s="36">
        <f>'Reimbursement Rates &lt;-INPUT'!J17</f>
        <v>0</v>
      </c>
      <c r="C36" s="36">
        <f t="shared" si="2"/>
        <v>0</v>
      </c>
      <c r="D36" s="36">
        <f t="shared" si="2"/>
        <v>0</v>
      </c>
      <c r="E36" s="36">
        <f t="shared" si="2"/>
        <v>0</v>
      </c>
      <c r="F36" s="36">
        <f t="shared" si="2"/>
        <v>0</v>
      </c>
      <c r="G36" s="36">
        <f t="shared" si="2"/>
        <v>0</v>
      </c>
      <c r="H36" s="36">
        <f t="shared" si="2"/>
        <v>0</v>
      </c>
      <c r="I36" s="36">
        <f t="shared" si="2"/>
        <v>0</v>
      </c>
      <c r="J36" s="36">
        <f t="shared" si="3"/>
        <v>0</v>
      </c>
      <c r="M36" s="7"/>
      <c r="Q36" s="1"/>
    </row>
    <row r="37" spans="1:17" x14ac:dyDescent="0.25">
      <c r="A37" s="1" t="s">
        <v>84</v>
      </c>
      <c r="B37" s="36">
        <f>'Reimbursement Rates &lt;-INPUT'!J18</f>
        <v>0</v>
      </c>
      <c r="C37" s="36">
        <f t="shared" si="2"/>
        <v>0</v>
      </c>
      <c r="D37" s="36">
        <f t="shared" si="2"/>
        <v>0</v>
      </c>
      <c r="E37" s="36">
        <f t="shared" si="2"/>
        <v>0</v>
      </c>
      <c r="F37" s="36">
        <f t="shared" si="2"/>
        <v>0</v>
      </c>
      <c r="G37" s="36">
        <f t="shared" si="2"/>
        <v>0</v>
      </c>
      <c r="H37" s="36">
        <f t="shared" si="2"/>
        <v>0</v>
      </c>
      <c r="I37" s="36">
        <f t="shared" si="2"/>
        <v>0</v>
      </c>
      <c r="J37" s="36">
        <f t="shared" si="3"/>
        <v>0</v>
      </c>
      <c r="M37" s="7"/>
      <c r="Q37" s="1"/>
    </row>
    <row r="38" spans="1:17" x14ac:dyDescent="0.25">
      <c r="A38" s="1" t="s">
        <v>4</v>
      </c>
      <c r="B38" s="36">
        <f>'Reimbursement Rates &lt;-INPUT'!J19</f>
        <v>0</v>
      </c>
      <c r="C38" s="36">
        <f t="shared" si="2"/>
        <v>0</v>
      </c>
      <c r="D38" s="36">
        <f t="shared" si="2"/>
        <v>0</v>
      </c>
      <c r="E38" s="36">
        <f t="shared" si="2"/>
        <v>0</v>
      </c>
      <c r="F38" s="36">
        <f t="shared" si="2"/>
        <v>0</v>
      </c>
      <c r="G38" s="36">
        <f t="shared" si="2"/>
        <v>0</v>
      </c>
      <c r="H38" s="36">
        <f t="shared" si="2"/>
        <v>0</v>
      </c>
      <c r="I38" s="36">
        <f t="shared" si="2"/>
        <v>0</v>
      </c>
      <c r="J38" s="36">
        <f t="shared" si="3"/>
        <v>0</v>
      </c>
      <c r="M38" s="7"/>
    </row>
    <row r="39" spans="1:17" x14ac:dyDescent="0.25">
      <c r="A39" s="1" t="s">
        <v>51</v>
      </c>
      <c r="B39" s="36">
        <f>'Reimbursement Rates &lt;-INPUT'!J20</f>
        <v>0</v>
      </c>
      <c r="C39" s="36">
        <f t="shared" si="2"/>
        <v>0</v>
      </c>
      <c r="D39" s="36">
        <f t="shared" si="2"/>
        <v>0</v>
      </c>
      <c r="E39" s="36">
        <f t="shared" si="2"/>
        <v>0</v>
      </c>
      <c r="F39" s="36">
        <f t="shared" si="2"/>
        <v>0</v>
      </c>
      <c r="G39" s="36">
        <f t="shared" si="2"/>
        <v>0</v>
      </c>
      <c r="H39" s="36">
        <f t="shared" si="2"/>
        <v>0</v>
      </c>
      <c r="I39" s="36">
        <f t="shared" si="2"/>
        <v>0</v>
      </c>
      <c r="J39" s="36">
        <f t="shared" si="3"/>
        <v>0</v>
      </c>
      <c r="M39" s="7"/>
      <c r="Q39" s="1"/>
    </row>
    <row r="40" spans="1:17" x14ac:dyDescent="0.25">
      <c r="A40" s="1" t="s">
        <v>85</v>
      </c>
      <c r="B40" s="36">
        <f>'Reimbursement Rates &lt;-INPUT'!J22</f>
        <v>0</v>
      </c>
      <c r="C40" s="36">
        <f t="shared" si="2"/>
        <v>0</v>
      </c>
      <c r="D40" s="36">
        <f t="shared" si="2"/>
        <v>0</v>
      </c>
      <c r="E40" s="36">
        <f t="shared" si="2"/>
        <v>0</v>
      </c>
      <c r="F40" s="36">
        <f t="shared" si="2"/>
        <v>0</v>
      </c>
      <c r="G40" s="36">
        <f t="shared" si="2"/>
        <v>0</v>
      </c>
      <c r="H40" s="36">
        <f t="shared" si="2"/>
        <v>0</v>
      </c>
      <c r="I40" s="36">
        <f t="shared" si="2"/>
        <v>0</v>
      </c>
      <c r="J40" s="36">
        <f t="shared" si="3"/>
        <v>0</v>
      </c>
      <c r="M40" s="7"/>
      <c r="Q40" s="1"/>
    </row>
    <row r="41" spans="1:17" x14ac:dyDescent="0.25">
      <c r="A41" s="1" t="s">
        <v>2</v>
      </c>
      <c r="B41" s="36">
        <f>'Reimbursement Rates &lt;-INPUT'!J23</f>
        <v>0</v>
      </c>
      <c r="C41" s="36">
        <f t="shared" si="2"/>
        <v>0</v>
      </c>
      <c r="D41" s="36">
        <f t="shared" si="2"/>
        <v>0</v>
      </c>
      <c r="E41" s="36">
        <f t="shared" si="2"/>
        <v>0</v>
      </c>
      <c r="F41" s="36">
        <f t="shared" si="2"/>
        <v>0</v>
      </c>
      <c r="G41" s="36">
        <f t="shared" si="2"/>
        <v>0</v>
      </c>
      <c r="H41" s="36">
        <f t="shared" si="2"/>
        <v>0</v>
      </c>
      <c r="I41" s="36">
        <f t="shared" si="2"/>
        <v>0</v>
      </c>
      <c r="J41" s="36">
        <f t="shared" si="3"/>
        <v>0</v>
      </c>
      <c r="M41" s="7"/>
      <c r="Q41" s="1"/>
    </row>
    <row r="42" spans="1:17" x14ac:dyDescent="0.25">
      <c r="A42" s="1" t="s">
        <v>86</v>
      </c>
      <c r="B42" s="36">
        <f>'Reimbursement Rates &lt;-INPUT'!J24</f>
        <v>0</v>
      </c>
      <c r="C42" s="36">
        <f t="shared" si="2"/>
        <v>0</v>
      </c>
      <c r="D42" s="36">
        <f t="shared" si="2"/>
        <v>0</v>
      </c>
      <c r="E42" s="36">
        <f t="shared" si="2"/>
        <v>0</v>
      </c>
      <c r="F42" s="36">
        <f t="shared" si="2"/>
        <v>0</v>
      </c>
      <c r="G42" s="36">
        <f t="shared" si="2"/>
        <v>0</v>
      </c>
      <c r="H42" s="36">
        <f t="shared" si="2"/>
        <v>0</v>
      </c>
      <c r="I42" s="36">
        <f t="shared" si="2"/>
        <v>0</v>
      </c>
      <c r="J42" s="36">
        <f t="shared" si="3"/>
        <v>0</v>
      </c>
      <c r="M42" s="7"/>
    </row>
    <row r="43" spans="1:17" x14ac:dyDescent="0.25">
      <c r="A43" s="1" t="s">
        <v>29</v>
      </c>
      <c r="B43" s="36">
        <f>'Reimbursement Rates &lt;-INPUT'!J25</f>
        <v>0</v>
      </c>
      <c r="C43" s="36">
        <f t="shared" si="2"/>
        <v>0</v>
      </c>
      <c r="D43" s="36">
        <f t="shared" si="2"/>
        <v>0</v>
      </c>
      <c r="E43" s="36">
        <f t="shared" si="2"/>
        <v>0</v>
      </c>
      <c r="F43" s="36">
        <f t="shared" si="2"/>
        <v>0</v>
      </c>
      <c r="G43" s="36">
        <f t="shared" si="2"/>
        <v>0</v>
      </c>
      <c r="H43" s="36">
        <f t="shared" si="2"/>
        <v>0</v>
      </c>
      <c r="I43" s="36">
        <f t="shared" si="2"/>
        <v>0</v>
      </c>
      <c r="J43" s="36">
        <f t="shared" si="3"/>
        <v>0</v>
      </c>
      <c r="M43" s="7"/>
    </row>
    <row r="44" spans="1:17" x14ac:dyDescent="0.25">
      <c r="A44" s="1" t="s">
        <v>52</v>
      </c>
      <c r="B44" s="36">
        <f>'Reimbursement Rates &lt;-INPUT'!J26</f>
        <v>0</v>
      </c>
      <c r="C44" s="36">
        <f t="shared" si="2"/>
        <v>0</v>
      </c>
      <c r="D44" s="36">
        <f t="shared" si="2"/>
        <v>0</v>
      </c>
      <c r="E44" s="36">
        <f t="shared" si="2"/>
        <v>0</v>
      </c>
      <c r="F44" s="36">
        <f t="shared" si="2"/>
        <v>0</v>
      </c>
      <c r="G44" s="36">
        <f t="shared" si="2"/>
        <v>0</v>
      </c>
      <c r="H44" s="36">
        <f t="shared" si="2"/>
        <v>0</v>
      </c>
      <c r="I44" s="36">
        <f t="shared" si="2"/>
        <v>0</v>
      </c>
      <c r="J44" s="36">
        <f t="shared" si="3"/>
        <v>0</v>
      </c>
      <c r="M44" s="7"/>
      <c r="Q44" s="1"/>
    </row>
    <row r="45" spans="1:17" x14ac:dyDescent="0.25">
      <c r="A45" s="1" t="s">
        <v>1</v>
      </c>
      <c r="B45" s="36">
        <f>'Reimbursement Rates &lt;-INPUT'!J28</f>
        <v>0</v>
      </c>
      <c r="C45" s="36">
        <f t="shared" si="2"/>
        <v>0</v>
      </c>
      <c r="D45" s="36">
        <f t="shared" si="2"/>
        <v>0</v>
      </c>
      <c r="E45" s="36">
        <f t="shared" si="2"/>
        <v>0</v>
      </c>
      <c r="F45" s="36">
        <f t="shared" si="2"/>
        <v>0</v>
      </c>
      <c r="G45" s="36">
        <f t="shared" si="2"/>
        <v>0</v>
      </c>
      <c r="H45" s="36">
        <f t="shared" si="2"/>
        <v>0</v>
      </c>
      <c r="I45" s="36">
        <f t="shared" si="2"/>
        <v>0</v>
      </c>
      <c r="J45" s="36">
        <f t="shared" si="3"/>
        <v>0</v>
      </c>
      <c r="M45" s="7"/>
      <c r="Q45" s="1"/>
    </row>
    <row r="46" spans="1:17" ht="15.75" thickBot="1" x14ac:dyDescent="0.3">
      <c r="A46" s="1"/>
      <c r="B46" s="9"/>
      <c r="C46" s="9"/>
      <c r="D46" s="9"/>
      <c r="E46" s="9"/>
      <c r="F46" s="9"/>
      <c r="G46" s="9"/>
      <c r="H46" s="9"/>
      <c r="I46" s="9"/>
      <c r="J46" s="9"/>
      <c r="M46" s="7"/>
      <c r="Q46" s="1"/>
    </row>
    <row r="47" spans="1:17" ht="15.75" thickBot="1" x14ac:dyDescent="0.3">
      <c r="A47" s="170" t="s">
        <v>33</v>
      </c>
      <c r="B47" s="171"/>
      <c r="C47" s="171"/>
      <c r="D47" s="171"/>
      <c r="E47" s="171"/>
      <c r="F47" s="171"/>
      <c r="G47" s="171"/>
      <c r="H47" s="171"/>
      <c r="I47" s="171"/>
      <c r="J47" s="172"/>
      <c r="M47" s="7"/>
      <c r="Q47" s="1"/>
    </row>
    <row r="48" spans="1:17" x14ac:dyDescent="0.25">
      <c r="A48" s="4" t="s">
        <v>16</v>
      </c>
      <c r="B48" s="5" t="s">
        <v>15</v>
      </c>
      <c r="C48" s="5" t="s">
        <v>14</v>
      </c>
      <c r="D48" s="5" t="s">
        <v>13</v>
      </c>
      <c r="E48" s="5" t="s">
        <v>12</v>
      </c>
      <c r="F48" s="5" t="s">
        <v>93</v>
      </c>
      <c r="G48" s="5" t="s">
        <v>94</v>
      </c>
      <c r="H48" s="5" t="s">
        <v>38</v>
      </c>
      <c r="I48" s="5" t="s">
        <v>9</v>
      </c>
      <c r="J48" s="5" t="s">
        <v>0</v>
      </c>
      <c r="M48" s="7"/>
    </row>
    <row r="49" spans="1:17" x14ac:dyDescent="0.25">
      <c r="A49" s="1" t="s">
        <v>49</v>
      </c>
      <c r="B49" s="37">
        <f t="shared" ref="B49:B50" si="4">IF(B8&gt;0,B8*(1-B29),0)</f>
        <v>0</v>
      </c>
      <c r="C49" s="37">
        <f t="shared" ref="C49:I49" si="5">IF(C8&gt;0,C8*(1-C29),0)</f>
        <v>0</v>
      </c>
      <c r="D49" s="37">
        <f t="shared" si="5"/>
        <v>0</v>
      </c>
      <c r="E49" s="37">
        <f t="shared" si="5"/>
        <v>0</v>
      </c>
      <c r="F49" s="37">
        <f t="shared" si="5"/>
        <v>0</v>
      </c>
      <c r="G49" s="37">
        <f t="shared" si="5"/>
        <v>0</v>
      </c>
      <c r="H49" s="37">
        <f t="shared" si="5"/>
        <v>0</v>
      </c>
      <c r="I49" s="37">
        <f t="shared" si="5"/>
        <v>0</v>
      </c>
      <c r="J49" s="37">
        <f>SUM(B49:H49)</f>
        <v>0</v>
      </c>
      <c r="M49" s="7"/>
      <c r="Q49" s="1"/>
    </row>
    <row r="50" spans="1:17" x14ac:dyDescent="0.25">
      <c r="A50" s="1" t="s">
        <v>8</v>
      </c>
      <c r="B50" s="37">
        <f t="shared" si="4"/>
        <v>0</v>
      </c>
      <c r="C50" s="37">
        <f t="shared" ref="C50:I50" si="6">IF(C9&gt;0,C9*(1-C30),0)</f>
        <v>0</v>
      </c>
      <c r="D50" s="37">
        <f t="shared" si="6"/>
        <v>0</v>
      </c>
      <c r="E50" s="37">
        <f t="shared" si="6"/>
        <v>0</v>
      </c>
      <c r="F50" s="37">
        <f t="shared" si="6"/>
        <v>0</v>
      </c>
      <c r="G50" s="37">
        <f t="shared" si="6"/>
        <v>0</v>
      </c>
      <c r="H50" s="37">
        <f t="shared" si="6"/>
        <v>0</v>
      </c>
      <c r="I50" s="37">
        <f t="shared" si="6"/>
        <v>0</v>
      </c>
      <c r="J50" s="37">
        <f t="shared" ref="J50:J65" si="7">SUM(B50:H50)</f>
        <v>0</v>
      </c>
      <c r="M50" s="7"/>
      <c r="Q50" s="7"/>
    </row>
    <row r="51" spans="1:17" x14ac:dyDescent="0.25">
      <c r="A51" s="1" t="s">
        <v>7</v>
      </c>
      <c r="B51" s="37">
        <f>IF(B10&gt;0,B10*(1-B31),0)</f>
        <v>0</v>
      </c>
      <c r="C51" s="37">
        <f t="shared" ref="C51:I51" si="8">IF(C10&gt;0,C10*(1-C31),0)</f>
        <v>0</v>
      </c>
      <c r="D51" s="37">
        <f t="shared" si="8"/>
        <v>0</v>
      </c>
      <c r="E51" s="37">
        <f t="shared" si="8"/>
        <v>0</v>
      </c>
      <c r="F51" s="37">
        <f t="shared" si="8"/>
        <v>0</v>
      </c>
      <c r="G51" s="37">
        <f t="shared" si="8"/>
        <v>0</v>
      </c>
      <c r="H51" s="37">
        <f t="shared" si="8"/>
        <v>0</v>
      </c>
      <c r="I51" s="37">
        <f t="shared" si="8"/>
        <v>0</v>
      </c>
      <c r="J51" s="37">
        <f t="shared" si="7"/>
        <v>0</v>
      </c>
      <c r="M51" s="7"/>
    </row>
    <row r="52" spans="1:17" x14ac:dyDescent="0.25">
      <c r="A52" s="1" t="s">
        <v>42</v>
      </c>
      <c r="B52" s="37">
        <f t="shared" ref="B52:B65" si="9">IF(B11&gt;0,B11*(1-B32),0)</f>
        <v>0</v>
      </c>
      <c r="C52" s="37">
        <f t="shared" ref="C52:I52" si="10">IF(C11&gt;0,C11*(1-C32),0)</f>
        <v>0</v>
      </c>
      <c r="D52" s="37">
        <f t="shared" si="10"/>
        <v>0</v>
      </c>
      <c r="E52" s="37">
        <f t="shared" si="10"/>
        <v>0</v>
      </c>
      <c r="F52" s="37">
        <f t="shared" si="10"/>
        <v>0</v>
      </c>
      <c r="G52" s="37">
        <f t="shared" si="10"/>
        <v>0</v>
      </c>
      <c r="H52" s="37">
        <f t="shared" si="10"/>
        <v>0</v>
      </c>
      <c r="I52" s="37">
        <f t="shared" si="10"/>
        <v>0</v>
      </c>
      <c r="J52" s="37">
        <f t="shared" si="7"/>
        <v>0</v>
      </c>
      <c r="M52" s="7"/>
    </row>
    <row r="53" spans="1:17" x14ac:dyDescent="0.25">
      <c r="A53" s="1" t="s">
        <v>6</v>
      </c>
      <c r="B53" s="37">
        <f t="shared" si="9"/>
        <v>0</v>
      </c>
      <c r="C53" s="37">
        <f t="shared" ref="C53:I53" si="11">IF(C12&gt;0,C12*(1-C33),0)</f>
        <v>0</v>
      </c>
      <c r="D53" s="37">
        <f t="shared" si="11"/>
        <v>0</v>
      </c>
      <c r="E53" s="37">
        <f t="shared" si="11"/>
        <v>0</v>
      </c>
      <c r="F53" s="37">
        <f t="shared" si="11"/>
        <v>0</v>
      </c>
      <c r="G53" s="37">
        <f t="shared" si="11"/>
        <v>0</v>
      </c>
      <c r="H53" s="37">
        <f t="shared" si="11"/>
        <v>0</v>
      </c>
      <c r="I53" s="37">
        <f t="shared" si="11"/>
        <v>0</v>
      </c>
      <c r="J53" s="37">
        <f t="shared" si="7"/>
        <v>0</v>
      </c>
      <c r="M53" s="7"/>
    </row>
    <row r="54" spans="1:17" x14ac:dyDescent="0.25">
      <c r="A54" s="1" t="s">
        <v>50</v>
      </c>
      <c r="B54" s="37">
        <f t="shared" si="9"/>
        <v>0</v>
      </c>
      <c r="C54" s="37">
        <f t="shared" ref="C54:I54" si="12">IF(C13&gt;0,C13*(1-C34),0)</f>
        <v>0</v>
      </c>
      <c r="D54" s="37">
        <f t="shared" si="12"/>
        <v>0</v>
      </c>
      <c r="E54" s="37">
        <f t="shared" si="12"/>
        <v>0</v>
      </c>
      <c r="F54" s="37">
        <f t="shared" si="12"/>
        <v>0</v>
      </c>
      <c r="G54" s="37">
        <f t="shared" si="12"/>
        <v>0</v>
      </c>
      <c r="H54" s="37">
        <f t="shared" si="12"/>
        <v>0</v>
      </c>
      <c r="I54" s="37">
        <f t="shared" si="12"/>
        <v>0</v>
      </c>
      <c r="J54" s="37">
        <f t="shared" si="7"/>
        <v>0</v>
      </c>
      <c r="M54" s="7"/>
    </row>
    <row r="55" spans="1:17" x14ac:dyDescent="0.25">
      <c r="A55" s="1" t="s">
        <v>89</v>
      </c>
      <c r="B55" s="37">
        <f t="shared" si="9"/>
        <v>0</v>
      </c>
      <c r="C55" s="37">
        <f t="shared" ref="C55:I55" si="13">IF(C14&gt;0,C14*(1-C35),0)</f>
        <v>0</v>
      </c>
      <c r="D55" s="37">
        <f t="shared" si="13"/>
        <v>0</v>
      </c>
      <c r="E55" s="37">
        <f t="shared" si="13"/>
        <v>0</v>
      </c>
      <c r="F55" s="37">
        <f t="shared" si="13"/>
        <v>0</v>
      </c>
      <c r="G55" s="37">
        <f t="shared" si="13"/>
        <v>0</v>
      </c>
      <c r="H55" s="37">
        <f t="shared" si="13"/>
        <v>0</v>
      </c>
      <c r="I55" s="37">
        <f t="shared" si="13"/>
        <v>0</v>
      </c>
      <c r="J55" s="37">
        <f t="shared" si="7"/>
        <v>0</v>
      </c>
      <c r="M55" s="7"/>
    </row>
    <row r="56" spans="1:17" x14ac:dyDescent="0.25">
      <c r="A56" s="1" t="s">
        <v>5</v>
      </c>
      <c r="B56" s="37">
        <f t="shared" si="9"/>
        <v>0</v>
      </c>
      <c r="C56" s="37">
        <f t="shared" ref="C56:I56" si="14">IF(C15&gt;0,C15*(1-C36),0)</f>
        <v>0</v>
      </c>
      <c r="D56" s="37">
        <f t="shared" si="14"/>
        <v>0</v>
      </c>
      <c r="E56" s="37">
        <f t="shared" si="14"/>
        <v>0</v>
      </c>
      <c r="F56" s="37">
        <f t="shared" si="14"/>
        <v>0</v>
      </c>
      <c r="G56" s="37">
        <f t="shared" si="14"/>
        <v>0</v>
      </c>
      <c r="H56" s="37">
        <f t="shared" si="14"/>
        <v>0</v>
      </c>
      <c r="I56" s="37">
        <f t="shared" si="14"/>
        <v>0</v>
      </c>
      <c r="J56" s="37">
        <f t="shared" si="7"/>
        <v>0</v>
      </c>
      <c r="M56" s="7"/>
    </row>
    <row r="57" spans="1:17" x14ac:dyDescent="0.25">
      <c r="A57" s="1" t="s">
        <v>84</v>
      </c>
      <c r="B57" s="37">
        <f t="shared" si="9"/>
        <v>0</v>
      </c>
      <c r="C57" s="37">
        <f t="shared" ref="C57:I57" si="15">IF(C16&gt;0,C16*(1-C37),0)</f>
        <v>0</v>
      </c>
      <c r="D57" s="37">
        <f t="shared" si="15"/>
        <v>0</v>
      </c>
      <c r="E57" s="37">
        <f t="shared" si="15"/>
        <v>0</v>
      </c>
      <c r="F57" s="37">
        <f t="shared" si="15"/>
        <v>0</v>
      </c>
      <c r="G57" s="37">
        <f t="shared" si="15"/>
        <v>0</v>
      </c>
      <c r="H57" s="37">
        <f t="shared" si="15"/>
        <v>0</v>
      </c>
      <c r="I57" s="37">
        <f t="shared" si="15"/>
        <v>0</v>
      </c>
      <c r="J57" s="37">
        <f t="shared" si="7"/>
        <v>0</v>
      </c>
      <c r="M57" s="7"/>
    </row>
    <row r="58" spans="1:17" x14ac:dyDescent="0.25">
      <c r="A58" s="1" t="s">
        <v>4</v>
      </c>
      <c r="B58" s="37">
        <f t="shared" si="9"/>
        <v>0</v>
      </c>
      <c r="C58" s="37">
        <f t="shared" ref="C58:I58" si="16">IF(C17&gt;0,C17*(1-C38),0)</f>
        <v>0</v>
      </c>
      <c r="D58" s="37">
        <f t="shared" si="16"/>
        <v>0</v>
      </c>
      <c r="E58" s="37">
        <f t="shared" si="16"/>
        <v>0</v>
      </c>
      <c r="F58" s="37">
        <f t="shared" si="16"/>
        <v>0</v>
      </c>
      <c r="G58" s="37">
        <f t="shared" si="16"/>
        <v>0</v>
      </c>
      <c r="H58" s="37">
        <f t="shared" si="16"/>
        <v>0</v>
      </c>
      <c r="I58" s="37">
        <f t="shared" si="16"/>
        <v>0</v>
      </c>
      <c r="J58" s="37">
        <f t="shared" si="7"/>
        <v>0</v>
      </c>
      <c r="M58" s="7"/>
    </row>
    <row r="59" spans="1:17" x14ac:dyDescent="0.25">
      <c r="A59" s="1" t="s">
        <v>51</v>
      </c>
      <c r="B59" s="37">
        <f t="shared" si="9"/>
        <v>0</v>
      </c>
      <c r="C59" s="37">
        <f t="shared" ref="C59:I59" si="17">IF(C18&gt;0,C18*(1-C39),0)</f>
        <v>0</v>
      </c>
      <c r="D59" s="37">
        <f t="shared" si="17"/>
        <v>0</v>
      </c>
      <c r="E59" s="37">
        <f t="shared" si="17"/>
        <v>0</v>
      </c>
      <c r="F59" s="37">
        <f t="shared" si="17"/>
        <v>0</v>
      </c>
      <c r="G59" s="37">
        <f t="shared" si="17"/>
        <v>0</v>
      </c>
      <c r="H59" s="37">
        <f t="shared" si="17"/>
        <v>0</v>
      </c>
      <c r="I59" s="37">
        <f t="shared" si="17"/>
        <v>0</v>
      </c>
      <c r="J59" s="37">
        <f t="shared" si="7"/>
        <v>0</v>
      </c>
      <c r="M59" s="7"/>
    </row>
    <row r="60" spans="1:17" x14ac:dyDescent="0.25">
      <c r="A60" s="1" t="s">
        <v>85</v>
      </c>
      <c r="B60" s="37">
        <f t="shared" si="9"/>
        <v>0</v>
      </c>
      <c r="C60" s="37">
        <f t="shared" ref="C60:I60" si="18">IF(C19&gt;0,C19*(1-C40),0)</f>
        <v>0</v>
      </c>
      <c r="D60" s="37">
        <f t="shared" si="18"/>
        <v>0</v>
      </c>
      <c r="E60" s="37">
        <f t="shared" si="18"/>
        <v>0</v>
      </c>
      <c r="F60" s="37">
        <f t="shared" si="18"/>
        <v>0</v>
      </c>
      <c r="G60" s="37">
        <f t="shared" si="18"/>
        <v>0</v>
      </c>
      <c r="H60" s="37">
        <f t="shared" si="18"/>
        <v>0</v>
      </c>
      <c r="I60" s="37">
        <f t="shared" si="18"/>
        <v>0</v>
      </c>
      <c r="J60" s="37">
        <f t="shared" si="7"/>
        <v>0</v>
      </c>
      <c r="M60" s="7"/>
    </row>
    <row r="61" spans="1:17" x14ac:dyDescent="0.25">
      <c r="A61" s="1" t="s">
        <v>2</v>
      </c>
      <c r="B61" s="37">
        <f t="shared" si="9"/>
        <v>0</v>
      </c>
      <c r="C61" s="37">
        <f t="shared" ref="C61:I61" si="19">IF(C20&gt;0,C20*(1-C41),0)</f>
        <v>0</v>
      </c>
      <c r="D61" s="37">
        <f t="shared" si="19"/>
        <v>0</v>
      </c>
      <c r="E61" s="37">
        <f t="shared" si="19"/>
        <v>0</v>
      </c>
      <c r="F61" s="37">
        <f t="shared" si="19"/>
        <v>0</v>
      </c>
      <c r="G61" s="37">
        <f t="shared" si="19"/>
        <v>0</v>
      </c>
      <c r="H61" s="37">
        <f t="shared" si="19"/>
        <v>0</v>
      </c>
      <c r="I61" s="37">
        <f t="shared" si="19"/>
        <v>0</v>
      </c>
      <c r="J61" s="37">
        <f t="shared" si="7"/>
        <v>0</v>
      </c>
      <c r="M61" s="7"/>
    </row>
    <row r="62" spans="1:17" x14ac:dyDescent="0.25">
      <c r="A62" s="1" t="s">
        <v>86</v>
      </c>
      <c r="B62" s="37">
        <f t="shared" si="9"/>
        <v>0</v>
      </c>
      <c r="C62" s="37">
        <f t="shared" ref="C62:I62" si="20">IF(C21&gt;0,C21*(1-C42),0)</f>
        <v>0</v>
      </c>
      <c r="D62" s="37">
        <f t="shared" si="20"/>
        <v>0</v>
      </c>
      <c r="E62" s="37">
        <f t="shared" si="20"/>
        <v>0</v>
      </c>
      <c r="F62" s="37">
        <f t="shared" si="20"/>
        <v>0</v>
      </c>
      <c r="G62" s="37">
        <f t="shared" si="20"/>
        <v>0</v>
      </c>
      <c r="H62" s="37">
        <f t="shared" si="20"/>
        <v>0</v>
      </c>
      <c r="I62" s="37">
        <f t="shared" si="20"/>
        <v>0</v>
      </c>
      <c r="J62" s="37">
        <f t="shared" si="7"/>
        <v>0</v>
      </c>
      <c r="M62" s="183" t="s">
        <v>62</v>
      </c>
    </row>
    <row r="63" spans="1:17" x14ac:dyDescent="0.25">
      <c r="A63" s="1" t="s">
        <v>29</v>
      </c>
      <c r="B63" s="37">
        <f t="shared" si="9"/>
        <v>0</v>
      </c>
      <c r="C63" s="37">
        <f t="shared" ref="C63:I63" si="21">IF(C22&gt;0,C22*(1-C43),0)</f>
        <v>0</v>
      </c>
      <c r="D63" s="37">
        <f t="shared" si="21"/>
        <v>0</v>
      </c>
      <c r="E63" s="37">
        <f t="shared" si="21"/>
        <v>0</v>
      </c>
      <c r="F63" s="37">
        <f t="shared" si="21"/>
        <v>0</v>
      </c>
      <c r="G63" s="37">
        <f t="shared" si="21"/>
        <v>0</v>
      </c>
      <c r="H63" s="37">
        <f t="shared" si="21"/>
        <v>0</v>
      </c>
      <c r="I63" s="37">
        <f t="shared" si="21"/>
        <v>0</v>
      </c>
      <c r="J63" s="37">
        <f t="shared" si="7"/>
        <v>0</v>
      </c>
      <c r="M63" s="183"/>
    </row>
    <row r="64" spans="1:17" x14ac:dyDescent="0.25">
      <c r="A64" s="1" t="s">
        <v>52</v>
      </c>
      <c r="B64" s="37">
        <f t="shared" si="9"/>
        <v>0</v>
      </c>
      <c r="C64" s="37">
        <f t="shared" ref="C64:I64" si="22">IF(C23&gt;0,C23*(1-C44),0)</f>
        <v>0</v>
      </c>
      <c r="D64" s="37">
        <f t="shared" si="22"/>
        <v>0</v>
      </c>
      <c r="E64" s="37">
        <f t="shared" si="22"/>
        <v>0</v>
      </c>
      <c r="F64" s="37">
        <f t="shared" si="22"/>
        <v>0</v>
      </c>
      <c r="G64" s="37">
        <f t="shared" si="22"/>
        <v>0</v>
      </c>
      <c r="H64" s="37">
        <f t="shared" si="22"/>
        <v>0</v>
      </c>
      <c r="I64" s="37">
        <f t="shared" si="22"/>
        <v>0</v>
      </c>
      <c r="J64" s="37">
        <f t="shared" si="7"/>
        <v>0</v>
      </c>
      <c r="L64" s="35" t="s">
        <v>41</v>
      </c>
      <c r="M64" s="183" t="s">
        <v>63</v>
      </c>
    </row>
    <row r="65" spans="1:13" x14ac:dyDescent="0.25">
      <c r="A65" s="1" t="s">
        <v>1</v>
      </c>
      <c r="B65" s="38">
        <f t="shared" si="9"/>
        <v>0</v>
      </c>
      <c r="C65" s="38">
        <f t="shared" ref="C65:I65" si="23">IF(C24&gt;0,C24*(1-C45),0)</f>
        <v>0</v>
      </c>
      <c r="D65" s="38">
        <f t="shared" si="23"/>
        <v>0</v>
      </c>
      <c r="E65" s="38">
        <f t="shared" si="23"/>
        <v>0</v>
      </c>
      <c r="F65" s="38">
        <f t="shared" si="23"/>
        <v>0</v>
      </c>
      <c r="G65" s="38">
        <f t="shared" si="23"/>
        <v>0</v>
      </c>
      <c r="H65" s="38">
        <f t="shared" si="23"/>
        <v>0</v>
      </c>
      <c r="I65" s="38">
        <f t="shared" si="23"/>
        <v>0</v>
      </c>
      <c r="J65" s="38">
        <f t="shared" si="7"/>
        <v>0</v>
      </c>
      <c r="L65" s="42" t="s">
        <v>61</v>
      </c>
      <c r="M65" s="184"/>
    </row>
    <row r="66" spans="1:13" x14ac:dyDescent="0.25">
      <c r="A66" s="1"/>
      <c r="B66" s="9">
        <f>SUM(B49:B65)</f>
        <v>0</v>
      </c>
      <c r="C66" s="9">
        <f t="shared" ref="C66:J66" si="24">SUM(C49:C65)</f>
        <v>0</v>
      </c>
      <c r="D66" s="9">
        <f t="shared" si="24"/>
        <v>0</v>
      </c>
      <c r="E66" s="9">
        <f t="shared" si="24"/>
        <v>0</v>
      </c>
      <c r="F66" s="9">
        <f t="shared" si="24"/>
        <v>0</v>
      </c>
      <c r="G66" s="9">
        <f t="shared" si="24"/>
        <v>0</v>
      </c>
      <c r="H66" s="9">
        <f t="shared" si="24"/>
        <v>0</v>
      </c>
      <c r="I66" s="9">
        <f t="shared" si="24"/>
        <v>0</v>
      </c>
      <c r="J66" s="9">
        <f t="shared" si="24"/>
        <v>0</v>
      </c>
      <c r="L66" s="108">
        <v>60000</v>
      </c>
      <c r="M66" s="7">
        <f>J66-L66</f>
        <v>-60000</v>
      </c>
    </row>
    <row r="67" spans="1:13" ht="15.75" thickBot="1" x14ac:dyDescent="0.3">
      <c r="A67" s="1"/>
      <c r="B67" s="9"/>
      <c r="C67" s="9"/>
      <c r="D67" s="9"/>
      <c r="E67" s="9"/>
      <c r="F67" s="9"/>
      <c r="G67" s="9"/>
      <c r="H67" s="9"/>
      <c r="I67" s="9"/>
      <c r="J67" s="9"/>
      <c r="M67" s="7"/>
    </row>
    <row r="68" spans="1:13" ht="15.75" thickBot="1" x14ac:dyDescent="0.3">
      <c r="A68" s="170" t="s">
        <v>64</v>
      </c>
      <c r="B68" s="171"/>
      <c r="C68" s="171"/>
      <c r="D68" s="171"/>
      <c r="E68" s="171"/>
      <c r="F68" s="171"/>
      <c r="G68" s="171"/>
      <c r="H68" s="171"/>
      <c r="I68" s="171"/>
      <c r="J68" s="172"/>
      <c r="M68" s="7"/>
    </row>
    <row r="69" spans="1:13" x14ac:dyDescent="0.25">
      <c r="A69" s="4" t="s">
        <v>16</v>
      </c>
      <c r="B69" s="5" t="s">
        <v>15</v>
      </c>
      <c r="C69" s="5" t="s">
        <v>14</v>
      </c>
      <c r="D69" s="5" t="s">
        <v>13</v>
      </c>
      <c r="E69" s="5" t="s">
        <v>12</v>
      </c>
      <c r="F69" s="5" t="s">
        <v>93</v>
      </c>
      <c r="G69" s="5" t="s">
        <v>94</v>
      </c>
      <c r="H69" s="5" t="s">
        <v>38</v>
      </c>
      <c r="I69" s="5" t="s">
        <v>9</v>
      </c>
      <c r="J69" s="5" t="s">
        <v>0</v>
      </c>
      <c r="M69" s="7"/>
    </row>
    <row r="70" spans="1:13" x14ac:dyDescent="0.25">
      <c r="A70" s="1" t="s">
        <v>49</v>
      </c>
      <c r="B70" s="39">
        <f t="shared" ref="B70:B71" si="25">B8-B49</f>
        <v>0</v>
      </c>
      <c r="C70" s="39">
        <f t="shared" ref="C70:I70" si="26">C8-C49</f>
        <v>0</v>
      </c>
      <c r="D70" s="39">
        <f t="shared" si="26"/>
        <v>0</v>
      </c>
      <c r="E70" s="39">
        <f t="shared" si="26"/>
        <v>0</v>
      </c>
      <c r="F70" s="39">
        <f t="shared" si="26"/>
        <v>0</v>
      </c>
      <c r="G70" s="39">
        <f t="shared" si="26"/>
        <v>0</v>
      </c>
      <c r="H70" s="39">
        <f t="shared" si="26"/>
        <v>0</v>
      </c>
      <c r="I70" s="39">
        <f t="shared" si="26"/>
        <v>0</v>
      </c>
      <c r="J70" s="39">
        <f>SUM(B70:H70)</f>
        <v>0</v>
      </c>
      <c r="M70" s="7"/>
    </row>
    <row r="71" spans="1:13" x14ac:dyDescent="0.25">
      <c r="A71" s="1" t="s">
        <v>8</v>
      </c>
      <c r="B71" s="39">
        <f t="shared" si="25"/>
        <v>0</v>
      </c>
      <c r="C71" s="39">
        <f t="shared" ref="C71:I71" si="27">C9-C50</f>
        <v>0</v>
      </c>
      <c r="D71" s="39">
        <f t="shared" si="27"/>
        <v>0</v>
      </c>
      <c r="E71" s="39">
        <f t="shared" si="27"/>
        <v>0</v>
      </c>
      <c r="F71" s="39">
        <f t="shared" si="27"/>
        <v>0</v>
      </c>
      <c r="G71" s="39">
        <f t="shared" si="27"/>
        <v>0</v>
      </c>
      <c r="H71" s="39">
        <f t="shared" si="27"/>
        <v>0</v>
      </c>
      <c r="I71" s="39">
        <f t="shared" si="27"/>
        <v>0</v>
      </c>
      <c r="J71" s="39">
        <f t="shared" ref="J71:J86" si="28">SUM(B71:H71)</f>
        <v>0</v>
      </c>
      <c r="M71" s="7"/>
    </row>
    <row r="72" spans="1:13" x14ac:dyDescent="0.25">
      <c r="A72" s="1" t="s">
        <v>7</v>
      </c>
      <c r="B72" s="39">
        <f>B10-B51</f>
        <v>0</v>
      </c>
      <c r="C72" s="39">
        <f t="shared" ref="C72:I72" si="29">C10-C51</f>
        <v>0</v>
      </c>
      <c r="D72" s="39">
        <f t="shared" si="29"/>
        <v>0</v>
      </c>
      <c r="E72" s="39">
        <f t="shared" si="29"/>
        <v>0</v>
      </c>
      <c r="F72" s="39">
        <f t="shared" si="29"/>
        <v>0</v>
      </c>
      <c r="G72" s="39">
        <f t="shared" si="29"/>
        <v>0</v>
      </c>
      <c r="H72" s="39">
        <f t="shared" si="29"/>
        <v>0</v>
      </c>
      <c r="I72" s="39">
        <f t="shared" si="29"/>
        <v>0</v>
      </c>
      <c r="J72" s="39">
        <f t="shared" si="28"/>
        <v>0</v>
      </c>
      <c r="M72" s="7"/>
    </row>
    <row r="73" spans="1:13" x14ac:dyDescent="0.25">
      <c r="A73" s="1" t="s">
        <v>42</v>
      </c>
      <c r="B73" s="39">
        <f t="shared" ref="B73:B86" si="30">B11-B52</f>
        <v>0</v>
      </c>
      <c r="C73" s="39">
        <f t="shared" ref="C73:I73" si="31">C11-C52</f>
        <v>0</v>
      </c>
      <c r="D73" s="39">
        <f t="shared" si="31"/>
        <v>0</v>
      </c>
      <c r="E73" s="39">
        <f t="shared" si="31"/>
        <v>0</v>
      </c>
      <c r="F73" s="39">
        <f t="shared" si="31"/>
        <v>0</v>
      </c>
      <c r="G73" s="39">
        <f t="shared" si="31"/>
        <v>0</v>
      </c>
      <c r="H73" s="39">
        <f t="shared" si="31"/>
        <v>0</v>
      </c>
      <c r="I73" s="39">
        <f t="shared" si="31"/>
        <v>0</v>
      </c>
      <c r="J73" s="39">
        <f t="shared" si="28"/>
        <v>0</v>
      </c>
      <c r="M73" s="7"/>
    </row>
    <row r="74" spans="1:13" x14ac:dyDescent="0.25">
      <c r="A74" s="1" t="s">
        <v>6</v>
      </c>
      <c r="B74" s="39">
        <f t="shared" si="30"/>
        <v>0</v>
      </c>
      <c r="C74" s="39">
        <f t="shared" ref="C74:I74" si="32">C12-C53</f>
        <v>0</v>
      </c>
      <c r="D74" s="39">
        <f t="shared" si="32"/>
        <v>0</v>
      </c>
      <c r="E74" s="39">
        <f t="shared" si="32"/>
        <v>0</v>
      </c>
      <c r="F74" s="39">
        <f t="shared" si="32"/>
        <v>0</v>
      </c>
      <c r="G74" s="39">
        <f t="shared" si="32"/>
        <v>0</v>
      </c>
      <c r="H74" s="39">
        <f t="shared" si="32"/>
        <v>0</v>
      </c>
      <c r="I74" s="39">
        <f t="shared" si="32"/>
        <v>0</v>
      </c>
      <c r="J74" s="39">
        <f t="shared" si="28"/>
        <v>0</v>
      </c>
      <c r="M74" s="7"/>
    </row>
    <row r="75" spans="1:13" x14ac:dyDescent="0.25">
      <c r="A75" s="1" t="s">
        <v>50</v>
      </c>
      <c r="B75" s="39">
        <f t="shared" si="30"/>
        <v>0</v>
      </c>
      <c r="C75" s="39">
        <f t="shared" ref="C75:I75" si="33">C13-C54</f>
        <v>0</v>
      </c>
      <c r="D75" s="39">
        <f t="shared" si="33"/>
        <v>0</v>
      </c>
      <c r="E75" s="39">
        <f t="shared" si="33"/>
        <v>0</v>
      </c>
      <c r="F75" s="39">
        <f t="shared" si="33"/>
        <v>0</v>
      </c>
      <c r="G75" s="39">
        <f t="shared" si="33"/>
        <v>0</v>
      </c>
      <c r="H75" s="39">
        <f t="shared" si="33"/>
        <v>0</v>
      </c>
      <c r="I75" s="39">
        <f t="shared" si="33"/>
        <v>0</v>
      </c>
      <c r="J75" s="39">
        <f t="shared" si="28"/>
        <v>0</v>
      </c>
      <c r="M75" s="7"/>
    </row>
    <row r="76" spans="1:13" x14ac:dyDescent="0.25">
      <c r="A76" s="1" t="s">
        <v>89</v>
      </c>
      <c r="B76" s="39">
        <f t="shared" si="30"/>
        <v>0</v>
      </c>
      <c r="C76" s="39">
        <f t="shared" ref="C76:I76" si="34">C14-C55</f>
        <v>0</v>
      </c>
      <c r="D76" s="39">
        <f t="shared" si="34"/>
        <v>0</v>
      </c>
      <c r="E76" s="39">
        <f t="shared" si="34"/>
        <v>0</v>
      </c>
      <c r="F76" s="39">
        <f t="shared" si="34"/>
        <v>0</v>
      </c>
      <c r="G76" s="39">
        <f t="shared" si="34"/>
        <v>0</v>
      </c>
      <c r="H76" s="39">
        <f t="shared" si="34"/>
        <v>0</v>
      </c>
      <c r="I76" s="39">
        <f t="shared" si="34"/>
        <v>0</v>
      </c>
      <c r="J76" s="39">
        <f t="shared" si="28"/>
        <v>0</v>
      </c>
      <c r="M76" s="7"/>
    </row>
    <row r="77" spans="1:13" x14ac:dyDescent="0.25">
      <c r="A77" s="1" t="s">
        <v>5</v>
      </c>
      <c r="B77" s="39">
        <f t="shared" si="30"/>
        <v>0</v>
      </c>
      <c r="C77" s="39">
        <f t="shared" ref="C77:I77" si="35">C15-C56</f>
        <v>0</v>
      </c>
      <c r="D77" s="39">
        <f t="shared" si="35"/>
        <v>0</v>
      </c>
      <c r="E77" s="39">
        <f t="shared" si="35"/>
        <v>0</v>
      </c>
      <c r="F77" s="39">
        <f t="shared" si="35"/>
        <v>0</v>
      </c>
      <c r="G77" s="39">
        <f t="shared" si="35"/>
        <v>0</v>
      </c>
      <c r="H77" s="39">
        <f t="shared" si="35"/>
        <v>0</v>
      </c>
      <c r="I77" s="39">
        <f t="shared" si="35"/>
        <v>0</v>
      </c>
      <c r="J77" s="39">
        <f t="shared" si="28"/>
        <v>0</v>
      </c>
      <c r="M77" s="7"/>
    </row>
    <row r="78" spans="1:13" x14ac:dyDescent="0.25">
      <c r="A78" s="1" t="s">
        <v>84</v>
      </c>
      <c r="B78" s="39">
        <f t="shared" si="30"/>
        <v>0</v>
      </c>
      <c r="C78" s="39">
        <f t="shared" ref="C78:I78" si="36">C16-C57</f>
        <v>0</v>
      </c>
      <c r="D78" s="39">
        <f t="shared" si="36"/>
        <v>0</v>
      </c>
      <c r="E78" s="39">
        <f t="shared" si="36"/>
        <v>0</v>
      </c>
      <c r="F78" s="39">
        <f t="shared" si="36"/>
        <v>0</v>
      </c>
      <c r="G78" s="39">
        <f t="shared" si="36"/>
        <v>0</v>
      </c>
      <c r="H78" s="39">
        <f t="shared" si="36"/>
        <v>0</v>
      </c>
      <c r="I78" s="39">
        <f t="shared" si="36"/>
        <v>0</v>
      </c>
      <c r="J78" s="39">
        <f t="shared" si="28"/>
        <v>0</v>
      </c>
      <c r="M78" s="7"/>
    </row>
    <row r="79" spans="1:13" x14ac:dyDescent="0.25">
      <c r="A79" s="1" t="s">
        <v>4</v>
      </c>
      <c r="B79" s="39">
        <f t="shared" si="30"/>
        <v>0</v>
      </c>
      <c r="C79" s="39">
        <f t="shared" ref="C79:I79" si="37">C17-C58</f>
        <v>0</v>
      </c>
      <c r="D79" s="39">
        <f t="shared" si="37"/>
        <v>0</v>
      </c>
      <c r="E79" s="39">
        <f t="shared" si="37"/>
        <v>0</v>
      </c>
      <c r="F79" s="39">
        <f t="shared" si="37"/>
        <v>0</v>
      </c>
      <c r="G79" s="39">
        <f t="shared" si="37"/>
        <v>0</v>
      </c>
      <c r="H79" s="39">
        <f t="shared" si="37"/>
        <v>0</v>
      </c>
      <c r="I79" s="39">
        <f t="shared" si="37"/>
        <v>0</v>
      </c>
      <c r="J79" s="39">
        <f t="shared" si="28"/>
        <v>0</v>
      </c>
      <c r="M79" s="7"/>
    </row>
    <row r="80" spans="1:13" x14ac:dyDescent="0.25">
      <c r="A80" s="1" t="s">
        <v>51</v>
      </c>
      <c r="B80" s="39">
        <f t="shared" si="30"/>
        <v>0</v>
      </c>
      <c r="C80" s="39">
        <f t="shared" ref="C80:I80" si="38">C18-C59</f>
        <v>0</v>
      </c>
      <c r="D80" s="39">
        <f t="shared" si="38"/>
        <v>0</v>
      </c>
      <c r="E80" s="39">
        <f t="shared" si="38"/>
        <v>0</v>
      </c>
      <c r="F80" s="39">
        <f t="shared" si="38"/>
        <v>0</v>
      </c>
      <c r="G80" s="39">
        <f t="shared" si="38"/>
        <v>0</v>
      </c>
      <c r="H80" s="39">
        <f t="shared" si="38"/>
        <v>0</v>
      </c>
      <c r="I80" s="39">
        <f t="shared" si="38"/>
        <v>0</v>
      </c>
      <c r="J80" s="39">
        <f t="shared" si="28"/>
        <v>0</v>
      </c>
      <c r="M80" s="7"/>
    </row>
    <row r="81" spans="1:13" x14ac:dyDescent="0.25">
      <c r="A81" s="1" t="s">
        <v>85</v>
      </c>
      <c r="B81" s="39">
        <f t="shared" si="30"/>
        <v>0</v>
      </c>
      <c r="C81" s="39">
        <f t="shared" ref="C81:I81" si="39">C19-C60</f>
        <v>0</v>
      </c>
      <c r="D81" s="39">
        <f t="shared" si="39"/>
        <v>0</v>
      </c>
      <c r="E81" s="39">
        <f t="shared" si="39"/>
        <v>0</v>
      </c>
      <c r="F81" s="39">
        <f t="shared" si="39"/>
        <v>0</v>
      </c>
      <c r="G81" s="39">
        <f t="shared" si="39"/>
        <v>0</v>
      </c>
      <c r="H81" s="39">
        <f t="shared" si="39"/>
        <v>0</v>
      </c>
      <c r="I81" s="39">
        <f t="shared" si="39"/>
        <v>0</v>
      </c>
      <c r="J81" s="39">
        <f t="shared" si="28"/>
        <v>0</v>
      </c>
      <c r="M81" s="7"/>
    </row>
    <row r="82" spans="1:13" x14ac:dyDescent="0.25">
      <c r="A82" s="1" t="s">
        <v>2</v>
      </c>
      <c r="B82" s="39">
        <f t="shared" si="30"/>
        <v>0</v>
      </c>
      <c r="C82" s="39">
        <f t="shared" ref="C82:I82" si="40">C20-C61</f>
        <v>0</v>
      </c>
      <c r="D82" s="39">
        <f t="shared" si="40"/>
        <v>0</v>
      </c>
      <c r="E82" s="39">
        <f t="shared" si="40"/>
        <v>0</v>
      </c>
      <c r="F82" s="39">
        <f t="shared" si="40"/>
        <v>0</v>
      </c>
      <c r="G82" s="39">
        <f t="shared" si="40"/>
        <v>0</v>
      </c>
      <c r="H82" s="39">
        <f t="shared" si="40"/>
        <v>0</v>
      </c>
      <c r="I82" s="39">
        <f t="shared" si="40"/>
        <v>0</v>
      </c>
      <c r="J82" s="39">
        <f t="shared" si="28"/>
        <v>0</v>
      </c>
      <c r="M82" s="7"/>
    </row>
    <row r="83" spans="1:13" x14ac:dyDescent="0.25">
      <c r="A83" s="1" t="s">
        <v>86</v>
      </c>
      <c r="B83" s="39">
        <f t="shared" si="30"/>
        <v>0</v>
      </c>
      <c r="C83" s="39">
        <f t="shared" ref="C83:I83" si="41">C21-C62</f>
        <v>0</v>
      </c>
      <c r="D83" s="39">
        <f t="shared" si="41"/>
        <v>0</v>
      </c>
      <c r="E83" s="39">
        <f t="shared" si="41"/>
        <v>0</v>
      </c>
      <c r="F83" s="39">
        <f t="shared" si="41"/>
        <v>0</v>
      </c>
      <c r="G83" s="39">
        <f t="shared" si="41"/>
        <v>0</v>
      </c>
      <c r="H83" s="39">
        <f t="shared" si="41"/>
        <v>0</v>
      </c>
      <c r="I83" s="39">
        <f t="shared" si="41"/>
        <v>0</v>
      </c>
      <c r="J83" s="39">
        <f t="shared" si="28"/>
        <v>0</v>
      </c>
      <c r="M83" s="7"/>
    </row>
    <row r="84" spans="1:13" x14ac:dyDescent="0.25">
      <c r="A84" s="1" t="s">
        <v>29</v>
      </c>
      <c r="B84" s="39">
        <f t="shared" si="30"/>
        <v>0</v>
      </c>
      <c r="C84" s="39">
        <f t="shared" ref="C84:I84" si="42">C22-C63</f>
        <v>0</v>
      </c>
      <c r="D84" s="39">
        <f t="shared" si="42"/>
        <v>0</v>
      </c>
      <c r="E84" s="39">
        <f t="shared" si="42"/>
        <v>0</v>
      </c>
      <c r="F84" s="39">
        <f t="shared" si="42"/>
        <v>0</v>
      </c>
      <c r="G84" s="39">
        <f t="shared" si="42"/>
        <v>0</v>
      </c>
      <c r="H84" s="39">
        <f t="shared" si="42"/>
        <v>0</v>
      </c>
      <c r="I84" s="39">
        <f t="shared" si="42"/>
        <v>0</v>
      </c>
      <c r="J84" s="39">
        <f t="shared" si="28"/>
        <v>0</v>
      </c>
      <c r="M84" s="7"/>
    </row>
    <row r="85" spans="1:13" x14ac:dyDescent="0.25">
      <c r="A85" s="1" t="s">
        <v>52</v>
      </c>
      <c r="B85" s="39">
        <f t="shared" si="30"/>
        <v>0</v>
      </c>
      <c r="C85" s="39">
        <f t="shared" ref="C85:I85" si="43">C23-C64</f>
        <v>0</v>
      </c>
      <c r="D85" s="39">
        <f t="shared" si="43"/>
        <v>0</v>
      </c>
      <c r="E85" s="39">
        <f t="shared" si="43"/>
        <v>0</v>
      </c>
      <c r="F85" s="39">
        <f t="shared" si="43"/>
        <v>0</v>
      </c>
      <c r="G85" s="39">
        <f t="shared" si="43"/>
        <v>0</v>
      </c>
      <c r="H85" s="39">
        <f t="shared" si="43"/>
        <v>0</v>
      </c>
      <c r="I85" s="39">
        <f t="shared" si="43"/>
        <v>0</v>
      </c>
      <c r="J85" s="39">
        <f t="shared" si="28"/>
        <v>0</v>
      </c>
      <c r="M85" s="7"/>
    </row>
    <row r="86" spans="1:13" x14ac:dyDescent="0.25">
      <c r="A86" s="1" t="s">
        <v>1</v>
      </c>
      <c r="B86" s="40">
        <f t="shared" si="30"/>
        <v>0</v>
      </c>
      <c r="C86" s="40">
        <f t="shared" ref="C86:I86" si="44">C24-C65</f>
        <v>0</v>
      </c>
      <c r="D86" s="40">
        <f t="shared" si="44"/>
        <v>0</v>
      </c>
      <c r="E86" s="40">
        <f t="shared" si="44"/>
        <v>0</v>
      </c>
      <c r="F86" s="40">
        <f t="shared" si="44"/>
        <v>0</v>
      </c>
      <c r="G86" s="40">
        <f t="shared" si="44"/>
        <v>0</v>
      </c>
      <c r="H86" s="40">
        <f t="shared" si="44"/>
        <v>0</v>
      </c>
      <c r="I86" s="40">
        <f t="shared" si="44"/>
        <v>0</v>
      </c>
      <c r="J86" s="40">
        <f t="shared" si="28"/>
        <v>0</v>
      </c>
      <c r="M86" s="7"/>
    </row>
    <row r="87" spans="1:13" x14ac:dyDescent="0.25">
      <c r="A87" s="4"/>
      <c r="B87" s="39">
        <f>SUM(B70:B86)</f>
        <v>0</v>
      </c>
      <c r="C87" s="39">
        <f t="shared" ref="C87:J87" si="45">SUM(C70:C86)</f>
        <v>0</v>
      </c>
      <c r="D87" s="39">
        <f t="shared" si="45"/>
        <v>0</v>
      </c>
      <c r="E87" s="39">
        <f t="shared" si="45"/>
        <v>0</v>
      </c>
      <c r="F87" s="39">
        <f t="shared" si="45"/>
        <v>0</v>
      </c>
      <c r="G87" s="39">
        <f t="shared" si="45"/>
        <v>0</v>
      </c>
      <c r="H87" s="39">
        <f t="shared" si="45"/>
        <v>0</v>
      </c>
      <c r="I87" s="39">
        <f t="shared" si="45"/>
        <v>0</v>
      </c>
      <c r="J87" s="39">
        <f t="shared" si="45"/>
        <v>0</v>
      </c>
      <c r="M87" s="7"/>
    </row>
    <row r="88" spans="1:13" ht="15.75" thickBot="1" x14ac:dyDescent="0.3">
      <c r="A88" s="4"/>
      <c r="B88" s="39"/>
      <c r="C88" s="39"/>
      <c r="D88" s="39"/>
      <c r="E88" s="39"/>
      <c r="F88" s="39"/>
      <c r="G88" s="39"/>
      <c r="H88" s="39"/>
      <c r="I88" s="39"/>
      <c r="J88" s="39"/>
      <c r="M88" s="7"/>
    </row>
    <row r="89" spans="1:13" ht="15.75" thickBot="1" x14ac:dyDescent="0.3">
      <c r="A89" s="167" t="s">
        <v>59</v>
      </c>
      <c r="B89" s="168"/>
      <c r="C89" s="168"/>
      <c r="D89" s="168"/>
      <c r="E89" s="168"/>
      <c r="F89" s="168"/>
      <c r="G89" s="168"/>
      <c r="H89" s="168"/>
      <c r="I89" s="168"/>
      <c r="J89" s="169"/>
      <c r="M89" s="7"/>
    </row>
    <row r="90" spans="1:13" x14ac:dyDescent="0.25">
      <c r="A90" s="4" t="s">
        <v>16</v>
      </c>
      <c r="B90" s="5" t="s">
        <v>15</v>
      </c>
      <c r="C90" s="5" t="s">
        <v>14</v>
      </c>
      <c r="D90" s="5" t="s">
        <v>13</v>
      </c>
      <c r="E90" s="5" t="s">
        <v>12</v>
      </c>
      <c r="F90" s="5" t="s">
        <v>93</v>
      </c>
      <c r="G90" s="5" t="s">
        <v>94</v>
      </c>
      <c r="H90" s="5" t="s">
        <v>38</v>
      </c>
      <c r="I90" s="5" t="s">
        <v>9</v>
      </c>
      <c r="J90" s="5" t="s">
        <v>0</v>
      </c>
      <c r="M90" s="7"/>
    </row>
    <row r="91" spans="1:13" x14ac:dyDescent="0.25">
      <c r="A91" s="1" t="s">
        <v>49</v>
      </c>
      <c r="B91" s="41">
        <v>0</v>
      </c>
      <c r="C91" s="41">
        <v>0</v>
      </c>
      <c r="D91" s="41">
        <v>0</v>
      </c>
      <c r="E91" s="41">
        <v>0.1</v>
      </c>
      <c r="F91" s="41">
        <v>0.15</v>
      </c>
      <c r="G91" s="41">
        <v>0.15</v>
      </c>
      <c r="H91" s="41">
        <v>0.2</v>
      </c>
      <c r="I91" s="41">
        <v>1</v>
      </c>
      <c r="J91" s="39"/>
      <c r="M91" s="7"/>
    </row>
    <row r="92" spans="1:13" x14ac:dyDescent="0.25">
      <c r="A92" s="1" t="s">
        <v>8</v>
      </c>
      <c r="B92" s="41">
        <v>0</v>
      </c>
      <c r="C92" s="41">
        <v>0</v>
      </c>
      <c r="D92" s="41">
        <v>0</v>
      </c>
      <c r="E92" s="41">
        <v>0.1</v>
      </c>
      <c r="F92" s="41">
        <v>0.15</v>
      </c>
      <c r="G92" s="41">
        <v>0.15</v>
      </c>
      <c r="H92" s="41">
        <v>0.2</v>
      </c>
      <c r="I92" s="41">
        <v>1</v>
      </c>
      <c r="J92" s="39"/>
      <c r="M92" s="7"/>
    </row>
    <row r="93" spans="1:13" x14ac:dyDescent="0.25">
      <c r="A93" s="1" t="s">
        <v>7</v>
      </c>
      <c r="B93" s="41">
        <v>0</v>
      </c>
      <c r="C93" s="41">
        <v>0</v>
      </c>
      <c r="D93" s="41">
        <v>0</v>
      </c>
      <c r="E93" s="41">
        <v>0.1</v>
      </c>
      <c r="F93" s="41">
        <v>0.15</v>
      </c>
      <c r="G93" s="41">
        <v>0.15</v>
      </c>
      <c r="H93" s="41">
        <v>0.2</v>
      </c>
      <c r="I93" s="41">
        <v>1</v>
      </c>
      <c r="J93" s="39"/>
      <c r="M93" s="7"/>
    </row>
    <row r="94" spans="1:13" x14ac:dyDescent="0.25">
      <c r="A94" s="1" t="s">
        <v>42</v>
      </c>
      <c r="B94" s="41">
        <v>0</v>
      </c>
      <c r="C94" s="41">
        <v>0</v>
      </c>
      <c r="D94" s="41">
        <v>0</v>
      </c>
      <c r="E94" s="41">
        <v>0.1</v>
      </c>
      <c r="F94" s="41">
        <v>0.15</v>
      </c>
      <c r="G94" s="41">
        <v>0.15</v>
      </c>
      <c r="H94" s="41">
        <v>0.2</v>
      </c>
      <c r="I94" s="41">
        <v>1</v>
      </c>
      <c r="J94" s="39"/>
      <c r="M94" s="7"/>
    </row>
    <row r="95" spans="1:13" x14ac:dyDescent="0.25">
      <c r="A95" s="1" t="s">
        <v>6</v>
      </c>
      <c r="B95" s="41">
        <v>0</v>
      </c>
      <c r="C95" s="41">
        <v>0</v>
      </c>
      <c r="D95" s="41">
        <v>0</v>
      </c>
      <c r="E95" s="41">
        <v>0.1</v>
      </c>
      <c r="F95" s="41">
        <v>0.15</v>
      </c>
      <c r="G95" s="41">
        <v>0.15</v>
      </c>
      <c r="H95" s="41">
        <v>0.2</v>
      </c>
      <c r="I95" s="41">
        <v>1</v>
      </c>
      <c r="J95" s="39"/>
      <c r="M95" s="7"/>
    </row>
    <row r="96" spans="1:13" x14ac:dyDescent="0.25">
      <c r="A96" s="1" t="s">
        <v>50</v>
      </c>
      <c r="B96" s="41">
        <v>0</v>
      </c>
      <c r="C96" s="41">
        <v>0</v>
      </c>
      <c r="D96" s="41">
        <v>0</v>
      </c>
      <c r="E96" s="41">
        <v>0.1</v>
      </c>
      <c r="F96" s="41">
        <v>0.15</v>
      </c>
      <c r="G96" s="41">
        <v>0.15</v>
      </c>
      <c r="H96" s="41">
        <v>0.2</v>
      </c>
      <c r="I96" s="41">
        <v>1</v>
      </c>
      <c r="J96" s="39"/>
      <c r="M96" s="7"/>
    </row>
    <row r="97" spans="1:13" x14ac:dyDescent="0.25">
      <c r="A97" s="1" t="s">
        <v>89</v>
      </c>
      <c r="B97" s="41">
        <v>0</v>
      </c>
      <c r="C97" s="41">
        <v>0</v>
      </c>
      <c r="D97" s="41">
        <v>0</v>
      </c>
      <c r="E97" s="41">
        <v>0.1</v>
      </c>
      <c r="F97" s="41">
        <v>0.15</v>
      </c>
      <c r="G97" s="41">
        <v>0.15</v>
      </c>
      <c r="H97" s="41">
        <v>0.2</v>
      </c>
      <c r="I97" s="41">
        <v>1</v>
      </c>
      <c r="J97" s="39"/>
      <c r="M97" s="7"/>
    </row>
    <row r="98" spans="1:13" x14ac:dyDescent="0.25">
      <c r="A98" s="1" t="s">
        <v>5</v>
      </c>
      <c r="B98" s="41">
        <v>0</v>
      </c>
      <c r="C98" s="41">
        <v>0</v>
      </c>
      <c r="D98" s="41">
        <v>0</v>
      </c>
      <c r="E98" s="41">
        <v>0.1</v>
      </c>
      <c r="F98" s="41">
        <v>0.15</v>
      </c>
      <c r="G98" s="41">
        <v>0.15</v>
      </c>
      <c r="H98" s="41">
        <v>0.2</v>
      </c>
      <c r="I98" s="41">
        <v>1</v>
      </c>
      <c r="J98" s="39"/>
      <c r="M98" s="7"/>
    </row>
    <row r="99" spans="1:13" x14ac:dyDescent="0.25">
      <c r="A99" s="1" t="s">
        <v>84</v>
      </c>
      <c r="B99" s="41">
        <v>0</v>
      </c>
      <c r="C99" s="41">
        <v>0</v>
      </c>
      <c r="D99" s="41">
        <v>0</v>
      </c>
      <c r="E99" s="41">
        <v>0.1</v>
      </c>
      <c r="F99" s="41">
        <v>0.15</v>
      </c>
      <c r="G99" s="41">
        <v>0.15</v>
      </c>
      <c r="H99" s="41">
        <v>0.2</v>
      </c>
      <c r="I99" s="41">
        <v>1</v>
      </c>
      <c r="J99" s="39"/>
      <c r="M99" s="7"/>
    </row>
    <row r="100" spans="1:13" x14ac:dyDescent="0.25">
      <c r="A100" s="1" t="s">
        <v>4</v>
      </c>
      <c r="B100" s="41">
        <v>0</v>
      </c>
      <c r="C100" s="41">
        <v>0</v>
      </c>
      <c r="D100" s="41">
        <v>0</v>
      </c>
      <c r="E100" s="41">
        <v>0.1</v>
      </c>
      <c r="F100" s="41">
        <v>0.15</v>
      </c>
      <c r="G100" s="41">
        <v>0.15</v>
      </c>
      <c r="H100" s="41">
        <v>0.2</v>
      </c>
      <c r="I100" s="41">
        <v>1</v>
      </c>
      <c r="J100" s="39"/>
      <c r="M100" s="7"/>
    </row>
    <row r="101" spans="1:13" x14ac:dyDescent="0.25">
      <c r="A101" s="1" t="s">
        <v>51</v>
      </c>
      <c r="B101" s="41">
        <v>0</v>
      </c>
      <c r="C101" s="41">
        <v>0</v>
      </c>
      <c r="D101" s="41">
        <v>0</v>
      </c>
      <c r="E101" s="41">
        <v>0.1</v>
      </c>
      <c r="F101" s="41">
        <v>0.15</v>
      </c>
      <c r="G101" s="41">
        <v>0.15</v>
      </c>
      <c r="H101" s="41">
        <v>0.2</v>
      </c>
      <c r="I101" s="41">
        <v>1</v>
      </c>
      <c r="J101" s="39"/>
      <c r="M101" s="7"/>
    </row>
    <row r="102" spans="1:13" x14ac:dyDescent="0.25">
      <c r="A102" s="1" t="s">
        <v>85</v>
      </c>
      <c r="B102" s="41">
        <v>0</v>
      </c>
      <c r="C102" s="41">
        <v>0</v>
      </c>
      <c r="D102" s="41">
        <v>0</v>
      </c>
      <c r="E102" s="41">
        <v>0.1</v>
      </c>
      <c r="F102" s="41">
        <v>0.15</v>
      </c>
      <c r="G102" s="41">
        <v>0.15</v>
      </c>
      <c r="H102" s="41">
        <v>0.2</v>
      </c>
      <c r="I102" s="41">
        <v>1</v>
      </c>
      <c r="J102" s="39"/>
      <c r="M102" s="7"/>
    </row>
    <row r="103" spans="1:13" x14ac:dyDescent="0.25">
      <c r="A103" s="1" t="s">
        <v>2</v>
      </c>
      <c r="B103" s="41">
        <v>0</v>
      </c>
      <c r="C103" s="41">
        <v>0</v>
      </c>
      <c r="D103" s="41">
        <v>0.1</v>
      </c>
      <c r="E103" s="41">
        <v>0.5</v>
      </c>
      <c r="F103" s="41">
        <v>1</v>
      </c>
      <c r="G103" s="41">
        <v>1</v>
      </c>
      <c r="H103" s="41">
        <v>1</v>
      </c>
      <c r="I103" s="41">
        <v>1</v>
      </c>
      <c r="J103" s="39"/>
      <c r="M103" s="7"/>
    </row>
    <row r="104" spans="1:13" x14ac:dyDescent="0.25">
      <c r="A104" s="1" t="s">
        <v>86</v>
      </c>
      <c r="B104" s="41">
        <v>0</v>
      </c>
      <c r="C104" s="41">
        <v>0</v>
      </c>
      <c r="D104" s="41">
        <v>0</v>
      </c>
      <c r="E104" s="41">
        <v>0.1</v>
      </c>
      <c r="F104" s="41">
        <v>0.15</v>
      </c>
      <c r="G104" s="41">
        <v>0.15</v>
      </c>
      <c r="H104" s="41">
        <v>0.2</v>
      </c>
      <c r="I104" s="41">
        <v>1</v>
      </c>
      <c r="J104" s="39"/>
      <c r="M104" s="7"/>
    </row>
    <row r="105" spans="1:13" x14ac:dyDescent="0.25">
      <c r="A105" s="1" t="s">
        <v>29</v>
      </c>
      <c r="B105" s="41">
        <v>0</v>
      </c>
      <c r="C105" s="41">
        <v>0</v>
      </c>
      <c r="D105" s="41">
        <v>0</v>
      </c>
      <c r="E105" s="41">
        <v>0.1</v>
      </c>
      <c r="F105" s="41">
        <v>0.15</v>
      </c>
      <c r="G105" s="41">
        <v>0.15</v>
      </c>
      <c r="H105" s="41">
        <v>0.2</v>
      </c>
      <c r="I105" s="41">
        <v>1</v>
      </c>
      <c r="J105" s="39"/>
      <c r="M105" s="7"/>
    </row>
    <row r="106" spans="1:13" x14ac:dyDescent="0.25">
      <c r="A106" s="1" t="s">
        <v>52</v>
      </c>
      <c r="B106" s="41">
        <v>0</v>
      </c>
      <c r="C106" s="41">
        <v>0</v>
      </c>
      <c r="D106" s="41">
        <v>0</v>
      </c>
      <c r="E106" s="41">
        <v>0.1</v>
      </c>
      <c r="F106" s="41">
        <v>0.15</v>
      </c>
      <c r="G106" s="41">
        <v>0.15</v>
      </c>
      <c r="H106" s="41">
        <v>0.2</v>
      </c>
      <c r="I106" s="41">
        <v>1</v>
      </c>
      <c r="J106" s="39"/>
      <c r="M106" s="7"/>
    </row>
    <row r="107" spans="1:13" x14ac:dyDescent="0.25">
      <c r="A107" s="1" t="s">
        <v>1</v>
      </c>
      <c r="B107" s="41">
        <v>0</v>
      </c>
      <c r="C107" s="41">
        <v>0</v>
      </c>
      <c r="D107" s="41">
        <v>0</v>
      </c>
      <c r="E107" s="41">
        <v>0.1</v>
      </c>
      <c r="F107" s="41">
        <v>0.15</v>
      </c>
      <c r="G107" s="41">
        <v>0.15</v>
      </c>
      <c r="H107" s="41">
        <v>0.2</v>
      </c>
      <c r="I107" s="41">
        <v>1</v>
      </c>
      <c r="J107" s="39"/>
      <c r="M107" s="7"/>
    </row>
    <row r="108" spans="1:13" ht="15.75" thickBot="1" x14ac:dyDescent="0.3">
      <c r="A108" s="4"/>
      <c r="B108" s="39"/>
      <c r="C108" s="39"/>
      <c r="D108" s="39"/>
      <c r="E108" s="39"/>
      <c r="F108" s="39"/>
      <c r="G108" s="39"/>
      <c r="H108" s="39"/>
      <c r="I108" s="39"/>
      <c r="J108" s="39"/>
      <c r="M108" s="7"/>
    </row>
    <row r="109" spans="1:13" ht="15.75" thickBot="1" x14ac:dyDescent="0.3">
      <c r="A109" s="170" t="s">
        <v>60</v>
      </c>
      <c r="B109" s="171"/>
      <c r="C109" s="171"/>
      <c r="D109" s="171"/>
      <c r="E109" s="171"/>
      <c r="F109" s="171"/>
      <c r="G109" s="171"/>
      <c r="H109" s="171"/>
      <c r="I109" s="171"/>
      <c r="J109" s="172"/>
      <c r="M109" s="7"/>
    </row>
    <row r="110" spans="1:13" x14ac:dyDescent="0.25">
      <c r="A110" s="4" t="s">
        <v>16</v>
      </c>
      <c r="B110" s="5" t="s">
        <v>15</v>
      </c>
      <c r="C110" s="5" t="s">
        <v>14</v>
      </c>
      <c r="D110" s="5" t="s">
        <v>13</v>
      </c>
      <c r="E110" s="5" t="s">
        <v>12</v>
      </c>
      <c r="F110" s="5" t="s">
        <v>93</v>
      </c>
      <c r="G110" s="5" t="s">
        <v>94</v>
      </c>
      <c r="H110" s="5" t="s">
        <v>38</v>
      </c>
      <c r="I110" s="5" t="s">
        <v>9</v>
      </c>
      <c r="J110" s="5" t="s">
        <v>0</v>
      </c>
      <c r="M110" s="7"/>
    </row>
    <row r="111" spans="1:13" x14ac:dyDescent="0.25">
      <c r="A111" s="1" t="s">
        <v>49</v>
      </c>
      <c r="B111" s="66">
        <f>IF(B70&gt;0,B70*B91,0)</f>
        <v>0</v>
      </c>
      <c r="C111" s="66">
        <f t="shared" ref="C111:I111" si="46">IF(C70&gt;0,C70*C91,0)</f>
        <v>0</v>
      </c>
      <c r="D111" s="66">
        <f t="shared" si="46"/>
        <v>0</v>
      </c>
      <c r="E111" s="66">
        <f t="shared" si="46"/>
        <v>0</v>
      </c>
      <c r="F111" s="66">
        <f t="shared" si="46"/>
        <v>0</v>
      </c>
      <c r="G111" s="66">
        <f t="shared" si="46"/>
        <v>0</v>
      </c>
      <c r="H111" s="66">
        <f t="shared" si="46"/>
        <v>0</v>
      </c>
      <c r="I111" s="66">
        <f t="shared" si="46"/>
        <v>0</v>
      </c>
      <c r="J111" s="39">
        <f>SUM(B111:H111)</f>
        <v>0</v>
      </c>
      <c r="M111" s="7"/>
    </row>
    <row r="112" spans="1:13" x14ac:dyDescent="0.25">
      <c r="A112" s="1" t="s">
        <v>8</v>
      </c>
      <c r="B112" s="39">
        <f>IF(B71&gt;0,B71*B92,0)</f>
        <v>0</v>
      </c>
      <c r="C112" s="39">
        <f t="shared" ref="C112:I112" si="47">IF(C71&gt;0,C71*C92,0)</f>
        <v>0</v>
      </c>
      <c r="D112" s="39">
        <f t="shared" si="47"/>
        <v>0</v>
      </c>
      <c r="E112" s="39">
        <f t="shared" si="47"/>
        <v>0</v>
      </c>
      <c r="F112" s="39">
        <f t="shared" si="47"/>
        <v>0</v>
      </c>
      <c r="G112" s="39">
        <f t="shared" si="47"/>
        <v>0</v>
      </c>
      <c r="H112" s="39">
        <f t="shared" si="47"/>
        <v>0</v>
      </c>
      <c r="I112" s="39">
        <f t="shared" si="47"/>
        <v>0</v>
      </c>
      <c r="J112" s="39">
        <f t="shared" ref="J112:J127" si="48">SUM(B112:H112)</f>
        <v>0</v>
      </c>
      <c r="M112" s="7"/>
    </row>
    <row r="113" spans="1:13" x14ac:dyDescent="0.25">
      <c r="A113" s="1" t="s">
        <v>7</v>
      </c>
      <c r="B113" s="39">
        <f>IF(B72&gt;0,B72*B93,0)</f>
        <v>0</v>
      </c>
      <c r="C113" s="39">
        <f t="shared" ref="C113:I113" si="49">IF(C72&gt;0,C72*C93,0)</f>
        <v>0</v>
      </c>
      <c r="D113" s="39">
        <f t="shared" si="49"/>
        <v>0</v>
      </c>
      <c r="E113" s="39">
        <f t="shared" si="49"/>
        <v>0</v>
      </c>
      <c r="F113" s="39">
        <f t="shared" si="49"/>
        <v>0</v>
      </c>
      <c r="G113" s="39">
        <f t="shared" si="49"/>
        <v>0</v>
      </c>
      <c r="H113" s="39">
        <f t="shared" si="49"/>
        <v>0</v>
      </c>
      <c r="I113" s="39">
        <f t="shared" si="49"/>
        <v>0</v>
      </c>
      <c r="J113" s="39">
        <f t="shared" si="48"/>
        <v>0</v>
      </c>
      <c r="M113" s="7"/>
    </row>
    <row r="114" spans="1:13" x14ac:dyDescent="0.25">
      <c r="A114" s="1" t="s">
        <v>42</v>
      </c>
      <c r="B114" s="39">
        <f t="shared" ref="B114:B127" si="50">IF(B73&gt;0,B73*B94,0)</f>
        <v>0</v>
      </c>
      <c r="C114" s="39">
        <f t="shared" ref="C114:I114" si="51">IF(C73&gt;0,C73*C94,0)</f>
        <v>0</v>
      </c>
      <c r="D114" s="39">
        <f t="shared" si="51"/>
        <v>0</v>
      </c>
      <c r="E114" s="39">
        <f t="shared" si="51"/>
        <v>0</v>
      </c>
      <c r="F114" s="39">
        <f t="shared" si="51"/>
        <v>0</v>
      </c>
      <c r="G114" s="39">
        <f t="shared" si="51"/>
        <v>0</v>
      </c>
      <c r="H114" s="39">
        <f t="shared" si="51"/>
        <v>0</v>
      </c>
      <c r="I114" s="39">
        <f t="shared" si="51"/>
        <v>0</v>
      </c>
      <c r="J114" s="39">
        <f t="shared" si="48"/>
        <v>0</v>
      </c>
      <c r="M114" s="7"/>
    </row>
    <row r="115" spans="1:13" x14ac:dyDescent="0.25">
      <c r="A115" s="1" t="s">
        <v>6</v>
      </c>
      <c r="B115" s="39">
        <f t="shared" si="50"/>
        <v>0</v>
      </c>
      <c r="C115" s="39">
        <f t="shared" ref="C115:I115" si="52">IF(C74&gt;0,C74*C95,0)</f>
        <v>0</v>
      </c>
      <c r="D115" s="39">
        <f t="shared" si="52"/>
        <v>0</v>
      </c>
      <c r="E115" s="39">
        <f t="shared" si="52"/>
        <v>0</v>
      </c>
      <c r="F115" s="39">
        <f t="shared" si="52"/>
        <v>0</v>
      </c>
      <c r="G115" s="39">
        <f t="shared" si="52"/>
        <v>0</v>
      </c>
      <c r="H115" s="39">
        <f t="shared" si="52"/>
        <v>0</v>
      </c>
      <c r="I115" s="39">
        <f t="shared" si="52"/>
        <v>0</v>
      </c>
      <c r="J115" s="39">
        <f t="shared" si="48"/>
        <v>0</v>
      </c>
      <c r="M115" s="7"/>
    </row>
    <row r="116" spans="1:13" x14ac:dyDescent="0.25">
      <c r="A116" s="1" t="s">
        <v>50</v>
      </c>
      <c r="B116" s="39">
        <f t="shared" si="50"/>
        <v>0</v>
      </c>
      <c r="C116" s="39">
        <f t="shared" ref="C116:I116" si="53">IF(C75&gt;0,C75*C96,0)</f>
        <v>0</v>
      </c>
      <c r="D116" s="39">
        <f t="shared" si="53"/>
        <v>0</v>
      </c>
      <c r="E116" s="39">
        <f t="shared" si="53"/>
        <v>0</v>
      </c>
      <c r="F116" s="39">
        <f t="shared" si="53"/>
        <v>0</v>
      </c>
      <c r="G116" s="39">
        <f t="shared" si="53"/>
        <v>0</v>
      </c>
      <c r="H116" s="39">
        <f t="shared" si="53"/>
        <v>0</v>
      </c>
      <c r="I116" s="39">
        <f t="shared" si="53"/>
        <v>0</v>
      </c>
      <c r="J116" s="39">
        <f t="shared" si="48"/>
        <v>0</v>
      </c>
      <c r="M116" s="7"/>
    </row>
    <row r="117" spans="1:13" x14ac:dyDescent="0.25">
      <c r="A117" s="1" t="s">
        <v>89</v>
      </c>
      <c r="B117" s="39">
        <f t="shared" si="50"/>
        <v>0</v>
      </c>
      <c r="C117" s="39">
        <f t="shared" ref="C117:I117" si="54">IF(C76&gt;0,C76*C97,0)</f>
        <v>0</v>
      </c>
      <c r="D117" s="39">
        <f t="shared" si="54"/>
        <v>0</v>
      </c>
      <c r="E117" s="39">
        <f t="shared" si="54"/>
        <v>0</v>
      </c>
      <c r="F117" s="39">
        <f t="shared" si="54"/>
        <v>0</v>
      </c>
      <c r="G117" s="39">
        <f t="shared" si="54"/>
        <v>0</v>
      </c>
      <c r="H117" s="39">
        <f t="shared" si="54"/>
        <v>0</v>
      </c>
      <c r="I117" s="39">
        <f t="shared" si="54"/>
        <v>0</v>
      </c>
      <c r="J117" s="39">
        <f t="shared" si="48"/>
        <v>0</v>
      </c>
      <c r="M117" s="7"/>
    </row>
    <row r="118" spans="1:13" x14ac:dyDescent="0.25">
      <c r="A118" s="1" t="s">
        <v>5</v>
      </c>
      <c r="B118" s="39">
        <f t="shared" si="50"/>
        <v>0</v>
      </c>
      <c r="C118" s="39">
        <f t="shared" ref="C118:I118" si="55">IF(C77&gt;0,C77*C98,0)</f>
        <v>0</v>
      </c>
      <c r="D118" s="39">
        <f t="shared" si="55"/>
        <v>0</v>
      </c>
      <c r="E118" s="39">
        <f t="shared" si="55"/>
        <v>0</v>
      </c>
      <c r="F118" s="39">
        <f t="shared" si="55"/>
        <v>0</v>
      </c>
      <c r="G118" s="39">
        <f t="shared" si="55"/>
        <v>0</v>
      </c>
      <c r="H118" s="39">
        <f t="shared" si="55"/>
        <v>0</v>
      </c>
      <c r="I118" s="39">
        <f t="shared" si="55"/>
        <v>0</v>
      </c>
      <c r="J118" s="39">
        <f t="shared" si="48"/>
        <v>0</v>
      </c>
      <c r="M118" s="7"/>
    </row>
    <row r="119" spans="1:13" x14ac:dyDescent="0.25">
      <c r="A119" s="1" t="s">
        <v>84</v>
      </c>
      <c r="B119" s="39">
        <f t="shared" si="50"/>
        <v>0</v>
      </c>
      <c r="C119" s="39">
        <f t="shared" ref="C119:I119" si="56">IF(C78&gt;0,C78*C99,0)</f>
        <v>0</v>
      </c>
      <c r="D119" s="39">
        <f t="shared" si="56"/>
        <v>0</v>
      </c>
      <c r="E119" s="39">
        <f t="shared" si="56"/>
        <v>0</v>
      </c>
      <c r="F119" s="39">
        <f t="shared" si="56"/>
        <v>0</v>
      </c>
      <c r="G119" s="39">
        <f t="shared" si="56"/>
        <v>0</v>
      </c>
      <c r="H119" s="39">
        <f t="shared" si="56"/>
        <v>0</v>
      </c>
      <c r="I119" s="39">
        <f t="shared" si="56"/>
        <v>0</v>
      </c>
      <c r="J119" s="39">
        <f t="shared" si="48"/>
        <v>0</v>
      </c>
      <c r="M119" s="7"/>
    </row>
    <row r="120" spans="1:13" x14ac:dyDescent="0.25">
      <c r="A120" s="1" t="s">
        <v>4</v>
      </c>
      <c r="B120" s="39">
        <f t="shared" si="50"/>
        <v>0</v>
      </c>
      <c r="C120" s="39">
        <f t="shared" ref="C120:I120" si="57">IF(C79&gt;0,C79*C100,0)</f>
        <v>0</v>
      </c>
      <c r="D120" s="39">
        <f t="shared" si="57"/>
        <v>0</v>
      </c>
      <c r="E120" s="39">
        <f t="shared" si="57"/>
        <v>0</v>
      </c>
      <c r="F120" s="39">
        <f t="shared" si="57"/>
        <v>0</v>
      </c>
      <c r="G120" s="39">
        <f t="shared" si="57"/>
        <v>0</v>
      </c>
      <c r="H120" s="39">
        <f t="shared" si="57"/>
        <v>0</v>
      </c>
      <c r="I120" s="39">
        <f t="shared" si="57"/>
        <v>0</v>
      </c>
      <c r="J120" s="39">
        <f t="shared" si="48"/>
        <v>0</v>
      </c>
      <c r="M120" s="7"/>
    </row>
    <row r="121" spans="1:13" x14ac:dyDescent="0.25">
      <c r="A121" s="1" t="s">
        <v>51</v>
      </c>
      <c r="B121" s="39">
        <f t="shared" si="50"/>
        <v>0</v>
      </c>
      <c r="C121" s="39">
        <f t="shared" ref="C121:I121" si="58">IF(C80&gt;0,C80*C101,0)</f>
        <v>0</v>
      </c>
      <c r="D121" s="39">
        <f t="shared" si="58"/>
        <v>0</v>
      </c>
      <c r="E121" s="39">
        <f t="shared" si="58"/>
        <v>0</v>
      </c>
      <c r="F121" s="39">
        <f t="shared" si="58"/>
        <v>0</v>
      </c>
      <c r="G121" s="39">
        <f t="shared" si="58"/>
        <v>0</v>
      </c>
      <c r="H121" s="39">
        <f t="shared" si="58"/>
        <v>0</v>
      </c>
      <c r="I121" s="39">
        <f t="shared" si="58"/>
        <v>0</v>
      </c>
      <c r="J121" s="39">
        <f t="shared" si="48"/>
        <v>0</v>
      </c>
      <c r="M121" s="7"/>
    </row>
    <row r="122" spans="1:13" x14ac:dyDescent="0.25">
      <c r="A122" s="1" t="s">
        <v>85</v>
      </c>
      <c r="B122" s="39">
        <f t="shared" si="50"/>
        <v>0</v>
      </c>
      <c r="C122" s="39">
        <f t="shared" ref="C122:I122" si="59">IF(C81&gt;0,C81*C102,0)</f>
        <v>0</v>
      </c>
      <c r="D122" s="39">
        <f t="shared" si="59"/>
        <v>0</v>
      </c>
      <c r="E122" s="39">
        <f t="shared" si="59"/>
        <v>0</v>
      </c>
      <c r="F122" s="39">
        <f t="shared" si="59"/>
        <v>0</v>
      </c>
      <c r="G122" s="39">
        <f t="shared" si="59"/>
        <v>0</v>
      </c>
      <c r="H122" s="39">
        <f t="shared" si="59"/>
        <v>0</v>
      </c>
      <c r="I122" s="39">
        <f t="shared" si="59"/>
        <v>0</v>
      </c>
      <c r="J122" s="39">
        <f t="shared" si="48"/>
        <v>0</v>
      </c>
      <c r="M122" s="7"/>
    </row>
    <row r="123" spans="1:13" x14ac:dyDescent="0.25">
      <c r="A123" s="1" t="s">
        <v>2</v>
      </c>
      <c r="B123" s="39">
        <f t="shared" si="50"/>
        <v>0</v>
      </c>
      <c r="C123" s="39">
        <f t="shared" ref="C123:I123" si="60">IF(C82&gt;0,C82*C103,0)</f>
        <v>0</v>
      </c>
      <c r="D123" s="39">
        <f t="shared" si="60"/>
        <v>0</v>
      </c>
      <c r="E123" s="39">
        <f t="shared" si="60"/>
        <v>0</v>
      </c>
      <c r="F123" s="39">
        <f t="shared" si="60"/>
        <v>0</v>
      </c>
      <c r="G123" s="39">
        <f t="shared" si="60"/>
        <v>0</v>
      </c>
      <c r="H123" s="39">
        <f t="shared" si="60"/>
        <v>0</v>
      </c>
      <c r="I123" s="39">
        <f t="shared" si="60"/>
        <v>0</v>
      </c>
      <c r="J123" s="39">
        <f t="shared" si="48"/>
        <v>0</v>
      </c>
      <c r="M123" s="7"/>
    </row>
    <row r="124" spans="1:13" x14ac:dyDescent="0.25">
      <c r="A124" s="1" t="s">
        <v>86</v>
      </c>
      <c r="B124" s="39">
        <f t="shared" si="50"/>
        <v>0</v>
      </c>
      <c r="C124" s="39">
        <f t="shared" ref="C124:I124" si="61">IF(C83&gt;0,C83*C104,0)</f>
        <v>0</v>
      </c>
      <c r="D124" s="39">
        <f t="shared" si="61"/>
        <v>0</v>
      </c>
      <c r="E124" s="39">
        <f t="shared" si="61"/>
        <v>0</v>
      </c>
      <c r="F124" s="39">
        <f t="shared" si="61"/>
        <v>0</v>
      </c>
      <c r="G124" s="39">
        <f t="shared" si="61"/>
        <v>0</v>
      </c>
      <c r="H124" s="39">
        <f t="shared" si="61"/>
        <v>0</v>
      </c>
      <c r="I124" s="39">
        <f t="shared" si="61"/>
        <v>0</v>
      </c>
      <c r="J124" s="39">
        <f t="shared" si="48"/>
        <v>0</v>
      </c>
      <c r="M124" s="183" t="s">
        <v>62</v>
      </c>
    </row>
    <row r="125" spans="1:13" x14ac:dyDescent="0.25">
      <c r="A125" s="1" t="s">
        <v>29</v>
      </c>
      <c r="B125" s="39">
        <f t="shared" si="50"/>
        <v>0</v>
      </c>
      <c r="C125" s="39">
        <f t="shared" ref="C125:I125" si="62">IF(C84&gt;0,C84*C105,0)</f>
        <v>0</v>
      </c>
      <c r="D125" s="39">
        <f t="shared" si="62"/>
        <v>0</v>
      </c>
      <c r="E125" s="39">
        <f t="shared" si="62"/>
        <v>0</v>
      </c>
      <c r="F125" s="39">
        <f t="shared" si="62"/>
        <v>0</v>
      </c>
      <c r="G125" s="39">
        <f t="shared" si="62"/>
        <v>0</v>
      </c>
      <c r="H125" s="39">
        <f t="shared" si="62"/>
        <v>0</v>
      </c>
      <c r="I125" s="39">
        <f t="shared" si="62"/>
        <v>0</v>
      </c>
      <c r="J125" s="39">
        <f t="shared" si="48"/>
        <v>0</v>
      </c>
      <c r="M125" s="183"/>
    </row>
    <row r="126" spans="1:13" x14ac:dyDescent="0.25">
      <c r="A126" s="1" t="s">
        <v>52</v>
      </c>
      <c r="B126" s="39">
        <f t="shared" si="50"/>
        <v>0</v>
      </c>
      <c r="C126" s="39">
        <f t="shared" ref="C126:I126" si="63">IF(C85&gt;0,C85*C106,0)</f>
        <v>0</v>
      </c>
      <c r="D126" s="39">
        <f t="shared" si="63"/>
        <v>0</v>
      </c>
      <c r="E126" s="39">
        <f t="shared" si="63"/>
        <v>0</v>
      </c>
      <c r="F126" s="39">
        <f t="shared" si="63"/>
        <v>0</v>
      </c>
      <c r="G126" s="39">
        <f t="shared" si="63"/>
        <v>0</v>
      </c>
      <c r="H126" s="39">
        <f t="shared" si="63"/>
        <v>0</v>
      </c>
      <c r="I126" s="39">
        <f t="shared" si="63"/>
        <v>0</v>
      </c>
      <c r="J126" s="39">
        <f t="shared" si="48"/>
        <v>0</v>
      </c>
      <c r="L126" s="35" t="s">
        <v>151</v>
      </c>
      <c r="M126" s="183" t="s">
        <v>63</v>
      </c>
    </row>
    <row r="127" spans="1:13" x14ac:dyDescent="0.25">
      <c r="A127" s="1" t="s">
        <v>1</v>
      </c>
      <c r="B127" s="40">
        <f t="shared" si="50"/>
        <v>0</v>
      </c>
      <c r="C127" s="40">
        <f t="shared" ref="C127:I127" si="64">IF(C86&gt;0,C86*C107,0)</f>
        <v>0</v>
      </c>
      <c r="D127" s="40">
        <f t="shared" si="64"/>
        <v>0</v>
      </c>
      <c r="E127" s="40">
        <f t="shared" si="64"/>
        <v>0</v>
      </c>
      <c r="F127" s="40">
        <f t="shared" si="64"/>
        <v>0</v>
      </c>
      <c r="G127" s="40">
        <f t="shared" si="64"/>
        <v>0</v>
      </c>
      <c r="H127" s="40">
        <f t="shared" si="64"/>
        <v>0</v>
      </c>
      <c r="I127" s="40">
        <f t="shared" si="64"/>
        <v>0</v>
      </c>
      <c r="J127" s="40">
        <f t="shared" si="48"/>
        <v>0</v>
      </c>
      <c r="L127" s="42" t="s">
        <v>61</v>
      </c>
      <c r="M127" s="184"/>
    </row>
    <row r="128" spans="1:13" x14ac:dyDescent="0.25">
      <c r="A128" s="4"/>
      <c r="B128" s="39">
        <f>SUM(B111:B127)</f>
        <v>0</v>
      </c>
      <c r="C128" s="39">
        <f t="shared" ref="C128:J128" si="65">SUM(C111:C127)</f>
        <v>0</v>
      </c>
      <c r="D128" s="39">
        <f t="shared" si="65"/>
        <v>0</v>
      </c>
      <c r="E128" s="39">
        <f t="shared" si="65"/>
        <v>0</v>
      </c>
      <c r="F128" s="39">
        <f t="shared" si="65"/>
        <v>0</v>
      </c>
      <c r="G128" s="39">
        <f t="shared" si="65"/>
        <v>0</v>
      </c>
      <c r="H128" s="39">
        <f t="shared" si="65"/>
        <v>0</v>
      </c>
      <c r="I128" s="39">
        <f t="shared" si="65"/>
        <v>0</v>
      </c>
      <c r="J128" s="39">
        <f t="shared" si="65"/>
        <v>0</v>
      </c>
      <c r="L128" s="108">
        <v>60000</v>
      </c>
      <c r="M128" s="7">
        <f>J128-L128</f>
        <v>-60000</v>
      </c>
    </row>
    <row r="129" spans="1:13" ht="15.75" thickBot="1" x14ac:dyDescent="0.3">
      <c r="A129" s="4"/>
      <c r="B129" s="39"/>
      <c r="C129" s="39"/>
      <c r="D129" s="39"/>
      <c r="E129" s="39"/>
      <c r="F129" s="39"/>
      <c r="G129" s="39"/>
      <c r="H129" s="39"/>
      <c r="I129" s="39"/>
      <c r="J129" s="39"/>
      <c r="M129" s="7"/>
    </row>
    <row r="130" spans="1:13" ht="15.75" thickBot="1" x14ac:dyDescent="0.3">
      <c r="A130" s="170" t="s">
        <v>30</v>
      </c>
      <c r="B130" s="171"/>
      <c r="C130" s="171"/>
      <c r="D130" s="171"/>
      <c r="E130" s="171"/>
      <c r="F130" s="171"/>
      <c r="G130" s="171"/>
      <c r="H130" s="171"/>
      <c r="I130" s="171"/>
      <c r="J130" s="172"/>
      <c r="M130" s="7"/>
    </row>
    <row r="131" spans="1:13" x14ac:dyDescent="0.25">
      <c r="A131" s="4" t="s">
        <v>16</v>
      </c>
      <c r="B131" s="5" t="s">
        <v>15</v>
      </c>
      <c r="C131" s="5" t="s">
        <v>14</v>
      </c>
      <c r="D131" s="5" t="s">
        <v>13</v>
      </c>
      <c r="E131" s="5" t="s">
        <v>12</v>
      </c>
      <c r="F131" s="5" t="s">
        <v>93</v>
      </c>
      <c r="G131" s="5" t="s">
        <v>94</v>
      </c>
      <c r="H131" s="5" t="s">
        <v>38</v>
      </c>
      <c r="I131" s="5" t="s">
        <v>9</v>
      </c>
      <c r="J131" s="5" t="s">
        <v>0</v>
      </c>
      <c r="M131" s="7"/>
    </row>
    <row r="132" spans="1:13" x14ac:dyDescent="0.25">
      <c r="A132" s="1" t="s">
        <v>49</v>
      </c>
      <c r="B132" s="39">
        <f>B70-B111</f>
        <v>0</v>
      </c>
      <c r="C132" s="39">
        <f t="shared" ref="C132:I132" si="66">C70-C111</f>
        <v>0</v>
      </c>
      <c r="D132" s="39">
        <f t="shared" si="66"/>
        <v>0</v>
      </c>
      <c r="E132" s="39">
        <f t="shared" si="66"/>
        <v>0</v>
      </c>
      <c r="F132" s="39">
        <f t="shared" si="66"/>
        <v>0</v>
      </c>
      <c r="G132" s="39">
        <f t="shared" si="66"/>
        <v>0</v>
      </c>
      <c r="H132" s="39">
        <f t="shared" si="66"/>
        <v>0</v>
      </c>
      <c r="I132" s="39">
        <f t="shared" si="66"/>
        <v>0</v>
      </c>
      <c r="J132" s="39">
        <f>SUM(B132:H132)</f>
        <v>0</v>
      </c>
      <c r="M132" s="7"/>
    </row>
    <row r="133" spans="1:13" x14ac:dyDescent="0.25">
      <c r="A133" s="1" t="s">
        <v>8</v>
      </c>
      <c r="B133" s="39">
        <f>B71-B112</f>
        <v>0</v>
      </c>
      <c r="C133" s="39">
        <f t="shared" ref="C133:I133" si="67">C71-C112</f>
        <v>0</v>
      </c>
      <c r="D133" s="39">
        <f t="shared" si="67"/>
        <v>0</v>
      </c>
      <c r="E133" s="39">
        <f t="shared" si="67"/>
        <v>0</v>
      </c>
      <c r="F133" s="39">
        <f t="shared" si="67"/>
        <v>0</v>
      </c>
      <c r="G133" s="39">
        <f t="shared" si="67"/>
        <v>0</v>
      </c>
      <c r="H133" s="39">
        <f t="shared" si="67"/>
        <v>0</v>
      </c>
      <c r="I133" s="39">
        <f t="shared" si="67"/>
        <v>0</v>
      </c>
      <c r="J133" s="39">
        <f t="shared" ref="J133:J148" si="68">SUM(B133:H133)</f>
        <v>0</v>
      </c>
      <c r="M133" s="7"/>
    </row>
    <row r="134" spans="1:13" x14ac:dyDescent="0.25">
      <c r="A134" s="1" t="s">
        <v>7</v>
      </c>
      <c r="B134" s="39">
        <f>B72-B113</f>
        <v>0</v>
      </c>
      <c r="C134" s="39">
        <f t="shared" ref="C134:I134" si="69">C72-C113</f>
        <v>0</v>
      </c>
      <c r="D134" s="39">
        <f t="shared" si="69"/>
        <v>0</v>
      </c>
      <c r="E134" s="39">
        <f t="shared" si="69"/>
        <v>0</v>
      </c>
      <c r="F134" s="39">
        <f t="shared" si="69"/>
        <v>0</v>
      </c>
      <c r="G134" s="39">
        <f t="shared" si="69"/>
        <v>0</v>
      </c>
      <c r="H134" s="39">
        <f t="shared" si="69"/>
        <v>0</v>
      </c>
      <c r="I134" s="39">
        <f t="shared" si="69"/>
        <v>0</v>
      </c>
      <c r="J134" s="39">
        <f t="shared" si="68"/>
        <v>0</v>
      </c>
      <c r="M134" s="7"/>
    </row>
    <row r="135" spans="1:13" x14ac:dyDescent="0.25">
      <c r="A135" s="1" t="s">
        <v>42</v>
      </c>
      <c r="B135" s="39">
        <f t="shared" ref="B135:B148" si="70">B73-B114</f>
        <v>0</v>
      </c>
      <c r="C135" s="39">
        <f t="shared" ref="C135:I135" si="71">C73-C114</f>
        <v>0</v>
      </c>
      <c r="D135" s="39">
        <f t="shared" si="71"/>
        <v>0</v>
      </c>
      <c r="E135" s="39">
        <f t="shared" si="71"/>
        <v>0</v>
      </c>
      <c r="F135" s="39">
        <f t="shared" si="71"/>
        <v>0</v>
      </c>
      <c r="G135" s="39">
        <f t="shared" si="71"/>
        <v>0</v>
      </c>
      <c r="H135" s="39">
        <f t="shared" si="71"/>
        <v>0</v>
      </c>
      <c r="I135" s="39">
        <f t="shared" si="71"/>
        <v>0</v>
      </c>
      <c r="J135" s="39">
        <f t="shared" si="68"/>
        <v>0</v>
      </c>
      <c r="M135" s="7"/>
    </row>
    <row r="136" spans="1:13" x14ac:dyDescent="0.25">
      <c r="A136" s="1" t="s">
        <v>6</v>
      </c>
      <c r="B136" s="39">
        <f t="shared" si="70"/>
        <v>0</v>
      </c>
      <c r="C136" s="39">
        <f t="shared" ref="C136:I136" si="72">C74-C115</f>
        <v>0</v>
      </c>
      <c r="D136" s="39">
        <f t="shared" si="72"/>
        <v>0</v>
      </c>
      <c r="E136" s="39">
        <f t="shared" si="72"/>
        <v>0</v>
      </c>
      <c r="F136" s="39">
        <f t="shared" si="72"/>
        <v>0</v>
      </c>
      <c r="G136" s="39">
        <f t="shared" si="72"/>
        <v>0</v>
      </c>
      <c r="H136" s="39">
        <f t="shared" si="72"/>
        <v>0</v>
      </c>
      <c r="I136" s="39">
        <f t="shared" si="72"/>
        <v>0</v>
      </c>
      <c r="J136" s="39">
        <f t="shared" si="68"/>
        <v>0</v>
      </c>
      <c r="M136" s="7"/>
    </row>
    <row r="137" spans="1:13" x14ac:dyDescent="0.25">
      <c r="A137" s="1" t="s">
        <v>50</v>
      </c>
      <c r="B137" s="39">
        <f t="shared" si="70"/>
        <v>0</v>
      </c>
      <c r="C137" s="39">
        <f t="shared" ref="C137:I137" si="73">C75-C116</f>
        <v>0</v>
      </c>
      <c r="D137" s="39">
        <f t="shared" si="73"/>
        <v>0</v>
      </c>
      <c r="E137" s="39">
        <f t="shared" si="73"/>
        <v>0</v>
      </c>
      <c r="F137" s="39">
        <f t="shared" si="73"/>
        <v>0</v>
      </c>
      <c r="G137" s="39">
        <f t="shared" si="73"/>
        <v>0</v>
      </c>
      <c r="H137" s="39">
        <f t="shared" si="73"/>
        <v>0</v>
      </c>
      <c r="I137" s="39">
        <f t="shared" si="73"/>
        <v>0</v>
      </c>
      <c r="J137" s="39">
        <f t="shared" si="68"/>
        <v>0</v>
      </c>
      <c r="M137" s="7"/>
    </row>
    <row r="138" spans="1:13" x14ac:dyDescent="0.25">
      <c r="A138" s="1" t="s">
        <v>89</v>
      </c>
      <c r="B138" s="39">
        <f t="shared" si="70"/>
        <v>0</v>
      </c>
      <c r="C138" s="39">
        <f t="shared" ref="C138:I138" si="74">C76-C117</f>
        <v>0</v>
      </c>
      <c r="D138" s="39">
        <f t="shared" si="74"/>
        <v>0</v>
      </c>
      <c r="E138" s="39">
        <f t="shared" si="74"/>
        <v>0</v>
      </c>
      <c r="F138" s="39">
        <f t="shared" si="74"/>
        <v>0</v>
      </c>
      <c r="G138" s="39">
        <f t="shared" si="74"/>
        <v>0</v>
      </c>
      <c r="H138" s="39">
        <f t="shared" si="74"/>
        <v>0</v>
      </c>
      <c r="I138" s="39">
        <f t="shared" si="74"/>
        <v>0</v>
      </c>
      <c r="J138" s="39">
        <f t="shared" si="68"/>
        <v>0</v>
      </c>
      <c r="M138" s="7"/>
    </row>
    <row r="139" spans="1:13" x14ac:dyDescent="0.25">
      <c r="A139" s="1" t="s">
        <v>5</v>
      </c>
      <c r="B139" s="39">
        <f t="shared" si="70"/>
        <v>0</v>
      </c>
      <c r="C139" s="39">
        <f t="shared" ref="C139:I139" si="75">C77-C118</f>
        <v>0</v>
      </c>
      <c r="D139" s="39">
        <f t="shared" si="75"/>
        <v>0</v>
      </c>
      <c r="E139" s="39">
        <f t="shared" si="75"/>
        <v>0</v>
      </c>
      <c r="F139" s="39">
        <f t="shared" si="75"/>
        <v>0</v>
      </c>
      <c r="G139" s="39">
        <f t="shared" si="75"/>
        <v>0</v>
      </c>
      <c r="H139" s="39">
        <f t="shared" si="75"/>
        <v>0</v>
      </c>
      <c r="I139" s="39">
        <f t="shared" si="75"/>
        <v>0</v>
      </c>
      <c r="J139" s="39">
        <f t="shared" si="68"/>
        <v>0</v>
      </c>
      <c r="M139" s="7"/>
    </row>
    <row r="140" spans="1:13" x14ac:dyDescent="0.25">
      <c r="A140" s="1" t="s">
        <v>84</v>
      </c>
      <c r="B140" s="39">
        <f t="shared" si="70"/>
        <v>0</v>
      </c>
      <c r="C140" s="39">
        <f t="shared" ref="C140:I140" si="76">C78-C119</f>
        <v>0</v>
      </c>
      <c r="D140" s="39">
        <f t="shared" si="76"/>
        <v>0</v>
      </c>
      <c r="E140" s="39">
        <f t="shared" si="76"/>
        <v>0</v>
      </c>
      <c r="F140" s="39">
        <f t="shared" si="76"/>
        <v>0</v>
      </c>
      <c r="G140" s="39">
        <f t="shared" si="76"/>
        <v>0</v>
      </c>
      <c r="H140" s="39">
        <f t="shared" si="76"/>
        <v>0</v>
      </c>
      <c r="I140" s="39">
        <f t="shared" si="76"/>
        <v>0</v>
      </c>
      <c r="J140" s="39">
        <f t="shared" si="68"/>
        <v>0</v>
      </c>
      <c r="M140" s="7"/>
    </row>
    <row r="141" spans="1:13" x14ac:dyDescent="0.25">
      <c r="A141" s="1" t="s">
        <v>4</v>
      </c>
      <c r="B141" s="39">
        <f t="shared" si="70"/>
        <v>0</v>
      </c>
      <c r="C141" s="39">
        <f t="shared" ref="C141:I141" si="77">C79-C120</f>
        <v>0</v>
      </c>
      <c r="D141" s="39">
        <f t="shared" si="77"/>
        <v>0</v>
      </c>
      <c r="E141" s="39">
        <f t="shared" si="77"/>
        <v>0</v>
      </c>
      <c r="F141" s="39">
        <f t="shared" si="77"/>
        <v>0</v>
      </c>
      <c r="G141" s="39">
        <f t="shared" si="77"/>
        <v>0</v>
      </c>
      <c r="H141" s="39">
        <f t="shared" si="77"/>
        <v>0</v>
      </c>
      <c r="I141" s="39">
        <f t="shared" si="77"/>
        <v>0</v>
      </c>
      <c r="J141" s="39">
        <f t="shared" si="68"/>
        <v>0</v>
      </c>
      <c r="M141" s="7"/>
    </row>
    <row r="142" spans="1:13" x14ac:dyDescent="0.25">
      <c r="A142" s="1" t="s">
        <v>51</v>
      </c>
      <c r="B142" s="39">
        <f t="shared" si="70"/>
        <v>0</v>
      </c>
      <c r="C142" s="39">
        <f t="shared" ref="C142:I142" si="78">C80-C121</f>
        <v>0</v>
      </c>
      <c r="D142" s="39">
        <f t="shared" si="78"/>
        <v>0</v>
      </c>
      <c r="E142" s="39">
        <f t="shared" si="78"/>
        <v>0</v>
      </c>
      <c r="F142" s="39">
        <f t="shared" si="78"/>
        <v>0</v>
      </c>
      <c r="G142" s="39">
        <f t="shared" si="78"/>
        <v>0</v>
      </c>
      <c r="H142" s="39">
        <f t="shared" si="78"/>
        <v>0</v>
      </c>
      <c r="I142" s="39">
        <f t="shared" si="78"/>
        <v>0</v>
      </c>
      <c r="J142" s="39">
        <f t="shared" si="68"/>
        <v>0</v>
      </c>
      <c r="M142" s="7"/>
    </row>
    <row r="143" spans="1:13" x14ac:dyDescent="0.25">
      <c r="A143" s="1" t="s">
        <v>85</v>
      </c>
      <c r="B143" s="39">
        <f t="shared" si="70"/>
        <v>0</v>
      </c>
      <c r="C143" s="39">
        <f t="shared" ref="C143:I143" si="79">C81-C122</f>
        <v>0</v>
      </c>
      <c r="D143" s="39">
        <f t="shared" si="79"/>
        <v>0</v>
      </c>
      <c r="E143" s="39">
        <f t="shared" si="79"/>
        <v>0</v>
      </c>
      <c r="F143" s="39">
        <f t="shared" si="79"/>
        <v>0</v>
      </c>
      <c r="G143" s="39">
        <f t="shared" si="79"/>
        <v>0</v>
      </c>
      <c r="H143" s="39">
        <f t="shared" si="79"/>
        <v>0</v>
      </c>
      <c r="I143" s="39">
        <f t="shared" si="79"/>
        <v>0</v>
      </c>
      <c r="J143" s="39">
        <f t="shared" si="68"/>
        <v>0</v>
      </c>
      <c r="M143" s="7"/>
    </row>
    <row r="144" spans="1:13" x14ac:dyDescent="0.25">
      <c r="A144" s="1" t="s">
        <v>2</v>
      </c>
      <c r="B144" s="39">
        <f t="shared" si="70"/>
        <v>0</v>
      </c>
      <c r="C144" s="39">
        <f t="shared" ref="C144:I144" si="80">C82-C123</f>
        <v>0</v>
      </c>
      <c r="D144" s="39">
        <f t="shared" si="80"/>
        <v>0</v>
      </c>
      <c r="E144" s="39">
        <f t="shared" si="80"/>
        <v>0</v>
      </c>
      <c r="F144" s="39">
        <f t="shared" si="80"/>
        <v>0</v>
      </c>
      <c r="G144" s="39">
        <f t="shared" si="80"/>
        <v>0</v>
      </c>
      <c r="H144" s="39">
        <f t="shared" si="80"/>
        <v>0</v>
      </c>
      <c r="I144" s="39">
        <f t="shared" si="80"/>
        <v>0</v>
      </c>
      <c r="J144" s="39">
        <f t="shared" si="68"/>
        <v>0</v>
      </c>
      <c r="M144" s="7"/>
    </row>
    <row r="145" spans="1:13" x14ac:dyDescent="0.25">
      <c r="A145" s="1" t="s">
        <v>86</v>
      </c>
      <c r="B145" s="39">
        <f t="shared" si="70"/>
        <v>0</v>
      </c>
      <c r="C145" s="39">
        <f t="shared" ref="C145:I145" si="81">C83-C124</f>
        <v>0</v>
      </c>
      <c r="D145" s="39">
        <f t="shared" si="81"/>
        <v>0</v>
      </c>
      <c r="E145" s="39">
        <f t="shared" si="81"/>
        <v>0</v>
      </c>
      <c r="F145" s="39">
        <f t="shared" si="81"/>
        <v>0</v>
      </c>
      <c r="G145" s="39">
        <f t="shared" si="81"/>
        <v>0</v>
      </c>
      <c r="H145" s="39">
        <f t="shared" si="81"/>
        <v>0</v>
      </c>
      <c r="I145" s="39">
        <f t="shared" si="81"/>
        <v>0</v>
      </c>
      <c r="J145" s="39">
        <f t="shared" si="68"/>
        <v>0</v>
      </c>
      <c r="M145" s="7"/>
    </row>
    <row r="146" spans="1:13" x14ac:dyDescent="0.25">
      <c r="A146" s="1" t="s">
        <v>29</v>
      </c>
      <c r="B146" s="39">
        <f t="shared" si="70"/>
        <v>0</v>
      </c>
      <c r="C146" s="39">
        <f t="shared" ref="C146:I146" si="82">C84-C125</f>
        <v>0</v>
      </c>
      <c r="D146" s="39">
        <f t="shared" si="82"/>
        <v>0</v>
      </c>
      <c r="E146" s="39">
        <f t="shared" si="82"/>
        <v>0</v>
      </c>
      <c r="F146" s="39">
        <f t="shared" si="82"/>
        <v>0</v>
      </c>
      <c r="G146" s="39">
        <f t="shared" si="82"/>
        <v>0</v>
      </c>
      <c r="H146" s="39">
        <f t="shared" si="82"/>
        <v>0</v>
      </c>
      <c r="I146" s="39">
        <f t="shared" si="82"/>
        <v>0</v>
      </c>
      <c r="J146" s="39">
        <f t="shared" si="68"/>
        <v>0</v>
      </c>
      <c r="M146" s="7"/>
    </row>
    <row r="147" spans="1:13" x14ac:dyDescent="0.25">
      <c r="A147" s="1" t="s">
        <v>52</v>
      </c>
      <c r="B147" s="39">
        <f t="shared" si="70"/>
        <v>0</v>
      </c>
      <c r="C147" s="39">
        <f t="shared" ref="C147:I147" si="83">C85-C126</f>
        <v>0</v>
      </c>
      <c r="D147" s="39">
        <f t="shared" si="83"/>
        <v>0</v>
      </c>
      <c r="E147" s="39">
        <f t="shared" si="83"/>
        <v>0</v>
      </c>
      <c r="F147" s="39">
        <f t="shared" si="83"/>
        <v>0</v>
      </c>
      <c r="G147" s="39">
        <f t="shared" si="83"/>
        <v>0</v>
      </c>
      <c r="H147" s="39">
        <f t="shared" si="83"/>
        <v>0</v>
      </c>
      <c r="I147" s="39">
        <f t="shared" si="83"/>
        <v>0</v>
      </c>
      <c r="J147" s="39">
        <f t="shared" si="68"/>
        <v>0</v>
      </c>
      <c r="M147" s="7"/>
    </row>
    <row r="148" spans="1:13" x14ac:dyDescent="0.25">
      <c r="A148" s="1" t="s">
        <v>1</v>
      </c>
      <c r="B148" s="40">
        <f t="shared" si="70"/>
        <v>0</v>
      </c>
      <c r="C148" s="40">
        <f t="shared" ref="C148:I148" si="84">C86-C127</f>
        <v>0</v>
      </c>
      <c r="D148" s="40">
        <f t="shared" si="84"/>
        <v>0</v>
      </c>
      <c r="E148" s="40">
        <f t="shared" si="84"/>
        <v>0</v>
      </c>
      <c r="F148" s="40">
        <f t="shared" si="84"/>
        <v>0</v>
      </c>
      <c r="G148" s="40">
        <f t="shared" si="84"/>
        <v>0</v>
      </c>
      <c r="H148" s="40">
        <f t="shared" si="84"/>
        <v>0</v>
      </c>
      <c r="I148" s="40">
        <f t="shared" si="84"/>
        <v>0</v>
      </c>
      <c r="J148" s="40">
        <f t="shared" si="68"/>
        <v>0</v>
      </c>
      <c r="M148" s="7"/>
    </row>
    <row r="149" spans="1:13" x14ac:dyDescent="0.25">
      <c r="A149" s="4"/>
      <c r="B149" s="39">
        <f>SUM(B132:B148)</f>
        <v>0</v>
      </c>
      <c r="C149" s="39">
        <f t="shared" ref="C149:J149" si="85">SUM(C132:C148)</f>
        <v>0</v>
      </c>
      <c r="D149" s="39">
        <f t="shared" si="85"/>
        <v>0</v>
      </c>
      <c r="E149" s="39">
        <f t="shared" si="85"/>
        <v>0</v>
      </c>
      <c r="F149" s="39">
        <f t="shared" si="85"/>
        <v>0</v>
      </c>
      <c r="G149" s="39">
        <f t="shared" si="85"/>
        <v>0</v>
      </c>
      <c r="H149" s="39">
        <f t="shared" si="85"/>
        <v>0</v>
      </c>
      <c r="I149" s="39">
        <f t="shared" si="85"/>
        <v>0</v>
      </c>
      <c r="J149" s="39">
        <f t="shared" si="85"/>
        <v>0</v>
      </c>
      <c r="M149" s="7"/>
    </row>
    <row r="150" spans="1:13" x14ac:dyDescent="0.25">
      <c r="A150" s="4"/>
      <c r="B150" s="39"/>
      <c r="C150" s="39"/>
      <c r="D150" s="39"/>
      <c r="E150" s="39"/>
      <c r="F150" s="39"/>
      <c r="G150" s="39"/>
      <c r="H150" s="39"/>
      <c r="I150" s="39"/>
      <c r="J150" s="39"/>
      <c r="M150" s="7"/>
    </row>
    <row r="151" spans="1:13" x14ac:dyDescent="0.25">
      <c r="A151" s="4"/>
      <c r="B151" s="39"/>
      <c r="C151" s="39"/>
      <c r="D151" s="39"/>
      <c r="E151" s="39"/>
      <c r="F151" s="39"/>
      <c r="G151" s="39"/>
      <c r="H151" s="39"/>
      <c r="I151" s="39"/>
      <c r="J151" s="39"/>
      <c r="M151" s="7"/>
    </row>
    <row r="152" spans="1:13" x14ac:dyDescent="0.25">
      <c r="A152" s="4"/>
      <c r="B152" s="39"/>
      <c r="C152" s="39"/>
      <c r="D152" s="39"/>
      <c r="E152" s="39"/>
      <c r="F152" s="39"/>
      <c r="G152" s="39"/>
      <c r="H152" s="39"/>
      <c r="I152" s="39"/>
      <c r="J152" s="39"/>
      <c r="M152" s="7"/>
    </row>
    <row r="153" spans="1:13" x14ac:dyDescent="0.25">
      <c r="A153" s="4"/>
      <c r="B153" s="39"/>
      <c r="C153" s="39"/>
      <c r="D153" s="39"/>
      <c r="E153" s="39"/>
      <c r="F153" s="39"/>
      <c r="G153" s="39"/>
      <c r="H153" s="39"/>
      <c r="I153" s="39"/>
      <c r="J153" s="39"/>
      <c r="M153" s="7"/>
    </row>
    <row r="154" spans="1:13" x14ac:dyDescent="0.25">
      <c r="A154" s="4"/>
      <c r="B154" s="39"/>
      <c r="C154" s="39"/>
      <c r="D154" s="39"/>
      <c r="E154" s="39"/>
      <c r="F154" s="39"/>
      <c r="G154" s="39"/>
      <c r="H154" s="39"/>
      <c r="I154" s="39"/>
      <c r="J154" s="39"/>
      <c r="M154" s="7"/>
    </row>
    <row r="155" spans="1:13" x14ac:dyDescent="0.25">
      <c r="A155" s="4"/>
      <c r="B155" s="39"/>
      <c r="C155" s="39"/>
      <c r="D155" s="39"/>
      <c r="E155" s="39"/>
      <c r="F155" s="39"/>
      <c r="G155" s="39"/>
      <c r="H155" s="39"/>
      <c r="I155" s="39"/>
      <c r="J155" s="39"/>
      <c r="M155" s="7"/>
    </row>
    <row r="156" spans="1:13" x14ac:dyDescent="0.25">
      <c r="A156" s="4"/>
      <c r="B156" s="39"/>
      <c r="C156" s="39"/>
      <c r="D156" s="39"/>
      <c r="E156" s="39"/>
      <c r="F156" s="39"/>
      <c r="G156" s="39"/>
      <c r="H156" s="39"/>
      <c r="I156" s="39"/>
      <c r="J156" s="39"/>
      <c r="M156" s="7"/>
    </row>
    <row r="157" spans="1:13" x14ac:dyDescent="0.25">
      <c r="A157" s="1"/>
      <c r="B157" s="9"/>
      <c r="C157" s="9"/>
      <c r="D157" s="9"/>
      <c r="E157" s="9"/>
      <c r="F157" s="9"/>
      <c r="G157" s="9"/>
      <c r="H157" s="9"/>
      <c r="I157" s="9"/>
      <c r="J157" s="9"/>
      <c r="M157" s="7"/>
    </row>
    <row r="158" spans="1:13" x14ac:dyDescent="0.25">
      <c r="A158" s="1"/>
      <c r="B158" s="9"/>
      <c r="C158" s="9"/>
      <c r="D158" s="9"/>
      <c r="E158" s="9"/>
      <c r="F158" s="9"/>
      <c r="G158" s="9"/>
      <c r="H158" s="9"/>
      <c r="I158" s="9"/>
      <c r="J158" s="9"/>
      <c r="M158" s="7"/>
    </row>
  </sheetData>
  <mergeCells count="16">
    <mergeCell ref="A1:M1"/>
    <mergeCell ref="A2:M2"/>
    <mergeCell ref="A3:M3"/>
    <mergeCell ref="A4:M4"/>
    <mergeCell ref="A6:J6"/>
    <mergeCell ref="L6:M6"/>
    <mergeCell ref="A109:J109"/>
    <mergeCell ref="M124:M125"/>
    <mergeCell ref="M126:M127"/>
    <mergeCell ref="A130:J130"/>
    <mergeCell ref="A27:J27"/>
    <mergeCell ref="A47:J47"/>
    <mergeCell ref="M62:M63"/>
    <mergeCell ref="M64:M65"/>
    <mergeCell ref="A68:J68"/>
    <mergeCell ref="A89:J89"/>
  </mergeCells>
  <pageMargins left="0.7" right="0.7" top="0.75" bottom="0.75" header="0.3" footer="0.3"/>
  <pageSetup scale="31"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pageSetUpPr fitToPage="1"/>
  </sheetPr>
  <dimension ref="A1:Q158"/>
  <sheetViews>
    <sheetView zoomScale="85" zoomScaleNormal="85" workbookViewId="0">
      <selection activeCell="B7" sqref="B7:I7"/>
    </sheetView>
  </sheetViews>
  <sheetFormatPr defaultColWidth="9.140625" defaultRowHeight="15" x14ac:dyDescent="0.25"/>
  <cols>
    <col min="1" max="1" width="38.85546875" bestFit="1" customWidth="1"/>
    <col min="2" max="10" width="12.7109375" customWidth="1"/>
    <col min="11" max="11" width="2.5703125" customWidth="1"/>
    <col min="12" max="12" width="12.7109375" customWidth="1"/>
    <col min="13" max="13" width="30.7109375" customWidth="1"/>
    <col min="14" max="14" width="18.5703125" customWidth="1"/>
  </cols>
  <sheetData>
    <row r="1" spans="1:15" ht="18.75" x14ac:dyDescent="0.3">
      <c r="A1" s="173" t="s">
        <v>17</v>
      </c>
      <c r="B1" s="173"/>
      <c r="C1" s="173"/>
      <c r="D1" s="173"/>
      <c r="E1" s="173"/>
      <c r="F1" s="173"/>
      <c r="G1" s="173"/>
      <c r="H1" s="173"/>
      <c r="I1" s="173"/>
      <c r="J1" s="173"/>
      <c r="K1" s="173"/>
      <c r="L1" s="173"/>
      <c r="M1" s="173"/>
      <c r="O1" s="31"/>
    </row>
    <row r="2" spans="1:15" ht="15.75" x14ac:dyDescent="0.25">
      <c r="A2" s="174" t="s">
        <v>269</v>
      </c>
      <c r="B2" s="174"/>
      <c r="C2" s="174"/>
      <c r="D2" s="174"/>
      <c r="E2" s="174"/>
      <c r="F2" s="174"/>
      <c r="G2" s="174"/>
      <c r="H2" s="174"/>
      <c r="I2" s="174"/>
      <c r="J2" s="174"/>
      <c r="K2" s="174"/>
      <c r="L2" s="174"/>
      <c r="M2" s="174"/>
      <c r="O2" s="31"/>
    </row>
    <row r="3" spans="1:15" x14ac:dyDescent="0.25">
      <c r="A3" s="175" t="s">
        <v>31</v>
      </c>
      <c r="B3" s="175"/>
      <c r="C3" s="175"/>
      <c r="D3" s="175"/>
      <c r="E3" s="175"/>
      <c r="F3" s="175"/>
      <c r="G3" s="175"/>
      <c r="H3" s="175"/>
      <c r="I3" s="175"/>
      <c r="J3" s="175"/>
      <c r="K3" s="175"/>
      <c r="L3" s="175"/>
      <c r="M3" s="175"/>
    </row>
    <row r="4" spans="1:15" x14ac:dyDescent="0.25">
      <c r="A4" s="187">
        <f>'Company Summary'!A4:J4</f>
        <v>45199</v>
      </c>
      <c r="B4" s="187"/>
      <c r="C4" s="187"/>
      <c r="D4" s="187"/>
      <c r="E4" s="187"/>
      <c r="F4" s="187"/>
      <c r="G4" s="187"/>
      <c r="H4" s="187"/>
      <c r="I4" s="187"/>
      <c r="J4" s="187"/>
      <c r="K4" s="187"/>
      <c r="L4" s="187"/>
      <c r="M4" s="187"/>
    </row>
    <row r="5" spans="1:15" ht="15.75" thickBot="1" x14ac:dyDescent="0.3">
      <c r="A5" s="81"/>
      <c r="B5" s="81"/>
      <c r="C5" s="81"/>
      <c r="D5" s="81"/>
      <c r="E5" s="81"/>
      <c r="F5" s="81"/>
      <c r="G5" s="81"/>
      <c r="H5" s="81"/>
      <c r="I5" s="81"/>
      <c r="J5" s="81"/>
      <c r="K5" s="81"/>
      <c r="L5" s="81"/>
      <c r="M5" s="81"/>
    </row>
    <row r="6" spans="1:15" ht="15.75" thickBot="1" x14ac:dyDescent="0.3">
      <c r="A6" s="170" t="s">
        <v>54</v>
      </c>
      <c r="B6" s="171"/>
      <c r="C6" s="171"/>
      <c r="D6" s="171"/>
      <c r="E6" s="171"/>
      <c r="F6" s="171"/>
      <c r="G6" s="171"/>
      <c r="H6" s="171"/>
      <c r="I6" s="171"/>
      <c r="J6" s="172"/>
      <c r="L6" s="186"/>
      <c r="M6" s="186"/>
    </row>
    <row r="7" spans="1:15" x14ac:dyDescent="0.25">
      <c r="A7" s="4" t="s">
        <v>16</v>
      </c>
      <c r="B7" s="5" t="s">
        <v>15</v>
      </c>
      <c r="C7" s="5" t="s">
        <v>14</v>
      </c>
      <c r="D7" s="5" t="s">
        <v>13</v>
      </c>
      <c r="E7" s="5" t="s">
        <v>12</v>
      </c>
      <c r="F7" s="5" t="s">
        <v>93</v>
      </c>
      <c r="G7" s="5" t="s">
        <v>94</v>
      </c>
      <c r="H7" s="5" t="s">
        <v>38</v>
      </c>
      <c r="I7" s="5" t="s">
        <v>9</v>
      </c>
      <c r="J7" s="5" t="s">
        <v>0</v>
      </c>
      <c r="L7" s="4"/>
      <c r="M7" s="4"/>
    </row>
    <row r="8" spans="1:15" x14ac:dyDescent="0.25">
      <c r="A8" s="1" t="s">
        <v>49</v>
      </c>
      <c r="B8" s="33">
        <f>'Agile AR Aging &lt;-INPUT'!C257</f>
        <v>0</v>
      </c>
      <c r="C8" s="33">
        <f>'Agile AR Aging &lt;-INPUT'!D257</f>
        <v>0</v>
      </c>
      <c r="D8" s="33">
        <f>'Agile AR Aging &lt;-INPUT'!E257</f>
        <v>0</v>
      </c>
      <c r="E8" s="33">
        <f>'Agile AR Aging &lt;-INPUT'!F257</f>
        <v>0</v>
      </c>
      <c r="F8" s="33">
        <f>'Agile AR Aging &lt;-INPUT'!G257</f>
        <v>0</v>
      </c>
      <c r="G8" s="33">
        <f>'Agile AR Aging &lt;-INPUT'!H257</f>
        <v>0</v>
      </c>
      <c r="H8" s="33">
        <f>'Agile AR Aging &lt;-INPUT'!I257</f>
        <v>0</v>
      </c>
      <c r="I8" s="33">
        <f>'Agile AR Aging &lt;-INPUT'!J257</f>
        <v>0</v>
      </c>
      <c r="J8" s="2">
        <f t="shared" ref="J8:J24" si="0">SUM(B8:H8)</f>
        <v>0</v>
      </c>
      <c r="L8" s="67"/>
    </row>
    <row r="9" spans="1:15" x14ac:dyDescent="0.25">
      <c r="A9" s="1" t="s">
        <v>8</v>
      </c>
      <c r="B9" s="33">
        <f>'Agile AR Aging &lt;-INPUT'!C258</f>
        <v>0</v>
      </c>
      <c r="C9" s="33">
        <f>'Agile AR Aging &lt;-INPUT'!D258</f>
        <v>0</v>
      </c>
      <c r="D9" s="33">
        <f>'Agile AR Aging &lt;-INPUT'!E258</f>
        <v>0</v>
      </c>
      <c r="E9" s="33">
        <f>'Agile AR Aging &lt;-INPUT'!F258</f>
        <v>0</v>
      </c>
      <c r="F9" s="33">
        <f>'Agile AR Aging &lt;-INPUT'!G258</f>
        <v>0</v>
      </c>
      <c r="G9" s="33">
        <f>'Agile AR Aging &lt;-INPUT'!H258</f>
        <v>0</v>
      </c>
      <c r="H9" s="33">
        <f>'Agile AR Aging &lt;-INPUT'!I258</f>
        <v>0</v>
      </c>
      <c r="I9" s="33">
        <f>'Agile AR Aging &lt;-INPUT'!J258</f>
        <v>0</v>
      </c>
      <c r="J9" s="2">
        <f t="shared" si="0"/>
        <v>0</v>
      </c>
      <c r="L9" s="67"/>
      <c r="N9" s="68"/>
    </row>
    <row r="10" spans="1:15" x14ac:dyDescent="0.25">
      <c r="A10" s="1" t="s">
        <v>7</v>
      </c>
      <c r="B10" s="33">
        <f>'Agile AR Aging &lt;-INPUT'!C259</f>
        <v>0</v>
      </c>
      <c r="C10" s="33">
        <f>'Agile AR Aging &lt;-INPUT'!D259</f>
        <v>0</v>
      </c>
      <c r="D10" s="33">
        <f>'Agile AR Aging &lt;-INPUT'!E259</f>
        <v>0</v>
      </c>
      <c r="E10" s="33">
        <f>'Agile AR Aging &lt;-INPUT'!F259</f>
        <v>0</v>
      </c>
      <c r="F10" s="33">
        <f>'Agile AR Aging &lt;-INPUT'!G259</f>
        <v>0</v>
      </c>
      <c r="G10" s="33">
        <f>'Agile AR Aging &lt;-INPUT'!H259</f>
        <v>0</v>
      </c>
      <c r="H10" s="33">
        <f>'Agile AR Aging &lt;-INPUT'!I259</f>
        <v>0</v>
      </c>
      <c r="I10" s="33">
        <f>'Agile AR Aging &lt;-INPUT'!J259</f>
        <v>0</v>
      </c>
      <c r="J10" s="2">
        <f t="shared" si="0"/>
        <v>0</v>
      </c>
      <c r="L10" s="67"/>
      <c r="N10" s="68"/>
    </row>
    <row r="11" spans="1:15" x14ac:dyDescent="0.25">
      <c r="A11" s="1" t="s">
        <v>42</v>
      </c>
      <c r="B11" s="33">
        <f>'Agile AR Aging &lt;-INPUT'!C260</f>
        <v>0</v>
      </c>
      <c r="C11" s="33">
        <f>'Agile AR Aging &lt;-INPUT'!D260</f>
        <v>0</v>
      </c>
      <c r="D11" s="33">
        <f>'Agile AR Aging &lt;-INPUT'!E260</f>
        <v>0</v>
      </c>
      <c r="E11" s="33">
        <f>'Agile AR Aging &lt;-INPUT'!F260</f>
        <v>0</v>
      </c>
      <c r="F11" s="33">
        <f>'Agile AR Aging &lt;-INPUT'!G260</f>
        <v>0</v>
      </c>
      <c r="G11" s="33">
        <f>'Agile AR Aging &lt;-INPUT'!H260</f>
        <v>0</v>
      </c>
      <c r="H11" s="33">
        <f>'Agile AR Aging &lt;-INPUT'!I260</f>
        <v>0</v>
      </c>
      <c r="I11" s="33">
        <f>'Agile AR Aging &lt;-INPUT'!J260</f>
        <v>0</v>
      </c>
      <c r="J11" s="2">
        <f t="shared" si="0"/>
        <v>0</v>
      </c>
      <c r="L11" s="67"/>
      <c r="N11" s="68"/>
    </row>
    <row r="12" spans="1:15" x14ac:dyDescent="0.25">
      <c r="A12" s="1" t="s">
        <v>6</v>
      </c>
      <c r="B12" s="33">
        <f>'Agile AR Aging &lt;-INPUT'!C261+'Agile AR Aging &lt;-INPUT'!C262+'Agile AR Aging &lt;-INPUT'!C269+'Agile AR Aging &lt;-INPUT'!C275</f>
        <v>0</v>
      </c>
      <c r="C12" s="33">
        <f>'Agile AR Aging &lt;-INPUT'!D261+'Agile AR Aging &lt;-INPUT'!D262+'Agile AR Aging &lt;-INPUT'!D269+'Agile AR Aging &lt;-INPUT'!D275</f>
        <v>0</v>
      </c>
      <c r="D12" s="33">
        <f>'Agile AR Aging &lt;-INPUT'!E261+'Agile AR Aging &lt;-INPUT'!E262+'Agile AR Aging &lt;-INPUT'!E269+'Agile AR Aging &lt;-INPUT'!E275</f>
        <v>0</v>
      </c>
      <c r="E12" s="33">
        <f>'Agile AR Aging &lt;-INPUT'!F261+'Agile AR Aging &lt;-INPUT'!F262+'Agile AR Aging &lt;-INPUT'!F269+'Agile AR Aging &lt;-INPUT'!F275</f>
        <v>0</v>
      </c>
      <c r="F12" s="33">
        <f>'Agile AR Aging &lt;-INPUT'!G261+'Agile AR Aging &lt;-INPUT'!G262+'Agile AR Aging &lt;-INPUT'!G269+'Agile AR Aging &lt;-INPUT'!G275</f>
        <v>0</v>
      </c>
      <c r="G12" s="33">
        <f>'Agile AR Aging &lt;-INPUT'!H261+'Agile AR Aging &lt;-INPUT'!H262+'Agile AR Aging &lt;-INPUT'!H269+'Agile AR Aging &lt;-INPUT'!H275</f>
        <v>0</v>
      </c>
      <c r="H12" s="33">
        <f>'Agile AR Aging &lt;-INPUT'!I261+'Agile AR Aging &lt;-INPUT'!I262+'Agile AR Aging &lt;-INPUT'!I269+'Agile AR Aging &lt;-INPUT'!I275</f>
        <v>0</v>
      </c>
      <c r="I12" s="33">
        <f>'Agile AR Aging &lt;-INPUT'!J261+'Agile AR Aging &lt;-INPUT'!J262+'Agile AR Aging &lt;-INPUT'!J269+'Agile AR Aging &lt;-INPUT'!J275</f>
        <v>0</v>
      </c>
      <c r="J12" s="2">
        <f t="shared" si="0"/>
        <v>0</v>
      </c>
      <c r="L12" s="73"/>
      <c r="N12" s="68"/>
    </row>
    <row r="13" spans="1:15" x14ac:dyDescent="0.25">
      <c r="A13" s="1" t="s">
        <v>50</v>
      </c>
      <c r="B13" s="33">
        <f>'Agile AR Aging &lt;-INPUT'!C263</f>
        <v>0</v>
      </c>
      <c r="C13" s="33">
        <f>'Agile AR Aging &lt;-INPUT'!D263</f>
        <v>0</v>
      </c>
      <c r="D13" s="33">
        <f>'Agile AR Aging &lt;-INPUT'!E263</f>
        <v>0</v>
      </c>
      <c r="E13" s="33">
        <f>'Agile AR Aging &lt;-INPUT'!F263</f>
        <v>0</v>
      </c>
      <c r="F13" s="33">
        <f>'Agile AR Aging &lt;-INPUT'!G263</f>
        <v>0</v>
      </c>
      <c r="G13" s="33">
        <f>'Agile AR Aging &lt;-INPUT'!H263</f>
        <v>0</v>
      </c>
      <c r="H13" s="33">
        <f>'Agile AR Aging &lt;-INPUT'!I263</f>
        <v>0</v>
      </c>
      <c r="I13" s="33">
        <f>'Agile AR Aging &lt;-INPUT'!J263</f>
        <v>0</v>
      </c>
      <c r="J13" s="2">
        <f t="shared" si="0"/>
        <v>0</v>
      </c>
      <c r="L13" s="73"/>
      <c r="N13" s="68"/>
    </row>
    <row r="14" spans="1:15" x14ac:dyDescent="0.25">
      <c r="A14" s="1" t="s">
        <v>89</v>
      </c>
      <c r="B14" s="33">
        <f>'Agile AR Aging &lt;-INPUT'!C264</f>
        <v>0</v>
      </c>
      <c r="C14" s="33">
        <f>'Agile AR Aging &lt;-INPUT'!D264</f>
        <v>0</v>
      </c>
      <c r="D14" s="33">
        <f>'Agile AR Aging &lt;-INPUT'!E264</f>
        <v>0</v>
      </c>
      <c r="E14" s="33">
        <f>'Agile AR Aging &lt;-INPUT'!F264</f>
        <v>0</v>
      </c>
      <c r="F14" s="33">
        <f>'Agile AR Aging &lt;-INPUT'!G264</f>
        <v>0</v>
      </c>
      <c r="G14" s="33">
        <f>'Agile AR Aging &lt;-INPUT'!H264</f>
        <v>0</v>
      </c>
      <c r="H14" s="33">
        <f>'Agile AR Aging &lt;-INPUT'!I264</f>
        <v>0</v>
      </c>
      <c r="I14" s="33">
        <f>'Agile AR Aging &lt;-INPUT'!J264</f>
        <v>0</v>
      </c>
      <c r="J14" s="2">
        <f t="shared" si="0"/>
        <v>0</v>
      </c>
      <c r="L14" s="73"/>
      <c r="N14" s="68"/>
    </row>
    <row r="15" spans="1:15" x14ac:dyDescent="0.25">
      <c r="A15" s="1" t="s">
        <v>5</v>
      </c>
      <c r="B15" s="33">
        <f>'Agile AR Aging &lt;-INPUT'!C265</f>
        <v>0</v>
      </c>
      <c r="C15" s="33">
        <f>'Agile AR Aging &lt;-INPUT'!D265</f>
        <v>0</v>
      </c>
      <c r="D15" s="33">
        <f>'Agile AR Aging &lt;-INPUT'!E265</f>
        <v>0</v>
      </c>
      <c r="E15" s="33">
        <f>'Agile AR Aging &lt;-INPUT'!F265</f>
        <v>0</v>
      </c>
      <c r="F15" s="33">
        <f>'Agile AR Aging &lt;-INPUT'!G265</f>
        <v>0</v>
      </c>
      <c r="G15" s="33">
        <f>'Agile AR Aging &lt;-INPUT'!H265</f>
        <v>0</v>
      </c>
      <c r="H15" s="33">
        <f>'Agile AR Aging &lt;-INPUT'!I265</f>
        <v>0</v>
      </c>
      <c r="I15" s="33">
        <f>'Agile AR Aging &lt;-INPUT'!J265</f>
        <v>0</v>
      </c>
      <c r="J15" s="2">
        <f t="shared" si="0"/>
        <v>0</v>
      </c>
      <c r="L15" s="73"/>
      <c r="N15" s="68"/>
    </row>
    <row r="16" spans="1:15" x14ac:dyDescent="0.25">
      <c r="A16" s="1" t="s">
        <v>84</v>
      </c>
      <c r="B16" s="33">
        <f>'Agile AR Aging &lt;-INPUT'!C266</f>
        <v>0</v>
      </c>
      <c r="C16" s="33">
        <f>'Agile AR Aging &lt;-INPUT'!D266</f>
        <v>0</v>
      </c>
      <c r="D16" s="33">
        <f>'Agile AR Aging &lt;-INPUT'!E266</f>
        <v>0</v>
      </c>
      <c r="E16" s="33">
        <f>'Agile AR Aging &lt;-INPUT'!F266</f>
        <v>0</v>
      </c>
      <c r="F16" s="33">
        <f>'Agile AR Aging &lt;-INPUT'!G266</f>
        <v>0</v>
      </c>
      <c r="G16" s="33">
        <f>'Agile AR Aging &lt;-INPUT'!H266</f>
        <v>0</v>
      </c>
      <c r="H16" s="33">
        <f>'Agile AR Aging &lt;-INPUT'!I266</f>
        <v>0</v>
      </c>
      <c r="I16" s="33">
        <f>'Agile AR Aging &lt;-INPUT'!J266</f>
        <v>0</v>
      </c>
      <c r="J16" s="2">
        <f t="shared" si="0"/>
        <v>0</v>
      </c>
      <c r="L16" s="73"/>
      <c r="N16" s="68"/>
    </row>
    <row r="17" spans="1:17" x14ac:dyDescent="0.25">
      <c r="A17" s="1" t="s">
        <v>4</v>
      </c>
      <c r="B17" s="33">
        <f>'Agile AR Aging &lt;-INPUT'!C267</f>
        <v>0</v>
      </c>
      <c r="C17" s="33">
        <f>'Agile AR Aging &lt;-INPUT'!D267</f>
        <v>0</v>
      </c>
      <c r="D17" s="33">
        <f>'Agile AR Aging &lt;-INPUT'!E267</f>
        <v>0</v>
      </c>
      <c r="E17" s="33">
        <f>'Agile AR Aging &lt;-INPUT'!F267</f>
        <v>0</v>
      </c>
      <c r="F17" s="33">
        <f>'Agile AR Aging &lt;-INPUT'!G267</f>
        <v>0</v>
      </c>
      <c r="G17" s="33">
        <f>'Agile AR Aging &lt;-INPUT'!H267</f>
        <v>0</v>
      </c>
      <c r="H17" s="33">
        <f>'Agile AR Aging &lt;-INPUT'!I267</f>
        <v>0</v>
      </c>
      <c r="I17" s="33">
        <f>'Agile AR Aging &lt;-INPUT'!J267</f>
        <v>0</v>
      </c>
      <c r="J17" s="2">
        <f t="shared" si="0"/>
        <v>0</v>
      </c>
      <c r="L17" s="73"/>
      <c r="N17" s="68"/>
    </row>
    <row r="18" spans="1:17" x14ac:dyDescent="0.25">
      <c r="A18" s="1" t="s">
        <v>51</v>
      </c>
      <c r="B18" s="33">
        <f>'Agile AR Aging &lt;-INPUT'!C268</f>
        <v>0</v>
      </c>
      <c r="C18" s="33">
        <f>'Agile AR Aging &lt;-INPUT'!D268</f>
        <v>0</v>
      </c>
      <c r="D18" s="33">
        <f>'Agile AR Aging &lt;-INPUT'!E268</f>
        <v>0</v>
      </c>
      <c r="E18" s="33">
        <f>'Agile AR Aging &lt;-INPUT'!F268</f>
        <v>0</v>
      </c>
      <c r="F18" s="33">
        <f>'Agile AR Aging &lt;-INPUT'!G268</f>
        <v>0</v>
      </c>
      <c r="G18" s="33">
        <f>'Agile AR Aging &lt;-INPUT'!H268</f>
        <v>0</v>
      </c>
      <c r="H18" s="33">
        <f>'Agile AR Aging &lt;-INPUT'!I268</f>
        <v>0</v>
      </c>
      <c r="I18" s="33">
        <f>'Agile AR Aging &lt;-INPUT'!J268</f>
        <v>0</v>
      </c>
      <c r="J18" s="2">
        <f t="shared" si="0"/>
        <v>0</v>
      </c>
      <c r="L18" s="73"/>
      <c r="N18" s="68"/>
    </row>
    <row r="19" spans="1:17" x14ac:dyDescent="0.25">
      <c r="A19" s="1" t="s">
        <v>85</v>
      </c>
      <c r="B19" s="33">
        <f>'Agile AR Aging &lt;-INPUT'!C270</f>
        <v>0</v>
      </c>
      <c r="C19" s="33">
        <f>'Agile AR Aging &lt;-INPUT'!D270</f>
        <v>0</v>
      </c>
      <c r="D19" s="33">
        <f>'Agile AR Aging &lt;-INPUT'!E270</f>
        <v>0</v>
      </c>
      <c r="E19" s="33">
        <f>'Agile AR Aging &lt;-INPUT'!F270</f>
        <v>0</v>
      </c>
      <c r="F19" s="33">
        <f>'Agile AR Aging &lt;-INPUT'!G270</f>
        <v>0</v>
      </c>
      <c r="G19" s="33">
        <f>'Agile AR Aging &lt;-INPUT'!H270</f>
        <v>0</v>
      </c>
      <c r="H19" s="33">
        <f>'Agile AR Aging &lt;-INPUT'!I270</f>
        <v>0</v>
      </c>
      <c r="I19" s="33">
        <f>'Agile AR Aging &lt;-INPUT'!J270</f>
        <v>0</v>
      </c>
      <c r="J19" s="2">
        <f t="shared" si="0"/>
        <v>0</v>
      </c>
      <c r="L19" s="73"/>
      <c r="N19" s="68"/>
    </row>
    <row r="20" spans="1:17" x14ac:dyDescent="0.25">
      <c r="A20" s="1" t="s">
        <v>2</v>
      </c>
      <c r="B20" s="33">
        <f>'Agile AR Aging &lt;-INPUT'!C271</f>
        <v>0</v>
      </c>
      <c r="C20" s="33">
        <f>'Agile AR Aging &lt;-INPUT'!D271</f>
        <v>0</v>
      </c>
      <c r="D20" s="33">
        <f>'Agile AR Aging &lt;-INPUT'!E271</f>
        <v>0</v>
      </c>
      <c r="E20" s="33">
        <f>'Agile AR Aging &lt;-INPUT'!F271</f>
        <v>0</v>
      </c>
      <c r="F20" s="33">
        <f>'Agile AR Aging &lt;-INPUT'!G271</f>
        <v>0</v>
      </c>
      <c r="G20" s="33">
        <f>'Agile AR Aging &lt;-INPUT'!H271</f>
        <v>0</v>
      </c>
      <c r="H20" s="33">
        <f>'Agile AR Aging &lt;-INPUT'!I271</f>
        <v>0</v>
      </c>
      <c r="I20" s="33">
        <f>'Agile AR Aging &lt;-INPUT'!J271</f>
        <v>0</v>
      </c>
      <c r="J20" s="2">
        <f t="shared" si="0"/>
        <v>0</v>
      </c>
      <c r="L20" s="73"/>
      <c r="N20" s="68"/>
    </row>
    <row r="21" spans="1:17" x14ac:dyDescent="0.25">
      <c r="A21" s="1" t="s">
        <v>86</v>
      </c>
      <c r="B21" s="33">
        <f>'Agile AR Aging &lt;-INPUT'!C272</f>
        <v>0</v>
      </c>
      <c r="C21" s="33">
        <f>'Agile AR Aging &lt;-INPUT'!D272</f>
        <v>0</v>
      </c>
      <c r="D21" s="33">
        <f>'Agile AR Aging &lt;-INPUT'!E272</f>
        <v>0</v>
      </c>
      <c r="E21" s="33">
        <f>'Agile AR Aging &lt;-INPUT'!F272</f>
        <v>0</v>
      </c>
      <c r="F21" s="33">
        <f>'Agile AR Aging &lt;-INPUT'!G272</f>
        <v>0</v>
      </c>
      <c r="G21" s="33">
        <f>'Agile AR Aging &lt;-INPUT'!H272</f>
        <v>0</v>
      </c>
      <c r="H21" s="33">
        <f>'Agile AR Aging &lt;-INPUT'!I272</f>
        <v>0</v>
      </c>
      <c r="I21" s="33">
        <f>'Agile AR Aging &lt;-INPUT'!J272</f>
        <v>0</v>
      </c>
      <c r="J21" s="2">
        <f t="shared" si="0"/>
        <v>0</v>
      </c>
      <c r="L21" s="73"/>
      <c r="N21" s="68"/>
    </row>
    <row r="22" spans="1:17" x14ac:dyDescent="0.25">
      <c r="A22" s="1" t="s">
        <v>29</v>
      </c>
      <c r="B22" s="33">
        <f>'Agile AR Aging &lt;-INPUT'!C273</f>
        <v>0</v>
      </c>
      <c r="C22" s="33">
        <f>'Agile AR Aging &lt;-INPUT'!D273</f>
        <v>0</v>
      </c>
      <c r="D22" s="33">
        <f>'Agile AR Aging &lt;-INPUT'!E273</f>
        <v>0</v>
      </c>
      <c r="E22" s="33">
        <f>'Agile AR Aging &lt;-INPUT'!F273</f>
        <v>0</v>
      </c>
      <c r="F22" s="33">
        <f>'Agile AR Aging &lt;-INPUT'!G273</f>
        <v>0</v>
      </c>
      <c r="G22" s="33">
        <f>'Agile AR Aging &lt;-INPUT'!H273</f>
        <v>0</v>
      </c>
      <c r="H22" s="33">
        <f>'Agile AR Aging &lt;-INPUT'!I273</f>
        <v>0</v>
      </c>
      <c r="I22" s="33">
        <f>'Agile AR Aging &lt;-INPUT'!J273</f>
        <v>0</v>
      </c>
      <c r="J22" s="2">
        <f t="shared" si="0"/>
        <v>0</v>
      </c>
      <c r="L22" s="73"/>
      <c r="N22" s="68"/>
    </row>
    <row r="23" spans="1:17" x14ac:dyDescent="0.25">
      <c r="A23" s="1" t="s">
        <v>52</v>
      </c>
      <c r="B23" s="33">
        <f>'Agile AR Aging &lt;-INPUT'!C274</f>
        <v>0</v>
      </c>
      <c r="C23" s="33">
        <f>'Agile AR Aging &lt;-INPUT'!D274</f>
        <v>0</v>
      </c>
      <c r="D23" s="33">
        <f>'Agile AR Aging &lt;-INPUT'!E274</f>
        <v>0</v>
      </c>
      <c r="E23" s="33">
        <f>'Agile AR Aging &lt;-INPUT'!F274</f>
        <v>0</v>
      </c>
      <c r="F23" s="33">
        <f>'Agile AR Aging &lt;-INPUT'!G274</f>
        <v>0</v>
      </c>
      <c r="G23" s="33">
        <f>'Agile AR Aging &lt;-INPUT'!H274</f>
        <v>0</v>
      </c>
      <c r="H23" s="33">
        <f>'Agile AR Aging &lt;-INPUT'!I274</f>
        <v>0</v>
      </c>
      <c r="I23" s="33">
        <f>'Agile AR Aging &lt;-INPUT'!J274</f>
        <v>0</v>
      </c>
      <c r="J23" s="2">
        <f t="shared" si="0"/>
        <v>0</v>
      </c>
      <c r="L23" s="73"/>
      <c r="N23" s="68"/>
    </row>
    <row r="24" spans="1:17" x14ac:dyDescent="0.25">
      <c r="A24" s="1" t="s">
        <v>1</v>
      </c>
      <c r="B24" s="32">
        <f>'Agile AR Aging &lt;-INPUT'!C276</f>
        <v>0</v>
      </c>
      <c r="C24" s="32">
        <f>'Agile AR Aging &lt;-INPUT'!D276</f>
        <v>0</v>
      </c>
      <c r="D24" s="32">
        <f>'Agile AR Aging &lt;-INPUT'!E276</f>
        <v>0</v>
      </c>
      <c r="E24" s="32">
        <f>'Agile AR Aging &lt;-INPUT'!F276</f>
        <v>0</v>
      </c>
      <c r="F24" s="32">
        <f>'Agile AR Aging &lt;-INPUT'!G276</f>
        <v>0</v>
      </c>
      <c r="G24" s="32">
        <f>'Agile AR Aging &lt;-INPUT'!H276</f>
        <v>0</v>
      </c>
      <c r="H24" s="32">
        <f>'Agile AR Aging &lt;-INPUT'!I276</f>
        <v>0</v>
      </c>
      <c r="I24" s="32">
        <f>'Agile AR Aging &lt;-INPUT'!J276</f>
        <v>0</v>
      </c>
      <c r="J24" s="9">
        <f t="shared" si="0"/>
        <v>0</v>
      </c>
      <c r="L24" s="73"/>
      <c r="N24" s="68"/>
    </row>
    <row r="25" spans="1:17" x14ac:dyDescent="0.25">
      <c r="A25" s="1" t="s">
        <v>0</v>
      </c>
      <c r="B25" s="10">
        <f t="shared" ref="B25:I25" si="1">SUM(B8:B24)</f>
        <v>0</v>
      </c>
      <c r="C25" s="10">
        <f t="shared" si="1"/>
        <v>0</v>
      </c>
      <c r="D25" s="10">
        <f t="shared" si="1"/>
        <v>0</v>
      </c>
      <c r="E25" s="10">
        <f t="shared" si="1"/>
        <v>0</v>
      </c>
      <c r="F25" s="10">
        <f t="shared" si="1"/>
        <v>0</v>
      </c>
      <c r="G25" s="10">
        <f t="shared" si="1"/>
        <v>0</v>
      </c>
      <c r="H25" s="10">
        <f t="shared" si="1"/>
        <v>0</v>
      </c>
      <c r="I25" s="10">
        <f t="shared" si="1"/>
        <v>0</v>
      </c>
      <c r="J25" s="10">
        <f>SUM(B25:H25)</f>
        <v>0</v>
      </c>
      <c r="L25" s="31"/>
    </row>
    <row r="26" spans="1:17" ht="15.75" thickBot="1" x14ac:dyDescent="0.3">
      <c r="A26" s="1"/>
      <c r="B26" s="9"/>
      <c r="C26" s="9"/>
      <c r="D26" s="9"/>
      <c r="E26" s="9"/>
      <c r="F26" s="9"/>
      <c r="G26" s="9"/>
      <c r="H26" s="9"/>
      <c r="I26" s="9"/>
      <c r="J26" s="9"/>
      <c r="L26" s="31"/>
      <c r="Q26" s="1"/>
    </row>
    <row r="27" spans="1:17" ht="15.75" thickBot="1" x14ac:dyDescent="0.3">
      <c r="A27" s="167" t="s">
        <v>55</v>
      </c>
      <c r="B27" s="168"/>
      <c r="C27" s="168"/>
      <c r="D27" s="168"/>
      <c r="E27" s="168"/>
      <c r="F27" s="168"/>
      <c r="G27" s="168"/>
      <c r="H27" s="168"/>
      <c r="I27" s="168"/>
      <c r="J27" s="169"/>
      <c r="Q27" s="1"/>
    </row>
    <row r="28" spans="1:17" x14ac:dyDescent="0.25">
      <c r="A28" s="4" t="s">
        <v>16</v>
      </c>
      <c r="B28" s="5" t="s">
        <v>15</v>
      </c>
      <c r="C28" s="5" t="s">
        <v>14</v>
      </c>
      <c r="D28" s="5" t="s">
        <v>13</v>
      </c>
      <c r="E28" s="5" t="s">
        <v>12</v>
      </c>
      <c r="F28" s="5" t="s">
        <v>93</v>
      </c>
      <c r="G28" s="5" t="s">
        <v>94</v>
      </c>
      <c r="H28" s="5" t="s">
        <v>38</v>
      </c>
      <c r="I28" s="5" t="s">
        <v>9</v>
      </c>
      <c r="J28" s="5" t="s">
        <v>0</v>
      </c>
      <c r="Q28" s="1"/>
    </row>
    <row r="29" spans="1:17" x14ac:dyDescent="0.25">
      <c r="A29" s="1" t="s">
        <v>49</v>
      </c>
      <c r="B29" s="36">
        <f>'Reimbursement Rates &lt;-INPUT'!K9</f>
        <v>0</v>
      </c>
      <c r="C29" s="36">
        <f t="shared" ref="C29:I45" si="2">B29</f>
        <v>0</v>
      </c>
      <c r="D29" s="36">
        <f t="shared" si="2"/>
        <v>0</v>
      </c>
      <c r="E29" s="36">
        <f t="shared" si="2"/>
        <v>0</v>
      </c>
      <c r="F29" s="36">
        <f t="shared" si="2"/>
        <v>0</v>
      </c>
      <c r="G29" s="36">
        <f t="shared" si="2"/>
        <v>0</v>
      </c>
      <c r="H29" s="36">
        <f t="shared" si="2"/>
        <v>0</v>
      </c>
      <c r="I29" s="36">
        <f t="shared" si="2"/>
        <v>0</v>
      </c>
      <c r="J29" s="36">
        <f t="shared" ref="J29:J45" si="3">H29</f>
        <v>0</v>
      </c>
    </row>
    <row r="30" spans="1:17" x14ac:dyDescent="0.25">
      <c r="A30" s="1" t="s">
        <v>8</v>
      </c>
      <c r="B30" s="36">
        <f>'Reimbursement Rates &lt;-INPUT'!K10</f>
        <v>0</v>
      </c>
      <c r="C30" s="36">
        <f t="shared" si="2"/>
        <v>0</v>
      </c>
      <c r="D30" s="36">
        <f t="shared" si="2"/>
        <v>0</v>
      </c>
      <c r="E30" s="36">
        <f t="shared" si="2"/>
        <v>0</v>
      </c>
      <c r="F30" s="36">
        <f t="shared" si="2"/>
        <v>0</v>
      </c>
      <c r="G30" s="36">
        <f t="shared" si="2"/>
        <v>0</v>
      </c>
      <c r="H30" s="36">
        <f t="shared" si="2"/>
        <v>0</v>
      </c>
      <c r="I30" s="36">
        <f t="shared" si="2"/>
        <v>0</v>
      </c>
      <c r="J30" s="36">
        <f t="shared" si="3"/>
        <v>0</v>
      </c>
      <c r="Q30" s="1"/>
    </row>
    <row r="31" spans="1:17" x14ac:dyDescent="0.25">
      <c r="A31" s="1" t="s">
        <v>7</v>
      </c>
      <c r="B31" s="36">
        <f>'Reimbursement Rates &lt;-INPUT'!K11</f>
        <v>0</v>
      </c>
      <c r="C31" s="36">
        <f t="shared" si="2"/>
        <v>0</v>
      </c>
      <c r="D31" s="36">
        <f t="shared" si="2"/>
        <v>0</v>
      </c>
      <c r="E31" s="36">
        <f t="shared" si="2"/>
        <v>0</v>
      </c>
      <c r="F31" s="36">
        <f t="shared" si="2"/>
        <v>0</v>
      </c>
      <c r="G31" s="36">
        <f t="shared" si="2"/>
        <v>0</v>
      </c>
      <c r="H31" s="36">
        <f t="shared" si="2"/>
        <v>0</v>
      </c>
      <c r="I31" s="36">
        <f t="shared" si="2"/>
        <v>0</v>
      </c>
      <c r="J31" s="36">
        <f t="shared" si="3"/>
        <v>0</v>
      </c>
    </row>
    <row r="32" spans="1:17" x14ac:dyDescent="0.25">
      <c r="A32" s="1" t="s">
        <v>42</v>
      </c>
      <c r="B32" s="36">
        <f>'Reimbursement Rates &lt;-INPUT'!K12</f>
        <v>0</v>
      </c>
      <c r="C32" s="36">
        <f t="shared" si="2"/>
        <v>0</v>
      </c>
      <c r="D32" s="36">
        <f t="shared" si="2"/>
        <v>0</v>
      </c>
      <c r="E32" s="36">
        <f t="shared" si="2"/>
        <v>0</v>
      </c>
      <c r="F32" s="36">
        <f t="shared" si="2"/>
        <v>0</v>
      </c>
      <c r="G32" s="36">
        <f t="shared" si="2"/>
        <v>0</v>
      </c>
      <c r="H32" s="36">
        <f t="shared" si="2"/>
        <v>0</v>
      </c>
      <c r="I32" s="36">
        <f t="shared" si="2"/>
        <v>0</v>
      </c>
      <c r="J32" s="36">
        <f t="shared" si="3"/>
        <v>0</v>
      </c>
    </row>
    <row r="33" spans="1:17" x14ac:dyDescent="0.25">
      <c r="A33" s="1" t="s">
        <v>6</v>
      </c>
      <c r="B33" s="36">
        <f>'Reimbursement Rates &lt;-INPUT'!K13</f>
        <v>0</v>
      </c>
      <c r="C33" s="36">
        <f t="shared" si="2"/>
        <v>0</v>
      </c>
      <c r="D33" s="36">
        <f t="shared" si="2"/>
        <v>0</v>
      </c>
      <c r="E33" s="36">
        <f t="shared" si="2"/>
        <v>0</v>
      </c>
      <c r="F33" s="36">
        <f t="shared" si="2"/>
        <v>0</v>
      </c>
      <c r="G33" s="36">
        <f t="shared" si="2"/>
        <v>0</v>
      </c>
      <c r="H33" s="36">
        <f t="shared" si="2"/>
        <v>0</v>
      </c>
      <c r="I33" s="36">
        <f t="shared" si="2"/>
        <v>0</v>
      </c>
      <c r="J33" s="36">
        <f t="shared" si="3"/>
        <v>0</v>
      </c>
      <c r="Q33" s="1"/>
    </row>
    <row r="34" spans="1:17" x14ac:dyDescent="0.25">
      <c r="A34" s="1" t="s">
        <v>50</v>
      </c>
      <c r="B34" s="36">
        <f>'Reimbursement Rates &lt;-INPUT'!K15</f>
        <v>0</v>
      </c>
      <c r="C34" s="36">
        <f t="shared" si="2"/>
        <v>0</v>
      </c>
      <c r="D34" s="36">
        <f t="shared" si="2"/>
        <v>0</v>
      </c>
      <c r="E34" s="36">
        <f t="shared" si="2"/>
        <v>0</v>
      </c>
      <c r="F34" s="36">
        <f t="shared" si="2"/>
        <v>0</v>
      </c>
      <c r="G34" s="36">
        <f t="shared" si="2"/>
        <v>0</v>
      </c>
      <c r="H34" s="36">
        <f t="shared" si="2"/>
        <v>0</v>
      </c>
      <c r="I34" s="36">
        <f t="shared" si="2"/>
        <v>0</v>
      </c>
      <c r="J34" s="36">
        <f t="shared" si="3"/>
        <v>0</v>
      </c>
      <c r="M34" s="7"/>
    </row>
    <row r="35" spans="1:17" x14ac:dyDescent="0.25">
      <c r="A35" s="1" t="s">
        <v>89</v>
      </c>
      <c r="B35" s="36">
        <f>'Reimbursement Rates &lt;-INPUT'!K16</f>
        <v>0</v>
      </c>
      <c r="C35" s="36">
        <f t="shared" si="2"/>
        <v>0</v>
      </c>
      <c r="D35" s="36">
        <f t="shared" si="2"/>
        <v>0</v>
      </c>
      <c r="E35" s="36">
        <f t="shared" si="2"/>
        <v>0</v>
      </c>
      <c r="F35" s="36">
        <f t="shared" si="2"/>
        <v>0</v>
      </c>
      <c r="G35" s="36">
        <f t="shared" si="2"/>
        <v>0</v>
      </c>
      <c r="H35" s="36">
        <f t="shared" si="2"/>
        <v>0</v>
      </c>
      <c r="I35" s="36">
        <f t="shared" si="2"/>
        <v>0</v>
      </c>
      <c r="J35" s="36">
        <f t="shared" si="3"/>
        <v>0</v>
      </c>
      <c r="M35" s="7"/>
    </row>
    <row r="36" spans="1:17" x14ac:dyDescent="0.25">
      <c r="A36" s="1" t="s">
        <v>5</v>
      </c>
      <c r="B36" s="36">
        <f>'Reimbursement Rates &lt;-INPUT'!K17</f>
        <v>0</v>
      </c>
      <c r="C36" s="36">
        <f t="shared" si="2"/>
        <v>0</v>
      </c>
      <c r="D36" s="36">
        <f t="shared" si="2"/>
        <v>0</v>
      </c>
      <c r="E36" s="36">
        <f t="shared" si="2"/>
        <v>0</v>
      </c>
      <c r="F36" s="36">
        <f t="shared" si="2"/>
        <v>0</v>
      </c>
      <c r="G36" s="36">
        <f t="shared" si="2"/>
        <v>0</v>
      </c>
      <c r="H36" s="36">
        <f t="shared" si="2"/>
        <v>0</v>
      </c>
      <c r="I36" s="36">
        <f t="shared" si="2"/>
        <v>0</v>
      </c>
      <c r="J36" s="36">
        <f t="shared" si="3"/>
        <v>0</v>
      </c>
      <c r="M36" s="7"/>
      <c r="Q36" s="1"/>
    </row>
    <row r="37" spans="1:17" x14ac:dyDescent="0.25">
      <c r="A37" s="1" t="s">
        <v>84</v>
      </c>
      <c r="B37" s="36">
        <f>'Reimbursement Rates &lt;-INPUT'!K18</f>
        <v>0</v>
      </c>
      <c r="C37" s="36">
        <f t="shared" si="2"/>
        <v>0</v>
      </c>
      <c r="D37" s="36">
        <f t="shared" si="2"/>
        <v>0</v>
      </c>
      <c r="E37" s="36">
        <f t="shared" si="2"/>
        <v>0</v>
      </c>
      <c r="F37" s="36">
        <f t="shared" si="2"/>
        <v>0</v>
      </c>
      <c r="G37" s="36">
        <f t="shared" si="2"/>
        <v>0</v>
      </c>
      <c r="H37" s="36">
        <f t="shared" si="2"/>
        <v>0</v>
      </c>
      <c r="I37" s="36">
        <f t="shared" si="2"/>
        <v>0</v>
      </c>
      <c r="J37" s="36">
        <f t="shared" si="3"/>
        <v>0</v>
      </c>
      <c r="M37" s="7"/>
      <c r="Q37" s="1"/>
    </row>
    <row r="38" spans="1:17" x14ac:dyDescent="0.25">
      <c r="A38" s="1" t="s">
        <v>4</v>
      </c>
      <c r="B38" s="36">
        <f>'Reimbursement Rates &lt;-INPUT'!K19</f>
        <v>0</v>
      </c>
      <c r="C38" s="36">
        <f t="shared" si="2"/>
        <v>0</v>
      </c>
      <c r="D38" s="36">
        <f t="shared" si="2"/>
        <v>0</v>
      </c>
      <c r="E38" s="36">
        <f t="shared" si="2"/>
        <v>0</v>
      </c>
      <c r="F38" s="36">
        <f t="shared" si="2"/>
        <v>0</v>
      </c>
      <c r="G38" s="36">
        <f t="shared" si="2"/>
        <v>0</v>
      </c>
      <c r="H38" s="36">
        <f t="shared" si="2"/>
        <v>0</v>
      </c>
      <c r="I38" s="36">
        <f t="shared" si="2"/>
        <v>0</v>
      </c>
      <c r="J38" s="36">
        <f t="shared" si="3"/>
        <v>0</v>
      </c>
      <c r="M38" s="7"/>
    </row>
    <row r="39" spans="1:17" x14ac:dyDescent="0.25">
      <c r="A39" s="1" t="s">
        <v>51</v>
      </c>
      <c r="B39" s="36">
        <f>'Reimbursement Rates &lt;-INPUT'!K20</f>
        <v>0</v>
      </c>
      <c r="C39" s="36">
        <f t="shared" si="2"/>
        <v>0</v>
      </c>
      <c r="D39" s="36">
        <f t="shared" si="2"/>
        <v>0</v>
      </c>
      <c r="E39" s="36">
        <f t="shared" si="2"/>
        <v>0</v>
      </c>
      <c r="F39" s="36">
        <f t="shared" si="2"/>
        <v>0</v>
      </c>
      <c r="G39" s="36">
        <f t="shared" si="2"/>
        <v>0</v>
      </c>
      <c r="H39" s="36">
        <f t="shared" si="2"/>
        <v>0</v>
      </c>
      <c r="I39" s="36">
        <f t="shared" si="2"/>
        <v>0</v>
      </c>
      <c r="J39" s="36">
        <f t="shared" si="3"/>
        <v>0</v>
      </c>
      <c r="M39" s="7"/>
      <c r="Q39" s="1"/>
    </row>
    <row r="40" spans="1:17" x14ac:dyDescent="0.25">
      <c r="A40" s="1" t="s">
        <v>85</v>
      </c>
      <c r="B40" s="36">
        <f>'Reimbursement Rates &lt;-INPUT'!K22</f>
        <v>0</v>
      </c>
      <c r="C40" s="36">
        <f t="shared" si="2"/>
        <v>0</v>
      </c>
      <c r="D40" s="36">
        <f t="shared" si="2"/>
        <v>0</v>
      </c>
      <c r="E40" s="36">
        <f t="shared" si="2"/>
        <v>0</v>
      </c>
      <c r="F40" s="36">
        <f t="shared" si="2"/>
        <v>0</v>
      </c>
      <c r="G40" s="36">
        <f t="shared" si="2"/>
        <v>0</v>
      </c>
      <c r="H40" s="36">
        <f t="shared" si="2"/>
        <v>0</v>
      </c>
      <c r="I40" s="36">
        <f t="shared" si="2"/>
        <v>0</v>
      </c>
      <c r="J40" s="36">
        <f t="shared" si="3"/>
        <v>0</v>
      </c>
      <c r="M40" s="7"/>
      <c r="Q40" s="1"/>
    </row>
    <row r="41" spans="1:17" x14ac:dyDescent="0.25">
      <c r="A41" s="1" t="s">
        <v>2</v>
      </c>
      <c r="B41" s="36">
        <f>'Reimbursement Rates &lt;-INPUT'!K23</f>
        <v>0</v>
      </c>
      <c r="C41" s="36">
        <f t="shared" si="2"/>
        <v>0</v>
      </c>
      <c r="D41" s="36">
        <f t="shared" si="2"/>
        <v>0</v>
      </c>
      <c r="E41" s="36">
        <f t="shared" si="2"/>
        <v>0</v>
      </c>
      <c r="F41" s="36">
        <f t="shared" si="2"/>
        <v>0</v>
      </c>
      <c r="G41" s="36">
        <f t="shared" si="2"/>
        <v>0</v>
      </c>
      <c r="H41" s="36">
        <f t="shared" si="2"/>
        <v>0</v>
      </c>
      <c r="I41" s="36">
        <f t="shared" si="2"/>
        <v>0</v>
      </c>
      <c r="J41" s="36">
        <f t="shared" si="3"/>
        <v>0</v>
      </c>
      <c r="M41" s="7"/>
      <c r="Q41" s="1"/>
    </row>
    <row r="42" spans="1:17" x14ac:dyDescent="0.25">
      <c r="A42" s="1" t="s">
        <v>86</v>
      </c>
      <c r="B42" s="36">
        <f>'Reimbursement Rates &lt;-INPUT'!K24</f>
        <v>0</v>
      </c>
      <c r="C42" s="36">
        <f t="shared" si="2"/>
        <v>0</v>
      </c>
      <c r="D42" s="36">
        <f t="shared" si="2"/>
        <v>0</v>
      </c>
      <c r="E42" s="36">
        <f t="shared" si="2"/>
        <v>0</v>
      </c>
      <c r="F42" s="36">
        <f t="shared" si="2"/>
        <v>0</v>
      </c>
      <c r="G42" s="36">
        <f t="shared" si="2"/>
        <v>0</v>
      </c>
      <c r="H42" s="36">
        <f t="shared" si="2"/>
        <v>0</v>
      </c>
      <c r="I42" s="36">
        <f t="shared" si="2"/>
        <v>0</v>
      </c>
      <c r="J42" s="36">
        <f t="shared" si="3"/>
        <v>0</v>
      </c>
      <c r="M42" s="7"/>
    </row>
    <row r="43" spans="1:17" x14ac:dyDescent="0.25">
      <c r="A43" s="1" t="s">
        <v>29</v>
      </c>
      <c r="B43" s="36">
        <f>'Reimbursement Rates &lt;-INPUT'!K25</f>
        <v>0</v>
      </c>
      <c r="C43" s="36">
        <f t="shared" si="2"/>
        <v>0</v>
      </c>
      <c r="D43" s="36">
        <f t="shared" si="2"/>
        <v>0</v>
      </c>
      <c r="E43" s="36">
        <f t="shared" si="2"/>
        <v>0</v>
      </c>
      <c r="F43" s="36">
        <f t="shared" si="2"/>
        <v>0</v>
      </c>
      <c r="G43" s="36">
        <f t="shared" si="2"/>
        <v>0</v>
      </c>
      <c r="H43" s="36">
        <f t="shared" si="2"/>
        <v>0</v>
      </c>
      <c r="I43" s="36">
        <f t="shared" si="2"/>
        <v>0</v>
      </c>
      <c r="J43" s="36">
        <f t="shared" si="3"/>
        <v>0</v>
      </c>
      <c r="M43" s="7"/>
    </row>
    <row r="44" spans="1:17" x14ac:dyDescent="0.25">
      <c r="A44" s="1" t="s">
        <v>52</v>
      </c>
      <c r="B44" s="36">
        <f>'Reimbursement Rates &lt;-INPUT'!K26</f>
        <v>0</v>
      </c>
      <c r="C44" s="36">
        <f t="shared" si="2"/>
        <v>0</v>
      </c>
      <c r="D44" s="36">
        <f t="shared" si="2"/>
        <v>0</v>
      </c>
      <c r="E44" s="36">
        <f t="shared" si="2"/>
        <v>0</v>
      </c>
      <c r="F44" s="36">
        <f t="shared" si="2"/>
        <v>0</v>
      </c>
      <c r="G44" s="36">
        <f t="shared" si="2"/>
        <v>0</v>
      </c>
      <c r="H44" s="36">
        <f t="shared" si="2"/>
        <v>0</v>
      </c>
      <c r="I44" s="36">
        <f t="shared" si="2"/>
        <v>0</v>
      </c>
      <c r="J44" s="36">
        <f t="shared" si="3"/>
        <v>0</v>
      </c>
      <c r="M44" s="7"/>
      <c r="Q44" s="1"/>
    </row>
    <row r="45" spans="1:17" x14ac:dyDescent="0.25">
      <c r="A45" s="1" t="s">
        <v>1</v>
      </c>
      <c r="B45" s="36">
        <f>'Reimbursement Rates &lt;-INPUT'!K28</f>
        <v>0</v>
      </c>
      <c r="C45" s="36">
        <f t="shared" si="2"/>
        <v>0</v>
      </c>
      <c r="D45" s="36">
        <f t="shared" si="2"/>
        <v>0</v>
      </c>
      <c r="E45" s="36">
        <f t="shared" si="2"/>
        <v>0</v>
      </c>
      <c r="F45" s="36">
        <f t="shared" si="2"/>
        <v>0</v>
      </c>
      <c r="G45" s="36">
        <f t="shared" si="2"/>
        <v>0</v>
      </c>
      <c r="H45" s="36">
        <f t="shared" si="2"/>
        <v>0</v>
      </c>
      <c r="I45" s="36">
        <f t="shared" si="2"/>
        <v>0</v>
      </c>
      <c r="J45" s="36">
        <f t="shared" si="3"/>
        <v>0</v>
      </c>
      <c r="M45" s="7"/>
      <c r="Q45" s="1"/>
    </row>
    <row r="46" spans="1:17" ht="15.75" thickBot="1" x14ac:dyDescent="0.3">
      <c r="A46" s="1"/>
      <c r="B46" s="9"/>
      <c r="C46" s="9"/>
      <c r="D46" s="9"/>
      <c r="E46" s="9"/>
      <c r="F46" s="9"/>
      <c r="G46" s="9"/>
      <c r="H46" s="9"/>
      <c r="I46" s="9"/>
      <c r="J46" s="9"/>
      <c r="M46" s="7"/>
      <c r="Q46" s="1"/>
    </row>
    <row r="47" spans="1:17" ht="15.75" thickBot="1" x14ac:dyDescent="0.3">
      <c r="A47" s="170" t="s">
        <v>33</v>
      </c>
      <c r="B47" s="171"/>
      <c r="C47" s="171"/>
      <c r="D47" s="171"/>
      <c r="E47" s="171"/>
      <c r="F47" s="171"/>
      <c r="G47" s="171"/>
      <c r="H47" s="171"/>
      <c r="I47" s="171"/>
      <c r="J47" s="172"/>
      <c r="M47" s="7"/>
      <c r="Q47" s="1"/>
    </row>
    <row r="48" spans="1:17" x14ac:dyDescent="0.25">
      <c r="A48" s="4" t="s">
        <v>16</v>
      </c>
      <c r="B48" s="5" t="s">
        <v>15</v>
      </c>
      <c r="C48" s="5" t="s">
        <v>14</v>
      </c>
      <c r="D48" s="5" t="s">
        <v>13</v>
      </c>
      <c r="E48" s="5" t="s">
        <v>12</v>
      </c>
      <c r="F48" s="5" t="s">
        <v>93</v>
      </c>
      <c r="G48" s="5" t="s">
        <v>94</v>
      </c>
      <c r="H48" s="5" t="s">
        <v>38</v>
      </c>
      <c r="I48" s="5" t="s">
        <v>9</v>
      </c>
      <c r="J48" s="5" t="s">
        <v>0</v>
      </c>
      <c r="M48" s="7"/>
    </row>
    <row r="49" spans="1:17" x14ac:dyDescent="0.25">
      <c r="A49" s="1" t="s">
        <v>49</v>
      </c>
      <c r="B49" s="37">
        <f t="shared" ref="B49:B50" si="4">IF(B8&gt;0,B8*(1-B29),0)</f>
        <v>0</v>
      </c>
      <c r="C49" s="37">
        <f t="shared" ref="C49:I49" si="5">IF(C8&gt;0,C8*(1-C29),0)</f>
        <v>0</v>
      </c>
      <c r="D49" s="37">
        <f t="shared" si="5"/>
        <v>0</v>
      </c>
      <c r="E49" s="37">
        <f t="shared" si="5"/>
        <v>0</v>
      </c>
      <c r="F49" s="37">
        <f t="shared" si="5"/>
        <v>0</v>
      </c>
      <c r="G49" s="37">
        <f t="shared" si="5"/>
        <v>0</v>
      </c>
      <c r="H49" s="37">
        <f t="shared" si="5"/>
        <v>0</v>
      </c>
      <c r="I49" s="37">
        <f t="shared" si="5"/>
        <v>0</v>
      </c>
      <c r="J49" s="37">
        <f>SUM(B49:H49)</f>
        <v>0</v>
      </c>
      <c r="M49" s="7"/>
      <c r="Q49" s="1"/>
    </row>
    <row r="50" spans="1:17" x14ac:dyDescent="0.25">
      <c r="A50" s="1" t="s">
        <v>8</v>
      </c>
      <c r="B50" s="37">
        <f t="shared" si="4"/>
        <v>0</v>
      </c>
      <c r="C50" s="37">
        <f t="shared" ref="C50:I50" si="6">IF(C9&gt;0,C9*(1-C30),0)</f>
        <v>0</v>
      </c>
      <c r="D50" s="37">
        <f t="shared" si="6"/>
        <v>0</v>
      </c>
      <c r="E50" s="37">
        <f t="shared" si="6"/>
        <v>0</v>
      </c>
      <c r="F50" s="37">
        <f t="shared" si="6"/>
        <v>0</v>
      </c>
      <c r="G50" s="37">
        <f t="shared" si="6"/>
        <v>0</v>
      </c>
      <c r="H50" s="37">
        <f t="shared" si="6"/>
        <v>0</v>
      </c>
      <c r="I50" s="37">
        <f t="shared" si="6"/>
        <v>0</v>
      </c>
      <c r="J50" s="37">
        <f t="shared" ref="J50:J65" si="7">SUM(B50:H50)</f>
        <v>0</v>
      </c>
      <c r="M50" s="7"/>
      <c r="Q50" s="7"/>
    </row>
    <row r="51" spans="1:17" x14ac:dyDescent="0.25">
      <c r="A51" s="1" t="s">
        <v>7</v>
      </c>
      <c r="B51" s="37">
        <f>IF(B10&gt;0,B10*(1-B31),0)</f>
        <v>0</v>
      </c>
      <c r="C51" s="37">
        <f t="shared" ref="C51:I51" si="8">IF(C10&gt;0,C10*(1-C31),0)</f>
        <v>0</v>
      </c>
      <c r="D51" s="37">
        <f t="shared" si="8"/>
        <v>0</v>
      </c>
      <c r="E51" s="37">
        <f t="shared" si="8"/>
        <v>0</v>
      </c>
      <c r="F51" s="37">
        <f t="shared" si="8"/>
        <v>0</v>
      </c>
      <c r="G51" s="37">
        <f t="shared" si="8"/>
        <v>0</v>
      </c>
      <c r="H51" s="37">
        <f t="shared" si="8"/>
        <v>0</v>
      </c>
      <c r="I51" s="37">
        <f t="shared" si="8"/>
        <v>0</v>
      </c>
      <c r="J51" s="37">
        <f t="shared" si="7"/>
        <v>0</v>
      </c>
      <c r="M51" s="7"/>
    </row>
    <row r="52" spans="1:17" x14ac:dyDescent="0.25">
      <c r="A52" s="1" t="s">
        <v>42</v>
      </c>
      <c r="B52" s="37">
        <f t="shared" ref="B52:B65" si="9">IF(B11&gt;0,B11*(1-B32),0)</f>
        <v>0</v>
      </c>
      <c r="C52" s="37">
        <f t="shared" ref="C52:I52" si="10">IF(C11&gt;0,C11*(1-C32),0)</f>
        <v>0</v>
      </c>
      <c r="D52" s="37">
        <f t="shared" si="10"/>
        <v>0</v>
      </c>
      <c r="E52" s="37">
        <f t="shared" si="10"/>
        <v>0</v>
      </c>
      <c r="F52" s="37">
        <f t="shared" si="10"/>
        <v>0</v>
      </c>
      <c r="G52" s="37">
        <f t="shared" si="10"/>
        <v>0</v>
      </c>
      <c r="H52" s="37">
        <f t="shared" si="10"/>
        <v>0</v>
      </c>
      <c r="I52" s="37">
        <f t="shared" si="10"/>
        <v>0</v>
      </c>
      <c r="J52" s="37">
        <f t="shared" si="7"/>
        <v>0</v>
      </c>
      <c r="M52" s="7"/>
    </row>
    <row r="53" spans="1:17" x14ac:dyDescent="0.25">
      <c r="A53" s="1" t="s">
        <v>6</v>
      </c>
      <c r="B53" s="37">
        <f t="shared" si="9"/>
        <v>0</v>
      </c>
      <c r="C53" s="37">
        <f t="shared" ref="C53:I53" si="11">IF(C12&gt;0,C12*(1-C33),0)</f>
        <v>0</v>
      </c>
      <c r="D53" s="37">
        <f t="shared" si="11"/>
        <v>0</v>
      </c>
      <c r="E53" s="37">
        <f t="shared" si="11"/>
        <v>0</v>
      </c>
      <c r="F53" s="37">
        <f t="shared" si="11"/>
        <v>0</v>
      </c>
      <c r="G53" s="37">
        <f t="shared" si="11"/>
        <v>0</v>
      </c>
      <c r="H53" s="37">
        <f t="shared" si="11"/>
        <v>0</v>
      </c>
      <c r="I53" s="37">
        <f t="shared" si="11"/>
        <v>0</v>
      </c>
      <c r="J53" s="37">
        <f t="shared" si="7"/>
        <v>0</v>
      </c>
      <c r="M53" s="7"/>
    </row>
    <row r="54" spans="1:17" x14ac:dyDescent="0.25">
      <c r="A54" s="1" t="s">
        <v>50</v>
      </c>
      <c r="B54" s="37">
        <f t="shared" si="9"/>
        <v>0</v>
      </c>
      <c r="C54" s="37">
        <f t="shared" ref="C54:I54" si="12">IF(C13&gt;0,C13*(1-C34),0)</f>
        <v>0</v>
      </c>
      <c r="D54" s="37">
        <f t="shared" si="12"/>
        <v>0</v>
      </c>
      <c r="E54" s="37">
        <f t="shared" si="12"/>
        <v>0</v>
      </c>
      <c r="F54" s="37">
        <f t="shared" si="12"/>
        <v>0</v>
      </c>
      <c r="G54" s="37">
        <f t="shared" si="12"/>
        <v>0</v>
      </c>
      <c r="H54" s="37">
        <f t="shared" si="12"/>
        <v>0</v>
      </c>
      <c r="I54" s="37">
        <f t="shared" si="12"/>
        <v>0</v>
      </c>
      <c r="J54" s="37">
        <f t="shared" si="7"/>
        <v>0</v>
      </c>
      <c r="M54" s="7"/>
    </row>
    <row r="55" spans="1:17" x14ac:dyDescent="0.25">
      <c r="A55" s="1" t="s">
        <v>89</v>
      </c>
      <c r="B55" s="37">
        <f t="shared" si="9"/>
        <v>0</v>
      </c>
      <c r="C55" s="37">
        <f t="shared" ref="C55:I55" si="13">IF(C14&gt;0,C14*(1-C35),0)</f>
        <v>0</v>
      </c>
      <c r="D55" s="37">
        <f t="shared" si="13"/>
        <v>0</v>
      </c>
      <c r="E55" s="37">
        <f t="shared" si="13"/>
        <v>0</v>
      </c>
      <c r="F55" s="37">
        <f t="shared" si="13"/>
        <v>0</v>
      </c>
      <c r="G55" s="37">
        <f t="shared" si="13"/>
        <v>0</v>
      </c>
      <c r="H55" s="37">
        <f t="shared" si="13"/>
        <v>0</v>
      </c>
      <c r="I55" s="37">
        <f t="shared" si="13"/>
        <v>0</v>
      </c>
      <c r="J55" s="37">
        <f t="shared" si="7"/>
        <v>0</v>
      </c>
      <c r="M55" s="7"/>
    </row>
    <row r="56" spans="1:17" x14ac:dyDescent="0.25">
      <c r="A56" s="1" t="s">
        <v>5</v>
      </c>
      <c r="B56" s="37">
        <f t="shared" si="9"/>
        <v>0</v>
      </c>
      <c r="C56" s="37">
        <f t="shared" ref="C56:I56" si="14">IF(C15&gt;0,C15*(1-C36),0)</f>
        <v>0</v>
      </c>
      <c r="D56" s="37">
        <f t="shared" si="14"/>
        <v>0</v>
      </c>
      <c r="E56" s="37">
        <f t="shared" si="14"/>
        <v>0</v>
      </c>
      <c r="F56" s="37">
        <f t="shared" si="14"/>
        <v>0</v>
      </c>
      <c r="G56" s="37">
        <f t="shared" si="14"/>
        <v>0</v>
      </c>
      <c r="H56" s="37">
        <f t="shared" si="14"/>
        <v>0</v>
      </c>
      <c r="I56" s="37">
        <f t="shared" si="14"/>
        <v>0</v>
      </c>
      <c r="J56" s="37">
        <f t="shared" si="7"/>
        <v>0</v>
      </c>
      <c r="M56" s="7"/>
    </row>
    <row r="57" spans="1:17" x14ac:dyDescent="0.25">
      <c r="A57" s="1" t="s">
        <v>84</v>
      </c>
      <c r="B57" s="37">
        <f t="shared" si="9"/>
        <v>0</v>
      </c>
      <c r="C57" s="37">
        <f t="shared" ref="C57:I57" si="15">IF(C16&gt;0,C16*(1-C37),0)</f>
        <v>0</v>
      </c>
      <c r="D57" s="37">
        <f t="shared" si="15"/>
        <v>0</v>
      </c>
      <c r="E57" s="37">
        <f t="shared" si="15"/>
        <v>0</v>
      </c>
      <c r="F57" s="37">
        <f t="shared" si="15"/>
        <v>0</v>
      </c>
      <c r="G57" s="37">
        <f t="shared" si="15"/>
        <v>0</v>
      </c>
      <c r="H57" s="37">
        <f t="shared" si="15"/>
        <v>0</v>
      </c>
      <c r="I57" s="37">
        <f t="shared" si="15"/>
        <v>0</v>
      </c>
      <c r="J57" s="37">
        <f t="shared" si="7"/>
        <v>0</v>
      </c>
      <c r="M57" s="7"/>
    </row>
    <row r="58" spans="1:17" x14ac:dyDescent="0.25">
      <c r="A58" s="1" t="s">
        <v>4</v>
      </c>
      <c r="B58" s="37">
        <f t="shared" si="9"/>
        <v>0</v>
      </c>
      <c r="C58" s="37">
        <f t="shared" ref="C58:I58" si="16">IF(C17&gt;0,C17*(1-C38),0)</f>
        <v>0</v>
      </c>
      <c r="D58" s="37">
        <f t="shared" si="16"/>
        <v>0</v>
      </c>
      <c r="E58" s="37">
        <f t="shared" si="16"/>
        <v>0</v>
      </c>
      <c r="F58" s="37">
        <f t="shared" si="16"/>
        <v>0</v>
      </c>
      <c r="G58" s="37">
        <f t="shared" si="16"/>
        <v>0</v>
      </c>
      <c r="H58" s="37">
        <f t="shared" si="16"/>
        <v>0</v>
      </c>
      <c r="I58" s="37">
        <f t="shared" si="16"/>
        <v>0</v>
      </c>
      <c r="J58" s="37">
        <f t="shared" si="7"/>
        <v>0</v>
      </c>
      <c r="M58" s="7"/>
    </row>
    <row r="59" spans="1:17" x14ac:dyDescent="0.25">
      <c r="A59" s="1" t="s">
        <v>51</v>
      </c>
      <c r="B59" s="37">
        <f t="shared" si="9"/>
        <v>0</v>
      </c>
      <c r="C59" s="37">
        <f t="shared" ref="C59:I59" si="17">IF(C18&gt;0,C18*(1-C39),0)</f>
        <v>0</v>
      </c>
      <c r="D59" s="37">
        <f t="shared" si="17"/>
        <v>0</v>
      </c>
      <c r="E59" s="37">
        <f t="shared" si="17"/>
        <v>0</v>
      </c>
      <c r="F59" s="37">
        <f t="shared" si="17"/>
        <v>0</v>
      </c>
      <c r="G59" s="37">
        <f t="shared" si="17"/>
        <v>0</v>
      </c>
      <c r="H59" s="37">
        <f t="shared" si="17"/>
        <v>0</v>
      </c>
      <c r="I59" s="37">
        <f t="shared" si="17"/>
        <v>0</v>
      </c>
      <c r="J59" s="37">
        <f t="shared" si="7"/>
        <v>0</v>
      </c>
      <c r="M59" s="7"/>
    </row>
    <row r="60" spans="1:17" x14ac:dyDescent="0.25">
      <c r="A60" s="1" t="s">
        <v>85</v>
      </c>
      <c r="B60" s="37">
        <f t="shared" si="9"/>
        <v>0</v>
      </c>
      <c r="C60" s="37">
        <f t="shared" ref="C60:I60" si="18">IF(C19&gt;0,C19*(1-C40),0)</f>
        <v>0</v>
      </c>
      <c r="D60" s="37">
        <f t="shared" si="18"/>
        <v>0</v>
      </c>
      <c r="E60" s="37">
        <f t="shared" si="18"/>
        <v>0</v>
      </c>
      <c r="F60" s="37">
        <f t="shared" si="18"/>
        <v>0</v>
      </c>
      <c r="G60" s="37">
        <f t="shared" si="18"/>
        <v>0</v>
      </c>
      <c r="H60" s="37">
        <f t="shared" si="18"/>
        <v>0</v>
      </c>
      <c r="I60" s="37">
        <f t="shared" si="18"/>
        <v>0</v>
      </c>
      <c r="J60" s="37">
        <f t="shared" si="7"/>
        <v>0</v>
      </c>
      <c r="M60" s="7"/>
    </row>
    <row r="61" spans="1:17" x14ac:dyDescent="0.25">
      <c r="A61" s="1" t="s">
        <v>2</v>
      </c>
      <c r="B61" s="37">
        <f t="shared" si="9"/>
        <v>0</v>
      </c>
      <c r="C61" s="37">
        <f t="shared" ref="C61:I61" si="19">IF(C20&gt;0,C20*(1-C41),0)</f>
        <v>0</v>
      </c>
      <c r="D61" s="37">
        <f t="shared" si="19"/>
        <v>0</v>
      </c>
      <c r="E61" s="37">
        <f t="shared" si="19"/>
        <v>0</v>
      </c>
      <c r="F61" s="37">
        <f t="shared" si="19"/>
        <v>0</v>
      </c>
      <c r="G61" s="37">
        <f t="shared" si="19"/>
        <v>0</v>
      </c>
      <c r="H61" s="37">
        <f t="shared" si="19"/>
        <v>0</v>
      </c>
      <c r="I61" s="37">
        <f t="shared" si="19"/>
        <v>0</v>
      </c>
      <c r="J61" s="37">
        <f t="shared" si="7"/>
        <v>0</v>
      </c>
      <c r="M61" s="7"/>
    </row>
    <row r="62" spans="1:17" x14ac:dyDescent="0.25">
      <c r="A62" s="1" t="s">
        <v>86</v>
      </c>
      <c r="B62" s="37">
        <f t="shared" si="9"/>
        <v>0</v>
      </c>
      <c r="C62" s="37">
        <f t="shared" ref="C62:I62" si="20">IF(C21&gt;0,C21*(1-C42),0)</f>
        <v>0</v>
      </c>
      <c r="D62" s="37">
        <f t="shared" si="20"/>
        <v>0</v>
      </c>
      <c r="E62" s="37">
        <f t="shared" si="20"/>
        <v>0</v>
      </c>
      <c r="F62" s="37">
        <f t="shared" si="20"/>
        <v>0</v>
      </c>
      <c r="G62" s="37">
        <f t="shared" si="20"/>
        <v>0</v>
      </c>
      <c r="H62" s="37">
        <f t="shared" si="20"/>
        <v>0</v>
      </c>
      <c r="I62" s="37">
        <f t="shared" si="20"/>
        <v>0</v>
      </c>
      <c r="J62" s="37">
        <f t="shared" si="7"/>
        <v>0</v>
      </c>
      <c r="M62" s="183" t="s">
        <v>62</v>
      </c>
    </row>
    <row r="63" spans="1:17" x14ac:dyDescent="0.25">
      <c r="A63" s="1" t="s">
        <v>29</v>
      </c>
      <c r="B63" s="37">
        <f t="shared" si="9"/>
        <v>0</v>
      </c>
      <c r="C63" s="37">
        <f t="shared" ref="C63:I63" si="21">IF(C22&gt;0,C22*(1-C43),0)</f>
        <v>0</v>
      </c>
      <c r="D63" s="37">
        <f t="shared" si="21"/>
        <v>0</v>
      </c>
      <c r="E63" s="37">
        <f t="shared" si="21"/>
        <v>0</v>
      </c>
      <c r="F63" s="37">
        <f t="shared" si="21"/>
        <v>0</v>
      </c>
      <c r="G63" s="37">
        <f t="shared" si="21"/>
        <v>0</v>
      </c>
      <c r="H63" s="37">
        <f t="shared" si="21"/>
        <v>0</v>
      </c>
      <c r="I63" s="37">
        <f t="shared" si="21"/>
        <v>0</v>
      </c>
      <c r="J63" s="37">
        <f t="shared" si="7"/>
        <v>0</v>
      </c>
      <c r="M63" s="183"/>
    </row>
    <row r="64" spans="1:17" x14ac:dyDescent="0.25">
      <c r="A64" s="1" t="s">
        <v>52</v>
      </c>
      <c r="B64" s="37">
        <f t="shared" si="9"/>
        <v>0</v>
      </c>
      <c r="C64" s="37">
        <f t="shared" ref="C64:I64" si="22">IF(C23&gt;0,C23*(1-C44),0)</f>
        <v>0</v>
      </c>
      <c r="D64" s="37">
        <f t="shared" si="22"/>
        <v>0</v>
      </c>
      <c r="E64" s="37">
        <f t="shared" si="22"/>
        <v>0</v>
      </c>
      <c r="F64" s="37">
        <f t="shared" si="22"/>
        <v>0</v>
      </c>
      <c r="G64" s="37">
        <f t="shared" si="22"/>
        <v>0</v>
      </c>
      <c r="H64" s="37">
        <f t="shared" si="22"/>
        <v>0</v>
      </c>
      <c r="I64" s="37">
        <f t="shared" si="22"/>
        <v>0</v>
      </c>
      <c r="J64" s="37">
        <f t="shared" si="7"/>
        <v>0</v>
      </c>
      <c r="L64" s="35" t="s">
        <v>41</v>
      </c>
      <c r="M64" s="183" t="s">
        <v>63</v>
      </c>
    </row>
    <row r="65" spans="1:13" x14ac:dyDescent="0.25">
      <c r="A65" s="1" t="s">
        <v>1</v>
      </c>
      <c r="B65" s="38">
        <f t="shared" si="9"/>
        <v>0</v>
      </c>
      <c r="C65" s="38">
        <f t="shared" ref="C65:I65" si="23">IF(C24&gt;0,C24*(1-C45),0)</f>
        <v>0</v>
      </c>
      <c r="D65" s="38">
        <f t="shared" si="23"/>
        <v>0</v>
      </c>
      <c r="E65" s="38">
        <f t="shared" si="23"/>
        <v>0</v>
      </c>
      <c r="F65" s="38">
        <f t="shared" si="23"/>
        <v>0</v>
      </c>
      <c r="G65" s="38">
        <f t="shared" si="23"/>
        <v>0</v>
      </c>
      <c r="H65" s="38">
        <f t="shared" si="23"/>
        <v>0</v>
      </c>
      <c r="I65" s="38">
        <f t="shared" si="23"/>
        <v>0</v>
      </c>
      <c r="J65" s="38">
        <f t="shared" si="7"/>
        <v>0</v>
      </c>
      <c r="L65" s="42" t="s">
        <v>61</v>
      </c>
      <c r="M65" s="184"/>
    </row>
    <row r="66" spans="1:13" x14ac:dyDescent="0.25">
      <c r="A66" s="1"/>
      <c r="B66" s="9">
        <f>SUM(B49:B65)</f>
        <v>0</v>
      </c>
      <c r="C66" s="9">
        <f t="shared" ref="C66:J66" si="24">SUM(C49:C65)</f>
        <v>0</v>
      </c>
      <c r="D66" s="9">
        <f t="shared" si="24"/>
        <v>0</v>
      </c>
      <c r="E66" s="9">
        <f t="shared" si="24"/>
        <v>0</v>
      </c>
      <c r="F66" s="9">
        <f t="shared" si="24"/>
        <v>0</v>
      </c>
      <c r="G66" s="9">
        <f t="shared" si="24"/>
        <v>0</v>
      </c>
      <c r="H66" s="9">
        <f t="shared" si="24"/>
        <v>0</v>
      </c>
      <c r="I66" s="9">
        <f t="shared" si="24"/>
        <v>0</v>
      </c>
      <c r="J66" s="9">
        <f t="shared" si="24"/>
        <v>0</v>
      </c>
      <c r="L66" s="108">
        <v>60000</v>
      </c>
      <c r="M66" s="7">
        <f>J66-L66</f>
        <v>-60000</v>
      </c>
    </row>
    <row r="67" spans="1:13" ht="15.75" thickBot="1" x14ac:dyDescent="0.3">
      <c r="A67" s="1"/>
      <c r="B67" s="9"/>
      <c r="C67" s="9"/>
      <c r="D67" s="9"/>
      <c r="E67" s="9"/>
      <c r="F67" s="9"/>
      <c r="G67" s="9"/>
      <c r="H67" s="9"/>
      <c r="I67" s="9"/>
      <c r="J67" s="9"/>
      <c r="M67" s="7"/>
    </row>
    <row r="68" spans="1:13" ht="15.75" thickBot="1" x14ac:dyDescent="0.3">
      <c r="A68" s="170" t="s">
        <v>64</v>
      </c>
      <c r="B68" s="171"/>
      <c r="C68" s="171"/>
      <c r="D68" s="171"/>
      <c r="E68" s="171"/>
      <c r="F68" s="171"/>
      <c r="G68" s="171"/>
      <c r="H68" s="171"/>
      <c r="I68" s="171"/>
      <c r="J68" s="172"/>
      <c r="M68" s="7"/>
    </row>
    <row r="69" spans="1:13" x14ac:dyDescent="0.25">
      <c r="A69" s="4" t="s">
        <v>16</v>
      </c>
      <c r="B69" s="5" t="s">
        <v>15</v>
      </c>
      <c r="C69" s="5" t="s">
        <v>14</v>
      </c>
      <c r="D69" s="5" t="s">
        <v>13</v>
      </c>
      <c r="E69" s="5" t="s">
        <v>12</v>
      </c>
      <c r="F69" s="5" t="s">
        <v>93</v>
      </c>
      <c r="G69" s="5" t="s">
        <v>94</v>
      </c>
      <c r="H69" s="5" t="s">
        <v>38</v>
      </c>
      <c r="I69" s="5" t="s">
        <v>9</v>
      </c>
      <c r="J69" s="5" t="s">
        <v>0</v>
      </c>
      <c r="M69" s="7"/>
    </row>
    <row r="70" spans="1:13" x14ac:dyDescent="0.25">
      <c r="A70" s="1" t="s">
        <v>49</v>
      </c>
      <c r="B70" s="39">
        <f t="shared" ref="B70:B71" si="25">B8-B49</f>
        <v>0</v>
      </c>
      <c r="C70" s="39">
        <f t="shared" ref="C70:I70" si="26">C8-C49</f>
        <v>0</v>
      </c>
      <c r="D70" s="39">
        <f t="shared" si="26"/>
        <v>0</v>
      </c>
      <c r="E70" s="39">
        <f t="shared" si="26"/>
        <v>0</v>
      </c>
      <c r="F70" s="39">
        <f t="shared" si="26"/>
        <v>0</v>
      </c>
      <c r="G70" s="39">
        <f t="shared" si="26"/>
        <v>0</v>
      </c>
      <c r="H70" s="39">
        <f t="shared" si="26"/>
        <v>0</v>
      </c>
      <c r="I70" s="39">
        <f t="shared" si="26"/>
        <v>0</v>
      </c>
      <c r="J70" s="39">
        <f>SUM(B70:H70)</f>
        <v>0</v>
      </c>
      <c r="M70" s="7"/>
    </row>
    <row r="71" spans="1:13" x14ac:dyDescent="0.25">
      <c r="A71" s="1" t="s">
        <v>8</v>
      </c>
      <c r="B71" s="39">
        <f t="shared" si="25"/>
        <v>0</v>
      </c>
      <c r="C71" s="39">
        <f t="shared" ref="C71:I71" si="27">C9-C50</f>
        <v>0</v>
      </c>
      <c r="D71" s="39">
        <f t="shared" si="27"/>
        <v>0</v>
      </c>
      <c r="E71" s="39">
        <f t="shared" si="27"/>
        <v>0</v>
      </c>
      <c r="F71" s="39">
        <f t="shared" si="27"/>
        <v>0</v>
      </c>
      <c r="G71" s="39">
        <f t="shared" si="27"/>
        <v>0</v>
      </c>
      <c r="H71" s="39">
        <f t="shared" si="27"/>
        <v>0</v>
      </c>
      <c r="I71" s="39">
        <f t="shared" si="27"/>
        <v>0</v>
      </c>
      <c r="J71" s="39">
        <f t="shared" ref="J71:J86" si="28">SUM(B71:H71)</f>
        <v>0</v>
      </c>
      <c r="M71" s="7"/>
    </row>
    <row r="72" spans="1:13" x14ac:dyDescent="0.25">
      <c r="A72" s="1" t="s">
        <v>7</v>
      </c>
      <c r="B72" s="39">
        <f>B10-B51</f>
        <v>0</v>
      </c>
      <c r="C72" s="39">
        <f t="shared" ref="C72:I72" si="29">C10-C51</f>
        <v>0</v>
      </c>
      <c r="D72" s="39">
        <f t="shared" si="29"/>
        <v>0</v>
      </c>
      <c r="E72" s="39">
        <f t="shared" si="29"/>
        <v>0</v>
      </c>
      <c r="F72" s="39">
        <f t="shared" si="29"/>
        <v>0</v>
      </c>
      <c r="G72" s="39">
        <f t="shared" si="29"/>
        <v>0</v>
      </c>
      <c r="H72" s="39">
        <f t="shared" si="29"/>
        <v>0</v>
      </c>
      <c r="I72" s="39">
        <f t="shared" si="29"/>
        <v>0</v>
      </c>
      <c r="J72" s="39">
        <f t="shared" si="28"/>
        <v>0</v>
      </c>
      <c r="M72" s="7"/>
    </row>
    <row r="73" spans="1:13" x14ac:dyDescent="0.25">
      <c r="A73" s="1" t="s">
        <v>42</v>
      </c>
      <c r="B73" s="39">
        <f t="shared" ref="B73:B86" si="30">B11-B52</f>
        <v>0</v>
      </c>
      <c r="C73" s="39">
        <f t="shared" ref="C73:I73" si="31">C11-C52</f>
        <v>0</v>
      </c>
      <c r="D73" s="39">
        <f t="shared" si="31"/>
        <v>0</v>
      </c>
      <c r="E73" s="39">
        <f t="shared" si="31"/>
        <v>0</v>
      </c>
      <c r="F73" s="39">
        <f t="shared" si="31"/>
        <v>0</v>
      </c>
      <c r="G73" s="39">
        <f t="shared" si="31"/>
        <v>0</v>
      </c>
      <c r="H73" s="39">
        <f t="shared" si="31"/>
        <v>0</v>
      </c>
      <c r="I73" s="39">
        <f t="shared" si="31"/>
        <v>0</v>
      </c>
      <c r="J73" s="39">
        <f t="shared" si="28"/>
        <v>0</v>
      </c>
      <c r="M73" s="7"/>
    </row>
    <row r="74" spans="1:13" x14ac:dyDescent="0.25">
      <c r="A74" s="1" t="s">
        <v>6</v>
      </c>
      <c r="B74" s="39">
        <f t="shared" si="30"/>
        <v>0</v>
      </c>
      <c r="C74" s="39">
        <f t="shared" ref="C74:I74" si="32">C12-C53</f>
        <v>0</v>
      </c>
      <c r="D74" s="39">
        <f t="shared" si="32"/>
        <v>0</v>
      </c>
      <c r="E74" s="39">
        <f t="shared" si="32"/>
        <v>0</v>
      </c>
      <c r="F74" s="39">
        <f t="shared" si="32"/>
        <v>0</v>
      </c>
      <c r="G74" s="39">
        <f t="shared" si="32"/>
        <v>0</v>
      </c>
      <c r="H74" s="39">
        <f t="shared" si="32"/>
        <v>0</v>
      </c>
      <c r="I74" s="39">
        <f t="shared" si="32"/>
        <v>0</v>
      </c>
      <c r="J74" s="39">
        <f t="shared" si="28"/>
        <v>0</v>
      </c>
      <c r="M74" s="7"/>
    </row>
    <row r="75" spans="1:13" x14ac:dyDescent="0.25">
      <c r="A75" s="1" t="s">
        <v>50</v>
      </c>
      <c r="B75" s="39">
        <f t="shared" si="30"/>
        <v>0</v>
      </c>
      <c r="C75" s="39">
        <f t="shared" ref="C75:I75" si="33">C13-C54</f>
        <v>0</v>
      </c>
      <c r="D75" s="39">
        <f t="shared" si="33"/>
        <v>0</v>
      </c>
      <c r="E75" s="39">
        <f t="shared" si="33"/>
        <v>0</v>
      </c>
      <c r="F75" s="39">
        <f t="shared" si="33"/>
        <v>0</v>
      </c>
      <c r="G75" s="39">
        <f t="shared" si="33"/>
        <v>0</v>
      </c>
      <c r="H75" s="39">
        <f t="shared" si="33"/>
        <v>0</v>
      </c>
      <c r="I75" s="39">
        <f t="shared" si="33"/>
        <v>0</v>
      </c>
      <c r="J75" s="39">
        <f t="shared" si="28"/>
        <v>0</v>
      </c>
      <c r="M75" s="7"/>
    </row>
    <row r="76" spans="1:13" x14ac:dyDescent="0.25">
      <c r="A76" s="1" t="s">
        <v>89</v>
      </c>
      <c r="B76" s="39">
        <f t="shared" si="30"/>
        <v>0</v>
      </c>
      <c r="C76" s="39">
        <f t="shared" ref="C76:I76" si="34">C14-C55</f>
        <v>0</v>
      </c>
      <c r="D76" s="39">
        <f t="shared" si="34"/>
        <v>0</v>
      </c>
      <c r="E76" s="39">
        <f t="shared" si="34"/>
        <v>0</v>
      </c>
      <c r="F76" s="39">
        <f t="shared" si="34"/>
        <v>0</v>
      </c>
      <c r="G76" s="39">
        <f t="shared" si="34"/>
        <v>0</v>
      </c>
      <c r="H76" s="39">
        <f t="shared" si="34"/>
        <v>0</v>
      </c>
      <c r="I76" s="39">
        <f t="shared" si="34"/>
        <v>0</v>
      </c>
      <c r="J76" s="39">
        <f t="shared" si="28"/>
        <v>0</v>
      </c>
      <c r="M76" s="7"/>
    </row>
    <row r="77" spans="1:13" x14ac:dyDescent="0.25">
      <c r="A77" s="1" t="s">
        <v>5</v>
      </c>
      <c r="B77" s="39">
        <f t="shared" si="30"/>
        <v>0</v>
      </c>
      <c r="C77" s="39">
        <f t="shared" ref="C77:I77" si="35">C15-C56</f>
        <v>0</v>
      </c>
      <c r="D77" s="39">
        <f t="shared" si="35"/>
        <v>0</v>
      </c>
      <c r="E77" s="39">
        <f t="shared" si="35"/>
        <v>0</v>
      </c>
      <c r="F77" s="39">
        <f t="shared" si="35"/>
        <v>0</v>
      </c>
      <c r="G77" s="39">
        <f t="shared" si="35"/>
        <v>0</v>
      </c>
      <c r="H77" s="39">
        <f t="shared" si="35"/>
        <v>0</v>
      </c>
      <c r="I77" s="39">
        <f t="shared" si="35"/>
        <v>0</v>
      </c>
      <c r="J77" s="39">
        <f t="shared" si="28"/>
        <v>0</v>
      </c>
      <c r="M77" s="7"/>
    </row>
    <row r="78" spans="1:13" x14ac:dyDescent="0.25">
      <c r="A78" s="1" t="s">
        <v>84</v>
      </c>
      <c r="B78" s="39">
        <f t="shared" si="30"/>
        <v>0</v>
      </c>
      <c r="C78" s="39">
        <f t="shared" ref="C78:I78" si="36">C16-C57</f>
        <v>0</v>
      </c>
      <c r="D78" s="39">
        <f t="shared" si="36"/>
        <v>0</v>
      </c>
      <c r="E78" s="39">
        <f t="shared" si="36"/>
        <v>0</v>
      </c>
      <c r="F78" s="39">
        <f t="shared" si="36"/>
        <v>0</v>
      </c>
      <c r="G78" s="39">
        <f t="shared" si="36"/>
        <v>0</v>
      </c>
      <c r="H78" s="39">
        <f t="shared" si="36"/>
        <v>0</v>
      </c>
      <c r="I78" s="39">
        <f t="shared" si="36"/>
        <v>0</v>
      </c>
      <c r="J78" s="39">
        <f t="shared" si="28"/>
        <v>0</v>
      </c>
      <c r="M78" s="7"/>
    </row>
    <row r="79" spans="1:13" x14ac:dyDescent="0.25">
      <c r="A79" s="1" t="s">
        <v>4</v>
      </c>
      <c r="B79" s="39">
        <f t="shared" si="30"/>
        <v>0</v>
      </c>
      <c r="C79" s="39">
        <f t="shared" ref="C79:I79" si="37">C17-C58</f>
        <v>0</v>
      </c>
      <c r="D79" s="39">
        <f t="shared" si="37"/>
        <v>0</v>
      </c>
      <c r="E79" s="39">
        <f t="shared" si="37"/>
        <v>0</v>
      </c>
      <c r="F79" s="39">
        <f t="shared" si="37"/>
        <v>0</v>
      </c>
      <c r="G79" s="39">
        <f t="shared" si="37"/>
        <v>0</v>
      </c>
      <c r="H79" s="39">
        <f t="shared" si="37"/>
        <v>0</v>
      </c>
      <c r="I79" s="39">
        <f t="shared" si="37"/>
        <v>0</v>
      </c>
      <c r="J79" s="39">
        <f t="shared" si="28"/>
        <v>0</v>
      </c>
      <c r="M79" s="7"/>
    </row>
    <row r="80" spans="1:13" x14ac:dyDescent="0.25">
      <c r="A80" s="1" t="s">
        <v>51</v>
      </c>
      <c r="B80" s="39">
        <f t="shared" si="30"/>
        <v>0</v>
      </c>
      <c r="C80" s="39">
        <f t="shared" ref="C80:I80" si="38">C18-C59</f>
        <v>0</v>
      </c>
      <c r="D80" s="39">
        <f t="shared" si="38"/>
        <v>0</v>
      </c>
      <c r="E80" s="39">
        <f t="shared" si="38"/>
        <v>0</v>
      </c>
      <c r="F80" s="39">
        <f t="shared" si="38"/>
        <v>0</v>
      </c>
      <c r="G80" s="39">
        <f t="shared" si="38"/>
        <v>0</v>
      </c>
      <c r="H80" s="39">
        <f t="shared" si="38"/>
        <v>0</v>
      </c>
      <c r="I80" s="39">
        <f t="shared" si="38"/>
        <v>0</v>
      </c>
      <c r="J80" s="39">
        <f t="shared" si="28"/>
        <v>0</v>
      </c>
      <c r="M80" s="7"/>
    </row>
    <row r="81" spans="1:13" x14ac:dyDescent="0.25">
      <c r="A81" s="1" t="s">
        <v>85</v>
      </c>
      <c r="B81" s="39">
        <f t="shared" si="30"/>
        <v>0</v>
      </c>
      <c r="C81" s="39">
        <f t="shared" ref="C81:I81" si="39">C19-C60</f>
        <v>0</v>
      </c>
      <c r="D81" s="39">
        <f t="shared" si="39"/>
        <v>0</v>
      </c>
      <c r="E81" s="39">
        <f t="shared" si="39"/>
        <v>0</v>
      </c>
      <c r="F81" s="39">
        <f t="shared" si="39"/>
        <v>0</v>
      </c>
      <c r="G81" s="39">
        <f t="shared" si="39"/>
        <v>0</v>
      </c>
      <c r="H81" s="39">
        <f t="shared" si="39"/>
        <v>0</v>
      </c>
      <c r="I81" s="39">
        <f t="shared" si="39"/>
        <v>0</v>
      </c>
      <c r="J81" s="39">
        <f t="shared" si="28"/>
        <v>0</v>
      </c>
      <c r="M81" s="7"/>
    </row>
    <row r="82" spans="1:13" x14ac:dyDescent="0.25">
      <c r="A82" s="1" t="s">
        <v>2</v>
      </c>
      <c r="B82" s="39">
        <f t="shared" si="30"/>
        <v>0</v>
      </c>
      <c r="C82" s="39">
        <f t="shared" ref="C82:I82" si="40">C20-C61</f>
        <v>0</v>
      </c>
      <c r="D82" s="39">
        <f t="shared" si="40"/>
        <v>0</v>
      </c>
      <c r="E82" s="39">
        <f t="shared" si="40"/>
        <v>0</v>
      </c>
      <c r="F82" s="39">
        <f t="shared" si="40"/>
        <v>0</v>
      </c>
      <c r="G82" s="39">
        <f t="shared" si="40"/>
        <v>0</v>
      </c>
      <c r="H82" s="39">
        <f t="shared" si="40"/>
        <v>0</v>
      </c>
      <c r="I82" s="39">
        <f t="shared" si="40"/>
        <v>0</v>
      </c>
      <c r="J82" s="39">
        <f t="shared" si="28"/>
        <v>0</v>
      </c>
      <c r="M82" s="7"/>
    </row>
    <row r="83" spans="1:13" x14ac:dyDescent="0.25">
      <c r="A83" s="1" t="s">
        <v>86</v>
      </c>
      <c r="B83" s="39">
        <f t="shared" si="30"/>
        <v>0</v>
      </c>
      <c r="C83" s="39">
        <f t="shared" ref="C83:I83" si="41">C21-C62</f>
        <v>0</v>
      </c>
      <c r="D83" s="39">
        <f t="shared" si="41"/>
        <v>0</v>
      </c>
      <c r="E83" s="39">
        <f t="shared" si="41"/>
        <v>0</v>
      </c>
      <c r="F83" s="39">
        <f t="shared" si="41"/>
        <v>0</v>
      </c>
      <c r="G83" s="39">
        <f t="shared" si="41"/>
        <v>0</v>
      </c>
      <c r="H83" s="39">
        <f t="shared" si="41"/>
        <v>0</v>
      </c>
      <c r="I83" s="39">
        <f t="shared" si="41"/>
        <v>0</v>
      </c>
      <c r="J83" s="39">
        <f t="shared" si="28"/>
        <v>0</v>
      </c>
      <c r="M83" s="7"/>
    </row>
    <row r="84" spans="1:13" x14ac:dyDescent="0.25">
      <c r="A84" s="1" t="s">
        <v>29</v>
      </c>
      <c r="B84" s="39">
        <f t="shared" si="30"/>
        <v>0</v>
      </c>
      <c r="C84" s="39">
        <f t="shared" ref="C84:I84" si="42">C22-C63</f>
        <v>0</v>
      </c>
      <c r="D84" s="39">
        <f t="shared" si="42"/>
        <v>0</v>
      </c>
      <c r="E84" s="39">
        <f t="shared" si="42"/>
        <v>0</v>
      </c>
      <c r="F84" s="39">
        <f t="shared" si="42"/>
        <v>0</v>
      </c>
      <c r="G84" s="39">
        <f t="shared" si="42"/>
        <v>0</v>
      </c>
      <c r="H84" s="39">
        <f t="shared" si="42"/>
        <v>0</v>
      </c>
      <c r="I84" s="39">
        <f t="shared" si="42"/>
        <v>0</v>
      </c>
      <c r="J84" s="39">
        <f t="shared" si="28"/>
        <v>0</v>
      </c>
      <c r="M84" s="7"/>
    </row>
    <row r="85" spans="1:13" x14ac:dyDescent="0.25">
      <c r="A85" s="1" t="s">
        <v>52</v>
      </c>
      <c r="B85" s="39">
        <f t="shared" si="30"/>
        <v>0</v>
      </c>
      <c r="C85" s="39">
        <f t="shared" ref="C85:I85" si="43">C23-C64</f>
        <v>0</v>
      </c>
      <c r="D85" s="39">
        <f t="shared" si="43"/>
        <v>0</v>
      </c>
      <c r="E85" s="39">
        <f t="shared" si="43"/>
        <v>0</v>
      </c>
      <c r="F85" s="39">
        <f t="shared" si="43"/>
        <v>0</v>
      </c>
      <c r="G85" s="39">
        <f t="shared" si="43"/>
        <v>0</v>
      </c>
      <c r="H85" s="39">
        <f t="shared" si="43"/>
        <v>0</v>
      </c>
      <c r="I85" s="39">
        <f t="shared" si="43"/>
        <v>0</v>
      </c>
      <c r="J85" s="39">
        <f t="shared" si="28"/>
        <v>0</v>
      </c>
      <c r="M85" s="7"/>
    </row>
    <row r="86" spans="1:13" x14ac:dyDescent="0.25">
      <c r="A86" s="1" t="s">
        <v>1</v>
      </c>
      <c r="B86" s="40">
        <f t="shared" si="30"/>
        <v>0</v>
      </c>
      <c r="C86" s="40">
        <f t="shared" ref="C86:I86" si="44">C24-C65</f>
        <v>0</v>
      </c>
      <c r="D86" s="40">
        <f t="shared" si="44"/>
        <v>0</v>
      </c>
      <c r="E86" s="40">
        <f t="shared" si="44"/>
        <v>0</v>
      </c>
      <c r="F86" s="40">
        <f t="shared" si="44"/>
        <v>0</v>
      </c>
      <c r="G86" s="40">
        <f t="shared" si="44"/>
        <v>0</v>
      </c>
      <c r="H86" s="40">
        <f t="shared" si="44"/>
        <v>0</v>
      </c>
      <c r="I86" s="40">
        <f t="shared" si="44"/>
        <v>0</v>
      </c>
      <c r="J86" s="40">
        <f t="shared" si="28"/>
        <v>0</v>
      </c>
      <c r="M86" s="7"/>
    </row>
    <row r="87" spans="1:13" x14ac:dyDescent="0.25">
      <c r="A87" s="4"/>
      <c r="B87" s="39">
        <f>SUM(B70:B86)</f>
        <v>0</v>
      </c>
      <c r="C87" s="39">
        <f t="shared" ref="C87:J87" si="45">SUM(C70:C86)</f>
        <v>0</v>
      </c>
      <c r="D87" s="39">
        <f t="shared" si="45"/>
        <v>0</v>
      </c>
      <c r="E87" s="39">
        <f t="shared" si="45"/>
        <v>0</v>
      </c>
      <c r="F87" s="39">
        <f t="shared" si="45"/>
        <v>0</v>
      </c>
      <c r="G87" s="39">
        <f t="shared" si="45"/>
        <v>0</v>
      </c>
      <c r="H87" s="39">
        <f t="shared" si="45"/>
        <v>0</v>
      </c>
      <c r="I87" s="39">
        <f t="shared" si="45"/>
        <v>0</v>
      </c>
      <c r="J87" s="39">
        <f t="shared" si="45"/>
        <v>0</v>
      </c>
      <c r="M87" s="7"/>
    </row>
    <row r="88" spans="1:13" ht="15.75" thickBot="1" x14ac:dyDescent="0.3">
      <c r="A88" s="4"/>
      <c r="B88" s="39"/>
      <c r="C88" s="39"/>
      <c r="D88" s="39"/>
      <c r="E88" s="39"/>
      <c r="F88" s="39"/>
      <c r="G88" s="39"/>
      <c r="H88" s="39"/>
      <c r="I88" s="39"/>
      <c r="J88" s="39"/>
      <c r="M88" s="7"/>
    </row>
    <row r="89" spans="1:13" ht="15.75" thickBot="1" x14ac:dyDescent="0.3">
      <c r="A89" s="167" t="s">
        <v>59</v>
      </c>
      <c r="B89" s="168"/>
      <c r="C89" s="168"/>
      <c r="D89" s="168"/>
      <c r="E89" s="168"/>
      <c r="F89" s="168"/>
      <c r="G89" s="168"/>
      <c r="H89" s="168"/>
      <c r="I89" s="168"/>
      <c r="J89" s="169"/>
      <c r="M89" s="7"/>
    </row>
    <row r="90" spans="1:13" x14ac:dyDescent="0.25">
      <c r="A90" s="4" t="s">
        <v>16</v>
      </c>
      <c r="B90" s="5" t="s">
        <v>15</v>
      </c>
      <c r="C90" s="5" t="s">
        <v>14</v>
      </c>
      <c r="D90" s="5" t="s">
        <v>13</v>
      </c>
      <c r="E90" s="5" t="s">
        <v>12</v>
      </c>
      <c r="F90" s="5" t="s">
        <v>93</v>
      </c>
      <c r="G90" s="5" t="s">
        <v>94</v>
      </c>
      <c r="H90" s="5" t="s">
        <v>38</v>
      </c>
      <c r="I90" s="5" t="s">
        <v>9</v>
      </c>
      <c r="J90" s="5" t="s">
        <v>0</v>
      </c>
      <c r="M90" s="7"/>
    </row>
    <row r="91" spans="1:13" x14ac:dyDescent="0.25">
      <c r="A91" s="1" t="s">
        <v>49</v>
      </c>
      <c r="B91" s="41">
        <v>0</v>
      </c>
      <c r="C91" s="41">
        <v>0</v>
      </c>
      <c r="D91" s="41">
        <v>0</v>
      </c>
      <c r="E91" s="41">
        <v>0.1</v>
      </c>
      <c r="F91" s="41">
        <v>0.15</v>
      </c>
      <c r="G91" s="41">
        <v>0.15</v>
      </c>
      <c r="H91" s="41">
        <v>0.2</v>
      </c>
      <c r="I91" s="41">
        <v>1</v>
      </c>
      <c r="J91" s="39"/>
      <c r="M91" s="7"/>
    </row>
    <row r="92" spans="1:13" x14ac:dyDescent="0.25">
      <c r="A92" s="1" t="s">
        <v>8</v>
      </c>
      <c r="B92" s="41">
        <v>0</v>
      </c>
      <c r="C92" s="41">
        <v>0</v>
      </c>
      <c r="D92" s="41">
        <v>0</v>
      </c>
      <c r="E92" s="41">
        <v>0.1</v>
      </c>
      <c r="F92" s="41">
        <v>0.15</v>
      </c>
      <c r="G92" s="41">
        <v>0.15</v>
      </c>
      <c r="H92" s="41">
        <v>0.2</v>
      </c>
      <c r="I92" s="41">
        <v>1</v>
      </c>
      <c r="J92" s="39"/>
      <c r="M92" s="7"/>
    </row>
    <row r="93" spans="1:13" x14ac:dyDescent="0.25">
      <c r="A93" s="1" t="s">
        <v>7</v>
      </c>
      <c r="B93" s="41">
        <v>0</v>
      </c>
      <c r="C93" s="41">
        <v>0</v>
      </c>
      <c r="D93" s="41">
        <v>0</v>
      </c>
      <c r="E93" s="41">
        <v>0.1</v>
      </c>
      <c r="F93" s="41">
        <v>0.15</v>
      </c>
      <c r="G93" s="41">
        <v>0.15</v>
      </c>
      <c r="H93" s="41">
        <v>0.2</v>
      </c>
      <c r="I93" s="41">
        <v>1</v>
      </c>
      <c r="J93" s="39"/>
      <c r="M93" s="7"/>
    </row>
    <row r="94" spans="1:13" x14ac:dyDescent="0.25">
      <c r="A94" s="1" t="s">
        <v>42</v>
      </c>
      <c r="B94" s="41">
        <v>0</v>
      </c>
      <c r="C94" s="41">
        <v>0</v>
      </c>
      <c r="D94" s="41">
        <v>0</v>
      </c>
      <c r="E94" s="41">
        <v>0.1</v>
      </c>
      <c r="F94" s="41">
        <v>0.15</v>
      </c>
      <c r="G94" s="41">
        <v>0.15</v>
      </c>
      <c r="H94" s="41">
        <v>0.2</v>
      </c>
      <c r="I94" s="41">
        <v>1</v>
      </c>
      <c r="J94" s="39"/>
      <c r="M94" s="7"/>
    </row>
    <row r="95" spans="1:13" x14ac:dyDescent="0.25">
      <c r="A95" s="1" t="s">
        <v>6</v>
      </c>
      <c r="B95" s="41">
        <v>0</v>
      </c>
      <c r="C95" s="41">
        <v>0</v>
      </c>
      <c r="D95" s="41">
        <v>0</v>
      </c>
      <c r="E95" s="41">
        <v>0.1</v>
      </c>
      <c r="F95" s="41">
        <v>0.15</v>
      </c>
      <c r="G95" s="41">
        <v>0.15</v>
      </c>
      <c r="H95" s="41">
        <v>0.2</v>
      </c>
      <c r="I95" s="41">
        <v>1</v>
      </c>
      <c r="J95" s="39"/>
      <c r="M95" s="7"/>
    </row>
    <row r="96" spans="1:13" x14ac:dyDescent="0.25">
      <c r="A96" s="1" t="s">
        <v>50</v>
      </c>
      <c r="B96" s="41">
        <v>0</v>
      </c>
      <c r="C96" s="41">
        <v>0</v>
      </c>
      <c r="D96" s="41">
        <v>0</v>
      </c>
      <c r="E96" s="41">
        <v>0.1</v>
      </c>
      <c r="F96" s="41">
        <v>0.15</v>
      </c>
      <c r="G96" s="41">
        <v>0.15</v>
      </c>
      <c r="H96" s="41">
        <v>0.2</v>
      </c>
      <c r="I96" s="41">
        <v>1</v>
      </c>
      <c r="J96" s="39"/>
      <c r="M96" s="7"/>
    </row>
    <row r="97" spans="1:13" x14ac:dyDescent="0.25">
      <c r="A97" s="1" t="s">
        <v>89</v>
      </c>
      <c r="B97" s="41">
        <v>0</v>
      </c>
      <c r="C97" s="41">
        <v>0</v>
      </c>
      <c r="D97" s="41">
        <v>0</v>
      </c>
      <c r="E97" s="41">
        <v>0.1</v>
      </c>
      <c r="F97" s="41">
        <v>0.15</v>
      </c>
      <c r="G97" s="41">
        <v>0.15</v>
      </c>
      <c r="H97" s="41">
        <v>0.2</v>
      </c>
      <c r="I97" s="41">
        <v>1</v>
      </c>
      <c r="J97" s="39"/>
      <c r="M97" s="7"/>
    </row>
    <row r="98" spans="1:13" x14ac:dyDescent="0.25">
      <c r="A98" s="1" t="s">
        <v>5</v>
      </c>
      <c r="B98" s="41">
        <v>0</v>
      </c>
      <c r="C98" s="41">
        <v>0</v>
      </c>
      <c r="D98" s="41">
        <v>0</v>
      </c>
      <c r="E98" s="41">
        <v>0.1</v>
      </c>
      <c r="F98" s="41">
        <v>0.15</v>
      </c>
      <c r="G98" s="41">
        <v>0.15</v>
      </c>
      <c r="H98" s="41">
        <v>0.2</v>
      </c>
      <c r="I98" s="41">
        <v>1</v>
      </c>
      <c r="J98" s="39"/>
      <c r="M98" s="7"/>
    </row>
    <row r="99" spans="1:13" x14ac:dyDescent="0.25">
      <c r="A99" s="1" t="s">
        <v>84</v>
      </c>
      <c r="B99" s="41">
        <v>0</v>
      </c>
      <c r="C99" s="41">
        <v>0</v>
      </c>
      <c r="D99" s="41">
        <v>0</v>
      </c>
      <c r="E99" s="41">
        <v>0.1</v>
      </c>
      <c r="F99" s="41">
        <v>0.15</v>
      </c>
      <c r="G99" s="41">
        <v>0.15</v>
      </c>
      <c r="H99" s="41">
        <v>0.2</v>
      </c>
      <c r="I99" s="41">
        <v>1</v>
      </c>
      <c r="J99" s="39"/>
      <c r="M99" s="7"/>
    </row>
    <row r="100" spans="1:13" x14ac:dyDescent="0.25">
      <c r="A100" s="1" t="s">
        <v>4</v>
      </c>
      <c r="B100" s="41">
        <v>0</v>
      </c>
      <c r="C100" s="41">
        <v>0</v>
      </c>
      <c r="D100" s="41">
        <v>0</v>
      </c>
      <c r="E100" s="41">
        <v>0.1</v>
      </c>
      <c r="F100" s="41">
        <v>0.15</v>
      </c>
      <c r="G100" s="41">
        <v>0.15</v>
      </c>
      <c r="H100" s="41">
        <v>0.2</v>
      </c>
      <c r="I100" s="41">
        <v>1</v>
      </c>
      <c r="J100" s="39"/>
      <c r="M100" s="7"/>
    </row>
    <row r="101" spans="1:13" x14ac:dyDescent="0.25">
      <c r="A101" s="1" t="s">
        <v>51</v>
      </c>
      <c r="B101" s="41">
        <v>0</v>
      </c>
      <c r="C101" s="41">
        <v>0</v>
      </c>
      <c r="D101" s="41">
        <v>0</v>
      </c>
      <c r="E101" s="41">
        <v>0.1</v>
      </c>
      <c r="F101" s="41">
        <v>0.15</v>
      </c>
      <c r="G101" s="41">
        <v>0.15</v>
      </c>
      <c r="H101" s="41">
        <v>0.2</v>
      </c>
      <c r="I101" s="41">
        <v>1</v>
      </c>
      <c r="J101" s="39"/>
      <c r="M101" s="7"/>
    </row>
    <row r="102" spans="1:13" x14ac:dyDescent="0.25">
      <c r="A102" s="1" t="s">
        <v>85</v>
      </c>
      <c r="B102" s="41">
        <v>0</v>
      </c>
      <c r="C102" s="41">
        <v>0</v>
      </c>
      <c r="D102" s="41">
        <v>0</v>
      </c>
      <c r="E102" s="41">
        <v>0.1</v>
      </c>
      <c r="F102" s="41">
        <v>0.15</v>
      </c>
      <c r="G102" s="41">
        <v>0.15</v>
      </c>
      <c r="H102" s="41">
        <v>0.2</v>
      </c>
      <c r="I102" s="41">
        <v>1</v>
      </c>
      <c r="J102" s="39"/>
      <c r="M102" s="7"/>
    </row>
    <row r="103" spans="1:13" x14ac:dyDescent="0.25">
      <c r="A103" s="1" t="s">
        <v>2</v>
      </c>
      <c r="B103" s="41">
        <v>0</v>
      </c>
      <c r="C103" s="41">
        <v>0</v>
      </c>
      <c r="D103" s="41">
        <v>0.1</v>
      </c>
      <c r="E103" s="41">
        <v>0.5</v>
      </c>
      <c r="F103" s="41">
        <v>1</v>
      </c>
      <c r="G103" s="41">
        <v>1</v>
      </c>
      <c r="H103" s="41">
        <v>1</v>
      </c>
      <c r="I103" s="41">
        <v>1</v>
      </c>
      <c r="J103" s="39"/>
      <c r="M103" s="7"/>
    </row>
    <row r="104" spans="1:13" x14ac:dyDescent="0.25">
      <c r="A104" s="1" t="s">
        <v>86</v>
      </c>
      <c r="B104" s="41">
        <v>0</v>
      </c>
      <c r="C104" s="41">
        <v>0</v>
      </c>
      <c r="D104" s="41">
        <v>0</v>
      </c>
      <c r="E104" s="41">
        <v>0.1</v>
      </c>
      <c r="F104" s="41">
        <v>0.15</v>
      </c>
      <c r="G104" s="41">
        <v>0.15</v>
      </c>
      <c r="H104" s="41">
        <v>0.2</v>
      </c>
      <c r="I104" s="41">
        <v>1</v>
      </c>
      <c r="J104" s="39"/>
      <c r="M104" s="7"/>
    </row>
    <row r="105" spans="1:13" x14ac:dyDescent="0.25">
      <c r="A105" s="1" t="s">
        <v>29</v>
      </c>
      <c r="B105" s="41">
        <v>0</v>
      </c>
      <c r="C105" s="41">
        <v>0</v>
      </c>
      <c r="D105" s="41">
        <v>0</v>
      </c>
      <c r="E105" s="41">
        <v>0.1</v>
      </c>
      <c r="F105" s="41">
        <v>0.15</v>
      </c>
      <c r="G105" s="41">
        <v>0.15</v>
      </c>
      <c r="H105" s="41">
        <v>0.2</v>
      </c>
      <c r="I105" s="41">
        <v>1</v>
      </c>
      <c r="J105" s="39"/>
      <c r="M105" s="7"/>
    </row>
    <row r="106" spans="1:13" x14ac:dyDescent="0.25">
      <c r="A106" s="1" t="s">
        <v>52</v>
      </c>
      <c r="B106" s="41">
        <v>0</v>
      </c>
      <c r="C106" s="41">
        <v>0</v>
      </c>
      <c r="D106" s="41">
        <v>0</v>
      </c>
      <c r="E106" s="41">
        <v>0.1</v>
      </c>
      <c r="F106" s="41">
        <v>0.15</v>
      </c>
      <c r="G106" s="41">
        <v>0.15</v>
      </c>
      <c r="H106" s="41">
        <v>0.2</v>
      </c>
      <c r="I106" s="41">
        <v>1</v>
      </c>
      <c r="J106" s="39"/>
      <c r="M106" s="7"/>
    </row>
    <row r="107" spans="1:13" x14ac:dyDescent="0.25">
      <c r="A107" s="1" t="s">
        <v>1</v>
      </c>
      <c r="B107" s="41">
        <v>0</v>
      </c>
      <c r="C107" s="41">
        <v>0</v>
      </c>
      <c r="D107" s="41">
        <v>0</v>
      </c>
      <c r="E107" s="41">
        <v>0.1</v>
      </c>
      <c r="F107" s="41">
        <v>0.15</v>
      </c>
      <c r="G107" s="41">
        <v>0.15</v>
      </c>
      <c r="H107" s="41">
        <v>0.2</v>
      </c>
      <c r="I107" s="41">
        <v>1</v>
      </c>
      <c r="J107" s="39"/>
      <c r="M107" s="7"/>
    </row>
    <row r="108" spans="1:13" ht="15.75" thickBot="1" x14ac:dyDescent="0.3">
      <c r="A108" s="4"/>
      <c r="B108" s="39"/>
      <c r="C108" s="39"/>
      <c r="D108" s="39"/>
      <c r="E108" s="39"/>
      <c r="F108" s="39"/>
      <c r="G108" s="39"/>
      <c r="H108" s="39"/>
      <c r="I108" s="39"/>
      <c r="J108" s="39"/>
      <c r="M108" s="7"/>
    </row>
    <row r="109" spans="1:13" ht="15.75" thickBot="1" x14ac:dyDescent="0.3">
      <c r="A109" s="170" t="s">
        <v>60</v>
      </c>
      <c r="B109" s="171"/>
      <c r="C109" s="171"/>
      <c r="D109" s="171"/>
      <c r="E109" s="171"/>
      <c r="F109" s="171"/>
      <c r="G109" s="171"/>
      <c r="H109" s="171"/>
      <c r="I109" s="171"/>
      <c r="J109" s="172"/>
      <c r="M109" s="7"/>
    </row>
    <row r="110" spans="1:13" x14ac:dyDescent="0.25">
      <c r="A110" s="4" t="s">
        <v>16</v>
      </c>
      <c r="B110" s="5" t="s">
        <v>15</v>
      </c>
      <c r="C110" s="5" t="s">
        <v>14</v>
      </c>
      <c r="D110" s="5" t="s">
        <v>13</v>
      </c>
      <c r="E110" s="5" t="s">
        <v>12</v>
      </c>
      <c r="F110" s="5" t="s">
        <v>93</v>
      </c>
      <c r="G110" s="5" t="s">
        <v>94</v>
      </c>
      <c r="H110" s="5" t="s">
        <v>38</v>
      </c>
      <c r="I110" s="5" t="s">
        <v>9</v>
      </c>
      <c r="J110" s="5" t="s">
        <v>0</v>
      </c>
      <c r="M110" s="7"/>
    </row>
    <row r="111" spans="1:13" x14ac:dyDescent="0.25">
      <c r="A111" s="1" t="s">
        <v>49</v>
      </c>
      <c r="B111" s="66">
        <f>IF(B70&gt;0,B70*B91,0)</f>
        <v>0</v>
      </c>
      <c r="C111" s="66">
        <f t="shared" ref="C111:I111" si="46">IF(C70&gt;0,C70*C91,0)</f>
        <v>0</v>
      </c>
      <c r="D111" s="66">
        <f t="shared" si="46"/>
        <v>0</v>
      </c>
      <c r="E111" s="66">
        <f t="shared" si="46"/>
        <v>0</v>
      </c>
      <c r="F111" s="66">
        <f t="shared" si="46"/>
        <v>0</v>
      </c>
      <c r="G111" s="66">
        <f t="shared" si="46"/>
        <v>0</v>
      </c>
      <c r="H111" s="66">
        <f t="shared" si="46"/>
        <v>0</v>
      </c>
      <c r="I111" s="66">
        <f t="shared" si="46"/>
        <v>0</v>
      </c>
      <c r="J111" s="39">
        <f>SUM(B111:H111)</f>
        <v>0</v>
      </c>
      <c r="M111" s="7"/>
    </row>
    <row r="112" spans="1:13" x14ac:dyDescent="0.25">
      <c r="A112" s="1" t="s">
        <v>8</v>
      </c>
      <c r="B112" s="39">
        <f>IF(B71&gt;0,B71*B92,0)</f>
        <v>0</v>
      </c>
      <c r="C112" s="39">
        <f t="shared" ref="C112:I112" si="47">IF(C71&gt;0,C71*C92,0)</f>
        <v>0</v>
      </c>
      <c r="D112" s="39">
        <f t="shared" si="47"/>
        <v>0</v>
      </c>
      <c r="E112" s="39">
        <f t="shared" si="47"/>
        <v>0</v>
      </c>
      <c r="F112" s="39">
        <f t="shared" si="47"/>
        <v>0</v>
      </c>
      <c r="G112" s="39">
        <f t="shared" si="47"/>
        <v>0</v>
      </c>
      <c r="H112" s="39">
        <f t="shared" si="47"/>
        <v>0</v>
      </c>
      <c r="I112" s="39">
        <f t="shared" si="47"/>
        <v>0</v>
      </c>
      <c r="J112" s="39">
        <f t="shared" ref="J112:J127" si="48">SUM(B112:H112)</f>
        <v>0</v>
      </c>
      <c r="M112" s="7"/>
    </row>
    <row r="113" spans="1:13" x14ac:dyDescent="0.25">
      <c r="A113" s="1" t="s">
        <v>7</v>
      </c>
      <c r="B113" s="39">
        <f>IF(B72&gt;0,B72*B93,0)</f>
        <v>0</v>
      </c>
      <c r="C113" s="39">
        <f t="shared" ref="C113:I113" si="49">IF(C72&gt;0,C72*C93,0)</f>
        <v>0</v>
      </c>
      <c r="D113" s="39">
        <f t="shared" si="49"/>
        <v>0</v>
      </c>
      <c r="E113" s="39">
        <f t="shared" si="49"/>
        <v>0</v>
      </c>
      <c r="F113" s="39">
        <f t="shared" si="49"/>
        <v>0</v>
      </c>
      <c r="G113" s="39">
        <f t="shared" si="49"/>
        <v>0</v>
      </c>
      <c r="H113" s="39">
        <f t="shared" si="49"/>
        <v>0</v>
      </c>
      <c r="I113" s="39">
        <f t="shared" si="49"/>
        <v>0</v>
      </c>
      <c r="J113" s="39">
        <f t="shared" si="48"/>
        <v>0</v>
      </c>
      <c r="M113" s="7"/>
    </row>
    <row r="114" spans="1:13" x14ac:dyDescent="0.25">
      <c r="A114" s="1" t="s">
        <v>42</v>
      </c>
      <c r="B114" s="39">
        <f t="shared" ref="B114:B127" si="50">IF(B73&gt;0,B73*B94,0)</f>
        <v>0</v>
      </c>
      <c r="C114" s="39">
        <f t="shared" ref="C114:I114" si="51">IF(C73&gt;0,C73*C94,0)</f>
        <v>0</v>
      </c>
      <c r="D114" s="39">
        <f t="shared" si="51"/>
        <v>0</v>
      </c>
      <c r="E114" s="39">
        <f t="shared" si="51"/>
        <v>0</v>
      </c>
      <c r="F114" s="39">
        <f t="shared" si="51"/>
        <v>0</v>
      </c>
      <c r="G114" s="39">
        <f t="shared" si="51"/>
        <v>0</v>
      </c>
      <c r="H114" s="39">
        <f t="shared" si="51"/>
        <v>0</v>
      </c>
      <c r="I114" s="39">
        <f t="shared" si="51"/>
        <v>0</v>
      </c>
      <c r="J114" s="39">
        <f t="shared" si="48"/>
        <v>0</v>
      </c>
      <c r="M114" s="7"/>
    </row>
    <row r="115" spans="1:13" x14ac:dyDescent="0.25">
      <c r="A115" s="1" t="s">
        <v>6</v>
      </c>
      <c r="B115" s="39">
        <f t="shared" si="50"/>
        <v>0</v>
      </c>
      <c r="C115" s="39">
        <f t="shared" ref="C115:I115" si="52">IF(C74&gt;0,C74*C95,0)</f>
        <v>0</v>
      </c>
      <c r="D115" s="39">
        <f t="shared" si="52"/>
        <v>0</v>
      </c>
      <c r="E115" s="39">
        <f t="shared" si="52"/>
        <v>0</v>
      </c>
      <c r="F115" s="39">
        <f t="shared" si="52"/>
        <v>0</v>
      </c>
      <c r="G115" s="39">
        <f t="shared" si="52"/>
        <v>0</v>
      </c>
      <c r="H115" s="39">
        <f t="shared" si="52"/>
        <v>0</v>
      </c>
      <c r="I115" s="39">
        <f t="shared" si="52"/>
        <v>0</v>
      </c>
      <c r="J115" s="39">
        <f t="shared" si="48"/>
        <v>0</v>
      </c>
      <c r="M115" s="7"/>
    </row>
    <row r="116" spans="1:13" x14ac:dyDescent="0.25">
      <c r="A116" s="1" t="s">
        <v>50</v>
      </c>
      <c r="B116" s="39">
        <f t="shared" si="50"/>
        <v>0</v>
      </c>
      <c r="C116" s="39">
        <f t="shared" ref="C116:I116" si="53">IF(C75&gt;0,C75*C96,0)</f>
        <v>0</v>
      </c>
      <c r="D116" s="39">
        <f t="shared" si="53"/>
        <v>0</v>
      </c>
      <c r="E116" s="39">
        <f t="shared" si="53"/>
        <v>0</v>
      </c>
      <c r="F116" s="39">
        <f t="shared" si="53"/>
        <v>0</v>
      </c>
      <c r="G116" s="39">
        <f t="shared" si="53"/>
        <v>0</v>
      </c>
      <c r="H116" s="39">
        <f t="shared" si="53"/>
        <v>0</v>
      </c>
      <c r="I116" s="39">
        <f t="shared" si="53"/>
        <v>0</v>
      </c>
      <c r="J116" s="39">
        <f t="shared" si="48"/>
        <v>0</v>
      </c>
      <c r="M116" s="7"/>
    </row>
    <row r="117" spans="1:13" x14ac:dyDescent="0.25">
      <c r="A117" s="1" t="s">
        <v>89</v>
      </c>
      <c r="B117" s="39">
        <f t="shared" si="50"/>
        <v>0</v>
      </c>
      <c r="C117" s="39">
        <f t="shared" ref="C117:I117" si="54">IF(C76&gt;0,C76*C97,0)</f>
        <v>0</v>
      </c>
      <c r="D117" s="39">
        <f t="shared" si="54"/>
        <v>0</v>
      </c>
      <c r="E117" s="39">
        <f t="shared" si="54"/>
        <v>0</v>
      </c>
      <c r="F117" s="39">
        <f t="shared" si="54"/>
        <v>0</v>
      </c>
      <c r="G117" s="39">
        <f t="shared" si="54"/>
        <v>0</v>
      </c>
      <c r="H117" s="39">
        <f t="shared" si="54"/>
        <v>0</v>
      </c>
      <c r="I117" s="39">
        <f t="shared" si="54"/>
        <v>0</v>
      </c>
      <c r="J117" s="39">
        <f t="shared" si="48"/>
        <v>0</v>
      </c>
      <c r="M117" s="7"/>
    </row>
    <row r="118" spans="1:13" x14ac:dyDescent="0.25">
      <c r="A118" s="1" t="s">
        <v>5</v>
      </c>
      <c r="B118" s="39">
        <f t="shared" si="50"/>
        <v>0</v>
      </c>
      <c r="C118" s="39">
        <f t="shared" ref="C118:I118" si="55">IF(C77&gt;0,C77*C98,0)</f>
        <v>0</v>
      </c>
      <c r="D118" s="39">
        <f t="shared" si="55"/>
        <v>0</v>
      </c>
      <c r="E118" s="39">
        <f t="shared" si="55"/>
        <v>0</v>
      </c>
      <c r="F118" s="39">
        <f t="shared" si="55"/>
        <v>0</v>
      </c>
      <c r="G118" s="39">
        <f t="shared" si="55"/>
        <v>0</v>
      </c>
      <c r="H118" s="39">
        <f t="shared" si="55"/>
        <v>0</v>
      </c>
      <c r="I118" s="39">
        <f t="shared" si="55"/>
        <v>0</v>
      </c>
      <c r="J118" s="39">
        <f t="shared" si="48"/>
        <v>0</v>
      </c>
      <c r="M118" s="7"/>
    </row>
    <row r="119" spans="1:13" x14ac:dyDescent="0.25">
      <c r="A119" s="1" t="s">
        <v>84</v>
      </c>
      <c r="B119" s="39">
        <f t="shared" si="50"/>
        <v>0</v>
      </c>
      <c r="C119" s="39">
        <f t="shared" ref="C119:I119" si="56">IF(C78&gt;0,C78*C99,0)</f>
        <v>0</v>
      </c>
      <c r="D119" s="39">
        <f t="shared" si="56"/>
        <v>0</v>
      </c>
      <c r="E119" s="39">
        <f t="shared" si="56"/>
        <v>0</v>
      </c>
      <c r="F119" s="39">
        <f t="shared" si="56"/>
        <v>0</v>
      </c>
      <c r="G119" s="39">
        <f t="shared" si="56"/>
        <v>0</v>
      </c>
      <c r="H119" s="39">
        <f t="shared" si="56"/>
        <v>0</v>
      </c>
      <c r="I119" s="39">
        <f t="shared" si="56"/>
        <v>0</v>
      </c>
      <c r="J119" s="39">
        <f t="shared" si="48"/>
        <v>0</v>
      </c>
      <c r="M119" s="7"/>
    </row>
    <row r="120" spans="1:13" x14ac:dyDescent="0.25">
      <c r="A120" s="1" t="s">
        <v>4</v>
      </c>
      <c r="B120" s="39">
        <f t="shared" si="50"/>
        <v>0</v>
      </c>
      <c r="C120" s="39">
        <f t="shared" ref="C120:I120" si="57">IF(C79&gt;0,C79*C100,0)</f>
        <v>0</v>
      </c>
      <c r="D120" s="39">
        <f t="shared" si="57"/>
        <v>0</v>
      </c>
      <c r="E120" s="39">
        <f t="shared" si="57"/>
        <v>0</v>
      </c>
      <c r="F120" s="39">
        <f t="shared" si="57"/>
        <v>0</v>
      </c>
      <c r="G120" s="39">
        <f t="shared" si="57"/>
        <v>0</v>
      </c>
      <c r="H120" s="39">
        <f t="shared" si="57"/>
        <v>0</v>
      </c>
      <c r="I120" s="39">
        <f t="shared" si="57"/>
        <v>0</v>
      </c>
      <c r="J120" s="39">
        <f t="shared" si="48"/>
        <v>0</v>
      </c>
      <c r="M120" s="7"/>
    </row>
    <row r="121" spans="1:13" x14ac:dyDescent="0.25">
      <c r="A121" s="1" t="s">
        <v>51</v>
      </c>
      <c r="B121" s="39">
        <f t="shared" si="50"/>
        <v>0</v>
      </c>
      <c r="C121" s="39">
        <f t="shared" ref="C121:I121" si="58">IF(C80&gt;0,C80*C101,0)</f>
        <v>0</v>
      </c>
      <c r="D121" s="39">
        <f t="shared" si="58"/>
        <v>0</v>
      </c>
      <c r="E121" s="39">
        <f t="shared" si="58"/>
        <v>0</v>
      </c>
      <c r="F121" s="39">
        <f t="shared" si="58"/>
        <v>0</v>
      </c>
      <c r="G121" s="39">
        <f t="shared" si="58"/>
        <v>0</v>
      </c>
      <c r="H121" s="39">
        <f t="shared" si="58"/>
        <v>0</v>
      </c>
      <c r="I121" s="39">
        <f t="shared" si="58"/>
        <v>0</v>
      </c>
      <c r="J121" s="39">
        <f t="shared" si="48"/>
        <v>0</v>
      </c>
      <c r="M121" s="7"/>
    </row>
    <row r="122" spans="1:13" x14ac:dyDescent="0.25">
      <c r="A122" s="1" t="s">
        <v>85</v>
      </c>
      <c r="B122" s="39">
        <f t="shared" si="50"/>
        <v>0</v>
      </c>
      <c r="C122" s="39">
        <f t="shared" ref="C122:I122" si="59">IF(C81&gt;0,C81*C102,0)</f>
        <v>0</v>
      </c>
      <c r="D122" s="39">
        <f t="shared" si="59"/>
        <v>0</v>
      </c>
      <c r="E122" s="39">
        <f t="shared" si="59"/>
        <v>0</v>
      </c>
      <c r="F122" s="39">
        <f t="shared" si="59"/>
        <v>0</v>
      </c>
      <c r="G122" s="39">
        <f t="shared" si="59"/>
        <v>0</v>
      </c>
      <c r="H122" s="39">
        <f t="shared" si="59"/>
        <v>0</v>
      </c>
      <c r="I122" s="39">
        <f t="shared" si="59"/>
        <v>0</v>
      </c>
      <c r="J122" s="39">
        <f t="shared" si="48"/>
        <v>0</v>
      </c>
      <c r="M122" s="7"/>
    </row>
    <row r="123" spans="1:13" x14ac:dyDescent="0.25">
      <c r="A123" s="1" t="s">
        <v>2</v>
      </c>
      <c r="B123" s="39">
        <f t="shared" si="50"/>
        <v>0</v>
      </c>
      <c r="C123" s="39">
        <f t="shared" ref="C123:I123" si="60">IF(C82&gt;0,C82*C103,0)</f>
        <v>0</v>
      </c>
      <c r="D123" s="39">
        <f t="shared" si="60"/>
        <v>0</v>
      </c>
      <c r="E123" s="39">
        <f t="shared" si="60"/>
        <v>0</v>
      </c>
      <c r="F123" s="39">
        <f t="shared" si="60"/>
        <v>0</v>
      </c>
      <c r="G123" s="39">
        <f t="shared" si="60"/>
        <v>0</v>
      </c>
      <c r="H123" s="39">
        <f t="shared" si="60"/>
        <v>0</v>
      </c>
      <c r="I123" s="39">
        <f t="shared" si="60"/>
        <v>0</v>
      </c>
      <c r="J123" s="39">
        <f t="shared" si="48"/>
        <v>0</v>
      </c>
      <c r="M123" s="7"/>
    </row>
    <row r="124" spans="1:13" x14ac:dyDescent="0.25">
      <c r="A124" s="1" t="s">
        <v>86</v>
      </c>
      <c r="B124" s="39">
        <f t="shared" si="50"/>
        <v>0</v>
      </c>
      <c r="C124" s="39">
        <f t="shared" ref="C124:I124" si="61">IF(C83&gt;0,C83*C104,0)</f>
        <v>0</v>
      </c>
      <c r="D124" s="39">
        <f t="shared" si="61"/>
        <v>0</v>
      </c>
      <c r="E124" s="39">
        <f t="shared" si="61"/>
        <v>0</v>
      </c>
      <c r="F124" s="39">
        <f t="shared" si="61"/>
        <v>0</v>
      </c>
      <c r="G124" s="39">
        <f t="shared" si="61"/>
        <v>0</v>
      </c>
      <c r="H124" s="39">
        <f t="shared" si="61"/>
        <v>0</v>
      </c>
      <c r="I124" s="39">
        <f t="shared" si="61"/>
        <v>0</v>
      </c>
      <c r="J124" s="39">
        <f t="shared" si="48"/>
        <v>0</v>
      </c>
      <c r="M124" s="183" t="s">
        <v>62</v>
      </c>
    </row>
    <row r="125" spans="1:13" x14ac:dyDescent="0.25">
      <c r="A125" s="1" t="s">
        <v>29</v>
      </c>
      <c r="B125" s="39">
        <f t="shared" si="50"/>
        <v>0</v>
      </c>
      <c r="C125" s="39">
        <f t="shared" ref="C125:I125" si="62">IF(C84&gt;0,C84*C105,0)</f>
        <v>0</v>
      </c>
      <c r="D125" s="39">
        <f t="shared" si="62"/>
        <v>0</v>
      </c>
      <c r="E125" s="39">
        <f t="shared" si="62"/>
        <v>0</v>
      </c>
      <c r="F125" s="39">
        <f t="shared" si="62"/>
        <v>0</v>
      </c>
      <c r="G125" s="39">
        <f t="shared" si="62"/>
        <v>0</v>
      </c>
      <c r="H125" s="39">
        <f t="shared" si="62"/>
        <v>0</v>
      </c>
      <c r="I125" s="39">
        <f t="shared" si="62"/>
        <v>0</v>
      </c>
      <c r="J125" s="39">
        <f t="shared" si="48"/>
        <v>0</v>
      </c>
      <c r="M125" s="183"/>
    </row>
    <row r="126" spans="1:13" x14ac:dyDescent="0.25">
      <c r="A126" s="1" t="s">
        <v>52</v>
      </c>
      <c r="B126" s="39">
        <f t="shared" si="50"/>
        <v>0</v>
      </c>
      <c r="C126" s="39">
        <f t="shared" ref="C126:I126" si="63">IF(C85&gt;0,C85*C106,0)</f>
        <v>0</v>
      </c>
      <c r="D126" s="39">
        <f t="shared" si="63"/>
        <v>0</v>
      </c>
      <c r="E126" s="39">
        <f t="shared" si="63"/>
        <v>0</v>
      </c>
      <c r="F126" s="39">
        <f t="shared" si="63"/>
        <v>0</v>
      </c>
      <c r="G126" s="39">
        <f t="shared" si="63"/>
        <v>0</v>
      </c>
      <c r="H126" s="39">
        <f t="shared" si="63"/>
        <v>0</v>
      </c>
      <c r="I126" s="39">
        <f t="shared" si="63"/>
        <v>0</v>
      </c>
      <c r="J126" s="39">
        <f t="shared" si="48"/>
        <v>0</v>
      </c>
      <c r="L126" s="35" t="s">
        <v>151</v>
      </c>
      <c r="M126" s="183" t="s">
        <v>63</v>
      </c>
    </row>
    <row r="127" spans="1:13" x14ac:dyDescent="0.25">
      <c r="A127" s="1" t="s">
        <v>1</v>
      </c>
      <c r="B127" s="40">
        <f t="shared" si="50"/>
        <v>0</v>
      </c>
      <c r="C127" s="40">
        <f t="shared" ref="C127:I127" si="64">IF(C86&gt;0,C86*C107,0)</f>
        <v>0</v>
      </c>
      <c r="D127" s="40">
        <f t="shared" si="64"/>
        <v>0</v>
      </c>
      <c r="E127" s="40">
        <f t="shared" si="64"/>
        <v>0</v>
      </c>
      <c r="F127" s="40">
        <f t="shared" si="64"/>
        <v>0</v>
      </c>
      <c r="G127" s="40">
        <f t="shared" si="64"/>
        <v>0</v>
      </c>
      <c r="H127" s="40">
        <f t="shared" si="64"/>
        <v>0</v>
      </c>
      <c r="I127" s="40">
        <f t="shared" si="64"/>
        <v>0</v>
      </c>
      <c r="J127" s="40">
        <f t="shared" si="48"/>
        <v>0</v>
      </c>
      <c r="L127" s="42" t="s">
        <v>61</v>
      </c>
      <c r="M127" s="184"/>
    </row>
    <row r="128" spans="1:13" x14ac:dyDescent="0.25">
      <c r="A128" s="4"/>
      <c r="B128" s="39">
        <f>SUM(B111:B127)</f>
        <v>0</v>
      </c>
      <c r="C128" s="39">
        <f t="shared" ref="C128:J128" si="65">SUM(C111:C127)</f>
        <v>0</v>
      </c>
      <c r="D128" s="39">
        <f t="shared" si="65"/>
        <v>0</v>
      </c>
      <c r="E128" s="39">
        <f t="shared" si="65"/>
        <v>0</v>
      </c>
      <c r="F128" s="39">
        <f t="shared" si="65"/>
        <v>0</v>
      </c>
      <c r="G128" s="39">
        <f t="shared" si="65"/>
        <v>0</v>
      </c>
      <c r="H128" s="39">
        <f t="shared" si="65"/>
        <v>0</v>
      </c>
      <c r="I128" s="39">
        <f t="shared" si="65"/>
        <v>0</v>
      </c>
      <c r="J128" s="39">
        <f t="shared" si="65"/>
        <v>0</v>
      </c>
      <c r="L128" s="108">
        <v>60000</v>
      </c>
      <c r="M128" s="7">
        <f>J128-L128</f>
        <v>-60000</v>
      </c>
    </row>
    <row r="129" spans="1:13" ht="15.75" thickBot="1" x14ac:dyDescent="0.3">
      <c r="A129" s="4"/>
      <c r="B129" s="39"/>
      <c r="C129" s="39"/>
      <c r="D129" s="39"/>
      <c r="E129" s="39"/>
      <c r="F129" s="39"/>
      <c r="G129" s="39"/>
      <c r="H129" s="39"/>
      <c r="I129" s="39"/>
      <c r="J129" s="39"/>
      <c r="M129" s="7"/>
    </row>
    <row r="130" spans="1:13" ht="15.75" thickBot="1" x14ac:dyDescent="0.3">
      <c r="A130" s="170" t="s">
        <v>30</v>
      </c>
      <c r="B130" s="171"/>
      <c r="C130" s="171"/>
      <c r="D130" s="171"/>
      <c r="E130" s="171"/>
      <c r="F130" s="171"/>
      <c r="G130" s="171"/>
      <c r="H130" s="171"/>
      <c r="I130" s="171"/>
      <c r="J130" s="172"/>
      <c r="M130" s="7"/>
    </row>
    <row r="131" spans="1:13" x14ac:dyDescent="0.25">
      <c r="A131" s="4" t="s">
        <v>16</v>
      </c>
      <c r="B131" s="5" t="s">
        <v>15</v>
      </c>
      <c r="C131" s="5" t="s">
        <v>14</v>
      </c>
      <c r="D131" s="5" t="s">
        <v>13</v>
      </c>
      <c r="E131" s="5" t="s">
        <v>12</v>
      </c>
      <c r="F131" s="5" t="s">
        <v>93</v>
      </c>
      <c r="G131" s="5" t="s">
        <v>94</v>
      </c>
      <c r="H131" s="5" t="s">
        <v>38</v>
      </c>
      <c r="I131" s="5" t="s">
        <v>9</v>
      </c>
      <c r="J131" s="5" t="s">
        <v>0</v>
      </c>
      <c r="M131" s="7"/>
    </row>
    <row r="132" spans="1:13" x14ac:dyDescent="0.25">
      <c r="A132" s="1" t="s">
        <v>49</v>
      </c>
      <c r="B132" s="39">
        <f>B70-B111</f>
        <v>0</v>
      </c>
      <c r="C132" s="39">
        <f t="shared" ref="C132:I132" si="66">C70-C111</f>
        <v>0</v>
      </c>
      <c r="D132" s="39">
        <f t="shared" si="66"/>
        <v>0</v>
      </c>
      <c r="E132" s="39">
        <f t="shared" si="66"/>
        <v>0</v>
      </c>
      <c r="F132" s="39">
        <f t="shared" si="66"/>
        <v>0</v>
      </c>
      <c r="G132" s="39">
        <f t="shared" si="66"/>
        <v>0</v>
      </c>
      <c r="H132" s="39">
        <f t="shared" si="66"/>
        <v>0</v>
      </c>
      <c r="I132" s="39">
        <f t="shared" si="66"/>
        <v>0</v>
      </c>
      <c r="J132" s="39">
        <f>SUM(B132:H132)</f>
        <v>0</v>
      </c>
      <c r="M132" s="7"/>
    </row>
    <row r="133" spans="1:13" x14ac:dyDescent="0.25">
      <c r="A133" s="1" t="s">
        <v>8</v>
      </c>
      <c r="B133" s="39">
        <f>B71-B112</f>
        <v>0</v>
      </c>
      <c r="C133" s="39">
        <f t="shared" ref="C133:I133" si="67">C71-C112</f>
        <v>0</v>
      </c>
      <c r="D133" s="39">
        <f t="shared" si="67"/>
        <v>0</v>
      </c>
      <c r="E133" s="39">
        <f t="shared" si="67"/>
        <v>0</v>
      </c>
      <c r="F133" s="39">
        <f t="shared" si="67"/>
        <v>0</v>
      </c>
      <c r="G133" s="39">
        <f t="shared" si="67"/>
        <v>0</v>
      </c>
      <c r="H133" s="39">
        <f t="shared" si="67"/>
        <v>0</v>
      </c>
      <c r="I133" s="39">
        <f t="shared" si="67"/>
        <v>0</v>
      </c>
      <c r="J133" s="39">
        <f t="shared" ref="J133:J148" si="68">SUM(B133:H133)</f>
        <v>0</v>
      </c>
      <c r="M133" s="7"/>
    </row>
    <row r="134" spans="1:13" x14ac:dyDescent="0.25">
      <c r="A134" s="1" t="s">
        <v>7</v>
      </c>
      <c r="B134" s="39">
        <f>B72-B113</f>
        <v>0</v>
      </c>
      <c r="C134" s="39">
        <f t="shared" ref="C134:I134" si="69">C72-C113</f>
        <v>0</v>
      </c>
      <c r="D134" s="39">
        <f t="shared" si="69"/>
        <v>0</v>
      </c>
      <c r="E134" s="39">
        <f t="shared" si="69"/>
        <v>0</v>
      </c>
      <c r="F134" s="39">
        <f t="shared" si="69"/>
        <v>0</v>
      </c>
      <c r="G134" s="39">
        <f t="shared" si="69"/>
        <v>0</v>
      </c>
      <c r="H134" s="39">
        <f t="shared" si="69"/>
        <v>0</v>
      </c>
      <c r="I134" s="39">
        <f t="shared" si="69"/>
        <v>0</v>
      </c>
      <c r="J134" s="39">
        <f t="shared" si="68"/>
        <v>0</v>
      </c>
      <c r="M134" s="7"/>
    </row>
    <row r="135" spans="1:13" x14ac:dyDescent="0.25">
      <c r="A135" s="1" t="s">
        <v>42</v>
      </c>
      <c r="B135" s="39">
        <f t="shared" ref="B135:B148" si="70">B73-B114</f>
        <v>0</v>
      </c>
      <c r="C135" s="39">
        <f t="shared" ref="C135:I135" si="71">C73-C114</f>
        <v>0</v>
      </c>
      <c r="D135" s="39">
        <f t="shared" si="71"/>
        <v>0</v>
      </c>
      <c r="E135" s="39">
        <f t="shared" si="71"/>
        <v>0</v>
      </c>
      <c r="F135" s="39">
        <f t="shared" si="71"/>
        <v>0</v>
      </c>
      <c r="G135" s="39">
        <f t="shared" si="71"/>
        <v>0</v>
      </c>
      <c r="H135" s="39">
        <f t="shared" si="71"/>
        <v>0</v>
      </c>
      <c r="I135" s="39">
        <f t="shared" si="71"/>
        <v>0</v>
      </c>
      <c r="J135" s="39">
        <f t="shared" si="68"/>
        <v>0</v>
      </c>
      <c r="M135" s="7"/>
    </row>
    <row r="136" spans="1:13" x14ac:dyDescent="0.25">
      <c r="A136" s="1" t="s">
        <v>6</v>
      </c>
      <c r="B136" s="39">
        <f t="shared" si="70"/>
        <v>0</v>
      </c>
      <c r="C136" s="39">
        <f t="shared" ref="C136:I136" si="72">C74-C115</f>
        <v>0</v>
      </c>
      <c r="D136" s="39">
        <f t="shared" si="72"/>
        <v>0</v>
      </c>
      <c r="E136" s="39">
        <f t="shared" si="72"/>
        <v>0</v>
      </c>
      <c r="F136" s="39">
        <f t="shared" si="72"/>
        <v>0</v>
      </c>
      <c r="G136" s="39">
        <f t="shared" si="72"/>
        <v>0</v>
      </c>
      <c r="H136" s="39">
        <f t="shared" si="72"/>
        <v>0</v>
      </c>
      <c r="I136" s="39">
        <f t="shared" si="72"/>
        <v>0</v>
      </c>
      <c r="J136" s="39">
        <f t="shared" si="68"/>
        <v>0</v>
      </c>
      <c r="M136" s="7"/>
    </row>
    <row r="137" spans="1:13" x14ac:dyDescent="0.25">
      <c r="A137" s="1" t="s">
        <v>50</v>
      </c>
      <c r="B137" s="39">
        <f t="shared" si="70"/>
        <v>0</v>
      </c>
      <c r="C137" s="39">
        <f t="shared" ref="C137:I137" si="73">C75-C116</f>
        <v>0</v>
      </c>
      <c r="D137" s="39">
        <f t="shared" si="73"/>
        <v>0</v>
      </c>
      <c r="E137" s="39">
        <f t="shared" si="73"/>
        <v>0</v>
      </c>
      <c r="F137" s="39">
        <f t="shared" si="73"/>
        <v>0</v>
      </c>
      <c r="G137" s="39">
        <f t="shared" si="73"/>
        <v>0</v>
      </c>
      <c r="H137" s="39">
        <f t="shared" si="73"/>
        <v>0</v>
      </c>
      <c r="I137" s="39">
        <f t="shared" si="73"/>
        <v>0</v>
      </c>
      <c r="J137" s="39">
        <f t="shared" si="68"/>
        <v>0</v>
      </c>
      <c r="M137" s="7"/>
    </row>
    <row r="138" spans="1:13" x14ac:dyDescent="0.25">
      <c r="A138" s="1" t="s">
        <v>89</v>
      </c>
      <c r="B138" s="39">
        <f t="shared" si="70"/>
        <v>0</v>
      </c>
      <c r="C138" s="39">
        <f t="shared" ref="C138:I138" si="74">C76-C117</f>
        <v>0</v>
      </c>
      <c r="D138" s="39">
        <f t="shared" si="74"/>
        <v>0</v>
      </c>
      <c r="E138" s="39">
        <f t="shared" si="74"/>
        <v>0</v>
      </c>
      <c r="F138" s="39">
        <f t="shared" si="74"/>
        <v>0</v>
      </c>
      <c r="G138" s="39">
        <f t="shared" si="74"/>
        <v>0</v>
      </c>
      <c r="H138" s="39">
        <f t="shared" si="74"/>
        <v>0</v>
      </c>
      <c r="I138" s="39">
        <f t="shared" si="74"/>
        <v>0</v>
      </c>
      <c r="J138" s="39">
        <f t="shared" si="68"/>
        <v>0</v>
      </c>
      <c r="M138" s="7"/>
    </row>
    <row r="139" spans="1:13" x14ac:dyDescent="0.25">
      <c r="A139" s="1" t="s">
        <v>5</v>
      </c>
      <c r="B139" s="39">
        <f t="shared" si="70"/>
        <v>0</v>
      </c>
      <c r="C139" s="39">
        <f t="shared" ref="C139:I139" si="75">C77-C118</f>
        <v>0</v>
      </c>
      <c r="D139" s="39">
        <f t="shared" si="75"/>
        <v>0</v>
      </c>
      <c r="E139" s="39">
        <f t="shared" si="75"/>
        <v>0</v>
      </c>
      <c r="F139" s="39">
        <f t="shared" si="75"/>
        <v>0</v>
      </c>
      <c r="G139" s="39">
        <f t="shared" si="75"/>
        <v>0</v>
      </c>
      <c r="H139" s="39">
        <f t="shared" si="75"/>
        <v>0</v>
      </c>
      <c r="I139" s="39">
        <f t="shared" si="75"/>
        <v>0</v>
      </c>
      <c r="J139" s="39">
        <f t="shared" si="68"/>
        <v>0</v>
      </c>
      <c r="M139" s="7"/>
    </row>
    <row r="140" spans="1:13" x14ac:dyDescent="0.25">
      <c r="A140" s="1" t="s">
        <v>84</v>
      </c>
      <c r="B140" s="39">
        <f t="shared" si="70"/>
        <v>0</v>
      </c>
      <c r="C140" s="39">
        <f t="shared" ref="C140:I140" si="76">C78-C119</f>
        <v>0</v>
      </c>
      <c r="D140" s="39">
        <f t="shared" si="76"/>
        <v>0</v>
      </c>
      <c r="E140" s="39">
        <f t="shared" si="76"/>
        <v>0</v>
      </c>
      <c r="F140" s="39">
        <f t="shared" si="76"/>
        <v>0</v>
      </c>
      <c r="G140" s="39">
        <f t="shared" si="76"/>
        <v>0</v>
      </c>
      <c r="H140" s="39">
        <f t="shared" si="76"/>
        <v>0</v>
      </c>
      <c r="I140" s="39">
        <f t="shared" si="76"/>
        <v>0</v>
      </c>
      <c r="J140" s="39">
        <f t="shared" si="68"/>
        <v>0</v>
      </c>
      <c r="M140" s="7"/>
    </row>
    <row r="141" spans="1:13" x14ac:dyDescent="0.25">
      <c r="A141" s="1" t="s">
        <v>4</v>
      </c>
      <c r="B141" s="39">
        <f t="shared" si="70"/>
        <v>0</v>
      </c>
      <c r="C141" s="39">
        <f t="shared" ref="C141:I141" si="77">C79-C120</f>
        <v>0</v>
      </c>
      <c r="D141" s="39">
        <f t="shared" si="77"/>
        <v>0</v>
      </c>
      <c r="E141" s="39">
        <f t="shared" si="77"/>
        <v>0</v>
      </c>
      <c r="F141" s="39">
        <f t="shared" si="77"/>
        <v>0</v>
      </c>
      <c r="G141" s="39">
        <f t="shared" si="77"/>
        <v>0</v>
      </c>
      <c r="H141" s="39">
        <f t="shared" si="77"/>
        <v>0</v>
      </c>
      <c r="I141" s="39">
        <f t="shared" si="77"/>
        <v>0</v>
      </c>
      <c r="J141" s="39">
        <f t="shared" si="68"/>
        <v>0</v>
      </c>
      <c r="M141" s="7"/>
    </row>
    <row r="142" spans="1:13" x14ac:dyDescent="0.25">
      <c r="A142" s="1" t="s">
        <v>51</v>
      </c>
      <c r="B142" s="39">
        <f t="shared" si="70"/>
        <v>0</v>
      </c>
      <c r="C142" s="39">
        <f t="shared" ref="C142:I142" si="78">C80-C121</f>
        <v>0</v>
      </c>
      <c r="D142" s="39">
        <f t="shared" si="78"/>
        <v>0</v>
      </c>
      <c r="E142" s="39">
        <f t="shared" si="78"/>
        <v>0</v>
      </c>
      <c r="F142" s="39">
        <f t="shared" si="78"/>
        <v>0</v>
      </c>
      <c r="G142" s="39">
        <f t="shared" si="78"/>
        <v>0</v>
      </c>
      <c r="H142" s="39">
        <f t="shared" si="78"/>
        <v>0</v>
      </c>
      <c r="I142" s="39">
        <f t="shared" si="78"/>
        <v>0</v>
      </c>
      <c r="J142" s="39">
        <f t="shared" si="68"/>
        <v>0</v>
      </c>
      <c r="M142" s="7"/>
    </row>
    <row r="143" spans="1:13" x14ac:dyDescent="0.25">
      <c r="A143" s="1" t="s">
        <v>85</v>
      </c>
      <c r="B143" s="39">
        <f t="shared" si="70"/>
        <v>0</v>
      </c>
      <c r="C143" s="39">
        <f t="shared" ref="C143:I143" si="79">C81-C122</f>
        <v>0</v>
      </c>
      <c r="D143" s="39">
        <f t="shared" si="79"/>
        <v>0</v>
      </c>
      <c r="E143" s="39">
        <f t="shared" si="79"/>
        <v>0</v>
      </c>
      <c r="F143" s="39">
        <f t="shared" si="79"/>
        <v>0</v>
      </c>
      <c r="G143" s="39">
        <f t="shared" si="79"/>
        <v>0</v>
      </c>
      <c r="H143" s="39">
        <f t="shared" si="79"/>
        <v>0</v>
      </c>
      <c r="I143" s="39">
        <f t="shared" si="79"/>
        <v>0</v>
      </c>
      <c r="J143" s="39">
        <f t="shared" si="68"/>
        <v>0</v>
      </c>
      <c r="M143" s="7"/>
    </row>
    <row r="144" spans="1:13" x14ac:dyDescent="0.25">
      <c r="A144" s="1" t="s">
        <v>2</v>
      </c>
      <c r="B144" s="39">
        <f t="shared" si="70"/>
        <v>0</v>
      </c>
      <c r="C144" s="39">
        <f t="shared" ref="C144:I144" si="80">C82-C123</f>
        <v>0</v>
      </c>
      <c r="D144" s="39">
        <f t="shared" si="80"/>
        <v>0</v>
      </c>
      <c r="E144" s="39">
        <f t="shared" si="80"/>
        <v>0</v>
      </c>
      <c r="F144" s="39">
        <f t="shared" si="80"/>
        <v>0</v>
      </c>
      <c r="G144" s="39">
        <f t="shared" si="80"/>
        <v>0</v>
      </c>
      <c r="H144" s="39">
        <f t="shared" si="80"/>
        <v>0</v>
      </c>
      <c r="I144" s="39">
        <f t="shared" si="80"/>
        <v>0</v>
      </c>
      <c r="J144" s="39">
        <f t="shared" si="68"/>
        <v>0</v>
      </c>
      <c r="M144" s="7"/>
    </row>
    <row r="145" spans="1:13" x14ac:dyDescent="0.25">
      <c r="A145" s="1" t="s">
        <v>86</v>
      </c>
      <c r="B145" s="39">
        <f t="shared" si="70"/>
        <v>0</v>
      </c>
      <c r="C145" s="39">
        <f t="shared" ref="C145:I145" si="81">C83-C124</f>
        <v>0</v>
      </c>
      <c r="D145" s="39">
        <f t="shared" si="81"/>
        <v>0</v>
      </c>
      <c r="E145" s="39">
        <f t="shared" si="81"/>
        <v>0</v>
      </c>
      <c r="F145" s="39">
        <f t="shared" si="81"/>
        <v>0</v>
      </c>
      <c r="G145" s="39">
        <f t="shared" si="81"/>
        <v>0</v>
      </c>
      <c r="H145" s="39">
        <f t="shared" si="81"/>
        <v>0</v>
      </c>
      <c r="I145" s="39">
        <f t="shared" si="81"/>
        <v>0</v>
      </c>
      <c r="J145" s="39">
        <f t="shared" si="68"/>
        <v>0</v>
      </c>
      <c r="M145" s="7"/>
    </row>
    <row r="146" spans="1:13" x14ac:dyDescent="0.25">
      <c r="A146" s="1" t="s">
        <v>29</v>
      </c>
      <c r="B146" s="39">
        <f t="shared" si="70"/>
        <v>0</v>
      </c>
      <c r="C146" s="39">
        <f t="shared" ref="C146:I146" si="82">C84-C125</f>
        <v>0</v>
      </c>
      <c r="D146" s="39">
        <f t="shared" si="82"/>
        <v>0</v>
      </c>
      <c r="E146" s="39">
        <f t="shared" si="82"/>
        <v>0</v>
      </c>
      <c r="F146" s="39">
        <f t="shared" si="82"/>
        <v>0</v>
      </c>
      <c r="G146" s="39">
        <f t="shared" si="82"/>
        <v>0</v>
      </c>
      <c r="H146" s="39">
        <f t="shared" si="82"/>
        <v>0</v>
      </c>
      <c r="I146" s="39">
        <f t="shared" si="82"/>
        <v>0</v>
      </c>
      <c r="J146" s="39">
        <f t="shared" si="68"/>
        <v>0</v>
      </c>
      <c r="M146" s="7"/>
    </row>
    <row r="147" spans="1:13" x14ac:dyDescent="0.25">
      <c r="A147" s="1" t="s">
        <v>52</v>
      </c>
      <c r="B147" s="39">
        <f t="shared" si="70"/>
        <v>0</v>
      </c>
      <c r="C147" s="39">
        <f t="shared" ref="C147:I147" si="83">C85-C126</f>
        <v>0</v>
      </c>
      <c r="D147" s="39">
        <f t="shared" si="83"/>
        <v>0</v>
      </c>
      <c r="E147" s="39">
        <f t="shared" si="83"/>
        <v>0</v>
      </c>
      <c r="F147" s="39">
        <f t="shared" si="83"/>
        <v>0</v>
      </c>
      <c r="G147" s="39">
        <f t="shared" si="83"/>
        <v>0</v>
      </c>
      <c r="H147" s="39">
        <f t="shared" si="83"/>
        <v>0</v>
      </c>
      <c r="I147" s="39">
        <f t="shared" si="83"/>
        <v>0</v>
      </c>
      <c r="J147" s="39">
        <f t="shared" si="68"/>
        <v>0</v>
      </c>
      <c r="M147" s="7"/>
    </row>
    <row r="148" spans="1:13" x14ac:dyDescent="0.25">
      <c r="A148" s="1" t="s">
        <v>1</v>
      </c>
      <c r="B148" s="40">
        <f t="shared" si="70"/>
        <v>0</v>
      </c>
      <c r="C148" s="40">
        <f t="shared" ref="C148:I148" si="84">C86-C127</f>
        <v>0</v>
      </c>
      <c r="D148" s="40">
        <f t="shared" si="84"/>
        <v>0</v>
      </c>
      <c r="E148" s="40">
        <f t="shared" si="84"/>
        <v>0</v>
      </c>
      <c r="F148" s="40">
        <f t="shared" si="84"/>
        <v>0</v>
      </c>
      <c r="G148" s="40">
        <f t="shared" si="84"/>
        <v>0</v>
      </c>
      <c r="H148" s="40">
        <f t="shared" si="84"/>
        <v>0</v>
      </c>
      <c r="I148" s="40">
        <f t="shared" si="84"/>
        <v>0</v>
      </c>
      <c r="J148" s="40">
        <f t="shared" si="68"/>
        <v>0</v>
      </c>
      <c r="M148" s="7"/>
    </row>
    <row r="149" spans="1:13" x14ac:dyDescent="0.25">
      <c r="A149" s="4"/>
      <c r="B149" s="39">
        <f>SUM(B132:B148)</f>
        <v>0</v>
      </c>
      <c r="C149" s="39">
        <f t="shared" ref="C149:J149" si="85">SUM(C132:C148)</f>
        <v>0</v>
      </c>
      <c r="D149" s="39">
        <f t="shared" si="85"/>
        <v>0</v>
      </c>
      <c r="E149" s="39">
        <f t="shared" si="85"/>
        <v>0</v>
      </c>
      <c r="F149" s="39">
        <f t="shared" si="85"/>
        <v>0</v>
      </c>
      <c r="G149" s="39">
        <f t="shared" si="85"/>
        <v>0</v>
      </c>
      <c r="H149" s="39">
        <f t="shared" si="85"/>
        <v>0</v>
      </c>
      <c r="I149" s="39">
        <f t="shared" si="85"/>
        <v>0</v>
      </c>
      <c r="J149" s="39">
        <f t="shared" si="85"/>
        <v>0</v>
      </c>
      <c r="M149" s="7"/>
    </row>
    <row r="150" spans="1:13" x14ac:dyDescent="0.25">
      <c r="A150" s="4"/>
      <c r="B150" s="39"/>
      <c r="C150" s="39"/>
      <c r="D150" s="39"/>
      <c r="E150" s="39"/>
      <c r="F150" s="39"/>
      <c r="G150" s="39"/>
      <c r="H150" s="39"/>
      <c r="I150" s="39"/>
      <c r="J150" s="39"/>
      <c r="M150" s="7"/>
    </row>
    <row r="151" spans="1:13" x14ac:dyDescent="0.25">
      <c r="A151" s="4"/>
      <c r="B151" s="39"/>
      <c r="C151" s="39"/>
      <c r="D151" s="39"/>
      <c r="E151" s="39"/>
      <c r="F151" s="39"/>
      <c r="G151" s="39"/>
      <c r="H151" s="39"/>
      <c r="I151" s="39"/>
      <c r="J151" s="39"/>
      <c r="M151" s="7"/>
    </row>
    <row r="152" spans="1:13" x14ac:dyDescent="0.25">
      <c r="A152" s="4"/>
      <c r="B152" s="39"/>
      <c r="C152" s="39"/>
      <c r="D152" s="39"/>
      <c r="E152" s="39"/>
      <c r="F152" s="39"/>
      <c r="G152" s="39"/>
      <c r="H152" s="39"/>
      <c r="I152" s="39"/>
      <c r="J152" s="39"/>
      <c r="M152" s="7"/>
    </row>
    <row r="153" spans="1:13" x14ac:dyDescent="0.25">
      <c r="A153" s="4"/>
      <c r="B153" s="39"/>
      <c r="C153" s="39"/>
      <c r="D153" s="39"/>
      <c r="E153" s="39"/>
      <c r="F153" s="39"/>
      <c r="G153" s="39"/>
      <c r="H153" s="39"/>
      <c r="I153" s="39"/>
      <c r="J153" s="39"/>
      <c r="M153" s="7"/>
    </row>
    <row r="154" spans="1:13" x14ac:dyDescent="0.25">
      <c r="A154" s="4"/>
      <c r="B154" s="39"/>
      <c r="C154" s="39"/>
      <c r="D154" s="39"/>
      <c r="E154" s="39"/>
      <c r="F154" s="39"/>
      <c r="G154" s="39"/>
      <c r="H154" s="39"/>
      <c r="I154" s="39"/>
      <c r="J154" s="39"/>
      <c r="M154" s="7"/>
    </row>
    <row r="155" spans="1:13" x14ac:dyDescent="0.25">
      <c r="A155" s="4"/>
      <c r="B155" s="39"/>
      <c r="C155" s="39"/>
      <c r="D155" s="39"/>
      <c r="E155" s="39"/>
      <c r="F155" s="39"/>
      <c r="G155" s="39"/>
      <c r="H155" s="39"/>
      <c r="I155" s="39"/>
      <c r="J155" s="39"/>
      <c r="M155" s="7"/>
    </row>
    <row r="156" spans="1:13" x14ac:dyDescent="0.25">
      <c r="A156" s="4"/>
      <c r="B156" s="39"/>
      <c r="C156" s="39"/>
      <c r="D156" s="39"/>
      <c r="E156" s="39"/>
      <c r="F156" s="39"/>
      <c r="G156" s="39"/>
      <c r="H156" s="39"/>
      <c r="I156" s="39"/>
      <c r="J156" s="39"/>
      <c r="M156" s="7"/>
    </row>
    <row r="157" spans="1:13" x14ac:dyDescent="0.25">
      <c r="A157" s="1"/>
      <c r="B157" s="9"/>
      <c r="C157" s="9"/>
      <c r="D157" s="9"/>
      <c r="E157" s="9"/>
      <c r="F157" s="9"/>
      <c r="G157" s="9"/>
      <c r="H157" s="9"/>
      <c r="I157" s="9"/>
      <c r="J157" s="9"/>
      <c r="M157" s="7"/>
    </row>
    <row r="158" spans="1:13" x14ac:dyDescent="0.25">
      <c r="A158" s="1"/>
      <c r="B158" s="9"/>
      <c r="C158" s="9"/>
      <c r="D158" s="9"/>
      <c r="E158" s="9"/>
      <c r="F158" s="9"/>
      <c r="G158" s="9"/>
      <c r="H158" s="9"/>
      <c r="I158" s="9"/>
      <c r="J158" s="9"/>
      <c r="M158" s="7"/>
    </row>
  </sheetData>
  <mergeCells count="16">
    <mergeCell ref="A1:M1"/>
    <mergeCell ref="A2:M2"/>
    <mergeCell ref="A3:M3"/>
    <mergeCell ref="A4:M4"/>
    <mergeCell ref="A6:J6"/>
    <mergeCell ref="L6:M6"/>
    <mergeCell ref="A109:J109"/>
    <mergeCell ref="M124:M125"/>
    <mergeCell ref="M126:M127"/>
    <mergeCell ref="A130:J130"/>
    <mergeCell ref="A27:J27"/>
    <mergeCell ref="A47:J47"/>
    <mergeCell ref="M62:M63"/>
    <mergeCell ref="M64:M65"/>
    <mergeCell ref="A68:J68"/>
    <mergeCell ref="A89:J89"/>
  </mergeCells>
  <pageMargins left="0.7" right="0.7" top="0.75" bottom="0.75" header="0.3" footer="0.3"/>
  <pageSetup scale="31"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pageSetUpPr fitToPage="1"/>
  </sheetPr>
  <dimension ref="A1:Q158"/>
  <sheetViews>
    <sheetView topLeftCell="A97" zoomScale="85" zoomScaleNormal="85" workbookViewId="0">
      <selection activeCell="B7" sqref="B7:I7"/>
    </sheetView>
  </sheetViews>
  <sheetFormatPr defaultColWidth="9.140625" defaultRowHeight="15" x14ac:dyDescent="0.25"/>
  <cols>
    <col min="1" max="1" width="38.85546875" bestFit="1" customWidth="1"/>
    <col min="2" max="10" width="12.7109375" customWidth="1"/>
    <col min="11" max="11" width="2.5703125" customWidth="1"/>
    <col min="12" max="12" width="12.7109375" customWidth="1"/>
    <col min="13" max="13" width="30.7109375" customWidth="1"/>
    <col min="14" max="14" width="18.5703125" customWidth="1"/>
  </cols>
  <sheetData>
    <row r="1" spans="1:15" ht="18.75" x14ac:dyDescent="0.3">
      <c r="A1" s="173" t="s">
        <v>17</v>
      </c>
      <c r="B1" s="173"/>
      <c r="C1" s="173"/>
      <c r="D1" s="173"/>
      <c r="E1" s="173"/>
      <c r="F1" s="173"/>
      <c r="G1" s="173"/>
      <c r="H1" s="173"/>
      <c r="I1" s="173"/>
      <c r="J1" s="173"/>
      <c r="K1" s="173"/>
      <c r="L1" s="173"/>
      <c r="M1" s="173"/>
      <c r="O1" s="31"/>
    </row>
    <row r="2" spans="1:15" ht="15.75" x14ac:dyDescent="0.25">
      <c r="A2" s="174" t="s">
        <v>269</v>
      </c>
      <c r="B2" s="174"/>
      <c r="C2" s="174"/>
      <c r="D2" s="174"/>
      <c r="E2" s="174"/>
      <c r="F2" s="174"/>
      <c r="G2" s="174"/>
      <c r="H2" s="174"/>
      <c r="I2" s="174"/>
      <c r="J2" s="174"/>
      <c r="K2" s="174"/>
      <c r="L2" s="174"/>
      <c r="M2" s="174"/>
      <c r="O2" s="31"/>
    </row>
    <row r="3" spans="1:15" x14ac:dyDescent="0.25">
      <c r="A3" s="175" t="s">
        <v>31</v>
      </c>
      <c r="B3" s="175"/>
      <c r="C3" s="175"/>
      <c r="D3" s="175"/>
      <c r="E3" s="175"/>
      <c r="F3" s="175"/>
      <c r="G3" s="175"/>
      <c r="H3" s="175"/>
      <c r="I3" s="175"/>
      <c r="J3" s="175"/>
      <c r="K3" s="175"/>
      <c r="L3" s="175"/>
      <c r="M3" s="175"/>
    </row>
    <row r="4" spans="1:15" x14ac:dyDescent="0.25">
      <c r="A4" s="187">
        <f>'Company Summary'!A4:J4</f>
        <v>45199</v>
      </c>
      <c r="B4" s="187"/>
      <c r="C4" s="187"/>
      <c r="D4" s="187"/>
      <c r="E4" s="187"/>
      <c r="F4" s="187"/>
      <c r="G4" s="187"/>
      <c r="H4" s="187"/>
      <c r="I4" s="187"/>
      <c r="J4" s="187"/>
      <c r="K4" s="187"/>
      <c r="L4" s="187"/>
      <c r="M4" s="187"/>
    </row>
    <row r="5" spans="1:15" ht="15.75" thickBot="1" x14ac:dyDescent="0.3">
      <c r="A5" s="81"/>
      <c r="B5" s="81"/>
      <c r="C5" s="81"/>
      <c r="D5" s="81"/>
      <c r="E5" s="81"/>
      <c r="F5" s="81"/>
      <c r="G5" s="81"/>
      <c r="H5" s="81"/>
      <c r="I5" s="81"/>
      <c r="J5" s="81"/>
      <c r="K5" s="81"/>
      <c r="L5" s="81"/>
      <c r="M5" s="81"/>
    </row>
    <row r="6" spans="1:15" ht="15.75" thickBot="1" x14ac:dyDescent="0.3">
      <c r="A6" s="170" t="s">
        <v>54</v>
      </c>
      <c r="B6" s="171"/>
      <c r="C6" s="171"/>
      <c r="D6" s="171"/>
      <c r="E6" s="171"/>
      <c r="F6" s="171"/>
      <c r="G6" s="171"/>
      <c r="H6" s="171"/>
      <c r="I6" s="171"/>
      <c r="J6" s="172"/>
      <c r="L6" s="186"/>
      <c r="M6" s="186"/>
    </row>
    <row r="7" spans="1:15" x14ac:dyDescent="0.25">
      <c r="A7" s="4" t="s">
        <v>16</v>
      </c>
      <c r="B7" s="5" t="s">
        <v>15</v>
      </c>
      <c r="C7" s="5" t="s">
        <v>14</v>
      </c>
      <c r="D7" s="5" t="s">
        <v>13</v>
      </c>
      <c r="E7" s="5" t="s">
        <v>12</v>
      </c>
      <c r="F7" s="5" t="s">
        <v>93</v>
      </c>
      <c r="G7" s="5" t="s">
        <v>94</v>
      </c>
      <c r="H7" s="5" t="s">
        <v>38</v>
      </c>
      <c r="I7" s="5" t="s">
        <v>9</v>
      </c>
      <c r="J7" s="5" t="s">
        <v>0</v>
      </c>
      <c r="L7" s="4"/>
      <c r="M7" s="4"/>
    </row>
    <row r="8" spans="1:15" x14ac:dyDescent="0.25">
      <c r="A8" s="1" t="s">
        <v>49</v>
      </c>
      <c r="B8" s="33">
        <f>'Agile AR Aging &lt;-INPUT'!C283</f>
        <v>0</v>
      </c>
      <c r="C8" s="33">
        <f>'Agile AR Aging &lt;-INPUT'!D283</f>
        <v>0</v>
      </c>
      <c r="D8" s="33">
        <f>'Agile AR Aging &lt;-INPUT'!E283</f>
        <v>0</v>
      </c>
      <c r="E8" s="33">
        <f>'Agile AR Aging &lt;-INPUT'!F283</f>
        <v>0</v>
      </c>
      <c r="F8" s="33">
        <f>'Agile AR Aging &lt;-INPUT'!G283</f>
        <v>0</v>
      </c>
      <c r="G8" s="33">
        <f>'Agile AR Aging &lt;-INPUT'!H283</f>
        <v>0</v>
      </c>
      <c r="H8" s="33">
        <f>'Agile AR Aging &lt;-INPUT'!I283</f>
        <v>0</v>
      </c>
      <c r="I8" s="33">
        <f>'Agile AR Aging &lt;-INPUT'!J283</f>
        <v>0</v>
      </c>
      <c r="J8" s="2">
        <f t="shared" ref="J8:J24" si="0">SUM(B8:H8)</f>
        <v>0</v>
      </c>
      <c r="L8" s="67"/>
    </row>
    <row r="9" spans="1:15" x14ac:dyDescent="0.25">
      <c r="A9" s="1" t="s">
        <v>8</v>
      </c>
      <c r="B9" s="33">
        <f>'Agile AR Aging &lt;-INPUT'!C284</f>
        <v>0</v>
      </c>
      <c r="C9" s="33">
        <f>'Agile AR Aging &lt;-INPUT'!D284</f>
        <v>0</v>
      </c>
      <c r="D9" s="33">
        <f>'Agile AR Aging &lt;-INPUT'!E284</f>
        <v>0</v>
      </c>
      <c r="E9" s="33">
        <f>'Agile AR Aging &lt;-INPUT'!F284</f>
        <v>0</v>
      </c>
      <c r="F9" s="33">
        <f>'Agile AR Aging &lt;-INPUT'!G284</f>
        <v>0</v>
      </c>
      <c r="G9" s="33">
        <f>'Agile AR Aging &lt;-INPUT'!H284</f>
        <v>0</v>
      </c>
      <c r="H9" s="33">
        <f>'Agile AR Aging &lt;-INPUT'!I284</f>
        <v>0</v>
      </c>
      <c r="I9" s="33">
        <f>'Agile AR Aging &lt;-INPUT'!J284</f>
        <v>0</v>
      </c>
      <c r="J9" s="2">
        <f t="shared" si="0"/>
        <v>0</v>
      </c>
      <c r="L9" s="67"/>
      <c r="N9" s="68"/>
    </row>
    <row r="10" spans="1:15" x14ac:dyDescent="0.25">
      <c r="A10" s="1" t="s">
        <v>7</v>
      </c>
      <c r="B10" s="33">
        <f>'Agile AR Aging &lt;-INPUT'!C285</f>
        <v>0</v>
      </c>
      <c r="C10" s="33">
        <f>'Agile AR Aging &lt;-INPUT'!D285</f>
        <v>0</v>
      </c>
      <c r="D10" s="33">
        <f>'Agile AR Aging &lt;-INPUT'!E285</f>
        <v>0</v>
      </c>
      <c r="E10" s="33">
        <f>'Agile AR Aging &lt;-INPUT'!F285</f>
        <v>0</v>
      </c>
      <c r="F10" s="33">
        <f>'Agile AR Aging &lt;-INPUT'!G285</f>
        <v>0</v>
      </c>
      <c r="G10" s="33">
        <f>'Agile AR Aging &lt;-INPUT'!H285</f>
        <v>0</v>
      </c>
      <c r="H10" s="33">
        <f>'Agile AR Aging &lt;-INPUT'!I285</f>
        <v>0</v>
      </c>
      <c r="I10" s="33">
        <f>'Agile AR Aging &lt;-INPUT'!J285</f>
        <v>0</v>
      </c>
      <c r="J10" s="2">
        <f t="shared" si="0"/>
        <v>0</v>
      </c>
      <c r="L10" s="67"/>
      <c r="N10" s="68"/>
    </row>
    <row r="11" spans="1:15" x14ac:dyDescent="0.25">
      <c r="A11" s="1" t="s">
        <v>42</v>
      </c>
      <c r="B11" s="33">
        <f>'Agile AR Aging &lt;-INPUT'!C286</f>
        <v>0</v>
      </c>
      <c r="C11" s="33">
        <f>'Agile AR Aging &lt;-INPUT'!D286</f>
        <v>0</v>
      </c>
      <c r="D11" s="33">
        <f>'Agile AR Aging &lt;-INPUT'!E286</f>
        <v>0</v>
      </c>
      <c r="E11" s="33">
        <f>'Agile AR Aging &lt;-INPUT'!F286</f>
        <v>0</v>
      </c>
      <c r="F11" s="33">
        <f>'Agile AR Aging &lt;-INPUT'!G286</f>
        <v>0</v>
      </c>
      <c r="G11" s="33">
        <f>'Agile AR Aging &lt;-INPUT'!H286</f>
        <v>0</v>
      </c>
      <c r="H11" s="33">
        <f>'Agile AR Aging &lt;-INPUT'!I286</f>
        <v>0</v>
      </c>
      <c r="I11" s="33">
        <f>'Agile AR Aging &lt;-INPUT'!J286</f>
        <v>0</v>
      </c>
      <c r="J11" s="2">
        <f t="shared" si="0"/>
        <v>0</v>
      </c>
      <c r="L11" s="67"/>
      <c r="N11" s="68"/>
    </row>
    <row r="12" spans="1:15" x14ac:dyDescent="0.25">
      <c r="A12" s="1" t="s">
        <v>6</v>
      </c>
      <c r="B12" s="33">
        <f>'Agile AR Aging &lt;-INPUT'!C287+'Agile AR Aging &lt;-INPUT'!C288+'Agile AR Aging &lt;-INPUT'!C295+'Agile AR Aging &lt;-INPUT'!C301</f>
        <v>0</v>
      </c>
      <c r="C12" s="33">
        <f>'Agile AR Aging &lt;-INPUT'!D287+'Agile AR Aging &lt;-INPUT'!D288+'Agile AR Aging &lt;-INPUT'!D295+'Agile AR Aging &lt;-INPUT'!D301</f>
        <v>0</v>
      </c>
      <c r="D12" s="33">
        <f>'Agile AR Aging &lt;-INPUT'!E287+'Agile AR Aging &lt;-INPUT'!E288+'Agile AR Aging &lt;-INPUT'!E295+'Agile AR Aging &lt;-INPUT'!E301</f>
        <v>0</v>
      </c>
      <c r="E12" s="33">
        <f>'Agile AR Aging &lt;-INPUT'!F287+'Agile AR Aging &lt;-INPUT'!F288+'Agile AR Aging &lt;-INPUT'!F295+'Agile AR Aging &lt;-INPUT'!F301</f>
        <v>0</v>
      </c>
      <c r="F12" s="33">
        <f>'Agile AR Aging &lt;-INPUT'!G287+'Agile AR Aging &lt;-INPUT'!G288+'Agile AR Aging &lt;-INPUT'!G295+'Agile AR Aging &lt;-INPUT'!G301</f>
        <v>0</v>
      </c>
      <c r="G12" s="33">
        <f>'Agile AR Aging &lt;-INPUT'!H287+'Agile AR Aging &lt;-INPUT'!H288+'Agile AR Aging &lt;-INPUT'!H295+'Agile AR Aging &lt;-INPUT'!H301</f>
        <v>0</v>
      </c>
      <c r="H12" s="33">
        <f>'Agile AR Aging &lt;-INPUT'!I287+'Agile AR Aging &lt;-INPUT'!I288+'Agile AR Aging &lt;-INPUT'!I295+'Agile AR Aging &lt;-INPUT'!I301</f>
        <v>0</v>
      </c>
      <c r="I12" s="33">
        <f>'Agile AR Aging &lt;-INPUT'!J287+'Agile AR Aging &lt;-INPUT'!J288+'Agile AR Aging &lt;-INPUT'!J295+'Agile AR Aging &lt;-INPUT'!J301</f>
        <v>0</v>
      </c>
      <c r="J12" s="2">
        <f t="shared" si="0"/>
        <v>0</v>
      </c>
      <c r="L12" s="73"/>
      <c r="N12" s="68"/>
    </row>
    <row r="13" spans="1:15" x14ac:dyDescent="0.25">
      <c r="A13" s="1" t="s">
        <v>50</v>
      </c>
      <c r="B13" s="33">
        <f>'Agile AR Aging &lt;-INPUT'!C289</f>
        <v>0</v>
      </c>
      <c r="C13" s="33">
        <f>'Agile AR Aging &lt;-INPUT'!D289</f>
        <v>0</v>
      </c>
      <c r="D13" s="33">
        <f>'Agile AR Aging &lt;-INPUT'!E289</f>
        <v>0</v>
      </c>
      <c r="E13" s="33">
        <f>'Agile AR Aging &lt;-INPUT'!F289</f>
        <v>0</v>
      </c>
      <c r="F13" s="33">
        <f>'Agile AR Aging &lt;-INPUT'!G289</f>
        <v>0</v>
      </c>
      <c r="G13" s="33">
        <f>'Agile AR Aging &lt;-INPUT'!H289</f>
        <v>0</v>
      </c>
      <c r="H13" s="33">
        <f>'Agile AR Aging &lt;-INPUT'!I289</f>
        <v>0</v>
      </c>
      <c r="I13" s="33">
        <f>'Agile AR Aging &lt;-INPUT'!J289</f>
        <v>0</v>
      </c>
      <c r="J13" s="2">
        <f t="shared" si="0"/>
        <v>0</v>
      </c>
      <c r="L13" s="73"/>
      <c r="N13" s="68"/>
    </row>
    <row r="14" spans="1:15" x14ac:dyDescent="0.25">
      <c r="A14" s="1" t="s">
        <v>89</v>
      </c>
      <c r="B14" s="33">
        <f>'Agile AR Aging &lt;-INPUT'!C290</f>
        <v>0</v>
      </c>
      <c r="C14" s="33">
        <f>'Agile AR Aging &lt;-INPUT'!D290</f>
        <v>0</v>
      </c>
      <c r="D14" s="33">
        <f>'Agile AR Aging &lt;-INPUT'!E290</f>
        <v>0</v>
      </c>
      <c r="E14" s="33">
        <f>'Agile AR Aging &lt;-INPUT'!F290</f>
        <v>0</v>
      </c>
      <c r="F14" s="33">
        <f>'Agile AR Aging &lt;-INPUT'!G290</f>
        <v>0</v>
      </c>
      <c r="G14" s="33">
        <f>'Agile AR Aging &lt;-INPUT'!H290</f>
        <v>0</v>
      </c>
      <c r="H14" s="33">
        <f>'Agile AR Aging &lt;-INPUT'!I290</f>
        <v>0</v>
      </c>
      <c r="I14" s="33">
        <f>'Agile AR Aging &lt;-INPUT'!J290</f>
        <v>0</v>
      </c>
      <c r="J14" s="2">
        <f t="shared" si="0"/>
        <v>0</v>
      </c>
      <c r="L14" s="73"/>
      <c r="N14" s="68"/>
    </row>
    <row r="15" spans="1:15" x14ac:dyDescent="0.25">
      <c r="A15" s="1" t="s">
        <v>5</v>
      </c>
      <c r="B15" s="33">
        <f>'Agile AR Aging &lt;-INPUT'!C291</f>
        <v>0</v>
      </c>
      <c r="C15" s="33">
        <f>'Agile AR Aging &lt;-INPUT'!D291</f>
        <v>0</v>
      </c>
      <c r="D15" s="33">
        <f>'Agile AR Aging &lt;-INPUT'!E291</f>
        <v>0</v>
      </c>
      <c r="E15" s="33">
        <f>'Agile AR Aging &lt;-INPUT'!F291</f>
        <v>0</v>
      </c>
      <c r="F15" s="33">
        <f>'Agile AR Aging &lt;-INPUT'!G291</f>
        <v>0</v>
      </c>
      <c r="G15" s="33">
        <f>'Agile AR Aging &lt;-INPUT'!H291</f>
        <v>0</v>
      </c>
      <c r="H15" s="33">
        <f>'Agile AR Aging &lt;-INPUT'!I291</f>
        <v>0</v>
      </c>
      <c r="I15" s="33">
        <f>'Agile AR Aging &lt;-INPUT'!J291</f>
        <v>0</v>
      </c>
      <c r="J15" s="2">
        <f t="shared" si="0"/>
        <v>0</v>
      </c>
      <c r="L15" s="73"/>
      <c r="N15" s="68"/>
    </row>
    <row r="16" spans="1:15" x14ac:dyDescent="0.25">
      <c r="A16" s="1" t="s">
        <v>84</v>
      </c>
      <c r="B16" s="33">
        <f>'Agile AR Aging &lt;-INPUT'!C292</f>
        <v>0</v>
      </c>
      <c r="C16" s="33">
        <f>'Agile AR Aging &lt;-INPUT'!D292</f>
        <v>0</v>
      </c>
      <c r="D16" s="33">
        <f>'Agile AR Aging &lt;-INPUT'!E292</f>
        <v>0</v>
      </c>
      <c r="E16" s="33">
        <f>'Agile AR Aging &lt;-INPUT'!F292</f>
        <v>0</v>
      </c>
      <c r="F16" s="33">
        <f>'Agile AR Aging &lt;-INPUT'!G292</f>
        <v>0</v>
      </c>
      <c r="G16" s="33">
        <f>'Agile AR Aging &lt;-INPUT'!H292</f>
        <v>0</v>
      </c>
      <c r="H16" s="33">
        <f>'Agile AR Aging &lt;-INPUT'!I292</f>
        <v>0</v>
      </c>
      <c r="I16" s="33">
        <f>'Agile AR Aging &lt;-INPUT'!J292</f>
        <v>0</v>
      </c>
      <c r="J16" s="2">
        <f t="shared" si="0"/>
        <v>0</v>
      </c>
      <c r="L16" s="73"/>
      <c r="N16" s="68"/>
    </row>
    <row r="17" spans="1:17" x14ac:dyDescent="0.25">
      <c r="A17" s="1" t="s">
        <v>4</v>
      </c>
      <c r="B17" s="33">
        <f>'Agile AR Aging &lt;-INPUT'!C293</f>
        <v>0</v>
      </c>
      <c r="C17" s="33">
        <f>'Agile AR Aging &lt;-INPUT'!D293</f>
        <v>0</v>
      </c>
      <c r="D17" s="33">
        <f>'Agile AR Aging &lt;-INPUT'!E293</f>
        <v>0</v>
      </c>
      <c r="E17" s="33">
        <f>'Agile AR Aging &lt;-INPUT'!F293</f>
        <v>0</v>
      </c>
      <c r="F17" s="33">
        <f>'Agile AR Aging &lt;-INPUT'!G293</f>
        <v>0</v>
      </c>
      <c r="G17" s="33">
        <f>'Agile AR Aging &lt;-INPUT'!H293</f>
        <v>0</v>
      </c>
      <c r="H17" s="33">
        <f>'Agile AR Aging &lt;-INPUT'!I293</f>
        <v>0</v>
      </c>
      <c r="I17" s="33">
        <f>'Agile AR Aging &lt;-INPUT'!J293</f>
        <v>0</v>
      </c>
      <c r="J17" s="2">
        <f t="shared" si="0"/>
        <v>0</v>
      </c>
      <c r="L17" s="73"/>
      <c r="N17" s="68"/>
    </row>
    <row r="18" spans="1:17" x14ac:dyDescent="0.25">
      <c r="A18" s="1" t="s">
        <v>51</v>
      </c>
      <c r="B18" s="33">
        <f>'Agile AR Aging &lt;-INPUT'!C294</f>
        <v>0</v>
      </c>
      <c r="C18" s="33">
        <f>'Agile AR Aging &lt;-INPUT'!D294</f>
        <v>0</v>
      </c>
      <c r="D18" s="33">
        <f>'Agile AR Aging &lt;-INPUT'!E294</f>
        <v>0</v>
      </c>
      <c r="E18" s="33">
        <f>'Agile AR Aging &lt;-INPUT'!F294</f>
        <v>0</v>
      </c>
      <c r="F18" s="33">
        <f>'Agile AR Aging &lt;-INPUT'!G294</f>
        <v>0</v>
      </c>
      <c r="G18" s="33">
        <f>'Agile AR Aging &lt;-INPUT'!H294</f>
        <v>0</v>
      </c>
      <c r="H18" s="33">
        <f>'Agile AR Aging &lt;-INPUT'!I294</f>
        <v>0</v>
      </c>
      <c r="I18" s="33">
        <f>'Agile AR Aging &lt;-INPUT'!J294</f>
        <v>0</v>
      </c>
      <c r="J18" s="2">
        <f t="shared" si="0"/>
        <v>0</v>
      </c>
      <c r="L18" s="73"/>
      <c r="N18" s="68"/>
    </row>
    <row r="19" spans="1:17" x14ac:dyDescent="0.25">
      <c r="A19" s="1" t="s">
        <v>85</v>
      </c>
      <c r="B19" s="33">
        <f>'Agile AR Aging &lt;-INPUT'!C296</f>
        <v>0</v>
      </c>
      <c r="C19" s="33">
        <f>'Agile AR Aging &lt;-INPUT'!D296</f>
        <v>0</v>
      </c>
      <c r="D19" s="33">
        <f>'Agile AR Aging &lt;-INPUT'!E296</f>
        <v>0</v>
      </c>
      <c r="E19" s="33">
        <f>'Agile AR Aging &lt;-INPUT'!F296</f>
        <v>0</v>
      </c>
      <c r="F19" s="33">
        <f>'Agile AR Aging &lt;-INPUT'!G296</f>
        <v>0</v>
      </c>
      <c r="G19" s="33">
        <f>'Agile AR Aging &lt;-INPUT'!H296</f>
        <v>0</v>
      </c>
      <c r="H19" s="33">
        <f>'Agile AR Aging &lt;-INPUT'!I296</f>
        <v>0</v>
      </c>
      <c r="I19" s="33">
        <f>'Agile AR Aging &lt;-INPUT'!J296</f>
        <v>0</v>
      </c>
      <c r="J19" s="2">
        <f t="shared" si="0"/>
        <v>0</v>
      </c>
      <c r="L19" s="73"/>
      <c r="N19" s="68"/>
    </row>
    <row r="20" spans="1:17" x14ac:dyDescent="0.25">
      <c r="A20" s="1" t="s">
        <v>2</v>
      </c>
      <c r="B20" s="33">
        <f>'Agile AR Aging &lt;-INPUT'!C297</f>
        <v>0</v>
      </c>
      <c r="C20" s="33">
        <f>'Agile AR Aging &lt;-INPUT'!D297</f>
        <v>0</v>
      </c>
      <c r="D20" s="33">
        <f>'Agile AR Aging &lt;-INPUT'!E297</f>
        <v>0</v>
      </c>
      <c r="E20" s="33">
        <f>'Agile AR Aging &lt;-INPUT'!F297</f>
        <v>0</v>
      </c>
      <c r="F20" s="33">
        <f>'Agile AR Aging &lt;-INPUT'!G297</f>
        <v>0</v>
      </c>
      <c r="G20" s="33">
        <f>'Agile AR Aging &lt;-INPUT'!H297</f>
        <v>0</v>
      </c>
      <c r="H20" s="33">
        <f>'Agile AR Aging &lt;-INPUT'!I297</f>
        <v>0</v>
      </c>
      <c r="I20" s="33">
        <f>'Agile AR Aging &lt;-INPUT'!J297</f>
        <v>0</v>
      </c>
      <c r="J20" s="2">
        <f t="shared" si="0"/>
        <v>0</v>
      </c>
      <c r="L20" s="73"/>
      <c r="N20" s="68"/>
    </row>
    <row r="21" spans="1:17" x14ac:dyDescent="0.25">
      <c r="A21" s="1" t="s">
        <v>86</v>
      </c>
      <c r="B21" s="33">
        <f>'Agile AR Aging &lt;-INPUT'!C298</f>
        <v>0</v>
      </c>
      <c r="C21" s="33">
        <f>'Agile AR Aging &lt;-INPUT'!D298</f>
        <v>0</v>
      </c>
      <c r="D21" s="33">
        <f>'Agile AR Aging &lt;-INPUT'!E298</f>
        <v>0</v>
      </c>
      <c r="E21" s="33">
        <f>'Agile AR Aging &lt;-INPUT'!F298</f>
        <v>0</v>
      </c>
      <c r="F21" s="33">
        <f>'Agile AR Aging &lt;-INPUT'!G298</f>
        <v>0</v>
      </c>
      <c r="G21" s="33">
        <f>'Agile AR Aging &lt;-INPUT'!H298</f>
        <v>0</v>
      </c>
      <c r="H21" s="33">
        <f>'Agile AR Aging &lt;-INPUT'!I298</f>
        <v>0</v>
      </c>
      <c r="I21" s="33">
        <f>'Agile AR Aging &lt;-INPUT'!J298</f>
        <v>0</v>
      </c>
      <c r="J21" s="2">
        <f t="shared" si="0"/>
        <v>0</v>
      </c>
      <c r="L21" s="73"/>
      <c r="N21" s="68"/>
    </row>
    <row r="22" spans="1:17" x14ac:dyDescent="0.25">
      <c r="A22" s="1" t="s">
        <v>29</v>
      </c>
      <c r="B22" s="33">
        <f>'Agile AR Aging &lt;-INPUT'!C299</f>
        <v>0</v>
      </c>
      <c r="C22" s="33">
        <f>'Agile AR Aging &lt;-INPUT'!D299</f>
        <v>0</v>
      </c>
      <c r="D22" s="33">
        <f>'Agile AR Aging &lt;-INPUT'!E299</f>
        <v>0</v>
      </c>
      <c r="E22" s="33">
        <f>'Agile AR Aging &lt;-INPUT'!F299</f>
        <v>0</v>
      </c>
      <c r="F22" s="33">
        <f>'Agile AR Aging &lt;-INPUT'!G299</f>
        <v>0</v>
      </c>
      <c r="G22" s="33">
        <f>'Agile AR Aging &lt;-INPUT'!H299</f>
        <v>0</v>
      </c>
      <c r="H22" s="33">
        <f>'Agile AR Aging &lt;-INPUT'!I299</f>
        <v>0</v>
      </c>
      <c r="I22" s="33">
        <f>'Agile AR Aging &lt;-INPUT'!J299</f>
        <v>0</v>
      </c>
      <c r="J22" s="2">
        <f t="shared" si="0"/>
        <v>0</v>
      </c>
      <c r="L22" s="73"/>
      <c r="N22" s="68"/>
    </row>
    <row r="23" spans="1:17" x14ac:dyDescent="0.25">
      <c r="A23" s="1" t="s">
        <v>52</v>
      </c>
      <c r="B23" s="33">
        <f>'Agile AR Aging &lt;-INPUT'!C300</f>
        <v>0</v>
      </c>
      <c r="C23" s="33">
        <f>'Agile AR Aging &lt;-INPUT'!D300</f>
        <v>0</v>
      </c>
      <c r="D23" s="33">
        <f>'Agile AR Aging &lt;-INPUT'!E300</f>
        <v>0</v>
      </c>
      <c r="E23" s="33">
        <f>'Agile AR Aging &lt;-INPUT'!F300</f>
        <v>0</v>
      </c>
      <c r="F23" s="33">
        <f>'Agile AR Aging &lt;-INPUT'!G300</f>
        <v>0</v>
      </c>
      <c r="G23" s="33">
        <f>'Agile AR Aging &lt;-INPUT'!H300</f>
        <v>0</v>
      </c>
      <c r="H23" s="33">
        <f>'Agile AR Aging &lt;-INPUT'!I300</f>
        <v>0</v>
      </c>
      <c r="I23" s="33">
        <f>'Agile AR Aging &lt;-INPUT'!J300</f>
        <v>0</v>
      </c>
      <c r="J23" s="2">
        <f t="shared" si="0"/>
        <v>0</v>
      </c>
      <c r="L23" s="73"/>
      <c r="N23" s="68"/>
    </row>
    <row r="24" spans="1:17" x14ac:dyDescent="0.25">
      <c r="A24" s="1" t="s">
        <v>1</v>
      </c>
      <c r="B24" s="32">
        <f>'Agile AR Aging &lt;-INPUT'!C302</f>
        <v>0</v>
      </c>
      <c r="C24" s="32">
        <f>'Agile AR Aging &lt;-INPUT'!D302</f>
        <v>0</v>
      </c>
      <c r="D24" s="32">
        <f>'Agile AR Aging &lt;-INPUT'!E302</f>
        <v>0</v>
      </c>
      <c r="E24" s="32">
        <f>'Agile AR Aging &lt;-INPUT'!F302</f>
        <v>0</v>
      </c>
      <c r="F24" s="32">
        <f>'Agile AR Aging &lt;-INPUT'!G302</f>
        <v>0</v>
      </c>
      <c r="G24" s="32">
        <f>'Agile AR Aging &lt;-INPUT'!H302</f>
        <v>0</v>
      </c>
      <c r="H24" s="32">
        <f>'Agile AR Aging &lt;-INPUT'!I302</f>
        <v>0</v>
      </c>
      <c r="I24" s="32">
        <f>'Agile AR Aging &lt;-INPUT'!J302</f>
        <v>0</v>
      </c>
      <c r="J24" s="9">
        <f t="shared" si="0"/>
        <v>0</v>
      </c>
      <c r="L24" s="73"/>
      <c r="N24" s="68"/>
    </row>
    <row r="25" spans="1:17" x14ac:dyDescent="0.25">
      <c r="A25" s="1" t="s">
        <v>0</v>
      </c>
      <c r="B25" s="10">
        <f t="shared" ref="B25:I25" si="1">SUM(B8:B24)</f>
        <v>0</v>
      </c>
      <c r="C25" s="10">
        <f t="shared" si="1"/>
        <v>0</v>
      </c>
      <c r="D25" s="10">
        <f t="shared" si="1"/>
        <v>0</v>
      </c>
      <c r="E25" s="10">
        <f t="shared" si="1"/>
        <v>0</v>
      </c>
      <c r="F25" s="10">
        <f t="shared" si="1"/>
        <v>0</v>
      </c>
      <c r="G25" s="10">
        <f t="shared" si="1"/>
        <v>0</v>
      </c>
      <c r="H25" s="10">
        <f t="shared" si="1"/>
        <v>0</v>
      </c>
      <c r="I25" s="10">
        <f t="shared" si="1"/>
        <v>0</v>
      </c>
      <c r="J25" s="10">
        <f>SUM(B25:H25)</f>
        <v>0</v>
      </c>
      <c r="L25" s="31"/>
    </row>
    <row r="26" spans="1:17" ht="15.75" thickBot="1" x14ac:dyDescent="0.3">
      <c r="A26" s="1"/>
      <c r="B26" s="9"/>
      <c r="C26" s="9"/>
      <c r="D26" s="9"/>
      <c r="E26" s="9"/>
      <c r="F26" s="9"/>
      <c r="G26" s="9"/>
      <c r="H26" s="9"/>
      <c r="I26" s="9"/>
      <c r="J26" s="9"/>
      <c r="L26" s="31"/>
      <c r="Q26" s="1"/>
    </row>
    <row r="27" spans="1:17" ht="15.75" thickBot="1" x14ac:dyDescent="0.3">
      <c r="A27" s="167" t="s">
        <v>55</v>
      </c>
      <c r="B27" s="168"/>
      <c r="C27" s="168"/>
      <c r="D27" s="168"/>
      <c r="E27" s="168"/>
      <c r="F27" s="168"/>
      <c r="G27" s="168"/>
      <c r="H27" s="168"/>
      <c r="I27" s="168"/>
      <c r="J27" s="169"/>
      <c r="Q27" s="1"/>
    </row>
    <row r="28" spans="1:17" x14ac:dyDescent="0.25">
      <c r="A28" s="4" t="s">
        <v>16</v>
      </c>
      <c r="B28" s="5" t="s">
        <v>15</v>
      </c>
      <c r="C28" s="5" t="s">
        <v>14</v>
      </c>
      <c r="D28" s="5" t="s">
        <v>13</v>
      </c>
      <c r="E28" s="5" t="s">
        <v>12</v>
      </c>
      <c r="F28" s="5" t="s">
        <v>93</v>
      </c>
      <c r="G28" s="5" t="s">
        <v>94</v>
      </c>
      <c r="H28" s="5" t="s">
        <v>38</v>
      </c>
      <c r="I28" s="5" t="s">
        <v>9</v>
      </c>
      <c r="J28" s="5" t="s">
        <v>0</v>
      </c>
      <c r="Q28" s="1"/>
    </row>
    <row r="29" spans="1:17" x14ac:dyDescent="0.25">
      <c r="A29" s="1" t="s">
        <v>49</v>
      </c>
      <c r="B29" s="36">
        <f>'Reimbursement Rates &lt;-INPUT'!L9</f>
        <v>0</v>
      </c>
      <c r="C29" s="36">
        <f t="shared" ref="C29:I45" si="2">B29</f>
        <v>0</v>
      </c>
      <c r="D29" s="36">
        <f t="shared" si="2"/>
        <v>0</v>
      </c>
      <c r="E29" s="36">
        <f t="shared" si="2"/>
        <v>0</v>
      </c>
      <c r="F29" s="36">
        <f t="shared" si="2"/>
        <v>0</v>
      </c>
      <c r="G29" s="36">
        <f t="shared" si="2"/>
        <v>0</v>
      </c>
      <c r="H29" s="36">
        <f t="shared" si="2"/>
        <v>0</v>
      </c>
      <c r="I29" s="36">
        <f t="shared" si="2"/>
        <v>0</v>
      </c>
      <c r="J29" s="36">
        <f t="shared" ref="J29:J45" si="3">H29</f>
        <v>0</v>
      </c>
    </row>
    <row r="30" spans="1:17" x14ac:dyDescent="0.25">
      <c r="A30" s="1" t="s">
        <v>8</v>
      </c>
      <c r="B30" s="36">
        <f>'Reimbursement Rates &lt;-INPUT'!L10</f>
        <v>0</v>
      </c>
      <c r="C30" s="36">
        <f t="shared" si="2"/>
        <v>0</v>
      </c>
      <c r="D30" s="36">
        <f t="shared" si="2"/>
        <v>0</v>
      </c>
      <c r="E30" s="36">
        <f t="shared" si="2"/>
        <v>0</v>
      </c>
      <c r="F30" s="36">
        <f t="shared" si="2"/>
        <v>0</v>
      </c>
      <c r="G30" s="36">
        <f t="shared" si="2"/>
        <v>0</v>
      </c>
      <c r="H30" s="36">
        <f t="shared" si="2"/>
        <v>0</v>
      </c>
      <c r="I30" s="36">
        <f t="shared" si="2"/>
        <v>0</v>
      </c>
      <c r="J30" s="36">
        <f t="shared" si="3"/>
        <v>0</v>
      </c>
      <c r="Q30" s="1"/>
    </row>
    <row r="31" spans="1:17" x14ac:dyDescent="0.25">
      <c r="A31" s="1" t="s">
        <v>7</v>
      </c>
      <c r="B31" s="36">
        <f>'Reimbursement Rates &lt;-INPUT'!L11</f>
        <v>0</v>
      </c>
      <c r="C31" s="36">
        <f t="shared" si="2"/>
        <v>0</v>
      </c>
      <c r="D31" s="36">
        <f t="shared" si="2"/>
        <v>0</v>
      </c>
      <c r="E31" s="36">
        <f t="shared" si="2"/>
        <v>0</v>
      </c>
      <c r="F31" s="36">
        <f t="shared" si="2"/>
        <v>0</v>
      </c>
      <c r="G31" s="36">
        <f t="shared" si="2"/>
        <v>0</v>
      </c>
      <c r="H31" s="36">
        <f t="shared" si="2"/>
        <v>0</v>
      </c>
      <c r="I31" s="36">
        <f t="shared" si="2"/>
        <v>0</v>
      </c>
      <c r="J31" s="36">
        <f t="shared" si="3"/>
        <v>0</v>
      </c>
    </row>
    <row r="32" spans="1:17" x14ac:dyDescent="0.25">
      <c r="A32" s="1" t="s">
        <v>42</v>
      </c>
      <c r="B32" s="36">
        <f>'Reimbursement Rates &lt;-INPUT'!L12</f>
        <v>0</v>
      </c>
      <c r="C32" s="36">
        <f t="shared" si="2"/>
        <v>0</v>
      </c>
      <c r="D32" s="36">
        <f t="shared" si="2"/>
        <v>0</v>
      </c>
      <c r="E32" s="36">
        <f t="shared" si="2"/>
        <v>0</v>
      </c>
      <c r="F32" s="36">
        <f t="shared" si="2"/>
        <v>0</v>
      </c>
      <c r="G32" s="36">
        <f t="shared" si="2"/>
        <v>0</v>
      </c>
      <c r="H32" s="36">
        <f t="shared" si="2"/>
        <v>0</v>
      </c>
      <c r="I32" s="36">
        <f t="shared" si="2"/>
        <v>0</v>
      </c>
      <c r="J32" s="36">
        <f t="shared" si="3"/>
        <v>0</v>
      </c>
    </row>
    <row r="33" spans="1:17" x14ac:dyDescent="0.25">
      <c r="A33" s="1" t="s">
        <v>6</v>
      </c>
      <c r="B33" s="36">
        <f>'Reimbursement Rates &lt;-INPUT'!L13</f>
        <v>0</v>
      </c>
      <c r="C33" s="36">
        <f t="shared" si="2"/>
        <v>0</v>
      </c>
      <c r="D33" s="36">
        <f t="shared" si="2"/>
        <v>0</v>
      </c>
      <c r="E33" s="36">
        <f t="shared" si="2"/>
        <v>0</v>
      </c>
      <c r="F33" s="36">
        <f t="shared" si="2"/>
        <v>0</v>
      </c>
      <c r="G33" s="36">
        <f t="shared" si="2"/>
        <v>0</v>
      </c>
      <c r="H33" s="36">
        <f t="shared" si="2"/>
        <v>0</v>
      </c>
      <c r="I33" s="36">
        <f t="shared" si="2"/>
        <v>0</v>
      </c>
      <c r="J33" s="36">
        <f t="shared" si="3"/>
        <v>0</v>
      </c>
      <c r="Q33" s="1"/>
    </row>
    <row r="34" spans="1:17" x14ac:dyDescent="0.25">
      <c r="A34" s="1" t="s">
        <v>50</v>
      </c>
      <c r="B34" s="36">
        <f>'Reimbursement Rates &lt;-INPUT'!L15</f>
        <v>0</v>
      </c>
      <c r="C34" s="36">
        <f t="shared" si="2"/>
        <v>0</v>
      </c>
      <c r="D34" s="36">
        <f t="shared" si="2"/>
        <v>0</v>
      </c>
      <c r="E34" s="36">
        <f t="shared" si="2"/>
        <v>0</v>
      </c>
      <c r="F34" s="36">
        <f t="shared" si="2"/>
        <v>0</v>
      </c>
      <c r="G34" s="36">
        <f t="shared" si="2"/>
        <v>0</v>
      </c>
      <c r="H34" s="36">
        <f t="shared" si="2"/>
        <v>0</v>
      </c>
      <c r="I34" s="36">
        <f t="shared" si="2"/>
        <v>0</v>
      </c>
      <c r="J34" s="36">
        <f t="shared" si="3"/>
        <v>0</v>
      </c>
      <c r="M34" s="7"/>
    </row>
    <row r="35" spans="1:17" x14ac:dyDescent="0.25">
      <c r="A35" s="1" t="s">
        <v>89</v>
      </c>
      <c r="B35" s="36">
        <f>'Reimbursement Rates &lt;-INPUT'!L16</f>
        <v>0</v>
      </c>
      <c r="C35" s="36">
        <f t="shared" si="2"/>
        <v>0</v>
      </c>
      <c r="D35" s="36">
        <f t="shared" si="2"/>
        <v>0</v>
      </c>
      <c r="E35" s="36">
        <f t="shared" si="2"/>
        <v>0</v>
      </c>
      <c r="F35" s="36">
        <f t="shared" si="2"/>
        <v>0</v>
      </c>
      <c r="G35" s="36">
        <f t="shared" si="2"/>
        <v>0</v>
      </c>
      <c r="H35" s="36">
        <f t="shared" si="2"/>
        <v>0</v>
      </c>
      <c r="I35" s="36">
        <f t="shared" si="2"/>
        <v>0</v>
      </c>
      <c r="J35" s="36">
        <f t="shared" si="3"/>
        <v>0</v>
      </c>
      <c r="M35" s="7"/>
    </row>
    <row r="36" spans="1:17" x14ac:dyDescent="0.25">
      <c r="A36" s="1" t="s">
        <v>5</v>
      </c>
      <c r="B36" s="36">
        <f>'Reimbursement Rates &lt;-INPUT'!L17</f>
        <v>0</v>
      </c>
      <c r="C36" s="36">
        <f t="shared" si="2"/>
        <v>0</v>
      </c>
      <c r="D36" s="36">
        <f t="shared" si="2"/>
        <v>0</v>
      </c>
      <c r="E36" s="36">
        <f t="shared" si="2"/>
        <v>0</v>
      </c>
      <c r="F36" s="36">
        <f t="shared" si="2"/>
        <v>0</v>
      </c>
      <c r="G36" s="36">
        <f t="shared" si="2"/>
        <v>0</v>
      </c>
      <c r="H36" s="36">
        <f t="shared" si="2"/>
        <v>0</v>
      </c>
      <c r="I36" s="36">
        <f t="shared" si="2"/>
        <v>0</v>
      </c>
      <c r="J36" s="36">
        <f t="shared" si="3"/>
        <v>0</v>
      </c>
      <c r="M36" s="7"/>
      <c r="Q36" s="1"/>
    </row>
    <row r="37" spans="1:17" x14ac:dyDescent="0.25">
      <c r="A37" s="1" t="s">
        <v>84</v>
      </c>
      <c r="B37" s="36">
        <f>'Reimbursement Rates &lt;-INPUT'!L18</f>
        <v>0</v>
      </c>
      <c r="C37" s="36">
        <f t="shared" si="2"/>
        <v>0</v>
      </c>
      <c r="D37" s="36">
        <f t="shared" si="2"/>
        <v>0</v>
      </c>
      <c r="E37" s="36">
        <f t="shared" si="2"/>
        <v>0</v>
      </c>
      <c r="F37" s="36">
        <f t="shared" si="2"/>
        <v>0</v>
      </c>
      <c r="G37" s="36">
        <f t="shared" si="2"/>
        <v>0</v>
      </c>
      <c r="H37" s="36">
        <f t="shared" si="2"/>
        <v>0</v>
      </c>
      <c r="I37" s="36">
        <f t="shared" si="2"/>
        <v>0</v>
      </c>
      <c r="J37" s="36">
        <f t="shared" si="3"/>
        <v>0</v>
      </c>
      <c r="M37" s="7"/>
      <c r="Q37" s="1"/>
    </row>
    <row r="38" spans="1:17" x14ac:dyDescent="0.25">
      <c r="A38" s="1" t="s">
        <v>4</v>
      </c>
      <c r="B38" s="36">
        <f>'Reimbursement Rates &lt;-INPUT'!L19</f>
        <v>0</v>
      </c>
      <c r="C38" s="36">
        <f t="shared" si="2"/>
        <v>0</v>
      </c>
      <c r="D38" s="36">
        <f t="shared" si="2"/>
        <v>0</v>
      </c>
      <c r="E38" s="36">
        <f t="shared" si="2"/>
        <v>0</v>
      </c>
      <c r="F38" s="36">
        <f t="shared" si="2"/>
        <v>0</v>
      </c>
      <c r="G38" s="36">
        <f t="shared" si="2"/>
        <v>0</v>
      </c>
      <c r="H38" s="36">
        <f t="shared" si="2"/>
        <v>0</v>
      </c>
      <c r="I38" s="36">
        <f t="shared" si="2"/>
        <v>0</v>
      </c>
      <c r="J38" s="36">
        <f t="shared" si="3"/>
        <v>0</v>
      </c>
      <c r="M38" s="7"/>
    </row>
    <row r="39" spans="1:17" x14ac:dyDescent="0.25">
      <c r="A39" s="1" t="s">
        <v>51</v>
      </c>
      <c r="B39" s="36">
        <f>'Reimbursement Rates &lt;-INPUT'!L20</f>
        <v>0</v>
      </c>
      <c r="C39" s="36">
        <f t="shared" si="2"/>
        <v>0</v>
      </c>
      <c r="D39" s="36">
        <f t="shared" si="2"/>
        <v>0</v>
      </c>
      <c r="E39" s="36">
        <f t="shared" si="2"/>
        <v>0</v>
      </c>
      <c r="F39" s="36">
        <f t="shared" si="2"/>
        <v>0</v>
      </c>
      <c r="G39" s="36">
        <f t="shared" si="2"/>
        <v>0</v>
      </c>
      <c r="H39" s="36">
        <f t="shared" si="2"/>
        <v>0</v>
      </c>
      <c r="I39" s="36">
        <f t="shared" si="2"/>
        <v>0</v>
      </c>
      <c r="J39" s="36">
        <f t="shared" si="3"/>
        <v>0</v>
      </c>
      <c r="M39" s="7"/>
      <c r="Q39" s="1"/>
    </row>
    <row r="40" spans="1:17" x14ac:dyDescent="0.25">
      <c r="A40" s="1" t="s">
        <v>85</v>
      </c>
      <c r="B40" s="36">
        <f>'Reimbursement Rates &lt;-INPUT'!L22</f>
        <v>0</v>
      </c>
      <c r="C40" s="36">
        <f t="shared" si="2"/>
        <v>0</v>
      </c>
      <c r="D40" s="36">
        <f t="shared" si="2"/>
        <v>0</v>
      </c>
      <c r="E40" s="36">
        <f t="shared" si="2"/>
        <v>0</v>
      </c>
      <c r="F40" s="36">
        <f t="shared" si="2"/>
        <v>0</v>
      </c>
      <c r="G40" s="36">
        <f t="shared" si="2"/>
        <v>0</v>
      </c>
      <c r="H40" s="36">
        <f t="shared" si="2"/>
        <v>0</v>
      </c>
      <c r="I40" s="36">
        <f t="shared" si="2"/>
        <v>0</v>
      </c>
      <c r="J40" s="36">
        <f t="shared" si="3"/>
        <v>0</v>
      </c>
      <c r="M40" s="7"/>
      <c r="Q40" s="1"/>
    </row>
    <row r="41" spans="1:17" x14ac:dyDescent="0.25">
      <c r="A41" s="1" t="s">
        <v>2</v>
      </c>
      <c r="B41" s="36">
        <f>'Reimbursement Rates &lt;-INPUT'!L23</f>
        <v>0</v>
      </c>
      <c r="C41" s="36">
        <f t="shared" si="2"/>
        <v>0</v>
      </c>
      <c r="D41" s="36">
        <f t="shared" si="2"/>
        <v>0</v>
      </c>
      <c r="E41" s="36">
        <f t="shared" si="2"/>
        <v>0</v>
      </c>
      <c r="F41" s="36">
        <f t="shared" si="2"/>
        <v>0</v>
      </c>
      <c r="G41" s="36">
        <f t="shared" si="2"/>
        <v>0</v>
      </c>
      <c r="H41" s="36">
        <f t="shared" si="2"/>
        <v>0</v>
      </c>
      <c r="I41" s="36">
        <f t="shared" si="2"/>
        <v>0</v>
      </c>
      <c r="J41" s="36">
        <f t="shared" si="3"/>
        <v>0</v>
      </c>
      <c r="M41" s="7"/>
      <c r="Q41" s="1"/>
    </row>
    <row r="42" spans="1:17" x14ac:dyDescent="0.25">
      <c r="A42" s="1" t="s">
        <v>86</v>
      </c>
      <c r="B42" s="36">
        <f>'Reimbursement Rates &lt;-INPUT'!L24</f>
        <v>0</v>
      </c>
      <c r="C42" s="36">
        <f t="shared" si="2"/>
        <v>0</v>
      </c>
      <c r="D42" s="36">
        <f t="shared" si="2"/>
        <v>0</v>
      </c>
      <c r="E42" s="36">
        <f t="shared" si="2"/>
        <v>0</v>
      </c>
      <c r="F42" s="36">
        <f t="shared" si="2"/>
        <v>0</v>
      </c>
      <c r="G42" s="36">
        <f t="shared" si="2"/>
        <v>0</v>
      </c>
      <c r="H42" s="36">
        <f t="shared" si="2"/>
        <v>0</v>
      </c>
      <c r="I42" s="36">
        <f t="shared" si="2"/>
        <v>0</v>
      </c>
      <c r="J42" s="36">
        <f t="shared" si="3"/>
        <v>0</v>
      </c>
      <c r="M42" s="7"/>
    </row>
    <row r="43" spans="1:17" x14ac:dyDescent="0.25">
      <c r="A43" s="1" t="s">
        <v>29</v>
      </c>
      <c r="B43" s="36">
        <f>'Reimbursement Rates &lt;-INPUT'!L25</f>
        <v>0</v>
      </c>
      <c r="C43" s="36">
        <f t="shared" si="2"/>
        <v>0</v>
      </c>
      <c r="D43" s="36">
        <f t="shared" si="2"/>
        <v>0</v>
      </c>
      <c r="E43" s="36">
        <f t="shared" si="2"/>
        <v>0</v>
      </c>
      <c r="F43" s="36">
        <f t="shared" si="2"/>
        <v>0</v>
      </c>
      <c r="G43" s="36">
        <f t="shared" si="2"/>
        <v>0</v>
      </c>
      <c r="H43" s="36">
        <f t="shared" si="2"/>
        <v>0</v>
      </c>
      <c r="I43" s="36">
        <f t="shared" si="2"/>
        <v>0</v>
      </c>
      <c r="J43" s="36">
        <f t="shared" si="3"/>
        <v>0</v>
      </c>
      <c r="M43" s="7"/>
    </row>
    <row r="44" spans="1:17" x14ac:dyDescent="0.25">
      <c r="A44" s="1" t="s">
        <v>52</v>
      </c>
      <c r="B44" s="36">
        <f>'Reimbursement Rates &lt;-INPUT'!L26</f>
        <v>0</v>
      </c>
      <c r="C44" s="36">
        <f t="shared" si="2"/>
        <v>0</v>
      </c>
      <c r="D44" s="36">
        <f t="shared" si="2"/>
        <v>0</v>
      </c>
      <c r="E44" s="36">
        <f t="shared" si="2"/>
        <v>0</v>
      </c>
      <c r="F44" s="36">
        <f t="shared" si="2"/>
        <v>0</v>
      </c>
      <c r="G44" s="36">
        <f t="shared" si="2"/>
        <v>0</v>
      </c>
      <c r="H44" s="36">
        <f t="shared" si="2"/>
        <v>0</v>
      </c>
      <c r="I44" s="36">
        <f t="shared" si="2"/>
        <v>0</v>
      </c>
      <c r="J44" s="36">
        <f t="shared" si="3"/>
        <v>0</v>
      </c>
      <c r="M44" s="7"/>
      <c r="Q44" s="1"/>
    </row>
    <row r="45" spans="1:17" x14ac:dyDescent="0.25">
      <c r="A45" s="1" t="s">
        <v>1</v>
      </c>
      <c r="B45" s="36">
        <f>'Reimbursement Rates &lt;-INPUT'!L28</f>
        <v>0</v>
      </c>
      <c r="C45" s="36">
        <f t="shared" si="2"/>
        <v>0</v>
      </c>
      <c r="D45" s="36">
        <f t="shared" si="2"/>
        <v>0</v>
      </c>
      <c r="E45" s="36">
        <f t="shared" si="2"/>
        <v>0</v>
      </c>
      <c r="F45" s="36">
        <f t="shared" si="2"/>
        <v>0</v>
      </c>
      <c r="G45" s="36">
        <f t="shared" si="2"/>
        <v>0</v>
      </c>
      <c r="H45" s="36">
        <f t="shared" si="2"/>
        <v>0</v>
      </c>
      <c r="I45" s="36">
        <f t="shared" si="2"/>
        <v>0</v>
      </c>
      <c r="J45" s="36">
        <f t="shared" si="3"/>
        <v>0</v>
      </c>
      <c r="M45" s="7"/>
      <c r="Q45" s="1"/>
    </row>
    <row r="46" spans="1:17" ht="15.75" thickBot="1" x14ac:dyDescent="0.3">
      <c r="A46" s="1"/>
      <c r="B46" s="9"/>
      <c r="C46" s="9"/>
      <c r="D46" s="9"/>
      <c r="E46" s="9"/>
      <c r="F46" s="9"/>
      <c r="G46" s="9"/>
      <c r="H46" s="9"/>
      <c r="I46" s="9"/>
      <c r="J46" s="9"/>
      <c r="M46" s="7"/>
      <c r="Q46" s="1"/>
    </row>
    <row r="47" spans="1:17" ht="15.75" thickBot="1" x14ac:dyDescent="0.3">
      <c r="A47" s="170" t="s">
        <v>33</v>
      </c>
      <c r="B47" s="171"/>
      <c r="C47" s="171"/>
      <c r="D47" s="171"/>
      <c r="E47" s="171"/>
      <c r="F47" s="171"/>
      <c r="G47" s="171"/>
      <c r="H47" s="171"/>
      <c r="I47" s="171"/>
      <c r="J47" s="172"/>
      <c r="M47" s="7"/>
      <c r="Q47" s="1"/>
    </row>
    <row r="48" spans="1:17" x14ac:dyDescent="0.25">
      <c r="A48" s="4" t="s">
        <v>16</v>
      </c>
      <c r="B48" s="5" t="s">
        <v>15</v>
      </c>
      <c r="C48" s="5" t="s">
        <v>14</v>
      </c>
      <c r="D48" s="5" t="s">
        <v>13</v>
      </c>
      <c r="E48" s="5" t="s">
        <v>12</v>
      </c>
      <c r="F48" s="5" t="s">
        <v>93</v>
      </c>
      <c r="G48" s="5" t="s">
        <v>94</v>
      </c>
      <c r="H48" s="5" t="s">
        <v>38</v>
      </c>
      <c r="I48" s="5" t="s">
        <v>9</v>
      </c>
      <c r="J48" s="5" t="s">
        <v>0</v>
      </c>
      <c r="M48" s="7"/>
    </row>
    <row r="49" spans="1:17" x14ac:dyDescent="0.25">
      <c r="A49" s="1" t="s">
        <v>49</v>
      </c>
      <c r="B49" s="37">
        <f t="shared" ref="B49:H51" si="4">IF(B8&gt;0,B8*(1-B29),0)</f>
        <v>0</v>
      </c>
      <c r="C49" s="37">
        <f t="shared" si="4"/>
        <v>0</v>
      </c>
      <c r="D49" s="37">
        <f t="shared" si="4"/>
        <v>0</v>
      </c>
      <c r="E49" s="37">
        <f t="shared" si="4"/>
        <v>0</v>
      </c>
      <c r="F49" s="37">
        <f t="shared" si="4"/>
        <v>0</v>
      </c>
      <c r="G49" s="37">
        <f t="shared" si="4"/>
        <v>0</v>
      </c>
      <c r="H49" s="37">
        <f t="shared" si="4"/>
        <v>0</v>
      </c>
      <c r="I49" s="37">
        <f t="shared" ref="I49" si="5">IF(I8&gt;0,I8*(1-I29),0)</f>
        <v>0</v>
      </c>
      <c r="J49" s="37">
        <f>SUM(B49:H49)</f>
        <v>0</v>
      </c>
      <c r="M49" s="7"/>
      <c r="Q49" s="1"/>
    </row>
    <row r="50" spans="1:17" x14ac:dyDescent="0.25">
      <c r="A50" s="1" t="s">
        <v>8</v>
      </c>
      <c r="B50" s="37">
        <f t="shared" si="4"/>
        <v>0</v>
      </c>
      <c r="C50" s="37">
        <f t="shared" si="4"/>
        <v>0</v>
      </c>
      <c r="D50" s="37">
        <f t="shared" si="4"/>
        <v>0</v>
      </c>
      <c r="E50" s="37">
        <f t="shared" si="4"/>
        <v>0</v>
      </c>
      <c r="F50" s="37">
        <f t="shared" si="4"/>
        <v>0</v>
      </c>
      <c r="G50" s="37">
        <f t="shared" si="4"/>
        <v>0</v>
      </c>
      <c r="H50" s="37">
        <f t="shared" si="4"/>
        <v>0</v>
      </c>
      <c r="I50" s="37">
        <f t="shared" ref="I50" si="6">IF(I9&gt;0,I9*(1-I30),0)</f>
        <v>0</v>
      </c>
      <c r="J50" s="37">
        <f t="shared" ref="J50:J65" si="7">SUM(B50:H50)</f>
        <v>0</v>
      </c>
      <c r="M50" s="7"/>
      <c r="Q50" s="7"/>
    </row>
    <row r="51" spans="1:17" x14ac:dyDescent="0.25">
      <c r="A51" s="1" t="s">
        <v>7</v>
      </c>
      <c r="B51" s="37">
        <f>IF(B10&gt;0,B10*(1-B31),0)</f>
        <v>0</v>
      </c>
      <c r="C51" s="37">
        <f t="shared" si="4"/>
        <v>0</v>
      </c>
      <c r="D51" s="37">
        <f t="shared" si="4"/>
        <v>0</v>
      </c>
      <c r="E51" s="37">
        <f t="shared" si="4"/>
        <v>0</v>
      </c>
      <c r="F51" s="37">
        <f t="shared" si="4"/>
        <v>0</v>
      </c>
      <c r="G51" s="37">
        <f t="shared" si="4"/>
        <v>0</v>
      </c>
      <c r="H51" s="37">
        <f t="shared" si="4"/>
        <v>0</v>
      </c>
      <c r="I51" s="37">
        <f t="shared" ref="I51" si="8">IF(I10&gt;0,I10*(1-I31),0)</f>
        <v>0</v>
      </c>
      <c r="J51" s="37">
        <f t="shared" si="7"/>
        <v>0</v>
      </c>
      <c r="M51" s="7"/>
    </row>
    <row r="52" spans="1:17" x14ac:dyDescent="0.25">
      <c r="A52" s="1" t="s">
        <v>42</v>
      </c>
      <c r="B52" s="37">
        <f t="shared" ref="B52:H65" si="9">IF(B11&gt;0,B11*(1-B32),0)</f>
        <v>0</v>
      </c>
      <c r="C52" s="37">
        <f t="shared" si="9"/>
        <v>0</v>
      </c>
      <c r="D52" s="37">
        <f t="shared" si="9"/>
        <v>0</v>
      </c>
      <c r="E52" s="37">
        <f t="shared" si="9"/>
        <v>0</v>
      </c>
      <c r="F52" s="37">
        <f t="shared" si="9"/>
        <v>0</v>
      </c>
      <c r="G52" s="37">
        <f t="shared" si="9"/>
        <v>0</v>
      </c>
      <c r="H52" s="37">
        <f t="shared" si="9"/>
        <v>0</v>
      </c>
      <c r="I52" s="37">
        <f t="shared" ref="I52" si="10">IF(I11&gt;0,I11*(1-I32),0)</f>
        <v>0</v>
      </c>
      <c r="J52" s="37">
        <f t="shared" si="7"/>
        <v>0</v>
      </c>
      <c r="M52" s="7"/>
    </row>
    <row r="53" spans="1:17" x14ac:dyDescent="0.25">
      <c r="A53" s="1" t="s">
        <v>6</v>
      </c>
      <c r="B53" s="37">
        <f t="shared" si="9"/>
        <v>0</v>
      </c>
      <c r="C53" s="37">
        <f t="shared" si="9"/>
        <v>0</v>
      </c>
      <c r="D53" s="37">
        <f t="shared" si="9"/>
        <v>0</v>
      </c>
      <c r="E53" s="37">
        <f t="shared" si="9"/>
        <v>0</v>
      </c>
      <c r="F53" s="37">
        <f t="shared" si="9"/>
        <v>0</v>
      </c>
      <c r="G53" s="37">
        <f t="shared" si="9"/>
        <v>0</v>
      </c>
      <c r="H53" s="37">
        <f t="shared" si="9"/>
        <v>0</v>
      </c>
      <c r="I53" s="37">
        <f t="shared" ref="I53" si="11">IF(I12&gt;0,I12*(1-I33),0)</f>
        <v>0</v>
      </c>
      <c r="J53" s="37">
        <f t="shared" si="7"/>
        <v>0</v>
      </c>
      <c r="M53" s="7"/>
    </row>
    <row r="54" spans="1:17" x14ac:dyDescent="0.25">
      <c r="A54" s="1" t="s">
        <v>50</v>
      </c>
      <c r="B54" s="37">
        <f t="shared" si="9"/>
        <v>0</v>
      </c>
      <c r="C54" s="37">
        <f t="shared" si="9"/>
        <v>0</v>
      </c>
      <c r="D54" s="37">
        <f t="shared" si="9"/>
        <v>0</v>
      </c>
      <c r="E54" s="37">
        <f t="shared" si="9"/>
        <v>0</v>
      </c>
      <c r="F54" s="37">
        <f t="shared" si="9"/>
        <v>0</v>
      </c>
      <c r="G54" s="37">
        <f t="shared" si="9"/>
        <v>0</v>
      </c>
      <c r="H54" s="37">
        <f t="shared" si="9"/>
        <v>0</v>
      </c>
      <c r="I54" s="37">
        <f t="shared" ref="I54" si="12">IF(I13&gt;0,I13*(1-I34),0)</f>
        <v>0</v>
      </c>
      <c r="J54" s="37">
        <f t="shared" si="7"/>
        <v>0</v>
      </c>
      <c r="M54" s="7"/>
    </row>
    <row r="55" spans="1:17" x14ac:dyDescent="0.25">
      <c r="A55" s="1" t="s">
        <v>89</v>
      </c>
      <c r="B55" s="37">
        <f t="shared" si="9"/>
        <v>0</v>
      </c>
      <c r="C55" s="37">
        <f t="shared" si="9"/>
        <v>0</v>
      </c>
      <c r="D55" s="37">
        <f t="shared" si="9"/>
        <v>0</v>
      </c>
      <c r="E55" s="37">
        <f t="shared" si="9"/>
        <v>0</v>
      </c>
      <c r="F55" s="37">
        <f t="shared" si="9"/>
        <v>0</v>
      </c>
      <c r="G55" s="37">
        <f t="shared" si="9"/>
        <v>0</v>
      </c>
      <c r="H55" s="37">
        <f t="shared" si="9"/>
        <v>0</v>
      </c>
      <c r="I55" s="37">
        <f t="shared" ref="I55" si="13">IF(I14&gt;0,I14*(1-I35),0)</f>
        <v>0</v>
      </c>
      <c r="J55" s="37">
        <f t="shared" si="7"/>
        <v>0</v>
      </c>
      <c r="M55" s="7"/>
    </row>
    <row r="56" spans="1:17" x14ac:dyDescent="0.25">
      <c r="A56" s="1" t="s">
        <v>5</v>
      </c>
      <c r="B56" s="37">
        <f t="shared" si="9"/>
        <v>0</v>
      </c>
      <c r="C56" s="37">
        <f t="shared" si="9"/>
        <v>0</v>
      </c>
      <c r="D56" s="37">
        <f t="shared" si="9"/>
        <v>0</v>
      </c>
      <c r="E56" s="37">
        <f t="shared" si="9"/>
        <v>0</v>
      </c>
      <c r="F56" s="37">
        <f t="shared" si="9"/>
        <v>0</v>
      </c>
      <c r="G56" s="37">
        <f t="shared" si="9"/>
        <v>0</v>
      </c>
      <c r="H56" s="37">
        <f t="shared" si="9"/>
        <v>0</v>
      </c>
      <c r="I56" s="37">
        <f t="shared" ref="I56" si="14">IF(I15&gt;0,I15*(1-I36),0)</f>
        <v>0</v>
      </c>
      <c r="J56" s="37">
        <f t="shared" si="7"/>
        <v>0</v>
      </c>
      <c r="M56" s="7"/>
    </row>
    <row r="57" spans="1:17" x14ac:dyDescent="0.25">
      <c r="A57" s="1" t="s">
        <v>84</v>
      </c>
      <c r="B57" s="37">
        <f t="shared" si="9"/>
        <v>0</v>
      </c>
      <c r="C57" s="37">
        <f t="shared" si="9"/>
        <v>0</v>
      </c>
      <c r="D57" s="37">
        <f t="shared" si="9"/>
        <v>0</v>
      </c>
      <c r="E57" s="37">
        <f t="shared" si="9"/>
        <v>0</v>
      </c>
      <c r="F57" s="37">
        <f t="shared" si="9"/>
        <v>0</v>
      </c>
      <c r="G57" s="37">
        <f t="shared" si="9"/>
        <v>0</v>
      </c>
      <c r="H57" s="37">
        <f t="shared" si="9"/>
        <v>0</v>
      </c>
      <c r="I57" s="37">
        <f t="shared" ref="I57" si="15">IF(I16&gt;0,I16*(1-I37),0)</f>
        <v>0</v>
      </c>
      <c r="J57" s="37">
        <f t="shared" si="7"/>
        <v>0</v>
      </c>
      <c r="M57" s="7"/>
    </row>
    <row r="58" spans="1:17" x14ac:dyDescent="0.25">
      <c r="A58" s="1" t="s">
        <v>4</v>
      </c>
      <c r="B58" s="37">
        <f t="shared" si="9"/>
        <v>0</v>
      </c>
      <c r="C58" s="37">
        <f t="shared" si="9"/>
        <v>0</v>
      </c>
      <c r="D58" s="37">
        <f t="shared" si="9"/>
        <v>0</v>
      </c>
      <c r="E58" s="37">
        <f t="shared" si="9"/>
        <v>0</v>
      </c>
      <c r="F58" s="37">
        <f t="shared" si="9"/>
        <v>0</v>
      </c>
      <c r="G58" s="37">
        <f t="shared" si="9"/>
        <v>0</v>
      </c>
      <c r="H58" s="37">
        <f t="shared" si="9"/>
        <v>0</v>
      </c>
      <c r="I58" s="37">
        <f t="shared" ref="I58" si="16">IF(I17&gt;0,I17*(1-I38),0)</f>
        <v>0</v>
      </c>
      <c r="J58" s="37">
        <f t="shared" si="7"/>
        <v>0</v>
      </c>
      <c r="M58" s="7"/>
    </row>
    <row r="59" spans="1:17" x14ac:dyDescent="0.25">
      <c r="A59" s="1" t="s">
        <v>51</v>
      </c>
      <c r="B59" s="37">
        <f t="shared" si="9"/>
        <v>0</v>
      </c>
      <c r="C59" s="37">
        <f t="shared" si="9"/>
        <v>0</v>
      </c>
      <c r="D59" s="37">
        <f t="shared" si="9"/>
        <v>0</v>
      </c>
      <c r="E59" s="37">
        <f t="shared" si="9"/>
        <v>0</v>
      </c>
      <c r="F59" s="37">
        <f t="shared" si="9"/>
        <v>0</v>
      </c>
      <c r="G59" s="37">
        <f t="shared" si="9"/>
        <v>0</v>
      </c>
      <c r="H59" s="37">
        <f t="shared" si="9"/>
        <v>0</v>
      </c>
      <c r="I59" s="37">
        <f t="shared" ref="I59" si="17">IF(I18&gt;0,I18*(1-I39),0)</f>
        <v>0</v>
      </c>
      <c r="J59" s="37">
        <f t="shared" si="7"/>
        <v>0</v>
      </c>
      <c r="M59" s="7"/>
    </row>
    <row r="60" spans="1:17" x14ac:dyDescent="0.25">
      <c r="A60" s="1" t="s">
        <v>85</v>
      </c>
      <c r="B60" s="37">
        <f t="shared" si="9"/>
        <v>0</v>
      </c>
      <c r="C60" s="37">
        <f t="shared" si="9"/>
        <v>0</v>
      </c>
      <c r="D60" s="37">
        <f t="shared" si="9"/>
        <v>0</v>
      </c>
      <c r="E60" s="37">
        <f t="shared" si="9"/>
        <v>0</v>
      </c>
      <c r="F60" s="37">
        <f t="shared" si="9"/>
        <v>0</v>
      </c>
      <c r="G60" s="37">
        <f t="shared" si="9"/>
        <v>0</v>
      </c>
      <c r="H60" s="37">
        <f t="shared" si="9"/>
        <v>0</v>
      </c>
      <c r="I60" s="37">
        <f t="shared" ref="I60" si="18">IF(I19&gt;0,I19*(1-I40),0)</f>
        <v>0</v>
      </c>
      <c r="J60" s="37">
        <f t="shared" si="7"/>
        <v>0</v>
      </c>
      <c r="M60" s="7"/>
    </row>
    <row r="61" spans="1:17" x14ac:dyDescent="0.25">
      <c r="A61" s="1" t="s">
        <v>2</v>
      </c>
      <c r="B61" s="37">
        <f t="shared" si="9"/>
        <v>0</v>
      </c>
      <c r="C61" s="37">
        <f t="shared" si="9"/>
        <v>0</v>
      </c>
      <c r="D61" s="37">
        <f t="shared" si="9"/>
        <v>0</v>
      </c>
      <c r="E61" s="37">
        <f t="shared" si="9"/>
        <v>0</v>
      </c>
      <c r="F61" s="37">
        <f t="shared" si="9"/>
        <v>0</v>
      </c>
      <c r="G61" s="37">
        <f t="shared" si="9"/>
        <v>0</v>
      </c>
      <c r="H61" s="37">
        <f t="shared" si="9"/>
        <v>0</v>
      </c>
      <c r="I61" s="37">
        <f t="shared" ref="I61" si="19">IF(I20&gt;0,I20*(1-I41),0)</f>
        <v>0</v>
      </c>
      <c r="J61" s="37">
        <f t="shared" si="7"/>
        <v>0</v>
      </c>
      <c r="M61" s="7"/>
    </row>
    <row r="62" spans="1:17" x14ac:dyDescent="0.25">
      <c r="A62" s="1" t="s">
        <v>86</v>
      </c>
      <c r="B62" s="37">
        <f t="shared" si="9"/>
        <v>0</v>
      </c>
      <c r="C62" s="37">
        <f t="shared" si="9"/>
        <v>0</v>
      </c>
      <c r="D62" s="37">
        <f t="shared" si="9"/>
        <v>0</v>
      </c>
      <c r="E62" s="37">
        <f t="shared" si="9"/>
        <v>0</v>
      </c>
      <c r="F62" s="37">
        <f t="shared" si="9"/>
        <v>0</v>
      </c>
      <c r="G62" s="37">
        <f t="shared" si="9"/>
        <v>0</v>
      </c>
      <c r="H62" s="37">
        <f t="shared" si="9"/>
        <v>0</v>
      </c>
      <c r="I62" s="37">
        <f t="shared" ref="I62" si="20">IF(I21&gt;0,I21*(1-I42),0)</f>
        <v>0</v>
      </c>
      <c r="J62" s="37">
        <f t="shared" si="7"/>
        <v>0</v>
      </c>
      <c r="M62" s="183" t="s">
        <v>62</v>
      </c>
    </row>
    <row r="63" spans="1:17" x14ac:dyDescent="0.25">
      <c r="A63" s="1" t="s">
        <v>29</v>
      </c>
      <c r="B63" s="37">
        <f t="shared" si="9"/>
        <v>0</v>
      </c>
      <c r="C63" s="37">
        <f t="shared" si="9"/>
        <v>0</v>
      </c>
      <c r="D63" s="37">
        <f t="shared" si="9"/>
        <v>0</v>
      </c>
      <c r="E63" s="37">
        <f t="shared" si="9"/>
        <v>0</v>
      </c>
      <c r="F63" s="37">
        <f t="shared" si="9"/>
        <v>0</v>
      </c>
      <c r="G63" s="37">
        <f t="shared" si="9"/>
        <v>0</v>
      </c>
      <c r="H63" s="37">
        <f t="shared" si="9"/>
        <v>0</v>
      </c>
      <c r="I63" s="37">
        <f t="shared" ref="I63" si="21">IF(I22&gt;0,I22*(1-I43),0)</f>
        <v>0</v>
      </c>
      <c r="J63" s="37">
        <f t="shared" si="7"/>
        <v>0</v>
      </c>
      <c r="M63" s="183"/>
    </row>
    <row r="64" spans="1:17" x14ac:dyDescent="0.25">
      <c r="A64" s="1" t="s">
        <v>52</v>
      </c>
      <c r="B64" s="37">
        <f t="shared" si="9"/>
        <v>0</v>
      </c>
      <c r="C64" s="37">
        <f t="shared" si="9"/>
        <v>0</v>
      </c>
      <c r="D64" s="37">
        <f t="shared" si="9"/>
        <v>0</v>
      </c>
      <c r="E64" s="37">
        <f t="shared" si="9"/>
        <v>0</v>
      </c>
      <c r="F64" s="37">
        <f t="shared" si="9"/>
        <v>0</v>
      </c>
      <c r="G64" s="37">
        <f t="shared" si="9"/>
        <v>0</v>
      </c>
      <c r="H64" s="37">
        <f t="shared" si="9"/>
        <v>0</v>
      </c>
      <c r="I64" s="37">
        <f t="shared" ref="I64" si="22">IF(I23&gt;0,I23*(1-I44),0)</f>
        <v>0</v>
      </c>
      <c r="J64" s="37">
        <f t="shared" si="7"/>
        <v>0</v>
      </c>
      <c r="L64" s="35" t="s">
        <v>41</v>
      </c>
      <c r="M64" s="183" t="s">
        <v>63</v>
      </c>
    </row>
    <row r="65" spans="1:13" x14ac:dyDescent="0.25">
      <c r="A65" s="1" t="s">
        <v>1</v>
      </c>
      <c r="B65" s="38">
        <f t="shared" si="9"/>
        <v>0</v>
      </c>
      <c r="C65" s="38">
        <f t="shared" si="9"/>
        <v>0</v>
      </c>
      <c r="D65" s="38">
        <f t="shared" si="9"/>
        <v>0</v>
      </c>
      <c r="E65" s="38">
        <f t="shared" si="9"/>
        <v>0</v>
      </c>
      <c r="F65" s="38">
        <f t="shared" si="9"/>
        <v>0</v>
      </c>
      <c r="G65" s="38">
        <f t="shared" si="9"/>
        <v>0</v>
      </c>
      <c r="H65" s="38">
        <f t="shared" si="9"/>
        <v>0</v>
      </c>
      <c r="I65" s="38">
        <f t="shared" ref="I65" si="23">IF(I24&gt;0,I24*(1-I45),0)</f>
        <v>0</v>
      </c>
      <c r="J65" s="38">
        <f t="shared" si="7"/>
        <v>0</v>
      </c>
      <c r="L65" s="42" t="s">
        <v>61</v>
      </c>
      <c r="M65" s="184"/>
    </row>
    <row r="66" spans="1:13" x14ac:dyDescent="0.25">
      <c r="A66" s="1"/>
      <c r="B66" s="9">
        <f>SUM(B49:B65)</f>
        <v>0</v>
      </c>
      <c r="C66" s="9">
        <f t="shared" ref="C66:J66" si="24">SUM(C49:C65)</f>
        <v>0</v>
      </c>
      <c r="D66" s="9">
        <f t="shared" si="24"/>
        <v>0</v>
      </c>
      <c r="E66" s="9">
        <f t="shared" si="24"/>
        <v>0</v>
      </c>
      <c r="F66" s="9">
        <f t="shared" si="24"/>
        <v>0</v>
      </c>
      <c r="G66" s="9">
        <f t="shared" si="24"/>
        <v>0</v>
      </c>
      <c r="H66" s="9">
        <f t="shared" si="24"/>
        <v>0</v>
      </c>
      <c r="I66" s="9">
        <f t="shared" si="24"/>
        <v>0</v>
      </c>
      <c r="J66" s="9">
        <f t="shared" si="24"/>
        <v>0</v>
      </c>
      <c r="L66" s="108">
        <v>60000</v>
      </c>
      <c r="M66" s="7">
        <f>J66-L66</f>
        <v>-60000</v>
      </c>
    </row>
    <row r="67" spans="1:13" ht="15.75" thickBot="1" x14ac:dyDescent="0.3">
      <c r="A67" s="1"/>
      <c r="B67" s="9"/>
      <c r="C67" s="9"/>
      <c r="D67" s="9"/>
      <c r="E67" s="9"/>
      <c r="F67" s="9"/>
      <c r="G67" s="9"/>
      <c r="H67" s="9"/>
      <c r="I67" s="9"/>
      <c r="J67" s="9"/>
      <c r="M67" s="7"/>
    </row>
    <row r="68" spans="1:13" ht="15.75" thickBot="1" x14ac:dyDescent="0.3">
      <c r="A68" s="170" t="s">
        <v>64</v>
      </c>
      <c r="B68" s="171"/>
      <c r="C68" s="171"/>
      <c r="D68" s="171"/>
      <c r="E68" s="171"/>
      <c r="F68" s="171"/>
      <c r="G68" s="171"/>
      <c r="H68" s="171"/>
      <c r="I68" s="171"/>
      <c r="J68" s="172"/>
      <c r="M68" s="7"/>
    </row>
    <row r="69" spans="1:13" x14ac:dyDescent="0.25">
      <c r="A69" s="4" t="s">
        <v>16</v>
      </c>
      <c r="B69" s="5" t="s">
        <v>15</v>
      </c>
      <c r="C69" s="5" t="s">
        <v>14</v>
      </c>
      <c r="D69" s="5" t="s">
        <v>13</v>
      </c>
      <c r="E69" s="5" t="s">
        <v>12</v>
      </c>
      <c r="F69" s="5" t="s">
        <v>93</v>
      </c>
      <c r="G69" s="5" t="s">
        <v>94</v>
      </c>
      <c r="H69" s="5" t="s">
        <v>38</v>
      </c>
      <c r="I69" s="5" t="s">
        <v>9</v>
      </c>
      <c r="J69" s="5" t="s">
        <v>0</v>
      </c>
      <c r="M69" s="7"/>
    </row>
    <row r="70" spans="1:13" x14ac:dyDescent="0.25">
      <c r="A70" s="1" t="s">
        <v>49</v>
      </c>
      <c r="B70" s="39">
        <f t="shared" ref="B70:B71" si="25">B8-B49</f>
        <v>0</v>
      </c>
      <c r="C70" s="39">
        <f t="shared" ref="C70:I70" si="26">C8-C49</f>
        <v>0</v>
      </c>
      <c r="D70" s="39">
        <f t="shared" si="26"/>
        <v>0</v>
      </c>
      <c r="E70" s="39">
        <f t="shared" si="26"/>
        <v>0</v>
      </c>
      <c r="F70" s="39">
        <f t="shared" si="26"/>
        <v>0</v>
      </c>
      <c r="G70" s="39">
        <f t="shared" si="26"/>
        <v>0</v>
      </c>
      <c r="H70" s="39">
        <f t="shared" si="26"/>
        <v>0</v>
      </c>
      <c r="I70" s="39">
        <f t="shared" si="26"/>
        <v>0</v>
      </c>
      <c r="J70" s="39">
        <f>SUM(B70:H70)</f>
        <v>0</v>
      </c>
      <c r="M70" s="7"/>
    </row>
    <row r="71" spans="1:13" x14ac:dyDescent="0.25">
      <c r="A71" s="1" t="s">
        <v>8</v>
      </c>
      <c r="B71" s="39">
        <f t="shared" si="25"/>
        <v>0</v>
      </c>
      <c r="C71" s="39">
        <f t="shared" ref="C71:I71" si="27">C9-C50</f>
        <v>0</v>
      </c>
      <c r="D71" s="39">
        <f t="shared" si="27"/>
        <v>0</v>
      </c>
      <c r="E71" s="39">
        <f t="shared" si="27"/>
        <v>0</v>
      </c>
      <c r="F71" s="39">
        <f t="shared" si="27"/>
        <v>0</v>
      </c>
      <c r="G71" s="39">
        <f t="shared" si="27"/>
        <v>0</v>
      </c>
      <c r="H71" s="39">
        <f t="shared" si="27"/>
        <v>0</v>
      </c>
      <c r="I71" s="39">
        <f t="shared" si="27"/>
        <v>0</v>
      </c>
      <c r="J71" s="39">
        <f t="shared" ref="J71:J86" si="28">SUM(B71:H71)</f>
        <v>0</v>
      </c>
      <c r="M71" s="7"/>
    </row>
    <row r="72" spans="1:13" x14ac:dyDescent="0.25">
      <c r="A72" s="1" t="s">
        <v>7</v>
      </c>
      <c r="B72" s="39">
        <f>B10-B51</f>
        <v>0</v>
      </c>
      <c r="C72" s="39">
        <f t="shared" ref="C72:I72" si="29">C10-C51</f>
        <v>0</v>
      </c>
      <c r="D72" s="39">
        <f t="shared" si="29"/>
        <v>0</v>
      </c>
      <c r="E72" s="39">
        <f t="shared" si="29"/>
        <v>0</v>
      </c>
      <c r="F72" s="39">
        <f t="shared" si="29"/>
        <v>0</v>
      </c>
      <c r="G72" s="39">
        <f t="shared" si="29"/>
        <v>0</v>
      </c>
      <c r="H72" s="39">
        <f t="shared" si="29"/>
        <v>0</v>
      </c>
      <c r="I72" s="39">
        <f t="shared" si="29"/>
        <v>0</v>
      </c>
      <c r="J72" s="39">
        <f t="shared" si="28"/>
        <v>0</v>
      </c>
      <c r="M72" s="7"/>
    </row>
    <row r="73" spans="1:13" x14ac:dyDescent="0.25">
      <c r="A73" s="1" t="s">
        <v>42</v>
      </c>
      <c r="B73" s="39">
        <f t="shared" ref="B73:B86" si="30">B11-B52</f>
        <v>0</v>
      </c>
      <c r="C73" s="39">
        <f t="shared" ref="C73:I73" si="31">C11-C52</f>
        <v>0</v>
      </c>
      <c r="D73" s="39">
        <f t="shared" si="31"/>
        <v>0</v>
      </c>
      <c r="E73" s="39">
        <f t="shared" si="31"/>
        <v>0</v>
      </c>
      <c r="F73" s="39">
        <f t="shared" si="31"/>
        <v>0</v>
      </c>
      <c r="G73" s="39">
        <f t="shared" si="31"/>
        <v>0</v>
      </c>
      <c r="H73" s="39">
        <f t="shared" si="31"/>
        <v>0</v>
      </c>
      <c r="I73" s="39">
        <f t="shared" si="31"/>
        <v>0</v>
      </c>
      <c r="J73" s="39">
        <f t="shared" si="28"/>
        <v>0</v>
      </c>
      <c r="M73" s="7"/>
    </row>
    <row r="74" spans="1:13" x14ac:dyDescent="0.25">
      <c r="A74" s="1" t="s">
        <v>6</v>
      </c>
      <c r="B74" s="39">
        <f t="shared" si="30"/>
        <v>0</v>
      </c>
      <c r="C74" s="39">
        <f t="shared" ref="C74:I74" si="32">C12-C53</f>
        <v>0</v>
      </c>
      <c r="D74" s="39">
        <f t="shared" si="32"/>
        <v>0</v>
      </c>
      <c r="E74" s="39">
        <f t="shared" si="32"/>
        <v>0</v>
      </c>
      <c r="F74" s="39">
        <f t="shared" si="32"/>
        <v>0</v>
      </c>
      <c r="G74" s="39">
        <f t="shared" si="32"/>
        <v>0</v>
      </c>
      <c r="H74" s="39">
        <f t="shared" si="32"/>
        <v>0</v>
      </c>
      <c r="I74" s="39">
        <f t="shared" si="32"/>
        <v>0</v>
      </c>
      <c r="J74" s="39">
        <f t="shared" si="28"/>
        <v>0</v>
      </c>
      <c r="M74" s="7"/>
    </row>
    <row r="75" spans="1:13" x14ac:dyDescent="0.25">
      <c r="A75" s="1" t="s">
        <v>50</v>
      </c>
      <c r="B75" s="39">
        <f t="shared" si="30"/>
        <v>0</v>
      </c>
      <c r="C75" s="39">
        <f t="shared" ref="C75:I75" si="33">C13-C54</f>
        <v>0</v>
      </c>
      <c r="D75" s="39">
        <f t="shared" si="33"/>
        <v>0</v>
      </c>
      <c r="E75" s="39">
        <f t="shared" si="33"/>
        <v>0</v>
      </c>
      <c r="F75" s="39">
        <f t="shared" si="33"/>
        <v>0</v>
      </c>
      <c r="G75" s="39">
        <f t="shared" si="33"/>
        <v>0</v>
      </c>
      <c r="H75" s="39">
        <f t="shared" si="33"/>
        <v>0</v>
      </c>
      <c r="I75" s="39">
        <f t="shared" si="33"/>
        <v>0</v>
      </c>
      <c r="J75" s="39">
        <f t="shared" si="28"/>
        <v>0</v>
      </c>
      <c r="M75" s="7"/>
    </row>
    <row r="76" spans="1:13" x14ac:dyDescent="0.25">
      <c r="A76" s="1" t="s">
        <v>89</v>
      </c>
      <c r="B76" s="39">
        <f t="shared" si="30"/>
        <v>0</v>
      </c>
      <c r="C76" s="39">
        <f t="shared" ref="C76:I76" si="34">C14-C55</f>
        <v>0</v>
      </c>
      <c r="D76" s="39">
        <f t="shared" si="34"/>
        <v>0</v>
      </c>
      <c r="E76" s="39">
        <f t="shared" si="34"/>
        <v>0</v>
      </c>
      <c r="F76" s="39">
        <f t="shared" si="34"/>
        <v>0</v>
      </c>
      <c r="G76" s="39">
        <f t="shared" si="34"/>
        <v>0</v>
      </c>
      <c r="H76" s="39">
        <f t="shared" si="34"/>
        <v>0</v>
      </c>
      <c r="I76" s="39">
        <f t="shared" si="34"/>
        <v>0</v>
      </c>
      <c r="J76" s="39">
        <f t="shared" si="28"/>
        <v>0</v>
      </c>
      <c r="M76" s="7"/>
    </row>
    <row r="77" spans="1:13" x14ac:dyDescent="0.25">
      <c r="A77" s="1" t="s">
        <v>5</v>
      </c>
      <c r="B77" s="39">
        <f t="shared" si="30"/>
        <v>0</v>
      </c>
      <c r="C77" s="39">
        <f t="shared" ref="C77:I77" si="35">C15-C56</f>
        <v>0</v>
      </c>
      <c r="D77" s="39">
        <f t="shared" si="35"/>
        <v>0</v>
      </c>
      <c r="E77" s="39">
        <f t="shared" si="35"/>
        <v>0</v>
      </c>
      <c r="F77" s="39">
        <f t="shared" si="35"/>
        <v>0</v>
      </c>
      <c r="G77" s="39">
        <f t="shared" si="35"/>
        <v>0</v>
      </c>
      <c r="H77" s="39">
        <f t="shared" si="35"/>
        <v>0</v>
      </c>
      <c r="I77" s="39">
        <f t="shared" si="35"/>
        <v>0</v>
      </c>
      <c r="J77" s="39">
        <f t="shared" si="28"/>
        <v>0</v>
      </c>
      <c r="M77" s="7"/>
    </row>
    <row r="78" spans="1:13" x14ac:dyDescent="0.25">
      <c r="A78" s="1" t="s">
        <v>84</v>
      </c>
      <c r="B78" s="39">
        <f t="shared" si="30"/>
        <v>0</v>
      </c>
      <c r="C78" s="39">
        <f t="shared" ref="C78:I78" si="36">C16-C57</f>
        <v>0</v>
      </c>
      <c r="D78" s="39">
        <f t="shared" si="36"/>
        <v>0</v>
      </c>
      <c r="E78" s="39">
        <f t="shared" si="36"/>
        <v>0</v>
      </c>
      <c r="F78" s="39">
        <f t="shared" si="36"/>
        <v>0</v>
      </c>
      <c r="G78" s="39">
        <f t="shared" si="36"/>
        <v>0</v>
      </c>
      <c r="H78" s="39">
        <f t="shared" si="36"/>
        <v>0</v>
      </c>
      <c r="I78" s="39">
        <f t="shared" si="36"/>
        <v>0</v>
      </c>
      <c r="J78" s="39">
        <f t="shared" si="28"/>
        <v>0</v>
      </c>
      <c r="M78" s="7"/>
    </row>
    <row r="79" spans="1:13" x14ac:dyDescent="0.25">
      <c r="A79" s="1" t="s">
        <v>4</v>
      </c>
      <c r="B79" s="39">
        <f t="shared" si="30"/>
        <v>0</v>
      </c>
      <c r="C79" s="39">
        <f t="shared" ref="C79:I79" si="37">C17-C58</f>
        <v>0</v>
      </c>
      <c r="D79" s="39">
        <f t="shared" si="37"/>
        <v>0</v>
      </c>
      <c r="E79" s="39">
        <f t="shared" si="37"/>
        <v>0</v>
      </c>
      <c r="F79" s="39">
        <f t="shared" si="37"/>
        <v>0</v>
      </c>
      <c r="G79" s="39">
        <f t="shared" si="37"/>
        <v>0</v>
      </c>
      <c r="H79" s="39">
        <f t="shared" si="37"/>
        <v>0</v>
      </c>
      <c r="I79" s="39">
        <f t="shared" si="37"/>
        <v>0</v>
      </c>
      <c r="J79" s="39">
        <f t="shared" si="28"/>
        <v>0</v>
      </c>
      <c r="M79" s="7"/>
    </row>
    <row r="80" spans="1:13" x14ac:dyDescent="0.25">
      <c r="A80" s="1" t="s">
        <v>51</v>
      </c>
      <c r="B80" s="39">
        <f t="shared" si="30"/>
        <v>0</v>
      </c>
      <c r="C80" s="39">
        <f t="shared" ref="C80:I80" si="38">C18-C59</f>
        <v>0</v>
      </c>
      <c r="D80" s="39">
        <f t="shared" si="38"/>
        <v>0</v>
      </c>
      <c r="E80" s="39">
        <f t="shared" si="38"/>
        <v>0</v>
      </c>
      <c r="F80" s="39">
        <f t="shared" si="38"/>
        <v>0</v>
      </c>
      <c r="G80" s="39">
        <f t="shared" si="38"/>
        <v>0</v>
      </c>
      <c r="H80" s="39">
        <f t="shared" si="38"/>
        <v>0</v>
      </c>
      <c r="I80" s="39">
        <f t="shared" si="38"/>
        <v>0</v>
      </c>
      <c r="J80" s="39">
        <f t="shared" si="28"/>
        <v>0</v>
      </c>
      <c r="M80" s="7"/>
    </row>
    <row r="81" spans="1:13" x14ac:dyDescent="0.25">
      <c r="A81" s="1" t="s">
        <v>85</v>
      </c>
      <c r="B81" s="39">
        <f t="shared" si="30"/>
        <v>0</v>
      </c>
      <c r="C81" s="39">
        <f t="shared" ref="C81:I81" si="39">C19-C60</f>
        <v>0</v>
      </c>
      <c r="D81" s="39">
        <f t="shared" si="39"/>
        <v>0</v>
      </c>
      <c r="E81" s="39">
        <f t="shared" si="39"/>
        <v>0</v>
      </c>
      <c r="F81" s="39">
        <f t="shared" si="39"/>
        <v>0</v>
      </c>
      <c r="G81" s="39">
        <f t="shared" si="39"/>
        <v>0</v>
      </c>
      <c r="H81" s="39">
        <f t="shared" si="39"/>
        <v>0</v>
      </c>
      <c r="I81" s="39">
        <f t="shared" si="39"/>
        <v>0</v>
      </c>
      <c r="J81" s="39">
        <f t="shared" si="28"/>
        <v>0</v>
      </c>
      <c r="M81" s="7"/>
    </row>
    <row r="82" spans="1:13" x14ac:dyDescent="0.25">
      <c r="A82" s="1" t="s">
        <v>2</v>
      </c>
      <c r="B82" s="39">
        <f t="shared" si="30"/>
        <v>0</v>
      </c>
      <c r="C82" s="39">
        <f t="shared" ref="C82:I82" si="40">C20-C61</f>
        <v>0</v>
      </c>
      <c r="D82" s="39">
        <f t="shared" si="40"/>
        <v>0</v>
      </c>
      <c r="E82" s="39">
        <f t="shared" si="40"/>
        <v>0</v>
      </c>
      <c r="F82" s="39">
        <f t="shared" si="40"/>
        <v>0</v>
      </c>
      <c r="G82" s="39">
        <f t="shared" si="40"/>
        <v>0</v>
      </c>
      <c r="H82" s="39">
        <f t="shared" si="40"/>
        <v>0</v>
      </c>
      <c r="I82" s="39">
        <f t="shared" si="40"/>
        <v>0</v>
      </c>
      <c r="J82" s="39">
        <f t="shared" si="28"/>
        <v>0</v>
      </c>
      <c r="M82" s="7"/>
    </row>
    <row r="83" spans="1:13" x14ac:dyDescent="0.25">
      <c r="A83" s="1" t="s">
        <v>86</v>
      </c>
      <c r="B83" s="39">
        <f t="shared" si="30"/>
        <v>0</v>
      </c>
      <c r="C83" s="39">
        <f t="shared" ref="C83:I83" si="41">C21-C62</f>
        <v>0</v>
      </c>
      <c r="D83" s="39">
        <f t="shared" si="41"/>
        <v>0</v>
      </c>
      <c r="E83" s="39">
        <f t="shared" si="41"/>
        <v>0</v>
      </c>
      <c r="F83" s="39">
        <f t="shared" si="41"/>
        <v>0</v>
      </c>
      <c r="G83" s="39">
        <f t="shared" si="41"/>
        <v>0</v>
      </c>
      <c r="H83" s="39">
        <f t="shared" si="41"/>
        <v>0</v>
      </c>
      <c r="I83" s="39">
        <f t="shared" si="41"/>
        <v>0</v>
      </c>
      <c r="J83" s="39">
        <f t="shared" si="28"/>
        <v>0</v>
      </c>
      <c r="M83" s="7"/>
    </row>
    <row r="84" spans="1:13" x14ac:dyDescent="0.25">
      <c r="A84" s="1" t="s">
        <v>29</v>
      </c>
      <c r="B84" s="39">
        <f t="shared" si="30"/>
        <v>0</v>
      </c>
      <c r="C84" s="39">
        <f t="shared" ref="C84:I84" si="42">C22-C63</f>
        <v>0</v>
      </c>
      <c r="D84" s="39">
        <f t="shared" si="42"/>
        <v>0</v>
      </c>
      <c r="E84" s="39">
        <f t="shared" si="42"/>
        <v>0</v>
      </c>
      <c r="F84" s="39">
        <f t="shared" si="42"/>
        <v>0</v>
      </c>
      <c r="G84" s="39">
        <f t="shared" si="42"/>
        <v>0</v>
      </c>
      <c r="H84" s="39">
        <f t="shared" si="42"/>
        <v>0</v>
      </c>
      <c r="I84" s="39">
        <f t="shared" si="42"/>
        <v>0</v>
      </c>
      <c r="J84" s="39">
        <f t="shared" si="28"/>
        <v>0</v>
      </c>
      <c r="M84" s="7"/>
    </row>
    <row r="85" spans="1:13" x14ac:dyDescent="0.25">
      <c r="A85" s="1" t="s">
        <v>52</v>
      </c>
      <c r="B85" s="39">
        <f t="shared" si="30"/>
        <v>0</v>
      </c>
      <c r="C85" s="39">
        <f t="shared" ref="C85:I85" si="43">C23-C64</f>
        <v>0</v>
      </c>
      <c r="D85" s="39">
        <f t="shared" si="43"/>
        <v>0</v>
      </c>
      <c r="E85" s="39">
        <f t="shared" si="43"/>
        <v>0</v>
      </c>
      <c r="F85" s="39">
        <f t="shared" si="43"/>
        <v>0</v>
      </c>
      <c r="G85" s="39">
        <f t="shared" si="43"/>
        <v>0</v>
      </c>
      <c r="H85" s="39">
        <f t="shared" si="43"/>
        <v>0</v>
      </c>
      <c r="I85" s="39">
        <f t="shared" si="43"/>
        <v>0</v>
      </c>
      <c r="J85" s="39">
        <f t="shared" si="28"/>
        <v>0</v>
      </c>
      <c r="M85" s="7"/>
    </row>
    <row r="86" spans="1:13" x14ac:dyDescent="0.25">
      <c r="A86" s="1" t="s">
        <v>1</v>
      </c>
      <c r="B86" s="40">
        <f t="shared" si="30"/>
        <v>0</v>
      </c>
      <c r="C86" s="40">
        <f t="shared" ref="C86:I86" si="44">C24-C65</f>
        <v>0</v>
      </c>
      <c r="D86" s="40">
        <f t="shared" si="44"/>
        <v>0</v>
      </c>
      <c r="E86" s="40">
        <f t="shared" si="44"/>
        <v>0</v>
      </c>
      <c r="F86" s="40">
        <f t="shared" si="44"/>
        <v>0</v>
      </c>
      <c r="G86" s="40">
        <f t="shared" si="44"/>
        <v>0</v>
      </c>
      <c r="H86" s="40">
        <f t="shared" si="44"/>
        <v>0</v>
      </c>
      <c r="I86" s="40">
        <f t="shared" si="44"/>
        <v>0</v>
      </c>
      <c r="J86" s="40">
        <f t="shared" si="28"/>
        <v>0</v>
      </c>
      <c r="M86" s="7"/>
    </row>
    <row r="87" spans="1:13" x14ac:dyDescent="0.25">
      <c r="A87" s="4"/>
      <c r="B87" s="39">
        <f>SUM(B70:B86)</f>
        <v>0</v>
      </c>
      <c r="C87" s="39">
        <f t="shared" ref="C87:J87" si="45">SUM(C70:C86)</f>
        <v>0</v>
      </c>
      <c r="D87" s="39">
        <f t="shared" si="45"/>
        <v>0</v>
      </c>
      <c r="E87" s="39">
        <f t="shared" si="45"/>
        <v>0</v>
      </c>
      <c r="F87" s="39">
        <f t="shared" si="45"/>
        <v>0</v>
      </c>
      <c r="G87" s="39">
        <f t="shared" si="45"/>
        <v>0</v>
      </c>
      <c r="H87" s="39">
        <f t="shared" si="45"/>
        <v>0</v>
      </c>
      <c r="I87" s="39">
        <f t="shared" si="45"/>
        <v>0</v>
      </c>
      <c r="J87" s="39">
        <f t="shared" si="45"/>
        <v>0</v>
      </c>
      <c r="M87" s="7"/>
    </row>
    <row r="88" spans="1:13" ht="15.75" thickBot="1" x14ac:dyDescent="0.3">
      <c r="A88" s="4"/>
      <c r="B88" s="39"/>
      <c r="C88" s="39"/>
      <c r="D88" s="39"/>
      <c r="E88" s="39"/>
      <c r="F88" s="39"/>
      <c r="G88" s="39"/>
      <c r="H88" s="39"/>
      <c r="I88" s="39"/>
      <c r="J88" s="39"/>
      <c r="M88" s="7"/>
    </row>
    <row r="89" spans="1:13" ht="15.75" thickBot="1" x14ac:dyDescent="0.3">
      <c r="A89" s="167" t="s">
        <v>59</v>
      </c>
      <c r="B89" s="168"/>
      <c r="C89" s="168"/>
      <c r="D89" s="168"/>
      <c r="E89" s="168"/>
      <c r="F89" s="168"/>
      <c r="G89" s="168"/>
      <c r="H89" s="168"/>
      <c r="I89" s="168"/>
      <c r="J89" s="169"/>
      <c r="M89" s="7"/>
    </row>
    <row r="90" spans="1:13" x14ac:dyDescent="0.25">
      <c r="A90" s="4" t="s">
        <v>16</v>
      </c>
      <c r="B90" s="5" t="s">
        <v>15</v>
      </c>
      <c r="C90" s="5" t="s">
        <v>14</v>
      </c>
      <c r="D90" s="5" t="s">
        <v>13</v>
      </c>
      <c r="E90" s="5" t="s">
        <v>12</v>
      </c>
      <c r="F90" s="5" t="s">
        <v>93</v>
      </c>
      <c r="G90" s="5" t="s">
        <v>94</v>
      </c>
      <c r="H90" s="5" t="s">
        <v>38</v>
      </c>
      <c r="I90" s="5" t="s">
        <v>9</v>
      </c>
      <c r="J90" s="5" t="s">
        <v>0</v>
      </c>
      <c r="M90" s="7"/>
    </row>
    <row r="91" spans="1:13" x14ac:dyDescent="0.25">
      <c r="A91" s="1" t="s">
        <v>49</v>
      </c>
      <c r="B91" s="41">
        <v>0</v>
      </c>
      <c r="C91" s="41">
        <v>0</v>
      </c>
      <c r="D91" s="41">
        <v>0</v>
      </c>
      <c r="E91" s="41">
        <v>0.1</v>
      </c>
      <c r="F91" s="41">
        <v>0.15</v>
      </c>
      <c r="G91" s="41">
        <v>0.15</v>
      </c>
      <c r="H91" s="41">
        <v>0.2</v>
      </c>
      <c r="I91" s="41">
        <v>1</v>
      </c>
      <c r="J91" s="39"/>
      <c r="M91" s="7"/>
    </row>
    <row r="92" spans="1:13" x14ac:dyDescent="0.25">
      <c r="A92" s="1" t="s">
        <v>8</v>
      </c>
      <c r="B92" s="41">
        <v>0</v>
      </c>
      <c r="C92" s="41">
        <v>0</v>
      </c>
      <c r="D92" s="41">
        <v>0</v>
      </c>
      <c r="E92" s="41">
        <v>0.1</v>
      </c>
      <c r="F92" s="41">
        <v>0.15</v>
      </c>
      <c r="G92" s="41">
        <v>0.15</v>
      </c>
      <c r="H92" s="41">
        <v>0.2</v>
      </c>
      <c r="I92" s="41">
        <v>1</v>
      </c>
      <c r="J92" s="39"/>
      <c r="M92" s="7"/>
    </row>
    <row r="93" spans="1:13" x14ac:dyDescent="0.25">
      <c r="A93" s="1" t="s">
        <v>7</v>
      </c>
      <c r="B93" s="41">
        <v>0</v>
      </c>
      <c r="C93" s="41">
        <v>0</v>
      </c>
      <c r="D93" s="41">
        <v>0</v>
      </c>
      <c r="E93" s="41">
        <v>0.1</v>
      </c>
      <c r="F93" s="41">
        <v>0.15</v>
      </c>
      <c r="G93" s="41">
        <v>0.15</v>
      </c>
      <c r="H93" s="41">
        <v>0.2</v>
      </c>
      <c r="I93" s="41">
        <v>1</v>
      </c>
      <c r="J93" s="39"/>
      <c r="M93" s="7"/>
    </row>
    <row r="94" spans="1:13" x14ac:dyDescent="0.25">
      <c r="A94" s="1" t="s">
        <v>42</v>
      </c>
      <c r="B94" s="41">
        <v>0</v>
      </c>
      <c r="C94" s="41">
        <v>0</v>
      </c>
      <c r="D94" s="41">
        <v>0</v>
      </c>
      <c r="E94" s="41">
        <v>0.1</v>
      </c>
      <c r="F94" s="41">
        <v>0.15</v>
      </c>
      <c r="G94" s="41">
        <v>0.15</v>
      </c>
      <c r="H94" s="41">
        <v>0.2</v>
      </c>
      <c r="I94" s="41">
        <v>1</v>
      </c>
      <c r="J94" s="39"/>
      <c r="M94" s="7"/>
    </row>
    <row r="95" spans="1:13" x14ac:dyDescent="0.25">
      <c r="A95" s="1" t="s">
        <v>6</v>
      </c>
      <c r="B95" s="41">
        <v>0</v>
      </c>
      <c r="C95" s="41">
        <v>0</v>
      </c>
      <c r="D95" s="41">
        <v>0</v>
      </c>
      <c r="E95" s="41">
        <v>0.1</v>
      </c>
      <c r="F95" s="41">
        <v>0.15</v>
      </c>
      <c r="G95" s="41">
        <v>0.15</v>
      </c>
      <c r="H95" s="41">
        <v>0.2</v>
      </c>
      <c r="I95" s="41">
        <v>1</v>
      </c>
      <c r="J95" s="39"/>
      <c r="M95" s="7"/>
    </row>
    <row r="96" spans="1:13" x14ac:dyDescent="0.25">
      <c r="A96" s="1" t="s">
        <v>50</v>
      </c>
      <c r="B96" s="41">
        <v>0</v>
      </c>
      <c r="C96" s="41">
        <v>0</v>
      </c>
      <c r="D96" s="41">
        <v>0</v>
      </c>
      <c r="E96" s="41">
        <v>0.1</v>
      </c>
      <c r="F96" s="41">
        <v>0.15</v>
      </c>
      <c r="G96" s="41">
        <v>0.15</v>
      </c>
      <c r="H96" s="41">
        <v>0.2</v>
      </c>
      <c r="I96" s="41">
        <v>1</v>
      </c>
      <c r="J96" s="39"/>
      <c r="M96" s="7"/>
    </row>
    <row r="97" spans="1:13" x14ac:dyDescent="0.25">
      <c r="A97" s="1" t="s">
        <v>89</v>
      </c>
      <c r="B97" s="41">
        <v>0</v>
      </c>
      <c r="C97" s="41">
        <v>0</v>
      </c>
      <c r="D97" s="41">
        <v>0</v>
      </c>
      <c r="E97" s="41">
        <v>0.1</v>
      </c>
      <c r="F97" s="41">
        <v>0.15</v>
      </c>
      <c r="G97" s="41">
        <v>0.15</v>
      </c>
      <c r="H97" s="41">
        <v>0.2</v>
      </c>
      <c r="I97" s="41">
        <v>1</v>
      </c>
      <c r="J97" s="39"/>
      <c r="M97" s="7"/>
    </row>
    <row r="98" spans="1:13" x14ac:dyDescent="0.25">
      <c r="A98" s="1" t="s">
        <v>5</v>
      </c>
      <c r="B98" s="41">
        <v>0</v>
      </c>
      <c r="C98" s="41">
        <v>0</v>
      </c>
      <c r="D98" s="41">
        <v>0</v>
      </c>
      <c r="E98" s="41">
        <v>0.1</v>
      </c>
      <c r="F98" s="41">
        <v>0.15</v>
      </c>
      <c r="G98" s="41">
        <v>0.15</v>
      </c>
      <c r="H98" s="41">
        <v>0.2</v>
      </c>
      <c r="I98" s="41">
        <v>1</v>
      </c>
      <c r="J98" s="39"/>
      <c r="M98" s="7"/>
    </row>
    <row r="99" spans="1:13" x14ac:dyDescent="0.25">
      <c r="A99" s="1" t="s">
        <v>84</v>
      </c>
      <c r="B99" s="41">
        <v>0</v>
      </c>
      <c r="C99" s="41">
        <v>0</v>
      </c>
      <c r="D99" s="41">
        <v>0</v>
      </c>
      <c r="E99" s="41">
        <v>0.1</v>
      </c>
      <c r="F99" s="41">
        <v>0.15</v>
      </c>
      <c r="G99" s="41">
        <v>0.15</v>
      </c>
      <c r="H99" s="41">
        <v>0.2</v>
      </c>
      <c r="I99" s="41">
        <v>1</v>
      </c>
      <c r="J99" s="39"/>
      <c r="M99" s="7"/>
    </row>
    <row r="100" spans="1:13" x14ac:dyDescent="0.25">
      <c r="A100" s="1" t="s">
        <v>4</v>
      </c>
      <c r="B100" s="41">
        <v>0</v>
      </c>
      <c r="C100" s="41">
        <v>0</v>
      </c>
      <c r="D100" s="41">
        <v>0</v>
      </c>
      <c r="E100" s="41">
        <v>0.1</v>
      </c>
      <c r="F100" s="41">
        <v>0.15</v>
      </c>
      <c r="G100" s="41">
        <v>0.15</v>
      </c>
      <c r="H100" s="41">
        <v>0.2</v>
      </c>
      <c r="I100" s="41">
        <v>1</v>
      </c>
      <c r="J100" s="39"/>
      <c r="M100" s="7"/>
    </row>
    <row r="101" spans="1:13" x14ac:dyDescent="0.25">
      <c r="A101" s="1" t="s">
        <v>51</v>
      </c>
      <c r="B101" s="41">
        <v>0</v>
      </c>
      <c r="C101" s="41">
        <v>0</v>
      </c>
      <c r="D101" s="41">
        <v>0</v>
      </c>
      <c r="E101" s="41">
        <v>0.1</v>
      </c>
      <c r="F101" s="41">
        <v>0.15</v>
      </c>
      <c r="G101" s="41">
        <v>0.15</v>
      </c>
      <c r="H101" s="41">
        <v>0.2</v>
      </c>
      <c r="I101" s="41">
        <v>1</v>
      </c>
      <c r="J101" s="39"/>
      <c r="M101" s="7"/>
    </row>
    <row r="102" spans="1:13" x14ac:dyDescent="0.25">
      <c r="A102" s="1" t="s">
        <v>85</v>
      </c>
      <c r="B102" s="41">
        <v>0</v>
      </c>
      <c r="C102" s="41">
        <v>0</v>
      </c>
      <c r="D102" s="41">
        <v>0</v>
      </c>
      <c r="E102" s="41">
        <v>0.1</v>
      </c>
      <c r="F102" s="41">
        <v>0.15</v>
      </c>
      <c r="G102" s="41">
        <v>0.15</v>
      </c>
      <c r="H102" s="41">
        <v>0.2</v>
      </c>
      <c r="I102" s="41">
        <v>1</v>
      </c>
      <c r="J102" s="39"/>
      <c r="M102" s="7"/>
    </row>
    <row r="103" spans="1:13" x14ac:dyDescent="0.25">
      <c r="A103" s="1" t="s">
        <v>2</v>
      </c>
      <c r="B103" s="41">
        <v>0</v>
      </c>
      <c r="C103" s="41">
        <v>0</v>
      </c>
      <c r="D103" s="41">
        <v>0.1</v>
      </c>
      <c r="E103" s="41">
        <v>0.5</v>
      </c>
      <c r="F103" s="41">
        <v>1</v>
      </c>
      <c r="G103" s="41">
        <v>1</v>
      </c>
      <c r="H103" s="41">
        <v>1</v>
      </c>
      <c r="I103" s="41">
        <v>1</v>
      </c>
      <c r="J103" s="39"/>
      <c r="M103" s="7"/>
    </row>
    <row r="104" spans="1:13" x14ac:dyDescent="0.25">
      <c r="A104" s="1" t="s">
        <v>86</v>
      </c>
      <c r="B104" s="41">
        <v>0</v>
      </c>
      <c r="C104" s="41">
        <v>0</v>
      </c>
      <c r="D104" s="41">
        <v>0</v>
      </c>
      <c r="E104" s="41">
        <v>0.1</v>
      </c>
      <c r="F104" s="41">
        <v>0.15</v>
      </c>
      <c r="G104" s="41">
        <v>0.15</v>
      </c>
      <c r="H104" s="41">
        <v>0.2</v>
      </c>
      <c r="I104" s="41">
        <v>1</v>
      </c>
      <c r="J104" s="39"/>
      <c r="M104" s="7"/>
    </row>
    <row r="105" spans="1:13" x14ac:dyDescent="0.25">
      <c r="A105" s="1" t="s">
        <v>29</v>
      </c>
      <c r="B105" s="41">
        <v>0</v>
      </c>
      <c r="C105" s="41">
        <v>0</v>
      </c>
      <c r="D105" s="41">
        <v>0</v>
      </c>
      <c r="E105" s="41">
        <v>0.1</v>
      </c>
      <c r="F105" s="41">
        <v>0.15</v>
      </c>
      <c r="G105" s="41">
        <v>0.15</v>
      </c>
      <c r="H105" s="41">
        <v>0.2</v>
      </c>
      <c r="I105" s="41">
        <v>1</v>
      </c>
      <c r="J105" s="39"/>
      <c r="M105" s="7"/>
    </row>
    <row r="106" spans="1:13" x14ac:dyDescent="0.25">
      <c r="A106" s="1" t="s">
        <v>52</v>
      </c>
      <c r="B106" s="41">
        <v>0</v>
      </c>
      <c r="C106" s="41">
        <v>0</v>
      </c>
      <c r="D106" s="41">
        <v>0</v>
      </c>
      <c r="E106" s="41">
        <v>0.1</v>
      </c>
      <c r="F106" s="41">
        <v>0.15</v>
      </c>
      <c r="G106" s="41">
        <v>0.15</v>
      </c>
      <c r="H106" s="41">
        <v>0.2</v>
      </c>
      <c r="I106" s="41">
        <v>1</v>
      </c>
      <c r="J106" s="39"/>
      <c r="M106" s="7"/>
    </row>
    <row r="107" spans="1:13" x14ac:dyDescent="0.25">
      <c r="A107" s="1" t="s">
        <v>1</v>
      </c>
      <c r="B107" s="41">
        <v>0</v>
      </c>
      <c r="C107" s="41">
        <v>0</v>
      </c>
      <c r="D107" s="41">
        <v>0</v>
      </c>
      <c r="E107" s="41">
        <v>0.1</v>
      </c>
      <c r="F107" s="41">
        <v>0.15</v>
      </c>
      <c r="G107" s="41">
        <v>0.15</v>
      </c>
      <c r="H107" s="41">
        <v>0.2</v>
      </c>
      <c r="I107" s="41">
        <v>1</v>
      </c>
      <c r="J107" s="39"/>
      <c r="M107" s="7"/>
    </row>
    <row r="108" spans="1:13" ht="15.75" thickBot="1" x14ac:dyDescent="0.3">
      <c r="A108" s="4"/>
      <c r="B108" s="39"/>
      <c r="C108" s="39"/>
      <c r="D108" s="39"/>
      <c r="E108" s="39"/>
      <c r="F108" s="39"/>
      <c r="G108" s="39"/>
      <c r="H108" s="39"/>
      <c r="I108" s="39"/>
      <c r="J108" s="39"/>
      <c r="M108" s="7"/>
    </row>
    <row r="109" spans="1:13" ht="15.75" thickBot="1" x14ac:dyDescent="0.3">
      <c r="A109" s="170" t="s">
        <v>60</v>
      </c>
      <c r="B109" s="171"/>
      <c r="C109" s="171"/>
      <c r="D109" s="171"/>
      <c r="E109" s="171"/>
      <c r="F109" s="171"/>
      <c r="G109" s="171"/>
      <c r="H109" s="171"/>
      <c r="I109" s="171"/>
      <c r="J109" s="172"/>
      <c r="M109" s="7"/>
    </row>
    <row r="110" spans="1:13" x14ac:dyDescent="0.25">
      <c r="A110" s="4" t="s">
        <v>16</v>
      </c>
      <c r="B110" s="5" t="s">
        <v>15</v>
      </c>
      <c r="C110" s="5" t="s">
        <v>14</v>
      </c>
      <c r="D110" s="5" t="s">
        <v>13</v>
      </c>
      <c r="E110" s="5" t="s">
        <v>12</v>
      </c>
      <c r="F110" s="5" t="s">
        <v>93</v>
      </c>
      <c r="G110" s="5" t="s">
        <v>94</v>
      </c>
      <c r="H110" s="5" t="s">
        <v>38</v>
      </c>
      <c r="I110" s="5" t="s">
        <v>9</v>
      </c>
      <c r="J110" s="5" t="s">
        <v>0</v>
      </c>
      <c r="M110" s="7"/>
    </row>
    <row r="111" spans="1:13" x14ac:dyDescent="0.25">
      <c r="A111" s="1" t="s">
        <v>49</v>
      </c>
      <c r="B111" s="66">
        <f>IF(B70&gt;0,B70*B91,0)</f>
        <v>0</v>
      </c>
      <c r="C111" s="66">
        <f t="shared" ref="C111:I111" si="46">IF(C70&gt;0,C70*C91,0)</f>
        <v>0</v>
      </c>
      <c r="D111" s="66">
        <f t="shared" si="46"/>
        <v>0</v>
      </c>
      <c r="E111" s="66">
        <f t="shared" si="46"/>
        <v>0</v>
      </c>
      <c r="F111" s="66">
        <f t="shared" si="46"/>
        <v>0</v>
      </c>
      <c r="G111" s="66">
        <f t="shared" si="46"/>
        <v>0</v>
      </c>
      <c r="H111" s="66">
        <f t="shared" si="46"/>
        <v>0</v>
      </c>
      <c r="I111" s="66">
        <f t="shared" si="46"/>
        <v>0</v>
      </c>
      <c r="J111" s="39">
        <f>SUM(B111:H111)</f>
        <v>0</v>
      </c>
      <c r="M111" s="7"/>
    </row>
    <row r="112" spans="1:13" x14ac:dyDescent="0.25">
      <c r="A112" s="1" t="s">
        <v>8</v>
      </c>
      <c r="B112" s="39">
        <f>IF(B71&gt;0,B71*B92,0)</f>
        <v>0</v>
      </c>
      <c r="C112" s="39">
        <f t="shared" ref="C112:I112" si="47">IF(C71&gt;0,C71*C92,0)</f>
        <v>0</v>
      </c>
      <c r="D112" s="39">
        <f t="shared" si="47"/>
        <v>0</v>
      </c>
      <c r="E112" s="39">
        <f t="shared" si="47"/>
        <v>0</v>
      </c>
      <c r="F112" s="39">
        <f t="shared" si="47"/>
        <v>0</v>
      </c>
      <c r="G112" s="39">
        <f t="shared" si="47"/>
        <v>0</v>
      </c>
      <c r="H112" s="39">
        <f t="shared" si="47"/>
        <v>0</v>
      </c>
      <c r="I112" s="39">
        <f t="shared" si="47"/>
        <v>0</v>
      </c>
      <c r="J112" s="39">
        <f t="shared" ref="J112:J127" si="48">SUM(B112:H112)</f>
        <v>0</v>
      </c>
      <c r="M112" s="7"/>
    </row>
    <row r="113" spans="1:13" x14ac:dyDescent="0.25">
      <c r="A113" s="1" t="s">
        <v>7</v>
      </c>
      <c r="B113" s="39">
        <f>IF(B72&gt;0,B72*B93,0)</f>
        <v>0</v>
      </c>
      <c r="C113" s="39">
        <f t="shared" ref="C113:I113" si="49">IF(C72&gt;0,C72*C93,0)</f>
        <v>0</v>
      </c>
      <c r="D113" s="39">
        <f t="shared" si="49"/>
        <v>0</v>
      </c>
      <c r="E113" s="39">
        <f t="shared" si="49"/>
        <v>0</v>
      </c>
      <c r="F113" s="39">
        <f t="shared" si="49"/>
        <v>0</v>
      </c>
      <c r="G113" s="39">
        <f t="shared" si="49"/>
        <v>0</v>
      </c>
      <c r="H113" s="39">
        <f t="shared" si="49"/>
        <v>0</v>
      </c>
      <c r="I113" s="39">
        <f t="shared" si="49"/>
        <v>0</v>
      </c>
      <c r="J113" s="39">
        <f t="shared" si="48"/>
        <v>0</v>
      </c>
      <c r="M113" s="7"/>
    </row>
    <row r="114" spans="1:13" x14ac:dyDescent="0.25">
      <c r="A114" s="1" t="s">
        <v>42</v>
      </c>
      <c r="B114" s="39">
        <f t="shared" ref="B114:B127" si="50">IF(B73&gt;0,B73*B94,0)</f>
        <v>0</v>
      </c>
      <c r="C114" s="39">
        <f t="shared" ref="C114:I114" si="51">IF(C73&gt;0,C73*C94,0)</f>
        <v>0</v>
      </c>
      <c r="D114" s="39">
        <f t="shared" si="51"/>
        <v>0</v>
      </c>
      <c r="E114" s="39">
        <f t="shared" si="51"/>
        <v>0</v>
      </c>
      <c r="F114" s="39">
        <f t="shared" si="51"/>
        <v>0</v>
      </c>
      <c r="G114" s="39">
        <f t="shared" si="51"/>
        <v>0</v>
      </c>
      <c r="H114" s="39">
        <f t="shared" si="51"/>
        <v>0</v>
      </c>
      <c r="I114" s="39">
        <f t="shared" si="51"/>
        <v>0</v>
      </c>
      <c r="J114" s="39">
        <f t="shared" si="48"/>
        <v>0</v>
      </c>
      <c r="M114" s="7"/>
    </row>
    <row r="115" spans="1:13" x14ac:dyDescent="0.25">
      <c r="A115" s="1" t="s">
        <v>6</v>
      </c>
      <c r="B115" s="39">
        <f t="shared" si="50"/>
        <v>0</v>
      </c>
      <c r="C115" s="39">
        <f t="shared" ref="C115:I115" si="52">IF(C74&gt;0,C74*C95,0)</f>
        <v>0</v>
      </c>
      <c r="D115" s="39">
        <f t="shared" si="52"/>
        <v>0</v>
      </c>
      <c r="E115" s="39">
        <f t="shared" si="52"/>
        <v>0</v>
      </c>
      <c r="F115" s="39">
        <f t="shared" si="52"/>
        <v>0</v>
      </c>
      <c r="G115" s="39">
        <f t="shared" si="52"/>
        <v>0</v>
      </c>
      <c r="H115" s="39">
        <f t="shared" si="52"/>
        <v>0</v>
      </c>
      <c r="I115" s="39">
        <f t="shared" si="52"/>
        <v>0</v>
      </c>
      <c r="J115" s="39">
        <f t="shared" si="48"/>
        <v>0</v>
      </c>
      <c r="M115" s="7"/>
    </row>
    <row r="116" spans="1:13" x14ac:dyDescent="0.25">
      <c r="A116" s="1" t="s">
        <v>50</v>
      </c>
      <c r="B116" s="39">
        <f t="shared" si="50"/>
        <v>0</v>
      </c>
      <c r="C116" s="39">
        <f t="shared" ref="C116:I116" si="53">IF(C75&gt;0,C75*C96,0)</f>
        <v>0</v>
      </c>
      <c r="D116" s="39">
        <f t="shared" si="53"/>
        <v>0</v>
      </c>
      <c r="E116" s="39">
        <f t="shared" si="53"/>
        <v>0</v>
      </c>
      <c r="F116" s="39">
        <f t="shared" si="53"/>
        <v>0</v>
      </c>
      <c r="G116" s="39">
        <f t="shared" si="53"/>
        <v>0</v>
      </c>
      <c r="H116" s="39">
        <f t="shared" si="53"/>
        <v>0</v>
      </c>
      <c r="I116" s="39">
        <f t="shared" si="53"/>
        <v>0</v>
      </c>
      <c r="J116" s="39">
        <f t="shared" si="48"/>
        <v>0</v>
      </c>
      <c r="M116" s="7"/>
    </row>
    <row r="117" spans="1:13" x14ac:dyDescent="0.25">
      <c r="A117" s="1" t="s">
        <v>89</v>
      </c>
      <c r="B117" s="39">
        <f t="shared" si="50"/>
        <v>0</v>
      </c>
      <c r="C117" s="39">
        <f t="shared" ref="C117:I117" si="54">IF(C76&gt;0,C76*C97,0)</f>
        <v>0</v>
      </c>
      <c r="D117" s="39">
        <f t="shared" si="54"/>
        <v>0</v>
      </c>
      <c r="E117" s="39">
        <f t="shared" si="54"/>
        <v>0</v>
      </c>
      <c r="F117" s="39">
        <f t="shared" si="54"/>
        <v>0</v>
      </c>
      <c r="G117" s="39">
        <f t="shared" si="54"/>
        <v>0</v>
      </c>
      <c r="H117" s="39">
        <f t="shared" si="54"/>
        <v>0</v>
      </c>
      <c r="I117" s="39">
        <f t="shared" si="54"/>
        <v>0</v>
      </c>
      <c r="J117" s="39">
        <f t="shared" si="48"/>
        <v>0</v>
      </c>
      <c r="M117" s="7"/>
    </row>
    <row r="118" spans="1:13" x14ac:dyDescent="0.25">
      <c r="A118" s="1" t="s">
        <v>5</v>
      </c>
      <c r="B118" s="39">
        <f t="shared" si="50"/>
        <v>0</v>
      </c>
      <c r="C118" s="39">
        <f t="shared" ref="C118:I118" si="55">IF(C77&gt;0,C77*C98,0)</f>
        <v>0</v>
      </c>
      <c r="D118" s="39">
        <f t="shared" si="55"/>
        <v>0</v>
      </c>
      <c r="E118" s="39">
        <f t="shared" si="55"/>
        <v>0</v>
      </c>
      <c r="F118" s="39">
        <f t="shared" si="55"/>
        <v>0</v>
      </c>
      <c r="G118" s="39">
        <f t="shared" si="55"/>
        <v>0</v>
      </c>
      <c r="H118" s="39">
        <f t="shared" si="55"/>
        <v>0</v>
      </c>
      <c r="I118" s="39">
        <f t="shared" si="55"/>
        <v>0</v>
      </c>
      <c r="J118" s="39">
        <f t="shared" si="48"/>
        <v>0</v>
      </c>
      <c r="M118" s="7"/>
    </row>
    <row r="119" spans="1:13" x14ac:dyDescent="0.25">
      <c r="A119" s="1" t="s">
        <v>84</v>
      </c>
      <c r="B119" s="39">
        <f t="shared" si="50"/>
        <v>0</v>
      </c>
      <c r="C119" s="39">
        <f t="shared" ref="C119:I119" si="56">IF(C78&gt;0,C78*C99,0)</f>
        <v>0</v>
      </c>
      <c r="D119" s="39">
        <f t="shared" si="56"/>
        <v>0</v>
      </c>
      <c r="E119" s="39">
        <f t="shared" si="56"/>
        <v>0</v>
      </c>
      <c r="F119" s="39">
        <f t="shared" si="56"/>
        <v>0</v>
      </c>
      <c r="G119" s="39">
        <f t="shared" si="56"/>
        <v>0</v>
      </c>
      <c r="H119" s="39">
        <f t="shared" si="56"/>
        <v>0</v>
      </c>
      <c r="I119" s="39">
        <f t="shared" si="56"/>
        <v>0</v>
      </c>
      <c r="J119" s="39">
        <f t="shared" si="48"/>
        <v>0</v>
      </c>
      <c r="M119" s="7"/>
    </row>
    <row r="120" spans="1:13" x14ac:dyDescent="0.25">
      <c r="A120" s="1" t="s">
        <v>4</v>
      </c>
      <c r="B120" s="39">
        <f t="shared" si="50"/>
        <v>0</v>
      </c>
      <c r="C120" s="39">
        <f t="shared" ref="C120:I120" si="57">IF(C79&gt;0,C79*C100,0)</f>
        <v>0</v>
      </c>
      <c r="D120" s="39">
        <f t="shared" si="57"/>
        <v>0</v>
      </c>
      <c r="E120" s="39">
        <f t="shared" si="57"/>
        <v>0</v>
      </c>
      <c r="F120" s="39">
        <f t="shared" si="57"/>
        <v>0</v>
      </c>
      <c r="G120" s="39">
        <f t="shared" si="57"/>
        <v>0</v>
      </c>
      <c r="H120" s="39">
        <f t="shared" si="57"/>
        <v>0</v>
      </c>
      <c r="I120" s="39">
        <f t="shared" si="57"/>
        <v>0</v>
      </c>
      <c r="J120" s="39">
        <f t="shared" si="48"/>
        <v>0</v>
      </c>
      <c r="M120" s="7"/>
    </row>
    <row r="121" spans="1:13" x14ac:dyDescent="0.25">
      <c r="A121" s="1" t="s">
        <v>51</v>
      </c>
      <c r="B121" s="39">
        <f t="shared" si="50"/>
        <v>0</v>
      </c>
      <c r="C121" s="39">
        <f t="shared" ref="C121:I121" si="58">IF(C80&gt;0,C80*C101,0)</f>
        <v>0</v>
      </c>
      <c r="D121" s="39">
        <f t="shared" si="58"/>
        <v>0</v>
      </c>
      <c r="E121" s="39">
        <f t="shared" si="58"/>
        <v>0</v>
      </c>
      <c r="F121" s="39">
        <f t="shared" si="58"/>
        <v>0</v>
      </c>
      <c r="G121" s="39">
        <f t="shared" si="58"/>
        <v>0</v>
      </c>
      <c r="H121" s="39">
        <f t="shared" si="58"/>
        <v>0</v>
      </c>
      <c r="I121" s="39">
        <f t="shared" si="58"/>
        <v>0</v>
      </c>
      <c r="J121" s="39">
        <f t="shared" si="48"/>
        <v>0</v>
      </c>
      <c r="M121" s="7"/>
    </row>
    <row r="122" spans="1:13" x14ac:dyDescent="0.25">
      <c r="A122" s="1" t="s">
        <v>85</v>
      </c>
      <c r="B122" s="39">
        <f t="shared" si="50"/>
        <v>0</v>
      </c>
      <c r="C122" s="39">
        <f t="shared" ref="C122:I122" si="59">IF(C81&gt;0,C81*C102,0)</f>
        <v>0</v>
      </c>
      <c r="D122" s="39">
        <f t="shared" si="59"/>
        <v>0</v>
      </c>
      <c r="E122" s="39">
        <f t="shared" si="59"/>
        <v>0</v>
      </c>
      <c r="F122" s="39">
        <f t="shared" si="59"/>
        <v>0</v>
      </c>
      <c r="G122" s="39">
        <f t="shared" si="59"/>
        <v>0</v>
      </c>
      <c r="H122" s="39">
        <f t="shared" si="59"/>
        <v>0</v>
      </c>
      <c r="I122" s="39">
        <f t="shared" si="59"/>
        <v>0</v>
      </c>
      <c r="J122" s="39">
        <f t="shared" si="48"/>
        <v>0</v>
      </c>
      <c r="M122" s="7"/>
    </row>
    <row r="123" spans="1:13" x14ac:dyDescent="0.25">
      <c r="A123" s="1" t="s">
        <v>2</v>
      </c>
      <c r="B123" s="39">
        <f t="shared" si="50"/>
        <v>0</v>
      </c>
      <c r="C123" s="39">
        <f t="shared" ref="C123:I123" si="60">IF(C82&gt;0,C82*C103,0)</f>
        <v>0</v>
      </c>
      <c r="D123" s="39">
        <f t="shared" si="60"/>
        <v>0</v>
      </c>
      <c r="E123" s="39">
        <f t="shared" si="60"/>
        <v>0</v>
      </c>
      <c r="F123" s="39">
        <f t="shared" si="60"/>
        <v>0</v>
      </c>
      <c r="G123" s="39">
        <f t="shared" si="60"/>
        <v>0</v>
      </c>
      <c r="H123" s="39">
        <f t="shared" si="60"/>
        <v>0</v>
      </c>
      <c r="I123" s="39">
        <f t="shared" si="60"/>
        <v>0</v>
      </c>
      <c r="J123" s="39">
        <f t="shared" si="48"/>
        <v>0</v>
      </c>
      <c r="M123" s="7"/>
    </row>
    <row r="124" spans="1:13" x14ac:dyDescent="0.25">
      <c r="A124" s="1" t="s">
        <v>86</v>
      </c>
      <c r="B124" s="39">
        <f t="shared" si="50"/>
        <v>0</v>
      </c>
      <c r="C124" s="39">
        <f t="shared" ref="C124:I124" si="61">IF(C83&gt;0,C83*C104,0)</f>
        <v>0</v>
      </c>
      <c r="D124" s="39">
        <f t="shared" si="61"/>
        <v>0</v>
      </c>
      <c r="E124" s="39">
        <f t="shared" si="61"/>
        <v>0</v>
      </c>
      <c r="F124" s="39">
        <f t="shared" si="61"/>
        <v>0</v>
      </c>
      <c r="G124" s="39">
        <f t="shared" si="61"/>
        <v>0</v>
      </c>
      <c r="H124" s="39">
        <f t="shared" si="61"/>
        <v>0</v>
      </c>
      <c r="I124" s="39">
        <f t="shared" si="61"/>
        <v>0</v>
      </c>
      <c r="J124" s="39">
        <f t="shared" si="48"/>
        <v>0</v>
      </c>
      <c r="M124" s="183" t="s">
        <v>62</v>
      </c>
    </row>
    <row r="125" spans="1:13" x14ac:dyDescent="0.25">
      <c r="A125" s="1" t="s">
        <v>29</v>
      </c>
      <c r="B125" s="39">
        <f t="shared" si="50"/>
        <v>0</v>
      </c>
      <c r="C125" s="39">
        <f t="shared" ref="C125:I125" si="62">IF(C84&gt;0,C84*C105,0)</f>
        <v>0</v>
      </c>
      <c r="D125" s="39">
        <f t="shared" si="62"/>
        <v>0</v>
      </c>
      <c r="E125" s="39">
        <f t="shared" si="62"/>
        <v>0</v>
      </c>
      <c r="F125" s="39">
        <f t="shared" si="62"/>
        <v>0</v>
      </c>
      <c r="G125" s="39">
        <f t="shared" si="62"/>
        <v>0</v>
      </c>
      <c r="H125" s="39">
        <f t="shared" si="62"/>
        <v>0</v>
      </c>
      <c r="I125" s="39">
        <f t="shared" si="62"/>
        <v>0</v>
      </c>
      <c r="J125" s="39">
        <f t="shared" si="48"/>
        <v>0</v>
      </c>
      <c r="M125" s="183"/>
    </row>
    <row r="126" spans="1:13" x14ac:dyDescent="0.25">
      <c r="A126" s="1" t="s">
        <v>52</v>
      </c>
      <c r="B126" s="39">
        <f t="shared" si="50"/>
        <v>0</v>
      </c>
      <c r="C126" s="39">
        <f t="shared" ref="C126:I126" si="63">IF(C85&gt;0,C85*C106,0)</f>
        <v>0</v>
      </c>
      <c r="D126" s="39">
        <f t="shared" si="63"/>
        <v>0</v>
      </c>
      <c r="E126" s="39">
        <f t="shared" si="63"/>
        <v>0</v>
      </c>
      <c r="F126" s="39">
        <f t="shared" si="63"/>
        <v>0</v>
      </c>
      <c r="G126" s="39">
        <f t="shared" si="63"/>
        <v>0</v>
      </c>
      <c r="H126" s="39">
        <f t="shared" si="63"/>
        <v>0</v>
      </c>
      <c r="I126" s="39">
        <f t="shared" si="63"/>
        <v>0</v>
      </c>
      <c r="J126" s="39">
        <f t="shared" si="48"/>
        <v>0</v>
      </c>
      <c r="L126" s="35" t="s">
        <v>151</v>
      </c>
      <c r="M126" s="183" t="s">
        <v>63</v>
      </c>
    </row>
    <row r="127" spans="1:13" x14ac:dyDescent="0.25">
      <c r="A127" s="1" t="s">
        <v>1</v>
      </c>
      <c r="B127" s="40">
        <f t="shared" si="50"/>
        <v>0</v>
      </c>
      <c r="C127" s="40">
        <f t="shared" ref="C127:I127" si="64">IF(C86&gt;0,C86*C107,0)</f>
        <v>0</v>
      </c>
      <c r="D127" s="40">
        <f t="shared" si="64"/>
        <v>0</v>
      </c>
      <c r="E127" s="40">
        <f t="shared" si="64"/>
        <v>0</v>
      </c>
      <c r="F127" s="40">
        <f t="shared" si="64"/>
        <v>0</v>
      </c>
      <c r="G127" s="40">
        <f t="shared" si="64"/>
        <v>0</v>
      </c>
      <c r="H127" s="40">
        <f t="shared" si="64"/>
        <v>0</v>
      </c>
      <c r="I127" s="40">
        <f t="shared" si="64"/>
        <v>0</v>
      </c>
      <c r="J127" s="40">
        <f t="shared" si="48"/>
        <v>0</v>
      </c>
      <c r="L127" s="42" t="s">
        <v>61</v>
      </c>
      <c r="M127" s="184"/>
    </row>
    <row r="128" spans="1:13" x14ac:dyDescent="0.25">
      <c r="A128" s="4"/>
      <c r="B128" s="39">
        <f>SUM(B111:B127)</f>
        <v>0</v>
      </c>
      <c r="C128" s="39">
        <f t="shared" ref="C128:J128" si="65">SUM(C111:C127)</f>
        <v>0</v>
      </c>
      <c r="D128" s="39">
        <f t="shared" si="65"/>
        <v>0</v>
      </c>
      <c r="E128" s="39">
        <f t="shared" si="65"/>
        <v>0</v>
      </c>
      <c r="F128" s="39">
        <f t="shared" si="65"/>
        <v>0</v>
      </c>
      <c r="G128" s="39">
        <f t="shared" si="65"/>
        <v>0</v>
      </c>
      <c r="H128" s="39">
        <f t="shared" si="65"/>
        <v>0</v>
      </c>
      <c r="I128" s="39">
        <f t="shared" si="65"/>
        <v>0</v>
      </c>
      <c r="J128" s="39">
        <f t="shared" si="65"/>
        <v>0</v>
      </c>
      <c r="L128" s="108">
        <v>60000</v>
      </c>
      <c r="M128" s="7">
        <f>J128-L128</f>
        <v>-60000</v>
      </c>
    </row>
    <row r="129" spans="1:13" ht="15.75" thickBot="1" x14ac:dyDescent="0.3">
      <c r="A129" s="4"/>
      <c r="B129" s="39"/>
      <c r="C129" s="39"/>
      <c r="D129" s="39"/>
      <c r="E129" s="39"/>
      <c r="F129" s="39"/>
      <c r="G129" s="39"/>
      <c r="H129" s="39"/>
      <c r="I129" s="39"/>
      <c r="J129" s="39"/>
      <c r="M129" s="7"/>
    </row>
    <row r="130" spans="1:13" ht="15.75" thickBot="1" x14ac:dyDescent="0.3">
      <c r="A130" s="170" t="s">
        <v>30</v>
      </c>
      <c r="B130" s="171"/>
      <c r="C130" s="171"/>
      <c r="D130" s="171"/>
      <c r="E130" s="171"/>
      <c r="F130" s="171"/>
      <c r="G130" s="171"/>
      <c r="H130" s="171"/>
      <c r="I130" s="171"/>
      <c r="J130" s="172"/>
      <c r="M130" s="7"/>
    </row>
    <row r="131" spans="1:13" x14ac:dyDescent="0.25">
      <c r="A131" s="4" t="s">
        <v>16</v>
      </c>
      <c r="B131" s="5" t="s">
        <v>15</v>
      </c>
      <c r="C131" s="5" t="s">
        <v>14</v>
      </c>
      <c r="D131" s="5" t="s">
        <v>13</v>
      </c>
      <c r="E131" s="5" t="s">
        <v>12</v>
      </c>
      <c r="F131" s="5" t="s">
        <v>93</v>
      </c>
      <c r="G131" s="5" t="s">
        <v>94</v>
      </c>
      <c r="H131" s="5" t="s">
        <v>38</v>
      </c>
      <c r="I131" s="5" t="s">
        <v>9</v>
      </c>
      <c r="J131" s="5" t="s">
        <v>0</v>
      </c>
      <c r="M131" s="7"/>
    </row>
    <row r="132" spans="1:13" x14ac:dyDescent="0.25">
      <c r="A132" s="1" t="s">
        <v>49</v>
      </c>
      <c r="B132" s="39">
        <f>B70-B111</f>
        <v>0</v>
      </c>
      <c r="C132" s="39">
        <f t="shared" ref="C132:I132" si="66">C70-C111</f>
        <v>0</v>
      </c>
      <c r="D132" s="39">
        <f t="shared" si="66"/>
        <v>0</v>
      </c>
      <c r="E132" s="39">
        <f t="shared" si="66"/>
        <v>0</v>
      </c>
      <c r="F132" s="39">
        <f t="shared" si="66"/>
        <v>0</v>
      </c>
      <c r="G132" s="39">
        <f t="shared" si="66"/>
        <v>0</v>
      </c>
      <c r="H132" s="39">
        <f t="shared" si="66"/>
        <v>0</v>
      </c>
      <c r="I132" s="39">
        <f t="shared" si="66"/>
        <v>0</v>
      </c>
      <c r="J132" s="39">
        <f>SUM(B132:H132)</f>
        <v>0</v>
      </c>
      <c r="M132" s="7"/>
    </row>
    <row r="133" spans="1:13" x14ac:dyDescent="0.25">
      <c r="A133" s="1" t="s">
        <v>8</v>
      </c>
      <c r="B133" s="39">
        <f>B71-B112</f>
        <v>0</v>
      </c>
      <c r="C133" s="39">
        <f t="shared" ref="C133:I133" si="67">C71-C112</f>
        <v>0</v>
      </c>
      <c r="D133" s="39">
        <f t="shared" si="67"/>
        <v>0</v>
      </c>
      <c r="E133" s="39">
        <f t="shared" si="67"/>
        <v>0</v>
      </c>
      <c r="F133" s="39">
        <f t="shared" si="67"/>
        <v>0</v>
      </c>
      <c r="G133" s="39">
        <f t="shared" si="67"/>
        <v>0</v>
      </c>
      <c r="H133" s="39">
        <f t="shared" si="67"/>
        <v>0</v>
      </c>
      <c r="I133" s="39">
        <f t="shared" si="67"/>
        <v>0</v>
      </c>
      <c r="J133" s="39">
        <f t="shared" ref="J133:J148" si="68">SUM(B133:H133)</f>
        <v>0</v>
      </c>
      <c r="M133" s="7"/>
    </row>
    <row r="134" spans="1:13" x14ac:dyDescent="0.25">
      <c r="A134" s="1" t="s">
        <v>7</v>
      </c>
      <c r="B134" s="39">
        <f>B72-B113</f>
        <v>0</v>
      </c>
      <c r="C134" s="39">
        <f t="shared" ref="C134:I134" si="69">C72-C113</f>
        <v>0</v>
      </c>
      <c r="D134" s="39">
        <f t="shared" si="69"/>
        <v>0</v>
      </c>
      <c r="E134" s="39">
        <f t="shared" si="69"/>
        <v>0</v>
      </c>
      <c r="F134" s="39">
        <f t="shared" si="69"/>
        <v>0</v>
      </c>
      <c r="G134" s="39">
        <f t="shared" si="69"/>
        <v>0</v>
      </c>
      <c r="H134" s="39">
        <f t="shared" si="69"/>
        <v>0</v>
      </c>
      <c r="I134" s="39">
        <f t="shared" si="69"/>
        <v>0</v>
      </c>
      <c r="J134" s="39">
        <f t="shared" si="68"/>
        <v>0</v>
      </c>
      <c r="M134" s="7"/>
    </row>
    <row r="135" spans="1:13" x14ac:dyDescent="0.25">
      <c r="A135" s="1" t="s">
        <v>42</v>
      </c>
      <c r="B135" s="39">
        <f t="shared" ref="B135:B148" si="70">B73-B114</f>
        <v>0</v>
      </c>
      <c r="C135" s="39">
        <f t="shared" ref="C135:I135" si="71">C73-C114</f>
        <v>0</v>
      </c>
      <c r="D135" s="39">
        <f t="shared" si="71"/>
        <v>0</v>
      </c>
      <c r="E135" s="39">
        <f t="shared" si="71"/>
        <v>0</v>
      </c>
      <c r="F135" s="39">
        <f t="shared" si="71"/>
        <v>0</v>
      </c>
      <c r="G135" s="39">
        <f t="shared" si="71"/>
        <v>0</v>
      </c>
      <c r="H135" s="39">
        <f t="shared" si="71"/>
        <v>0</v>
      </c>
      <c r="I135" s="39">
        <f t="shared" si="71"/>
        <v>0</v>
      </c>
      <c r="J135" s="39">
        <f t="shared" si="68"/>
        <v>0</v>
      </c>
      <c r="M135" s="7"/>
    </row>
    <row r="136" spans="1:13" x14ac:dyDescent="0.25">
      <c r="A136" s="1" t="s">
        <v>6</v>
      </c>
      <c r="B136" s="39">
        <f t="shared" si="70"/>
        <v>0</v>
      </c>
      <c r="C136" s="39">
        <f t="shared" ref="C136:I136" si="72">C74-C115</f>
        <v>0</v>
      </c>
      <c r="D136" s="39">
        <f t="shared" si="72"/>
        <v>0</v>
      </c>
      <c r="E136" s="39">
        <f t="shared" si="72"/>
        <v>0</v>
      </c>
      <c r="F136" s="39">
        <f t="shared" si="72"/>
        <v>0</v>
      </c>
      <c r="G136" s="39">
        <f t="shared" si="72"/>
        <v>0</v>
      </c>
      <c r="H136" s="39">
        <f t="shared" si="72"/>
        <v>0</v>
      </c>
      <c r="I136" s="39">
        <f t="shared" si="72"/>
        <v>0</v>
      </c>
      <c r="J136" s="39">
        <f t="shared" si="68"/>
        <v>0</v>
      </c>
      <c r="M136" s="7"/>
    </row>
    <row r="137" spans="1:13" x14ac:dyDescent="0.25">
      <c r="A137" s="1" t="s">
        <v>50</v>
      </c>
      <c r="B137" s="39">
        <f t="shared" si="70"/>
        <v>0</v>
      </c>
      <c r="C137" s="39">
        <f t="shared" ref="C137:I137" si="73">C75-C116</f>
        <v>0</v>
      </c>
      <c r="D137" s="39">
        <f t="shared" si="73"/>
        <v>0</v>
      </c>
      <c r="E137" s="39">
        <f t="shared" si="73"/>
        <v>0</v>
      </c>
      <c r="F137" s="39">
        <f t="shared" si="73"/>
        <v>0</v>
      </c>
      <c r="G137" s="39">
        <f t="shared" si="73"/>
        <v>0</v>
      </c>
      <c r="H137" s="39">
        <f t="shared" si="73"/>
        <v>0</v>
      </c>
      <c r="I137" s="39">
        <f t="shared" si="73"/>
        <v>0</v>
      </c>
      <c r="J137" s="39">
        <f t="shared" si="68"/>
        <v>0</v>
      </c>
      <c r="M137" s="7"/>
    </row>
    <row r="138" spans="1:13" x14ac:dyDescent="0.25">
      <c r="A138" s="1" t="s">
        <v>89</v>
      </c>
      <c r="B138" s="39">
        <f t="shared" si="70"/>
        <v>0</v>
      </c>
      <c r="C138" s="39">
        <f t="shared" ref="C138:I138" si="74">C76-C117</f>
        <v>0</v>
      </c>
      <c r="D138" s="39">
        <f t="shared" si="74"/>
        <v>0</v>
      </c>
      <c r="E138" s="39">
        <f t="shared" si="74"/>
        <v>0</v>
      </c>
      <c r="F138" s="39">
        <f t="shared" si="74"/>
        <v>0</v>
      </c>
      <c r="G138" s="39">
        <f t="shared" si="74"/>
        <v>0</v>
      </c>
      <c r="H138" s="39">
        <f t="shared" si="74"/>
        <v>0</v>
      </c>
      <c r="I138" s="39">
        <f t="shared" si="74"/>
        <v>0</v>
      </c>
      <c r="J138" s="39">
        <f t="shared" si="68"/>
        <v>0</v>
      </c>
      <c r="M138" s="7"/>
    </row>
    <row r="139" spans="1:13" x14ac:dyDescent="0.25">
      <c r="A139" s="1" t="s">
        <v>5</v>
      </c>
      <c r="B139" s="39">
        <f t="shared" si="70"/>
        <v>0</v>
      </c>
      <c r="C139" s="39">
        <f t="shared" ref="C139:I139" si="75">C77-C118</f>
        <v>0</v>
      </c>
      <c r="D139" s="39">
        <f t="shared" si="75"/>
        <v>0</v>
      </c>
      <c r="E139" s="39">
        <f t="shared" si="75"/>
        <v>0</v>
      </c>
      <c r="F139" s="39">
        <f t="shared" si="75"/>
        <v>0</v>
      </c>
      <c r="G139" s="39">
        <f t="shared" si="75"/>
        <v>0</v>
      </c>
      <c r="H139" s="39">
        <f t="shared" si="75"/>
        <v>0</v>
      </c>
      <c r="I139" s="39">
        <f t="shared" si="75"/>
        <v>0</v>
      </c>
      <c r="J139" s="39">
        <f t="shared" si="68"/>
        <v>0</v>
      </c>
      <c r="M139" s="7"/>
    </row>
    <row r="140" spans="1:13" x14ac:dyDescent="0.25">
      <c r="A140" s="1" t="s">
        <v>84</v>
      </c>
      <c r="B140" s="39">
        <f t="shared" si="70"/>
        <v>0</v>
      </c>
      <c r="C140" s="39">
        <f t="shared" ref="C140:I140" si="76">C78-C119</f>
        <v>0</v>
      </c>
      <c r="D140" s="39">
        <f t="shared" si="76"/>
        <v>0</v>
      </c>
      <c r="E140" s="39">
        <f t="shared" si="76"/>
        <v>0</v>
      </c>
      <c r="F140" s="39">
        <f t="shared" si="76"/>
        <v>0</v>
      </c>
      <c r="G140" s="39">
        <f t="shared" si="76"/>
        <v>0</v>
      </c>
      <c r="H140" s="39">
        <f t="shared" si="76"/>
        <v>0</v>
      </c>
      <c r="I140" s="39">
        <f t="shared" si="76"/>
        <v>0</v>
      </c>
      <c r="J140" s="39">
        <f t="shared" si="68"/>
        <v>0</v>
      </c>
      <c r="M140" s="7"/>
    </row>
    <row r="141" spans="1:13" x14ac:dyDescent="0.25">
      <c r="A141" s="1" t="s">
        <v>4</v>
      </c>
      <c r="B141" s="39">
        <f t="shared" si="70"/>
        <v>0</v>
      </c>
      <c r="C141" s="39">
        <f t="shared" ref="C141:I141" si="77">C79-C120</f>
        <v>0</v>
      </c>
      <c r="D141" s="39">
        <f t="shared" si="77"/>
        <v>0</v>
      </c>
      <c r="E141" s="39">
        <f t="shared" si="77"/>
        <v>0</v>
      </c>
      <c r="F141" s="39">
        <f t="shared" si="77"/>
        <v>0</v>
      </c>
      <c r="G141" s="39">
        <f t="shared" si="77"/>
        <v>0</v>
      </c>
      <c r="H141" s="39">
        <f t="shared" si="77"/>
        <v>0</v>
      </c>
      <c r="I141" s="39">
        <f t="shared" si="77"/>
        <v>0</v>
      </c>
      <c r="J141" s="39">
        <f t="shared" si="68"/>
        <v>0</v>
      </c>
      <c r="M141" s="7"/>
    </row>
    <row r="142" spans="1:13" x14ac:dyDescent="0.25">
      <c r="A142" s="1" t="s">
        <v>51</v>
      </c>
      <c r="B142" s="39">
        <f t="shared" si="70"/>
        <v>0</v>
      </c>
      <c r="C142" s="39">
        <f t="shared" ref="C142:I142" si="78">C80-C121</f>
        <v>0</v>
      </c>
      <c r="D142" s="39">
        <f t="shared" si="78"/>
        <v>0</v>
      </c>
      <c r="E142" s="39">
        <f t="shared" si="78"/>
        <v>0</v>
      </c>
      <c r="F142" s="39">
        <f t="shared" si="78"/>
        <v>0</v>
      </c>
      <c r="G142" s="39">
        <f t="shared" si="78"/>
        <v>0</v>
      </c>
      <c r="H142" s="39">
        <f t="shared" si="78"/>
        <v>0</v>
      </c>
      <c r="I142" s="39">
        <f t="shared" si="78"/>
        <v>0</v>
      </c>
      <c r="J142" s="39">
        <f t="shared" si="68"/>
        <v>0</v>
      </c>
      <c r="M142" s="7"/>
    </row>
    <row r="143" spans="1:13" x14ac:dyDescent="0.25">
      <c r="A143" s="1" t="s">
        <v>85</v>
      </c>
      <c r="B143" s="39">
        <f t="shared" si="70"/>
        <v>0</v>
      </c>
      <c r="C143" s="39">
        <f t="shared" ref="C143:I143" si="79">C81-C122</f>
        <v>0</v>
      </c>
      <c r="D143" s="39">
        <f t="shared" si="79"/>
        <v>0</v>
      </c>
      <c r="E143" s="39">
        <f t="shared" si="79"/>
        <v>0</v>
      </c>
      <c r="F143" s="39">
        <f t="shared" si="79"/>
        <v>0</v>
      </c>
      <c r="G143" s="39">
        <f t="shared" si="79"/>
        <v>0</v>
      </c>
      <c r="H143" s="39">
        <f t="shared" si="79"/>
        <v>0</v>
      </c>
      <c r="I143" s="39">
        <f t="shared" si="79"/>
        <v>0</v>
      </c>
      <c r="J143" s="39">
        <f t="shared" si="68"/>
        <v>0</v>
      </c>
      <c r="M143" s="7"/>
    </row>
    <row r="144" spans="1:13" x14ac:dyDescent="0.25">
      <c r="A144" s="1" t="s">
        <v>2</v>
      </c>
      <c r="B144" s="39">
        <f t="shared" si="70"/>
        <v>0</v>
      </c>
      <c r="C144" s="39">
        <f t="shared" ref="C144:I144" si="80">C82-C123</f>
        <v>0</v>
      </c>
      <c r="D144" s="39">
        <f t="shared" si="80"/>
        <v>0</v>
      </c>
      <c r="E144" s="39">
        <f t="shared" si="80"/>
        <v>0</v>
      </c>
      <c r="F144" s="39">
        <f t="shared" si="80"/>
        <v>0</v>
      </c>
      <c r="G144" s="39">
        <f t="shared" si="80"/>
        <v>0</v>
      </c>
      <c r="H144" s="39">
        <f t="shared" si="80"/>
        <v>0</v>
      </c>
      <c r="I144" s="39">
        <f t="shared" si="80"/>
        <v>0</v>
      </c>
      <c r="J144" s="39">
        <f t="shared" si="68"/>
        <v>0</v>
      </c>
      <c r="M144" s="7"/>
    </row>
    <row r="145" spans="1:13" x14ac:dyDescent="0.25">
      <c r="A145" s="1" t="s">
        <v>86</v>
      </c>
      <c r="B145" s="39">
        <f t="shared" si="70"/>
        <v>0</v>
      </c>
      <c r="C145" s="39">
        <f t="shared" ref="C145:I145" si="81">C83-C124</f>
        <v>0</v>
      </c>
      <c r="D145" s="39">
        <f t="shared" si="81"/>
        <v>0</v>
      </c>
      <c r="E145" s="39">
        <f t="shared" si="81"/>
        <v>0</v>
      </c>
      <c r="F145" s="39">
        <f t="shared" si="81"/>
        <v>0</v>
      </c>
      <c r="G145" s="39">
        <f t="shared" si="81"/>
        <v>0</v>
      </c>
      <c r="H145" s="39">
        <f t="shared" si="81"/>
        <v>0</v>
      </c>
      <c r="I145" s="39">
        <f t="shared" si="81"/>
        <v>0</v>
      </c>
      <c r="J145" s="39">
        <f t="shared" si="68"/>
        <v>0</v>
      </c>
      <c r="M145" s="7"/>
    </row>
    <row r="146" spans="1:13" x14ac:dyDescent="0.25">
      <c r="A146" s="1" t="s">
        <v>29</v>
      </c>
      <c r="B146" s="39">
        <f t="shared" si="70"/>
        <v>0</v>
      </c>
      <c r="C146" s="39">
        <f t="shared" ref="C146:I146" si="82">C84-C125</f>
        <v>0</v>
      </c>
      <c r="D146" s="39">
        <f t="shared" si="82"/>
        <v>0</v>
      </c>
      <c r="E146" s="39">
        <f t="shared" si="82"/>
        <v>0</v>
      </c>
      <c r="F146" s="39">
        <f t="shared" si="82"/>
        <v>0</v>
      </c>
      <c r="G146" s="39">
        <f t="shared" si="82"/>
        <v>0</v>
      </c>
      <c r="H146" s="39">
        <f t="shared" si="82"/>
        <v>0</v>
      </c>
      <c r="I146" s="39">
        <f t="shared" si="82"/>
        <v>0</v>
      </c>
      <c r="J146" s="39">
        <f t="shared" si="68"/>
        <v>0</v>
      </c>
      <c r="M146" s="7"/>
    </row>
    <row r="147" spans="1:13" x14ac:dyDescent="0.25">
      <c r="A147" s="1" t="s">
        <v>52</v>
      </c>
      <c r="B147" s="39">
        <f t="shared" si="70"/>
        <v>0</v>
      </c>
      <c r="C147" s="39">
        <f t="shared" ref="C147:I147" si="83">C85-C126</f>
        <v>0</v>
      </c>
      <c r="D147" s="39">
        <f t="shared" si="83"/>
        <v>0</v>
      </c>
      <c r="E147" s="39">
        <f t="shared" si="83"/>
        <v>0</v>
      </c>
      <c r="F147" s="39">
        <f t="shared" si="83"/>
        <v>0</v>
      </c>
      <c r="G147" s="39">
        <f t="shared" si="83"/>
        <v>0</v>
      </c>
      <c r="H147" s="39">
        <f t="shared" si="83"/>
        <v>0</v>
      </c>
      <c r="I147" s="39">
        <f t="shared" si="83"/>
        <v>0</v>
      </c>
      <c r="J147" s="39">
        <f t="shared" si="68"/>
        <v>0</v>
      </c>
      <c r="M147" s="7"/>
    </row>
    <row r="148" spans="1:13" x14ac:dyDescent="0.25">
      <c r="A148" s="1" t="s">
        <v>1</v>
      </c>
      <c r="B148" s="40">
        <f t="shared" si="70"/>
        <v>0</v>
      </c>
      <c r="C148" s="40">
        <f t="shared" ref="C148:I148" si="84">C86-C127</f>
        <v>0</v>
      </c>
      <c r="D148" s="40">
        <f t="shared" si="84"/>
        <v>0</v>
      </c>
      <c r="E148" s="40">
        <f t="shared" si="84"/>
        <v>0</v>
      </c>
      <c r="F148" s="40">
        <f t="shared" si="84"/>
        <v>0</v>
      </c>
      <c r="G148" s="40">
        <f t="shared" si="84"/>
        <v>0</v>
      </c>
      <c r="H148" s="40">
        <f t="shared" si="84"/>
        <v>0</v>
      </c>
      <c r="I148" s="40">
        <f t="shared" si="84"/>
        <v>0</v>
      </c>
      <c r="J148" s="40">
        <f t="shared" si="68"/>
        <v>0</v>
      </c>
      <c r="M148" s="7"/>
    </row>
    <row r="149" spans="1:13" x14ac:dyDescent="0.25">
      <c r="A149" s="4"/>
      <c r="B149" s="39">
        <f>SUM(B132:B148)</f>
        <v>0</v>
      </c>
      <c r="C149" s="39">
        <f t="shared" ref="C149:J149" si="85">SUM(C132:C148)</f>
        <v>0</v>
      </c>
      <c r="D149" s="39">
        <f t="shared" si="85"/>
        <v>0</v>
      </c>
      <c r="E149" s="39">
        <f t="shared" si="85"/>
        <v>0</v>
      </c>
      <c r="F149" s="39">
        <f t="shared" si="85"/>
        <v>0</v>
      </c>
      <c r="G149" s="39">
        <f t="shared" si="85"/>
        <v>0</v>
      </c>
      <c r="H149" s="39">
        <f t="shared" si="85"/>
        <v>0</v>
      </c>
      <c r="I149" s="39">
        <f t="shared" si="85"/>
        <v>0</v>
      </c>
      <c r="J149" s="39">
        <f t="shared" si="85"/>
        <v>0</v>
      </c>
      <c r="M149" s="7"/>
    </row>
    <row r="150" spans="1:13" x14ac:dyDescent="0.25">
      <c r="A150" s="4"/>
      <c r="B150" s="39"/>
      <c r="C150" s="39"/>
      <c r="D150" s="39"/>
      <c r="E150" s="39"/>
      <c r="F150" s="39"/>
      <c r="G150" s="39"/>
      <c r="H150" s="39"/>
      <c r="I150" s="39"/>
      <c r="J150" s="39"/>
      <c r="M150" s="7"/>
    </row>
    <row r="151" spans="1:13" x14ac:dyDescent="0.25">
      <c r="A151" s="4"/>
      <c r="B151" s="39"/>
      <c r="C151" s="39"/>
      <c r="D151" s="39"/>
      <c r="E151" s="39"/>
      <c r="F151" s="39"/>
      <c r="G151" s="39"/>
      <c r="H151" s="39"/>
      <c r="I151" s="39"/>
      <c r="J151" s="39"/>
      <c r="M151" s="7"/>
    </row>
    <row r="152" spans="1:13" x14ac:dyDescent="0.25">
      <c r="A152" s="4"/>
      <c r="B152" s="39"/>
      <c r="C152" s="39"/>
      <c r="D152" s="39"/>
      <c r="E152" s="39"/>
      <c r="F152" s="39"/>
      <c r="G152" s="39"/>
      <c r="H152" s="39"/>
      <c r="I152" s="39"/>
      <c r="J152" s="39"/>
      <c r="M152" s="7"/>
    </row>
    <row r="153" spans="1:13" x14ac:dyDescent="0.25">
      <c r="A153" s="4"/>
      <c r="B153" s="39"/>
      <c r="C153" s="39"/>
      <c r="D153" s="39"/>
      <c r="E153" s="39"/>
      <c r="F153" s="39"/>
      <c r="G153" s="39"/>
      <c r="H153" s="39"/>
      <c r="I153" s="39"/>
      <c r="J153" s="39"/>
      <c r="M153" s="7"/>
    </row>
    <row r="154" spans="1:13" x14ac:dyDescent="0.25">
      <c r="A154" s="4"/>
      <c r="B154" s="39"/>
      <c r="C154" s="39"/>
      <c r="D154" s="39"/>
      <c r="E154" s="39"/>
      <c r="F154" s="39"/>
      <c r="G154" s="39"/>
      <c r="H154" s="39"/>
      <c r="I154" s="39"/>
      <c r="J154" s="39"/>
      <c r="M154" s="7"/>
    </row>
    <row r="155" spans="1:13" x14ac:dyDescent="0.25">
      <c r="A155" s="4"/>
      <c r="B155" s="39"/>
      <c r="C155" s="39"/>
      <c r="D155" s="39"/>
      <c r="E155" s="39"/>
      <c r="F155" s="39"/>
      <c r="G155" s="39"/>
      <c r="H155" s="39"/>
      <c r="I155" s="39"/>
      <c r="J155" s="39"/>
      <c r="M155" s="7"/>
    </row>
    <row r="156" spans="1:13" x14ac:dyDescent="0.25">
      <c r="A156" s="4"/>
      <c r="B156" s="39"/>
      <c r="C156" s="39"/>
      <c r="D156" s="39"/>
      <c r="E156" s="39"/>
      <c r="F156" s="39"/>
      <c r="G156" s="39"/>
      <c r="H156" s="39"/>
      <c r="I156" s="39"/>
      <c r="J156" s="39"/>
      <c r="M156" s="7"/>
    </row>
    <row r="157" spans="1:13" x14ac:dyDescent="0.25">
      <c r="A157" s="1"/>
      <c r="B157" s="9"/>
      <c r="C157" s="9"/>
      <c r="D157" s="9"/>
      <c r="E157" s="9"/>
      <c r="F157" s="9"/>
      <c r="G157" s="9"/>
      <c r="H157" s="9"/>
      <c r="I157" s="9"/>
      <c r="J157" s="9"/>
      <c r="M157" s="7"/>
    </row>
    <row r="158" spans="1:13" x14ac:dyDescent="0.25">
      <c r="A158" s="1"/>
      <c r="B158" s="9"/>
      <c r="C158" s="9"/>
      <c r="D158" s="9"/>
      <c r="E158" s="9"/>
      <c r="F158" s="9"/>
      <c r="G158" s="9"/>
      <c r="H158" s="9"/>
      <c r="I158" s="9"/>
      <c r="J158" s="9"/>
      <c r="M158" s="7"/>
    </row>
  </sheetData>
  <mergeCells count="16">
    <mergeCell ref="A1:M1"/>
    <mergeCell ref="A2:M2"/>
    <mergeCell ref="A3:M3"/>
    <mergeCell ref="A4:M4"/>
    <mergeCell ref="A6:J6"/>
    <mergeCell ref="L6:M6"/>
    <mergeCell ref="A109:J109"/>
    <mergeCell ref="M124:M125"/>
    <mergeCell ref="M126:M127"/>
    <mergeCell ref="A130:J130"/>
    <mergeCell ref="A27:J27"/>
    <mergeCell ref="A47:J47"/>
    <mergeCell ref="M62:M63"/>
    <mergeCell ref="M64:M65"/>
    <mergeCell ref="A68:J68"/>
    <mergeCell ref="A89:J89"/>
  </mergeCells>
  <pageMargins left="0.7" right="0.7" top="0.75" bottom="0.75" header="0.3" footer="0.3"/>
  <pageSetup scale="31"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pageSetUpPr fitToPage="1"/>
  </sheetPr>
  <dimension ref="A1:Q158"/>
  <sheetViews>
    <sheetView topLeftCell="A100" zoomScale="85" zoomScaleNormal="85" workbookViewId="0">
      <selection activeCell="B7" sqref="B7:I7"/>
    </sheetView>
  </sheetViews>
  <sheetFormatPr defaultColWidth="9.140625" defaultRowHeight="15" x14ac:dyDescent="0.25"/>
  <cols>
    <col min="1" max="1" width="38.85546875" bestFit="1" customWidth="1"/>
    <col min="2" max="10" width="12.7109375" customWidth="1"/>
    <col min="11" max="11" width="2.5703125" customWidth="1"/>
    <col min="12" max="12" width="12.7109375" customWidth="1"/>
    <col min="13" max="13" width="30.7109375" customWidth="1"/>
    <col min="14" max="14" width="18.5703125" customWidth="1"/>
  </cols>
  <sheetData>
    <row r="1" spans="1:15" ht="18.75" x14ac:dyDescent="0.3">
      <c r="A1" s="173" t="s">
        <v>17</v>
      </c>
      <c r="B1" s="173"/>
      <c r="C1" s="173"/>
      <c r="D1" s="173"/>
      <c r="E1" s="173"/>
      <c r="F1" s="173"/>
      <c r="G1" s="173"/>
      <c r="H1" s="173"/>
      <c r="I1" s="173"/>
      <c r="J1" s="173"/>
      <c r="K1" s="173"/>
      <c r="L1" s="173"/>
      <c r="M1" s="173"/>
      <c r="O1" s="31"/>
    </row>
    <row r="2" spans="1:15" ht="15.75" x14ac:dyDescent="0.25">
      <c r="A2" s="174" t="s">
        <v>269</v>
      </c>
      <c r="B2" s="174"/>
      <c r="C2" s="174"/>
      <c r="D2" s="174"/>
      <c r="E2" s="174"/>
      <c r="F2" s="174"/>
      <c r="G2" s="174"/>
      <c r="H2" s="174"/>
      <c r="I2" s="174"/>
      <c r="J2" s="174"/>
      <c r="K2" s="174"/>
      <c r="L2" s="174"/>
      <c r="M2" s="174"/>
      <c r="O2" s="31"/>
    </row>
    <row r="3" spans="1:15" x14ac:dyDescent="0.25">
      <c r="A3" s="175" t="s">
        <v>31</v>
      </c>
      <c r="B3" s="175"/>
      <c r="C3" s="175"/>
      <c r="D3" s="175"/>
      <c r="E3" s="175"/>
      <c r="F3" s="175"/>
      <c r="G3" s="175"/>
      <c r="H3" s="175"/>
      <c r="I3" s="175"/>
      <c r="J3" s="175"/>
      <c r="K3" s="175"/>
      <c r="L3" s="175"/>
      <c r="M3" s="175"/>
    </row>
    <row r="4" spans="1:15" x14ac:dyDescent="0.25">
      <c r="A4" s="187">
        <f>'Company Summary'!A4:J4</f>
        <v>45199</v>
      </c>
      <c r="B4" s="187"/>
      <c r="C4" s="187"/>
      <c r="D4" s="187"/>
      <c r="E4" s="187"/>
      <c r="F4" s="187"/>
      <c r="G4" s="187"/>
      <c r="H4" s="187"/>
      <c r="I4" s="187"/>
      <c r="J4" s="187"/>
      <c r="K4" s="187"/>
      <c r="L4" s="187"/>
      <c r="M4" s="187"/>
    </row>
    <row r="5" spans="1:15" ht="15.75" thickBot="1" x14ac:dyDescent="0.3">
      <c r="A5" s="81"/>
      <c r="B5" s="81"/>
      <c r="C5" s="81"/>
      <c r="D5" s="81"/>
      <c r="E5" s="81"/>
      <c r="F5" s="81"/>
      <c r="G5" s="81"/>
      <c r="H5" s="81"/>
      <c r="I5" s="81"/>
      <c r="J5" s="81"/>
      <c r="K5" s="81"/>
      <c r="L5" s="81"/>
      <c r="M5" s="81"/>
    </row>
    <row r="6" spans="1:15" ht="15.75" thickBot="1" x14ac:dyDescent="0.3">
      <c r="A6" s="170" t="s">
        <v>54</v>
      </c>
      <c r="B6" s="171"/>
      <c r="C6" s="171"/>
      <c r="D6" s="171"/>
      <c r="E6" s="171"/>
      <c r="F6" s="171"/>
      <c r="G6" s="171"/>
      <c r="H6" s="171"/>
      <c r="I6" s="171"/>
      <c r="J6" s="172"/>
      <c r="L6" s="186"/>
      <c r="M6" s="186"/>
    </row>
    <row r="7" spans="1:15" x14ac:dyDescent="0.25">
      <c r="A7" s="4" t="s">
        <v>16</v>
      </c>
      <c r="B7" s="5" t="s">
        <v>15</v>
      </c>
      <c r="C7" s="5" t="s">
        <v>14</v>
      </c>
      <c r="D7" s="5" t="s">
        <v>13</v>
      </c>
      <c r="E7" s="5" t="s">
        <v>12</v>
      </c>
      <c r="F7" s="5" t="s">
        <v>93</v>
      </c>
      <c r="G7" s="5" t="s">
        <v>94</v>
      </c>
      <c r="H7" s="5" t="s">
        <v>38</v>
      </c>
      <c r="I7" s="5" t="s">
        <v>9</v>
      </c>
      <c r="J7" s="5" t="s">
        <v>0</v>
      </c>
      <c r="L7" s="4"/>
      <c r="M7" s="4"/>
    </row>
    <row r="8" spans="1:15" x14ac:dyDescent="0.25">
      <c r="A8" s="1" t="s">
        <v>49</v>
      </c>
      <c r="B8" s="33">
        <f>'Agile AR Aging &lt;-INPUT'!C309</f>
        <v>0</v>
      </c>
      <c r="C8" s="33">
        <f>'Agile AR Aging &lt;-INPUT'!D309</f>
        <v>0</v>
      </c>
      <c r="D8" s="33">
        <f>'Agile AR Aging &lt;-INPUT'!E309</f>
        <v>0</v>
      </c>
      <c r="E8" s="33">
        <f>'Agile AR Aging &lt;-INPUT'!F309</f>
        <v>0</v>
      </c>
      <c r="F8" s="33">
        <f>'Agile AR Aging &lt;-INPUT'!G309</f>
        <v>0</v>
      </c>
      <c r="G8" s="33">
        <f>'Agile AR Aging &lt;-INPUT'!H309</f>
        <v>0</v>
      </c>
      <c r="H8" s="33">
        <f>'Agile AR Aging &lt;-INPUT'!I309</f>
        <v>0</v>
      </c>
      <c r="I8" s="33">
        <f>'Agile AR Aging &lt;-INPUT'!J309</f>
        <v>0</v>
      </c>
      <c r="J8" s="2">
        <f t="shared" ref="J8:J24" si="0">SUM(B8:H8)</f>
        <v>0</v>
      </c>
      <c r="L8" s="67"/>
    </row>
    <row r="9" spans="1:15" x14ac:dyDescent="0.25">
      <c r="A9" s="1" t="s">
        <v>8</v>
      </c>
      <c r="B9" s="33">
        <f>'Agile AR Aging &lt;-INPUT'!C310</f>
        <v>0</v>
      </c>
      <c r="C9" s="33">
        <f>'Agile AR Aging &lt;-INPUT'!D310</f>
        <v>0</v>
      </c>
      <c r="D9" s="33">
        <f>'Agile AR Aging &lt;-INPUT'!E310</f>
        <v>0</v>
      </c>
      <c r="E9" s="33">
        <f>'Agile AR Aging &lt;-INPUT'!F310</f>
        <v>0</v>
      </c>
      <c r="F9" s="33">
        <f>'Agile AR Aging &lt;-INPUT'!G310</f>
        <v>0</v>
      </c>
      <c r="G9" s="33">
        <f>'Agile AR Aging &lt;-INPUT'!H310</f>
        <v>0</v>
      </c>
      <c r="H9" s="33">
        <f>'Agile AR Aging &lt;-INPUT'!I310</f>
        <v>0</v>
      </c>
      <c r="I9" s="33">
        <f>'Agile AR Aging &lt;-INPUT'!J310</f>
        <v>0</v>
      </c>
      <c r="J9" s="2">
        <f t="shared" si="0"/>
        <v>0</v>
      </c>
      <c r="L9" s="67"/>
      <c r="N9" s="68"/>
    </row>
    <row r="10" spans="1:15" x14ac:dyDescent="0.25">
      <c r="A10" s="1" t="s">
        <v>7</v>
      </c>
      <c r="B10" s="33">
        <f>'Agile AR Aging &lt;-INPUT'!C311</f>
        <v>0</v>
      </c>
      <c r="C10" s="33">
        <f>'Agile AR Aging &lt;-INPUT'!D311</f>
        <v>0</v>
      </c>
      <c r="D10" s="33">
        <f>'Agile AR Aging &lt;-INPUT'!E311</f>
        <v>0</v>
      </c>
      <c r="E10" s="33">
        <f>'Agile AR Aging &lt;-INPUT'!F311</f>
        <v>0</v>
      </c>
      <c r="F10" s="33">
        <f>'Agile AR Aging &lt;-INPUT'!G311</f>
        <v>0</v>
      </c>
      <c r="G10" s="33">
        <f>'Agile AR Aging &lt;-INPUT'!H311</f>
        <v>0</v>
      </c>
      <c r="H10" s="33">
        <f>'Agile AR Aging &lt;-INPUT'!I311</f>
        <v>0</v>
      </c>
      <c r="I10" s="33">
        <f>'Agile AR Aging &lt;-INPUT'!J311</f>
        <v>0</v>
      </c>
      <c r="J10" s="2">
        <f t="shared" si="0"/>
        <v>0</v>
      </c>
      <c r="L10" s="67"/>
      <c r="N10" s="68"/>
    </row>
    <row r="11" spans="1:15" x14ac:dyDescent="0.25">
      <c r="A11" s="1" t="s">
        <v>42</v>
      </c>
      <c r="B11" s="33">
        <f>'Agile AR Aging &lt;-INPUT'!C312</f>
        <v>0</v>
      </c>
      <c r="C11" s="33">
        <f>'Agile AR Aging &lt;-INPUT'!D312</f>
        <v>0</v>
      </c>
      <c r="D11" s="33">
        <f>'Agile AR Aging &lt;-INPUT'!E312</f>
        <v>0</v>
      </c>
      <c r="E11" s="33">
        <f>'Agile AR Aging &lt;-INPUT'!F312</f>
        <v>0</v>
      </c>
      <c r="F11" s="33">
        <f>'Agile AR Aging &lt;-INPUT'!G312</f>
        <v>0</v>
      </c>
      <c r="G11" s="33">
        <f>'Agile AR Aging &lt;-INPUT'!H312</f>
        <v>0</v>
      </c>
      <c r="H11" s="33">
        <f>'Agile AR Aging &lt;-INPUT'!I312</f>
        <v>0</v>
      </c>
      <c r="I11" s="33">
        <f>'Agile AR Aging &lt;-INPUT'!J312</f>
        <v>0</v>
      </c>
      <c r="J11" s="2">
        <f t="shared" si="0"/>
        <v>0</v>
      </c>
      <c r="L11" s="67"/>
      <c r="N11" s="68"/>
    </row>
    <row r="12" spans="1:15" x14ac:dyDescent="0.25">
      <c r="A12" s="1" t="s">
        <v>6</v>
      </c>
      <c r="B12" s="33">
        <f>'Agile AR Aging &lt;-INPUT'!C313+'Agile AR Aging &lt;-INPUT'!C314+'Agile AR Aging &lt;-INPUT'!C321+'Agile AR Aging &lt;-INPUT'!C327</f>
        <v>0</v>
      </c>
      <c r="C12" s="33">
        <f>'Agile AR Aging &lt;-INPUT'!D313+'Agile AR Aging &lt;-INPUT'!D314+'Agile AR Aging &lt;-INPUT'!D321+'Agile AR Aging &lt;-INPUT'!D327</f>
        <v>0</v>
      </c>
      <c r="D12" s="33">
        <f>'Agile AR Aging &lt;-INPUT'!E313+'Agile AR Aging &lt;-INPUT'!E314+'Agile AR Aging &lt;-INPUT'!E321+'Agile AR Aging &lt;-INPUT'!E327</f>
        <v>0</v>
      </c>
      <c r="E12" s="33">
        <f>'Agile AR Aging &lt;-INPUT'!F313+'Agile AR Aging &lt;-INPUT'!F314+'Agile AR Aging &lt;-INPUT'!F321+'Agile AR Aging &lt;-INPUT'!F327</f>
        <v>0</v>
      </c>
      <c r="F12" s="33">
        <f>'Agile AR Aging &lt;-INPUT'!G313+'Agile AR Aging &lt;-INPUT'!G314+'Agile AR Aging &lt;-INPUT'!G321+'Agile AR Aging &lt;-INPUT'!G327</f>
        <v>0</v>
      </c>
      <c r="G12" s="33">
        <f>'Agile AR Aging &lt;-INPUT'!H313+'Agile AR Aging &lt;-INPUT'!H314+'Agile AR Aging &lt;-INPUT'!H321+'Agile AR Aging &lt;-INPUT'!H327</f>
        <v>0</v>
      </c>
      <c r="H12" s="33">
        <f>'Agile AR Aging &lt;-INPUT'!I313+'Agile AR Aging &lt;-INPUT'!I314+'Agile AR Aging &lt;-INPUT'!I321+'Agile AR Aging &lt;-INPUT'!I327</f>
        <v>0</v>
      </c>
      <c r="I12" s="33">
        <f>'Agile AR Aging &lt;-INPUT'!J313+'Agile AR Aging &lt;-INPUT'!J314+'Agile AR Aging &lt;-INPUT'!J321+'Agile AR Aging &lt;-INPUT'!J327</f>
        <v>0</v>
      </c>
      <c r="J12" s="2">
        <f t="shared" si="0"/>
        <v>0</v>
      </c>
      <c r="L12" s="73"/>
      <c r="N12" s="68"/>
    </row>
    <row r="13" spans="1:15" x14ac:dyDescent="0.25">
      <c r="A13" s="1" t="s">
        <v>50</v>
      </c>
      <c r="B13" s="33">
        <f>'Agile AR Aging &lt;-INPUT'!C315</f>
        <v>0</v>
      </c>
      <c r="C13" s="33">
        <f>'Agile AR Aging &lt;-INPUT'!D315</f>
        <v>0</v>
      </c>
      <c r="D13" s="33">
        <f>'Agile AR Aging &lt;-INPUT'!E315</f>
        <v>0</v>
      </c>
      <c r="E13" s="33">
        <f>'Agile AR Aging &lt;-INPUT'!F315</f>
        <v>0</v>
      </c>
      <c r="F13" s="33">
        <f>'Agile AR Aging &lt;-INPUT'!G315</f>
        <v>0</v>
      </c>
      <c r="G13" s="33">
        <f>'Agile AR Aging &lt;-INPUT'!H315</f>
        <v>0</v>
      </c>
      <c r="H13" s="33">
        <f>'Agile AR Aging &lt;-INPUT'!I315</f>
        <v>0</v>
      </c>
      <c r="I13" s="33">
        <f>'Agile AR Aging &lt;-INPUT'!J315</f>
        <v>0</v>
      </c>
      <c r="J13" s="2">
        <f t="shared" si="0"/>
        <v>0</v>
      </c>
      <c r="L13" s="73"/>
      <c r="N13" s="68"/>
    </row>
    <row r="14" spans="1:15" x14ac:dyDescent="0.25">
      <c r="A14" s="1" t="s">
        <v>89</v>
      </c>
      <c r="B14" s="33">
        <f>'Agile AR Aging &lt;-INPUT'!C316</f>
        <v>0</v>
      </c>
      <c r="C14" s="33">
        <f>'Agile AR Aging &lt;-INPUT'!D316</f>
        <v>0</v>
      </c>
      <c r="D14" s="33">
        <f>'Agile AR Aging &lt;-INPUT'!E316</f>
        <v>0</v>
      </c>
      <c r="E14" s="33">
        <f>'Agile AR Aging &lt;-INPUT'!F316</f>
        <v>0</v>
      </c>
      <c r="F14" s="33">
        <f>'Agile AR Aging &lt;-INPUT'!G316</f>
        <v>0</v>
      </c>
      <c r="G14" s="33">
        <f>'Agile AR Aging &lt;-INPUT'!H316</f>
        <v>0</v>
      </c>
      <c r="H14" s="33">
        <f>'Agile AR Aging &lt;-INPUT'!I316</f>
        <v>0</v>
      </c>
      <c r="I14" s="33">
        <f>'Agile AR Aging &lt;-INPUT'!J316</f>
        <v>0</v>
      </c>
      <c r="J14" s="2">
        <f t="shared" si="0"/>
        <v>0</v>
      </c>
      <c r="L14" s="73"/>
      <c r="N14" s="68"/>
    </row>
    <row r="15" spans="1:15" x14ac:dyDescent="0.25">
      <c r="A15" s="1" t="s">
        <v>5</v>
      </c>
      <c r="B15" s="33">
        <f>'Agile AR Aging &lt;-INPUT'!C317</f>
        <v>0</v>
      </c>
      <c r="C15" s="33">
        <f>'Agile AR Aging &lt;-INPUT'!D317</f>
        <v>0</v>
      </c>
      <c r="D15" s="33">
        <f>'Agile AR Aging &lt;-INPUT'!E317</f>
        <v>0</v>
      </c>
      <c r="E15" s="33">
        <f>'Agile AR Aging &lt;-INPUT'!F317</f>
        <v>0</v>
      </c>
      <c r="F15" s="33">
        <f>'Agile AR Aging &lt;-INPUT'!G317</f>
        <v>0</v>
      </c>
      <c r="G15" s="33">
        <f>'Agile AR Aging &lt;-INPUT'!H317</f>
        <v>0</v>
      </c>
      <c r="H15" s="33">
        <f>'Agile AR Aging &lt;-INPUT'!I317</f>
        <v>0</v>
      </c>
      <c r="I15" s="33">
        <f>'Agile AR Aging &lt;-INPUT'!J317</f>
        <v>0</v>
      </c>
      <c r="J15" s="2">
        <f t="shared" si="0"/>
        <v>0</v>
      </c>
      <c r="L15" s="73"/>
      <c r="N15" s="68"/>
    </row>
    <row r="16" spans="1:15" x14ac:dyDescent="0.25">
      <c r="A16" s="1" t="s">
        <v>84</v>
      </c>
      <c r="B16" s="33">
        <f>'Agile AR Aging &lt;-INPUT'!C318</f>
        <v>0</v>
      </c>
      <c r="C16" s="33">
        <f>'Agile AR Aging &lt;-INPUT'!D318</f>
        <v>0</v>
      </c>
      <c r="D16" s="33">
        <f>'Agile AR Aging &lt;-INPUT'!E318</f>
        <v>0</v>
      </c>
      <c r="E16" s="33">
        <f>'Agile AR Aging &lt;-INPUT'!F318</f>
        <v>0</v>
      </c>
      <c r="F16" s="33">
        <f>'Agile AR Aging &lt;-INPUT'!G318</f>
        <v>0</v>
      </c>
      <c r="G16" s="33">
        <f>'Agile AR Aging &lt;-INPUT'!H318</f>
        <v>0</v>
      </c>
      <c r="H16" s="33">
        <f>'Agile AR Aging &lt;-INPUT'!I318</f>
        <v>0</v>
      </c>
      <c r="I16" s="33">
        <f>'Agile AR Aging &lt;-INPUT'!J318</f>
        <v>0</v>
      </c>
      <c r="J16" s="2">
        <f t="shared" si="0"/>
        <v>0</v>
      </c>
      <c r="L16" s="73"/>
      <c r="N16" s="68"/>
    </row>
    <row r="17" spans="1:17" x14ac:dyDescent="0.25">
      <c r="A17" s="1" t="s">
        <v>4</v>
      </c>
      <c r="B17" s="33">
        <f>'Agile AR Aging &lt;-INPUT'!C319</f>
        <v>0</v>
      </c>
      <c r="C17" s="33">
        <f>'Agile AR Aging &lt;-INPUT'!D319</f>
        <v>0</v>
      </c>
      <c r="D17" s="33">
        <f>'Agile AR Aging &lt;-INPUT'!E319</f>
        <v>0</v>
      </c>
      <c r="E17" s="33">
        <f>'Agile AR Aging &lt;-INPUT'!F319</f>
        <v>0</v>
      </c>
      <c r="F17" s="33">
        <f>'Agile AR Aging &lt;-INPUT'!G319</f>
        <v>0</v>
      </c>
      <c r="G17" s="33">
        <f>'Agile AR Aging &lt;-INPUT'!H319</f>
        <v>0</v>
      </c>
      <c r="H17" s="33">
        <f>'Agile AR Aging &lt;-INPUT'!I319</f>
        <v>0</v>
      </c>
      <c r="I17" s="33">
        <f>'Agile AR Aging &lt;-INPUT'!J319</f>
        <v>0</v>
      </c>
      <c r="J17" s="2">
        <f t="shared" si="0"/>
        <v>0</v>
      </c>
      <c r="L17" s="73"/>
      <c r="N17" s="68"/>
    </row>
    <row r="18" spans="1:17" x14ac:dyDescent="0.25">
      <c r="A18" s="1" t="s">
        <v>51</v>
      </c>
      <c r="B18" s="33">
        <f>'Agile AR Aging &lt;-INPUT'!C320</f>
        <v>0</v>
      </c>
      <c r="C18" s="33">
        <f>'Agile AR Aging &lt;-INPUT'!D320</f>
        <v>0</v>
      </c>
      <c r="D18" s="33">
        <f>'Agile AR Aging &lt;-INPUT'!E320</f>
        <v>0</v>
      </c>
      <c r="E18" s="33">
        <f>'Agile AR Aging &lt;-INPUT'!F320</f>
        <v>0</v>
      </c>
      <c r="F18" s="33">
        <f>'Agile AR Aging &lt;-INPUT'!G320</f>
        <v>0</v>
      </c>
      <c r="G18" s="33">
        <f>'Agile AR Aging &lt;-INPUT'!H320</f>
        <v>0</v>
      </c>
      <c r="H18" s="33">
        <f>'Agile AR Aging &lt;-INPUT'!I320</f>
        <v>0</v>
      </c>
      <c r="I18" s="33">
        <f>'Agile AR Aging &lt;-INPUT'!J320</f>
        <v>0</v>
      </c>
      <c r="J18" s="2">
        <f t="shared" si="0"/>
        <v>0</v>
      </c>
      <c r="L18" s="73"/>
      <c r="N18" s="68"/>
    </row>
    <row r="19" spans="1:17" x14ac:dyDescent="0.25">
      <c r="A19" s="1" t="s">
        <v>85</v>
      </c>
      <c r="B19" s="33">
        <f>'Agile AR Aging &lt;-INPUT'!C322</f>
        <v>0</v>
      </c>
      <c r="C19" s="33">
        <f>'Agile AR Aging &lt;-INPUT'!D322</f>
        <v>0</v>
      </c>
      <c r="D19" s="33">
        <f>'Agile AR Aging &lt;-INPUT'!E322</f>
        <v>0</v>
      </c>
      <c r="E19" s="33">
        <f>'Agile AR Aging &lt;-INPUT'!F322</f>
        <v>0</v>
      </c>
      <c r="F19" s="33">
        <f>'Agile AR Aging &lt;-INPUT'!G322</f>
        <v>0</v>
      </c>
      <c r="G19" s="33">
        <f>'Agile AR Aging &lt;-INPUT'!H322</f>
        <v>0</v>
      </c>
      <c r="H19" s="33">
        <f>'Agile AR Aging &lt;-INPUT'!I322</f>
        <v>0</v>
      </c>
      <c r="I19" s="33">
        <f>'Agile AR Aging &lt;-INPUT'!J322</f>
        <v>0</v>
      </c>
      <c r="J19" s="2">
        <f t="shared" si="0"/>
        <v>0</v>
      </c>
      <c r="L19" s="73"/>
      <c r="N19" s="68"/>
    </row>
    <row r="20" spans="1:17" x14ac:dyDescent="0.25">
      <c r="A20" s="1" t="s">
        <v>2</v>
      </c>
      <c r="B20" s="33">
        <f>'Agile AR Aging &lt;-INPUT'!C323</f>
        <v>0</v>
      </c>
      <c r="C20" s="33">
        <f>'Agile AR Aging &lt;-INPUT'!D323</f>
        <v>0</v>
      </c>
      <c r="D20" s="33">
        <f>'Agile AR Aging &lt;-INPUT'!E323</f>
        <v>0</v>
      </c>
      <c r="E20" s="33">
        <f>'Agile AR Aging &lt;-INPUT'!F323</f>
        <v>0</v>
      </c>
      <c r="F20" s="33">
        <f>'Agile AR Aging &lt;-INPUT'!G323</f>
        <v>0</v>
      </c>
      <c r="G20" s="33">
        <f>'Agile AR Aging &lt;-INPUT'!H323</f>
        <v>0</v>
      </c>
      <c r="H20" s="33">
        <f>'Agile AR Aging &lt;-INPUT'!I323</f>
        <v>0</v>
      </c>
      <c r="I20" s="33">
        <f>'Agile AR Aging &lt;-INPUT'!J323</f>
        <v>0</v>
      </c>
      <c r="J20" s="2">
        <f t="shared" si="0"/>
        <v>0</v>
      </c>
      <c r="L20" s="73"/>
      <c r="N20" s="68"/>
    </row>
    <row r="21" spans="1:17" x14ac:dyDescent="0.25">
      <c r="A21" s="1" t="s">
        <v>86</v>
      </c>
      <c r="B21" s="33">
        <f>'Agile AR Aging &lt;-INPUT'!C324</f>
        <v>0</v>
      </c>
      <c r="C21" s="33">
        <f>'Agile AR Aging &lt;-INPUT'!D324</f>
        <v>0</v>
      </c>
      <c r="D21" s="33">
        <f>'Agile AR Aging &lt;-INPUT'!E324</f>
        <v>0</v>
      </c>
      <c r="E21" s="33">
        <f>'Agile AR Aging &lt;-INPUT'!F324</f>
        <v>0</v>
      </c>
      <c r="F21" s="33">
        <f>'Agile AR Aging &lt;-INPUT'!G324</f>
        <v>0</v>
      </c>
      <c r="G21" s="33">
        <f>'Agile AR Aging &lt;-INPUT'!H324</f>
        <v>0</v>
      </c>
      <c r="H21" s="33">
        <f>'Agile AR Aging &lt;-INPUT'!I324</f>
        <v>0</v>
      </c>
      <c r="I21" s="33">
        <f>'Agile AR Aging &lt;-INPUT'!J324</f>
        <v>0</v>
      </c>
      <c r="J21" s="2">
        <f t="shared" si="0"/>
        <v>0</v>
      </c>
      <c r="L21" s="73"/>
      <c r="N21" s="68"/>
    </row>
    <row r="22" spans="1:17" x14ac:dyDescent="0.25">
      <c r="A22" s="1" t="s">
        <v>29</v>
      </c>
      <c r="B22" s="33">
        <f>'Agile AR Aging &lt;-INPUT'!C325</f>
        <v>0</v>
      </c>
      <c r="C22" s="33">
        <f>'Agile AR Aging &lt;-INPUT'!D325</f>
        <v>0</v>
      </c>
      <c r="D22" s="33">
        <f>'Agile AR Aging &lt;-INPUT'!E325</f>
        <v>0</v>
      </c>
      <c r="E22" s="33">
        <f>'Agile AR Aging &lt;-INPUT'!F325</f>
        <v>0</v>
      </c>
      <c r="F22" s="33">
        <f>'Agile AR Aging &lt;-INPUT'!G325</f>
        <v>0</v>
      </c>
      <c r="G22" s="33">
        <f>'Agile AR Aging &lt;-INPUT'!H325</f>
        <v>0</v>
      </c>
      <c r="H22" s="33">
        <f>'Agile AR Aging &lt;-INPUT'!I325</f>
        <v>0</v>
      </c>
      <c r="I22" s="33">
        <f>'Agile AR Aging &lt;-INPUT'!J325</f>
        <v>0</v>
      </c>
      <c r="J22" s="2">
        <f t="shared" si="0"/>
        <v>0</v>
      </c>
      <c r="L22" s="73"/>
      <c r="N22" s="68"/>
    </row>
    <row r="23" spans="1:17" x14ac:dyDescent="0.25">
      <c r="A23" s="1" t="s">
        <v>52</v>
      </c>
      <c r="B23" s="33">
        <f>'Agile AR Aging &lt;-INPUT'!C326</f>
        <v>0</v>
      </c>
      <c r="C23" s="33">
        <f>'Agile AR Aging &lt;-INPUT'!D326</f>
        <v>0</v>
      </c>
      <c r="D23" s="33">
        <f>'Agile AR Aging &lt;-INPUT'!E326</f>
        <v>0</v>
      </c>
      <c r="E23" s="33">
        <f>'Agile AR Aging &lt;-INPUT'!F326</f>
        <v>0</v>
      </c>
      <c r="F23" s="33">
        <f>'Agile AR Aging &lt;-INPUT'!G326</f>
        <v>0</v>
      </c>
      <c r="G23" s="33">
        <f>'Agile AR Aging &lt;-INPUT'!H326</f>
        <v>0</v>
      </c>
      <c r="H23" s="33">
        <f>'Agile AR Aging &lt;-INPUT'!I326</f>
        <v>0</v>
      </c>
      <c r="I23" s="33">
        <f>'Agile AR Aging &lt;-INPUT'!J326</f>
        <v>0</v>
      </c>
      <c r="J23" s="2">
        <f t="shared" si="0"/>
        <v>0</v>
      </c>
      <c r="L23" s="73"/>
      <c r="N23" s="68"/>
    </row>
    <row r="24" spans="1:17" x14ac:dyDescent="0.25">
      <c r="A24" s="1" t="s">
        <v>1</v>
      </c>
      <c r="B24" s="32">
        <f>'Agile AR Aging &lt;-INPUT'!C328</f>
        <v>0</v>
      </c>
      <c r="C24" s="32">
        <f>'Agile AR Aging &lt;-INPUT'!D328</f>
        <v>0</v>
      </c>
      <c r="D24" s="32">
        <f>'Agile AR Aging &lt;-INPUT'!E328</f>
        <v>0</v>
      </c>
      <c r="E24" s="32">
        <f>'Agile AR Aging &lt;-INPUT'!F328</f>
        <v>0</v>
      </c>
      <c r="F24" s="32">
        <f>'Agile AR Aging &lt;-INPUT'!G328</f>
        <v>0</v>
      </c>
      <c r="G24" s="32">
        <f>'Agile AR Aging &lt;-INPUT'!H328</f>
        <v>0</v>
      </c>
      <c r="H24" s="32">
        <f>'Agile AR Aging &lt;-INPUT'!I328</f>
        <v>0</v>
      </c>
      <c r="I24" s="32">
        <f>'Agile AR Aging &lt;-INPUT'!J328</f>
        <v>0</v>
      </c>
      <c r="J24" s="9">
        <f t="shared" si="0"/>
        <v>0</v>
      </c>
      <c r="L24" s="73"/>
      <c r="N24" s="68"/>
    </row>
    <row r="25" spans="1:17" x14ac:dyDescent="0.25">
      <c r="A25" s="1" t="s">
        <v>0</v>
      </c>
      <c r="B25" s="10">
        <f t="shared" ref="B25:I25" si="1">SUM(B8:B24)</f>
        <v>0</v>
      </c>
      <c r="C25" s="10">
        <f t="shared" si="1"/>
        <v>0</v>
      </c>
      <c r="D25" s="10">
        <f t="shared" si="1"/>
        <v>0</v>
      </c>
      <c r="E25" s="10">
        <f t="shared" si="1"/>
        <v>0</v>
      </c>
      <c r="F25" s="10">
        <f t="shared" si="1"/>
        <v>0</v>
      </c>
      <c r="G25" s="10">
        <f t="shared" si="1"/>
        <v>0</v>
      </c>
      <c r="H25" s="10">
        <f t="shared" si="1"/>
        <v>0</v>
      </c>
      <c r="I25" s="10">
        <f t="shared" si="1"/>
        <v>0</v>
      </c>
      <c r="J25" s="10">
        <f>SUM(B25:H25)</f>
        <v>0</v>
      </c>
      <c r="L25" s="31"/>
    </row>
    <row r="26" spans="1:17" ht="15.75" thickBot="1" x14ac:dyDescent="0.3">
      <c r="A26" s="1"/>
      <c r="B26" s="9"/>
      <c r="C26" s="9"/>
      <c r="D26" s="9"/>
      <c r="E26" s="9"/>
      <c r="F26" s="9"/>
      <c r="G26" s="9"/>
      <c r="H26" s="9"/>
      <c r="I26" s="9"/>
      <c r="J26" s="9"/>
      <c r="L26" s="31"/>
      <c r="Q26" s="1"/>
    </row>
    <row r="27" spans="1:17" ht="15.75" thickBot="1" x14ac:dyDescent="0.3">
      <c r="A27" s="167" t="s">
        <v>55</v>
      </c>
      <c r="B27" s="168"/>
      <c r="C27" s="168"/>
      <c r="D27" s="168"/>
      <c r="E27" s="168"/>
      <c r="F27" s="168"/>
      <c r="G27" s="168"/>
      <c r="H27" s="168"/>
      <c r="I27" s="168"/>
      <c r="J27" s="169"/>
      <c r="Q27" s="1"/>
    </row>
    <row r="28" spans="1:17" x14ac:dyDescent="0.25">
      <c r="A28" s="4" t="s">
        <v>16</v>
      </c>
      <c r="B28" s="5" t="s">
        <v>15</v>
      </c>
      <c r="C28" s="5" t="s">
        <v>14</v>
      </c>
      <c r="D28" s="5" t="s">
        <v>13</v>
      </c>
      <c r="E28" s="5" t="s">
        <v>12</v>
      </c>
      <c r="F28" s="5" t="s">
        <v>93</v>
      </c>
      <c r="G28" s="5" t="s">
        <v>94</v>
      </c>
      <c r="H28" s="5" t="s">
        <v>38</v>
      </c>
      <c r="I28" s="5" t="s">
        <v>9</v>
      </c>
      <c r="J28" s="5" t="s">
        <v>0</v>
      </c>
      <c r="Q28" s="1"/>
    </row>
    <row r="29" spans="1:17" x14ac:dyDescent="0.25">
      <c r="A29" s="1" t="s">
        <v>49</v>
      </c>
      <c r="B29" s="36">
        <f>'Reimbursement Rates &lt;-INPUT'!M9</f>
        <v>0</v>
      </c>
      <c r="C29" s="36">
        <f t="shared" ref="C29:I45" si="2">B29</f>
        <v>0</v>
      </c>
      <c r="D29" s="36">
        <f t="shared" si="2"/>
        <v>0</v>
      </c>
      <c r="E29" s="36">
        <f t="shared" si="2"/>
        <v>0</v>
      </c>
      <c r="F29" s="36">
        <f t="shared" si="2"/>
        <v>0</v>
      </c>
      <c r="G29" s="36">
        <f t="shared" si="2"/>
        <v>0</v>
      </c>
      <c r="H29" s="36">
        <f t="shared" si="2"/>
        <v>0</v>
      </c>
      <c r="I29" s="36">
        <f t="shared" si="2"/>
        <v>0</v>
      </c>
      <c r="J29" s="36">
        <f t="shared" ref="J29:J45" si="3">H29</f>
        <v>0</v>
      </c>
    </row>
    <row r="30" spans="1:17" x14ac:dyDescent="0.25">
      <c r="A30" s="1" t="s">
        <v>8</v>
      </c>
      <c r="B30" s="36">
        <f>'Reimbursement Rates &lt;-INPUT'!M10</f>
        <v>0</v>
      </c>
      <c r="C30" s="36">
        <f t="shared" si="2"/>
        <v>0</v>
      </c>
      <c r="D30" s="36">
        <f t="shared" si="2"/>
        <v>0</v>
      </c>
      <c r="E30" s="36">
        <f t="shared" si="2"/>
        <v>0</v>
      </c>
      <c r="F30" s="36">
        <f t="shared" si="2"/>
        <v>0</v>
      </c>
      <c r="G30" s="36">
        <f t="shared" si="2"/>
        <v>0</v>
      </c>
      <c r="H30" s="36">
        <f t="shared" si="2"/>
        <v>0</v>
      </c>
      <c r="I30" s="36">
        <f t="shared" si="2"/>
        <v>0</v>
      </c>
      <c r="J30" s="36">
        <f t="shared" si="3"/>
        <v>0</v>
      </c>
      <c r="Q30" s="1"/>
    </row>
    <row r="31" spans="1:17" x14ac:dyDescent="0.25">
      <c r="A31" s="1" t="s">
        <v>7</v>
      </c>
      <c r="B31" s="36">
        <f>'Reimbursement Rates &lt;-INPUT'!M11</f>
        <v>0</v>
      </c>
      <c r="C31" s="36">
        <f t="shared" si="2"/>
        <v>0</v>
      </c>
      <c r="D31" s="36">
        <f t="shared" si="2"/>
        <v>0</v>
      </c>
      <c r="E31" s="36">
        <f t="shared" si="2"/>
        <v>0</v>
      </c>
      <c r="F31" s="36">
        <f t="shared" si="2"/>
        <v>0</v>
      </c>
      <c r="G31" s="36">
        <f t="shared" si="2"/>
        <v>0</v>
      </c>
      <c r="H31" s="36">
        <f t="shared" si="2"/>
        <v>0</v>
      </c>
      <c r="I31" s="36">
        <f t="shared" si="2"/>
        <v>0</v>
      </c>
      <c r="J31" s="36">
        <f t="shared" si="3"/>
        <v>0</v>
      </c>
    </row>
    <row r="32" spans="1:17" x14ac:dyDescent="0.25">
      <c r="A32" s="1" t="s">
        <v>42</v>
      </c>
      <c r="B32" s="36">
        <f>'Reimbursement Rates &lt;-INPUT'!M12</f>
        <v>0</v>
      </c>
      <c r="C32" s="36">
        <f t="shared" si="2"/>
        <v>0</v>
      </c>
      <c r="D32" s="36">
        <f t="shared" si="2"/>
        <v>0</v>
      </c>
      <c r="E32" s="36">
        <f t="shared" si="2"/>
        <v>0</v>
      </c>
      <c r="F32" s="36">
        <f t="shared" si="2"/>
        <v>0</v>
      </c>
      <c r="G32" s="36">
        <f t="shared" si="2"/>
        <v>0</v>
      </c>
      <c r="H32" s="36">
        <f t="shared" si="2"/>
        <v>0</v>
      </c>
      <c r="I32" s="36">
        <f t="shared" si="2"/>
        <v>0</v>
      </c>
      <c r="J32" s="36">
        <f t="shared" si="3"/>
        <v>0</v>
      </c>
    </row>
    <row r="33" spans="1:17" x14ac:dyDescent="0.25">
      <c r="A33" s="1" t="s">
        <v>6</v>
      </c>
      <c r="B33" s="36">
        <f>'Reimbursement Rates &lt;-INPUT'!M13</f>
        <v>0</v>
      </c>
      <c r="C33" s="36">
        <f t="shared" si="2"/>
        <v>0</v>
      </c>
      <c r="D33" s="36">
        <f t="shared" si="2"/>
        <v>0</v>
      </c>
      <c r="E33" s="36">
        <f t="shared" si="2"/>
        <v>0</v>
      </c>
      <c r="F33" s="36">
        <f t="shared" si="2"/>
        <v>0</v>
      </c>
      <c r="G33" s="36">
        <f t="shared" si="2"/>
        <v>0</v>
      </c>
      <c r="H33" s="36">
        <f t="shared" si="2"/>
        <v>0</v>
      </c>
      <c r="I33" s="36">
        <f t="shared" si="2"/>
        <v>0</v>
      </c>
      <c r="J33" s="36">
        <f t="shared" si="3"/>
        <v>0</v>
      </c>
      <c r="Q33" s="1"/>
    </row>
    <row r="34" spans="1:17" x14ac:dyDescent="0.25">
      <c r="A34" s="1" t="s">
        <v>50</v>
      </c>
      <c r="B34" s="36">
        <f>'Reimbursement Rates &lt;-INPUT'!M15</f>
        <v>0</v>
      </c>
      <c r="C34" s="36">
        <f t="shared" si="2"/>
        <v>0</v>
      </c>
      <c r="D34" s="36">
        <f t="shared" si="2"/>
        <v>0</v>
      </c>
      <c r="E34" s="36">
        <f t="shared" si="2"/>
        <v>0</v>
      </c>
      <c r="F34" s="36">
        <f t="shared" si="2"/>
        <v>0</v>
      </c>
      <c r="G34" s="36">
        <f t="shared" si="2"/>
        <v>0</v>
      </c>
      <c r="H34" s="36">
        <f t="shared" si="2"/>
        <v>0</v>
      </c>
      <c r="I34" s="36">
        <f t="shared" si="2"/>
        <v>0</v>
      </c>
      <c r="J34" s="36">
        <f t="shared" si="3"/>
        <v>0</v>
      </c>
      <c r="M34" s="7"/>
    </row>
    <row r="35" spans="1:17" x14ac:dyDescent="0.25">
      <c r="A35" s="1" t="s">
        <v>89</v>
      </c>
      <c r="B35" s="36">
        <f>'Reimbursement Rates &lt;-INPUT'!M16</f>
        <v>0</v>
      </c>
      <c r="C35" s="36">
        <f t="shared" si="2"/>
        <v>0</v>
      </c>
      <c r="D35" s="36">
        <f t="shared" si="2"/>
        <v>0</v>
      </c>
      <c r="E35" s="36">
        <f t="shared" si="2"/>
        <v>0</v>
      </c>
      <c r="F35" s="36">
        <f t="shared" si="2"/>
        <v>0</v>
      </c>
      <c r="G35" s="36">
        <f t="shared" si="2"/>
        <v>0</v>
      </c>
      <c r="H35" s="36">
        <f t="shared" si="2"/>
        <v>0</v>
      </c>
      <c r="I35" s="36">
        <f t="shared" si="2"/>
        <v>0</v>
      </c>
      <c r="J35" s="36">
        <f t="shared" si="3"/>
        <v>0</v>
      </c>
      <c r="M35" s="7"/>
    </row>
    <row r="36" spans="1:17" x14ac:dyDescent="0.25">
      <c r="A36" s="1" t="s">
        <v>5</v>
      </c>
      <c r="B36" s="36">
        <f>'Reimbursement Rates &lt;-INPUT'!M17</f>
        <v>0</v>
      </c>
      <c r="C36" s="36">
        <f t="shared" si="2"/>
        <v>0</v>
      </c>
      <c r="D36" s="36">
        <f t="shared" si="2"/>
        <v>0</v>
      </c>
      <c r="E36" s="36">
        <f t="shared" si="2"/>
        <v>0</v>
      </c>
      <c r="F36" s="36">
        <f t="shared" si="2"/>
        <v>0</v>
      </c>
      <c r="G36" s="36">
        <f t="shared" si="2"/>
        <v>0</v>
      </c>
      <c r="H36" s="36">
        <f t="shared" si="2"/>
        <v>0</v>
      </c>
      <c r="I36" s="36">
        <f t="shared" si="2"/>
        <v>0</v>
      </c>
      <c r="J36" s="36">
        <f t="shared" si="3"/>
        <v>0</v>
      </c>
      <c r="M36" s="7"/>
      <c r="Q36" s="1"/>
    </row>
    <row r="37" spans="1:17" x14ac:dyDescent="0.25">
      <c r="A37" s="1" t="s">
        <v>84</v>
      </c>
      <c r="B37" s="36">
        <f>'Reimbursement Rates &lt;-INPUT'!M18</f>
        <v>0</v>
      </c>
      <c r="C37" s="36">
        <f t="shared" si="2"/>
        <v>0</v>
      </c>
      <c r="D37" s="36">
        <f t="shared" si="2"/>
        <v>0</v>
      </c>
      <c r="E37" s="36">
        <f t="shared" si="2"/>
        <v>0</v>
      </c>
      <c r="F37" s="36">
        <f t="shared" si="2"/>
        <v>0</v>
      </c>
      <c r="G37" s="36">
        <f t="shared" si="2"/>
        <v>0</v>
      </c>
      <c r="H37" s="36">
        <f t="shared" si="2"/>
        <v>0</v>
      </c>
      <c r="I37" s="36">
        <f t="shared" si="2"/>
        <v>0</v>
      </c>
      <c r="J37" s="36">
        <f t="shared" si="3"/>
        <v>0</v>
      </c>
      <c r="M37" s="7"/>
      <c r="Q37" s="1"/>
    </row>
    <row r="38" spans="1:17" x14ac:dyDescent="0.25">
      <c r="A38" s="1" t="s">
        <v>4</v>
      </c>
      <c r="B38" s="36">
        <f>'Reimbursement Rates &lt;-INPUT'!M19</f>
        <v>0</v>
      </c>
      <c r="C38" s="36">
        <f t="shared" si="2"/>
        <v>0</v>
      </c>
      <c r="D38" s="36">
        <f t="shared" si="2"/>
        <v>0</v>
      </c>
      <c r="E38" s="36">
        <f t="shared" si="2"/>
        <v>0</v>
      </c>
      <c r="F38" s="36">
        <f t="shared" si="2"/>
        <v>0</v>
      </c>
      <c r="G38" s="36">
        <f t="shared" si="2"/>
        <v>0</v>
      </c>
      <c r="H38" s="36">
        <f t="shared" si="2"/>
        <v>0</v>
      </c>
      <c r="I38" s="36">
        <f t="shared" si="2"/>
        <v>0</v>
      </c>
      <c r="J38" s="36">
        <f t="shared" si="3"/>
        <v>0</v>
      </c>
      <c r="M38" s="7"/>
    </row>
    <row r="39" spans="1:17" x14ac:dyDescent="0.25">
      <c r="A39" s="1" t="s">
        <v>51</v>
      </c>
      <c r="B39" s="36">
        <f>'Reimbursement Rates &lt;-INPUT'!M20</f>
        <v>0</v>
      </c>
      <c r="C39" s="36">
        <f t="shared" si="2"/>
        <v>0</v>
      </c>
      <c r="D39" s="36">
        <f t="shared" si="2"/>
        <v>0</v>
      </c>
      <c r="E39" s="36">
        <f t="shared" si="2"/>
        <v>0</v>
      </c>
      <c r="F39" s="36">
        <f t="shared" si="2"/>
        <v>0</v>
      </c>
      <c r="G39" s="36">
        <f t="shared" si="2"/>
        <v>0</v>
      </c>
      <c r="H39" s="36">
        <f t="shared" si="2"/>
        <v>0</v>
      </c>
      <c r="I39" s="36">
        <f t="shared" si="2"/>
        <v>0</v>
      </c>
      <c r="J39" s="36">
        <f t="shared" si="3"/>
        <v>0</v>
      </c>
      <c r="M39" s="7"/>
      <c r="Q39" s="1"/>
    </row>
    <row r="40" spans="1:17" x14ac:dyDescent="0.25">
      <c r="A40" s="1" t="s">
        <v>85</v>
      </c>
      <c r="B40" s="36">
        <f>'Reimbursement Rates &lt;-INPUT'!M22</f>
        <v>0</v>
      </c>
      <c r="C40" s="36">
        <f t="shared" si="2"/>
        <v>0</v>
      </c>
      <c r="D40" s="36">
        <f t="shared" si="2"/>
        <v>0</v>
      </c>
      <c r="E40" s="36">
        <f t="shared" si="2"/>
        <v>0</v>
      </c>
      <c r="F40" s="36">
        <f t="shared" si="2"/>
        <v>0</v>
      </c>
      <c r="G40" s="36">
        <f t="shared" si="2"/>
        <v>0</v>
      </c>
      <c r="H40" s="36">
        <f t="shared" si="2"/>
        <v>0</v>
      </c>
      <c r="I40" s="36">
        <f t="shared" si="2"/>
        <v>0</v>
      </c>
      <c r="J40" s="36">
        <f t="shared" si="3"/>
        <v>0</v>
      </c>
      <c r="M40" s="7"/>
      <c r="Q40" s="1"/>
    </row>
    <row r="41" spans="1:17" x14ac:dyDescent="0.25">
      <c r="A41" s="1" t="s">
        <v>2</v>
      </c>
      <c r="B41" s="36">
        <f>'Reimbursement Rates &lt;-INPUT'!M23</f>
        <v>0</v>
      </c>
      <c r="C41" s="36">
        <f t="shared" si="2"/>
        <v>0</v>
      </c>
      <c r="D41" s="36">
        <f t="shared" si="2"/>
        <v>0</v>
      </c>
      <c r="E41" s="36">
        <f t="shared" si="2"/>
        <v>0</v>
      </c>
      <c r="F41" s="36">
        <f t="shared" si="2"/>
        <v>0</v>
      </c>
      <c r="G41" s="36">
        <f t="shared" si="2"/>
        <v>0</v>
      </c>
      <c r="H41" s="36">
        <f t="shared" si="2"/>
        <v>0</v>
      </c>
      <c r="I41" s="36">
        <f t="shared" si="2"/>
        <v>0</v>
      </c>
      <c r="J41" s="36">
        <f t="shared" si="3"/>
        <v>0</v>
      </c>
      <c r="M41" s="7"/>
      <c r="Q41" s="1"/>
    </row>
    <row r="42" spans="1:17" x14ac:dyDescent="0.25">
      <c r="A42" s="1" t="s">
        <v>86</v>
      </c>
      <c r="B42" s="36">
        <f>'Reimbursement Rates &lt;-INPUT'!M24</f>
        <v>0</v>
      </c>
      <c r="C42" s="36">
        <f t="shared" si="2"/>
        <v>0</v>
      </c>
      <c r="D42" s="36">
        <f t="shared" si="2"/>
        <v>0</v>
      </c>
      <c r="E42" s="36">
        <f t="shared" si="2"/>
        <v>0</v>
      </c>
      <c r="F42" s="36">
        <f t="shared" si="2"/>
        <v>0</v>
      </c>
      <c r="G42" s="36">
        <f t="shared" si="2"/>
        <v>0</v>
      </c>
      <c r="H42" s="36">
        <f t="shared" si="2"/>
        <v>0</v>
      </c>
      <c r="I42" s="36">
        <f t="shared" si="2"/>
        <v>0</v>
      </c>
      <c r="J42" s="36">
        <f t="shared" si="3"/>
        <v>0</v>
      </c>
      <c r="M42" s="7"/>
    </row>
    <row r="43" spans="1:17" x14ac:dyDescent="0.25">
      <c r="A43" s="1" t="s">
        <v>29</v>
      </c>
      <c r="B43" s="36">
        <f>'Reimbursement Rates &lt;-INPUT'!M25</f>
        <v>0</v>
      </c>
      <c r="C43" s="36">
        <f t="shared" si="2"/>
        <v>0</v>
      </c>
      <c r="D43" s="36">
        <f t="shared" si="2"/>
        <v>0</v>
      </c>
      <c r="E43" s="36">
        <f t="shared" si="2"/>
        <v>0</v>
      </c>
      <c r="F43" s="36">
        <f t="shared" si="2"/>
        <v>0</v>
      </c>
      <c r="G43" s="36">
        <f t="shared" si="2"/>
        <v>0</v>
      </c>
      <c r="H43" s="36">
        <f t="shared" si="2"/>
        <v>0</v>
      </c>
      <c r="I43" s="36">
        <f t="shared" si="2"/>
        <v>0</v>
      </c>
      <c r="J43" s="36">
        <f t="shared" si="3"/>
        <v>0</v>
      </c>
      <c r="M43" s="7"/>
    </row>
    <row r="44" spans="1:17" x14ac:dyDescent="0.25">
      <c r="A44" s="1" t="s">
        <v>52</v>
      </c>
      <c r="B44" s="36">
        <f>'Reimbursement Rates &lt;-INPUT'!M26</f>
        <v>0</v>
      </c>
      <c r="C44" s="36">
        <f t="shared" si="2"/>
        <v>0</v>
      </c>
      <c r="D44" s="36">
        <f t="shared" si="2"/>
        <v>0</v>
      </c>
      <c r="E44" s="36">
        <f t="shared" si="2"/>
        <v>0</v>
      </c>
      <c r="F44" s="36">
        <f t="shared" si="2"/>
        <v>0</v>
      </c>
      <c r="G44" s="36">
        <f t="shared" si="2"/>
        <v>0</v>
      </c>
      <c r="H44" s="36">
        <f t="shared" si="2"/>
        <v>0</v>
      </c>
      <c r="I44" s="36">
        <f t="shared" si="2"/>
        <v>0</v>
      </c>
      <c r="J44" s="36">
        <f t="shared" si="3"/>
        <v>0</v>
      </c>
      <c r="M44" s="7"/>
      <c r="Q44" s="1"/>
    </row>
    <row r="45" spans="1:17" x14ac:dyDescent="0.25">
      <c r="A45" s="1" t="s">
        <v>1</v>
      </c>
      <c r="B45" s="36">
        <f>'Reimbursement Rates &lt;-INPUT'!M28</f>
        <v>0</v>
      </c>
      <c r="C45" s="36">
        <f t="shared" si="2"/>
        <v>0</v>
      </c>
      <c r="D45" s="36">
        <f t="shared" si="2"/>
        <v>0</v>
      </c>
      <c r="E45" s="36">
        <f t="shared" si="2"/>
        <v>0</v>
      </c>
      <c r="F45" s="36">
        <f t="shared" si="2"/>
        <v>0</v>
      </c>
      <c r="G45" s="36">
        <f t="shared" si="2"/>
        <v>0</v>
      </c>
      <c r="H45" s="36">
        <f t="shared" si="2"/>
        <v>0</v>
      </c>
      <c r="I45" s="36">
        <f t="shared" si="2"/>
        <v>0</v>
      </c>
      <c r="J45" s="36">
        <f t="shared" si="3"/>
        <v>0</v>
      </c>
      <c r="M45" s="7"/>
      <c r="Q45" s="1"/>
    </row>
    <row r="46" spans="1:17" ht="15.75" thickBot="1" x14ac:dyDescent="0.3">
      <c r="A46" s="1"/>
      <c r="B46" s="9"/>
      <c r="C46" s="9"/>
      <c r="D46" s="9"/>
      <c r="E46" s="9"/>
      <c r="F46" s="9"/>
      <c r="G46" s="9"/>
      <c r="H46" s="9"/>
      <c r="I46" s="9"/>
      <c r="J46" s="9"/>
      <c r="M46" s="7"/>
      <c r="Q46" s="1"/>
    </row>
    <row r="47" spans="1:17" ht="15.75" thickBot="1" x14ac:dyDescent="0.3">
      <c r="A47" s="170" t="s">
        <v>33</v>
      </c>
      <c r="B47" s="171"/>
      <c r="C47" s="171"/>
      <c r="D47" s="171"/>
      <c r="E47" s="171"/>
      <c r="F47" s="171"/>
      <c r="G47" s="171"/>
      <c r="H47" s="171"/>
      <c r="I47" s="171"/>
      <c r="J47" s="172"/>
      <c r="M47" s="7"/>
      <c r="Q47" s="1"/>
    </row>
    <row r="48" spans="1:17" x14ac:dyDescent="0.25">
      <c r="A48" s="4" t="s">
        <v>16</v>
      </c>
      <c r="B48" s="5" t="s">
        <v>15</v>
      </c>
      <c r="C48" s="5" t="s">
        <v>14</v>
      </c>
      <c r="D48" s="5" t="s">
        <v>13</v>
      </c>
      <c r="E48" s="5" t="s">
        <v>12</v>
      </c>
      <c r="F48" s="5" t="s">
        <v>93</v>
      </c>
      <c r="G48" s="5" t="s">
        <v>94</v>
      </c>
      <c r="H48" s="5" t="s">
        <v>38</v>
      </c>
      <c r="I48" s="5" t="s">
        <v>9</v>
      </c>
      <c r="J48" s="5" t="s">
        <v>0</v>
      </c>
      <c r="M48" s="7"/>
    </row>
    <row r="49" spans="1:17" x14ac:dyDescent="0.25">
      <c r="A49" s="1" t="s">
        <v>49</v>
      </c>
      <c r="B49" s="37">
        <f t="shared" ref="B49:H51" si="4">IF(B8&gt;0,B8*(1-B29),0)</f>
        <v>0</v>
      </c>
      <c r="C49" s="37">
        <f t="shared" si="4"/>
        <v>0</v>
      </c>
      <c r="D49" s="37">
        <f t="shared" si="4"/>
        <v>0</v>
      </c>
      <c r="E49" s="37">
        <f t="shared" si="4"/>
        <v>0</v>
      </c>
      <c r="F49" s="37">
        <f t="shared" si="4"/>
        <v>0</v>
      </c>
      <c r="G49" s="37">
        <f t="shared" si="4"/>
        <v>0</v>
      </c>
      <c r="H49" s="37">
        <f t="shared" si="4"/>
        <v>0</v>
      </c>
      <c r="I49" s="37">
        <f t="shared" ref="I49" si="5">IF(I8&gt;0,I8*(1-I29),0)</f>
        <v>0</v>
      </c>
      <c r="J49" s="37">
        <f>SUM(B49:H49)</f>
        <v>0</v>
      </c>
      <c r="M49" s="7"/>
      <c r="Q49" s="1"/>
    </row>
    <row r="50" spans="1:17" x14ac:dyDescent="0.25">
      <c r="A50" s="1" t="s">
        <v>8</v>
      </c>
      <c r="B50" s="37">
        <f t="shared" si="4"/>
        <v>0</v>
      </c>
      <c r="C50" s="37">
        <f t="shared" si="4"/>
        <v>0</v>
      </c>
      <c r="D50" s="37">
        <f t="shared" si="4"/>
        <v>0</v>
      </c>
      <c r="E50" s="37">
        <f t="shared" si="4"/>
        <v>0</v>
      </c>
      <c r="F50" s="37">
        <f t="shared" si="4"/>
        <v>0</v>
      </c>
      <c r="G50" s="37">
        <f t="shared" si="4"/>
        <v>0</v>
      </c>
      <c r="H50" s="37">
        <f t="shared" si="4"/>
        <v>0</v>
      </c>
      <c r="I50" s="37">
        <f t="shared" ref="I50" si="6">IF(I9&gt;0,I9*(1-I30),0)</f>
        <v>0</v>
      </c>
      <c r="J50" s="37">
        <f t="shared" ref="J50:J65" si="7">SUM(B50:H50)</f>
        <v>0</v>
      </c>
      <c r="M50" s="7"/>
      <c r="Q50" s="7"/>
    </row>
    <row r="51" spans="1:17" x14ac:dyDescent="0.25">
      <c r="A51" s="1" t="s">
        <v>7</v>
      </c>
      <c r="B51" s="37">
        <f>IF(B10&gt;0,B10*(1-B31),0)</f>
        <v>0</v>
      </c>
      <c r="C51" s="37">
        <f t="shared" si="4"/>
        <v>0</v>
      </c>
      <c r="D51" s="37">
        <f t="shared" si="4"/>
        <v>0</v>
      </c>
      <c r="E51" s="37">
        <f t="shared" si="4"/>
        <v>0</v>
      </c>
      <c r="F51" s="37">
        <f t="shared" si="4"/>
        <v>0</v>
      </c>
      <c r="G51" s="37">
        <f t="shared" si="4"/>
        <v>0</v>
      </c>
      <c r="H51" s="37">
        <f t="shared" si="4"/>
        <v>0</v>
      </c>
      <c r="I51" s="37">
        <f t="shared" ref="I51" si="8">IF(I10&gt;0,I10*(1-I31),0)</f>
        <v>0</v>
      </c>
      <c r="J51" s="37">
        <f t="shared" si="7"/>
        <v>0</v>
      </c>
      <c r="M51" s="7"/>
    </row>
    <row r="52" spans="1:17" x14ac:dyDescent="0.25">
      <c r="A52" s="1" t="s">
        <v>42</v>
      </c>
      <c r="B52" s="37">
        <f t="shared" ref="B52:H65" si="9">IF(B11&gt;0,B11*(1-B32),0)</f>
        <v>0</v>
      </c>
      <c r="C52" s="37">
        <f t="shared" si="9"/>
        <v>0</v>
      </c>
      <c r="D52" s="37">
        <f t="shared" si="9"/>
        <v>0</v>
      </c>
      <c r="E52" s="37">
        <f t="shared" si="9"/>
        <v>0</v>
      </c>
      <c r="F52" s="37">
        <f t="shared" si="9"/>
        <v>0</v>
      </c>
      <c r="G52" s="37">
        <f t="shared" si="9"/>
        <v>0</v>
      </c>
      <c r="H52" s="37">
        <f t="shared" si="9"/>
        <v>0</v>
      </c>
      <c r="I52" s="37">
        <f t="shared" ref="I52" si="10">IF(I11&gt;0,I11*(1-I32),0)</f>
        <v>0</v>
      </c>
      <c r="J52" s="37">
        <f t="shared" si="7"/>
        <v>0</v>
      </c>
      <c r="M52" s="7"/>
    </row>
    <row r="53" spans="1:17" x14ac:dyDescent="0.25">
      <c r="A53" s="1" t="s">
        <v>6</v>
      </c>
      <c r="B53" s="37">
        <f t="shared" si="9"/>
        <v>0</v>
      </c>
      <c r="C53" s="37">
        <f t="shared" si="9"/>
        <v>0</v>
      </c>
      <c r="D53" s="37">
        <f t="shared" si="9"/>
        <v>0</v>
      </c>
      <c r="E53" s="37">
        <f t="shared" si="9"/>
        <v>0</v>
      </c>
      <c r="F53" s="37">
        <f t="shared" si="9"/>
        <v>0</v>
      </c>
      <c r="G53" s="37">
        <f t="shared" si="9"/>
        <v>0</v>
      </c>
      <c r="H53" s="37">
        <f t="shared" si="9"/>
        <v>0</v>
      </c>
      <c r="I53" s="37">
        <f t="shared" ref="I53" si="11">IF(I12&gt;0,I12*(1-I33),0)</f>
        <v>0</v>
      </c>
      <c r="J53" s="37">
        <f t="shared" si="7"/>
        <v>0</v>
      </c>
      <c r="M53" s="7"/>
    </row>
    <row r="54" spans="1:17" x14ac:dyDescent="0.25">
      <c r="A54" s="1" t="s">
        <v>50</v>
      </c>
      <c r="B54" s="37">
        <f t="shared" si="9"/>
        <v>0</v>
      </c>
      <c r="C54" s="37">
        <f t="shared" si="9"/>
        <v>0</v>
      </c>
      <c r="D54" s="37">
        <f t="shared" si="9"/>
        <v>0</v>
      </c>
      <c r="E54" s="37">
        <f t="shared" si="9"/>
        <v>0</v>
      </c>
      <c r="F54" s="37">
        <f t="shared" si="9"/>
        <v>0</v>
      </c>
      <c r="G54" s="37">
        <f t="shared" si="9"/>
        <v>0</v>
      </c>
      <c r="H54" s="37">
        <f t="shared" si="9"/>
        <v>0</v>
      </c>
      <c r="I54" s="37">
        <f t="shared" ref="I54" si="12">IF(I13&gt;0,I13*(1-I34),0)</f>
        <v>0</v>
      </c>
      <c r="J54" s="37">
        <f t="shared" si="7"/>
        <v>0</v>
      </c>
      <c r="M54" s="7"/>
    </row>
    <row r="55" spans="1:17" x14ac:dyDescent="0.25">
      <c r="A55" s="1" t="s">
        <v>89</v>
      </c>
      <c r="B55" s="37">
        <f t="shared" si="9"/>
        <v>0</v>
      </c>
      <c r="C55" s="37">
        <f t="shared" si="9"/>
        <v>0</v>
      </c>
      <c r="D55" s="37">
        <f t="shared" si="9"/>
        <v>0</v>
      </c>
      <c r="E55" s="37">
        <f t="shared" si="9"/>
        <v>0</v>
      </c>
      <c r="F55" s="37">
        <f t="shared" si="9"/>
        <v>0</v>
      </c>
      <c r="G55" s="37">
        <f t="shared" si="9"/>
        <v>0</v>
      </c>
      <c r="H55" s="37">
        <f t="shared" si="9"/>
        <v>0</v>
      </c>
      <c r="I55" s="37">
        <f t="shared" ref="I55" si="13">IF(I14&gt;0,I14*(1-I35),0)</f>
        <v>0</v>
      </c>
      <c r="J55" s="37">
        <f t="shared" si="7"/>
        <v>0</v>
      </c>
      <c r="M55" s="7"/>
    </row>
    <row r="56" spans="1:17" x14ac:dyDescent="0.25">
      <c r="A56" s="1" t="s">
        <v>5</v>
      </c>
      <c r="B56" s="37">
        <f t="shared" si="9"/>
        <v>0</v>
      </c>
      <c r="C56" s="37">
        <f t="shared" si="9"/>
        <v>0</v>
      </c>
      <c r="D56" s="37">
        <f t="shared" si="9"/>
        <v>0</v>
      </c>
      <c r="E56" s="37">
        <f t="shared" si="9"/>
        <v>0</v>
      </c>
      <c r="F56" s="37">
        <f t="shared" si="9"/>
        <v>0</v>
      </c>
      <c r="G56" s="37">
        <f t="shared" si="9"/>
        <v>0</v>
      </c>
      <c r="H56" s="37">
        <f t="shared" si="9"/>
        <v>0</v>
      </c>
      <c r="I56" s="37">
        <f t="shared" ref="I56" si="14">IF(I15&gt;0,I15*(1-I36),0)</f>
        <v>0</v>
      </c>
      <c r="J56" s="37">
        <f t="shared" si="7"/>
        <v>0</v>
      </c>
      <c r="M56" s="7"/>
    </row>
    <row r="57" spans="1:17" x14ac:dyDescent="0.25">
      <c r="A57" s="1" t="s">
        <v>84</v>
      </c>
      <c r="B57" s="37">
        <f t="shared" si="9"/>
        <v>0</v>
      </c>
      <c r="C57" s="37">
        <f t="shared" si="9"/>
        <v>0</v>
      </c>
      <c r="D57" s="37">
        <f t="shared" si="9"/>
        <v>0</v>
      </c>
      <c r="E57" s="37">
        <f t="shared" si="9"/>
        <v>0</v>
      </c>
      <c r="F57" s="37">
        <f t="shared" si="9"/>
        <v>0</v>
      </c>
      <c r="G57" s="37">
        <f t="shared" si="9"/>
        <v>0</v>
      </c>
      <c r="H57" s="37">
        <f t="shared" si="9"/>
        <v>0</v>
      </c>
      <c r="I57" s="37">
        <f t="shared" ref="I57" si="15">IF(I16&gt;0,I16*(1-I37),0)</f>
        <v>0</v>
      </c>
      <c r="J57" s="37">
        <f t="shared" si="7"/>
        <v>0</v>
      </c>
      <c r="M57" s="7"/>
    </row>
    <row r="58" spans="1:17" x14ac:dyDescent="0.25">
      <c r="A58" s="1" t="s">
        <v>4</v>
      </c>
      <c r="B58" s="37">
        <f t="shared" si="9"/>
        <v>0</v>
      </c>
      <c r="C58" s="37">
        <f t="shared" si="9"/>
        <v>0</v>
      </c>
      <c r="D58" s="37">
        <f t="shared" si="9"/>
        <v>0</v>
      </c>
      <c r="E58" s="37">
        <f t="shared" si="9"/>
        <v>0</v>
      </c>
      <c r="F58" s="37">
        <f t="shared" si="9"/>
        <v>0</v>
      </c>
      <c r="G58" s="37">
        <f t="shared" si="9"/>
        <v>0</v>
      </c>
      <c r="H58" s="37">
        <f t="shared" si="9"/>
        <v>0</v>
      </c>
      <c r="I58" s="37">
        <f t="shared" ref="I58" si="16">IF(I17&gt;0,I17*(1-I38),0)</f>
        <v>0</v>
      </c>
      <c r="J58" s="37">
        <f t="shared" si="7"/>
        <v>0</v>
      </c>
      <c r="M58" s="7"/>
    </row>
    <row r="59" spans="1:17" x14ac:dyDescent="0.25">
      <c r="A59" s="1" t="s">
        <v>51</v>
      </c>
      <c r="B59" s="37">
        <f t="shared" si="9"/>
        <v>0</v>
      </c>
      <c r="C59" s="37">
        <f t="shared" si="9"/>
        <v>0</v>
      </c>
      <c r="D59" s="37">
        <f t="shared" si="9"/>
        <v>0</v>
      </c>
      <c r="E59" s="37">
        <f t="shared" si="9"/>
        <v>0</v>
      </c>
      <c r="F59" s="37">
        <f t="shared" si="9"/>
        <v>0</v>
      </c>
      <c r="G59" s="37">
        <f t="shared" si="9"/>
        <v>0</v>
      </c>
      <c r="H59" s="37">
        <f t="shared" si="9"/>
        <v>0</v>
      </c>
      <c r="I59" s="37">
        <f t="shared" ref="I59" si="17">IF(I18&gt;0,I18*(1-I39),0)</f>
        <v>0</v>
      </c>
      <c r="J59" s="37">
        <f t="shared" si="7"/>
        <v>0</v>
      </c>
      <c r="M59" s="7"/>
    </row>
    <row r="60" spans="1:17" x14ac:dyDescent="0.25">
      <c r="A60" s="1" t="s">
        <v>85</v>
      </c>
      <c r="B60" s="37">
        <f t="shared" si="9"/>
        <v>0</v>
      </c>
      <c r="C60" s="37">
        <f t="shared" si="9"/>
        <v>0</v>
      </c>
      <c r="D60" s="37">
        <f t="shared" si="9"/>
        <v>0</v>
      </c>
      <c r="E60" s="37">
        <f t="shared" si="9"/>
        <v>0</v>
      </c>
      <c r="F60" s="37">
        <f t="shared" si="9"/>
        <v>0</v>
      </c>
      <c r="G60" s="37">
        <f t="shared" si="9"/>
        <v>0</v>
      </c>
      <c r="H60" s="37">
        <f t="shared" si="9"/>
        <v>0</v>
      </c>
      <c r="I60" s="37">
        <f t="shared" ref="I60" si="18">IF(I19&gt;0,I19*(1-I40),0)</f>
        <v>0</v>
      </c>
      <c r="J60" s="37">
        <f t="shared" si="7"/>
        <v>0</v>
      </c>
      <c r="M60" s="7"/>
    </row>
    <row r="61" spans="1:17" x14ac:dyDescent="0.25">
      <c r="A61" s="1" t="s">
        <v>2</v>
      </c>
      <c r="B61" s="37">
        <f t="shared" si="9"/>
        <v>0</v>
      </c>
      <c r="C61" s="37">
        <f t="shared" si="9"/>
        <v>0</v>
      </c>
      <c r="D61" s="37">
        <f t="shared" si="9"/>
        <v>0</v>
      </c>
      <c r="E61" s="37">
        <f t="shared" si="9"/>
        <v>0</v>
      </c>
      <c r="F61" s="37">
        <f t="shared" si="9"/>
        <v>0</v>
      </c>
      <c r="G61" s="37">
        <f t="shared" si="9"/>
        <v>0</v>
      </c>
      <c r="H61" s="37">
        <f t="shared" si="9"/>
        <v>0</v>
      </c>
      <c r="I61" s="37">
        <f t="shared" ref="I61" si="19">IF(I20&gt;0,I20*(1-I41),0)</f>
        <v>0</v>
      </c>
      <c r="J61" s="37">
        <f t="shared" si="7"/>
        <v>0</v>
      </c>
      <c r="M61" s="7"/>
    </row>
    <row r="62" spans="1:17" x14ac:dyDescent="0.25">
      <c r="A62" s="1" t="s">
        <v>86</v>
      </c>
      <c r="B62" s="37">
        <f t="shared" si="9"/>
        <v>0</v>
      </c>
      <c r="C62" s="37">
        <f t="shared" si="9"/>
        <v>0</v>
      </c>
      <c r="D62" s="37">
        <f t="shared" si="9"/>
        <v>0</v>
      </c>
      <c r="E62" s="37">
        <f t="shared" si="9"/>
        <v>0</v>
      </c>
      <c r="F62" s="37">
        <f t="shared" si="9"/>
        <v>0</v>
      </c>
      <c r="G62" s="37">
        <f t="shared" si="9"/>
        <v>0</v>
      </c>
      <c r="H62" s="37">
        <f t="shared" si="9"/>
        <v>0</v>
      </c>
      <c r="I62" s="37">
        <f t="shared" ref="I62" si="20">IF(I21&gt;0,I21*(1-I42),0)</f>
        <v>0</v>
      </c>
      <c r="J62" s="37">
        <f t="shared" si="7"/>
        <v>0</v>
      </c>
      <c r="M62" s="183" t="s">
        <v>62</v>
      </c>
    </row>
    <row r="63" spans="1:17" x14ac:dyDescent="0.25">
      <c r="A63" s="1" t="s">
        <v>29</v>
      </c>
      <c r="B63" s="37">
        <f t="shared" si="9"/>
        <v>0</v>
      </c>
      <c r="C63" s="37">
        <f t="shared" si="9"/>
        <v>0</v>
      </c>
      <c r="D63" s="37">
        <f t="shared" si="9"/>
        <v>0</v>
      </c>
      <c r="E63" s="37">
        <f t="shared" si="9"/>
        <v>0</v>
      </c>
      <c r="F63" s="37">
        <f t="shared" si="9"/>
        <v>0</v>
      </c>
      <c r="G63" s="37">
        <f t="shared" si="9"/>
        <v>0</v>
      </c>
      <c r="H63" s="37">
        <f t="shared" si="9"/>
        <v>0</v>
      </c>
      <c r="I63" s="37">
        <f t="shared" ref="I63" si="21">IF(I22&gt;0,I22*(1-I43),0)</f>
        <v>0</v>
      </c>
      <c r="J63" s="37">
        <f t="shared" si="7"/>
        <v>0</v>
      </c>
      <c r="M63" s="183"/>
    </row>
    <row r="64" spans="1:17" x14ac:dyDescent="0.25">
      <c r="A64" s="1" t="s">
        <v>52</v>
      </c>
      <c r="B64" s="37">
        <f t="shared" si="9"/>
        <v>0</v>
      </c>
      <c r="C64" s="37">
        <f t="shared" si="9"/>
        <v>0</v>
      </c>
      <c r="D64" s="37">
        <f t="shared" si="9"/>
        <v>0</v>
      </c>
      <c r="E64" s="37">
        <f t="shared" si="9"/>
        <v>0</v>
      </c>
      <c r="F64" s="37">
        <f t="shared" si="9"/>
        <v>0</v>
      </c>
      <c r="G64" s="37">
        <f t="shared" si="9"/>
        <v>0</v>
      </c>
      <c r="H64" s="37">
        <f t="shared" si="9"/>
        <v>0</v>
      </c>
      <c r="I64" s="37">
        <f t="shared" ref="I64" si="22">IF(I23&gt;0,I23*(1-I44),0)</f>
        <v>0</v>
      </c>
      <c r="J64" s="37">
        <f t="shared" si="7"/>
        <v>0</v>
      </c>
      <c r="L64" s="35" t="s">
        <v>41</v>
      </c>
      <c r="M64" s="183" t="s">
        <v>63</v>
      </c>
    </row>
    <row r="65" spans="1:13" x14ac:dyDescent="0.25">
      <c r="A65" s="1" t="s">
        <v>1</v>
      </c>
      <c r="B65" s="38">
        <f t="shared" si="9"/>
        <v>0</v>
      </c>
      <c r="C65" s="38">
        <f t="shared" si="9"/>
        <v>0</v>
      </c>
      <c r="D65" s="38">
        <f t="shared" si="9"/>
        <v>0</v>
      </c>
      <c r="E65" s="38">
        <f t="shared" si="9"/>
        <v>0</v>
      </c>
      <c r="F65" s="38">
        <f t="shared" si="9"/>
        <v>0</v>
      </c>
      <c r="G65" s="38">
        <f t="shared" si="9"/>
        <v>0</v>
      </c>
      <c r="H65" s="38">
        <f t="shared" si="9"/>
        <v>0</v>
      </c>
      <c r="I65" s="38">
        <f t="shared" ref="I65" si="23">IF(I24&gt;0,I24*(1-I45),0)</f>
        <v>0</v>
      </c>
      <c r="J65" s="38">
        <f t="shared" si="7"/>
        <v>0</v>
      </c>
      <c r="L65" s="42" t="s">
        <v>61</v>
      </c>
      <c r="M65" s="184"/>
    </row>
    <row r="66" spans="1:13" x14ac:dyDescent="0.25">
      <c r="A66" s="1"/>
      <c r="B66" s="9">
        <f>SUM(B49:B65)</f>
        <v>0</v>
      </c>
      <c r="C66" s="9">
        <f t="shared" ref="C66:J66" si="24">SUM(C49:C65)</f>
        <v>0</v>
      </c>
      <c r="D66" s="9">
        <f t="shared" si="24"/>
        <v>0</v>
      </c>
      <c r="E66" s="9">
        <f t="shared" si="24"/>
        <v>0</v>
      </c>
      <c r="F66" s="9">
        <f t="shared" si="24"/>
        <v>0</v>
      </c>
      <c r="G66" s="9">
        <f t="shared" si="24"/>
        <v>0</v>
      </c>
      <c r="H66" s="9">
        <f t="shared" si="24"/>
        <v>0</v>
      </c>
      <c r="I66" s="9">
        <f t="shared" si="24"/>
        <v>0</v>
      </c>
      <c r="J66" s="9">
        <f t="shared" si="24"/>
        <v>0</v>
      </c>
      <c r="L66" s="108">
        <v>60000</v>
      </c>
      <c r="M66" s="7">
        <f>J66-L66</f>
        <v>-60000</v>
      </c>
    </row>
    <row r="67" spans="1:13" ht="15.75" thickBot="1" x14ac:dyDescent="0.3">
      <c r="A67" s="1"/>
      <c r="B67" s="9"/>
      <c r="C67" s="9"/>
      <c r="D67" s="9"/>
      <c r="E67" s="9"/>
      <c r="F67" s="9"/>
      <c r="G67" s="9"/>
      <c r="H67" s="9"/>
      <c r="I67" s="9"/>
      <c r="J67" s="9"/>
      <c r="M67" s="7"/>
    </row>
    <row r="68" spans="1:13" ht="15.75" thickBot="1" x14ac:dyDescent="0.3">
      <c r="A68" s="170" t="s">
        <v>64</v>
      </c>
      <c r="B68" s="171"/>
      <c r="C68" s="171"/>
      <c r="D68" s="171"/>
      <c r="E68" s="171"/>
      <c r="F68" s="171"/>
      <c r="G68" s="171"/>
      <c r="H68" s="171"/>
      <c r="I68" s="171"/>
      <c r="J68" s="172"/>
      <c r="M68" s="7"/>
    </row>
    <row r="69" spans="1:13" x14ac:dyDescent="0.25">
      <c r="A69" s="4" t="s">
        <v>16</v>
      </c>
      <c r="B69" s="5" t="s">
        <v>15</v>
      </c>
      <c r="C69" s="5" t="s">
        <v>14</v>
      </c>
      <c r="D69" s="5" t="s">
        <v>13</v>
      </c>
      <c r="E69" s="5" t="s">
        <v>12</v>
      </c>
      <c r="F69" s="5" t="s">
        <v>93</v>
      </c>
      <c r="G69" s="5" t="s">
        <v>94</v>
      </c>
      <c r="H69" s="5" t="s">
        <v>38</v>
      </c>
      <c r="I69" s="5" t="s">
        <v>9</v>
      </c>
      <c r="J69" s="5" t="s">
        <v>0</v>
      </c>
      <c r="M69" s="7"/>
    </row>
    <row r="70" spans="1:13" x14ac:dyDescent="0.25">
      <c r="A70" s="1" t="s">
        <v>49</v>
      </c>
      <c r="B70" s="39">
        <f t="shared" ref="B70:H72" si="25">B8-B49</f>
        <v>0</v>
      </c>
      <c r="C70" s="39">
        <f t="shared" si="25"/>
        <v>0</v>
      </c>
      <c r="D70" s="39">
        <f t="shared" si="25"/>
        <v>0</v>
      </c>
      <c r="E70" s="39">
        <f t="shared" si="25"/>
        <v>0</v>
      </c>
      <c r="F70" s="39">
        <f t="shared" si="25"/>
        <v>0</v>
      </c>
      <c r="G70" s="39">
        <f t="shared" si="25"/>
        <v>0</v>
      </c>
      <c r="H70" s="39">
        <f t="shared" si="25"/>
        <v>0</v>
      </c>
      <c r="I70" s="39">
        <f t="shared" ref="I70" si="26">I8-I49</f>
        <v>0</v>
      </c>
      <c r="J70" s="39">
        <f>SUM(B70:H70)</f>
        <v>0</v>
      </c>
      <c r="M70" s="7"/>
    </row>
    <row r="71" spans="1:13" x14ac:dyDescent="0.25">
      <c r="A71" s="1" t="s">
        <v>8</v>
      </c>
      <c r="B71" s="39">
        <f t="shared" si="25"/>
        <v>0</v>
      </c>
      <c r="C71" s="39">
        <f t="shared" si="25"/>
        <v>0</v>
      </c>
      <c r="D71" s="39">
        <f t="shared" si="25"/>
        <v>0</v>
      </c>
      <c r="E71" s="39">
        <f t="shared" si="25"/>
        <v>0</v>
      </c>
      <c r="F71" s="39">
        <f t="shared" si="25"/>
        <v>0</v>
      </c>
      <c r="G71" s="39">
        <f t="shared" si="25"/>
        <v>0</v>
      </c>
      <c r="H71" s="39">
        <f t="shared" si="25"/>
        <v>0</v>
      </c>
      <c r="I71" s="39">
        <f t="shared" ref="I71" si="27">I9-I50</f>
        <v>0</v>
      </c>
      <c r="J71" s="39">
        <f t="shared" ref="J71:J86" si="28">SUM(B71:H71)</f>
        <v>0</v>
      </c>
      <c r="M71" s="7"/>
    </row>
    <row r="72" spans="1:13" x14ac:dyDescent="0.25">
      <c r="A72" s="1" t="s">
        <v>7</v>
      </c>
      <c r="B72" s="39">
        <f>B10-B51</f>
        <v>0</v>
      </c>
      <c r="C72" s="39">
        <f t="shared" si="25"/>
        <v>0</v>
      </c>
      <c r="D72" s="39">
        <f t="shared" si="25"/>
        <v>0</v>
      </c>
      <c r="E72" s="39">
        <f t="shared" si="25"/>
        <v>0</v>
      </c>
      <c r="F72" s="39">
        <f t="shared" si="25"/>
        <v>0</v>
      </c>
      <c r="G72" s="39">
        <f t="shared" si="25"/>
        <v>0</v>
      </c>
      <c r="H72" s="39">
        <f t="shared" si="25"/>
        <v>0</v>
      </c>
      <c r="I72" s="39">
        <f t="shared" ref="I72" si="29">I10-I51</f>
        <v>0</v>
      </c>
      <c r="J72" s="39">
        <f t="shared" si="28"/>
        <v>0</v>
      </c>
      <c r="M72" s="7"/>
    </row>
    <row r="73" spans="1:13" x14ac:dyDescent="0.25">
      <c r="A73" s="1" t="s">
        <v>42</v>
      </c>
      <c r="B73" s="39">
        <f t="shared" ref="B73:H86" si="30">B11-B52</f>
        <v>0</v>
      </c>
      <c r="C73" s="39">
        <f t="shared" si="30"/>
        <v>0</v>
      </c>
      <c r="D73" s="39">
        <f t="shared" si="30"/>
        <v>0</v>
      </c>
      <c r="E73" s="39">
        <f t="shared" si="30"/>
        <v>0</v>
      </c>
      <c r="F73" s="39">
        <f t="shared" si="30"/>
        <v>0</v>
      </c>
      <c r="G73" s="39">
        <f t="shared" si="30"/>
        <v>0</v>
      </c>
      <c r="H73" s="39">
        <f t="shared" si="30"/>
        <v>0</v>
      </c>
      <c r="I73" s="39">
        <f t="shared" ref="I73" si="31">I11-I52</f>
        <v>0</v>
      </c>
      <c r="J73" s="39">
        <f t="shared" si="28"/>
        <v>0</v>
      </c>
      <c r="M73" s="7"/>
    </row>
    <row r="74" spans="1:13" x14ac:dyDescent="0.25">
      <c r="A74" s="1" t="s">
        <v>6</v>
      </c>
      <c r="B74" s="39">
        <f t="shared" si="30"/>
        <v>0</v>
      </c>
      <c r="C74" s="39">
        <f t="shared" si="30"/>
        <v>0</v>
      </c>
      <c r="D74" s="39">
        <f t="shared" si="30"/>
        <v>0</v>
      </c>
      <c r="E74" s="39">
        <f t="shared" si="30"/>
        <v>0</v>
      </c>
      <c r="F74" s="39">
        <f t="shared" si="30"/>
        <v>0</v>
      </c>
      <c r="G74" s="39">
        <f t="shared" si="30"/>
        <v>0</v>
      </c>
      <c r="H74" s="39">
        <f t="shared" si="30"/>
        <v>0</v>
      </c>
      <c r="I74" s="39">
        <f t="shared" ref="I74" si="32">I12-I53</f>
        <v>0</v>
      </c>
      <c r="J74" s="39">
        <f t="shared" si="28"/>
        <v>0</v>
      </c>
      <c r="M74" s="7"/>
    </row>
    <row r="75" spans="1:13" x14ac:dyDescent="0.25">
      <c r="A75" s="1" t="s">
        <v>50</v>
      </c>
      <c r="B75" s="39">
        <f t="shared" si="30"/>
        <v>0</v>
      </c>
      <c r="C75" s="39">
        <f t="shared" si="30"/>
        <v>0</v>
      </c>
      <c r="D75" s="39">
        <f t="shared" si="30"/>
        <v>0</v>
      </c>
      <c r="E75" s="39">
        <f t="shared" si="30"/>
        <v>0</v>
      </c>
      <c r="F75" s="39">
        <f t="shared" si="30"/>
        <v>0</v>
      </c>
      <c r="G75" s="39">
        <f t="shared" si="30"/>
        <v>0</v>
      </c>
      <c r="H75" s="39">
        <f t="shared" si="30"/>
        <v>0</v>
      </c>
      <c r="I75" s="39">
        <f t="shared" ref="I75" si="33">I13-I54</f>
        <v>0</v>
      </c>
      <c r="J75" s="39">
        <f t="shared" si="28"/>
        <v>0</v>
      </c>
      <c r="M75" s="7"/>
    </row>
    <row r="76" spans="1:13" x14ac:dyDescent="0.25">
      <c r="A76" s="1" t="s">
        <v>89</v>
      </c>
      <c r="B76" s="39">
        <f t="shared" si="30"/>
        <v>0</v>
      </c>
      <c r="C76" s="39">
        <f t="shared" si="30"/>
        <v>0</v>
      </c>
      <c r="D76" s="39">
        <f t="shared" si="30"/>
        <v>0</v>
      </c>
      <c r="E76" s="39">
        <f t="shared" si="30"/>
        <v>0</v>
      </c>
      <c r="F76" s="39">
        <f t="shared" si="30"/>
        <v>0</v>
      </c>
      <c r="G76" s="39">
        <f t="shared" si="30"/>
        <v>0</v>
      </c>
      <c r="H76" s="39">
        <f t="shared" si="30"/>
        <v>0</v>
      </c>
      <c r="I76" s="39">
        <f t="shared" ref="I76" si="34">I14-I55</f>
        <v>0</v>
      </c>
      <c r="J76" s="39">
        <f t="shared" si="28"/>
        <v>0</v>
      </c>
      <c r="M76" s="7"/>
    </row>
    <row r="77" spans="1:13" x14ac:dyDescent="0.25">
      <c r="A77" s="1" t="s">
        <v>5</v>
      </c>
      <c r="B77" s="39">
        <f t="shared" si="30"/>
        <v>0</v>
      </c>
      <c r="C77" s="39">
        <f t="shared" si="30"/>
        <v>0</v>
      </c>
      <c r="D77" s="39">
        <f t="shared" si="30"/>
        <v>0</v>
      </c>
      <c r="E77" s="39">
        <f t="shared" si="30"/>
        <v>0</v>
      </c>
      <c r="F77" s="39">
        <f t="shared" si="30"/>
        <v>0</v>
      </c>
      <c r="G77" s="39">
        <f t="shared" si="30"/>
        <v>0</v>
      </c>
      <c r="H77" s="39">
        <f t="shared" si="30"/>
        <v>0</v>
      </c>
      <c r="I77" s="39">
        <f t="shared" ref="I77" si="35">I15-I56</f>
        <v>0</v>
      </c>
      <c r="J77" s="39">
        <f t="shared" si="28"/>
        <v>0</v>
      </c>
      <c r="M77" s="7"/>
    </row>
    <row r="78" spans="1:13" x14ac:dyDescent="0.25">
      <c r="A78" s="1" t="s">
        <v>84</v>
      </c>
      <c r="B78" s="39">
        <f t="shared" si="30"/>
        <v>0</v>
      </c>
      <c r="C78" s="39">
        <f t="shared" si="30"/>
        <v>0</v>
      </c>
      <c r="D78" s="39">
        <f t="shared" si="30"/>
        <v>0</v>
      </c>
      <c r="E78" s="39">
        <f t="shared" si="30"/>
        <v>0</v>
      </c>
      <c r="F78" s="39">
        <f t="shared" si="30"/>
        <v>0</v>
      </c>
      <c r="G78" s="39">
        <f t="shared" si="30"/>
        <v>0</v>
      </c>
      <c r="H78" s="39">
        <f t="shared" si="30"/>
        <v>0</v>
      </c>
      <c r="I78" s="39">
        <f t="shared" ref="I78" si="36">I16-I57</f>
        <v>0</v>
      </c>
      <c r="J78" s="39">
        <f t="shared" si="28"/>
        <v>0</v>
      </c>
      <c r="M78" s="7"/>
    </row>
    <row r="79" spans="1:13" x14ac:dyDescent="0.25">
      <c r="A79" s="1" t="s">
        <v>4</v>
      </c>
      <c r="B79" s="39">
        <f t="shared" si="30"/>
        <v>0</v>
      </c>
      <c r="C79" s="39">
        <f t="shared" si="30"/>
        <v>0</v>
      </c>
      <c r="D79" s="39">
        <f t="shared" si="30"/>
        <v>0</v>
      </c>
      <c r="E79" s="39">
        <f t="shared" si="30"/>
        <v>0</v>
      </c>
      <c r="F79" s="39">
        <f t="shared" si="30"/>
        <v>0</v>
      </c>
      <c r="G79" s="39">
        <f t="shared" si="30"/>
        <v>0</v>
      </c>
      <c r="H79" s="39">
        <f t="shared" si="30"/>
        <v>0</v>
      </c>
      <c r="I79" s="39">
        <f t="shared" ref="I79" si="37">I17-I58</f>
        <v>0</v>
      </c>
      <c r="J79" s="39">
        <f t="shared" si="28"/>
        <v>0</v>
      </c>
      <c r="M79" s="7"/>
    </row>
    <row r="80" spans="1:13" x14ac:dyDescent="0.25">
      <c r="A80" s="1" t="s">
        <v>51</v>
      </c>
      <c r="B80" s="39">
        <f t="shared" si="30"/>
        <v>0</v>
      </c>
      <c r="C80" s="39">
        <f t="shared" si="30"/>
        <v>0</v>
      </c>
      <c r="D80" s="39">
        <f t="shared" si="30"/>
        <v>0</v>
      </c>
      <c r="E80" s="39">
        <f t="shared" si="30"/>
        <v>0</v>
      </c>
      <c r="F80" s="39">
        <f t="shared" si="30"/>
        <v>0</v>
      </c>
      <c r="G80" s="39">
        <f t="shared" si="30"/>
        <v>0</v>
      </c>
      <c r="H80" s="39">
        <f t="shared" si="30"/>
        <v>0</v>
      </c>
      <c r="I80" s="39">
        <f t="shared" ref="I80" si="38">I18-I59</f>
        <v>0</v>
      </c>
      <c r="J80" s="39">
        <f t="shared" si="28"/>
        <v>0</v>
      </c>
      <c r="M80" s="7"/>
    </row>
    <row r="81" spans="1:13" x14ac:dyDescent="0.25">
      <c r="A81" s="1" t="s">
        <v>85</v>
      </c>
      <c r="B81" s="39">
        <f t="shared" si="30"/>
        <v>0</v>
      </c>
      <c r="C81" s="39">
        <f t="shared" si="30"/>
        <v>0</v>
      </c>
      <c r="D81" s="39">
        <f t="shared" si="30"/>
        <v>0</v>
      </c>
      <c r="E81" s="39">
        <f t="shared" si="30"/>
        <v>0</v>
      </c>
      <c r="F81" s="39">
        <f t="shared" si="30"/>
        <v>0</v>
      </c>
      <c r="G81" s="39">
        <f t="shared" si="30"/>
        <v>0</v>
      </c>
      <c r="H81" s="39">
        <f t="shared" si="30"/>
        <v>0</v>
      </c>
      <c r="I81" s="39">
        <f t="shared" ref="I81" si="39">I19-I60</f>
        <v>0</v>
      </c>
      <c r="J81" s="39">
        <f t="shared" si="28"/>
        <v>0</v>
      </c>
      <c r="M81" s="7"/>
    </row>
    <row r="82" spans="1:13" x14ac:dyDescent="0.25">
      <c r="A82" s="1" t="s">
        <v>2</v>
      </c>
      <c r="B82" s="39">
        <f t="shared" si="30"/>
        <v>0</v>
      </c>
      <c r="C82" s="39">
        <f t="shared" si="30"/>
        <v>0</v>
      </c>
      <c r="D82" s="39">
        <f t="shared" si="30"/>
        <v>0</v>
      </c>
      <c r="E82" s="39">
        <f t="shared" si="30"/>
        <v>0</v>
      </c>
      <c r="F82" s="39">
        <f t="shared" si="30"/>
        <v>0</v>
      </c>
      <c r="G82" s="39">
        <f t="shared" si="30"/>
        <v>0</v>
      </c>
      <c r="H82" s="39">
        <f t="shared" si="30"/>
        <v>0</v>
      </c>
      <c r="I82" s="39">
        <f t="shared" ref="I82" si="40">I20-I61</f>
        <v>0</v>
      </c>
      <c r="J82" s="39">
        <f t="shared" si="28"/>
        <v>0</v>
      </c>
      <c r="M82" s="7"/>
    </row>
    <row r="83" spans="1:13" x14ac:dyDescent="0.25">
      <c r="A83" s="1" t="s">
        <v>86</v>
      </c>
      <c r="B83" s="39">
        <f t="shared" si="30"/>
        <v>0</v>
      </c>
      <c r="C83" s="39">
        <f t="shared" si="30"/>
        <v>0</v>
      </c>
      <c r="D83" s="39">
        <f t="shared" si="30"/>
        <v>0</v>
      </c>
      <c r="E83" s="39">
        <f t="shared" si="30"/>
        <v>0</v>
      </c>
      <c r="F83" s="39">
        <f t="shared" si="30"/>
        <v>0</v>
      </c>
      <c r="G83" s="39">
        <f t="shared" si="30"/>
        <v>0</v>
      </c>
      <c r="H83" s="39">
        <f t="shared" si="30"/>
        <v>0</v>
      </c>
      <c r="I83" s="39">
        <f t="shared" ref="I83" si="41">I21-I62</f>
        <v>0</v>
      </c>
      <c r="J83" s="39">
        <f t="shared" si="28"/>
        <v>0</v>
      </c>
      <c r="M83" s="7"/>
    </row>
    <row r="84" spans="1:13" x14ac:dyDescent="0.25">
      <c r="A84" s="1" t="s">
        <v>29</v>
      </c>
      <c r="B84" s="39">
        <f t="shared" si="30"/>
        <v>0</v>
      </c>
      <c r="C84" s="39">
        <f t="shared" si="30"/>
        <v>0</v>
      </c>
      <c r="D84" s="39">
        <f t="shared" si="30"/>
        <v>0</v>
      </c>
      <c r="E84" s="39">
        <f t="shared" si="30"/>
        <v>0</v>
      </c>
      <c r="F84" s="39">
        <f t="shared" si="30"/>
        <v>0</v>
      </c>
      <c r="G84" s="39">
        <f t="shared" si="30"/>
        <v>0</v>
      </c>
      <c r="H84" s="39">
        <f t="shared" si="30"/>
        <v>0</v>
      </c>
      <c r="I84" s="39">
        <f t="shared" ref="I84" si="42">I22-I63</f>
        <v>0</v>
      </c>
      <c r="J84" s="39">
        <f t="shared" si="28"/>
        <v>0</v>
      </c>
      <c r="M84" s="7"/>
    </row>
    <row r="85" spans="1:13" x14ac:dyDescent="0.25">
      <c r="A85" s="1" t="s">
        <v>52</v>
      </c>
      <c r="B85" s="39">
        <f t="shared" si="30"/>
        <v>0</v>
      </c>
      <c r="C85" s="39">
        <f t="shared" si="30"/>
        <v>0</v>
      </c>
      <c r="D85" s="39">
        <f t="shared" si="30"/>
        <v>0</v>
      </c>
      <c r="E85" s="39">
        <f t="shared" si="30"/>
        <v>0</v>
      </c>
      <c r="F85" s="39">
        <f t="shared" si="30"/>
        <v>0</v>
      </c>
      <c r="G85" s="39">
        <f t="shared" si="30"/>
        <v>0</v>
      </c>
      <c r="H85" s="39">
        <f t="shared" si="30"/>
        <v>0</v>
      </c>
      <c r="I85" s="39">
        <f t="shared" ref="I85" si="43">I23-I64</f>
        <v>0</v>
      </c>
      <c r="J85" s="39">
        <f t="shared" si="28"/>
        <v>0</v>
      </c>
      <c r="M85" s="7"/>
    </row>
    <row r="86" spans="1:13" x14ac:dyDescent="0.25">
      <c r="A86" s="1" t="s">
        <v>1</v>
      </c>
      <c r="B86" s="40">
        <f t="shared" si="30"/>
        <v>0</v>
      </c>
      <c r="C86" s="40">
        <f t="shared" si="30"/>
        <v>0</v>
      </c>
      <c r="D86" s="40">
        <f t="shared" si="30"/>
        <v>0</v>
      </c>
      <c r="E86" s="40">
        <f t="shared" si="30"/>
        <v>0</v>
      </c>
      <c r="F86" s="40">
        <f t="shared" si="30"/>
        <v>0</v>
      </c>
      <c r="G86" s="40">
        <f t="shared" si="30"/>
        <v>0</v>
      </c>
      <c r="H86" s="40">
        <f t="shared" si="30"/>
        <v>0</v>
      </c>
      <c r="I86" s="40">
        <f t="shared" ref="I86" si="44">I24-I65</f>
        <v>0</v>
      </c>
      <c r="J86" s="40">
        <f t="shared" si="28"/>
        <v>0</v>
      </c>
      <c r="M86" s="7"/>
    </row>
    <row r="87" spans="1:13" x14ac:dyDescent="0.25">
      <c r="A87" s="4"/>
      <c r="B87" s="39">
        <f>SUM(B70:B86)</f>
        <v>0</v>
      </c>
      <c r="C87" s="39">
        <f t="shared" ref="C87:J87" si="45">SUM(C70:C86)</f>
        <v>0</v>
      </c>
      <c r="D87" s="39">
        <f t="shared" si="45"/>
        <v>0</v>
      </c>
      <c r="E87" s="39">
        <f t="shared" si="45"/>
        <v>0</v>
      </c>
      <c r="F87" s="39">
        <f t="shared" si="45"/>
        <v>0</v>
      </c>
      <c r="G87" s="39">
        <f t="shared" si="45"/>
        <v>0</v>
      </c>
      <c r="H87" s="39">
        <f t="shared" si="45"/>
        <v>0</v>
      </c>
      <c r="I87" s="39">
        <f t="shared" si="45"/>
        <v>0</v>
      </c>
      <c r="J87" s="39">
        <f t="shared" si="45"/>
        <v>0</v>
      </c>
      <c r="M87" s="7"/>
    </row>
    <row r="88" spans="1:13" ht="15.75" thickBot="1" x14ac:dyDescent="0.3">
      <c r="A88" s="4"/>
      <c r="B88" s="39"/>
      <c r="C88" s="39"/>
      <c r="D88" s="39"/>
      <c r="E88" s="39"/>
      <c r="F88" s="39"/>
      <c r="G88" s="39"/>
      <c r="H88" s="39"/>
      <c r="I88" s="39"/>
      <c r="J88" s="39"/>
      <c r="M88" s="7"/>
    </row>
    <row r="89" spans="1:13" ht="15.75" thickBot="1" x14ac:dyDescent="0.3">
      <c r="A89" s="167" t="s">
        <v>59</v>
      </c>
      <c r="B89" s="168"/>
      <c r="C89" s="168"/>
      <c r="D89" s="168"/>
      <c r="E89" s="168"/>
      <c r="F89" s="168"/>
      <c r="G89" s="168"/>
      <c r="H89" s="168"/>
      <c r="I89" s="168"/>
      <c r="J89" s="169"/>
      <c r="M89" s="7"/>
    </row>
    <row r="90" spans="1:13" x14ac:dyDescent="0.25">
      <c r="A90" s="4" t="s">
        <v>16</v>
      </c>
      <c r="B90" s="5" t="s">
        <v>15</v>
      </c>
      <c r="C90" s="5" t="s">
        <v>14</v>
      </c>
      <c r="D90" s="5" t="s">
        <v>13</v>
      </c>
      <c r="E90" s="5" t="s">
        <v>12</v>
      </c>
      <c r="F90" s="5" t="s">
        <v>93</v>
      </c>
      <c r="G90" s="5" t="s">
        <v>94</v>
      </c>
      <c r="H90" s="5" t="s">
        <v>38</v>
      </c>
      <c r="I90" s="5" t="s">
        <v>9</v>
      </c>
      <c r="J90" s="5" t="s">
        <v>0</v>
      </c>
      <c r="M90" s="7"/>
    </row>
    <row r="91" spans="1:13" x14ac:dyDescent="0.25">
      <c r="A91" s="1" t="s">
        <v>49</v>
      </c>
      <c r="B91" s="41">
        <v>0</v>
      </c>
      <c r="C91" s="41">
        <v>0</v>
      </c>
      <c r="D91" s="41">
        <v>0</v>
      </c>
      <c r="E91" s="41">
        <v>0.1</v>
      </c>
      <c r="F91" s="41">
        <v>0.15</v>
      </c>
      <c r="G91" s="41">
        <v>0.15</v>
      </c>
      <c r="H91" s="41">
        <v>0.2</v>
      </c>
      <c r="I91" s="41">
        <v>1</v>
      </c>
      <c r="J91" s="39"/>
      <c r="M91" s="7"/>
    </row>
    <row r="92" spans="1:13" x14ac:dyDescent="0.25">
      <c r="A92" s="1" t="s">
        <v>8</v>
      </c>
      <c r="B92" s="41">
        <v>0</v>
      </c>
      <c r="C92" s="41">
        <v>0</v>
      </c>
      <c r="D92" s="41">
        <v>0</v>
      </c>
      <c r="E92" s="41">
        <v>0.1</v>
      </c>
      <c r="F92" s="41">
        <v>0.15</v>
      </c>
      <c r="G92" s="41">
        <v>0.15</v>
      </c>
      <c r="H92" s="41">
        <v>0.2</v>
      </c>
      <c r="I92" s="41">
        <v>1</v>
      </c>
      <c r="J92" s="39"/>
      <c r="M92" s="7"/>
    </row>
    <row r="93" spans="1:13" x14ac:dyDescent="0.25">
      <c r="A93" s="1" t="s">
        <v>7</v>
      </c>
      <c r="B93" s="41">
        <v>0</v>
      </c>
      <c r="C93" s="41">
        <v>0</v>
      </c>
      <c r="D93" s="41">
        <v>0</v>
      </c>
      <c r="E93" s="41">
        <v>0.1</v>
      </c>
      <c r="F93" s="41">
        <v>0.15</v>
      </c>
      <c r="G93" s="41">
        <v>0.15</v>
      </c>
      <c r="H93" s="41">
        <v>0.2</v>
      </c>
      <c r="I93" s="41">
        <v>1</v>
      </c>
      <c r="J93" s="39"/>
      <c r="M93" s="7"/>
    </row>
    <row r="94" spans="1:13" x14ac:dyDescent="0.25">
      <c r="A94" s="1" t="s">
        <v>42</v>
      </c>
      <c r="B94" s="41">
        <v>0</v>
      </c>
      <c r="C94" s="41">
        <v>0</v>
      </c>
      <c r="D94" s="41">
        <v>0</v>
      </c>
      <c r="E94" s="41">
        <v>0.1</v>
      </c>
      <c r="F94" s="41">
        <v>0.15</v>
      </c>
      <c r="G94" s="41">
        <v>0.15</v>
      </c>
      <c r="H94" s="41">
        <v>0.2</v>
      </c>
      <c r="I94" s="41">
        <v>1</v>
      </c>
      <c r="J94" s="39"/>
      <c r="M94" s="7"/>
    </row>
    <row r="95" spans="1:13" x14ac:dyDescent="0.25">
      <c r="A95" s="1" t="s">
        <v>6</v>
      </c>
      <c r="B95" s="41">
        <v>0</v>
      </c>
      <c r="C95" s="41">
        <v>0</v>
      </c>
      <c r="D95" s="41">
        <v>0</v>
      </c>
      <c r="E95" s="41">
        <v>0.1</v>
      </c>
      <c r="F95" s="41">
        <v>0.15</v>
      </c>
      <c r="G95" s="41">
        <v>0.15</v>
      </c>
      <c r="H95" s="41">
        <v>0.2</v>
      </c>
      <c r="I95" s="41">
        <v>1</v>
      </c>
      <c r="J95" s="39"/>
      <c r="M95" s="7"/>
    </row>
    <row r="96" spans="1:13" x14ac:dyDescent="0.25">
      <c r="A96" s="1" t="s">
        <v>50</v>
      </c>
      <c r="B96" s="41">
        <v>0</v>
      </c>
      <c r="C96" s="41">
        <v>0</v>
      </c>
      <c r="D96" s="41">
        <v>0</v>
      </c>
      <c r="E96" s="41">
        <v>0.1</v>
      </c>
      <c r="F96" s="41">
        <v>0.15</v>
      </c>
      <c r="G96" s="41">
        <v>0.15</v>
      </c>
      <c r="H96" s="41">
        <v>0.2</v>
      </c>
      <c r="I96" s="41">
        <v>1</v>
      </c>
      <c r="J96" s="39"/>
      <c r="M96" s="7"/>
    </row>
    <row r="97" spans="1:13" x14ac:dyDescent="0.25">
      <c r="A97" s="1" t="s">
        <v>89</v>
      </c>
      <c r="B97" s="41">
        <v>0</v>
      </c>
      <c r="C97" s="41">
        <v>0</v>
      </c>
      <c r="D97" s="41">
        <v>0</v>
      </c>
      <c r="E97" s="41">
        <v>0.1</v>
      </c>
      <c r="F97" s="41">
        <v>0.15</v>
      </c>
      <c r="G97" s="41">
        <v>0.15</v>
      </c>
      <c r="H97" s="41">
        <v>0.2</v>
      </c>
      <c r="I97" s="41">
        <v>1</v>
      </c>
      <c r="J97" s="39"/>
      <c r="M97" s="7"/>
    </row>
    <row r="98" spans="1:13" x14ac:dyDescent="0.25">
      <c r="A98" s="1" t="s">
        <v>5</v>
      </c>
      <c r="B98" s="41">
        <v>0</v>
      </c>
      <c r="C98" s="41">
        <v>0</v>
      </c>
      <c r="D98" s="41">
        <v>0</v>
      </c>
      <c r="E98" s="41">
        <v>0.1</v>
      </c>
      <c r="F98" s="41">
        <v>0.15</v>
      </c>
      <c r="G98" s="41">
        <v>0.15</v>
      </c>
      <c r="H98" s="41">
        <v>0.2</v>
      </c>
      <c r="I98" s="41">
        <v>1</v>
      </c>
      <c r="J98" s="39"/>
      <c r="M98" s="7"/>
    </row>
    <row r="99" spans="1:13" x14ac:dyDescent="0.25">
      <c r="A99" s="1" t="s">
        <v>84</v>
      </c>
      <c r="B99" s="41">
        <v>0</v>
      </c>
      <c r="C99" s="41">
        <v>0</v>
      </c>
      <c r="D99" s="41">
        <v>0</v>
      </c>
      <c r="E99" s="41">
        <v>0.1</v>
      </c>
      <c r="F99" s="41">
        <v>0.15</v>
      </c>
      <c r="G99" s="41">
        <v>0.15</v>
      </c>
      <c r="H99" s="41">
        <v>0.2</v>
      </c>
      <c r="I99" s="41">
        <v>1</v>
      </c>
      <c r="J99" s="39"/>
      <c r="M99" s="7"/>
    </row>
    <row r="100" spans="1:13" x14ac:dyDescent="0.25">
      <c r="A100" s="1" t="s">
        <v>4</v>
      </c>
      <c r="B100" s="41">
        <v>0</v>
      </c>
      <c r="C100" s="41">
        <v>0</v>
      </c>
      <c r="D100" s="41">
        <v>0</v>
      </c>
      <c r="E100" s="41">
        <v>0.1</v>
      </c>
      <c r="F100" s="41">
        <v>0.15</v>
      </c>
      <c r="G100" s="41">
        <v>0.15</v>
      </c>
      <c r="H100" s="41">
        <v>0.2</v>
      </c>
      <c r="I100" s="41">
        <v>1</v>
      </c>
      <c r="J100" s="39"/>
      <c r="M100" s="7"/>
    </row>
    <row r="101" spans="1:13" x14ac:dyDescent="0.25">
      <c r="A101" s="1" t="s">
        <v>51</v>
      </c>
      <c r="B101" s="41">
        <v>0</v>
      </c>
      <c r="C101" s="41">
        <v>0</v>
      </c>
      <c r="D101" s="41">
        <v>0</v>
      </c>
      <c r="E101" s="41">
        <v>0.1</v>
      </c>
      <c r="F101" s="41">
        <v>0.15</v>
      </c>
      <c r="G101" s="41">
        <v>0.15</v>
      </c>
      <c r="H101" s="41">
        <v>0.2</v>
      </c>
      <c r="I101" s="41">
        <v>1</v>
      </c>
      <c r="J101" s="39"/>
      <c r="M101" s="7"/>
    </row>
    <row r="102" spans="1:13" x14ac:dyDescent="0.25">
      <c r="A102" s="1" t="s">
        <v>85</v>
      </c>
      <c r="B102" s="41">
        <v>0</v>
      </c>
      <c r="C102" s="41">
        <v>0</v>
      </c>
      <c r="D102" s="41">
        <v>0</v>
      </c>
      <c r="E102" s="41">
        <v>0.1</v>
      </c>
      <c r="F102" s="41">
        <v>0.15</v>
      </c>
      <c r="G102" s="41">
        <v>0.15</v>
      </c>
      <c r="H102" s="41">
        <v>0.2</v>
      </c>
      <c r="I102" s="41">
        <v>1</v>
      </c>
      <c r="J102" s="39"/>
      <c r="M102" s="7"/>
    </row>
    <row r="103" spans="1:13" x14ac:dyDescent="0.25">
      <c r="A103" s="1" t="s">
        <v>2</v>
      </c>
      <c r="B103" s="41">
        <v>0</v>
      </c>
      <c r="C103" s="41">
        <v>0</v>
      </c>
      <c r="D103" s="41">
        <v>0.1</v>
      </c>
      <c r="E103" s="41">
        <v>0.5</v>
      </c>
      <c r="F103" s="41">
        <v>1</v>
      </c>
      <c r="G103" s="41">
        <v>1</v>
      </c>
      <c r="H103" s="41">
        <v>1</v>
      </c>
      <c r="I103" s="41">
        <v>1</v>
      </c>
      <c r="J103" s="39"/>
      <c r="M103" s="7"/>
    </row>
    <row r="104" spans="1:13" x14ac:dyDescent="0.25">
      <c r="A104" s="1" t="s">
        <v>86</v>
      </c>
      <c r="B104" s="41">
        <v>0</v>
      </c>
      <c r="C104" s="41">
        <v>0</v>
      </c>
      <c r="D104" s="41">
        <v>0</v>
      </c>
      <c r="E104" s="41">
        <v>0.1</v>
      </c>
      <c r="F104" s="41">
        <v>0.15</v>
      </c>
      <c r="G104" s="41">
        <v>0.15</v>
      </c>
      <c r="H104" s="41">
        <v>0.2</v>
      </c>
      <c r="I104" s="41">
        <v>1</v>
      </c>
      <c r="J104" s="39"/>
      <c r="M104" s="7"/>
    </row>
    <row r="105" spans="1:13" x14ac:dyDescent="0.25">
      <c r="A105" s="1" t="s">
        <v>29</v>
      </c>
      <c r="B105" s="41">
        <v>0</v>
      </c>
      <c r="C105" s="41">
        <v>0</v>
      </c>
      <c r="D105" s="41">
        <v>0</v>
      </c>
      <c r="E105" s="41">
        <v>0.1</v>
      </c>
      <c r="F105" s="41">
        <v>0.15</v>
      </c>
      <c r="G105" s="41">
        <v>0.15</v>
      </c>
      <c r="H105" s="41">
        <v>0.2</v>
      </c>
      <c r="I105" s="41">
        <v>1</v>
      </c>
      <c r="J105" s="39"/>
      <c r="M105" s="7"/>
    </row>
    <row r="106" spans="1:13" x14ac:dyDescent="0.25">
      <c r="A106" s="1" t="s">
        <v>52</v>
      </c>
      <c r="B106" s="41">
        <v>0</v>
      </c>
      <c r="C106" s="41">
        <v>0</v>
      </c>
      <c r="D106" s="41">
        <v>0</v>
      </c>
      <c r="E106" s="41">
        <v>0.1</v>
      </c>
      <c r="F106" s="41">
        <v>0.15</v>
      </c>
      <c r="G106" s="41">
        <v>0.15</v>
      </c>
      <c r="H106" s="41">
        <v>0.2</v>
      </c>
      <c r="I106" s="41">
        <v>1</v>
      </c>
      <c r="J106" s="39"/>
      <c r="M106" s="7"/>
    </row>
    <row r="107" spans="1:13" x14ac:dyDescent="0.25">
      <c r="A107" s="1" t="s">
        <v>1</v>
      </c>
      <c r="B107" s="41">
        <v>0</v>
      </c>
      <c r="C107" s="41">
        <v>0</v>
      </c>
      <c r="D107" s="41">
        <v>0</v>
      </c>
      <c r="E107" s="41">
        <v>0.1</v>
      </c>
      <c r="F107" s="41">
        <v>0.15</v>
      </c>
      <c r="G107" s="41">
        <v>0.15</v>
      </c>
      <c r="H107" s="41">
        <v>0.2</v>
      </c>
      <c r="I107" s="41">
        <v>1</v>
      </c>
      <c r="J107" s="39"/>
      <c r="M107" s="7"/>
    </row>
    <row r="108" spans="1:13" ht="15.75" thickBot="1" x14ac:dyDescent="0.3">
      <c r="A108" s="4"/>
      <c r="B108" s="39"/>
      <c r="C108" s="39"/>
      <c r="D108" s="39"/>
      <c r="E108" s="39"/>
      <c r="F108" s="39"/>
      <c r="G108" s="39"/>
      <c r="H108" s="39"/>
      <c r="I108" s="39"/>
      <c r="J108" s="39"/>
      <c r="M108" s="7"/>
    </row>
    <row r="109" spans="1:13" ht="15.75" thickBot="1" x14ac:dyDescent="0.3">
      <c r="A109" s="170" t="s">
        <v>60</v>
      </c>
      <c r="B109" s="171"/>
      <c r="C109" s="171"/>
      <c r="D109" s="171"/>
      <c r="E109" s="171"/>
      <c r="F109" s="171"/>
      <c r="G109" s="171"/>
      <c r="H109" s="171"/>
      <c r="I109" s="171"/>
      <c r="J109" s="172"/>
      <c r="M109" s="7"/>
    </row>
    <row r="110" spans="1:13" x14ac:dyDescent="0.25">
      <c r="A110" s="4" t="s">
        <v>16</v>
      </c>
      <c r="B110" s="5" t="s">
        <v>15</v>
      </c>
      <c r="C110" s="5" t="s">
        <v>14</v>
      </c>
      <c r="D110" s="5" t="s">
        <v>13</v>
      </c>
      <c r="E110" s="5" t="s">
        <v>12</v>
      </c>
      <c r="F110" s="5" t="s">
        <v>93</v>
      </c>
      <c r="G110" s="5" t="s">
        <v>94</v>
      </c>
      <c r="H110" s="5" t="s">
        <v>38</v>
      </c>
      <c r="I110" s="5" t="s">
        <v>9</v>
      </c>
      <c r="J110" s="5" t="s">
        <v>0</v>
      </c>
      <c r="M110" s="7"/>
    </row>
    <row r="111" spans="1:13" x14ac:dyDescent="0.25">
      <c r="A111" s="1" t="s">
        <v>49</v>
      </c>
      <c r="B111" s="66">
        <f>IF(B70&gt;0,B70*B91,0)</f>
        <v>0</v>
      </c>
      <c r="C111" s="66">
        <f t="shared" ref="C111:I111" si="46">IF(C70&gt;0,C70*C91,0)</f>
        <v>0</v>
      </c>
      <c r="D111" s="66">
        <f t="shared" si="46"/>
        <v>0</v>
      </c>
      <c r="E111" s="66">
        <f t="shared" si="46"/>
        <v>0</v>
      </c>
      <c r="F111" s="66">
        <f t="shared" si="46"/>
        <v>0</v>
      </c>
      <c r="G111" s="66">
        <f t="shared" si="46"/>
        <v>0</v>
      </c>
      <c r="H111" s="66">
        <f t="shared" si="46"/>
        <v>0</v>
      </c>
      <c r="I111" s="66">
        <f t="shared" si="46"/>
        <v>0</v>
      </c>
      <c r="J111" s="39">
        <f>SUM(B111:H111)</f>
        <v>0</v>
      </c>
      <c r="M111" s="7"/>
    </row>
    <row r="112" spans="1:13" x14ac:dyDescent="0.25">
      <c r="A112" s="1" t="s">
        <v>8</v>
      </c>
      <c r="B112" s="39">
        <f>IF(B71&gt;0,B71*B92,0)</f>
        <v>0</v>
      </c>
      <c r="C112" s="39">
        <f t="shared" ref="C112:I112" si="47">IF(C71&gt;0,C71*C92,0)</f>
        <v>0</v>
      </c>
      <c r="D112" s="39">
        <f t="shared" si="47"/>
        <v>0</v>
      </c>
      <c r="E112" s="39">
        <f t="shared" si="47"/>
        <v>0</v>
      </c>
      <c r="F112" s="39">
        <f t="shared" si="47"/>
        <v>0</v>
      </c>
      <c r="G112" s="39">
        <f t="shared" si="47"/>
        <v>0</v>
      </c>
      <c r="H112" s="39">
        <f t="shared" si="47"/>
        <v>0</v>
      </c>
      <c r="I112" s="39">
        <f t="shared" si="47"/>
        <v>0</v>
      </c>
      <c r="J112" s="39">
        <f t="shared" ref="J112:J127" si="48">SUM(B112:H112)</f>
        <v>0</v>
      </c>
      <c r="M112" s="7"/>
    </row>
    <row r="113" spans="1:13" x14ac:dyDescent="0.25">
      <c r="A113" s="1" t="s">
        <v>7</v>
      </c>
      <c r="B113" s="39">
        <f>IF(B72&gt;0,B72*B93,0)</f>
        <v>0</v>
      </c>
      <c r="C113" s="39">
        <f t="shared" ref="C113:I113" si="49">IF(C72&gt;0,C72*C93,0)</f>
        <v>0</v>
      </c>
      <c r="D113" s="39">
        <f t="shared" si="49"/>
        <v>0</v>
      </c>
      <c r="E113" s="39">
        <f t="shared" si="49"/>
        <v>0</v>
      </c>
      <c r="F113" s="39">
        <f t="shared" si="49"/>
        <v>0</v>
      </c>
      <c r="G113" s="39">
        <f t="shared" si="49"/>
        <v>0</v>
      </c>
      <c r="H113" s="39">
        <f t="shared" si="49"/>
        <v>0</v>
      </c>
      <c r="I113" s="39">
        <f t="shared" si="49"/>
        <v>0</v>
      </c>
      <c r="J113" s="39">
        <f t="shared" si="48"/>
        <v>0</v>
      </c>
      <c r="M113" s="7"/>
    </row>
    <row r="114" spans="1:13" x14ac:dyDescent="0.25">
      <c r="A114" s="1" t="s">
        <v>42</v>
      </c>
      <c r="B114" s="39">
        <f t="shared" ref="B114:B127" si="50">IF(B73&gt;0,B73*B94,0)</f>
        <v>0</v>
      </c>
      <c r="C114" s="39">
        <f t="shared" ref="C114:I114" si="51">IF(C73&gt;0,C73*C94,0)</f>
        <v>0</v>
      </c>
      <c r="D114" s="39">
        <f t="shared" si="51"/>
        <v>0</v>
      </c>
      <c r="E114" s="39">
        <f t="shared" si="51"/>
        <v>0</v>
      </c>
      <c r="F114" s="39">
        <f t="shared" si="51"/>
        <v>0</v>
      </c>
      <c r="G114" s="39">
        <f t="shared" si="51"/>
        <v>0</v>
      </c>
      <c r="H114" s="39">
        <f t="shared" si="51"/>
        <v>0</v>
      </c>
      <c r="I114" s="39">
        <f t="shared" si="51"/>
        <v>0</v>
      </c>
      <c r="J114" s="39">
        <f t="shared" si="48"/>
        <v>0</v>
      </c>
      <c r="M114" s="7"/>
    </row>
    <row r="115" spans="1:13" x14ac:dyDescent="0.25">
      <c r="A115" s="1" t="s">
        <v>6</v>
      </c>
      <c r="B115" s="39">
        <f t="shared" si="50"/>
        <v>0</v>
      </c>
      <c r="C115" s="39">
        <f t="shared" ref="C115:I115" si="52">IF(C74&gt;0,C74*C95,0)</f>
        <v>0</v>
      </c>
      <c r="D115" s="39">
        <f t="shared" si="52"/>
        <v>0</v>
      </c>
      <c r="E115" s="39">
        <f t="shared" si="52"/>
        <v>0</v>
      </c>
      <c r="F115" s="39">
        <f t="shared" si="52"/>
        <v>0</v>
      </c>
      <c r="G115" s="39">
        <f t="shared" si="52"/>
        <v>0</v>
      </c>
      <c r="H115" s="39">
        <f t="shared" si="52"/>
        <v>0</v>
      </c>
      <c r="I115" s="39">
        <f t="shared" si="52"/>
        <v>0</v>
      </c>
      <c r="J115" s="39">
        <f t="shared" si="48"/>
        <v>0</v>
      </c>
      <c r="M115" s="7"/>
    </row>
    <row r="116" spans="1:13" x14ac:dyDescent="0.25">
      <c r="A116" s="1" t="s">
        <v>50</v>
      </c>
      <c r="B116" s="39">
        <f t="shared" si="50"/>
        <v>0</v>
      </c>
      <c r="C116" s="39">
        <f t="shared" ref="C116:I116" si="53">IF(C75&gt;0,C75*C96,0)</f>
        <v>0</v>
      </c>
      <c r="D116" s="39">
        <f t="shared" si="53"/>
        <v>0</v>
      </c>
      <c r="E116" s="39">
        <f t="shared" si="53"/>
        <v>0</v>
      </c>
      <c r="F116" s="39">
        <f t="shared" si="53"/>
        <v>0</v>
      </c>
      <c r="G116" s="39">
        <f t="shared" si="53"/>
        <v>0</v>
      </c>
      <c r="H116" s="39">
        <f t="shared" si="53"/>
        <v>0</v>
      </c>
      <c r="I116" s="39">
        <f t="shared" si="53"/>
        <v>0</v>
      </c>
      <c r="J116" s="39">
        <f t="shared" si="48"/>
        <v>0</v>
      </c>
      <c r="M116" s="7"/>
    </row>
    <row r="117" spans="1:13" x14ac:dyDescent="0.25">
      <c r="A117" s="1" t="s">
        <v>89</v>
      </c>
      <c r="B117" s="39">
        <f t="shared" si="50"/>
        <v>0</v>
      </c>
      <c r="C117" s="39">
        <f t="shared" ref="C117:I117" si="54">IF(C76&gt;0,C76*C97,0)</f>
        <v>0</v>
      </c>
      <c r="D117" s="39">
        <f t="shared" si="54"/>
        <v>0</v>
      </c>
      <c r="E117" s="39">
        <f t="shared" si="54"/>
        <v>0</v>
      </c>
      <c r="F117" s="39">
        <f t="shared" si="54"/>
        <v>0</v>
      </c>
      <c r="G117" s="39">
        <f t="shared" si="54"/>
        <v>0</v>
      </c>
      <c r="H117" s="39">
        <f t="shared" si="54"/>
        <v>0</v>
      </c>
      <c r="I117" s="39">
        <f t="shared" si="54"/>
        <v>0</v>
      </c>
      <c r="J117" s="39">
        <f t="shared" si="48"/>
        <v>0</v>
      </c>
      <c r="M117" s="7"/>
    </row>
    <row r="118" spans="1:13" x14ac:dyDescent="0.25">
      <c r="A118" s="1" t="s">
        <v>5</v>
      </c>
      <c r="B118" s="39">
        <f t="shared" si="50"/>
        <v>0</v>
      </c>
      <c r="C118" s="39">
        <f t="shared" ref="C118:I118" si="55">IF(C77&gt;0,C77*C98,0)</f>
        <v>0</v>
      </c>
      <c r="D118" s="39">
        <f t="shared" si="55"/>
        <v>0</v>
      </c>
      <c r="E118" s="39">
        <f t="shared" si="55"/>
        <v>0</v>
      </c>
      <c r="F118" s="39">
        <f t="shared" si="55"/>
        <v>0</v>
      </c>
      <c r="G118" s="39">
        <f t="shared" si="55"/>
        <v>0</v>
      </c>
      <c r="H118" s="39">
        <f t="shared" si="55"/>
        <v>0</v>
      </c>
      <c r="I118" s="39">
        <f t="shared" si="55"/>
        <v>0</v>
      </c>
      <c r="J118" s="39">
        <f t="shared" si="48"/>
        <v>0</v>
      </c>
      <c r="M118" s="7"/>
    </row>
    <row r="119" spans="1:13" x14ac:dyDescent="0.25">
      <c r="A119" s="1" t="s">
        <v>84</v>
      </c>
      <c r="B119" s="39">
        <f t="shared" si="50"/>
        <v>0</v>
      </c>
      <c r="C119" s="39">
        <f t="shared" ref="C119:I119" si="56">IF(C78&gt;0,C78*C99,0)</f>
        <v>0</v>
      </c>
      <c r="D119" s="39">
        <f t="shared" si="56"/>
        <v>0</v>
      </c>
      <c r="E119" s="39">
        <f t="shared" si="56"/>
        <v>0</v>
      </c>
      <c r="F119" s="39">
        <f t="shared" si="56"/>
        <v>0</v>
      </c>
      <c r="G119" s="39">
        <f t="shared" si="56"/>
        <v>0</v>
      </c>
      <c r="H119" s="39">
        <f t="shared" si="56"/>
        <v>0</v>
      </c>
      <c r="I119" s="39">
        <f t="shared" si="56"/>
        <v>0</v>
      </c>
      <c r="J119" s="39">
        <f t="shared" si="48"/>
        <v>0</v>
      </c>
      <c r="M119" s="7"/>
    </row>
    <row r="120" spans="1:13" x14ac:dyDescent="0.25">
      <c r="A120" s="1" t="s">
        <v>4</v>
      </c>
      <c r="B120" s="39">
        <f t="shared" si="50"/>
        <v>0</v>
      </c>
      <c r="C120" s="39">
        <f t="shared" ref="C120:I120" si="57">IF(C79&gt;0,C79*C100,0)</f>
        <v>0</v>
      </c>
      <c r="D120" s="39">
        <f t="shared" si="57"/>
        <v>0</v>
      </c>
      <c r="E120" s="39">
        <f t="shared" si="57"/>
        <v>0</v>
      </c>
      <c r="F120" s="39">
        <f t="shared" si="57"/>
        <v>0</v>
      </c>
      <c r="G120" s="39">
        <f t="shared" si="57"/>
        <v>0</v>
      </c>
      <c r="H120" s="39">
        <f t="shared" si="57"/>
        <v>0</v>
      </c>
      <c r="I120" s="39">
        <f t="shared" si="57"/>
        <v>0</v>
      </c>
      <c r="J120" s="39">
        <f t="shared" si="48"/>
        <v>0</v>
      </c>
      <c r="M120" s="7"/>
    </row>
    <row r="121" spans="1:13" x14ac:dyDescent="0.25">
      <c r="A121" s="1" t="s">
        <v>51</v>
      </c>
      <c r="B121" s="39">
        <f t="shared" si="50"/>
        <v>0</v>
      </c>
      <c r="C121" s="39">
        <f t="shared" ref="C121:I121" si="58">IF(C80&gt;0,C80*C101,0)</f>
        <v>0</v>
      </c>
      <c r="D121" s="39">
        <f t="shared" si="58"/>
        <v>0</v>
      </c>
      <c r="E121" s="39">
        <f t="shared" si="58"/>
        <v>0</v>
      </c>
      <c r="F121" s="39">
        <f t="shared" si="58"/>
        <v>0</v>
      </c>
      <c r="G121" s="39">
        <f t="shared" si="58"/>
        <v>0</v>
      </c>
      <c r="H121" s="39">
        <f t="shared" si="58"/>
        <v>0</v>
      </c>
      <c r="I121" s="39">
        <f t="shared" si="58"/>
        <v>0</v>
      </c>
      <c r="J121" s="39">
        <f t="shared" si="48"/>
        <v>0</v>
      </c>
      <c r="M121" s="7"/>
    </row>
    <row r="122" spans="1:13" x14ac:dyDescent="0.25">
      <c r="A122" s="1" t="s">
        <v>85</v>
      </c>
      <c r="B122" s="39">
        <f t="shared" si="50"/>
        <v>0</v>
      </c>
      <c r="C122" s="39">
        <f t="shared" ref="C122:I122" si="59">IF(C81&gt;0,C81*C102,0)</f>
        <v>0</v>
      </c>
      <c r="D122" s="39">
        <f t="shared" si="59"/>
        <v>0</v>
      </c>
      <c r="E122" s="39">
        <f t="shared" si="59"/>
        <v>0</v>
      </c>
      <c r="F122" s="39">
        <f t="shared" si="59"/>
        <v>0</v>
      </c>
      <c r="G122" s="39">
        <f t="shared" si="59"/>
        <v>0</v>
      </c>
      <c r="H122" s="39">
        <f t="shared" si="59"/>
        <v>0</v>
      </c>
      <c r="I122" s="39">
        <f t="shared" si="59"/>
        <v>0</v>
      </c>
      <c r="J122" s="39">
        <f t="shared" si="48"/>
        <v>0</v>
      </c>
      <c r="M122" s="7"/>
    </row>
    <row r="123" spans="1:13" x14ac:dyDescent="0.25">
      <c r="A123" s="1" t="s">
        <v>2</v>
      </c>
      <c r="B123" s="39">
        <f t="shared" si="50"/>
        <v>0</v>
      </c>
      <c r="C123" s="39">
        <f t="shared" ref="C123:I123" si="60">IF(C82&gt;0,C82*C103,0)</f>
        <v>0</v>
      </c>
      <c r="D123" s="39">
        <f t="shared" si="60"/>
        <v>0</v>
      </c>
      <c r="E123" s="39">
        <f t="shared" si="60"/>
        <v>0</v>
      </c>
      <c r="F123" s="39">
        <f t="shared" si="60"/>
        <v>0</v>
      </c>
      <c r="G123" s="39">
        <f t="shared" si="60"/>
        <v>0</v>
      </c>
      <c r="H123" s="39">
        <f t="shared" si="60"/>
        <v>0</v>
      </c>
      <c r="I123" s="39">
        <f t="shared" si="60"/>
        <v>0</v>
      </c>
      <c r="J123" s="39">
        <f t="shared" si="48"/>
        <v>0</v>
      </c>
      <c r="M123" s="7"/>
    </row>
    <row r="124" spans="1:13" x14ac:dyDescent="0.25">
      <c r="A124" s="1" t="s">
        <v>86</v>
      </c>
      <c r="B124" s="39">
        <f t="shared" si="50"/>
        <v>0</v>
      </c>
      <c r="C124" s="39">
        <f t="shared" ref="C124:I124" si="61">IF(C83&gt;0,C83*C104,0)</f>
        <v>0</v>
      </c>
      <c r="D124" s="39">
        <f t="shared" si="61"/>
        <v>0</v>
      </c>
      <c r="E124" s="39">
        <f t="shared" si="61"/>
        <v>0</v>
      </c>
      <c r="F124" s="39">
        <f t="shared" si="61"/>
        <v>0</v>
      </c>
      <c r="G124" s="39">
        <f t="shared" si="61"/>
        <v>0</v>
      </c>
      <c r="H124" s="39">
        <f t="shared" si="61"/>
        <v>0</v>
      </c>
      <c r="I124" s="39">
        <f t="shared" si="61"/>
        <v>0</v>
      </c>
      <c r="J124" s="39">
        <f t="shared" si="48"/>
        <v>0</v>
      </c>
      <c r="M124" s="183" t="s">
        <v>62</v>
      </c>
    </row>
    <row r="125" spans="1:13" x14ac:dyDescent="0.25">
      <c r="A125" s="1" t="s">
        <v>29</v>
      </c>
      <c r="B125" s="39">
        <f t="shared" si="50"/>
        <v>0</v>
      </c>
      <c r="C125" s="39">
        <f t="shared" ref="C125:I125" si="62">IF(C84&gt;0,C84*C105,0)</f>
        <v>0</v>
      </c>
      <c r="D125" s="39">
        <f t="shared" si="62"/>
        <v>0</v>
      </c>
      <c r="E125" s="39">
        <f t="shared" si="62"/>
        <v>0</v>
      </c>
      <c r="F125" s="39">
        <f t="shared" si="62"/>
        <v>0</v>
      </c>
      <c r="G125" s="39">
        <f t="shared" si="62"/>
        <v>0</v>
      </c>
      <c r="H125" s="39">
        <f t="shared" si="62"/>
        <v>0</v>
      </c>
      <c r="I125" s="39">
        <f t="shared" si="62"/>
        <v>0</v>
      </c>
      <c r="J125" s="39">
        <f t="shared" si="48"/>
        <v>0</v>
      </c>
      <c r="M125" s="183"/>
    </row>
    <row r="126" spans="1:13" x14ac:dyDescent="0.25">
      <c r="A126" s="1" t="s">
        <v>52</v>
      </c>
      <c r="B126" s="39">
        <f t="shared" si="50"/>
        <v>0</v>
      </c>
      <c r="C126" s="39">
        <f t="shared" ref="C126:I126" si="63">IF(C85&gt;0,C85*C106,0)</f>
        <v>0</v>
      </c>
      <c r="D126" s="39">
        <f t="shared" si="63"/>
        <v>0</v>
      </c>
      <c r="E126" s="39">
        <f t="shared" si="63"/>
        <v>0</v>
      </c>
      <c r="F126" s="39">
        <f t="shared" si="63"/>
        <v>0</v>
      </c>
      <c r="G126" s="39">
        <f t="shared" si="63"/>
        <v>0</v>
      </c>
      <c r="H126" s="39">
        <f t="shared" si="63"/>
        <v>0</v>
      </c>
      <c r="I126" s="39">
        <f t="shared" si="63"/>
        <v>0</v>
      </c>
      <c r="J126" s="39">
        <f t="shared" si="48"/>
        <v>0</v>
      </c>
      <c r="L126" s="35" t="s">
        <v>151</v>
      </c>
      <c r="M126" s="183" t="s">
        <v>63</v>
      </c>
    </row>
    <row r="127" spans="1:13" x14ac:dyDescent="0.25">
      <c r="A127" s="1" t="s">
        <v>1</v>
      </c>
      <c r="B127" s="40">
        <f t="shared" si="50"/>
        <v>0</v>
      </c>
      <c r="C127" s="40">
        <f t="shared" ref="C127:I127" si="64">IF(C86&gt;0,C86*C107,0)</f>
        <v>0</v>
      </c>
      <c r="D127" s="40">
        <f t="shared" si="64"/>
        <v>0</v>
      </c>
      <c r="E127" s="40">
        <f t="shared" si="64"/>
        <v>0</v>
      </c>
      <c r="F127" s="40">
        <f t="shared" si="64"/>
        <v>0</v>
      </c>
      <c r="G127" s="40">
        <f t="shared" si="64"/>
        <v>0</v>
      </c>
      <c r="H127" s="40">
        <f t="shared" si="64"/>
        <v>0</v>
      </c>
      <c r="I127" s="40">
        <f t="shared" si="64"/>
        <v>0</v>
      </c>
      <c r="J127" s="40">
        <f t="shared" si="48"/>
        <v>0</v>
      </c>
      <c r="L127" s="42" t="s">
        <v>61</v>
      </c>
      <c r="M127" s="184"/>
    </row>
    <row r="128" spans="1:13" x14ac:dyDescent="0.25">
      <c r="A128" s="4"/>
      <c r="B128" s="39">
        <f>SUM(B111:B127)</f>
        <v>0</v>
      </c>
      <c r="C128" s="39">
        <f t="shared" ref="C128:J128" si="65">SUM(C111:C127)</f>
        <v>0</v>
      </c>
      <c r="D128" s="39">
        <f t="shared" si="65"/>
        <v>0</v>
      </c>
      <c r="E128" s="39">
        <f t="shared" si="65"/>
        <v>0</v>
      </c>
      <c r="F128" s="39">
        <f t="shared" si="65"/>
        <v>0</v>
      </c>
      <c r="G128" s="39">
        <f t="shared" si="65"/>
        <v>0</v>
      </c>
      <c r="H128" s="39">
        <f t="shared" si="65"/>
        <v>0</v>
      </c>
      <c r="I128" s="39">
        <f t="shared" si="65"/>
        <v>0</v>
      </c>
      <c r="J128" s="39">
        <f t="shared" si="65"/>
        <v>0</v>
      </c>
      <c r="L128" s="108">
        <v>60000</v>
      </c>
      <c r="M128" s="7">
        <f>J128-L128</f>
        <v>-60000</v>
      </c>
    </row>
    <row r="129" spans="1:13" ht="15.75" thickBot="1" x14ac:dyDescent="0.3">
      <c r="A129" s="4"/>
      <c r="B129" s="39"/>
      <c r="C129" s="39"/>
      <c r="D129" s="39"/>
      <c r="E129" s="39"/>
      <c r="F129" s="39"/>
      <c r="G129" s="39"/>
      <c r="H129" s="39"/>
      <c r="I129" s="39"/>
      <c r="J129" s="39"/>
      <c r="M129" s="7"/>
    </row>
    <row r="130" spans="1:13" ht="15.75" thickBot="1" x14ac:dyDescent="0.3">
      <c r="A130" s="170" t="s">
        <v>30</v>
      </c>
      <c r="B130" s="171"/>
      <c r="C130" s="171"/>
      <c r="D130" s="171"/>
      <c r="E130" s="171"/>
      <c r="F130" s="171"/>
      <c r="G130" s="171"/>
      <c r="H130" s="171"/>
      <c r="I130" s="171"/>
      <c r="J130" s="172"/>
      <c r="M130" s="7"/>
    </row>
    <row r="131" spans="1:13" x14ac:dyDescent="0.25">
      <c r="A131" s="4" t="s">
        <v>16</v>
      </c>
      <c r="B131" s="5" t="s">
        <v>15</v>
      </c>
      <c r="C131" s="5" t="s">
        <v>14</v>
      </c>
      <c r="D131" s="5" t="s">
        <v>13</v>
      </c>
      <c r="E131" s="5" t="s">
        <v>12</v>
      </c>
      <c r="F131" s="5" t="s">
        <v>93</v>
      </c>
      <c r="G131" s="5" t="s">
        <v>94</v>
      </c>
      <c r="H131" s="5" t="s">
        <v>38</v>
      </c>
      <c r="I131" s="5" t="s">
        <v>9</v>
      </c>
      <c r="J131" s="5" t="s">
        <v>0</v>
      </c>
      <c r="M131" s="7"/>
    </row>
    <row r="132" spans="1:13" x14ac:dyDescent="0.25">
      <c r="A132" s="1" t="s">
        <v>49</v>
      </c>
      <c r="B132" s="39">
        <f>B70-B111</f>
        <v>0</v>
      </c>
      <c r="C132" s="39">
        <f t="shared" ref="C132:I132" si="66">C70-C111</f>
        <v>0</v>
      </c>
      <c r="D132" s="39">
        <f t="shared" si="66"/>
        <v>0</v>
      </c>
      <c r="E132" s="39">
        <f t="shared" si="66"/>
        <v>0</v>
      </c>
      <c r="F132" s="39">
        <f t="shared" si="66"/>
        <v>0</v>
      </c>
      <c r="G132" s="39">
        <f t="shared" si="66"/>
        <v>0</v>
      </c>
      <c r="H132" s="39">
        <f t="shared" si="66"/>
        <v>0</v>
      </c>
      <c r="I132" s="39">
        <f t="shared" si="66"/>
        <v>0</v>
      </c>
      <c r="J132" s="39">
        <f>SUM(B132:H132)</f>
        <v>0</v>
      </c>
      <c r="M132" s="7"/>
    </row>
    <row r="133" spans="1:13" x14ac:dyDescent="0.25">
      <c r="A133" s="1" t="s">
        <v>8</v>
      </c>
      <c r="B133" s="39">
        <f>B71-B112</f>
        <v>0</v>
      </c>
      <c r="C133" s="39">
        <f t="shared" ref="C133:I133" si="67">C71-C112</f>
        <v>0</v>
      </c>
      <c r="D133" s="39">
        <f t="shared" si="67"/>
        <v>0</v>
      </c>
      <c r="E133" s="39">
        <f t="shared" si="67"/>
        <v>0</v>
      </c>
      <c r="F133" s="39">
        <f t="shared" si="67"/>
        <v>0</v>
      </c>
      <c r="G133" s="39">
        <f t="shared" si="67"/>
        <v>0</v>
      </c>
      <c r="H133" s="39">
        <f t="shared" si="67"/>
        <v>0</v>
      </c>
      <c r="I133" s="39">
        <f t="shared" si="67"/>
        <v>0</v>
      </c>
      <c r="J133" s="39">
        <f t="shared" ref="J133:J148" si="68">SUM(B133:H133)</f>
        <v>0</v>
      </c>
      <c r="M133" s="7"/>
    </row>
    <row r="134" spans="1:13" x14ac:dyDescent="0.25">
      <c r="A134" s="1" t="s">
        <v>7</v>
      </c>
      <c r="B134" s="39">
        <f>B72-B113</f>
        <v>0</v>
      </c>
      <c r="C134" s="39">
        <f t="shared" ref="C134:I134" si="69">C72-C113</f>
        <v>0</v>
      </c>
      <c r="D134" s="39">
        <f t="shared" si="69"/>
        <v>0</v>
      </c>
      <c r="E134" s="39">
        <f t="shared" si="69"/>
        <v>0</v>
      </c>
      <c r="F134" s="39">
        <f t="shared" si="69"/>
        <v>0</v>
      </c>
      <c r="G134" s="39">
        <f t="shared" si="69"/>
        <v>0</v>
      </c>
      <c r="H134" s="39">
        <f t="shared" si="69"/>
        <v>0</v>
      </c>
      <c r="I134" s="39">
        <f t="shared" si="69"/>
        <v>0</v>
      </c>
      <c r="J134" s="39">
        <f t="shared" si="68"/>
        <v>0</v>
      </c>
      <c r="M134" s="7"/>
    </row>
    <row r="135" spans="1:13" x14ac:dyDescent="0.25">
      <c r="A135" s="1" t="s">
        <v>42</v>
      </c>
      <c r="B135" s="39">
        <f t="shared" ref="B135:B148" si="70">B73-B114</f>
        <v>0</v>
      </c>
      <c r="C135" s="39">
        <f t="shared" ref="C135:I135" si="71">C73-C114</f>
        <v>0</v>
      </c>
      <c r="D135" s="39">
        <f t="shared" si="71"/>
        <v>0</v>
      </c>
      <c r="E135" s="39">
        <f t="shared" si="71"/>
        <v>0</v>
      </c>
      <c r="F135" s="39">
        <f t="shared" si="71"/>
        <v>0</v>
      </c>
      <c r="G135" s="39">
        <f t="shared" si="71"/>
        <v>0</v>
      </c>
      <c r="H135" s="39">
        <f t="shared" si="71"/>
        <v>0</v>
      </c>
      <c r="I135" s="39">
        <f t="shared" si="71"/>
        <v>0</v>
      </c>
      <c r="J135" s="39">
        <f t="shared" si="68"/>
        <v>0</v>
      </c>
      <c r="M135" s="7"/>
    </row>
    <row r="136" spans="1:13" x14ac:dyDescent="0.25">
      <c r="A136" s="1" t="s">
        <v>6</v>
      </c>
      <c r="B136" s="39">
        <f t="shared" si="70"/>
        <v>0</v>
      </c>
      <c r="C136" s="39">
        <f t="shared" ref="C136:I136" si="72">C74-C115</f>
        <v>0</v>
      </c>
      <c r="D136" s="39">
        <f t="shared" si="72"/>
        <v>0</v>
      </c>
      <c r="E136" s="39">
        <f t="shared" si="72"/>
        <v>0</v>
      </c>
      <c r="F136" s="39">
        <f t="shared" si="72"/>
        <v>0</v>
      </c>
      <c r="G136" s="39">
        <f t="shared" si="72"/>
        <v>0</v>
      </c>
      <c r="H136" s="39">
        <f t="shared" si="72"/>
        <v>0</v>
      </c>
      <c r="I136" s="39">
        <f t="shared" si="72"/>
        <v>0</v>
      </c>
      <c r="J136" s="39">
        <f t="shared" si="68"/>
        <v>0</v>
      </c>
      <c r="M136" s="7"/>
    </row>
    <row r="137" spans="1:13" x14ac:dyDescent="0.25">
      <c r="A137" s="1" t="s">
        <v>50</v>
      </c>
      <c r="B137" s="39">
        <f t="shared" si="70"/>
        <v>0</v>
      </c>
      <c r="C137" s="39">
        <f t="shared" ref="C137:I137" si="73">C75-C116</f>
        <v>0</v>
      </c>
      <c r="D137" s="39">
        <f t="shared" si="73"/>
        <v>0</v>
      </c>
      <c r="E137" s="39">
        <f t="shared" si="73"/>
        <v>0</v>
      </c>
      <c r="F137" s="39">
        <f t="shared" si="73"/>
        <v>0</v>
      </c>
      <c r="G137" s="39">
        <f t="shared" si="73"/>
        <v>0</v>
      </c>
      <c r="H137" s="39">
        <f t="shared" si="73"/>
        <v>0</v>
      </c>
      <c r="I137" s="39">
        <f t="shared" si="73"/>
        <v>0</v>
      </c>
      <c r="J137" s="39">
        <f t="shared" si="68"/>
        <v>0</v>
      </c>
      <c r="M137" s="7"/>
    </row>
    <row r="138" spans="1:13" x14ac:dyDescent="0.25">
      <c r="A138" s="1" t="s">
        <v>89</v>
      </c>
      <c r="B138" s="39">
        <f t="shared" si="70"/>
        <v>0</v>
      </c>
      <c r="C138" s="39">
        <f t="shared" ref="C138:I138" si="74">C76-C117</f>
        <v>0</v>
      </c>
      <c r="D138" s="39">
        <f t="shared" si="74"/>
        <v>0</v>
      </c>
      <c r="E138" s="39">
        <f t="shared" si="74"/>
        <v>0</v>
      </c>
      <c r="F138" s="39">
        <f t="shared" si="74"/>
        <v>0</v>
      </c>
      <c r="G138" s="39">
        <f t="shared" si="74"/>
        <v>0</v>
      </c>
      <c r="H138" s="39">
        <f t="shared" si="74"/>
        <v>0</v>
      </c>
      <c r="I138" s="39">
        <f t="shared" si="74"/>
        <v>0</v>
      </c>
      <c r="J138" s="39">
        <f t="shared" si="68"/>
        <v>0</v>
      </c>
      <c r="M138" s="7"/>
    </row>
    <row r="139" spans="1:13" x14ac:dyDescent="0.25">
      <c r="A139" s="1" t="s">
        <v>5</v>
      </c>
      <c r="B139" s="39">
        <f t="shared" si="70"/>
        <v>0</v>
      </c>
      <c r="C139" s="39">
        <f t="shared" ref="C139:I139" si="75">C77-C118</f>
        <v>0</v>
      </c>
      <c r="D139" s="39">
        <f t="shared" si="75"/>
        <v>0</v>
      </c>
      <c r="E139" s="39">
        <f t="shared" si="75"/>
        <v>0</v>
      </c>
      <c r="F139" s="39">
        <f t="shared" si="75"/>
        <v>0</v>
      </c>
      <c r="G139" s="39">
        <f t="shared" si="75"/>
        <v>0</v>
      </c>
      <c r="H139" s="39">
        <f t="shared" si="75"/>
        <v>0</v>
      </c>
      <c r="I139" s="39">
        <f t="shared" si="75"/>
        <v>0</v>
      </c>
      <c r="J139" s="39">
        <f t="shared" si="68"/>
        <v>0</v>
      </c>
      <c r="M139" s="7"/>
    </row>
    <row r="140" spans="1:13" x14ac:dyDescent="0.25">
      <c r="A140" s="1" t="s">
        <v>84</v>
      </c>
      <c r="B140" s="39">
        <f t="shared" si="70"/>
        <v>0</v>
      </c>
      <c r="C140" s="39">
        <f t="shared" ref="C140:I140" si="76">C78-C119</f>
        <v>0</v>
      </c>
      <c r="D140" s="39">
        <f t="shared" si="76"/>
        <v>0</v>
      </c>
      <c r="E140" s="39">
        <f t="shared" si="76"/>
        <v>0</v>
      </c>
      <c r="F140" s="39">
        <f t="shared" si="76"/>
        <v>0</v>
      </c>
      <c r="G140" s="39">
        <f t="shared" si="76"/>
        <v>0</v>
      </c>
      <c r="H140" s="39">
        <f t="shared" si="76"/>
        <v>0</v>
      </c>
      <c r="I140" s="39">
        <f t="shared" si="76"/>
        <v>0</v>
      </c>
      <c r="J140" s="39">
        <f t="shared" si="68"/>
        <v>0</v>
      </c>
      <c r="M140" s="7"/>
    </row>
    <row r="141" spans="1:13" x14ac:dyDescent="0.25">
      <c r="A141" s="1" t="s">
        <v>4</v>
      </c>
      <c r="B141" s="39">
        <f t="shared" si="70"/>
        <v>0</v>
      </c>
      <c r="C141" s="39">
        <f t="shared" ref="C141:I141" si="77">C79-C120</f>
        <v>0</v>
      </c>
      <c r="D141" s="39">
        <f t="shared" si="77"/>
        <v>0</v>
      </c>
      <c r="E141" s="39">
        <f t="shared" si="77"/>
        <v>0</v>
      </c>
      <c r="F141" s="39">
        <f t="shared" si="77"/>
        <v>0</v>
      </c>
      <c r="G141" s="39">
        <f t="shared" si="77"/>
        <v>0</v>
      </c>
      <c r="H141" s="39">
        <f t="shared" si="77"/>
        <v>0</v>
      </c>
      <c r="I141" s="39">
        <f t="shared" si="77"/>
        <v>0</v>
      </c>
      <c r="J141" s="39">
        <f t="shared" si="68"/>
        <v>0</v>
      </c>
      <c r="M141" s="7"/>
    </row>
    <row r="142" spans="1:13" x14ac:dyDescent="0.25">
      <c r="A142" s="1" t="s">
        <v>51</v>
      </c>
      <c r="B142" s="39">
        <f t="shared" si="70"/>
        <v>0</v>
      </c>
      <c r="C142" s="39">
        <f t="shared" ref="C142:I142" si="78">C80-C121</f>
        <v>0</v>
      </c>
      <c r="D142" s="39">
        <f t="shared" si="78"/>
        <v>0</v>
      </c>
      <c r="E142" s="39">
        <f t="shared" si="78"/>
        <v>0</v>
      </c>
      <c r="F142" s="39">
        <f t="shared" si="78"/>
        <v>0</v>
      </c>
      <c r="G142" s="39">
        <f t="shared" si="78"/>
        <v>0</v>
      </c>
      <c r="H142" s="39">
        <f t="shared" si="78"/>
        <v>0</v>
      </c>
      <c r="I142" s="39">
        <f t="shared" si="78"/>
        <v>0</v>
      </c>
      <c r="J142" s="39">
        <f t="shared" si="68"/>
        <v>0</v>
      </c>
      <c r="M142" s="7"/>
    </row>
    <row r="143" spans="1:13" x14ac:dyDescent="0.25">
      <c r="A143" s="1" t="s">
        <v>85</v>
      </c>
      <c r="B143" s="39">
        <f t="shared" si="70"/>
        <v>0</v>
      </c>
      <c r="C143" s="39">
        <f t="shared" ref="C143:I143" si="79">C81-C122</f>
        <v>0</v>
      </c>
      <c r="D143" s="39">
        <f t="shared" si="79"/>
        <v>0</v>
      </c>
      <c r="E143" s="39">
        <f t="shared" si="79"/>
        <v>0</v>
      </c>
      <c r="F143" s="39">
        <f t="shared" si="79"/>
        <v>0</v>
      </c>
      <c r="G143" s="39">
        <f t="shared" si="79"/>
        <v>0</v>
      </c>
      <c r="H143" s="39">
        <f t="shared" si="79"/>
        <v>0</v>
      </c>
      <c r="I143" s="39">
        <f t="shared" si="79"/>
        <v>0</v>
      </c>
      <c r="J143" s="39">
        <f t="shared" si="68"/>
        <v>0</v>
      </c>
      <c r="M143" s="7"/>
    </row>
    <row r="144" spans="1:13" x14ac:dyDescent="0.25">
      <c r="A144" s="1" t="s">
        <v>2</v>
      </c>
      <c r="B144" s="39">
        <f t="shared" si="70"/>
        <v>0</v>
      </c>
      <c r="C144" s="39">
        <f t="shared" ref="C144:I144" si="80">C82-C123</f>
        <v>0</v>
      </c>
      <c r="D144" s="39">
        <f t="shared" si="80"/>
        <v>0</v>
      </c>
      <c r="E144" s="39">
        <f t="shared" si="80"/>
        <v>0</v>
      </c>
      <c r="F144" s="39">
        <f t="shared" si="80"/>
        <v>0</v>
      </c>
      <c r="G144" s="39">
        <f t="shared" si="80"/>
        <v>0</v>
      </c>
      <c r="H144" s="39">
        <f t="shared" si="80"/>
        <v>0</v>
      </c>
      <c r="I144" s="39">
        <f t="shared" si="80"/>
        <v>0</v>
      </c>
      <c r="J144" s="39">
        <f t="shared" si="68"/>
        <v>0</v>
      </c>
      <c r="M144" s="7"/>
    </row>
    <row r="145" spans="1:13" x14ac:dyDescent="0.25">
      <c r="A145" s="1" t="s">
        <v>86</v>
      </c>
      <c r="B145" s="39">
        <f t="shared" si="70"/>
        <v>0</v>
      </c>
      <c r="C145" s="39">
        <f t="shared" ref="C145:I145" si="81">C83-C124</f>
        <v>0</v>
      </c>
      <c r="D145" s="39">
        <f t="shared" si="81"/>
        <v>0</v>
      </c>
      <c r="E145" s="39">
        <f t="shared" si="81"/>
        <v>0</v>
      </c>
      <c r="F145" s="39">
        <f t="shared" si="81"/>
        <v>0</v>
      </c>
      <c r="G145" s="39">
        <f t="shared" si="81"/>
        <v>0</v>
      </c>
      <c r="H145" s="39">
        <f t="shared" si="81"/>
        <v>0</v>
      </c>
      <c r="I145" s="39">
        <f t="shared" si="81"/>
        <v>0</v>
      </c>
      <c r="J145" s="39">
        <f t="shared" si="68"/>
        <v>0</v>
      </c>
      <c r="M145" s="7"/>
    </row>
    <row r="146" spans="1:13" x14ac:dyDescent="0.25">
      <c r="A146" s="1" t="s">
        <v>29</v>
      </c>
      <c r="B146" s="39">
        <f t="shared" si="70"/>
        <v>0</v>
      </c>
      <c r="C146" s="39">
        <f t="shared" ref="C146:I146" si="82">C84-C125</f>
        <v>0</v>
      </c>
      <c r="D146" s="39">
        <f t="shared" si="82"/>
        <v>0</v>
      </c>
      <c r="E146" s="39">
        <f t="shared" si="82"/>
        <v>0</v>
      </c>
      <c r="F146" s="39">
        <f t="shared" si="82"/>
        <v>0</v>
      </c>
      <c r="G146" s="39">
        <f t="shared" si="82"/>
        <v>0</v>
      </c>
      <c r="H146" s="39">
        <f t="shared" si="82"/>
        <v>0</v>
      </c>
      <c r="I146" s="39">
        <f t="shared" si="82"/>
        <v>0</v>
      </c>
      <c r="J146" s="39">
        <f t="shared" si="68"/>
        <v>0</v>
      </c>
      <c r="M146" s="7"/>
    </row>
    <row r="147" spans="1:13" x14ac:dyDescent="0.25">
      <c r="A147" s="1" t="s">
        <v>52</v>
      </c>
      <c r="B147" s="39">
        <f t="shared" si="70"/>
        <v>0</v>
      </c>
      <c r="C147" s="39">
        <f t="shared" ref="C147:I147" si="83">C85-C126</f>
        <v>0</v>
      </c>
      <c r="D147" s="39">
        <f t="shared" si="83"/>
        <v>0</v>
      </c>
      <c r="E147" s="39">
        <f t="shared" si="83"/>
        <v>0</v>
      </c>
      <c r="F147" s="39">
        <f t="shared" si="83"/>
        <v>0</v>
      </c>
      <c r="G147" s="39">
        <f t="shared" si="83"/>
        <v>0</v>
      </c>
      <c r="H147" s="39">
        <f t="shared" si="83"/>
        <v>0</v>
      </c>
      <c r="I147" s="39">
        <f t="shared" si="83"/>
        <v>0</v>
      </c>
      <c r="J147" s="39">
        <f t="shared" si="68"/>
        <v>0</v>
      </c>
      <c r="M147" s="7"/>
    </row>
    <row r="148" spans="1:13" x14ac:dyDescent="0.25">
      <c r="A148" s="1" t="s">
        <v>1</v>
      </c>
      <c r="B148" s="40">
        <f t="shared" si="70"/>
        <v>0</v>
      </c>
      <c r="C148" s="40">
        <f t="shared" ref="C148:I148" si="84">C86-C127</f>
        <v>0</v>
      </c>
      <c r="D148" s="40">
        <f t="shared" si="84"/>
        <v>0</v>
      </c>
      <c r="E148" s="40">
        <f t="shared" si="84"/>
        <v>0</v>
      </c>
      <c r="F148" s="40">
        <f t="shared" si="84"/>
        <v>0</v>
      </c>
      <c r="G148" s="40">
        <f t="shared" si="84"/>
        <v>0</v>
      </c>
      <c r="H148" s="40">
        <f t="shared" si="84"/>
        <v>0</v>
      </c>
      <c r="I148" s="40">
        <f t="shared" si="84"/>
        <v>0</v>
      </c>
      <c r="J148" s="40">
        <f t="shared" si="68"/>
        <v>0</v>
      </c>
      <c r="M148" s="7"/>
    </row>
    <row r="149" spans="1:13" x14ac:dyDescent="0.25">
      <c r="A149" s="4"/>
      <c r="B149" s="39">
        <f>SUM(B132:B148)</f>
        <v>0</v>
      </c>
      <c r="C149" s="39">
        <f t="shared" ref="C149:J149" si="85">SUM(C132:C148)</f>
        <v>0</v>
      </c>
      <c r="D149" s="39">
        <f t="shared" si="85"/>
        <v>0</v>
      </c>
      <c r="E149" s="39">
        <f t="shared" si="85"/>
        <v>0</v>
      </c>
      <c r="F149" s="39">
        <f t="shared" si="85"/>
        <v>0</v>
      </c>
      <c r="G149" s="39">
        <f t="shared" si="85"/>
        <v>0</v>
      </c>
      <c r="H149" s="39">
        <f t="shared" si="85"/>
        <v>0</v>
      </c>
      <c r="I149" s="39">
        <f t="shared" si="85"/>
        <v>0</v>
      </c>
      <c r="J149" s="39">
        <f t="shared" si="85"/>
        <v>0</v>
      </c>
      <c r="M149" s="7"/>
    </row>
    <row r="150" spans="1:13" x14ac:dyDescent="0.25">
      <c r="A150" s="4"/>
      <c r="B150" s="39"/>
      <c r="C150" s="39"/>
      <c r="D150" s="39"/>
      <c r="E150" s="39"/>
      <c r="F150" s="39"/>
      <c r="G150" s="39"/>
      <c r="H150" s="39"/>
      <c r="I150" s="39"/>
      <c r="J150" s="39"/>
      <c r="M150" s="7"/>
    </row>
    <row r="151" spans="1:13" x14ac:dyDescent="0.25">
      <c r="A151" s="4"/>
      <c r="B151" s="39"/>
      <c r="C151" s="39"/>
      <c r="D151" s="39"/>
      <c r="E151" s="39"/>
      <c r="F151" s="39"/>
      <c r="G151" s="39"/>
      <c r="H151" s="39"/>
      <c r="I151" s="39"/>
      <c r="J151" s="39"/>
      <c r="M151" s="7"/>
    </row>
    <row r="152" spans="1:13" x14ac:dyDescent="0.25">
      <c r="A152" s="4"/>
      <c r="B152" s="39"/>
      <c r="C152" s="39"/>
      <c r="D152" s="39"/>
      <c r="E152" s="39"/>
      <c r="F152" s="39"/>
      <c r="G152" s="39"/>
      <c r="H152" s="39"/>
      <c r="I152" s="39"/>
      <c r="J152" s="39"/>
      <c r="M152" s="7"/>
    </row>
    <row r="153" spans="1:13" x14ac:dyDescent="0.25">
      <c r="A153" s="4"/>
      <c r="B153" s="39"/>
      <c r="C153" s="39"/>
      <c r="D153" s="39"/>
      <c r="E153" s="39"/>
      <c r="F153" s="39"/>
      <c r="G153" s="39"/>
      <c r="H153" s="39"/>
      <c r="I153" s="39"/>
      <c r="J153" s="39"/>
      <c r="M153" s="7"/>
    </row>
    <row r="154" spans="1:13" x14ac:dyDescent="0.25">
      <c r="A154" s="4"/>
      <c r="B154" s="39"/>
      <c r="C154" s="39"/>
      <c r="D154" s="39"/>
      <c r="E154" s="39"/>
      <c r="F154" s="39"/>
      <c r="G154" s="39"/>
      <c r="H154" s="39"/>
      <c r="I154" s="39"/>
      <c r="J154" s="39"/>
      <c r="M154" s="7"/>
    </row>
    <row r="155" spans="1:13" x14ac:dyDescent="0.25">
      <c r="A155" s="4"/>
      <c r="B155" s="39"/>
      <c r="C155" s="39"/>
      <c r="D155" s="39"/>
      <c r="E155" s="39"/>
      <c r="F155" s="39"/>
      <c r="G155" s="39"/>
      <c r="H155" s="39"/>
      <c r="I155" s="39"/>
      <c r="J155" s="39"/>
      <c r="M155" s="7"/>
    </row>
    <row r="156" spans="1:13" x14ac:dyDescent="0.25">
      <c r="A156" s="4"/>
      <c r="B156" s="39"/>
      <c r="C156" s="39"/>
      <c r="D156" s="39"/>
      <c r="E156" s="39"/>
      <c r="F156" s="39"/>
      <c r="G156" s="39"/>
      <c r="H156" s="39"/>
      <c r="I156" s="39"/>
      <c r="J156" s="39"/>
      <c r="M156" s="7"/>
    </row>
    <row r="157" spans="1:13" x14ac:dyDescent="0.25">
      <c r="A157" s="1"/>
      <c r="B157" s="9"/>
      <c r="C157" s="9"/>
      <c r="D157" s="9"/>
      <c r="E157" s="9"/>
      <c r="F157" s="9"/>
      <c r="G157" s="9"/>
      <c r="H157" s="9"/>
      <c r="I157" s="9"/>
      <c r="J157" s="9"/>
      <c r="M157" s="7"/>
    </row>
    <row r="158" spans="1:13" x14ac:dyDescent="0.25">
      <c r="A158" s="1"/>
      <c r="B158" s="9"/>
      <c r="C158" s="9"/>
      <c r="D158" s="9"/>
      <c r="E158" s="9"/>
      <c r="F158" s="9"/>
      <c r="G158" s="9"/>
      <c r="H158" s="9"/>
      <c r="I158" s="9"/>
      <c r="J158" s="9"/>
      <c r="M158" s="7"/>
    </row>
  </sheetData>
  <mergeCells count="16">
    <mergeCell ref="A1:M1"/>
    <mergeCell ref="A2:M2"/>
    <mergeCell ref="A3:M3"/>
    <mergeCell ref="A4:M4"/>
    <mergeCell ref="A6:J6"/>
    <mergeCell ref="L6:M6"/>
    <mergeCell ref="A109:J109"/>
    <mergeCell ref="M124:M125"/>
    <mergeCell ref="M126:M127"/>
    <mergeCell ref="A130:J130"/>
    <mergeCell ref="A27:J27"/>
    <mergeCell ref="A47:J47"/>
    <mergeCell ref="M62:M63"/>
    <mergeCell ref="M64:M65"/>
    <mergeCell ref="A68:J68"/>
    <mergeCell ref="A89:J89"/>
  </mergeCells>
  <pageMargins left="0.7" right="0.7" top="0.75" bottom="0.75" header="0.3" footer="0.3"/>
  <pageSetup scale="31"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pageSetUpPr fitToPage="1"/>
  </sheetPr>
  <dimension ref="A1:Q158"/>
  <sheetViews>
    <sheetView zoomScale="85" zoomScaleNormal="85" workbookViewId="0">
      <selection activeCell="B7" sqref="B7:I7"/>
    </sheetView>
  </sheetViews>
  <sheetFormatPr defaultColWidth="9.140625" defaultRowHeight="15" x14ac:dyDescent="0.25"/>
  <cols>
    <col min="1" max="1" width="38.85546875" bestFit="1" customWidth="1"/>
    <col min="2" max="10" width="12.7109375" customWidth="1"/>
    <col min="11" max="11" width="2.5703125" customWidth="1"/>
    <col min="12" max="12" width="12.7109375" customWidth="1"/>
    <col min="13" max="13" width="30.7109375" customWidth="1"/>
    <col min="14" max="14" width="18.5703125" customWidth="1"/>
  </cols>
  <sheetData>
    <row r="1" spans="1:15" ht="18.75" x14ac:dyDescent="0.3">
      <c r="A1" s="173" t="s">
        <v>17</v>
      </c>
      <c r="B1" s="173"/>
      <c r="C1" s="173"/>
      <c r="D1" s="173"/>
      <c r="E1" s="173"/>
      <c r="F1" s="173"/>
      <c r="G1" s="173"/>
      <c r="H1" s="173"/>
      <c r="I1" s="173"/>
      <c r="J1" s="173"/>
      <c r="K1" s="173"/>
      <c r="L1" s="173"/>
      <c r="M1" s="173"/>
      <c r="O1" s="31"/>
    </row>
    <row r="2" spans="1:15" ht="15.75" x14ac:dyDescent="0.25">
      <c r="A2" s="174" t="s">
        <v>269</v>
      </c>
      <c r="B2" s="174"/>
      <c r="C2" s="174"/>
      <c r="D2" s="174"/>
      <c r="E2" s="174"/>
      <c r="F2" s="174"/>
      <c r="G2" s="174"/>
      <c r="H2" s="174"/>
      <c r="I2" s="174"/>
      <c r="J2" s="174"/>
      <c r="K2" s="174"/>
      <c r="L2" s="174"/>
      <c r="M2" s="174"/>
      <c r="O2" s="31"/>
    </row>
    <row r="3" spans="1:15" x14ac:dyDescent="0.25">
      <c r="A3" s="175" t="s">
        <v>31</v>
      </c>
      <c r="B3" s="175"/>
      <c r="C3" s="175"/>
      <c r="D3" s="175"/>
      <c r="E3" s="175"/>
      <c r="F3" s="175"/>
      <c r="G3" s="175"/>
      <c r="H3" s="175"/>
      <c r="I3" s="175"/>
      <c r="J3" s="175"/>
      <c r="K3" s="175"/>
      <c r="L3" s="175"/>
      <c r="M3" s="175"/>
    </row>
    <row r="4" spans="1:15" x14ac:dyDescent="0.25">
      <c r="A4" s="187">
        <f>'Company Summary'!A4:J4</f>
        <v>45199</v>
      </c>
      <c r="B4" s="187"/>
      <c r="C4" s="187"/>
      <c r="D4" s="187"/>
      <c r="E4" s="187"/>
      <c r="F4" s="187"/>
      <c r="G4" s="187"/>
      <c r="H4" s="187"/>
      <c r="I4" s="187"/>
      <c r="J4" s="187"/>
      <c r="K4" s="187"/>
      <c r="L4" s="187"/>
      <c r="M4" s="187"/>
    </row>
    <row r="5" spans="1:15" ht="15.75" thickBot="1" x14ac:dyDescent="0.3">
      <c r="A5" s="81"/>
      <c r="B5" s="81"/>
      <c r="C5" s="81"/>
      <c r="D5" s="81"/>
      <c r="E5" s="81"/>
      <c r="F5" s="81"/>
      <c r="G5" s="81"/>
      <c r="H5" s="81"/>
      <c r="I5" s="81"/>
      <c r="J5" s="81"/>
      <c r="K5" s="81"/>
      <c r="L5" s="81"/>
      <c r="M5" s="81"/>
    </row>
    <row r="6" spans="1:15" ht="15.75" thickBot="1" x14ac:dyDescent="0.3">
      <c r="A6" s="170" t="s">
        <v>54</v>
      </c>
      <c r="B6" s="171"/>
      <c r="C6" s="171"/>
      <c r="D6" s="171"/>
      <c r="E6" s="171"/>
      <c r="F6" s="171"/>
      <c r="G6" s="171"/>
      <c r="H6" s="171"/>
      <c r="I6" s="171"/>
      <c r="J6" s="172"/>
      <c r="L6" s="186"/>
      <c r="M6" s="186"/>
    </row>
    <row r="7" spans="1:15" x14ac:dyDescent="0.25">
      <c r="A7" s="4" t="s">
        <v>16</v>
      </c>
      <c r="B7" s="5" t="s">
        <v>15</v>
      </c>
      <c r="C7" s="5" t="s">
        <v>14</v>
      </c>
      <c r="D7" s="5" t="s">
        <v>13</v>
      </c>
      <c r="E7" s="5" t="s">
        <v>12</v>
      </c>
      <c r="F7" s="5" t="s">
        <v>93</v>
      </c>
      <c r="G7" s="5" t="s">
        <v>94</v>
      </c>
      <c r="H7" s="5" t="s">
        <v>38</v>
      </c>
      <c r="I7" s="5" t="s">
        <v>9</v>
      </c>
      <c r="J7" s="5" t="s">
        <v>0</v>
      </c>
      <c r="L7" s="4"/>
      <c r="M7" s="4"/>
    </row>
    <row r="8" spans="1:15" x14ac:dyDescent="0.25">
      <c r="A8" s="1" t="s">
        <v>49</v>
      </c>
      <c r="B8" s="33">
        <f>'Agile AR Aging &lt;-INPUT'!C335</f>
        <v>0</v>
      </c>
      <c r="C8" s="33">
        <f>'Agile AR Aging &lt;-INPUT'!D335</f>
        <v>0</v>
      </c>
      <c r="D8" s="33">
        <f>'Agile AR Aging &lt;-INPUT'!E335</f>
        <v>0</v>
      </c>
      <c r="E8" s="33">
        <f>'Agile AR Aging &lt;-INPUT'!F335</f>
        <v>0</v>
      </c>
      <c r="F8" s="33">
        <f>'Agile AR Aging &lt;-INPUT'!G335</f>
        <v>0</v>
      </c>
      <c r="G8" s="33">
        <f>'Agile AR Aging &lt;-INPUT'!H335</f>
        <v>0</v>
      </c>
      <c r="H8" s="33">
        <f>'Agile AR Aging &lt;-INPUT'!I335</f>
        <v>0</v>
      </c>
      <c r="I8" s="33">
        <f>'Agile AR Aging &lt;-INPUT'!J335</f>
        <v>0</v>
      </c>
      <c r="J8" s="2">
        <f t="shared" ref="J8:J24" si="0">SUM(B8:H8)</f>
        <v>0</v>
      </c>
      <c r="L8" s="67"/>
    </row>
    <row r="9" spans="1:15" x14ac:dyDescent="0.25">
      <c r="A9" s="1" t="s">
        <v>8</v>
      </c>
      <c r="B9" s="33">
        <f>'Agile AR Aging &lt;-INPUT'!C336</f>
        <v>0</v>
      </c>
      <c r="C9" s="33">
        <f>'Agile AR Aging &lt;-INPUT'!D336</f>
        <v>0</v>
      </c>
      <c r="D9" s="33">
        <f>'Agile AR Aging &lt;-INPUT'!E336</f>
        <v>0</v>
      </c>
      <c r="E9" s="33">
        <f>'Agile AR Aging &lt;-INPUT'!F336</f>
        <v>0</v>
      </c>
      <c r="F9" s="33">
        <f>'Agile AR Aging &lt;-INPUT'!G336</f>
        <v>0</v>
      </c>
      <c r="G9" s="33">
        <f>'Agile AR Aging &lt;-INPUT'!H336</f>
        <v>0</v>
      </c>
      <c r="H9" s="33">
        <f>'Agile AR Aging &lt;-INPUT'!I336</f>
        <v>0</v>
      </c>
      <c r="I9" s="33">
        <f>'Agile AR Aging &lt;-INPUT'!J336</f>
        <v>0</v>
      </c>
      <c r="J9" s="2">
        <f t="shared" si="0"/>
        <v>0</v>
      </c>
      <c r="L9" s="67"/>
      <c r="N9" s="68"/>
    </row>
    <row r="10" spans="1:15" x14ac:dyDescent="0.25">
      <c r="A10" s="1" t="s">
        <v>7</v>
      </c>
      <c r="B10" s="33">
        <f>'Agile AR Aging &lt;-INPUT'!C337</f>
        <v>0</v>
      </c>
      <c r="C10" s="33">
        <f>'Agile AR Aging &lt;-INPUT'!D337</f>
        <v>0</v>
      </c>
      <c r="D10" s="33">
        <f>'Agile AR Aging &lt;-INPUT'!E337</f>
        <v>0</v>
      </c>
      <c r="E10" s="33">
        <f>'Agile AR Aging &lt;-INPUT'!F337</f>
        <v>0</v>
      </c>
      <c r="F10" s="33">
        <f>'Agile AR Aging &lt;-INPUT'!G337</f>
        <v>0</v>
      </c>
      <c r="G10" s="33">
        <f>'Agile AR Aging &lt;-INPUT'!H337</f>
        <v>0</v>
      </c>
      <c r="H10" s="33">
        <f>'Agile AR Aging &lt;-INPUT'!I337</f>
        <v>0</v>
      </c>
      <c r="I10" s="33">
        <f>'Agile AR Aging &lt;-INPUT'!J337</f>
        <v>0</v>
      </c>
      <c r="J10" s="2">
        <f t="shared" si="0"/>
        <v>0</v>
      </c>
      <c r="L10" s="67"/>
      <c r="N10" s="68"/>
    </row>
    <row r="11" spans="1:15" x14ac:dyDescent="0.25">
      <c r="A11" s="1" t="s">
        <v>42</v>
      </c>
      <c r="B11" s="33">
        <f>'Agile AR Aging &lt;-INPUT'!C338</f>
        <v>0</v>
      </c>
      <c r="C11" s="33">
        <f>'Agile AR Aging &lt;-INPUT'!D338</f>
        <v>0</v>
      </c>
      <c r="D11" s="33">
        <f>'Agile AR Aging &lt;-INPUT'!E338</f>
        <v>0</v>
      </c>
      <c r="E11" s="33">
        <f>'Agile AR Aging &lt;-INPUT'!F338</f>
        <v>0</v>
      </c>
      <c r="F11" s="33">
        <f>'Agile AR Aging &lt;-INPUT'!G338</f>
        <v>0</v>
      </c>
      <c r="G11" s="33">
        <f>'Agile AR Aging &lt;-INPUT'!H338</f>
        <v>0</v>
      </c>
      <c r="H11" s="33">
        <f>'Agile AR Aging &lt;-INPUT'!I338</f>
        <v>0</v>
      </c>
      <c r="I11" s="33">
        <f>'Agile AR Aging &lt;-INPUT'!J338</f>
        <v>0</v>
      </c>
      <c r="J11" s="2">
        <f t="shared" si="0"/>
        <v>0</v>
      </c>
      <c r="L11" s="67"/>
      <c r="N11" s="68"/>
    </row>
    <row r="12" spans="1:15" x14ac:dyDescent="0.25">
      <c r="A12" s="1" t="s">
        <v>6</v>
      </c>
      <c r="B12" s="33">
        <f>'Agile AR Aging &lt;-INPUT'!C339+'Agile AR Aging &lt;-INPUT'!C340+'Agile AR Aging &lt;-INPUT'!C347+'Agile AR Aging &lt;-INPUT'!C353</f>
        <v>0</v>
      </c>
      <c r="C12" s="33">
        <f>'Agile AR Aging &lt;-INPUT'!D339+'Agile AR Aging &lt;-INPUT'!D340+'Agile AR Aging &lt;-INPUT'!D347+'Agile AR Aging &lt;-INPUT'!D353</f>
        <v>0</v>
      </c>
      <c r="D12" s="33">
        <f>'Agile AR Aging &lt;-INPUT'!E339+'Agile AR Aging &lt;-INPUT'!E340+'Agile AR Aging &lt;-INPUT'!E347+'Agile AR Aging &lt;-INPUT'!E353</f>
        <v>0</v>
      </c>
      <c r="E12" s="33">
        <f>'Agile AR Aging &lt;-INPUT'!F339+'Agile AR Aging &lt;-INPUT'!F340+'Agile AR Aging &lt;-INPUT'!F347+'Agile AR Aging &lt;-INPUT'!F353</f>
        <v>0</v>
      </c>
      <c r="F12" s="33">
        <f>'Agile AR Aging &lt;-INPUT'!G339+'Agile AR Aging &lt;-INPUT'!G340+'Agile AR Aging &lt;-INPUT'!G347+'Agile AR Aging &lt;-INPUT'!G353</f>
        <v>0</v>
      </c>
      <c r="G12" s="33">
        <f>'Agile AR Aging &lt;-INPUT'!H339+'Agile AR Aging &lt;-INPUT'!H340+'Agile AR Aging &lt;-INPUT'!H347+'Agile AR Aging &lt;-INPUT'!H353</f>
        <v>0</v>
      </c>
      <c r="H12" s="33">
        <f>'Agile AR Aging &lt;-INPUT'!I339+'Agile AR Aging &lt;-INPUT'!I340+'Agile AR Aging &lt;-INPUT'!I347+'Agile AR Aging &lt;-INPUT'!I353</f>
        <v>0</v>
      </c>
      <c r="I12" s="33">
        <f>'Agile AR Aging &lt;-INPUT'!J339+'Agile AR Aging &lt;-INPUT'!J340+'Agile AR Aging &lt;-INPUT'!J347+'Agile AR Aging &lt;-INPUT'!J353</f>
        <v>0</v>
      </c>
      <c r="J12" s="2">
        <f t="shared" si="0"/>
        <v>0</v>
      </c>
      <c r="L12" s="73"/>
      <c r="N12" s="68"/>
    </row>
    <row r="13" spans="1:15" x14ac:dyDescent="0.25">
      <c r="A13" s="1" t="s">
        <v>50</v>
      </c>
      <c r="B13" s="33">
        <f>'Agile AR Aging &lt;-INPUT'!C341</f>
        <v>0</v>
      </c>
      <c r="C13" s="33">
        <f>'Agile AR Aging &lt;-INPUT'!D341</f>
        <v>0</v>
      </c>
      <c r="D13" s="33">
        <f>'Agile AR Aging &lt;-INPUT'!E341</f>
        <v>0</v>
      </c>
      <c r="E13" s="33">
        <f>'Agile AR Aging &lt;-INPUT'!F341</f>
        <v>0</v>
      </c>
      <c r="F13" s="33">
        <f>'Agile AR Aging &lt;-INPUT'!G341</f>
        <v>0</v>
      </c>
      <c r="G13" s="33">
        <f>'Agile AR Aging &lt;-INPUT'!H341</f>
        <v>0</v>
      </c>
      <c r="H13" s="33">
        <f>'Agile AR Aging &lt;-INPUT'!I341</f>
        <v>0</v>
      </c>
      <c r="I13" s="33">
        <f>'Agile AR Aging &lt;-INPUT'!J341</f>
        <v>0</v>
      </c>
      <c r="J13" s="2">
        <f t="shared" si="0"/>
        <v>0</v>
      </c>
      <c r="L13" s="73"/>
      <c r="N13" s="68"/>
    </row>
    <row r="14" spans="1:15" x14ac:dyDescent="0.25">
      <c r="A14" s="1" t="s">
        <v>89</v>
      </c>
      <c r="B14" s="33">
        <f>'Agile AR Aging &lt;-INPUT'!C342</f>
        <v>0</v>
      </c>
      <c r="C14" s="33">
        <f>'Agile AR Aging &lt;-INPUT'!D342</f>
        <v>0</v>
      </c>
      <c r="D14" s="33">
        <f>'Agile AR Aging &lt;-INPUT'!E342</f>
        <v>0</v>
      </c>
      <c r="E14" s="33">
        <f>'Agile AR Aging &lt;-INPUT'!F342</f>
        <v>0</v>
      </c>
      <c r="F14" s="33">
        <f>'Agile AR Aging &lt;-INPUT'!G342</f>
        <v>0</v>
      </c>
      <c r="G14" s="33">
        <f>'Agile AR Aging &lt;-INPUT'!H342</f>
        <v>0</v>
      </c>
      <c r="H14" s="33">
        <f>'Agile AR Aging &lt;-INPUT'!I342</f>
        <v>0</v>
      </c>
      <c r="I14" s="33">
        <f>'Agile AR Aging &lt;-INPUT'!J342</f>
        <v>0</v>
      </c>
      <c r="J14" s="2">
        <f t="shared" si="0"/>
        <v>0</v>
      </c>
      <c r="L14" s="73"/>
      <c r="N14" s="68"/>
    </row>
    <row r="15" spans="1:15" x14ac:dyDescent="0.25">
      <c r="A15" s="1" t="s">
        <v>5</v>
      </c>
      <c r="B15" s="33">
        <f>'Agile AR Aging &lt;-INPUT'!C343</f>
        <v>0</v>
      </c>
      <c r="C15" s="33">
        <f>'Agile AR Aging &lt;-INPUT'!D343</f>
        <v>0</v>
      </c>
      <c r="D15" s="33">
        <f>'Agile AR Aging &lt;-INPUT'!E343</f>
        <v>0</v>
      </c>
      <c r="E15" s="33">
        <f>'Agile AR Aging &lt;-INPUT'!F343</f>
        <v>0</v>
      </c>
      <c r="F15" s="33">
        <f>'Agile AR Aging &lt;-INPUT'!G343</f>
        <v>0</v>
      </c>
      <c r="G15" s="33">
        <f>'Agile AR Aging &lt;-INPUT'!H343</f>
        <v>0</v>
      </c>
      <c r="H15" s="33">
        <f>'Agile AR Aging &lt;-INPUT'!I343</f>
        <v>0</v>
      </c>
      <c r="I15" s="33">
        <f>'Agile AR Aging &lt;-INPUT'!J343</f>
        <v>0</v>
      </c>
      <c r="J15" s="2">
        <f t="shared" si="0"/>
        <v>0</v>
      </c>
      <c r="L15" s="73"/>
      <c r="N15" s="68"/>
    </row>
    <row r="16" spans="1:15" x14ac:dyDescent="0.25">
      <c r="A16" s="1" t="s">
        <v>84</v>
      </c>
      <c r="B16" s="33">
        <f>'Agile AR Aging &lt;-INPUT'!C344</f>
        <v>0</v>
      </c>
      <c r="C16" s="33">
        <f>'Agile AR Aging &lt;-INPUT'!D344</f>
        <v>0</v>
      </c>
      <c r="D16" s="33">
        <f>'Agile AR Aging &lt;-INPUT'!E344</f>
        <v>0</v>
      </c>
      <c r="E16" s="33">
        <f>'Agile AR Aging &lt;-INPUT'!F344</f>
        <v>0</v>
      </c>
      <c r="F16" s="33">
        <f>'Agile AR Aging &lt;-INPUT'!G344</f>
        <v>0</v>
      </c>
      <c r="G16" s="33">
        <f>'Agile AR Aging &lt;-INPUT'!H344</f>
        <v>0</v>
      </c>
      <c r="H16" s="33">
        <f>'Agile AR Aging &lt;-INPUT'!I344</f>
        <v>0</v>
      </c>
      <c r="I16" s="33">
        <f>'Agile AR Aging &lt;-INPUT'!J344</f>
        <v>0</v>
      </c>
      <c r="J16" s="2">
        <f t="shared" si="0"/>
        <v>0</v>
      </c>
      <c r="L16" s="73"/>
      <c r="N16" s="68"/>
    </row>
    <row r="17" spans="1:17" x14ac:dyDescent="0.25">
      <c r="A17" s="1" t="s">
        <v>4</v>
      </c>
      <c r="B17" s="33">
        <f>'Agile AR Aging &lt;-INPUT'!C345</f>
        <v>0</v>
      </c>
      <c r="C17" s="33">
        <f>'Agile AR Aging &lt;-INPUT'!D345</f>
        <v>0</v>
      </c>
      <c r="D17" s="33">
        <f>'Agile AR Aging &lt;-INPUT'!E345</f>
        <v>0</v>
      </c>
      <c r="E17" s="33">
        <f>'Agile AR Aging &lt;-INPUT'!F345</f>
        <v>0</v>
      </c>
      <c r="F17" s="33">
        <f>'Agile AR Aging &lt;-INPUT'!G345</f>
        <v>0</v>
      </c>
      <c r="G17" s="33">
        <f>'Agile AR Aging &lt;-INPUT'!H345</f>
        <v>0</v>
      </c>
      <c r="H17" s="33">
        <f>'Agile AR Aging &lt;-INPUT'!I345</f>
        <v>0</v>
      </c>
      <c r="I17" s="33">
        <f>'Agile AR Aging &lt;-INPUT'!J345</f>
        <v>0</v>
      </c>
      <c r="J17" s="2">
        <f t="shared" si="0"/>
        <v>0</v>
      </c>
      <c r="L17" s="73"/>
      <c r="N17" s="68"/>
    </row>
    <row r="18" spans="1:17" x14ac:dyDescent="0.25">
      <c r="A18" s="1" t="s">
        <v>51</v>
      </c>
      <c r="B18" s="33">
        <f>'Agile AR Aging &lt;-INPUT'!C346</f>
        <v>0</v>
      </c>
      <c r="C18" s="33">
        <f>'Agile AR Aging &lt;-INPUT'!D346</f>
        <v>0</v>
      </c>
      <c r="D18" s="33">
        <f>'Agile AR Aging &lt;-INPUT'!E346</f>
        <v>0</v>
      </c>
      <c r="E18" s="33">
        <f>'Agile AR Aging &lt;-INPUT'!F346</f>
        <v>0</v>
      </c>
      <c r="F18" s="33">
        <f>'Agile AR Aging &lt;-INPUT'!G346</f>
        <v>0</v>
      </c>
      <c r="G18" s="33">
        <f>'Agile AR Aging &lt;-INPUT'!H346</f>
        <v>0</v>
      </c>
      <c r="H18" s="33">
        <f>'Agile AR Aging &lt;-INPUT'!I346</f>
        <v>0</v>
      </c>
      <c r="I18" s="33">
        <f>'Agile AR Aging &lt;-INPUT'!J346</f>
        <v>0</v>
      </c>
      <c r="J18" s="2">
        <f t="shared" si="0"/>
        <v>0</v>
      </c>
      <c r="L18" s="73"/>
      <c r="N18" s="68"/>
    </row>
    <row r="19" spans="1:17" x14ac:dyDescent="0.25">
      <c r="A19" s="1" t="s">
        <v>85</v>
      </c>
      <c r="B19" s="33">
        <f>'Agile AR Aging &lt;-INPUT'!C348</f>
        <v>0</v>
      </c>
      <c r="C19" s="33">
        <f>'Agile AR Aging &lt;-INPUT'!D348</f>
        <v>0</v>
      </c>
      <c r="D19" s="33">
        <f>'Agile AR Aging &lt;-INPUT'!E348</f>
        <v>0</v>
      </c>
      <c r="E19" s="33">
        <f>'Agile AR Aging &lt;-INPUT'!F348</f>
        <v>0</v>
      </c>
      <c r="F19" s="33">
        <f>'Agile AR Aging &lt;-INPUT'!G348</f>
        <v>0</v>
      </c>
      <c r="G19" s="33">
        <f>'Agile AR Aging &lt;-INPUT'!H348</f>
        <v>0</v>
      </c>
      <c r="H19" s="33">
        <f>'Agile AR Aging &lt;-INPUT'!I348</f>
        <v>0</v>
      </c>
      <c r="I19" s="33">
        <f>'Agile AR Aging &lt;-INPUT'!J348</f>
        <v>0</v>
      </c>
      <c r="J19" s="2">
        <f t="shared" si="0"/>
        <v>0</v>
      </c>
      <c r="L19" s="73"/>
      <c r="N19" s="68"/>
    </row>
    <row r="20" spans="1:17" x14ac:dyDescent="0.25">
      <c r="A20" s="1" t="s">
        <v>2</v>
      </c>
      <c r="B20" s="33">
        <f>'Agile AR Aging &lt;-INPUT'!C349</f>
        <v>0</v>
      </c>
      <c r="C20" s="33">
        <f>'Agile AR Aging &lt;-INPUT'!D349</f>
        <v>0</v>
      </c>
      <c r="D20" s="33">
        <f>'Agile AR Aging &lt;-INPUT'!E349</f>
        <v>0</v>
      </c>
      <c r="E20" s="33">
        <f>'Agile AR Aging &lt;-INPUT'!F349</f>
        <v>0</v>
      </c>
      <c r="F20" s="33">
        <f>'Agile AR Aging &lt;-INPUT'!G349</f>
        <v>0</v>
      </c>
      <c r="G20" s="33">
        <f>'Agile AR Aging &lt;-INPUT'!H349</f>
        <v>0</v>
      </c>
      <c r="H20" s="33">
        <f>'Agile AR Aging &lt;-INPUT'!I349</f>
        <v>0</v>
      </c>
      <c r="I20" s="33">
        <f>'Agile AR Aging &lt;-INPUT'!J349</f>
        <v>0</v>
      </c>
      <c r="J20" s="2">
        <f t="shared" si="0"/>
        <v>0</v>
      </c>
      <c r="L20" s="73"/>
      <c r="N20" s="68"/>
    </row>
    <row r="21" spans="1:17" x14ac:dyDescent="0.25">
      <c r="A21" s="1" t="s">
        <v>86</v>
      </c>
      <c r="B21" s="33">
        <f>'Agile AR Aging &lt;-INPUT'!C350</f>
        <v>0</v>
      </c>
      <c r="C21" s="33">
        <f>'Agile AR Aging &lt;-INPUT'!D350</f>
        <v>0</v>
      </c>
      <c r="D21" s="33">
        <f>'Agile AR Aging &lt;-INPUT'!E350</f>
        <v>0</v>
      </c>
      <c r="E21" s="33">
        <f>'Agile AR Aging &lt;-INPUT'!F350</f>
        <v>0</v>
      </c>
      <c r="F21" s="33">
        <f>'Agile AR Aging &lt;-INPUT'!G350</f>
        <v>0</v>
      </c>
      <c r="G21" s="33">
        <f>'Agile AR Aging &lt;-INPUT'!H350</f>
        <v>0</v>
      </c>
      <c r="H21" s="33">
        <f>'Agile AR Aging &lt;-INPUT'!I350</f>
        <v>0</v>
      </c>
      <c r="I21" s="33">
        <f>'Agile AR Aging &lt;-INPUT'!J350</f>
        <v>0</v>
      </c>
      <c r="J21" s="2">
        <f t="shared" si="0"/>
        <v>0</v>
      </c>
      <c r="L21" s="73"/>
      <c r="N21" s="68"/>
    </row>
    <row r="22" spans="1:17" x14ac:dyDescent="0.25">
      <c r="A22" s="1" t="s">
        <v>29</v>
      </c>
      <c r="B22" s="33">
        <f>'Agile AR Aging &lt;-INPUT'!C351</f>
        <v>0</v>
      </c>
      <c r="C22" s="33">
        <f>'Agile AR Aging &lt;-INPUT'!D351</f>
        <v>0</v>
      </c>
      <c r="D22" s="33">
        <f>'Agile AR Aging &lt;-INPUT'!E351</f>
        <v>0</v>
      </c>
      <c r="E22" s="33">
        <f>'Agile AR Aging &lt;-INPUT'!F351</f>
        <v>0</v>
      </c>
      <c r="F22" s="33">
        <f>'Agile AR Aging &lt;-INPUT'!G351</f>
        <v>0</v>
      </c>
      <c r="G22" s="33">
        <f>'Agile AR Aging &lt;-INPUT'!H351</f>
        <v>0</v>
      </c>
      <c r="H22" s="33">
        <f>'Agile AR Aging &lt;-INPUT'!I351</f>
        <v>0</v>
      </c>
      <c r="I22" s="33">
        <f>'Agile AR Aging &lt;-INPUT'!J351</f>
        <v>0</v>
      </c>
      <c r="J22" s="2">
        <f t="shared" si="0"/>
        <v>0</v>
      </c>
      <c r="L22" s="73"/>
      <c r="N22" s="68"/>
    </row>
    <row r="23" spans="1:17" x14ac:dyDescent="0.25">
      <c r="A23" s="1" t="s">
        <v>52</v>
      </c>
      <c r="B23" s="33">
        <f>'Agile AR Aging &lt;-INPUT'!C352</f>
        <v>0</v>
      </c>
      <c r="C23" s="33">
        <f>'Agile AR Aging &lt;-INPUT'!D352</f>
        <v>0</v>
      </c>
      <c r="D23" s="33">
        <f>'Agile AR Aging &lt;-INPUT'!E352</f>
        <v>0</v>
      </c>
      <c r="E23" s="33">
        <f>'Agile AR Aging &lt;-INPUT'!F352</f>
        <v>0</v>
      </c>
      <c r="F23" s="33">
        <f>'Agile AR Aging &lt;-INPUT'!G352</f>
        <v>0</v>
      </c>
      <c r="G23" s="33">
        <f>'Agile AR Aging &lt;-INPUT'!H352</f>
        <v>0</v>
      </c>
      <c r="H23" s="33">
        <f>'Agile AR Aging &lt;-INPUT'!I352</f>
        <v>0</v>
      </c>
      <c r="I23" s="33">
        <f>'Agile AR Aging &lt;-INPUT'!J352</f>
        <v>0</v>
      </c>
      <c r="J23" s="2">
        <f t="shared" si="0"/>
        <v>0</v>
      </c>
      <c r="L23" s="73"/>
      <c r="N23" s="68"/>
    </row>
    <row r="24" spans="1:17" x14ac:dyDescent="0.25">
      <c r="A24" s="1" t="s">
        <v>1</v>
      </c>
      <c r="B24" s="32">
        <f>'Agile AR Aging &lt;-INPUT'!C354</f>
        <v>0</v>
      </c>
      <c r="C24" s="32">
        <f>'Agile AR Aging &lt;-INPUT'!D354</f>
        <v>0</v>
      </c>
      <c r="D24" s="32">
        <f>'Agile AR Aging &lt;-INPUT'!E354</f>
        <v>0</v>
      </c>
      <c r="E24" s="32">
        <f>'Agile AR Aging &lt;-INPUT'!F354</f>
        <v>0</v>
      </c>
      <c r="F24" s="32">
        <f>'Agile AR Aging &lt;-INPUT'!G354</f>
        <v>0</v>
      </c>
      <c r="G24" s="32">
        <f>'Agile AR Aging &lt;-INPUT'!H354</f>
        <v>0</v>
      </c>
      <c r="H24" s="32">
        <f>'Agile AR Aging &lt;-INPUT'!I354</f>
        <v>0</v>
      </c>
      <c r="I24" s="32">
        <f>'Agile AR Aging &lt;-INPUT'!J354</f>
        <v>0</v>
      </c>
      <c r="J24" s="9">
        <f t="shared" si="0"/>
        <v>0</v>
      </c>
      <c r="L24" s="73"/>
      <c r="N24" s="68"/>
    </row>
    <row r="25" spans="1:17" x14ac:dyDescent="0.25">
      <c r="A25" s="1" t="s">
        <v>0</v>
      </c>
      <c r="B25" s="10">
        <f t="shared" ref="B25:I25" si="1">SUM(B8:B24)</f>
        <v>0</v>
      </c>
      <c r="C25" s="10">
        <f t="shared" si="1"/>
        <v>0</v>
      </c>
      <c r="D25" s="10">
        <f t="shared" si="1"/>
        <v>0</v>
      </c>
      <c r="E25" s="10">
        <f t="shared" si="1"/>
        <v>0</v>
      </c>
      <c r="F25" s="10">
        <f t="shared" si="1"/>
        <v>0</v>
      </c>
      <c r="G25" s="10">
        <f t="shared" si="1"/>
        <v>0</v>
      </c>
      <c r="H25" s="10">
        <f t="shared" si="1"/>
        <v>0</v>
      </c>
      <c r="I25" s="10">
        <f t="shared" si="1"/>
        <v>0</v>
      </c>
      <c r="J25" s="10">
        <f>SUM(B25:H25)</f>
        <v>0</v>
      </c>
      <c r="L25" s="31"/>
    </row>
    <row r="26" spans="1:17" ht="15.75" thickBot="1" x14ac:dyDescent="0.3">
      <c r="A26" s="1"/>
      <c r="B26" s="9"/>
      <c r="C26" s="9"/>
      <c r="D26" s="9"/>
      <c r="E26" s="9"/>
      <c r="F26" s="9"/>
      <c r="G26" s="9"/>
      <c r="H26" s="9"/>
      <c r="I26" s="9"/>
      <c r="J26" s="9"/>
      <c r="L26" s="31"/>
      <c r="Q26" s="1"/>
    </row>
    <row r="27" spans="1:17" ht="15.75" thickBot="1" x14ac:dyDescent="0.3">
      <c r="A27" s="167" t="s">
        <v>55</v>
      </c>
      <c r="B27" s="168"/>
      <c r="C27" s="168"/>
      <c r="D27" s="168"/>
      <c r="E27" s="168"/>
      <c r="F27" s="168"/>
      <c r="G27" s="168"/>
      <c r="H27" s="168"/>
      <c r="I27" s="168"/>
      <c r="J27" s="169"/>
      <c r="Q27" s="1"/>
    </row>
    <row r="28" spans="1:17" x14ac:dyDescent="0.25">
      <c r="A28" s="4" t="s">
        <v>16</v>
      </c>
      <c r="B28" s="5" t="s">
        <v>15</v>
      </c>
      <c r="C28" s="5" t="s">
        <v>14</v>
      </c>
      <c r="D28" s="5" t="s">
        <v>13</v>
      </c>
      <c r="E28" s="5" t="s">
        <v>12</v>
      </c>
      <c r="F28" s="5" t="s">
        <v>93</v>
      </c>
      <c r="G28" s="5" t="s">
        <v>94</v>
      </c>
      <c r="H28" s="5" t="s">
        <v>38</v>
      </c>
      <c r="I28" s="5" t="s">
        <v>9</v>
      </c>
      <c r="J28" s="5" t="s">
        <v>0</v>
      </c>
      <c r="Q28" s="1"/>
    </row>
    <row r="29" spans="1:17" x14ac:dyDescent="0.25">
      <c r="A29" s="1" t="s">
        <v>49</v>
      </c>
      <c r="B29" s="36">
        <f>'Reimbursement Rates &lt;-INPUT'!N9</f>
        <v>0</v>
      </c>
      <c r="C29" s="36">
        <f t="shared" ref="C29:I45" si="2">B29</f>
        <v>0</v>
      </c>
      <c r="D29" s="36">
        <f t="shared" si="2"/>
        <v>0</v>
      </c>
      <c r="E29" s="36">
        <f t="shared" si="2"/>
        <v>0</v>
      </c>
      <c r="F29" s="36">
        <f t="shared" si="2"/>
        <v>0</v>
      </c>
      <c r="G29" s="36">
        <f t="shared" si="2"/>
        <v>0</v>
      </c>
      <c r="H29" s="36">
        <f t="shared" si="2"/>
        <v>0</v>
      </c>
      <c r="I29" s="36">
        <f t="shared" si="2"/>
        <v>0</v>
      </c>
      <c r="J29" s="36">
        <f t="shared" ref="J29:J45" si="3">H29</f>
        <v>0</v>
      </c>
    </row>
    <row r="30" spans="1:17" x14ac:dyDescent="0.25">
      <c r="A30" s="1" t="s">
        <v>8</v>
      </c>
      <c r="B30" s="36">
        <f>'Reimbursement Rates &lt;-INPUT'!N10</f>
        <v>0</v>
      </c>
      <c r="C30" s="36">
        <f t="shared" si="2"/>
        <v>0</v>
      </c>
      <c r="D30" s="36">
        <f t="shared" si="2"/>
        <v>0</v>
      </c>
      <c r="E30" s="36">
        <f t="shared" si="2"/>
        <v>0</v>
      </c>
      <c r="F30" s="36">
        <f t="shared" si="2"/>
        <v>0</v>
      </c>
      <c r="G30" s="36">
        <f t="shared" si="2"/>
        <v>0</v>
      </c>
      <c r="H30" s="36">
        <f t="shared" si="2"/>
        <v>0</v>
      </c>
      <c r="I30" s="36">
        <f t="shared" si="2"/>
        <v>0</v>
      </c>
      <c r="J30" s="36">
        <f t="shared" si="3"/>
        <v>0</v>
      </c>
      <c r="Q30" s="1"/>
    </row>
    <row r="31" spans="1:17" x14ac:dyDescent="0.25">
      <c r="A31" s="1" t="s">
        <v>7</v>
      </c>
      <c r="B31" s="36">
        <f>'Reimbursement Rates &lt;-INPUT'!N11</f>
        <v>0</v>
      </c>
      <c r="C31" s="36">
        <f t="shared" si="2"/>
        <v>0</v>
      </c>
      <c r="D31" s="36">
        <f t="shared" si="2"/>
        <v>0</v>
      </c>
      <c r="E31" s="36">
        <f t="shared" si="2"/>
        <v>0</v>
      </c>
      <c r="F31" s="36">
        <f t="shared" si="2"/>
        <v>0</v>
      </c>
      <c r="G31" s="36">
        <f t="shared" si="2"/>
        <v>0</v>
      </c>
      <c r="H31" s="36">
        <f t="shared" si="2"/>
        <v>0</v>
      </c>
      <c r="I31" s="36">
        <f t="shared" si="2"/>
        <v>0</v>
      </c>
      <c r="J31" s="36">
        <f t="shared" si="3"/>
        <v>0</v>
      </c>
    </row>
    <row r="32" spans="1:17" x14ac:dyDescent="0.25">
      <c r="A32" s="1" t="s">
        <v>42</v>
      </c>
      <c r="B32" s="36">
        <f>'Reimbursement Rates &lt;-INPUT'!N12</f>
        <v>0</v>
      </c>
      <c r="C32" s="36">
        <f t="shared" si="2"/>
        <v>0</v>
      </c>
      <c r="D32" s="36">
        <f t="shared" si="2"/>
        <v>0</v>
      </c>
      <c r="E32" s="36">
        <f t="shared" si="2"/>
        <v>0</v>
      </c>
      <c r="F32" s="36">
        <f t="shared" si="2"/>
        <v>0</v>
      </c>
      <c r="G32" s="36">
        <f t="shared" si="2"/>
        <v>0</v>
      </c>
      <c r="H32" s="36">
        <f t="shared" si="2"/>
        <v>0</v>
      </c>
      <c r="I32" s="36">
        <f t="shared" si="2"/>
        <v>0</v>
      </c>
      <c r="J32" s="36">
        <f t="shared" si="3"/>
        <v>0</v>
      </c>
    </row>
    <row r="33" spans="1:17" x14ac:dyDescent="0.25">
      <c r="A33" s="1" t="s">
        <v>6</v>
      </c>
      <c r="B33" s="36">
        <f>'Reimbursement Rates &lt;-INPUT'!N13</f>
        <v>0</v>
      </c>
      <c r="C33" s="36">
        <f t="shared" si="2"/>
        <v>0</v>
      </c>
      <c r="D33" s="36">
        <f t="shared" si="2"/>
        <v>0</v>
      </c>
      <c r="E33" s="36">
        <f t="shared" si="2"/>
        <v>0</v>
      </c>
      <c r="F33" s="36">
        <f t="shared" si="2"/>
        <v>0</v>
      </c>
      <c r="G33" s="36">
        <f t="shared" si="2"/>
        <v>0</v>
      </c>
      <c r="H33" s="36">
        <f t="shared" si="2"/>
        <v>0</v>
      </c>
      <c r="I33" s="36">
        <f t="shared" si="2"/>
        <v>0</v>
      </c>
      <c r="J33" s="36">
        <f t="shared" si="3"/>
        <v>0</v>
      </c>
      <c r="Q33" s="1"/>
    </row>
    <row r="34" spans="1:17" x14ac:dyDescent="0.25">
      <c r="A34" s="1" t="s">
        <v>50</v>
      </c>
      <c r="B34" s="36">
        <f>'Reimbursement Rates &lt;-INPUT'!N15</f>
        <v>0</v>
      </c>
      <c r="C34" s="36">
        <f t="shared" si="2"/>
        <v>0</v>
      </c>
      <c r="D34" s="36">
        <f t="shared" si="2"/>
        <v>0</v>
      </c>
      <c r="E34" s="36">
        <f t="shared" si="2"/>
        <v>0</v>
      </c>
      <c r="F34" s="36">
        <f t="shared" si="2"/>
        <v>0</v>
      </c>
      <c r="G34" s="36">
        <f t="shared" si="2"/>
        <v>0</v>
      </c>
      <c r="H34" s="36">
        <f t="shared" si="2"/>
        <v>0</v>
      </c>
      <c r="I34" s="36">
        <f t="shared" si="2"/>
        <v>0</v>
      </c>
      <c r="J34" s="36">
        <f t="shared" si="3"/>
        <v>0</v>
      </c>
      <c r="M34" s="7"/>
    </row>
    <row r="35" spans="1:17" x14ac:dyDescent="0.25">
      <c r="A35" s="1" t="s">
        <v>89</v>
      </c>
      <c r="B35" s="36">
        <f>'Reimbursement Rates &lt;-INPUT'!N16</f>
        <v>0</v>
      </c>
      <c r="C35" s="36">
        <f t="shared" si="2"/>
        <v>0</v>
      </c>
      <c r="D35" s="36">
        <f t="shared" si="2"/>
        <v>0</v>
      </c>
      <c r="E35" s="36">
        <f t="shared" si="2"/>
        <v>0</v>
      </c>
      <c r="F35" s="36">
        <f t="shared" si="2"/>
        <v>0</v>
      </c>
      <c r="G35" s="36">
        <f t="shared" si="2"/>
        <v>0</v>
      </c>
      <c r="H35" s="36">
        <f t="shared" si="2"/>
        <v>0</v>
      </c>
      <c r="I35" s="36">
        <f t="shared" si="2"/>
        <v>0</v>
      </c>
      <c r="J35" s="36">
        <f t="shared" si="3"/>
        <v>0</v>
      </c>
      <c r="M35" s="7"/>
    </row>
    <row r="36" spans="1:17" x14ac:dyDescent="0.25">
      <c r="A36" s="1" t="s">
        <v>5</v>
      </c>
      <c r="B36" s="36">
        <f>'Reimbursement Rates &lt;-INPUT'!N17</f>
        <v>0</v>
      </c>
      <c r="C36" s="36">
        <f t="shared" si="2"/>
        <v>0</v>
      </c>
      <c r="D36" s="36">
        <f t="shared" si="2"/>
        <v>0</v>
      </c>
      <c r="E36" s="36">
        <f t="shared" si="2"/>
        <v>0</v>
      </c>
      <c r="F36" s="36">
        <f t="shared" si="2"/>
        <v>0</v>
      </c>
      <c r="G36" s="36">
        <f t="shared" si="2"/>
        <v>0</v>
      </c>
      <c r="H36" s="36">
        <f t="shared" si="2"/>
        <v>0</v>
      </c>
      <c r="I36" s="36">
        <f t="shared" si="2"/>
        <v>0</v>
      </c>
      <c r="J36" s="36">
        <f t="shared" si="3"/>
        <v>0</v>
      </c>
      <c r="M36" s="7"/>
      <c r="Q36" s="1"/>
    </row>
    <row r="37" spans="1:17" x14ac:dyDescent="0.25">
      <c r="A37" s="1" t="s">
        <v>84</v>
      </c>
      <c r="B37" s="36">
        <f>'Reimbursement Rates &lt;-INPUT'!N18</f>
        <v>0</v>
      </c>
      <c r="C37" s="36">
        <f t="shared" si="2"/>
        <v>0</v>
      </c>
      <c r="D37" s="36">
        <f t="shared" si="2"/>
        <v>0</v>
      </c>
      <c r="E37" s="36">
        <f t="shared" si="2"/>
        <v>0</v>
      </c>
      <c r="F37" s="36">
        <f t="shared" si="2"/>
        <v>0</v>
      </c>
      <c r="G37" s="36">
        <f t="shared" si="2"/>
        <v>0</v>
      </c>
      <c r="H37" s="36">
        <f t="shared" si="2"/>
        <v>0</v>
      </c>
      <c r="I37" s="36">
        <f t="shared" si="2"/>
        <v>0</v>
      </c>
      <c r="J37" s="36">
        <f t="shared" si="3"/>
        <v>0</v>
      </c>
      <c r="M37" s="7"/>
      <c r="Q37" s="1"/>
    </row>
    <row r="38" spans="1:17" x14ac:dyDescent="0.25">
      <c r="A38" s="1" t="s">
        <v>4</v>
      </c>
      <c r="B38" s="36">
        <f>'Reimbursement Rates &lt;-INPUT'!N19</f>
        <v>0</v>
      </c>
      <c r="C38" s="36">
        <f t="shared" si="2"/>
        <v>0</v>
      </c>
      <c r="D38" s="36">
        <f t="shared" si="2"/>
        <v>0</v>
      </c>
      <c r="E38" s="36">
        <f t="shared" si="2"/>
        <v>0</v>
      </c>
      <c r="F38" s="36">
        <f t="shared" si="2"/>
        <v>0</v>
      </c>
      <c r="G38" s="36">
        <f t="shared" si="2"/>
        <v>0</v>
      </c>
      <c r="H38" s="36">
        <f t="shared" si="2"/>
        <v>0</v>
      </c>
      <c r="I38" s="36">
        <f t="shared" si="2"/>
        <v>0</v>
      </c>
      <c r="J38" s="36">
        <f t="shared" si="3"/>
        <v>0</v>
      </c>
      <c r="M38" s="7"/>
    </row>
    <row r="39" spans="1:17" x14ac:dyDescent="0.25">
      <c r="A39" s="1" t="s">
        <v>51</v>
      </c>
      <c r="B39" s="36">
        <f>'Reimbursement Rates &lt;-INPUT'!N20</f>
        <v>0</v>
      </c>
      <c r="C39" s="36">
        <f t="shared" si="2"/>
        <v>0</v>
      </c>
      <c r="D39" s="36">
        <f t="shared" si="2"/>
        <v>0</v>
      </c>
      <c r="E39" s="36">
        <f t="shared" si="2"/>
        <v>0</v>
      </c>
      <c r="F39" s="36">
        <f t="shared" si="2"/>
        <v>0</v>
      </c>
      <c r="G39" s="36">
        <f t="shared" si="2"/>
        <v>0</v>
      </c>
      <c r="H39" s="36">
        <f t="shared" si="2"/>
        <v>0</v>
      </c>
      <c r="I39" s="36">
        <f t="shared" si="2"/>
        <v>0</v>
      </c>
      <c r="J39" s="36">
        <f t="shared" si="3"/>
        <v>0</v>
      </c>
      <c r="M39" s="7"/>
      <c r="Q39" s="1"/>
    </row>
    <row r="40" spans="1:17" x14ac:dyDescent="0.25">
      <c r="A40" s="1" t="s">
        <v>85</v>
      </c>
      <c r="B40" s="36">
        <f>'Reimbursement Rates &lt;-INPUT'!N22</f>
        <v>0</v>
      </c>
      <c r="C40" s="36">
        <f t="shared" si="2"/>
        <v>0</v>
      </c>
      <c r="D40" s="36">
        <f t="shared" si="2"/>
        <v>0</v>
      </c>
      <c r="E40" s="36">
        <f t="shared" si="2"/>
        <v>0</v>
      </c>
      <c r="F40" s="36">
        <f t="shared" si="2"/>
        <v>0</v>
      </c>
      <c r="G40" s="36">
        <f t="shared" si="2"/>
        <v>0</v>
      </c>
      <c r="H40" s="36">
        <f t="shared" si="2"/>
        <v>0</v>
      </c>
      <c r="I40" s="36">
        <f t="shared" si="2"/>
        <v>0</v>
      </c>
      <c r="J40" s="36">
        <f t="shared" si="3"/>
        <v>0</v>
      </c>
      <c r="M40" s="7"/>
      <c r="Q40" s="1"/>
    </row>
    <row r="41" spans="1:17" x14ac:dyDescent="0.25">
      <c r="A41" s="1" t="s">
        <v>2</v>
      </c>
      <c r="B41" s="36">
        <f>'Reimbursement Rates &lt;-INPUT'!N23</f>
        <v>0</v>
      </c>
      <c r="C41" s="36">
        <f t="shared" si="2"/>
        <v>0</v>
      </c>
      <c r="D41" s="36">
        <f t="shared" si="2"/>
        <v>0</v>
      </c>
      <c r="E41" s="36">
        <f t="shared" si="2"/>
        <v>0</v>
      </c>
      <c r="F41" s="36">
        <f t="shared" si="2"/>
        <v>0</v>
      </c>
      <c r="G41" s="36">
        <f t="shared" si="2"/>
        <v>0</v>
      </c>
      <c r="H41" s="36">
        <f t="shared" si="2"/>
        <v>0</v>
      </c>
      <c r="I41" s="36">
        <f t="shared" si="2"/>
        <v>0</v>
      </c>
      <c r="J41" s="36">
        <f t="shared" si="3"/>
        <v>0</v>
      </c>
      <c r="M41" s="7"/>
      <c r="Q41" s="1"/>
    </row>
    <row r="42" spans="1:17" x14ac:dyDescent="0.25">
      <c r="A42" s="1" t="s">
        <v>86</v>
      </c>
      <c r="B42" s="36">
        <f>'Reimbursement Rates &lt;-INPUT'!N24</f>
        <v>0</v>
      </c>
      <c r="C42" s="36">
        <f t="shared" si="2"/>
        <v>0</v>
      </c>
      <c r="D42" s="36">
        <f t="shared" si="2"/>
        <v>0</v>
      </c>
      <c r="E42" s="36">
        <f t="shared" si="2"/>
        <v>0</v>
      </c>
      <c r="F42" s="36">
        <f t="shared" si="2"/>
        <v>0</v>
      </c>
      <c r="G42" s="36">
        <f t="shared" si="2"/>
        <v>0</v>
      </c>
      <c r="H42" s="36">
        <f t="shared" si="2"/>
        <v>0</v>
      </c>
      <c r="I42" s="36">
        <f t="shared" si="2"/>
        <v>0</v>
      </c>
      <c r="J42" s="36">
        <f t="shared" si="3"/>
        <v>0</v>
      </c>
      <c r="M42" s="7"/>
    </row>
    <row r="43" spans="1:17" x14ac:dyDescent="0.25">
      <c r="A43" s="1" t="s">
        <v>29</v>
      </c>
      <c r="B43" s="36">
        <f>'Reimbursement Rates &lt;-INPUT'!N25</f>
        <v>0</v>
      </c>
      <c r="C43" s="36">
        <f t="shared" si="2"/>
        <v>0</v>
      </c>
      <c r="D43" s="36">
        <f t="shared" si="2"/>
        <v>0</v>
      </c>
      <c r="E43" s="36">
        <f t="shared" si="2"/>
        <v>0</v>
      </c>
      <c r="F43" s="36">
        <f t="shared" si="2"/>
        <v>0</v>
      </c>
      <c r="G43" s="36">
        <f t="shared" si="2"/>
        <v>0</v>
      </c>
      <c r="H43" s="36">
        <f t="shared" si="2"/>
        <v>0</v>
      </c>
      <c r="I43" s="36">
        <f t="shared" si="2"/>
        <v>0</v>
      </c>
      <c r="J43" s="36">
        <f t="shared" si="3"/>
        <v>0</v>
      </c>
      <c r="M43" s="7"/>
    </row>
    <row r="44" spans="1:17" x14ac:dyDescent="0.25">
      <c r="A44" s="1" t="s">
        <v>52</v>
      </c>
      <c r="B44" s="36">
        <f>'Reimbursement Rates &lt;-INPUT'!N26</f>
        <v>0</v>
      </c>
      <c r="C44" s="36">
        <f t="shared" si="2"/>
        <v>0</v>
      </c>
      <c r="D44" s="36">
        <f t="shared" si="2"/>
        <v>0</v>
      </c>
      <c r="E44" s="36">
        <f t="shared" si="2"/>
        <v>0</v>
      </c>
      <c r="F44" s="36">
        <f t="shared" si="2"/>
        <v>0</v>
      </c>
      <c r="G44" s="36">
        <f t="shared" si="2"/>
        <v>0</v>
      </c>
      <c r="H44" s="36">
        <f t="shared" si="2"/>
        <v>0</v>
      </c>
      <c r="I44" s="36">
        <f t="shared" si="2"/>
        <v>0</v>
      </c>
      <c r="J44" s="36">
        <f t="shared" si="3"/>
        <v>0</v>
      </c>
      <c r="M44" s="7"/>
      <c r="Q44" s="1"/>
    </row>
    <row r="45" spans="1:17" x14ac:dyDescent="0.25">
      <c r="A45" s="1" t="s">
        <v>1</v>
      </c>
      <c r="B45" s="36">
        <f>'Reimbursement Rates &lt;-INPUT'!N28</f>
        <v>0</v>
      </c>
      <c r="C45" s="36">
        <f t="shared" si="2"/>
        <v>0</v>
      </c>
      <c r="D45" s="36">
        <f t="shared" si="2"/>
        <v>0</v>
      </c>
      <c r="E45" s="36">
        <f t="shared" si="2"/>
        <v>0</v>
      </c>
      <c r="F45" s="36">
        <f t="shared" si="2"/>
        <v>0</v>
      </c>
      <c r="G45" s="36">
        <f t="shared" si="2"/>
        <v>0</v>
      </c>
      <c r="H45" s="36">
        <f t="shared" si="2"/>
        <v>0</v>
      </c>
      <c r="I45" s="36">
        <f t="shared" si="2"/>
        <v>0</v>
      </c>
      <c r="J45" s="36">
        <f t="shared" si="3"/>
        <v>0</v>
      </c>
      <c r="M45" s="7"/>
      <c r="Q45" s="1"/>
    </row>
    <row r="46" spans="1:17" ht="15.75" thickBot="1" x14ac:dyDescent="0.3">
      <c r="A46" s="1"/>
      <c r="B46" s="9"/>
      <c r="C46" s="9"/>
      <c r="D46" s="9"/>
      <c r="E46" s="9"/>
      <c r="F46" s="9"/>
      <c r="G46" s="9"/>
      <c r="H46" s="9"/>
      <c r="I46" s="9"/>
      <c r="J46" s="9"/>
      <c r="M46" s="7"/>
      <c r="Q46" s="1"/>
    </row>
    <row r="47" spans="1:17" ht="15.75" thickBot="1" x14ac:dyDescent="0.3">
      <c r="A47" s="170" t="s">
        <v>33</v>
      </c>
      <c r="B47" s="171"/>
      <c r="C47" s="171"/>
      <c r="D47" s="171"/>
      <c r="E47" s="171"/>
      <c r="F47" s="171"/>
      <c r="G47" s="171"/>
      <c r="H47" s="171"/>
      <c r="I47" s="171"/>
      <c r="J47" s="172"/>
      <c r="M47" s="7"/>
      <c r="Q47" s="1"/>
    </row>
    <row r="48" spans="1:17" x14ac:dyDescent="0.25">
      <c r="A48" s="4" t="s">
        <v>16</v>
      </c>
      <c r="B48" s="5" t="s">
        <v>15</v>
      </c>
      <c r="C48" s="5" t="s">
        <v>14</v>
      </c>
      <c r="D48" s="5" t="s">
        <v>13</v>
      </c>
      <c r="E48" s="5" t="s">
        <v>12</v>
      </c>
      <c r="F48" s="5" t="s">
        <v>93</v>
      </c>
      <c r="G48" s="5" t="s">
        <v>94</v>
      </c>
      <c r="H48" s="5" t="s">
        <v>38</v>
      </c>
      <c r="I48" s="5" t="s">
        <v>9</v>
      </c>
      <c r="J48" s="5" t="s">
        <v>0</v>
      </c>
      <c r="M48" s="7"/>
    </row>
    <row r="49" spans="1:17" x14ac:dyDescent="0.25">
      <c r="A49" s="1" t="s">
        <v>49</v>
      </c>
      <c r="B49" s="37">
        <f t="shared" ref="B49:B50" si="4">IF(B8&gt;0,B8*(1-B29),0)</f>
        <v>0</v>
      </c>
      <c r="C49" s="37">
        <f t="shared" ref="C49:I49" si="5">IF(C8&gt;0,C8*(1-C29),0)</f>
        <v>0</v>
      </c>
      <c r="D49" s="37">
        <f t="shared" si="5"/>
        <v>0</v>
      </c>
      <c r="E49" s="37">
        <f t="shared" si="5"/>
        <v>0</v>
      </c>
      <c r="F49" s="37">
        <f t="shared" si="5"/>
        <v>0</v>
      </c>
      <c r="G49" s="37">
        <f t="shared" si="5"/>
        <v>0</v>
      </c>
      <c r="H49" s="37">
        <f t="shared" si="5"/>
        <v>0</v>
      </c>
      <c r="I49" s="37">
        <f t="shared" si="5"/>
        <v>0</v>
      </c>
      <c r="J49" s="37">
        <f>SUM(B49:H49)</f>
        <v>0</v>
      </c>
      <c r="M49" s="7"/>
      <c r="Q49" s="1"/>
    </row>
    <row r="50" spans="1:17" x14ac:dyDescent="0.25">
      <c r="A50" s="1" t="s">
        <v>8</v>
      </c>
      <c r="B50" s="37">
        <f t="shared" si="4"/>
        <v>0</v>
      </c>
      <c r="C50" s="37">
        <f t="shared" ref="C50:I50" si="6">IF(C9&gt;0,C9*(1-C30),0)</f>
        <v>0</v>
      </c>
      <c r="D50" s="37">
        <f t="shared" si="6"/>
        <v>0</v>
      </c>
      <c r="E50" s="37">
        <f t="shared" si="6"/>
        <v>0</v>
      </c>
      <c r="F50" s="37">
        <f t="shared" si="6"/>
        <v>0</v>
      </c>
      <c r="G50" s="37">
        <f t="shared" si="6"/>
        <v>0</v>
      </c>
      <c r="H50" s="37">
        <f t="shared" si="6"/>
        <v>0</v>
      </c>
      <c r="I50" s="37">
        <f t="shared" si="6"/>
        <v>0</v>
      </c>
      <c r="J50" s="37">
        <f t="shared" ref="J50:J65" si="7">SUM(B50:H50)</f>
        <v>0</v>
      </c>
      <c r="M50" s="7"/>
      <c r="Q50" s="7"/>
    </row>
    <row r="51" spans="1:17" x14ac:dyDescent="0.25">
      <c r="A51" s="1" t="s">
        <v>7</v>
      </c>
      <c r="B51" s="37">
        <f>IF(B10&gt;0,B10*(1-B31),0)</f>
        <v>0</v>
      </c>
      <c r="C51" s="37">
        <f t="shared" ref="C51:I51" si="8">IF(C10&gt;0,C10*(1-C31),0)</f>
        <v>0</v>
      </c>
      <c r="D51" s="37">
        <f t="shared" si="8"/>
        <v>0</v>
      </c>
      <c r="E51" s="37">
        <f t="shared" si="8"/>
        <v>0</v>
      </c>
      <c r="F51" s="37">
        <f t="shared" si="8"/>
        <v>0</v>
      </c>
      <c r="G51" s="37">
        <f t="shared" si="8"/>
        <v>0</v>
      </c>
      <c r="H51" s="37">
        <f t="shared" si="8"/>
        <v>0</v>
      </c>
      <c r="I51" s="37">
        <f t="shared" si="8"/>
        <v>0</v>
      </c>
      <c r="J51" s="37">
        <f t="shared" si="7"/>
        <v>0</v>
      </c>
      <c r="M51" s="7"/>
    </row>
    <row r="52" spans="1:17" x14ac:dyDescent="0.25">
      <c r="A52" s="1" t="s">
        <v>42</v>
      </c>
      <c r="B52" s="37">
        <f t="shared" ref="B52:B65" si="9">IF(B11&gt;0,B11*(1-B32),0)</f>
        <v>0</v>
      </c>
      <c r="C52" s="37">
        <f t="shared" ref="C52:I52" si="10">IF(C11&gt;0,C11*(1-C32),0)</f>
        <v>0</v>
      </c>
      <c r="D52" s="37">
        <f t="shared" si="10"/>
        <v>0</v>
      </c>
      <c r="E52" s="37">
        <f t="shared" si="10"/>
        <v>0</v>
      </c>
      <c r="F52" s="37">
        <f t="shared" si="10"/>
        <v>0</v>
      </c>
      <c r="G52" s="37">
        <f t="shared" si="10"/>
        <v>0</v>
      </c>
      <c r="H52" s="37">
        <f t="shared" si="10"/>
        <v>0</v>
      </c>
      <c r="I52" s="37">
        <f t="shared" si="10"/>
        <v>0</v>
      </c>
      <c r="J52" s="37">
        <f t="shared" si="7"/>
        <v>0</v>
      </c>
      <c r="M52" s="7"/>
    </row>
    <row r="53" spans="1:17" x14ac:dyDescent="0.25">
      <c r="A53" s="1" t="s">
        <v>6</v>
      </c>
      <c r="B53" s="37">
        <f t="shared" si="9"/>
        <v>0</v>
      </c>
      <c r="C53" s="37">
        <f t="shared" ref="C53:I53" si="11">IF(C12&gt;0,C12*(1-C33),0)</f>
        <v>0</v>
      </c>
      <c r="D53" s="37">
        <f t="shared" si="11"/>
        <v>0</v>
      </c>
      <c r="E53" s="37">
        <f t="shared" si="11"/>
        <v>0</v>
      </c>
      <c r="F53" s="37">
        <f t="shared" si="11"/>
        <v>0</v>
      </c>
      <c r="G53" s="37">
        <f t="shared" si="11"/>
        <v>0</v>
      </c>
      <c r="H53" s="37">
        <f t="shared" si="11"/>
        <v>0</v>
      </c>
      <c r="I53" s="37">
        <f t="shared" si="11"/>
        <v>0</v>
      </c>
      <c r="J53" s="37">
        <f t="shared" si="7"/>
        <v>0</v>
      </c>
      <c r="M53" s="7"/>
    </row>
    <row r="54" spans="1:17" x14ac:dyDescent="0.25">
      <c r="A54" s="1" t="s">
        <v>50</v>
      </c>
      <c r="B54" s="37">
        <f t="shared" si="9"/>
        <v>0</v>
      </c>
      <c r="C54" s="37">
        <f t="shared" ref="C54:I54" si="12">IF(C13&gt;0,C13*(1-C34),0)</f>
        <v>0</v>
      </c>
      <c r="D54" s="37">
        <f t="shared" si="12"/>
        <v>0</v>
      </c>
      <c r="E54" s="37">
        <f t="shared" si="12"/>
        <v>0</v>
      </c>
      <c r="F54" s="37">
        <f t="shared" si="12"/>
        <v>0</v>
      </c>
      <c r="G54" s="37">
        <f t="shared" si="12"/>
        <v>0</v>
      </c>
      <c r="H54" s="37">
        <f t="shared" si="12"/>
        <v>0</v>
      </c>
      <c r="I54" s="37">
        <f t="shared" si="12"/>
        <v>0</v>
      </c>
      <c r="J54" s="37">
        <f t="shared" si="7"/>
        <v>0</v>
      </c>
      <c r="M54" s="7"/>
    </row>
    <row r="55" spans="1:17" x14ac:dyDescent="0.25">
      <c r="A55" s="1" t="s">
        <v>89</v>
      </c>
      <c r="B55" s="37">
        <f t="shared" si="9"/>
        <v>0</v>
      </c>
      <c r="C55" s="37">
        <f t="shared" ref="C55:I55" si="13">IF(C14&gt;0,C14*(1-C35),0)</f>
        <v>0</v>
      </c>
      <c r="D55" s="37">
        <f t="shared" si="13"/>
        <v>0</v>
      </c>
      <c r="E55" s="37">
        <f t="shared" si="13"/>
        <v>0</v>
      </c>
      <c r="F55" s="37">
        <f t="shared" si="13"/>
        <v>0</v>
      </c>
      <c r="G55" s="37">
        <f t="shared" si="13"/>
        <v>0</v>
      </c>
      <c r="H55" s="37">
        <f t="shared" si="13"/>
        <v>0</v>
      </c>
      <c r="I55" s="37">
        <f t="shared" si="13"/>
        <v>0</v>
      </c>
      <c r="J55" s="37">
        <f t="shared" si="7"/>
        <v>0</v>
      </c>
      <c r="M55" s="7"/>
    </row>
    <row r="56" spans="1:17" x14ac:dyDescent="0.25">
      <c r="A56" s="1" t="s">
        <v>5</v>
      </c>
      <c r="B56" s="37">
        <f t="shared" si="9"/>
        <v>0</v>
      </c>
      <c r="C56" s="37">
        <f t="shared" ref="C56:I56" si="14">IF(C15&gt;0,C15*(1-C36),0)</f>
        <v>0</v>
      </c>
      <c r="D56" s="37">
        <f t="shared" si="14"/>
        <v>0</v>
      </c>
      <c r="E56" s="37">
        <f t="shared" si="14"/>
        <v>0</v>
      </c>
      <c r="F56" s="37">
        <f t="shared" si="14"/>
        <v>0</v>
      </c>
      <c r="G56" s="37">
        <f t="shared" si="14"/>
        <v>0</v>
      </c>
      <c r="H56" s="37">
        <f t="shared" si="14"/>
        <v>0</v>
      </c>
      <c r="I56" s="37">
        <f t="shared" si="14"/>
        <v>0</v>
      </c>
      <c r="J56" s="37">
        <f t="shared" si="7"/>
        <v>0</v>
      </c>
      <c r="M56" s="7"/>
    </row>
    <row r="57" spans="1:17" x14ac:dyDescent="0.25">
      <c r="A57" s="1" t="s">
        <v>84</v>
      </c>
      <c r="B57" s="37">
        <f t="shared" si="9"/>
        <v>0</v>
      </c>
      <c r="C57" s="37">
        <f t="shared" ref="C57:I57" si="15">IF(C16&gt;0,C16*(1-C37),0)</f>
        <v>0</v>
      </c>
      <c r="D57" s="37">
        <f t="shared" si="15"/>
        <v>0</v>
      </c>
      <c r="E57" s="37">
        <f t="shared" si="15"/>
        <v>0</v>
      </c>
      <c r="F57" s="37">
        <f t="shared" si="15"/>
        <v>0</v>
      </c>
      <c r="G57" s="37">
        <f t="shared" si="15"/>
        <v>0</v>
      </c>
      <c r="H57" s="37">
        <f t="shared" si="15"/>
        <v>0</v>
      </c>
      <c r="I57" s="37">
        <f t="shared" si="15"/>
        <v>0</v>
      </c>
      <c r="J57" s="37">
        <f t="shared" si="7"/>
        <v>0</v>
      </c>
      <c r="M57" s="7"/>
    </row>
    <row r="58" spans="1:17" x14ac:dyDescent="0.25">
      <c r="A58" s="1" t="s">
        <v>4</v>
      </c>
      <c r="B58" s="37">
        <f t="shared" si="9"/>
        <v>0</v>
      </c>
      <c r="C58" s="37">
        <f t="shared" ref="C58:I58" si="16">IF(C17&gt;0,C17*(1-C38),0)</f>
        <v>0</v>
      </c>
      <c r="D58" s="37">
        <f t="shared" si="16"/>
        <v>0</v>
      </c>
      <c r="E58" s="37">
        <f t="shared" si="16"/>
        <v>0</v>
      </c>
      <c r="F58" s="37">
        <f t="shared" si="16"/>
        <v>0</v>
      </c>
      <c r="G58" s="37">
        <f t="shared" si="16"/>
        <v>0</v>
      </c>
      <c r="H58" s="37">
        <f t="shared" si="16"/>
        <v>0</v>
      </c>
      <c r="I58" s="37">
        <f t="shared" si="16"/>
        <v>0</v>
      </c>
      <c r="J58" s="37">
        <f t="shared" si="7"/>
        <v>0</v>
      </c>
      <c r="M58" s="7"/>
    </row>
    <row r="59" spans="1:17" x14ac:dyDescent="0.25">
      <c r="A59" s="1" t="s">
        <v>51</v>
      </c>
      <c r="B59" s="37">
        <f t="shared" si="9"/>
        <v>0</v>
      </c>
      <c r="C59" s="37">
        <f t="shared" ref="C59:I59" si="17">IF(C18&gt;0,C18*(1-C39),0)</f>
        <v>0</v>
      </c>
      <c r="D59" s="37">
        <f t="shared" si="17"/>
        <v>0</v>
      </c>
      <c r="E59" s="37">
        <f t="shared" si="17"/>
        <v>0</v>
      </c>
      <c r="F59" s="37">
        <f t="shared" si="17"/>
        <v>0</v>
      </c>
      <c r="G59" s="37">
        <f t="shared" si="17"/>
        <v>0</v>
      </c>
      <c r="H59" s="37">
        <f t="shared" si="17"/>
        <v>0</v>
      </c>
      <c r="I59" s="37">
        <f t="shared" si="17"/>
        <v>0</v>
      </c>
      <c r="J59" s="37">
        <f t="shared" si="7"/>
        <v>0</v>
      </c>
      <c r="M59" s="7"/>
    </row>
    <row r="60" spans="1:17" x14ac:dyDescent="0.25">
      <c r="A60" s="1" t="s">
        <v>85</v>
      </c>
      <c r="B60" s="37">
        <f t="shared" si="9"/>
        <v>0</v>
      </c>
      <c r="C60" s="37">
        <f t="shared" ref="C60:I60" si="18">IF(C19&gt;0,C19*(1-C40),0)</f>
        <v>0</v>
      </c>
      <c r="D60" s="37">
        <f t="shared" si="18"/>
        <v>0</v>
      </c>
      <c r="E60" s="37">
        <f t="shared" si="18"/>
        <v>0</v>
      </c>
      <c r="F60" s="37">
        <f t="shared" si="18"/>
        <v>0</v>
      </c>
      <c r="G60" s="37">
        <f t="shared" si="18"/>
        <v>0</v>
      </c>
      <c r="H60" s="37">
        <f t="shared" si="18"/>
        <v>0</v>
      </c>
      <c r="I60" s="37">
        <f t="shared" si="18"/>
        <v>0</v>
      </c>
      <c r="J60" s="37">
        <f t="shared" si="7"/>
        <v>0</v>
      </c>
      <c r="M60" s="7"/>
    </row>
    <row r="61" spans="1:17" x14ac:dyDescent="0.25">
      <c r="A61" s="1" t="s">
        <v>2</v>
      </c>
      <c r="B61" s="37">
        <f t="shared" si="9"/>
        <v>0</v>
      </c>
      <c r="C61" s="37">
        <f t="shared" ref="C61:I61" si="19">IF(C20&gt;0,C20*(1-C41),0)</f>
        <v>0</v>
      </c>
      <c r="D61" s="37">
        <f t="shared" si="19"/>
        <v>0</v>
      </c>
      <c r="E61" s="37">
        <f t="shared" si="19"/>
        <v>0</v>
      </c>
      <c r="F61" s="37">
        <f t="shared" si="19"/>
        <v>0</v>
      </c>
      <c r="G61" s="37">
        <f t="shared" si="19"/>
        <v>0</v>
      </c>
      <c r="H61" s="37">
        <f t="shared" si="19"/>
        <v>0</v>
      </c>
      <c r="I61" s="37">
        <f t="shared" si="19"/>
        <v>0</v>
      </c>
      <c r="J61" s="37">
        <f t="shared" si="7"/>
        <v>0</v>
      </c>
      <c r="M61" s="7"/>
    </row>
    <row r="62" spans="1:17" x14ac:dyDescent="0.25">
      <c r="A62" s="1" t="s">
        <v>86</v>
      </c>
      <c r="B62" s="37">
        <f t="shared" si="9"/>
        <v>0</v>
      </c>
      <c r="C62" s="37">
        <f t="shared" ref="C62:I62" si="20">IF(C21&gt;0,C21*(1-C42),0)</f>
        <v>0</v>
      </c>
      <c r="D62" s="37">
        <f t="shared" si="20"/>
        <v>0</v>
      </c>
      <c r="E62" s="37">
        <f t="shared" si="20"/>
        <v>0</v>
      </c>
      <c r="F62" s="37">
        <f t="shared" si="20"/>
        <v>0</v>
      </c>
      <c r="G62" s="37">
        <f t="shared" si="20"/>
        <v>0</v>
      </c>
      <c r="H62" s="37">
        <f t="shared" si="20"/>
        <v>0</v>
      </c>
      <c r="I62" s="37">
        <f t="shared" si="20"/>
        <v>0</v>
      </c>
      <c r="J62" s="37">
        <f t="shared" si="7"/>
        <v>0</v>
      </c>
      <c r="M62" s="183" t="s">
        <v>62</v>
      </c>
    </row>
    <row r="63" spans="1:17" x14ac:dyDescent="0.25">
      <c r="A63" s="1" t="s">
        <v>29</v>
      </c>
      <c r="B63" s="37">
        <f t="shared" si="9"/>
        <v>0</v>
      </c>
      <c r="C63" s="37">
        <f t="shared" ref="C63:I63" si="21">IF(C22&gt;0,C22*(1-C43),0)</f>
        <v>0</v>
      </c>
      <c r="D63" s="37">
        <f t="shared" si="21"/>
        <v>0</v>
      </c>
      <c r="E63" s="37">
        <f t="shared" si="21"/>
        <v>0</v>
      </c>
      <c r="F63" s="37">
        <f t="shared" si="21"/>
        <v>0</v>
      </c>
      <c r="G63" s="37">
        <f t="shared" si="21"/>
        <v>0</v>
      </c>
      <c r="H63" s="37">
        <f t="shared" si="21"/>
        <v>0</v>
      </c>
      <c r="I63" s="37">
        <f t="shared" si="21"/>
        <v>0</v>
      </c>
      <c r="J63" s="37">
        <f t="shared" si="7"/>
        <v>0</v>
      </c>
      <c r="M63" s="183"/>
    </row>
    <row r="64" spans="1:17" x14ac:dyDescent="0.25">
      <c r="A64" s="1" t="s">
        <v>52</v>
      </c>
      <c r="B64" s="37">
        <f t="shared" si="9"/>
        <v>0</v>
      </c>
      <c r="C64" s="37">
        <f t="shared" ref="C64:I64" si="22">IF(C23&gt;0,C23*(1-C44),0)</f>
        <v>0</v>
      </c>
      <c r="D64" s="37">
        <f t="shared" si="22"/>
        <v>0</v>
      </c>
      <c r="E64" s="37">
        <f t="shared" si="22"/>
        <v>0</v>
      </c>
      <c r="F64" s="37">
        <f t="shared" si="22"/>
        <v>0</v>
      </c>
      <c r="G64" s="37">
        <f t="shared" si="22"/>
        <v>0</v>
      </c>
      <c r="H64" s="37">
        <f t="shared" si="22"/>
        <v>0</v>
      </c>
      <c r="I64" s="37">
        <f t="shared" si="22"/>
        <v>0</v>
      </c>
      <c r="J64" s="37">
        <f t="shared" si="7"/>
        <v>0</v>
      </c>
      <c r="L64" s="35" t="s">
        <v>41</v>
      </c>
      <c r="M64" s="183" t="s">
        <v>63</v>
      </c>
    </row>
    <row r="65" spans="1:13" x14ac:dyDescent="0.25">
      <c r="A65" s="1" t="s">
        <v>1</v>
      </c>
      <c r="B65" s="38">
        <f t="shared" si="9"/>
        <v>0</v>
      </c>
      <c r="C65" s="38">
        <f t="shared" ref="C65:I65" si="23">IF(C24&gt;0,C24*(1-C45),0)</f>
        <v>0</v>
      </c>
      <c r="D65" s="38">
        <f t="shared" si="23"/>
        <v>0</v>
      </c>
      <c r="E65" s="38">
        <f t="shared" si="23"/>
        <v>0</v>
      </c>
      <c r="F65" s="38">
        <f t="shared" si="23"/>
        <v>0</v>
      </c>
      <c r="G65" s="38">
        <f t="shared" si="23"/>
        <v>0</v>
      </c>
      <c r="H65" s="38">
        <f t="shared" si="23"/>
        <v>0</v>
      </c>
      <c r="I65" s="38">
        <f t="shared" si="23"/>
        <v>0</v>
      </c>
      <c r="J65" s="38">
        <f t="shared" si="7"/>
        <v>0</v>
      </c>
      <c r="L65" s="42" t="s">
        <v>61</v>
      </c>
      <c r="M65" s="184"/>
    </row>
    <row r="66" spans="1:13" x14ac:dyDescent="0.25">
      <c r="A66" s="1"/>
      <c r="B66" s="9">
        <f>SUM(B49:B65)</f>
        <v>0</v>
      </c>
      <c r="C66" s="9">
        <f t="shared" ref="C66:J66" si="24">SUM(C49:C65)</f>
        <v>0</v>
      </c>
      <c r="D66" s="9">
        <f t="shared" si="24"/>
        <v>0</v>
      </c>
      <c r="E66" s="9">
        <f t="shared" si="24"/>
        <v>0</v>
      </c>
      <c r="F66" s="9">
        <f t="shared" si="24"/>
        <v>0</v>
      </c>
      <c r="G66" s="9">
        <f t="shared" si="24"/>
        <v>0</v>
      </c>
      <c r="H66" s="9">
        <f t="shared" si="24"/>
        <v>0</v>
      </c>
      <c r="I66" s="9">
        <f t="shared" si="24"/>
        <v>0</v>
      </c>
      <c r="J66" s="9">
        <f t="shared" si="24"/>
        <v>0</v>
      </c>
      <c r="L66" s="108">
        <v>60000</v>
      </c>
      <c r="M66" s="7">
        <f>J66-L66</f>
        <v>-60000</v>
      </c>
    </row>
    <row r="67" spans="1:13" ht="15.75" thickBot="1" x14ac:dyDescent="0.3">
      <c r="A67" s="1"/>
      <c r="B67" s="9"/>
      <c r="C67" s="9"/>
      <c r="D67" s="9"/>
      <c r="E67" s="9"/>
      <c r="F67" s="9"/>
      <c r="G67" s="9"/>
      <c r="H67" s="9"/>
      <c r="I67" s="9"/>
      <c r="J67" s="9"/>
      <c r="M67" s="7"/>
    </row>
    <row r="68" spans="1:13" ht="15.75" thickBot="1" x14ac:dyDescent="0.3">
      <c r="A68" s="170" t="s">
        <v>64</v>
      </c>
      <c r="B68" s="171"/>
      <c r="C68" s="171"/>
      <c r="D68" s="171"/>
      <c r="E68" s="171"/>
      <c r="F68" s="171"/>
      <c r="G68" s="171"/>
      <c r="H68" s="171"/>
      <c r="I68" s="171"/>
      <c r="J68" s="172"/>
      <c r="M68" s="7"/>
    </row>
    <row r="69" spans="1:13" x14ac:dyDescent="0.25">
      <c r="A69" s="4" t="s">
        <v>16</v>
      </c>
      <c r="B69" s="5" t="s">
        <v>15</v>
      </c>
      <c r="C69" s="5" t="s">
        <v>14</v>
      </c>
      <c r="D69" s="5" t="s">
        <v>13</v>
      </c>
      <c r="E69" s="5" t="s">
        <v>12</v>
      </c>
      <c r="F69" s="5" t="s">
        <v>93</v>
      </c>
      <c r="G69" s="5" t="s">
        <v>94</v>
      </c>
      <c r="H69" s="5" t="s">
        <v>38</v>
      </c>
      <c r="I69" s="5" t="s">
        <v>9</v>
      </c>
      <c r="J69" s="5" t="s">
        <v>0</v>
      </c>
      <c r="M69" s="7"/>
    </row>
    <row r="70" spans="1:13" x14ac:dyDescent="0.25">
      <c r="A70" s="1" t="s">
        <v>49</v>
      </c>
      <c r="B70" s="39">
        <f t="shared" ref="B70:B71" si="25">B8-B49</f>
        <v>0</v>
      </c>
      <c r="C70" s="39">
        <f t="shared" ref="C70:I70" si="26">C8-C49</f>
        <v>0</v>
      </c>
      <c r="D70" s="39">
        <f t="shared" si="26"/>
        <v>0</v>
      </c>
      <c r="E70" s="39">
        <f t="shared" si="26"/>
        <v>0</v>
      </c>
      <c r="F70" s="39">
        <f t="shared" si="26"/>
        <v>0</v>
      </c>
      <c r="G70" s="39">
        <f t="shared" si="26"/>
        <v>0</v>
      </c>
      <c r="H70" s="39">
        <f t="shared" si="26"/>
        <v>0</v>
      </c>
      <c r="I70" s="39">
        <f t="shared" si="26"/>
        <v>0</v>
      </c>
      <c r="J70" s="39">
        <f>SUM(B70:H70)</f>
        <v>0</v>
      </c>
      <c r="M70" s="7"/>
    </row>
    <row r="71" spans="1:13" x14ac:dyDescent="0.25">
      <c r="A71" s="1" t="s">
        <v>8</v>
      </c>
      <c r="B71" s="39">
        <f t="shared" si="25"/>
        <v>0</v>
      </c>
      <c r="C71" s="39">
        <f t="shared" ref="C71:I71" si="27">C9-C50</f>
        <v>0</v>
      </c>
      <c r="D71" s="39">
        <f t="shared" si="27"/>
        <v>0</v>
      </c>
      <c r="E71" s="39">
        <f t="shared" si="27"/>
        <v>0</v>
      </c>
      <c r="F71" s="39">
        <f t="shared" si="27"/>
        <v>0</v>
      </c>
      <c r="G71" s="39">
        <f t="shared" si="27"/>
        <v>0</v>
      </c>
      <c r="H71" s="39">
        <f t="shared" si="27"/>
        <v>0</v>
      </c>
      <c r="I71" s="39">
        <f t="shared" si="27"/>
        <v>0</v>
      </c>
      <c r="J71" s="39">
        <f t="shared" ref="J71:J86" si="28">SUM(B71:H71)</f>
        <v>0</v>
      </c>
      <c r="M71" s="7"/>
    </row>
    <row r="72" spans="1:13" x14ac:dyDescent="0.25">
      <c r="A72" s="1" t="s">
        <v>7</v>
      </c>
      <c r="B72" s="39">
        <f>B10-B51</f>
        <v>0</v>
      </c>
      <c r="C72" s="39">
        <f t="shared" ref="C72:I72" si="29">C10-C51</f>
        <v>0</v>
      </c>
      <c r="D72" s="39">
        <f t="shared" si="29"/>
        <v>0</v>
      </c>
      <c r="E72" s="39">
        <f t="shared" si="29"/>
        <v>0</v>
      </c>
      <c r="F72" s="39">
        <f t="shared" si="29"/>
        <v>0</v>
      </c>
      <c r="G72" s="39">
        <f t="shared" si="29"/>
        <v>0</v>
      </c>
      <c r="H72" s="39">
        <f t="shared" si="29"/>
        <v>0</v>
      </c>
      <c r="I72" s="39">
        <f t="shared" si="29"/>
        <v>0</v>
      </c>
      <c r="J72" s="39">
        <f t="shared" si="28"/>
        <v>0</v>
      </c>
      <c r="M72" s="7"/>
    </row>
    <row r="73" spans="1:13" x14ac:dyDescent="0.25">
      <c r="A73" s="1" t="s">
        <v>42</v>
      </c>
      <c r="B73" s="39">
        <f t="shared" ref="B73:B86" si="30">B11-B52</f>
        <v>0</v>
      </c>
      <c r="C73" s="39">
        <f t="shared" ref="C73:I73" si="31">C11-C52</f>
        <v>0</v>
      </c>
      <c r="D73" s="39">
        <f t="shared" si="31"/>
        <v>0</v>
      </c>
      <c r="E73" s="39">
        <f t="shared" si="31"/>
        <v>0</v>
      </c>
      <c r="F73" s="39">
        <f t="shared" si="31"/>
        <v>0</v>
      </c>
      <c r="G73" s="39">
        <f t="shared" si="31"/>
        <v>0</v>
      </c>
      <c r="H73" s="39">
        <f t="shared" si="31"/>
        <v>0</v>
      </c>
      <c r="I73" s="39">
        <f t="shared" si="31"/>
        <v>0</v>
      </c>
      <c r="J73" s="39">
        <f t="shared" si="28"/>
        <v>0</v>
      </c>
      <c r="M73" s="7"/>
    </row>
    <row r="74" spans="1:13" x14ac:dyDescent="0.25">
      <c r="A74" s="1" t="s">
        <v>6</v>
      </c>
      <c r="B74" s="39">
        <f t="shared" si="30"/>
        <v>0</v>
      </c>
      <c r="C74" s="39">
        <f t="shared" ref="C74:I74" si="32">C12-C53</f>
        <v>0</v>
      </c>
      <c r="D74" s="39">
        <f t="shared" si="32"/>
        <v>0</v>
      </c>
      <c r="E74" s="39">
        <f t="shared" si="32"/>
        <v>0</v>
      </c>
      <c r="F74" s="39">
        <f t="shared" si="32"/>
        <v>0</v>
      </c>
      <c r="G74" s="39">
        <f t="shared" si="32"/>
        <v>0</v>
      </c>
      <c r="H74" s="39">
        <f t="shared" si="32"/>
        <v>0</v>
      </c>
      <c r="I74" s="39">
        <f t="shared" si="32"/>
        <v>0</v>
      </c>
      <c r="J74" s="39">
        <f t="shared" si="28"/>
        <v>0</v>
      </c>
      <c r="M74" s="7"/>
    </row>
    <row r="75" spans="1:13" x14ac:dyDescent="0.25">
      <c r="A75" s="1" t="s">
        <v>50</v>
      </c>
      <c r="B75" s="39">
        <f t="shared" si="30"/>
        <v>0</v>
      </c>
      <c r="C75" s="39">
        <f t="shared" ref="C75:I75" si="33">C13-C54</f>
        <v>0</v>
      </c>
      <c r="D75" s="39">
        <f t="shared" si="33"/>
        <v>0</v>
      </c>
      <c r="E75" s="39">
        <f t="shared" si="33"/>
        <v>0</v>
      </c>
      <c r="F75" s="39">
        <f t="shared" si="33"/>
        <v>0</v>
      </c>
      <c r="G75" s="39">
        <f t="shared" si="33"/>
        <v>0</v>
      </c>
      <c r="H75" s="39">
        <f t="shared" si="33"/>
        <v>0</v>
      </c>
      <c r="I75" s="39">
        <f t="shared" si="33"/>
        <v>0</v>
      </c>
      <c r="J75" s="39">
        <f t="shared" si="28"/>
        <v>0</v>
      </c>
      <c r="M75" s="7"/>
    </row>
    <row r="76" spans="1:13" x14ac:dyDescent="0.25">
      <c r="A76" s="1" t="s">
        <v>89</v>
      </c>
      <c r="B76" s="39">
        <f t="shared" si="30"/>
        <v>0</v>
      </c>
      <c r="C76" s="39">
        <f t="shared" ref="C76:I76" si="34">C14-C55</f>
        <v>0</v>
      </c>
      <c r="D76" s="39">
        <f t="shared" si="34"/>
        <v>0</v>
      </c>
      <c r="E76" s="39">
        <f t="shared" si="34"/>
        <v>0</v>
      </c>
      <c r="F76" s="39">
        <f t="shared" si="34"/>
        <v>0</v>
      </c>
      <c r="G76" s="39">
        <f t="shared" si="34"/>
        <v>0</v>
      </c>
      <c r="H76" s="39">
        <f t="shared" si="34"/>
        <v>0</v>
      </c>
      <c r="I76" s="39">
        <f t="shared" si="34"/>
        <v>0</v>
      </c>
      <c r="J76" s="39">
        <f t="shared" si="28"/>
        <v>0</v>
      </c>
      <c r="M76" s="7"/>
    </row>
    <row r="77" spans="1:13" x14ac:dyDescent="0.25">
      <c r="A77" s="1" t="s">
        <v>5</v>
      </c>
      <c r="B77" s="39">
        <f t="shared" si="30"/>
        <v>0</v>
      </c>
      <c r="C77" s="39">
        <f t="shared" ref="C77:I77" si="35">C15-C56</f>
        <v>0</v>
      </c>
      <c r="D77" s="39">
        <f t="shared" si="35"/>
        <v>0</v>
      </c>
      <c r="E77" s="39">
        <f t="shared" si="35"/>
        <v>0</v>
      </c>
      <c r="F77" s="39">
        <f t="shared" si="35"/>
        <v>0</v>
      </c>
      <c r="G77" s="39">
        <f t="shared" si="35"/>
        <v>0</v>
      </c>
      <c r="H77" s="39">
        <f t="shared" si="35"/>
        <v>0</v>
      </c>
      <c r="I77" s="39">
        <f t="shared" si="35"/>
        <v>0</v>
      </c>
      <c r="J77" s="39">
        <f t="shared" si="28"/>
        <v>0</v>
      </c>
      <c r="M77" s="7"/>
    </row>
    <row r="78" spans="1:13" x14ac:dyDescent="0.25">
      <c r="A78" s="1" t="s">
        <v>84</v>
      </c>
      <c r="B78" s="39">
        <f t="shared" si="30"/>
        <v>0</v>
      </c>
      <c r="C78" s="39">
        <f t="shared" ref="C78:I78" si="36">C16-C57</f>
        <v>0</v>
      </c>
      <c r="D78" s="39">
        <f t="shared" si="36"/>
        <v>0</v>
      </c>
      <c r="E78" s="39">
        <f t="shared" si="36"/>
        <v>0</v>
      </c>
      <c r="F78" s="39">
        <f t="shared" si="36"/>
        <v>0</v>
      </c>
      <c r="G78" s="39">
        <f t="shared" si="36"/>
        <v>0</v>
      </c>
      <c r="H78" s="39">
        <f t="shared" si="36"/>
        <v>0</v>
      </c>
      <c r="I78" s="39">
        <f t="shared" si="36"/>
        <v>0</v>
      </c>
      <c r="J78" s="39">
        <f t="shared" si="28"/>
        <v>0</v>
      </c>
      <c r="M78" s="7"/>
    </row>
    <row r="79" spans="1:13" x14ac:dyDescent="0.25">
      <c r="A79" s="1" t="s">
        <v>4</v>
      </c>
      <c r="B79" s="39">
        <f t="shared" si="30"/>
        <v>0</v>
      </c>
      <c r="C79" s="39">
        <f t="shared" ref="C79:I79" si="37">C17-C58</f>
        <v>0</v>
      </c>
      <c r="D79" s="39">
        <f t="shared" si="37"/>
        <v>0</v>
      </c>
      <c r="E79" s="39">
        <f t="shared" si="37"/>
        <v>0</v>
      </c>
      <c r="F79" s="39">
        <f t="shared" si="37"/>
        <v>0</v>
      </c>
      <c r="G79" s="39">
        <f t="shared" si="37"/>
        <v>0</v>
      </c>
      <c r="H79" s="39">
        <f t="shared" si="37"/>
        <v>0</v>
      </c>
      <c r="I79" s="39">
        <f t="shared" si="37"/>
        <v>0</v>
      </c>
      <c r="J79" s="39">
        <f t="shared" si="28"/>
        <v>0</v>
      </c>
      <c r="M79" s="7"/>
    </row>
    <row r="80" spans="1:13" x14ac:dyDescent="0.25">
      <c r="A80" s="1" t="s">
        <v>51</v>
      </c>
      <c r="B80" s="39">
        <f t="shared" si="30"/>
        <v>0</v>
      </c>
      <c r="C80" s="39">
        <f t="shared" ref="C80:I80" si="38">C18-C59</f>
        <v>0</v>
      </c>
      <c r="D80" s="39">
        <f t="shared" si="38"/>
        <v>0</v>
      </c>
      <c r="E80" s="39">
        <f t="shared" si="38"/>
        <v>0</v>
      </c>
      <c r="F80" s="39">
        <f t="shared" si="38"/>
        <v>0</v>
      </c>
      <c r="G80" s="39">
        <f t="shared" si="38"/>
        <v>0</v>
      </c>
      <c r="H80" s="39">
        <f t="shared" si="38"/>
        <v>0</v>
      </c>
      <c r="I80" s="39">
        <f t="shared" si="38"/>
        <v>0</v>
      </c>
      <c r="J80" s="39">
        <f t="shared" si="28"/>
        <v>0</v>
      </c>
      <c r="M80" s="7"/>
    </row>
    <row r="81" spans="1:13" x14ac:dyDescent="0.25">
      <c r="A81" s="1" t="s">
        <v>85</v>
      </c>
      <c r="B81" s="39">
        <f t="shared" si="30"/>
        <v>0</v>
      </c>
      <c r="C81" s="39">
        <f t="shared" ref="C81:I81" si="39">C19-C60</f>
        <v>0</v>
      </c>
      <c r="D81" s="39">
        <f t="shared" si="39"/>
        <v>0</v>
      </c>
      <c r="E81" s="39">
        <f t="shared" si="39"/>
        <v>0</v>
      </c>
      <c r="F81" s="39">
        <f t="shared" si="39"/>
        <v>0</v>
      </c>
      <c r="G81" s="39">
        <f t="shared" si="39"/>
        <v>0</v>
      </c>
      <c r="H81" s="39">
        <f t="shared" si="39"/>
        <v>0</v>
      </c>
      <c r="I81" s="39">
        <f t="shared" si="39"/>
        <v>0</v>
      </c>
      <c r="J81" s="39">
        <f t="shared" si="28"/>
        <v>0</v>
      </c>
      <c r="M81" s="7"/>
    </row>
    <row r="82" spans="1:13" x14ac:dyDescent="0.25">
      <c r="A82" s="1" t="s">
        <v>2</v>
      </c>
      <c r="B82" s="39">
        <f t="shared" si="30"/>
        <v>0</v>
      </c>
      <c r="C82" s="39">
        <f t="shared" ref="C82:I82" si="40">C20-C61</f>
        <v>0</v>
      </c>
      <c r="D82" s="39">
        <f t="shared" si="40"/>
        <v>0</v>
      </c>
      <c r="E82" s="39">
        <f t="shared" si="40"/>
        <v>0</v>
      </c>
      <c r="F82" s="39">
        <f t="shared" si="40"/>
        <v>0</v>
      </c>
      <c r="G82" s="39">
        <f t="shared" si="40"/>
        <v>0</v>
      </c>
      <c r="H82" s="39">
        <f t="shared" si="40"/>
        <v>0</v>
      </c>
      <c r="I82" s="39">
        <f t="shared" si="40"/>
        <v>0</v>
      </c>
      <c r="J82" s="39">
        <f t="shared" si="28"/>
        <v>0</v>
      </c>
      <c r="M82" s="7"/>
    </row>
    <row r="83" spans="1:13" x14ac:dyDescent="0.25">
      <c r="A83" s="1" t="s">
        <v>86</v>
      </c>
      <c r="B83" s="39">
        <f t="shared" si="30"/>
        <v>0</v>
      </c>
      <c r="C83" s="39">
        <f t="shared" ref="C83:I83" si="41">C21-C62</f>
        <v>0</v>
      </c>
      <c r="D83" s="39">
        <f t="shared" si="41"/>
        <v>0</v>
      </c>
      <c r="E83" s="39">
        <f t="shared" si="41"/>
        <v>0</v>
      </c>
      <c r="F83" s="39">
        <f t="shared" si="41"/>
        <v>0</v>
      </c>
      <c r="G83" s="39">
        <f t="shared" si="41"/>
        <v>0</v>
      </c>
      <c r="H83" s="39">
        <f t="shared" si="41"/>
        <v>0</v>
      </c>
      <c r="I83" s="39">
        <f t="shared" si="41"/>
        <v>0</v>
      </c>
      <c r="J83" s="39">
        <f t="shared" si="28"/>
        <v>0</v>
      </c>
      <c r="M83" s="7"/>
    </row>
    <row r="84" spans="1:13" x14ac:dyDescent="0.25">
      <c r="A84" s="1" t="s">
        <v>29</v>
      </c>
      <c r="B84" s="39">
        <f t="shared" si="30"/>
        <v>0</v>
      </c>
      <c r="C84" s="39">
        <f t="shared" ref="C84:I84" si="42">C22-C63</f>
        <v>0</v>
      </c>
      <c r="D84" s="39">
        <f t="shared" si="42"/>
        <v>0</v>
      </c>
      <c r="E84" s="39">
        <f t="shared" si="42"/>
        <v>0</v>
      </c>
      <c r="F84" s="39">
        <f t="shared" si="42"/>
        <v>0</v>
      </c>
      <c r="G84" s="39">
        <f t="shared" si="42"/>
        <v>0</v>
      </c>
      <c r="H84" s="39">
        <f t="shared" si="42"/>
        <v>0</v>
      </c>
      <c r="I84" s="39">
        <f t="shared" si="42"/>
        <v>0</v>
      </c>
      <c r="J84" s="39">
        <f t="shared" si="28"/>
        <v>0</v>
      </c>
      <c r="M84" s="7"/>
    </row>
    <row r="85" spans="1:13" x14ac:dyDescent="0.25">
      <c r="A85" s="1" t="s">
        <v>52</v>
      </c>
      <c r="B85" s="39">
        <f t="shared" si="30"/>
        <v>0</v>
      </c>
      <c r="C85" s="39">
        <f t="shared" ref="C85:I85" si="43">C23-C64</f>
        <v>0</v>
      </c>
      <c r="D85" s="39">
        <f t="shared" si="43"/>
        <v>0</v>
      </c>
      <c r="E85" s="39">
        <f t="shared" si="43"/>
        <v>0</v>
      </c>
      <c r="F85" s="39">
        <f t="shared" si="43"/>
        <v>0</v>
      </c>
      <c r="G85" s="39">
        <f t="shared" si="43"/>
        <v>0</v>
      </c>
      <c r="H85" s="39">
        <f t="shared" si="43"/>
        <v>0</v>
      </c>
      <c r="I85" s="39">
        <f t="shared" si="43"/>
        <v>0</v>
      </c>
      <c r="J85" s="39">
        <f t="shared" si="28"/>
        <v>0</v>
      </c>
      <c r="M85" s="7"/>
    </row>
    <row r="86" spans="1:13" x14ac:dyDescent="0.25">
      <c r="A86" s="1" t="s">
        <v>1</v>
      </c>
      <c r="B86" s="40">
        <f t="shared" si="30"/>
        <v>0</v>
      </c>
      <c r="C86" s="40">
        <f t="shared" ref="C86:I86" si="44">C24-C65</f>
        <v>0</v>
      </c>
      <c r="D86" s="40">
        <f t="shared" si="44"/>
        <v>0</v>
      </c>
      <c r="E86" s="40">
        <f t="shared" si="44"/>
        <v>0</v>
      </c>
      <c r="F86" s="40">
        <f t="shared" si="44"/>
        <v>0</v>
      </c>
      <c r="G86" s="40">
        <f t="shared" si="44"/>
        <v>0</v>
      </c>
      <c r="H86" s="40">
        <f t="shared" si="44"/>
        <v>0</v>
      </c>
      <c r="I86" s="40">
        <f t="shared" si="44"/>
        <v>0</v>
      </c>
      <c r="J86" s="40">
        <f t="shared" si="28"/>
        <v>0</v>
      </c>
      <c r="M86" s="7"/>
    </row>
    <row r="87" spans="1:13" x14ac:dyDescent="0.25">
      <c r="A87" s="4"/>
      <c r="B87" s="39">
        <f>SUM(B70:B86)</f>
        <v>0</v>
      </c>
      <c r="C87" s="39">
        <f t="shared" ref="C87:J87" si="45">SUM(C70:C86)</f>
        <v>0</v>
      </c>
      <c r="D87" s="39">
        <f t="shared" si="45"/>
        <v>0</v>
      </c>
      <c r="E87" s="39">
        <f t="shared" si="45"/>
        <v>0</v>
      </c>
      <c r="F87" s="39">
        <f t="shared" si="45"/>
        <v>0</v>
      </c>
      <c r="G87" s="39">
        <f t="shared" si="45"/>
        <v>0</v>
      </c>
      <c r="H87" s="39">
        <f t="shared" si="45"/>
        <v>0</v>
      </c>
      <c r="I87" s="39">
        <f t="shared" si="45"/>
        <v>0</v>
      </c>
      <c r="J87" s="39">
        <f t="shared" si="45"/>
        <v>0</v>
      </c>
      <c r="M87" s="7"/>
    </row>
    <row r="88" spans="1:13" ht="15.75" thickBot="1" x14ac:dyDescent="0.3">
      <c r="A88" s="4"/>
      <c r="B88" s="39"/>
      <c r="C88" s="39"/>
      <c r="D88" s="39"/>
      <c r="E88" s="39"/>
      <c r="F88" s="39"/>
      <c r="G88" s="39"/>
      <c r="H88" s="39"/>
      <c r="I88" s="39"/>
      <c r="J88" s="39"/>
      <c r="M88" s="7"/>
    </row>
    <row r="89" spans="1:13" ht="15.75" thickBot="1" x14ac:dyDescent="0.3">
      <c r="A89" s="167" t="s">
        <v>59</v>
      </c>
      <c r="B89" s="168"/>
      <c r="C89" s="168"/>
      <c r="D89" s="168"/>
      <c r="E89" s="168"/>
      <c r="F89" s="168"/>
      <c r="G89" s="168"/>
      <c r="H89" s="168"/>
      <c r="I89" s="168"/>
      <c r="J89" s="169"/>
      <c r="M89" s="7"/>
    </row>
    <row r="90" spans="1:13" x14ac:dyDescent="0.25">
      <c r="A90" s="4" t="s">
        <v>16</v>
      </c>
      <c r="B90" s="5" t="s">
        <v>15</v>
      </c>
      <c r="C90" s="5" t="s">
        <v>14</v>
      </c>
      <c r="D90" s="5" t="s">
        <v>13</v>
      </c>
      <c r="E90" s="5" t="s">
        <v>12</v>
      </c>
      <c r="F90" s="5" t="s">
        <v>93</v>
      </c>
      <c r="G90" s="5" t="s">
        <v>94</v>
      </c>
      <c r="H90" s="5" t="s">
        <v>38</v>
      </c>
      <c r="I90" s="5" t="s">
        <v>9</v>
      </c>
      <c r="J90" s="5" t="s">
        <v>0</v>
      </c>
      <c r="M90" s="7"/>
    </row>
    <row r="91" spans="1:13" x14ac:dyDescent="0.25">
      <c r="A91" s="1" t="s">
        <v>49</v>
      </c>
      <c r="B91" s="41">
        <v>0</v>
      </c>
      <c r="C91" s="41">
        <v>0</v>
      </c>
      <c r="D91" s="41">
        <v>0</v>
      </c>
      <c r="E91" s="41">
        <v>0.1</v>
      </c>
      <c r="F91" s="41">
        <v>0.15</v>
      </c>
      <c r="G91" s="41">
        <v>0.15</v>
      </c>
      <c r="H91" s="41">
        <v>0.2</v>
      </c>
      <c r="I91" s="41">
        <v>1</v>
      </c>
      <c r="J91" s="39"/>
      <c r="M91" s="7"/>
    </row>
    <row r="92" spans="1:13" x14ac:dyDescent="0.25">
      <c r="A92" s="1" t="s">
        <v>8</v>
      </c>
      <c r="B92" s="41">
        <v>0</v>
      </c>
      <c r="C92" s="41">
        <v>0</v>
      </c>
      <c r="D92" s="41">
        <v>0</v>
      </c>
      <c r="E92" s="41">
        <v>0.1</v>
      </c>
      <c r="F92" s="41">
        <v>0.15</v>
      </c>
      <c r="G92" s="41">
        <v>0.15</v>
      </c>
      <c r="H92" s="41">
        <v>0.2</v>
      </c>
      <c r="I92" s="41">
        <v>1</v>
      </c>
      <c r="J92" s="39"/>
      <c r="M92" s="7"/>
    </row>
    <row r="93" spans="1:13" x14ac:dyDescent="0.25">
      <c r="A93" s="1" t="s">
        <v>7</v>
      </c>
      <c r="B93" s="41">
        <v>0</v>
      </c>
      <c r="C93" s="41">
        <v>0</v>
      </c>
      <c r="D93" s="41">
        <v>0</v>
      </c>
      <c r="E93" s="41">
        <v>0.1</v>
      </c>
      <c r="F93" s="41">
        <v>0.15</v>
      </c>
      <c r="G93" s="41">
        <v>0.15</v>
      </c>
      <c r="H93" s="41">
        <v>0.2</v>
      </c>
      <c r="I93" s="41">
        <v>1</v>
      </c>
      <c r="J93" s="39"/>
      <c r="M93" s="7"/>
    </row>
    <row r="94" spans="1:13" x14ac:dyDescent="0.25">
      <c r="A94" s="1" t="s">
        <v>42</v>
      </c>
      <c r="B94" s="41">
        <v>0</v>
      </c>
      <c r="C94" s="41">
        <v>0</v>
      </c>
      <c r="D94" s="41">
        <v>0</v>
      </c>
      <c r="E94" s="41">
        <v>0.1</v>
      </c>
      <c r="F94" s="41">
        <v>0.15</v>
      </c>
      <c r="G94" s="41">
        <v>0.15</v>
      </c>
      <c r="H94" s="41">
        <v>0.2</v>
      </c>
      <c r="I94" s="41">
        <v>1</v>
      </c>
      <c r="J94" s="39"/>
      <c r="M94" s="7"/>
    </row>
    <row r="95" spans="1:13" x14ac:dyDescent="0.25">
      <c r="A95" s="1" t="s">
        <v>6</v>
      </c>
      <c r="B95" s="41">
        <v>0</v>
      </c>
      <c r="C95" s="41">
        <v>0</v>
      </c>
      <c r="D95" s="41">
        <v>0</v>
      </c>
      <c r="E95" s="41">
        <v>0.1</v>
      </c>
      <c r="F95" s="41">
        <v>0.15</v>
      </c>
      <c r="G95" s="41">
        <v>0.15</v>
      </c>
      <c r="H95" s="41">
        <v>0.2</v>
      </c>
      <c r="I95" s="41">
        <v>1</v>
      </c>
      <c r="J95" s="39"/>
      <c r="M95" s="7"/>
    </row>
    <row r="96" spans="1:13" x14ac:dyDescent="0.25">
      <c r="A96" s="1" t="s">
        <v>50</v>
      </c>
      <c r="B96" s="41">
        <v>0</v>
      </c>
      <c r="C96" s="41">
        <v>0</v>
      </c>
      <c r="D96" s="41">
        <v>0</v>
      </c>
      <c r="E96" s="41">
        <v>0.1</v>
      </c>
      <c r="F96" s="41">
        <v>0.15</v>
      </c>
      <c r="G96" s="41">
        <v>0.15</v>
      </c>
      <c r="H96" s="41">
        <v>0.2</v>
      </c>
      <c r="I96" s="41">
        <v>1</v>
      </c>
      <c r="J96" s="39"/>
      <c r="M96" s="7"/>
    </row>
    <row r="97" spans="1:13" x14ac:dyDescent="0.25">
      <c r="A97" s="1" t="s">
        <v>89</v>
      </c>
      <c r="B97" s="41">
        <v>0</v>
      </c>
      <c r="C97" s="41">
        <v>0</v>
      </c>
      <c r="D97" s="41">
        <v>0</v>
      </c>
      <c r="E97" s="41">
        <v>0.1</v>
      </c>
      <c r="F97" s="41">
        <v>0.15</v>
      </c>
      <c r="G97" s="41">
        <v>0.15</v>
      </c>
      <c r="H97" s="41">
        <v>0.2</v>
      </c>
      <c r="I97" s="41">
        <v>1</v>
      </c>
      <c r="J97" s="39"/>
      <c r="M97" s="7"/>
    </row>
    <row r="98" spans="1:13" x14ac:dyDescent="0.25">
      <c r="A98" s="1" t="s">
        <v>5</v>
      </c>
      <c r="B98" s="41">
        <v>0</v>
      </c>
      <c r="C98" s="41">
        <v>0</v>
      </c>
      <c r="D98" s="41">
        <v>0</v>
      </c>
      <c r="E98" s="41">
        <v>0.1</v>
      </c>
      <c r="F98" s="41">
        <v>0.15</v>
      </c>
      <c r="G98" s="41">
        <v>0.15</v>
      </c>
      <c r="H98" s="41">
        <v>0.2</v>
      </c>
      <c r="I98" s="41">
        <v>1</v>
      </c>
      <c r="J98" s="39"/>
      <c r="M98" s="7"/>
    </row>
    <row r="99" spans="1:13" x14ac:dyDescent="0.25">
      <c r="A99" s="1" t="s">
        <v>84</v>
      </c>
      <c r="B99" s="41">
        <v>0</v>
      </c>
      <c r="C99" s="41">
        <v>0</v>
      </c>
      <c r="D99" s="41">
        <v>0</v>
      </c>
      <c r="E99" s="41">
        <v>0.1</v>
      </c>
      <c r="F99" s="41">
        <v>0.15</v>
      </c>
      <c r="G99" s="41">
        <v>0.15</v>
      </c>
      <c r="H99" s="41">
        <v>0.2</v>
      </c>
      <c r="I99" s="41">
        <v>1</v>
      </c>
      <c r="J99" s="39"/>
      <c r="M99" s="7"/>
    </row>
    <row r="100" spans="1:13" x14ac:dyDescent="0.25">
      <c r="A100" s="1" t="s">
        <v>4</v>
      </c>
      <c r="B100" s="41">
        <v>0</v>
      </c>
      <c r="C100" s="41">
        <v>0</v>
      </c>
      <c r="D100" s="41">
        <v>0</v>
      </c>
      <c r="E100" s="41">
        <v>0.1</v>
      </c>
      <c r="F100" s="41">
        <v>0.15</v>
      </c>
      <c r="G100" s="41">
        <v>0.15</v>
      </c>
      <c r="H100" s="41">
        <v>0.2</v>
      </c>
      <c r="I100" s="41">
        <v>1</v>
      </c>
      <c r="J100" s="39"/>
      <c r="M100" s="7"/>
    </row>
    <row r="101" spans="1:13" x14ac:dyDescent="0.25">
      <c r="A101" s="1" t="s">
        <v>51</v>
      </c>
      <c r="B101" s="41">
        <v>0</v>
      </c>
      <c r="C101" s="41">
        <v>0</v>
      </c>
      <c r="D101" s="41">
        <v>0</v>
      </c>
      <c r="E101" s="41">
        <v>0.1</v>
      </c>
      <c r="F101" s="41">
        <v>0.15</v>
      </c>
      <c r="G101" s="41">
        <v>0.15</v>
      </c>
      <c r="H101" s="41">
        <v>0.2</v>
      </c>
      <c r="I101" s="41">
        <v>1</v>
      </c>
      <c r="J101" s="39"/>
      <c r="M101" s="7"/>
    </row>
    <row r="102" spans="1:13" x14ac:dyDescent="0.25">
      <c r="A102" s="1" t="s">
        <v>85</v>
      </c>
      <c r="B102" s="41">
        <v>0</v>
      </c>
      <c r="C102" s="41">
        <v>0</v>
      </c>
      <c r="D102" s="41">
        <v>0</v>
      </c>
      <c r="E102" s="41">
        <v>0.1</v>
      </c>
      <c r="F102" s="41">
        <v>0.15</v>
      </c>
      <c r="G102" s="41">
        <v>0.15</v>
      </c>
      <c r="H102" s="41">
        <v>0.2</v>
      </c>
      <c r="I102" s="41">
        <v>1</v>
      </c>
      <c r="J102" s="39"/>
      <c r="M102" s="7"/>
    </row>
    <row r="103" spans="1:13" x14ac:dyDescent="0.25">
      <c r="A103" s="1" t="s">
        <v>2</v>
      </c>
      <c r="B103" s="41">
        <v>0</v>
      </c>
      <c r="C103" s="41">
        <v>0</v>
      </c>
      <c r="D103" s="41">
        <v>0.1</v>
      </c>
      <c r="E103" s="41">
        <v>0.5</v>
      </c>
      <c r="F103" s="41">
        <v>1</v>
      </c>
      <c r="G103" s="41">
        <v>1</v>
      </c>
      <c r="H103" s="41">
        <v>1</v>
      </c>
      <c r="I103" s="41">
        <v>1</v>
      </c>
      <c r="J103" s="39"/>
      <c r="M103" s="7"/>
    </row>
    <row r="104" spans="1:13" x14ac:dyDescent="0.25">
      <c r="A104" s="1" t="s">
        <v>86</v>
      </c>
      <c r="B104" s="41">
        <v>0</v>
      </c>
      <c r="C104" s="41">
        <v>0</v>
      </c>
      <c r="D104" s="41">
        <v>0</v>
      </c>
      <c r="E104" s="41">
        <v>0.1</v>
      </c>
      <c r="F104" s="41">
        <v>0.15</v>
      </c>
      <c r="G104" s="41">
        <v>0.15</v>
      </c>
      <c r="H104" s="41">
        <v>0.2</v>
      </c>
      <c r="I104" s="41">
        <v>1</v>
      </c>
      <c r="J104" s="39"/>
      <c r="M104" s="7"/>
    </row>
    <row r="105" spans="1:13" x14ac:dyDescent="0.25">
      <c r="A105" s="1" t="s">
        <v>29</v>
      </c>
      <c r="B105" s="41">
        <v>0</v>
      </c>
      <c r="C105" s="41">
        <v>0</v>
      </c>
      <c r="D105" s="41">
        <v>0</v>
      </c>
      <c r="E105" s="41">
        <v>0.1</v>
      </c>
      <c r="F105" s="41">
        <v>0.15</v>
      </c>
      <c r="G105" s="41">
        <v>0.15</v>
      </c>
      <c r="H105" s="41">
        <v>0.2</v>
      </c>
      <c r="I105" s="41">
        <v>1</v>
      </c>
      <c r="J105" s="39"/>
      <c r="M105" s="7"/>
    </row>
    <row r="106" spans="1:13" x14ac:dyDescent="0.25">
      <c r="A106" s="1" t="s">
        <v>52</v>
      </c>
      <c r="B106" s="41">
        <v>0</v>
      </c>
      <c r="C106" s="41">
        <v>0</v>
      </c>
      <c r="D106" s="41">
        <v>0</v>
      </c>
      <c r="E106" s="41">
        <v>0.1</v>
      </c>
      <c r="F106" s="41">
        <v>0.15</v>
      </c>
      <c r="G106" s="41">
        <v>0.15</v>
      </c>
      <c r="H106" s="41">
        <v>0.2</v>
      </c>
      <c r="I106" s="41">
        <v>1</v>
      </c>
      <c r="J106" s="39"/>
      <c r="M106" s="7"/>
    </row>
    <row r="107" spans="1:13" x14ac:dyDescent="0.25">
      <c r="A107" s="1" t="s">
        <v>1</v>
      </c>
      <c r="B107" s="41">
        <v>0</v>
      </c>
      <c r="C107" s="41">
        <v>0</v>
      </c>
      <c r="D107" s="41">
        <v>0</v>
      </c>
      <c r="E107" s="41">
        <v>0.1</v>
      </c>
      <c r="F107" s="41">
        <v>0.15</v>
      </c>
      <c r="G107" s="41">
        <v>0.15</v>
      </c>
      <c r="H107" s="41">
        <v>0.2</v>
      </c>
      <c r="I107" s="41">
        <v>1</v>
      </c>
      <c r="J107" s="39"/>
      <c r="M107" s="7"/>
    </row>
    <row r="108" spans="1:13" ht="15.75" thickBot="1" x14ac:dyDescent="0.3">
      <c r="A108" s="4"/>
      <c r="B108" s="39"/>
      <c r="C108" s="39"/>
      <c r="D108" s="39"/>
      <c r="E108" s="39"/>
      <c r="F108" s="39"/>
      <c r="G108" s="39"/>
      <c r="H108" s="39"/>
      <c r="I108" s="39"/>
      <c r="J108" s="39"/>
      <c r="M108" s="7"/>
    </row>
    <row r="109" spans="1:13" ht="15.75" thickBot="1" x14ac:dyDescent="0.3">
      <c r="A109" s="170" t="s">
        <v>60</v>
      </c>
      <c r="B109" s="171"/>
      <c r="C109" s="171"/>
      <c r="D109" s="171"/>
      <c r="E109" s="171"/>
      <c r="F109" s="171"/>
      <c r="G109" s="171"/>
      <c r="H109" s="171"/>
      <c r="I109" s="171"/>
      <c r="J109" s="172"/>
      <c r="M109" s="7"/>
    </row>
    <row r="110" spans="1:13" x14ac:dyDescent="0.25">
      <c r="A110" s="4" t="s">
        <v>16</v>
      </c>
      <c r="B110" s="5" t="s">
        <v>15</v>
      </c>
      <c r="C110" s="5" t="s">
        <v>14</v>
      </c>
      <c r="D110" s="5" t="s">
        <v>13</v>
      </c>
      <c r="E110" s="5" t="s">
        <v>12</v>
      </c>
      <c r="F110" s="5" t="s">
        <v>93</v>
      </c>
      <c r="G110" s="5" t="s">
        <v>94</v>
      </c>
      <c r="H110" s="5" t="s">
        <v>38</v>
      </c>
      <c r="I110" s="5" t="s">
        <v>9</v>
      </c>
      <c r="J110" s="5" t="s">
        <v>0</v>
      </c>
      <c r="M110" s="7"/>
    </row>
    <row r="111" spans="1:13" x14ac:dyDescent="0.25">
      <c r="A111" s="1" t="s">
        <v>49</v>
      </c>
      <c r="B111" s="66">
        <f>IF(B70&gt;0,B70*B91,0)</f>
        <v>0</v>
      </c>
      <c r="C111" s="66">
        <f t="shared" ref="C111:I111" si="46">IF(C70&gt;0,C70*C91,0)</f>
        <v>0</v>
      </c>
      <c r="D111" s="66">
        <f t="shared" si="46"/>
        <v>0</v>
      </c>
      <c r="E111" s="66">
        <f t="shared" si="46"/>
        <v>0</v>
      </c>
      <c r="F111" s="66">
        <f t="shared" si="46"/>
        <v>0</v>
      </c>
      <c r="G111" s="66">
        <f t="shared" si="46"/>
        <v>0</v>
      </c>
      <c r="H111" s="66">
        <f t="shared" si="46"/>
        <v>0</v>
      </c>
      <c r="I111" s="66">
        <f t="shared" si="46"/>
        <v>0</v>
      </c>
      <c r="J111" s="39">
        <f>SUM(B111:H111)</f>
        <v>0</v>
      </c>
      <c r="M111" s="7"/>
    </row>
    <row r="112" spans="1:13" x14ac:dyDescent="0.25">
      <c r="A112" s="1" t="s">
        <v>8</v>
      </c>
      <c r="B112" s="39">
        <f>IF(B71&gt;0,B71*B92,0)</f>
        <v>0</v>
      </c>
      <c r="C112" s="39">
        <f t="shared" ref="C112:I112" si="47">IF(C71&gt;0,C71*C92,0)</f>
        <v>0</v>
      </c>
      <c r="D112" s="39">
        <f t="shared" si="47"/>
        <v>0</v>
      </c>
      <c r="E112" s="39">
        <f t="shared" si="47"/>
        <v>0</v>
      </c>
      <c r="F112" s="39">
        <f t="shared" si="47"/>
        <v>0</v>
      </c>
      <c r="G112" s="39">
        <f t="shared" si="47"/>
        <v>0</v>
      </c>
      <c r="H112" s="39">
        <f t="shared" si="47"/>
        <v>0</v>
      </c>
      <c r="I112" s="39">
        <f t="shared" si="47"/>
        <v>0</v>
      </c>
      <c r="J112" s="39">
        <f t="shared" ref="J112:J127" si="48">SUM(B112:H112)</f>
        <v>0</v>
      </c>
      <c r="M112" s="7"/>
    </row>
    <row r="113" spans="1:13" x14ac:dyDescent="0.25">
      <c r="A113" s="1" t="s">
        <v>7</v>
      </c>
      <c r="B113" s="39">
        <f>IF(B72&gt;0,B72*B93,0)</f>
        <v>0</v>
      </c>
      <c r="C113" s="39">
        <f t="shared" ref="C113:I113" si="49">IF(C72&gt;0,C72*C93,0)</f>
        <v>0</v>
      </c>
      <c r="D113" s="39">
        <f t="shared" si="49"/>
        <v>0</v>
      </c>
      <c r="E113" s="39">
        <f t="shared" si="49"/>
        <v>0</v>
      </c>
      <c r="F113" s="39">
        <f t="shared" si="49"/>
        <v>0</v>
      </c>
      <c r="G113" s="39">
        <f t="shared" si="49"/>
        <v>0</v>
      </c>
      <c r="H113" s="39">
        <f t="shared" si="49"/>
        <v>0</v>
      </c>
      <c r="I113" s="39">
        <f t="shared" si="49"/>
        <v>0</v>
      </c>
      <c r="J113" s="39">
        <f t="shared" si="48"/>
        <v>0</v>
      </c>
      <c r="M113" s="7"/>
    </row>
    <row r="114" spans="1:13" x14ac:dyDescent="0.25">
      <c r="A114" s="1" t="s">
        <v>42</v>
      </c>
      <c r="B114" s="39">
        <f t="shared" ref="B114:B127" si="50">IF(B73&gt;0,B73*B94,0)</f>
        <v>0</v>
      </c>
      <c r="C114" s="39">
        <f t="shared" ref="C114:I114" si="51">IF(C73&gt;0,C73*C94,0)</f>
        <v>0</v>
      </c>
      <c r="D114" s="39">
        <f t="shared" si="51"/>
        <v>0</v>
      </c>
      <c r="E114" s="39">
        <f t="shared" si="51"/>
        <v>0</v>
      </c>
      <c r="F114" s="39">
        <f t="shared" si="51"/>
        <v>0</v>
      </c>
      <c r="G114" s="39">
        <f t="shared" si="51"/>
        <v>0</v>
      </c>
      <c r="H114" s="39">
        <f t="shared" si="51"/>
        <v>0</v>
      </c>
      <c r="I114" s="39">
        <f t="shared" si="51"/>
        <v>0</v>
      </c>
      <c r="J114" s="39">
        <f t="shared" si="48"/>
        <v>0</v>
      </c>
      <c r="M114" s="7"/>
    </row>
    <row r="115" spans="1:13" x14ac:dyDescent="0.25">
      <c r="A115" s="1" t="s">
        <v>6</v>
      </c>
      <c r="B115" s="39">
        <f t="shared" si="50"/>
        <v>0</v>
      </c>
      <c r="C115" s="39">
        <f t="shared" ref="C115:I115" si="52">IF(C74&gt;0,C74*C95,0)</f>
        <v>0</v>
      </c>
      <c r="D115" s="39">
        <f t="shared" si="52"/>
        <v>0</v>
      </c>
      <c r="E115" s="39">
        <f t="shared" si="52"/>
        <v>0</v>
      </c>
      <c r="F115" s="39">
        <f t="shared" si="52"/>
        <v>0</v>
      </c>
      <c r="G115" s="39">
        <f t="shared" si="52"/>
        <v>0</v>
      </c>
      <c r="H115" s="39">
        <f t="shared" si="52"/>
        <v>0</v>
      </c>
      <c r="I115" s="39">
        <f t="shared" si="52"/>
        <v>0</v>
      </c>
      <c r="J115" s="39">
        <f t="shared" si="48"/>
        <v>0</v>
      </c>
      <c r="M115" s="7"/>
    </row>
    <row r="116" spans="1:13" x14ac:dyDescent="0.25">
      <c r="A116" s="1" t="s">
        <v>50</v>
      </c>
      <c r="B116" s="39">
        <f t="shared" si="50"/>
        <v>0</v>
      </c>
      <c r="C116" s="39">
        <f t="shared" ref="C116:I116" si="53">IF(C75&gt;0,C75*C96,0)</f>
        <v>0</v>
      </c>
      <c r="D116" s="39">
        <f t="shared" si="53"/>
        <v>0</v>
      </c>
      <c r="E116" s="39">
        <f t="shared" si="53"/>
        <v>0</v>
      </c>
      <c r="F116" s="39">
        <f t="shared" si="53"/>
        <v>0</v>
      </c>
      <c r="G116" s="39">
        <f t="shared" si="53"/>
        <v>0</v>
      </c>
      <c r="H116" s="39">
        <f t="shared" si="53"/>
        <v>0</v>
      </c>
      <c r="I116" s="39">
        <f t="shared" si="53"/>
        <v>0</v>
      </c>
      <c r="J116" s="39">
        <f t="shared" si="48"/>
        <v>0</v>
      </c>
      <c r="M116" s="7"/>
    </row>
    <row r="117" spans="1:13" x14ac:dyDescent="0.25">
      <c r="A117" s="1" t="s">
        <v>89</v>
      </c>
      <c r="B117" s="39">
        <f t="shared" si="50"/>
        <v>0</v>
      </c>
      <c r="C117" s="39">
        <f t="shared" ref="C117:I117" si="54">IF(C76&gt;0,C76*C97,0)</f>
        <v>0</v>
      </c>
      <c r="D117" s="39">
        <f t="shared" si="54"/>
        <v>0</v>
      </c>
      <c r="E117" s="39">
        <f t="shared" si="54"/>
        <v>0</v>
      </c>
      <c r="F117" s="39">
        <f t="shared" si="54"/>
        <v>0</v>
      </c>
      <c r="G117" s="39">
        <f t="shared" si="54"/>
        <v>0</v>
      </c>
      <c r="H117" s="39">
        <f t="shared" si="54"/>
        <v>0</v>
      </c>
      <c r="I117" s="39">
        <f t="shared" si="54"/>
        <v>0</v>
      </c>
      <c r="J117" s="39">
        <f t="shared" si="48"/>
        <v>0</v>
      </c>
      <c r="M117" s="7"/>
    </row>
    <row r="118" spans="1:13" x14ac:dyDescent="0.25">
      <c r="A118" s="1" t="s">
        <v>5</v>
      </c>
      <c r="B118" s="39">
        <f t="shared" si="50"/>
        <v>0</v>
      </c>
      <c r="C118" s="39">
        <f t="shared" ref="C118:I118" si="55">IF(C77&gt;0,C77*C98,0)</f>
        <v>0</v>
      </c>
      <c r="D118" s="39">
        <f t="shared" si="55"/>
        <v>0</v>
      </c>
      <c r="E118" s="39">
        <f t="shared" si="55"/>
        <v>0</v>
      </c>
      <c r="F118" s="39">
        <f t="shared" si="55"/>
        <v>0</v>
      </c>
      <c r="G118" s="39">
        <f t="shared" si="55"/>
        <v>0</v>
      </c>
      <c r="H118" s="39">
        <f t="shared" si="55"/>
        <v>0</v>
      </c>
      <c r="I118" s="39">
        <f t="shared" si="55"/>
        <v>0</v>
      </c>
      <c r="J118" s="39">
        <f t="shared" si="48"/>
        <v>0</v>
      </c>
      <c r="M118" s="7"/>
    </row>
    <row r="119" spans="1:13" x14ac:dyDescent="0.25">
      <c r="A119" s="1" t="s">
        <v>84</v>
      </c>
      <c r="B119" s="39">
        <f t="shared" si="50"/>
        <v>0</v>
      </c>
      <c r="C119" s="39">
        <f t="shared" ref="C119:I119" si="56">IF(C78&gt;0,C78*C99,0)</f>
        <v>0</v>
      </c>
      <c r="D119" s="39">
        <f t="shared" si="56"/>
        <v>0</v>
      </c>
      <c r="E119" s="39">
        <f t="shared" si="56"/>
        <v>0</v>
      </c>
      <c r="F119" s="39">
        <f t="shared" si="56"/>
        <v>0</v>
      </c>
      <c r="G119" s="39">
        <f t="shared" si="56"/>
        <v>0</v>
      </c>
      <c r="H119" s="39">
        <f t="shared" si="56"/>
        <v>0</v>
      </c>
      <c r="I119" s="39">
        <f t="shared" si="56"/>
        <v>0</v>
      </c>
      <c r="J119" s="39">
        <f t="shared" si="48"/>
        <v>0</v>
      </c>
      <c r="M119" s="7"/>
    </row>
    <row r="120" spans="1:13" x14ac:dyDescent="0.25">
      <c r="A120" s="1" t="s">
        <v>4</v>
      </c>
      <c r="B120" s="39">
        <f t="shared" si="50"/>
        <v>0</v>
      </c>
      <c r="C120" s="39">
        <f t="shared" ref="C120:I120" si="57">IF(C79&gt;0,C79*C100,0)</f>
        <v>0</v>
      </c>
      <c r="D120" s="39">
        <f t="shared" si="57"/>
        <v>0</v>
      </c>
      <c r="E120" s="39">
        <f t="shared" si="57"/>
        <v>0</v>
      </c>
      <c r="F120" s="39">
        <f t="shared" si="57"/>
        <v>0</v>
      </c>
      <c r="G120" s="39">
        <f t="shared" si="57"/>
        <v>0</v>
      </c>
      <c r="H120" s="39">
        <f t="shared" si="57"/>
        <v>0</v>
      </c>
      <c r="I120" s="39">
        <f t="shared" si="57"/>
        <v>0</v>
      </c>
      <c r="J120" s="39">
        <f t="shared" si="48"/>
        <v>0</v>
      </c>
      <c r="M120" s="7"/>
    </row>
    <row r="121" spans="1:13" x14ac:dyDescent="0.25">
      <c r="A121" s="1" t="s">
        <v>51</v>
      </c>
      <c r="B121" s="39">
        <f t="shared" si="50"/>
        <v>0</v>
      </c>
      <c r="C121" s="39">
        <f t="shared" ref="C121:I121" si="58">IF(C80&gt;0,C80*C101,0)</f>
        <v>0</v>
      </c>
      <c r="D121" s="39">
        <f t="shared" si="58"/>
        <v>0</v>
      </c>
      <c r="E121" s="39">
        <f t="shared" si="58"/>
        <v>0</v>
      </c>
      <c r="F121" s="39">
        <f t="shared" si="58"/>
        <v>0</v>
      </c>
      <c r="G121" s="39">
        <f t="shared" si="58"/>
        <v>0</v>
      </c>
      <c r="H121" s="39">
        <f t="shared" si="58"/>
        <v>0</v>
      </c>
      <c r="I121" s="39">
        <f t="shared" si="58"/>
        <v>0</v>
      </c>
      <c r="J121" s="39">
        <f t="shared" si="48"/>
        <v>0</v>
      </c>
      <c r="M121" s="7"/>
    </row>
    <row r="122" spans="1:13" x14ac:dyDescent="0.25">
      <c r="A122" s="1" t="s">
        <v>85</v>
      </c>
      <c r="B122" s="39">
        <f t="shared" si="50"/>
        <v>0</v>
      </c>
      <c r="C122" s="39">
        <f t="shared" ref="C122:I122" si="59">IF(C81&gt;0,C81*C102,0)</f>
        <v>0</v>
      </c>
      <c r="D122" s="39">
        <f t="shared" si="59"/>
        <v>0</v>
      </c>
      <c r="E122" s="39">
        <f t="shared" si="59"/>
        <v>0</v>
      </c>
      <c r="F122" s="39">
        <f t="shared" si="59"/>
        <v>0</v>
      </c>
      <c r="G122" s="39">
        <f t="shared" si="59"/>
        <v>0</v>
      </c>
      <c r="H122" s="39">
        <f t="shared" si="59"/>
        <v>0</v>
      </c>
      <c r="I122" s="39">
        <f t="shared" si="59"/>
        <v>0</v>
      </c>
      <c r="J122" s="39">
        <f t="shared" si="48"/>
        <v>0</v>
      </c>
      <c r="M122" s="7"/>
    </row>
    <row r="123" spans="1:13" x14ac:dyDescent="0.25">
      <c r="A123" s="1" t="s">
        <v>2</v>
      </c>
      <c r="B123" s="39">
        <f t="shared" si="50"/>
        <v>0</v>
      </c>
      <c r="C123" s="39">
        <f t="shared" ref="C123:I123" si="60">IF(C82&gt;0,C82*C103,0)</f>
        <v>0</v>
      </c>
      <c r="D123" s="39">
        <f t="shared" si="60"/>
        <v>0</v>
      </c>
      <c r="E123" s="39">
        <f t="shared" si="60"/>
        <v>0</v>
      </c>
      <c r="F123" s="39">
        <f t="shared" si="60"/>
        <v>0</v>
      </c>
      <c r="G123" s="39">
        <f t="shared" si="60"/>
        <v>0</v>
      </c>
      <c r="H123" s="39">
        <f t="shared" si="60"/>
        <v>0</v>
      </c>
      <c r="I123" s="39">
        <f t="shared" si="60"/>
        <v>0</v>
      </c>
      <c r="J123" s="39">
        <f t="shared" si="48"/>
        <v>0</v>
      </c>
      <c r="M123" s="7"/>
    </row>
    <row r="124" spans="1:13" x14ac:dyDescent="0.25">
      <c r="A124" s="1" t="s">
        <v>86</v>
      </c>
      <c r="B124" s="39">
        <f t="shared" si="50"/>
        <v>0</v>
      </c>
      <c r="C124" s="39">
        <f t="shared" ref="C124:I124" si="61">IF(C83&gt;0,C83*C104,0)</f>
        <v>0</v>
      </c>
      <c r="D124" s="39">
        <f t="shared" si="61"/>
        <v>0</v>
      </c>
      <c r="E124" s="39">
        <f t="shared" si="61"/>
        <v>0</v>
      </c>
      <c r="F124" s="39">
        <f t="shared" si="61"/>
        <v>0</v>
      </c>
      <c r="G124" s="39">
        <f t="shared" si="61"/>
        <v>0</v>
      </c>
      <c r="H124" s="39">
        <f t="shared" si="61"/>
        <v>0</v>
      </c>
      <c r="I124" s="39">
        <f t="shared" si="61"/>
        <v>0</v>
      </c>
      <c r="J124" s="39">
        <f t="shared" si="48"/>
        <v>0</v>
      </c>
      <c r="M124" s="183" t="s">
        <v>62</v>
      </c>
    </row>
    <row r="125" spans="1:13" x14ac:dyDescent="0.25">
      <c r="A125" s="1" t="s">
        <v>29</v>
      </c>
      <c r="B125" s="39">
        <f t="shared" si="50"/>
        <v>0</v>
      </c>
      <c r="C125" s="39">
        <f t="shared" ref="C125:I125" si="62">IF(C84&gt;0,C84*C105,0)</f>
        <v>0</v>
      </c>
      <c r="D125" s="39">
        <f t="shared" si="62"/>
        <v>0</v>
      </c>
      <c r="E125" s="39">
        <f t="shared" si="62"/>
        <v>0</v>
      </c>
      <c r="F125" s="39">
        <f t="shared" si="62"/>
        <v>0</v>
      </c>
      <c r="G125" s="39">
        <f t="shared" si="62"/>
        <v>0</v>
      </c>
      <c r="H125" s="39">
        <f t="shared" si="62"/>
        <v>0</v>
      </c>
      <c r="I125" s="39">
        <f t="shared" si="62"/>
        <v>0</v>
      </c>
      <c r="J125" s="39">
        <f t="shared" si="48"/>
        <v>0</v>
      </c>
      <c r="M125" s="183"/>
    </row>
    <row r="126" spans="1:13" x14ac:dyDescent="0.25">
      <c r="A126" s="1" t="s">
        <v>52</v>
      </c>
      <c r="B126" s="39">
        <f t="shared" si="50"/>
        <v>0</v>
      </c>
      <c r="C126" s="39">
        <f t="shared" ref="C126:I126" si="63">IF(C85&gt;0,C85*C106,0)</f>
        <v>0</v>
      </c>
      <c r="D126" s="39">
        <f t="shared" si="63"/>
        <v>0</v>
      </c>
      <c r="E126" s="39">
        <f t="shared" si="63"/>
        <v>0</v>
      </c>
      <c r="F126" s="39">
        <f t="shared" si="63"/>
        <v>0</v>
      </c>
      <c r="G126" s="39">
        <f t="shared" si="63"/>
        <v>0</v>
      </c>
      <c r="H126" s="39">
        <f t="shared" si="63"/>
        <v>0</v>
      </c>
      <c r="I126" s="39">
        <f t="shared" si="63"/>
        <v>0</v>
      </c>
      <c r="J126" s="39">
        <f t="shared" si="48"/>
        <v>0</v>
      </c>
      <c r="L126" s="35" t="s">
        <v>151</v>
      </c>
      <c r="M126" s="183" t="s">
        <v>63</v>
      </c>
    </row>
    <row r="127" spans="1:13" x14ac:dyDescent="0.25">
      <c r="A127" s="1" t="s">
        <v>1</v>
      </c>
      <c r="B127" s="40">
        <f t="shared" si="50"/>
        <v>0</v>
      </c>
      <c r="C127" s="40">
        <f t="shared" ref="C127:I127" si="64">IF(C86&gt;0,C86*C107,0)</f>
        <v>0</v>
      </c>
      <c r="D127" s="40">
        <f t="shared" si="64"/>
        <v>0</v>
      </c>
      <c r="E127" s="40">
        <f t="shared" si="64"/>
        <v>0</v>
      </c>
      <c r="F127" s="40">
        <f t="shared" si="64"/>
        <v>0</v>
      </c>
      <c r="G127" s="40">
        <f t="shared" si="64"/>
        <v>0</v>
      </c>
      <c r="H127" s="40">
        <f t="shared" si="64"/>
        <v>0</v>
      </c>
      <c r="I127" s="40">
        <f t="shared" si="64"/>
        <v>0</v>
      </c>
      <c r="J127" s="40">
        <f t="shared" si="48"/>
        <v>0</v>
      </c>
      <c r="L127" s="42" t="s">
        <v>61</v>
      </c>
      <c r="M127" s="184"/>
    </row>
    <row r="128" spans="1:13" x14ac:dyDescent="0.25">
      <c r="A128" s="4"/>
      <c r="B128" s="39">
        <f>SUM(B111:B127)</f>
        <v>0</v>
      </c>
      <c r="C128" s="39">
        <f t="shared" ref="C128:J128" si="65">SUM(C111:C127)</f>
        <v>0</v>
      </c>
      <c r="D128" s="39">
        <f t="shared" si="65"/>
        <v>0</v>
      </c>
      <c r="E128" s="39">
        <f t="shared" si="65"/>
        <v>0</v>
      </c>
      <c r="F128" s="39">
        <f t="shared" si="65"/>
        <v>0</v>
      </c>
      <c r="G128" s="39">
        <f t="shared" si="65"/>
        <v>0</v>
      </c>
      <c r="H128" s="39">
        <f t="shared" si="65"/>
        <v>0</v>
      </c>
      <c r="I128" s="39">
        <f t="shared" si="65"/>
        <v>0</v>
      </c>
      <c r="J128" s="39">
        <f t="shared" si="65"/>
        <v>0</v>
      </c>
      <c r="L128" s="108">
        <v>60000</v>
      </c>
      <c r="M128" s="7">
        <f>J128-L128</f>
        <v>-60000</v>
      </c>
    </row>
    <row r="129" spans="1:13" ht="15.75" thickBot="1" x14ac:dyDescent="0.3">
      <c r="A129" s="4"/>
      <c r="B129" s="39"/>
      <c r="C129" s="39"/>
      <c r="D129" s="39"/>
      <c r="E129" s="39"/>
      <c r="F129" s="39"/>
      <c r="G129" s="39"/>
      <c r="H129" s="39"/>
      <c r="I129" s="39"/>
      <c r="J129" s="39"/>
      <c r="M129" s="7"/>
    </row>
    <row r="130" spans="1:13" ht="15.75" thickBot="1" x14ac:dyDescent="0.3">
      <c r="A130" s="170" t="s">
        <v>30</v>
      </c>
      <c r="B130" s="171"/>
      <c r="C130" s="171"/>
      <c r="D130" s="171"/>
      <c r="E130" s="171"/>
      <c r="F130" s="171"/>
      <c r="G130" s="171"/>
      <c r="H130" s="171"/>
      <c r="I130" s="171"/>
      <c r="J130" s="172"/>
      <c r="M130" s="7"/>
    </row>
    <row r="131" spans="1:13" x14ac:dyDescent="0.25">
      <c r="A131" s="4" t="s">
        <v>16</v>
      </c>
      <c r="B131" s="5" t="s">
        <v>15</v>
      </c>
      <c r="C131" s="5" t="s">
        <v>14</v>
      </c>
      <c r="D131" s="5" t="s">
        <v>13</v>
      </c>
      <c r="E131" s="5" t="s">
        <v>12</v>
      </c>
      <c r="F131" s="5" t="s">
        <v>93</v>
      </c>
      <c r="G131" s="5" t="s">
        <v>94</v>
      </c>
      <c r="H131" s="5" t="s">
        <v>38</v>
      </c>
      <c r="I131" s="5" t="s">
        <v>9</v>
      </c>
      <c r="J131" s="5" t="s">
        <v>0</v>
      </c>
      <c r="M131" s="7"/>
    </row>
    <row r="132" spans="1:13" x14ac:dyDescent="0.25">
      <c r="A132" s="1" t="s">
        <v>49</v>
      </c>
      <c r="B132" s="39">
        <f>B70-B111</f>
        <v>0</v>
      </c>
      <c r="C132" s="39">
        <f t="shared" ref="C132:I132" si="66">C70-C111</f>
        <v>0</v>
      </c>
      <c r="D132" s="39">
        <f t="shared" si="66"/>
        <v>0</v>
      </c>
      <c r="E132" s="39">
        <f t="shared" si="66"/>
        <v>0</v>
      </c>
      <c r="F132" s="39">
        <f t="shared" si="66"/>
        <v>0</v>
      </c>
      <c r="G132" s="39">
        <f t="shared" si="66"/>
        <v>0</v>
      </c>
      <c r="H132" s="39">
        <f t="shared" si="66"/>
        <v>0</v>
      </c>
      <c r="I132" s="39">
        <f t="shared" si="66"/>
        <v>0</v>
      </c>
      <c r="J132" s="39">
        <f>SUM(B132:H132)</f>
        <v>0</v>
      </c>
      <c r="M132" s="7"/>
    </row>
    <row r="133" spans="1:13" x14ac:dyDescent="0.25">
      <c r="A133" s="1" t="s">
        <v>8</v>
      </c>
      <c r="B133" s="39">
        <f>B71-B112</f>
        <v>0</v>
      </c>
      <c r="C133" s="39">
        <f t="shared" ref="C133:I133" si="67">C71-C112</f>
        <v>0</v>
      </c>
      <c r="D133" s="39">
        <f t="shared" si="67"/>
        <v>0</v>
      </c>
      <c r="E133" s="39">
        <f t="shared" si="67"/>
        <v>0</v>
      </c>
      <c r="F133" s="39">
        <f t="shared" si="67"/>
        <v>0</v>
      </c>
      <c r="G133" s="39">
        <f t="shared" si="67"/>
        <v>0</v>
      </c>
      <c r="H133" s="39">
        <f t="shared" si="67"/>
        <v>0</v>
      </c>
      <c r="I133" s="39">
        <f t="shared" si="67"/>
        <v>0</v>
      </c>
      <c r="J133" s="39">
        <f t="shared" ref="J133:J148" si="68">SUM(B133:H133)</f>
        <v>0</v>
      </c>
      <c r="M133" s="7"/>
    </row>
    <row r="134" spans="1:13" x14ac:dyDescent="0.25">
      <c r="A134" s="1" t="s">
        <v>7</v>
      </c>
      <c r="B134" s="39">
        <f>B72-B113</f>
        <v>0</v>
      </c>
      <c r="C134" s="39">
        <f t="shared" ref="C134:I134" si="69">C72-C113</f>
        <v>0</v>
      </c>
      <c r="D134" s="39">
        <f t="shared" si="69"/>
        <v>0</v>
      </c>
      <c r="E134" s="39">
        <f t="shared" si="69"/>
        <v>0</v>
      </c>
      <c r="F134" s="39">
        <f t="shared" si="69"/>
        <v>0</v>
      </c>
      <c r="G134" s="39">
        <f t="shared" si="69"/>
        <v>0</v>
      </c>
      <c r="H134" s="39">
        <f t="shared" si="69"/>
        <v>0</v>
      </c>
      <c r="I134" s="39">
        <f t="shared" si="69"/>
        <v>0</v>
      </c>
      <c r="J134" s="39">
        <f t="shared" si="68"/>
        <v>0</v>
      </c>
      <c r="M134" s="7"/>
    </row>
    <row r="135" spans="1:13" x14ac:dyDescent="0.25">
      <c r="A135" s="1" t="s">
        <v>42</v>
      </c>
      <c r="B135" s="39">
        <f t="shared" ref="B135:B148" si="70">B73-B114</f>
        <v>0</v>
      </c>
      <c r="C135" s="39">
        <f t="shared" ref="C135:I135" si="71">C73-C114</f>
        <v>0</v>
      </c>
      <c r="D135" s="39">
        <f t="shared" si="71"/>
        <v>0</v>
      </c>
      <c r="E135" s="39">
        <f t="shared" si="71"/>
        <v>0</v>
      </c>
      <c r="F135" s="39">
        <f t="shared" si="71"/>
        <v>0</v>
      </c>
      <c r="G135" s="39">
        <f t="shared" si="71"/>
        <v>0</v>
      </c>
      <c r="H135" s="39">
        <f t="shared" si="71"/>
        <v>0</v>
      </c>
      <c r="I135" s="39">
        <f t="shared" si="71"/>
        <v>0</v>
      </c>
      <c r="J135" s="39">
        <f t="shared" si="68"/>
        <v>0</v>
      </c>
      <c r="M135" s="7"/>
    </row>
    <row r="136" spans="1:13" x14ac:dyDescent="0.25">
      <c r="A136" s="1" t="s">
        <v>6</v>
      </c>
      <c r="B136" s="39">
        <f t="shared" si="70"/>
        <v>0</v>
      </c>
      <c r="C136" s="39">
        <f t="shared" ref="C136:I136" si="72">C74-C115</f>
        <v>0</v>
      </c>
      <c r="D136" s="39">
        <f t="shared" si="72"/>
        <v>0</v>
      </c>
      <c r="E136" s="39">
        <f t="shared" si="72"/>
        <v>0</v>
      </c>
      <c r="F136" s="39">
        <f t="shared" si="72"/>
        <v>0</v>
      </c>
      <c r="G136" s="39">
        <f t="shared" si="72"/>
        <v>0</v>
      </c>
      <c r="H136" s="39">
        <f t="shared" si="72"/>
        <v>0</v>
      </c>
      <c r="I136" s="39">
        <f t="shared" si="72"/>
        <v>0</v>
      </c>
      <c r="J136" s="39">
        <f t="shared" si="68"/>
        <v>0</v>
      </c>
      <c r="M136" s="7"/>
    </row>
    <row r="137" spans="1:13" x14ac:dyDescent="0.25">
      <c r="A137" s="1" t="s">
        <v>50</v>
      </c>
      <c r="B137" s="39">
        <f t="shared" si="70"/>
        <v>0</v>
      </c>
      <c r="C137" s="39">
        <f t="shared" ref="C137:I137" si="73">C75-C116</f>
        <v>0</v>
      </c>
      <c r="D137" s="39">
        <f t="shared" si="73"/>
        <v>0</v>
      </c>
      <c r="E137" s="39">
        <f t="shared" si="73"/>
        <v>0</v>
      </c>
      <c r="F137" s="39">
        <f t="shared" si="73"/>
        <v>0</v>
      </c>
      <c r="G137" s="39">
        <f t="shared" si="73"/>
        <v>0</v>
      </c>
      <c r="H137" s="39">
        <f t="shared" si="73"/>
        <v>0</v>
      </c>
      <c r="I137" s="39">
        <f t="shared" si="73"/>
        <v>0</v>
      </c>
      <c r="J137" s="39">
        <f t="shared" si="68"/>
        <v>0</v>
      </c>
      <c r="M137" s="7"/>
    </row>
    <row r="138" spans="1:13" x14ac:dyDescent="0.25">
      <c r="A138" s="1" t="s">
        <v>89</v>
      </c>
      <c r="B138" s="39">
        <f t="shared" si="70"/>
        <v>0</v>
      </c>
      <c r="C138" s="39">
        <f t="shared" ref="C138:I138" si="74">C76-C117</f>
        <v>0</v>
      </c>
      <c r="D138" s="39">
        <f t="shared" si="74"/>
        <v>0</v>
      </c>
      <c r="E138" s="39">
        <f t="shared" si="74"/>
        <v>0</v>
      </c>
      <c r="F138" s="39">
        <f t="shared" si="74"/>
        <v>0</v>
      </c>
      <c r="G138" s="39">
        <f t="shared" si="74"/>
        <v>0</v>
      </c>
      <c r="H138" s="39">
        <f t="shared" si="74"/>
        <v>0</v>
      </c>
      <c r="I138" s="39">
        <f t="shared" si="74"/>
        <v>0</v>
      </c>
      <c r="J138" s="39">
        <f t="shared" si="68"/>
        <v>0</v>
      </c>
      <c r="M138" s="7"/>
    </row>
    <row r="139" spans="1:13" x14ac:dyDescent="0.25">
      <c r="A139" s="1" t="s">
        <v>5</v>
      </c>
      <c r="B139" s="39">
        <f t="shared" si="70"/>
        <v>0</v>
      </c>
      <c r="C139" s="39">
        <f t="shared" ref="C139:I139" si="75">C77-C118</f>
        <v>0</v>
      </c>
      <c r="D139" s="39">
        <f t="shared" si="75"/>
        <v>0</v>
      </c>
      <c r="E139" s="39">
        <f t="shared" si="75"/>
        <v>0</v>
      </c>
      <c r="F139" s="39">
        <f t="shared" si="75"/>
        <v>0</v>
      </c>
      <c r="G139" s="39">
        <f t="shared" si="75"/>
        <v>0</v>
      </c>
      <c r="H139" s="39">
        <f t="shared" si="75"/>
        <v>0</v>
      </c>
      <c r="I139" s="39">
        <f t="shared" si="75"/>
        <v>0</v>
      </c>
      <c r="J139" s="39">
        <f t="shared" si="68"/>
        <v>0</v>
      </c>
      <c r="M139" s="7"/>
    </row>
    <row r="140" spans="1:13" x14ac:dyDescent="0.25">
      <c r="A140" s="1" t="s">
        <v>84</v>
      </c>
      <c r="B140" s="39">
        <f t="shared" si="70"/>
        <v>0</v>
      </c>
      <c r="C140" s="39">
        <f t="shared" ref="C140:I140" si="76">C78-C119</f>
        <v>0</v>
      </c>
      <c r="D140" s="39">
        <f t="shared" si="76"/>
        <v>0</v>
      </c>
      <c r="E140" s="39">
        <f t="shared" si="76"/>
        <v>0</v>
      </c>
      <c r="F140" s="39">
        <f t="shared" si="76"/>
        <v>0</v>
      </c>
      <c r="G140" s="39">
        <f t="shared" si="76"/>
        <v>0</v>
      </c>
      <c r="H140" s="39">
        <f t="shared" si="76"/>
        <v>0</v>
      </c>
      <c r="I140" s="39">
        <f t="shared" si="76"/>
        <v>0</v>
      </c>
      <c r="J140" s="39">
        <f t="shared" si="68"/>
        <v>0</v>
      </c>
      <c r="M140" s="7"/>
    </row>
    <row r="141" spans="1:13" x14ac:dyDescent="0.25">
      <c r="A141" s="1" t="s">
        <v>4</v>
      </c>
      <c r="B141" s="39">
        <f t="shared" si="70"/>
        <v>0</v>
      </c>
      <c r="C141" s="39">
        <f t="shared" ref="C141:I141" si="77">C79-C120</f>
        <v>0</v>
      </c>
      <c r="D141" s="39">
        <f t="shared" si="77"/>
        <v>0</v>
      </c>
      <c r="E141" s="39">
        <f t="shared" si="77"/>
        <v>0</v>
      </c>
      <c r="F141" s="39">
        <f t="shared" si="77"/>
        <v>0</v>
      </c>
      <c r="G141" s="39">
        <f t="shared" si="77"/>
        <v>0</v>
      </c>
      <c r="H141" s="39">
        <f t="shared" si="77"/>
        <v>0</v>
      </c>
      <c r="I141" s="39">
        <f t="shared" si="77"/>
        <v>0</v>
      </c>
      <c r="J141" s="39">
        <f t="shared" si="68"/>
        <v>0</v>
      </c>
      <c r="M141" s="7"/>
    </row>
    <row r="142" spans="1:13" x14ac:dyDescent="0.25">
      <c r="A142" s="1" t="s">
        <v>51</v>
      </c>
      <c r="B142" s="39">
        <f t="shared" si="70"/>
        <v>0</v>
      </c>
      <c r="C142" s="39">
        <f t="shared" ref="C142:I142" si="78">C80-C121</f>
        <v>0</v>
      </c>
      <c r="D142" s="39">
        <f t="shared" si="78"/>
        <v>0</v>
      </c>
      <c r="E142" s="39">
        <f t="shared" si="78"/>
        <v>0</v>
      </c>
      <c r="F142" s="39">
        <f t="shared" si="78"/>
        <v>0</v>
      </c>
      <c r="G142" s="39">
        <f t="shared" si="78"/>
        <v>0</v>
      </c>
      <c r="H142" s="39">
        <f t="shared" si="78"/>
        <v>0</v>
      </c>
      <c r="I142" s="39">
        <f t="shared" si="78"/>
        <v>0</v>
      </c>
      <c r="J142" s="39">
        <f t="shared" si="68"/>
        <v>0</v>
      </c>
      <c r="M142" s="7"/>
    </row>
    <row r="143" spans="1:13" x14ac:dyDescent="0.25">
      <c r="A143" s="1" t="s">
        <v>85</v>
      </c>
      <c r="B143" s="39">
        <f t="shared" si="70"/>
        <v>0</v>
      </c>
      <c r="C143" s="39">
        <f t="shared" ref="C143:I143" si="79">C81-C122</f>
        <v>0</v>
      </c>
      <c r="D143" s="39">
        <f t="shared" si="79"/>
        <v>0</v>
      </c>
      <c r="E143" s="39">
        <f t="shared" si="79"/>
        <v>0</v>
      </c>
      <c r="F143" s="39">
        <f t="shared" si="79"/>
        <v>0</v>
      </c>
      <c r="G143" s="39">
        <f t="shared" si="79"/>
        <v>0</v>
      </c>
      <c r="H143" s="39">
        <f t="shared" si="79"/>
        <v>0</v>
      </c>
      <c r="I143" s="39">
        <f t="shared" si="79"/>
        <v>0</v>
      </c>
      <c r="J143" s="39">
        <f t="shared" si="68"/>
        <v>0</v>
      </c>
      <c r="M143" s="7"/>
    </row>
    <row r="144" spans="1:13" x14ac:dyDescent="0.25">
      <c r="A144" s="1" t="s">
        <v>2</v>
      </c>
      <c r="B144" s="39">
        <f t="shared" si="70"/>
        <v>0</v>
      </c>
      <c r="C144" s="39">
        <f t="shared" ref="C144:I144" si="80">C82-C123</f>
        <v>0</v>
      </c>
      <c r="D144" s="39">
        <f t="shared" si="80"/>
        <v>0</v>
      </c>
      <c r="E144" s="39">
        <f t="shared" si="80"/>
        <v>0</v>
      </c>
      <c r="F144" s="39">
        <f t="shared" si="80"/>
        <v>0</v>
      </c>
      <c r="G144" s="39">
        <f t="shared" si="80"/>
        <v>0</v>
      </c>
      <c r="H144" s="39">
        <f t="shared" si="80"/>
        <v>0</v>
      </c>
      <c r="I144" s="39">
        <f t="shared" si="80"/>
        <v>0</v>
      </c>
      <c r="J144" s="39">
        <f t="shared" si="68"/>
        <v>0</v>
      </c>
      <c r="M144" s="7"/>
    </row>
    <row r="145" spans="1:13" x14ac:dyDescent="0.25">
      <c r="A145" s="1" t="s">
        <v>86</v>
      </c>
      <c r="B145" s="39">
        <f t="shared" si="70"/>
        <v>0</v>
      </c>
      <c r="C145" s="39">
        <f t="shared" ref="C145:I145" si="81">C83-C124</f>
        <v>0</v>
      </c>
      <c r="D145" s="39">
        <f t="shared" si="81"/>
        <v>0</v>
      </c>
      <c r="E145" s="39">
        <f t="shared" si="81"/>
        <v>0</v>
      </c>
      <c r="F145" s="39">
        <f t="shared" si="81"/>
        <v>0</v>
      </c>
      <c r="G145" s="39">
        <f t="shared" si="81"/>
        <v>0</v>
      </c>
      <c r="H145" s="39">
        <f t="shared" si="81"/>
        <v>0</v>
      </c>
      <c r="I145" s="39">
        <f t="shared" si="81"/>
        <v>0</v>
      </c>
      <c r="J145" s="39">
        <f t="shared" si="68"/>
        <v>0</v>
      </c>
      <c r="M145" s="7"/>
    </row>
    <row r="146" spans="1:13" x14ac:dyDescent="0.25">
      <c r="A146" s="1" t="s">
        <v>29</v>
      </c>
      <c r="B146" s="39">
        <f t="shared" si="70"/>
        <v>0</v>
      </c>
      <c r="C146" s="39">
        <f t="shared" ref="C146:I146" si="82">C84-C125</f>
        <v>0</v>
      </c>
      <c r="D146" s="39">
        <f t="shared" si="82"/>
        <v>0</v>
      </c>
      <c r="E146" s="39">
        <f t="shared" si="82"/>
        <v>0</v>
      </c>
      <c r="F146" s="39">
        <f t="shared" si="82"/>
        <v>0</v>
      </c>
      <c r="G146" s="39">
        <f t="shared" si="82"/>
        <v>0</v>
      </c>
      <c r="H146" s="39">
        <f t="shared" si="82"/>
        <v>0</v>
      </c>
      <c r="I146" s="39">
        <f t="shared" si="82"/>
        <v>0</v>
      </c>
      <c r="J146" s="39">
        <f t="shared" si="68"/>
        <v>0</v>
      </c>
      <c r="M146" s="7"/>
    </row>
    <row r="147" spans="1:13" x14ac:dyDescent="0.25">
      <c r="A147" s="1" t="s">
        <v>52</v>
      </c>
      <c r="B147" s="39">
        <f t="shared" si="70"/>
        <v>0</v>
      </c>
      <c r="C147" s="39">
        <f t="shared" ref="C147:I147" si="83">C85-C126</f>
        <v>0</v>
      </c>
      <c r="D147" s="39">
        <f t="shared" si="83"/>
        <v>0</v>
      </c>
      <c r="E147" s="39">
        <f t="shared" si="83"/>
        <v>0</v>
      </c>
      <c r="F147" s="39">
        <f t="shared" si="83"/>
        <v>0</v>
      </c>
      <c r="G147" s="39">
        <f t="shared" si="83"/>
        <v>0</v>
      </c>
      <c r="H147" s="39">
        <f t="shared" si="83"/>
        <v>0</v>
      </c>
      <c r="I147" s="39">
        <f t="shared" si="83"/>
        <v>0</v>
      </c>
      <c r="J147" s="39">
        <f t="shared" si="68"/>
        <v>0</v>
      </c>
      <c r="M147" s="7"/>
    </row>
    <row r="148" spans="1:13" x14ac:dyDescent="0.25">
      <c r="A148" s="1" t="s">
        <v>1</v>
      </c>
      <c r="B148" s="40">
        <f t="shared" si="70"/>
        <v>0</v>
      </c>
      <c r="C148" s="40">
        <f t="shared" ref="C148:I148" si="84">C86-C127</f>
        <v>0</v>
      </c>
      <c r="D148" s="40">
        <f t="shared" si="84"/>
        <v>0</v>
      </c>
      <c r="E148" s="40">
        <f t="shared" si="84"/>
        <v>0</v>
      </c>
      <c r="F148" s="40">
        <f t="shared" si="84"/>
        <v>0</v>
      </c>
      <c r="G148" s="40">
        <f t="shared" si="84"/>
        <v>0</v>
      </c>
      <c r="H148" s="40">
        <f t="shared" si="84"/>
        <v>0</v>
      </c>
      <c r="I148" s="40">
        <f t="shared" si="84"/>
        <v>0</v>
      </c>
      <c r="J148" s="40">
        <f t="shared" si="68"/>
        <v>0</v>
      </c>
      <c r="M148" s="7"/>
    </row>
    <row r="149" spans="1:13" x14ac:dyDescent="0.25">
      <c r="A149" s="4"/>
      <c r="B149" s="39">
        <f>SUM(B132:B148)</f>
        <v>0</v>
      </c>
      <c r="C149" s="39">
        <f t="shared" ref="C149:J149" si="85">SUM(C132:C148)</f>
        <v>0</v>
      </c>
      <c r="D149" s="39">
        <f t="shared" si="85"/>
        <v>0</v>
      </c>
      <c r="E149" s="39">
        <f t="shared" si="85"/>
        <v>0</v>
      </c>
      <c r="F149" s="39">
        <f t="shared" si="85"/>
        <v>0</v>
      </c>
      <c r="G149" s="39">
        <f t="shared" si="85"/>
        <v>0</v>
      </c>
      <c r="H149" s="39">
        <f t="shared" si="85"/>
        <v>0</v>
      </c>
      <c r="I149" s="39">
        <f t="shared" si="85"/>
        <v>0</v>
      </c>
      <c r="J149" s="39">
        <f t="shared" si="85"/>
        <v>0</v>
      </c>
      <c r="M149" s="7"/>
    </row>
    <row r="150" spans="1:13" x14ac:dyDescent="0.25">
      <c r="A150" s="4"/>
      <c r="B150" s="39"/>
      <c r="C150" s="39"/>
      <c r="D150" s="39"/>
      <c r="E150" s="39"/>
      <c r="F150" s="39"/>
      <c r="G150" s="39"/>
      <c r="H150" s="39"/>
      <c r="I150" s="39"/>
      <c r="J150" s="39"/>
      <c r="M150" s="7"/>
    </row>
    <row r="151" spans="1:13" x14ac:dyDescent="0.25">
      <c r="A151" s="4"/>
      <c r="B151" s="39"/>
      <c r="C151" s="39"/>
      <c r="D151" s="39"/>
      <c r="E151" s="39"/>
      <c r="F151" s="39"/>
      <c r="G151" s="39"/>
      <c r="H151" s="39"/>
      <c r="I151" s="39"/>
      <c r="J151" s="39"/>
      <c r="M151" s="7"/>
    </row>
    <row r="152" spans="1:13" x14ac:dyDescent="0.25">
      <c r="A152" s="4"/>
      <c r="B152" s="39"/>
      <c r="C152" s="39"/>
      <c r="D152" s="39"/>
      <c r="E152" s="39"/>
      <c r="F152" s="39"/>
      <c r="G152" s="39"/>
      <c r="H152" s="39"/>
      <c r="I152" s="39"/>
      <c r="J152" s="39"/>
      <c r="M152" s="7"/>
    </row>
    <row r="153" spans="1:13" x14ac:dyDescent="0.25">
      <c r="A153" s="4"/>
      <c r="B153" s="39"/>
      <c r="C153" s="39"/>
      <c r="D153" s="39"/>
      <c r="E153" s="39"/>
      <c r="F153" s="39"/>
      <c r="G153" s="39"/>
      <c r="H153" s="39"/>
      <c r="I153" s="39"/>
      <c r="J153" s="39"/>
      <c r="M153" s="7"/>
    </row>
    <row r="154" spans="1:13" x14ac:dyDescent="0.25">
      <c r="A154" s="4"/>
      <c r="B154" s="39"/>
      <c r="C154" s="39"/>
      <c r="D154" s="39"/>
      <c r="E154" s="39"/>
      <c r="F154" s="39"/>
      <c r="G154" s="39"/>
      <c r="H154" s="39"/>
      <c r="I154" s="39"/>
      <c r="J154" s="39"/>
      <c r="M154" s="7"/>
    </row>
    <row r="155" spans="1:13" x14ac:dyDescent="0.25">
      <c r="A155" s="4"/>
      <c r="B155" s="39"/>
      <c r="C155" s="39"/>
      <c r="D155" s="39"/>
      <c r="E155" s="39"/>
      <c r="F155" s="39"/>
      <c r="G155" s="39"/>
      <c r="H155" s="39"/>
      <c r="I155" s="39"/>
      <c r="J155" s="39"/>
      <c r="M155" s="7"/>
    </row>
    <row r="156" spans="1:13" x14ac:dyDescent="0.25">
      <c r="A156" s="4"/>
      <c r="B156" s="39"/>
      <c r="C156" s="39"/>
      <c r="D156" s="39"/>
      <c r="E156" s="39"/>
      <c r="F156" s="39"/>
      <c r="G156" s="39"/>
      <c r="H156" s="39"/>
      <c r="I156" s="39"/>
      <c r="J156" s="39"/>
      <c r="M156" s="7"/>
    </row>
    <row r="157" spans="1:13" x14ac:dyDescent="0.25">
      <c r="A157" s="1"/>
      <c r="B157" s="9"/>
      <c r="C157" s="9"/>
      <c r="D157" s="9"/>
      <c r="E157" s="9"/>
      <c r="F157" s="9"/>
      <c r="G157" s="9"/>
      <c r="H157" s="9"/>
      <c r="I157" s="9"/>
      <c r="J157" s="9"/>
      <c r="M157" s="7"/>
    </row>
    <row r="158" spans="1:13" x14ac:dyDescent="0.25">
      <c r="A158" s="1"/>
      <c r="B158" s="9"/>
      <c r="C158" s="9"/>
      <c r="D158" s="9"/>
      <c r="E158" s="9"/>
      <c r="F158" s="9"/>
      <c r="G158" s="9"/>
      <c r="H158" s="9"/>
      <c r="I158" s="9"/>
      <c r="J158" s="9"/>
      <c r="M158" s="7"/>
    </row>
  </sheetData>
  <mergeCells count="16">
    <mergeCell ref="A1:M1"/>
    <mergeCell ref="A2:M2"/>
    <mergeCell ref="A3:M3"/>
    <mergeCell ref="A4:M4"/>
    <mergeCell ref="A6:J6"/>
    <mergeCell ref="L6:M6"/>
    <mergeCell ref="A109:J109"/>
    <mergeCell ref="M124:M125"/>
    <mergeCell ref="M126:M127"/>
    <mergeCell ref="A130:J130"/>
    <mergeCell ref="A27:J27"/>
    <mergeCell ref="A47:J47"/>
    <mergeCell ref="M62:M63"/>
    <mergeCell ref="M64:M65"/>
    <mergeCell ref="A68:J68"/>
    <mergeCell ref="A89:J89"/>
  </mergeCells>
  <pageMargins left="0.7" right="0.7" top="0.75" bottom="0.75" header="0.3" footer="0.3"/>
  <pageSetup scale="31"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pageSetUpPr fitToPage="1"/>
  </sheetPr>
  <dimension ref="A1:Q158"/>
  <sheetViews>
    <sheetView topLeftCell="A118" zoomScale="85" zoomScaleNormal="85" workbookViewId="0">
      <selection activeCell="B7" sqref="B7:I7"/>
    </sheetView>
  </sheetViews>
  <sheetFormatPr defaultColWidth="9.140625" defaultRowHeight="15" x14ac:dyDescent="0.25"/>
  <cols>
    <col min="1" max="1" width="38.85546875" bestFit="1" customWidth="1"/>
    <col min="2" max="10" width="12.7109375" customWidth="1"/>
    <col min="11" max="11" width="2.5703125" customWidth="1"/>
    <col min="12" max="12" width="12.7109375" customWidth="1"/>
    <col min="13" max="13" width="30.7109375" customWidth="1"/>
    <col min="14" max="14" width="18.5703125" customWidth="1"/>
  </cols>
  <sheetData>
    <row r="1" spans="1:15" ht="18.75" x14ac:dyDescent="0.3">
      <c r="A1" s="173" t="s">
        <v>17</v>
      </c>
      <c r="B1" s="173"/>
      <c r="C1" s="173"/>
      <c r="D1" s="173"/>
      <c r="E1" s="173"/>
      <c r="F1" s="173"/>
      <c r="G1" s="173"/>
      <c r="H1" s="173"/>
      <c r="I1" s="173"/>
      <c r="J1" s="173"/>
      <c r="K1" s="173"/>
      <c r="L1" s="173"/>
      <c r="M1" s="173"/>
      <c r="O1" s="31"/>
    </row>
    <row r="2" spans="1:15" ht="15.75" x14ac:dyDescent="0.25">
      <c r="A2" s="174" t="s">
        <v>269</v>
      </c>
      <c r="B2" s="174"/>
      <c r="C2" s="174"/>
      <c r="D2" s="174"/>
      <c r="E2" s="174"/>
      <c r="F2" s="174"/>
      <c r="G2" s="174"/>
      <c r="H2" s="174"/>
      <c r="I2" s="174"/>
      <c r="J2" s="174"/>
      <c r="K2" s="174"/>
      <c r="L2" s="174"/>
      <c r="M2" s="174"/>
      <c r="O2" s="31"/>
    </row>
    <row r="3" spans="1:15" x14ac:dyDescent="0.25">
      <c r="A3" s="175" t="s">
        <v>31</v>
      </c>
      <c r="B3" s="175"/>
      <c r="C3" s="175"/>
      <c r="D3" s="175"/>
      <c r="E3" s="175"/>
      <c r="F3" s="175"/>
      <c r="G3" s="175"/>
      <c r="H3" s="175"/>
      <c r="I3" s="175"/>
      <c r="J3" s="175"/>
      <c r="K3" s="175"/>
      <c r="L3" s="175"/>
      <c r="M3" s="175"/>
    </row>
    <row r="4" spans="1:15" x14ac:dyDescent="0.25">
      <c r="A4" s="187">
        <f>'Company Summary'!A4:J4</f>
        <v>45199</v>
      </c>
      <c r="B4" s="187"/>
      <c r="C4" s="187"/>
      <c r="D4" s="187"/>
      <c r="E4" s="187"/>
      <c r="F4" s="187"/>
      <c r="G4" s="187"/>
      <c r="H4" s="187"/>
      <c r="I4" s="187"/>
      <c r="J4" s="187"/>
      <c r="K4" s="187"/>
      <c r="L4" s="187"/>
      <c r="M4" s="187"/>
    </row>
    <row r="5" spans="1:15" ht="15.75" thickBot="1" x14ac:dyDescent="0.3">
      <c r="A5" s="81"/>
      <c r="B5" s="81"/>
      <c r="C5" s="81"/>
      <c r="D5" s="81"/>
      <c r="E5" s="81"/>
      <c r="F5" s="81"/>
      <c r="G5" s="81"/>
      <c r="H5" s="81"/>
      <c r="I5" s="81"/>
      <c r="J5" s="81"/>
      <c r="K5" s="81"/>
      <c r="L5" s="81"/>
      <c r="M5" s="81"/>
    </row>
    <row r="6" spans="1:15" ht="15.75" thickBot="1" x14ac:dyDescent="0.3">
      <c r="A6" s="170" t="s">
        <v>54</v>
      </c>
      <c r="B6" s="171"/>
      <c r="C6" s="171"/>
      <c r="D6" s="171"/>
      <c r="E6" s="171"/>
      <c r="F6" s="171"/>
      <c r="G6" s="171"/>
      <c r="H6" s="171"/>
      <c r="I6" s="171"/>
      <c r="J6" s="172"/>
      <c r="L6" s="186"/>
      <c r="M6" s="186"/>
    </row>
    <row r="7" spans="1:15" x14ac:dyDescent="0.25">
      <c r="A7" s="4" t="s">
        <v>16</v>
      </c>
      <c r="B7" s="5" t="s">
        <v>15</v>
      </c>
      <c r="C7" s="5" t="s">
        <v>14</v>
      </c>
      <c r="D7" s="5" t="s">
        <v>13</v>
      </c>
      <c r="E7" s="5" t="s">
        <v>12</v>
      </c>
      <c r="F7" s="5" t="s">
        <v>93</v>
      </c>
      <c r="G7" s="5" t="s">
        <v>94</v>
      </c>
      <c r="H7" s="5" t="s">
        <v>38</v>
      </c>
      <c r="I7" s="5" t="s">
        <v>9</v>
      </c>
      <c r="J7" s="5" t="s">
        <v>0</v>
      </c>
      <c r="L7" s="4"/>
      <c r="M7" s="4"/>
    </row>
    <row r="8" spans="1:15" x14ac:dyDescent="0.25">
      <c r="A8" s="1" t="s">
        <v>49</v>
      </c>
      <c r="B8" s="33">
        <f>'Agile AR Aging &lt;-INPUT'!C361</f>
        <v>0</v>
      </c>
      <c r="C8" s="33">
        <f>'Agile AR Aging &lt;-INPUT'!D361</f>
        <v>0</v>
      </c>
      <c r="D8" s="33">
        <f>'Agile AR Aging &lt;-INPUT'!E361</f>
        <v>0</v>
      </c>
      <c r="E8" s="33">
        <f>'Agile AR Aging &lt;-INPUT'!F361</f>
        <v>0</v>
      </c>
      <c r="F8" s="33">
        <f>'Agile AR Aging &lt;-INPUT'!G361</f>
        <v>0</v>
      </c>
      <c r="G8" s="33">
        <f>'Agile AR Aging &lt;-INPUT'!H361</f>
        <v>0</v>
      </c>
      <c r="H8" s="33">
        <f>'Agile AR Aging &lt;-INPUT'!I361</f>
        <v>0</v>
      </c>
      <c r="I8" s="33">
        <f>'Agile AR Aging &lt;-INPUT'!J361</f>
        <v>0</v>
      </c>
      <c r="J8" s="2">
        <f t="shared" ref="J8:J24" si="0">SUM(B8:H8)</f>
        <v>0</v>
      </c>
      <c r="L8" s="67"/>
    </row>
    <row r="9" spans="1:15" x14ac:dyDescent="0.25">
      <c r="A9" s="1" t="s">
        <v>8</v>
      </c>
      <c r="B9" s="33">
        <f>'Agile AR Aging &lt;-INPUT'!C362</f>
        <v>0</v>
      </c>
      <c r="C9" s="33">
        <f>'Agile AR Aging &lt;-INPUT'!D362</f>
        <v>0</v>
      </c>
      <c r="D9" s="33">
        <f>'Agile AR Aging &lt;-INPUT'!E362</f>
        <v>0</v>
      </c>
      <c r="E9" s="33">
        <f>'Agile AR Aging &lt;-INPUT'!F362</f>
        <v>0</v>
      </c>
      <c r="F9" s="33">
        <f>'Agile AR Aging &lt;-INPUT'!G362</f>
        <v>0</v>
      </c>
      <c r="G9" s="33">
        <f>'Agile AR Aging &lt;-INPUT'!H362</f>
        <v>0</v>
      </c>
      <c r="H9" s="33">
        <f>'Agile AR Aging &lt;-INPUT'!I362</f>
        <v>0</v>
      </c>
      <c r="I9" s="33">
        <f>'Agile AR Aging &lt;-INPUT'!J362</f>
        <v>0</v>
      </c>
      <c r="J9" s="2">
        <f t="shared" si="0"/>
        <v>0</v>
      </c>
      <c r="L9" s="67"/>
      <c r="N9" s="68"/>
    </row>
    <row r="10" spans="1:15" x14ac:dyDescent="0.25">
      <c r="A10" s="1" t="s">
        <v>7</v>
      </c>
      <c r="B10" s="33">
        <f>'Agile AR Aging &lt;-INPUT'!C363</f>
        <v>0</v>
      </c>
      <c r="C10" s="33">
        <f>'Agile AR Aging &lt;-INPUT'!D363</f>
        <v>0</v>
      </c>
      <c r="D10" s="33">
        <f>'Agile AR Aging &lt;-INPUT'!E363</f>
        <v>0</v>
      </c>
      <c r="E10" s="33">
        <f>'Agile AR Aging &lt;-INPUT'!F363</f>
        <v>0</v>
      </c>
      <c r="F10" s="33">
        <f>'Agile AR Aging &lt;-INPUT'!G363</f>
        <v>0</v>
      </c>
      <c r="G10" s="33">
        <f>'Agile AR Aging &lt;-INPUT'!H363</f>
        <v>0</v>
      </c>
      <c r="H10" s="33">
        <f>'Agile AR Aging &lt;-INPUT'!I363</f>
        <v>0</v>
      </c>
      <c r="I10" s="33">
        <f>'Agile AR Aging &lt;-INPUT'!J363</f>
        <v>0</v>
      </c>
      <c r="J10" s="2">
        <f t="shared" si="0"/>
        <v>0</v>
      </c>
      <c r="L10" s="67"/>
      <c r="N10" s="68"/>
    </row>
    <row r="11" spans="1:15" x14ac:dyDescent="0.25">
      <c r="A11" s="1" t="s">
        <v>42</v>
      </c>
      <c r="B11" s="33">
        <f>'Agile AR Aging &lt;-INPUT'!C364</f>
        <v>0</v>
      </c>
      <c r="C11" s="33">
        <f>'Agile AR Aging &lt;-INPUT'!D364</f>
        <v>0</v>
      </c>
      <c r="D11" s="33">
        <f>'Agile AR Aging &lt;-INPUT'!E364</f>
        <v>0</v>
      </c>
      <c r="E11" s="33">
        <f>'Agile AR Aging &lt;-INPUT'!F364</f>
        <v>0</v>
      </c>
      <c r="F11" s="33">
        <f>'Agile AR Aging &lt;-INPUT'!G364</f>
        <v>0</v>
      </c>
      <c r="G11" s="33">
        <f>'Agile AR Aging &lt;-INPUT'!H364</f>
        <v>0</v>
      </c>
      <c r="H11" s="33">
        <f>'Agile AR Aging &lt;-INPUT'!I364</f>
        <v>0</v>
      </c>
      <c r="I11" s="33">
        <f>'Agile AR Aging &lt;-INPUT'!J364</f>
        <v>0</v>
      </c>
      <c r="J11" s="2">
        <f t="shared" si="0"/>
        <v>0</v>
      </c>
      <c r="L11" s="67"/>
      <c r="N11" s="68"/>
    </row>
    <row r="12" spans="1:15" x14ac:dyDescent="0.25">
      <c r="A12" s="1" t="s">
        <v>6</v>
      </c>
      <c r="B12" s="33">
        <f>'Agile AR Aging &lt;-INPUT'!C365+'Agile AR Aging &lt;-INPUT'!C366+'Agile AR Aging &lt;-INPUT'!C373+'Agile AR Aging &lt;-INPUT'!C379</f>
        <v>0</v>
      </c>
      <c r="C12" s="33">
        <f>'Agile AR Aging &lt;-INPUT'!D365+'Agile AR Aging &lt;-INPUT'!D366+'Agile AR Aging &lt;-INPUT'!D373+'Agile AR Aging &lt;-INPUT'!D379</f>
        <v>0</v>
      </c>
      <c r="D12" s="33">
        <f>'Agile AR Aging &lt;-INPUT'!E365+'Agile AR Aging &lt;-INPUT'!E366+'Agile AR Aging &lt;-INPUT'!E373+'Agile AR Aging &lt;-INPUT'!E379</f>
        <v>0</v>
      </c>
      <c r="E12" s="33">
        <f>'Agile AR Aging &lt;-INPUT'!F365+'Agile AR Aging &lt;-INPUT'!F366+'Agile AR Aging &lt;-INPUT'!F373+'Agile AR Aging &lt;-INPUT'!F379</f>
        <v>0</v>
      </c>
      <c r="F12" s="33">
        <f>'Agile AR Aging &lt;-INPUT'!G365+'Agile AR Aging &lt;-INPUT'!G366+'Agile AR Aging &lt;-INPUT'!G373+'Agile AR Aging &lt;-INPUT'!G379</f>
        <v>0</v>
      </c>
      <c r="G12" s="33">
        <f>'Agile AR Aging &lt;-INPUT'!H365+'Agile AR Aging &lt;-INPUT'!H366+'Agile AR Aging &lt;-INPUT'!H373+'Agile AR Aging &lt;-INPUT'!H379</f>
        <v>0</v>
      </c>
      <c r="H12" s="33">
        <f>'Agile AR Aging &lt;-INPUT'!I365+'Agile AR Aging &lt;-INPUT'!I366+'Agile AR Aging &lt;-INPUT'!I373+'Agile AR Aging &lt;-INPUT'!I379</f>
        <v>0</v>
      </c>
      <c r="I12" s="33">
        <f>'Agile AR Aging &lt;-INPUT'!J365+'Agile AR Aging &lt;-INPUT'!J366+'Agile AR Aging &lt;-INPUT'!J373+'Agile AR Aging &lt;-INPUT'!J379</f>
        <v>0</v>
      </c>
      <c r="J12" s="2">
        <f t="shared" si="0"/>
        <v>0</v>
      </c>
      <c r="L12" s="73"/>
      <c r="N12" s="68"/>
    </row>
    <row r="13" spans="1:15" x14ac:dyDescent="0.25">
      <c r="A13" s="1" t="s">
        <v>50</v>
      </c>
      <c r="B13" s="33">
        <f>'Agile AR Aging &lt;-INPUT'!C367</f>
        <v>0</v>
      </c>
      <c r="C13" s="33">
        <f>'Agile AR Aging &lt;-INPUT'!D367</f>
        <v>0</v>
      </c>
      <c r="D13" s="33">
        <f>'Agile AR Aging &lt;-INPUT'!E367</f>
        <v>0</v>
      </c>
      <c r="E13" s="33">
        <f>'Agile AR Aging &lt;-INPUT'!F367</f>
        <v>0</v>
      </c>
      <c r="F13" s="33">
        <f>'Agile AR Aging &lt;-INPUT'!G367</f>
        <v>0</v>
      </c>
      <c r="G13" s="33">
        <f>'Agile AR Aging &lt;-INPUT'!H367</f>
        <v>0</v>
      </c>
      <c r="H13" s="33">
        <f>'Agile AR Aging &lt;-INPUT'!I367</f>
        <v>0</v>
      </c>
      <c r="I13" s="33">
        <f>'Agile AR Aging &lt;-INPUT'!J367</f>
        <v>0</v>
      </c>
      <c r="J13" s="2">
        <f t="shared" si="0"/>
        <v>0</v>
      </c>
      <c r="L13" s="73"/>
      <c r="N13" s="68"/>
    </row>
    <row r="14" spans="1:15" x14ac:dyDescent="0.25">
      <c r="A14" s="1" t="s">
        <v>89</v>
      </c>
      <c r="B14" s="33">
        <f>'Agile AR Aging &lt;-INPUT'!C368</f>
        <v>0</v>
      </c>
      <c r="C14" s="33">
        <f>'Agile AR Aging &lt;-INPUT'!D368</f>
        <v>0</v>
      </c>
      <c r="D14" s="33">
        <f>'Agile AR Aging &lt;-INPUT'!E368</f>
        <v>0</v>
      </c>
      <c r="E14" s="33">
        <f>'Agile AR Aging &lt;-INPUT'!F368</f>
        <v>0</v>
      </c>
      <c r="F14" s="33">
        <f>'Agile AR Aging &lt;-INPUT'!G368</f>
        <v>0</v>
      </c>
      <c r="G14" s="33">
        <f>'Agile AR Aging &lt;-INPUT'!H368</f>
        <v>0</v>
      </c>
      <c r="H14" s="33">
        <f>'Agile AR Aging &lt;-INPUT'!I368</f>
        <v>0</v>
      </c>
      <c r="I14" s="33">
        <f>'Agile AR Aging &lt;-INPUT'!J368</f>
        <v>0</v>
      </c>
      <c r="J14" s="2">
        <f t="shared" si="0"/>
        <v>0</v>
      </c>
      <c r="L14" s="73"/>
      <c r="N14" s="68"/>
    </row>
    <row r="15" spans="1:15" x14ac:dyDescent="0.25">
      <c r="A15" s="1" t="s">
        <v>5</v>
      </c>
      <c r="B15" s="33">
        <f>'Agile AR Aging &lt;-INPUT'!C369</f>
        <v>0</v>
      </c>
      <c r="C15" s="33">
        <f>'Agile AR Aging &lt;-INPUT'!D369</f>
        <v>0</v>
      </c>
      <c r="D15" s="33">
        <f>'Agile AR Aging &lt;-INPUT'!E369</f>
        <v>0</v>
      </c>
      <c r="E15" s="33">
        <f>'Agile AR Aging &lt;-INPUT'!F369</f>
        <v>0</v>
      </c>
      <c r="F15" s="33">
        <f>'Agile AR Aging &lt;-INPUT'!G369</f>
        <v>0</v>
      </c>
      <c r="G15" s="33">
        <f>'Agile AR Aging &lt;-INPUT'!H369</f>
        <v>0</v>
      </c>
      <c r="H15" s="33">
        <f>'Agile AR Aging &lt;-INPUT'!I369</f>
        <v>0</v>
      </c>
      <c r="I15" s="33">
        <f>'Agile AR Aging &lt;-INPUT'!J369</f>
        <v>0</v>
      </c>
      <c r="J15" s="2">
        <f t="shared" si="0"/>
        <v>0</v>
      </c>
      <c r="L15" s="73"/>
      <c r="N15" s="68"/>
    </row>
    <row r="16" spans="1:15" x14ac:dyDescent="0.25">
      <c r="A16" s="1" t="s">
        <v>84</v>
      </c>
      <c r="B16" s="33">
        <f>'Agile AR Aging &lt;-INPUT'!C370</f>
        <v>0</v>
      </c>
      <c r="C16" s="33">
        <f>'Agile AR Aging &lt;-INPUT'!D370</f>
        <v>0</v>
      </c>
      <c r="D16" s="33">
        <f>'Agile AR Aging &lt;-INPUT'!E370</f>
        <v>0</v>
      </c>
      <c r="E16" s="33">
        <f>'Agile AR Aging &lt;-INPUT'!F370</f>
        <v>0</v>
      </c>
      <c r="F16" s="33">
        <f>'Agile AR Aging &lt;-INPUT'!G370</f>
        <v>0</v>
      </c>
      <c r="G16" s="33">
        <f>'Agile AR Aging &lt;-INPUT'!H370</f>
        <v>0</v>
      </c>
      <c r="H16" s="33">
        <f>'Agile AR Aging &lt;-INPUT'!I370</f>
        <v>0</v>
      </c>
      <c r="I16" s="33">
        <f>'Agile AR Aging &lt;-INPUT'!J370</f>
        <v>0</v>
      </c>
      <c r="J16" s="2">
        <f t="shared" si="0"/>
        <v>0</v>
      </c>
      <c r="L16" s="73"/>
      <c r="N16" s="68"/>
    </row>
    <row r="17" spans="1:17" x14ac:dyDescent="0.25">
      <c r="A17" s="1" t="s">
        <v>4</v>
      </c>
      <c r="B17" s="33">
        <f>'Agile AR Aging &lt;-INPUT'!C371</f>
        <v>0</v>
      </c>
      <c r="C17" s="33">
        <f>'Agile AR Aging &lt;-INPUT'!D371</f>
        <v>0</v>
      </c>
      <c r="D17" s="33">
        <f>'Agile AR Aging &lt;-INPUT'!E371</f>
        <v>0</v>
      </c>
      <c r="E17" s="33">
        <f>'Agile AR Aging &lt;-INPUT'!F371</f>
        <v>0</v>
      </c>
      <c r="F17" s="33">
        <f>'Agile AR Aging &lt;-INPUT'!G371</f>
        <v>0</v>
      </c>
      <c r="G17" s="33">
        <f>'Agile AR Aging &lt;-INPUT'!H371</f>
        <v>0</v>
      </c>
      <c r="H17" s="33">
        <f>'Agile AR Aging &lt;-INPUT'!I371</f>
        <v>0</v>
      </c>
      <c r="I17" s="33">
        <f>'Agile AR Aging &lt;-INPUT'!J371</f>
        <v>0</v>
      </c>
      <c r="J17" s="2">
        <f t="shared" si="0"/>
        <v>0</v>
      </c>
      <c r="L17" s="73"/>
      <c r="N17" s="68"/>
    </row>
    <row r="18" spans="1:17" x14ac:dyDescent="0.25">
      <c r="A18" s="1" t="s">
        <v>51</v>
      </c>
      <c r="B18" s="33">
        <f>'Agile AR Aging &lt;-INPUT'!C372</f>
        <v>0</v>
      </c>
      <c r="C18" s="33">
        <f>'Agile AR Aging &lt;-INPUT'!D372</f>
        <v>0</v>
      </c>
      <c r="D18" s="33">
        <f>'Agile AR Aging &lt;-INPUT'!E372</f>
        <v>0</v>
      </c>
      <c r="E18" s="33">
        <f>'Agile AR Aging &lt;-INPUT'!F372</f>
        <v>0</v>
      </c>
      <c r="F18" s="33">
        <f>'Agile AR Aging &lt;-INPUT'!G372</f>
        <v>0</v>
      </c>
      <c r="G18" s="33">
        <f>'Agile AR Aging &lt;-INPUT'!H372</f>
        <v>0</v>
      </c>
      <c r="H18" s="33">
        <f>'Agile AR Aging &lt;-INPUT'!I372</f>
        <v>0</v>
      </c>
      <c r="I18" s="33">
        <f>'Agile AR Aging &lt;-INPUT'!J372</f>
        <v>0</v>
      </c>
      <c r="J18" s="2">
        <f t="shared" si="0"/>
        <v>0</v>
      </c>
      <c r="L18" s="73"/>
      <c r="N18" s="68"/>
    </row>
    <row r="19" spans="1:17" x14ac:dyDescent="0.25">
      <c r="A19" s="1" t="s">
        <v>85</v>
      </c>
      <c r="B19" s="33">
        <f>'Agile AR Aging &lt;-INPUT'!C374</f>
        <v>0</v>
      </c>
      <c r="C19" s="33">
        <f>'Agile AR Aging &lt;-INPUT'!D374</f>
        <v>0</v>
      </c>
      <c r="D19" s="33">
        <f>'Agile AR Aging &lt;-INPUT'!E374</f>
        <v>0</v>
      </c>
      <c r="E19" s="33">
        <f>'Agile AR Aging &lt;-INPUT'!F374</f>
        <v>0</v>
      </c>
      <c r="F19" s="33">
        <f>'Agile AR Aging &lt;-INPUT'!G374</f>
        <v>0</v>
      </c>
      <c r="G19" s="33">
        <f>'Agile AR Aging &lt;-INPUT'!H374</f>
        <v>0</v>
      </c>
      <c r="H19" s="33">
        <f>'Agile AR Aging &lt;-INPUT'!I374</f>
        <v>0</v>
      </c>
      <c r="I19" s="33">
        <f>'Agile AR Aging &lt;-INPUT'!J374</f>
        <v>0</v>
      </c>
      <c r="J19" s="2">
        <f t="shared" si="0"/>
        <v>0</v>
      </c>
      <c r="L19" s="73"/>
      <c r="N19" s="68"/>
    </row>
    <row r="20" spans="1:17" x14ac:dyDescent="0.25">
      <c r="A20" s="1" t="s">
        <v>2</v>
      </c>
      <c r="B20" s="33">
        <f>'Agile AR Aging &lt;-INPUT'!C375</f>
        <v>0</v>
      </c>
      <c r="C20" s="33">
        <f>'Agile AR Aging &lt;-INPUT'!D375</f>
        <v>0</v>
      </c>
      <c r="D20" s="33">
        <f>'Agile AR Aging &lt;-INPUT'!E375</f>
        <v>0</v>
      </c>
      <c r="E20" s="33">
        <f>'Agile AR Aging &lt;-INPUT'!F375</f>
        <v>0</v>
      </c>
      <c r="F20" s="33">
        <f>'Agile AR Aging &lt;-INPUT'!G375</f>
        <v>0</v>
      </c>
      <c r="G20" s="33">
        <f>'Agile AR Aging &lt;-INPUT'!H375</f>
        <v>0</v>
      </c>
      <c r="H20" s="33">
        <f>'Agile AR Aging &lt;-INPUT'!I375</f>
        <v>0</v>
      </c>
      <c r="I20" s="33">
        <f>'Agile AR Aging &lt;-INPUT'!J375</f>
        <v>0</v>
      </c>
      <c r="J20" s="2">
        <f t="shared" si="0"/>
        <v>0</v>
      </c>
      <c r="L20" s="73"/>
      <c r="N20" s="68"/>
    </row>
    <row r="21" spans="1:17" x14ac:dyDescent="0.25">
      <c r="A21" s="1" t="s">
        <v>86</v>
      </c>
      <c r="B21" s="33">
        <f>'Agile AR Aging &lt;-INPUT'!C376</f>
        <v>0</v>
      </c>
      <c r="C21" s="33">
        <f>'Agile AR Aging &lt;-INPUT'!D376</f>
        <v>0</v>
      </c>
      <c r="D21" s="33">
        <f>'Agile AR Aging &lt;-INPUT'!E376</f>
        <v>0</v>
      </c>
      <c r="E21" s="33">
        <f>'Agile AR Aging &lt;-INPUT'!F376</f>
        <v>0</v>
      </c>
      <c r="F21" s="33">
        <f>'Agile AR Aging &lt;-INPUT'!G376</f>
        <v>0</v>
      </c>
      <c r="G21" s="33">
        <f>'Agile AR Aging &lt;-INPUT'!H376</f>
        <v>0</v>
      </c>
      <c r="H21" s="33">
        <f>'Agile AR Aging &lt;-INPUT'!I376</f>
        <v>0</v>
      </c>
      <c r="I21" s="33">
        <f>'Agile AR Aging &lt;-INPUT'!J376</f>
        <v>0</v>
      </c>
      <c r="J21" s="2">
        <f t="shared" si="0"/>
        <v>0</v>
      </c>
      <c r="L21" s="73"/>
      <c r="N21" s="68"/>
    </row>
    <row r="22" spans="1:17" x14ac:dyDescent="0.25">
      <c r="A22" s="1" t="s">
        <v>29</v>
      </c>
      <c r="B22" s="33">
        <f>'Agile AR Aging &lt;-INPUT'!C377</f>
        <v>0</v>
      </c>
      <c r="C22" s="33">
        <f>'Agile AR Aging &lt;-INPUT'!D377</f>
        <v>0</v>
      </c>
      <c r="D22" s="33">
        <f>'Agile AR Aging &lt;-INPUT'!E377</f>
        <v>0</v>
      </c>
      <c r="E22" s="33">
        <f>'Agile AR Aging &lt;-INPUT'!F377</f>
        <v>0</v>
      </c>
      <c r="F22" s="33">
        <f>'Agile AR Aging &lt;-INPUT'!G377</f>
        <v>0</v>
      </c>
      <c r="G22" s="33">
        <f>'Agile AR Aging &lt;-INPUT'!H377</f>
        <v>0</v>
      </c>
      <c r="H22" s="33">
        <f>'Agile AR Aging &lt;-INPUT'!I377</f>
        <v>0</v>
      </c>
      <c r="I22" s="33">
        <f>'Agile AR Aging &lt;-INPUT'!J377</f>
        <v>0</v>
      </c>
      <c r="J22" s="2">
        <f t="shared" si="0"/>
        <v>0</v>
      </c>
      <c r="L22" s="73"/>
      <c r="N22" s="68"/>
    </row>
    <row r="23" spans="1:17" x14ac:dyDescent="0.25">
      <c r="A23" s="1" t="s">
        <v>52</v>
      </c>
      <c r="B23" s="33">
        <f>'Agile AR Aging &lt;-INPUT'!C378</f>
        <v>0</v>
      </c>
      <c r="C23" s="33">
        <f>'Agile AR Aging &lt;-INPUT'!D378</f>
        <v>0</v>
      </c>
      <c r="D23" s="33">
        <f>'Agile AR Aging &lt;-INPUT'!E378</f>
        <v>0</v>
      </c>
      <c r="E23" s="33">
        <f>'Agile AR Aging &lt;-INPUT'!F378</f>
        <v>0</v>
      </c>
      <c r="F23" s="33">
        <f>'Agile AR Aging &lt;-INPUT'!G378</f>
        <v>0</v>
      </c>
      <c r="G23" s="33">
        <f>'Agile AR Aging &lt;-INPUT'!H378</f>
        <v>0</v>
      </c>
      <c r="H23" s="33">
        <f>'Agile AR Aging &lt;-INPUT'!I378</f>
        <v>0</v>
      </c>
      <c r="I23" s="33">
        <f>'Agile AR Aging &lt;-INPUT'!J378</f>
        <v>0</v>
      </c>
      <c r="J23" s="2">
        <f t="shared" si="0"/>
        <v>0</v>
      </c>
      <c r="L23" s="73"/>
      <c r="N23" s="68"/>
    </row>
    <row r="24" spans="1:17" x14ac:dyDescent="0.25">
      <c r="A24" s="1" t="s">
        <v>1</v>
      </c>
      <c r="B24" s="32">
        <f>'Agile AR Aging &lt;-INPUT'!C380</f>
        <v>0</v>
      </c>
      <c r="C24" s="32">
        <f>'Agile AR Aging &lt;-INPUT'!D380</f>
        <v>0</v>
      </c>
      <c r="D24" s="32">
        <f>'Agile AR Aging &lt;-INPUT'!E380</f>
        <v>0</v>
      </c>
      <c r="E24" s="32">
        <f>'Agile AR Aging &lt;-INPUT'!F380</f>
        <v>0</v>
      </c>
      <c r="F24" s="32">
        <f>'Agile AR Aging &lt;-INPUT'!G380</f>
        <v>0</v>
      </c>
      <c r="G24" s="32">
        <f>'Agile AR Aging &lt;-INPUT'!H380</f>
        <v>0</v>
      </c>
      <c r="H24" s="32">
        <f>'Agile AR Aging &lt;-INPUT'!I380</f>
        <v>0</v>
      </c>
      <c r="I24" s="32">
        <f>'Agile AR Aging &lt;-INPUT'!J380</f>
        <v>0</v>
      </c>
      <c r="J24" s="9">
        <f t="shared" si="0"/>
        <v>0</v>
      </c>
      <c r="L24" s="73"/>
      <c r="N24" s="68"/>
    </row>
    <row r="25" spans="1:17" x14ac:dyDescent="0.25">
      <c r="A25" s="1" t="s">
        <v>0</v>
      </c>
      <c r="B25" s="10">
        <f t="shared" ref="B25:I25" si="1">SUM(B8:B24)</f>
        <v>0</v>
      </c>
      <c r="C25" s="10">
        <f t="shared" si="1"/>
        <v>0</v>
      </c>
      <c r="D25" s="10">
        <f t="shared" si="1"/>
        <v>0</v>
      </c>
      <c r="E25" s="10">
        <f t="shared" si="1"/>
        <v>0</v>
      </c>
      <c r="F25" s="10">
        <f t="shared" si="1"/>
        <v>0</v>
      </c>
      <c r="G25" s="10">
        <f t="shared" si="1"/>
        <v>0</v>
      </c>
      <c r="H25" s="10">
        <f t="shared" si="1"/>
        <v>0</v>
      </c>
      <c r="I25" s="10">
        <f t="shared" si="1"/>
        <v>0</v>
      </c>
      <c r="J25" s="10">
        <f>SUM(B25:H25)</f>
        <v>0</v>
      </c>
      <c r="L25" s="31"/>
    </row>
    <row r="26" spans="1:17" ht="15.75" thickBot="1" x14ac:dyDescent="0.3">
      <c r="A26" s="1"/>
      <c r="B26" s="9"/>
      <c r="C26" s="9"/>
      <c r="D26" s="9"/>
      <c r="E26" s="9"/>
      <c r="F26" s="9"/>
      <c r="G26" s="9"/>
      <c r="H26" s="9"/>
      <c r="I26" s="9"/>
      <c r="J26" s="9"/>
      <c r="L26" s="31"/>
      <c r="Q26" s="1"/>
    </row>
    <row r="27" spans="1:17" ht="15.75" thickBot="1" x14ac:dyDescent="0.3">
      <c r="A27" s="167" t="s">
        <v>55</v>
      </c>
      <c r="B27" s="168"/>
      <c r="C27" s="168"/>
      <c r="D27" s="168"/>
      <c r="E27" s="168"/>
      <c r="F27" s="168"/>
      <c r="G27" s="168"/>
      <c r="H27" s="168"/>
      <c r="I27" s="168"/>
      <c r="J27" s="169"/>
      <c r="Q27" s="1"/>
    </row>
    <row r="28" spans="1:17" x14ac:dyDescent="0.25">
      <c r="A28" s="4" t="s">
        <v>16</v>
      </c>
      <c r="B28" s="5" t="s">
        <v>15</v>
      </c>
      <c r="C28" s="5" t="s">
        <v>14</v>
      </c>
      <c r="D28" s="5" t="s">
        <v>13</v>
      </c>
      <c r="E28" s="5" t="s">
        <v>12</v>
      </c>
      <c r="F28" s="5" t="s">
        <v>93</v>
      </c>
      <c r="G28" s="5" t="s">
        <v>94</v>
      </c>
      <c r="H28" s="5" t="s">
        <v>38</v>
      </c>
      <c r="I28" s="5" t="s">
        <v>9</v>
      </c>
      <c r="J28" s="5" t="s">
        <v>0</v>
      </c>
      <c r="Q28" s="1"/>
    </row>
    <row r="29" spans="1:17" x14ac:dyDescent="0.25">
      <c r="A29" s="1" t="s">
        <v>49</v>
      </c>
      <c r="B29" s="36">
        <f>'Reimbursement Rates &lt;-INPUT'!O9</f>
        <v>0</v>
      </c>
      <c r="C29" s="36">
        <f t="shared" ref="C29:I45" si="2">B29</f>
        <v>0</v>
      </c>
      <c r="D29" s="36">
        <f t="shared" si="2"/>
        <v>0</v>
      </c>
      <c r="E29" s="36">
        <f t="shared" si="2"/>
        <v>0</v>
      </c>
      <c r="F29" s="36">
        <f t="shared" si="2"/>
        <v>0</v>
      </c>
      <c r="G29" s="36">
        <f t="shared" si="2"/>
        <v>0</v>
      </c>
      <c r="H29" s="36">
        <f t="shared" si="2"/>
        <v>0</v>
      </c>
      <c r="I29" s="36">
        <f t="shared" si="2"/>
        <v>0</v>
      </c>
      <c r="J29" s="36">
        <f t="shared" ref="J29:J45" si="3">H29</f>
        <v>0</v>
      </c>
    </row>
    <row r="30" spans="1:17" x14ac:dyDescent="0.25">
      <c r="A30" s="1" t="s">
        <v>8</v>
      </c>
      <c r="B30" s="36">
        <f>'Reimbursement Rates &lt;-INPUT'!O10</f>
        <v>0</v>
      </c>
      <c r="C30" s="36">
        <f t="shared" si="2"/>
        <v>0</v>
      </c>
      <c r="D30" s="36">
        <f t="shared" si="2"/>
        <v>0</v>
      </c>
      <c r="E30" s="36">
        <f t="shared" si="2"/>
        <v>0</v>
      </c>
      <c r="F30" s="36">
        <f t="shared" si="2"/>
        <v>0</v>
      </c>
      <c r="G30" s="36">
        <f t="shared" si="2"/>
        <v>0</v>
      </c>
      <c r="H30" s="36">
        <f t="shared" si="2"/>
        <v>0</v>
      </c>
      <c r="I30" s="36">
        <f t="shared" si="2"/>
        <v>0</v>
      </c>
      <c r="J30" s="36">
        <f t="shared" si="3"/>
        <v>0</v>
      </c>
      <c r="Q30" s="1"/>
    </row>
    <row r="31" spans="1:17" x14ac:dyDescent="0.25">
      <c r="A31" s="1" t="s">
        <v>7</v>
      </c>
      <c r="B31" s="36">
        <f>'Reimbursement Rates &lt;-INPUT'!O11</f>
        <v>0</v>
      </c>
      <c r="C31" s="36">
        <f t="shared" si="2"/>
        <v>0</v>
      </c>
      <c r="D31" s="36">
        <f t="shared" si="2"/>
        <v>0</v>
      </c>
      <c r="E31" s="36">
        <f t="shared" si="2"/>
        <v>0</v>
      </c>
      <c r="F31" s="36">
        <f t="shared" si="2"/>
        <v>0</v>
      </c>
      <c r="G31" s="36">
        <f t="shared" si="2"/>
        <v>0</v>
      </c>
      <c r="H31" s="36">
        <f t="shared" si="2"/>
        <v>0</v>
      </c>
      <c r="I31" s="36">
        <f t="shared" si="2"/>
        <v>0</v>
      </c>
      <c r="J31" s="36">
        <f t="shared" si="3"/>
        <v>0</v>
      </c>
    </row>
    <row r="32" spans="1:17" x14ac:dyDescent="0.25">
      <c r="A32" s="1" t="s">
        <v>42</v>
      </c>
      <c r="B32" s="36">
        <f>'Reimbursement Rates &lt;-INPUT'!O12</f>
        <v>0</v>
      </c>
      <c r="C32" s="36">
        <f t="shared" si="2"/>
        <v>0</v>
      </c>
      <c r="D32" s="36">
        <f t="shared" si="2"/>
        <v>0</v>
      </c>
      <c r="E32" s="36">
        <f t="shared" si="2"/>
        <v>0</v>
      </c>
      <c r="F32" s="36">
        <f t="shared" si="2"/>
        <v>0</v>
      </c>
      <c r="G32" s="36">
        <f t="shared" si="2"/>
        <v>0</v>
      </c>
      <c r="H32" s="36">
        <f t="shared" si="2"/>
        <v>0</v>
      </c>
      <c r="I32" s="36">
        <f t="shared" si="2"/>
        <v>0</v>
      </c>
      <c r="J32" s="36">
        <f t="shared" si="3"/>
        <v>0</v>
      </c>
    </row>
    <row r="33" spans="1:17" x14ac:dyDescent="0.25">
      <c r="A33" s="1" t="s">
        <v>6</v>
      </c>
      <c r="B33" s="36">
        <f>'Reimbursement Rates &lt;-INPUT'!O13</f>
        <v>0</v>
      </c>
      <c r="C33" s="36">
        <f t="shared" si="2"/>
        <v>0</v>
      </c>
      <c r="D33" s="36">
        <f t="shared" si="2"/>
        <v>0</v>
      </c>
      <c r="E33" s="36">
        <f t="shared" si="2"/>
        <v>0</v>
      </c>
      <c r="F33" s="36">
        <f t="shared" si="2"/>
        <v>0</v>
      </c>
      <c r="G33" s="36">
        <f t="shared" si="2"/>
        <v>0</v>
      </c>
      <c r="H33" s="36">
        <f t="shared" si="2"/>
        <v>0</v>
      </c>
      <c r="I33" s="36">
        <f t="shared" si="2"/>
        <v>0</v>
      </c>
      <c r="J33" s="36">
        <f t="shared" si="3"/>
        <v>0</v>
      </c>
      <c r="Q33" s="1"/>
    </row>
    <row r="34" spans="1:17" x14ac:dyDescent="0.25">
      <c r="A34" s="1" t="s">
        <v>50</v>
      </c>
      <c r="B34" s="36">
        <f>'Reimbursement Rates &lt;-INPUT'!O15</f>
        <v>0</v>
      </c>
      <c r="C34" s="36">
        <f t="shared" si="2"/>
        <v>0</v>
      </c>
      <c r="D34" s="36">
        <f t="shared" si="2"/>
        <v>0</v>
      </c>
      <c r="E34" s="36">
        <f t="shared" si="2"/>
        <v>0</v>
      </c>
      <c r="F34" s="36">
        <f t="shared" si="2"/>
        <v>0</v>
      </c>
      <c r="G34" s="36">
        <f t="shared" si="2"/>
        <v>0</v>
      </c>
      <c r="H34" s="36">
        <f t="shared" si="2"/>
        <v>0</v>
      </c>
      <c r="I34" s="36">
        <f t="shared" si="2"/>
        <v>0</v>
      </c>
      <c r="J34" s="36">
        <f t="shared" si="3"/>
        <v>0</v>
      </c>
      <c r="M34" s="7"/>
    </row>
    <row r="35" spans="1:17" x14ac:dyDescent="0.25">
      <c r="A35" s="1" t="s">
        <v>89</v>
      </c>
      <c r="B35" s="36">
        <f>'Reimbursement Rates &lt;-INPUT'!O16</f>
        <v>0</v>
      </c>
      <c r="C35" s="36">
        <f t="shared" si="2"/>
        <v>0</v>
      </c>
      <c r="D35" s="36">
        <f t="shared" si="2"/>
        <v>0</v>
      </c>
      <c r="E35" s="36">
        <f t="shared" si="2"/>
        <v>0</v>
      </c>
      <c r="F35" s="36">
        <f t="shared" si="2"/>
        <v>0</v>
      </c>
      <c r="G35" s="36">
        <f t="shared" si="2"/>
        <v>0</v>
      </c>
      <c r="H35" s="36">
        <f t="shared" si="2"/>
        <v>0</v>
      </c>
      <c r="I35" s="36">
        <f t="shared" si="2"/>
        <v>0</v>
      </c>
      <c r="J35" s="36">
        <f t="shared" si="3"/>
        <v>0</v>
      </c>
      <c r="M35" s="7"/>
    </row>
    <row r="36" spans="1:17" x14ac:dyDescent="0.25">
      <c r="A36" s="1" t="s">
        <v>5</v>
      </c>
      <c r="B36" s="36">
        <f>'Reimbursement Rates &lt;-INPUT'!O17</f>
        <v>0</v>
      </c>
      <c r="C36" s="36">
        <f t="shared" si="2"/>
        <v>0</v>
      </c>
      <c r="D36" s="36">
        <f t="shared" si="2"/>
        <v>0</v>
      </c>
      <c r="E36" s="36">
        <f t="shared" si="2"/>
        <v>0</v>
      </c>
      <c r="F36" s="36">
        <f t="shared" si="2"/>
        <v>0</v>
      </c>
      <c r="G36" s="36">
        <f t="shared" si="2"/>
        <v>0</v>
      </c>
      <c r="H36" s="36">
        <f t="shared" si="2"/>
        <v>0</v>
      </c>
      <c r="I36" s="36">
        <f t="shared" si="2"/>
        <v>0</v>
      </c>
      <c r="J36" s="36">
        <f t="shared" si="3"/>
        <v>0</v>
      </c>
      <c r="M36" s="7"/>
      <c r="Q36" s="1"/>
    </row>
    <row r="37" spans="1:17" x14ac:dyDescent="0.25">
      <c r="A37" s="1" t="s">
        <v>84</v>
      </c>
      <c r="B37" s="36">
        <f>'Reimbursement Rates &lt;-INPUT'!O18</f>
        <v>0</v>
      </c>
      <c r="C37" s="36">
        <f t="shared" si="2"/>
        <v>0</v>
      </c>
      <c r="D37" s="36">
        <f t="shared" si="2"/>
        <v>0</v>
      </c>
      <c r="E37" s="36">
        <f t="shared" si="2"/>
        <v>0</v>
      </c>
      <c r="F37" s="36">
        <f t="shared" si="2"/>
        <v>0</v>
      </c>
      <c r="G37" s="36">
        <f t="shared" si="2"/>
        <v>0</v>
      </c>
      <c r="H37" s="36">
        <f t="shared" si="2"/>
        <v>0</v>
      </c>
      <c r="I37" s="36">
        <f t="shared" si="2"/>
        <v>0</v>
      </c>
      <c r="J37" s="36">
        <f t="shared" si="3"/>
        <v>0</v>
      </c>
      <c r="M37" s="7"/>
      <c r="Q37" s="1"/>
    </row>
    <row r="38" spans="1:17" x14ac:dyDescent="0.25">
      <c r="A38" s="1" t="s">
        <v>4</v>
      </c>
      <c r="B38" s="36">
        <f>'Reimbursement Rates &lt;-INPUT'!O19</f>
        <v>0</v>
      </c>
      <c r="C38" s="36">
        <f t="shared" si="2"/>
        <v>0</v>
      </c>
      <c r="D38" s="36">
        <f t="shared" si="2"/>
        <v>0</v>
      </c>
      <c r="E38" s="36">
        <f t="shared" si="2"/>
        <v>0</v>
      </c>
      <c r="F38" s="36">
        <f t="shared" si="2"/>
        <v>0</v>
      </c>
      <c r="G38" s="36">
        <f t="shared" si="2"/>
        <v>0</v>
      </c>
      <c r="H38" s="36">
        <f t="shared" si="2"/>
        <v>0</v>
      </c>
      <c r="I38" s="36">
        <f t="shared" si="2"/>
        <v>0</v>
      </c>
      <c r="J38" s="36">
        <f t="shared" si="3"/>
        <v>0</v>
      </c>
      <c r="M38" s="7"/>
    </row>
    <row r="39" spans="1:17" x14ac:dyDescent="0.25">
      <c r="A39" s="1" t="s">
        <v>51</v>
      </c>
      <c r="B39" s="36">
        <f>'Reimbursement Rates &lt;-INPUT'!O20</f>
        <v>0</v>
      </c>
      <c r="C39" s="36">
        <f t="shared" si="2"/>
        <v>0</v>
      </c>
      <c r="D39" s="36">
        <f t="shared" si="2"/>
        <v>0</v>
      </c>
      <c r="E39" s="36">
        <f t="shared" si="2"/>
        <v>0</v>
      </c>
      <c r="F39" s="36">
        <f t="shared" si="2"/>
        <v>0</v>
      </c>
      <c r="G39" s="36">
        <f t="shared" si="2"/>
        <v>0</v>
      </c>
      <c r="H39" s="36">
        <f t="shared" si="2"/>
        <v>0</v>
      </c>
      <c r="I39" s="36">
        <f t="shared" si="2"/>
        <v>0</v>
      </c>
      <c r="J39" s="36">
        <f t="shared" si="3"/>
        <v>0</v>
      </c>
      <c r="M39" s="7"/>
      <c r="Q39" s="1"/>
    </row>
    <row r="40" spans="1:17" x14ac:dyDescent="0.25">
      <c r="A40" s="1" t="s">
        <v>85</v>
      </c>
      <c r="B40" s="36">
        <f>'Reimbursement Rates &lt;-INPUT'!O22</f>
        <v>0</v>
      </c>
      <c r="C40" s="36">
        <f t="shared" si="2"/>
        <v>0</v>
      </c>
      <c r="D40" s="36">
        <f t="shared" si="2"/>
        <v>0</v>
      </c>
      <c r="E40" s="36">
        <f t="shared" si="2"/>
        <v>0</v>
      </c>
      <c r="F40" s="36">
        <f t="shared" si="2"/>
        <v>0</v>
      </c>
      <c r="G40" s="36">
        <f t="shared" si="2"/>
        <v>0</v>
      </c>
      <c r="H40" s="36">
        <f t="shared" si="2"/>
        <v>0</v>
      </c>
      <c r="I40" s="36">
        <f t="shared" si="2"/>
        <v>0</v>
      </c>
      <c r="J40" s="36">
        <f t="shared" si="3"/>
        <v>0</v>
      </c>
      <c r="M40" s="7"/>
      <c r="Q40" s="1"/>
    </row>
    <row r="41" spans="1:17" x14ac:dyDescent="0.25">
      <c r="A41" s="1" t="s">
        <v>2</v>
      </c>
      <c r="B41" s="36">
        <f>'Reimbursement Rates &lt;-INPUT'!O23</f>
        <v>0</v>
      </c>
      <c r="C41" s="36">
        <f t="shared" si="2"/>
        <v>0</v>
      </c>
      <c r="D41" s="36">
        <f t="shared" si="2"/>
        <v>0</v>
      </c>
      <c r="E41" s="36">
        <f t="shared" si="2"/>
        <v>0</v>
      </c>
      <c r="F41" s="36">
        <f t="shared" si="2"/>
        <v>0</v>
      </c>
      <c r="G41" s="36">
        <f t="shared" si="2"/>
        <v>0</v>
      </c>
      <c r="H41" s="36">
        <f t="shared" si="2"/>
        <v>0</v>
      </c>
      <c r="I41" s="36">
        <f t="shared" si="2"/>
        <v>0</v>
      </c>
      <c r="J41" s="36">
        <f t="shared" si="3"/>
        <v>0</v>
      </c>
      <c r="M41" s="7"/>
      <c r="Q41" s="1"/>
    </row>
    <row r="42" spans="1:17" x14ac:dyDescent="0.25">
      <c r="A42" s="1" t="s">
        <v>86</v>
      </c>
      <c r="B42" s="36">
        <f>'Reimbursement Rates &lt;-INPUT'!O24</f>
        <v>0</v>
      </c>
      <c r="C42" s="36">
        <f t="shared" si="2"/>
        <v>0</v>
      </c>
      <c r="D42" s="36">
        <f t="shared" si="2"/>
        <v>0</v>
      </c>
      <c r="E42" s="36">
        <f t="shared" si="2"/>
        <v>0</v>
      </c>
      <c r="F42" s="36">
        <f t="shared" si="2"/>
        <v>0</v>
      </c>
      <c r="G42" s="36">
        <f t="shared" si="2"/>
        <v>0</v>
      </c>
      <c r="H42" s="36">
        <f t="shared" si="2"/>
        <v>0</v>
      </c>
      <c r="I42" s="36">
        <f t="shared" si="2"/>
        <v>0</v>
      </c>
      <c r="J42" s="36">
        <f t="shared" si="3"/>
        <v>0</v>
      </c>
      <c r="M42" s="7"/>
    </row>
    <row r="43" spans="1:17" x14ac:dyDescent="0.25">
      <c r="A43" s="1" t="s">
        <v>29</v>
      </c>
      <c r="B43" s="36">
        <f>'Reimbursement Rates &lt;-INPUT'!O25</f>
        <v>0</v>
      </c>
      <c r="C43" s="36">
        <f t="shared" si="2"/>
        <v>0</v>
      </c>
      <c r="D43" s="36">
        <f t="shared" si="2"/>
        <v>0</v>
      </c>
      <c r="E43" s="36">
        <f t="shared" si="2"/>
        <v>0</v>
      </c>
      <c r="F43" s="36">
        <f t="shared" si="2"/>
        <v>0</v>
      </c>
      <c r="G43" s="36">
        <f t="shared" si="2"/>
        <v>0</v>
      </c>
      <c r="H43" s="36">
        <f t="shared" si="2"/>
        <v>0</v>
      </c>
      <c r="I43" s="36">
        <f t="shared" si="2"/>
        <v>0</v>
      </c>
      <c r="J43" s="36">
        <f t="shared" si="3"/>
        <v>0</v>
      </c>
      <c r="M43" s="7"/>
    </row>
    <row r="44" spans="1:17" x14ac:dyDescent="0.25">
      <c r="A44" s="1" t="s">
        <v>52</v>
      </c>
      <c r="B44" s="36">
        <f>'Reimbursement Rates &lt;-INPUT'!O26</f>
        <v>0</v>
      </c>
      <c r="C44" s="36">
        <f t="shared" si="2"/>
        <v>0</v>
      </c>
      <c r="D44" s="36">
        <f t="shared" si="2"/>
        <v>0</v>
      </c>
      <c r="E44" s="36">
        <f t="shared" si="2"/>
        <v>0</v>
      </c>
      <c r="F44" s="36">
        <f t="shared" si="2"/>
        <v>0</v>
      </c>
      <c r="G44" s="36">
        <f t="shared" si="2"/>
        <v>0</v>
      </c>
      <c r="H44" s="36">
        <f t="shared" si="2"/>
        <v>0</v>
      </c>
      <c r="I44" s="36">
        <f t="shared" si="2"/>
        <v>0</v>
      </c>
      <c r="J44" s="36">
        <f t="shared" si="3"/>
        <v>0</v>
      </c>
      <c r="M44" s="7"/>
      <c r="Q44" s="1"/>
    </row>
    <row r="45" spans="1:17" x14ac:dyDescent="0.25">
      <c r="A45" s="1" t="s">
        <v>1</v>
      </c>
      <c r="B45" s="36">
        <f>'Reimbursement Rates &lt;-INPUT'!O28</f>
        <v>0</v>
      </c>
      <c r="C45" s="36">
        <f t="shared" si="2"/>
        <v>0</v>
      </c>
      <c r="D45" s="36">
        <f t="shared" si="2"/>
        <v>0</v>
      </c>
      <c r="E45" s="36">
        <f t="shared" si="2"/>
        <v>0</v>
      </c>
      <c r="F45" s="36">
        <f t="shared" si="2"/>
        <v>0</v>
      </c>
      <c r="G45" s="36">
        <f t="shared" si="2"/>
        <v>0</v>
      </c>
      <c r="H45" s="36">
        <f t="shared" si="2"/>
        <v>0</v>
      </c>
      <c r="I45" s="36">
        <f t="shared" si="2"/>
        <v>0</v>
      </c>
      <c r="J45" s="36">
        <f t="shared" si="3"/>
        <v>0</v>
      </c>
      <c r="M45" s="7"/>
      <c r="Q45" s="1"/>
    </row>
    <row r="46" spans="1:17" ht="15.75" thickBot="1" x14ac:dyDescent="0.3">
      <c r="A46" s="1"/>
      <c r="B46" s="9"/>
      <c r="C46" s="9"/>
      <c r="D46" s="9"/>
      <c r="E46" s="9"/>
      <c r="F46" s="9"/>
      <c r="G46" s="9"/>
      <c r="H46" s="9"/>
      <c r="I46" s="9"/>
      <c r="J46" s="9"/>
      <c r="M46" s="7"/>
      <c r="Q46" s="1"/>
    </row>
    <row r="47" spans="1:17" ht="15.75" thickBot="1" x14ac:dyDescent="0.3">
      <c r="A47" s="170" t="s">
        <v>33</v>
      </c>
      <c r="B47" s="171"/>
      <c r="C47" s="171"/>
      <c r="D47" s="171"/>
      <c r="E47" s="171"/>
      <c r="F47" s="171"/>
      <c r="G47" s="171"/>
      <c r="H47" s="171"/>
      <c r="I47" s="171"/>
      <c r="J47" s="172"/>
      <c r="M47" s="7"/>
      <c r="Q47" s="1"/>
    </row>
    <row r="48" spans="1:17" x14ac:dyDescent="0.25">
      <c r="A48" s="4" t="s">
        <v>16</v>
      </c>
      <c r="B48" s="5" t="s">
        <v>15</v>
      </c>
      <c r="C48" s="5" t="s">
        <v>14</v>
      </c>
      <c r="D48" s="5" t="s">
        <v>13</v>
      </c>
      <c r="E48" s="5" t="s">
        <v>12</v>
      </c>
      <c r="F48" s="5" t="s">
        <v>93</v>
      </c>
      <c r="G48" s="5" t="s">
        <v>94</v>
      </c>
      <c r="H48" s="5" t="s">
        <v>38</v>
      </c>
      <c r="I48" s="5" t="s">
        <v>9</v>
      </c>
      <c r="J48" s="5" t="s">
        <v>0</v>
      </c>
      <c r="M48" s="7"/>
    </row>
    <row r="49" spans="1:17" x14ac:dyDescent="0.25">
      <c r="A49" s="1" t="s">
        <v>49</v>
      </c>
      <c r="B49" s="37">
        <f t="shared" ref="B49:B50" si="4">IF(B8&gt;0,B8*(1-B29),0)</f>
        <v>0</v>
      </c>
      <c r="C49" s="37">
        <f t="shared" ref="C49:I49" si="5">IF(C8&gt;0,C8*(1-C29),0)</f>
        <v>0</v>
      </c>
      <c r="D49" s="37">
        <f t="shared" si="5"/>
        <v>0</v>
      </c>
      <c r="E49" s="37">
        <f t="shared" si="5"/>
        <v>0</v>
      </c>
      <c r="F49" s="37">
        <f t="shared" si="5"/>
        <v>0</v>
      </c>
      <c r="G49" s="37">
        <f t="shared" si="5"/>
        <v>0</v>
      </c>
      <c r="H49" s="37">
        <f t="shared" si="5"/>
        <v>0</v>
      </c>
      <c r="I49" s="37">
        <f t="shared" si="5"/>
        <v>0</v>
      </c>
      <c r="J49" s="37">
        <f>SUM(B49:H49)</f>
        <v>0</v>
      </c>
      <c r="M49" s="7"/>
      <c r="Q49" s="1"/>
    </row>
    <row r="50" spans="1:17" x14ac:dyDescent="0.25">
      <c r="A50" s="1" t="s">
        <v>8</v>
      </c>
      <c r="B50" s="37">
        <f t="shared" si="4"/>
        <v>0</v>
      </c>
      <c r="C50" s="37">
        <f t="shared" ref="C50:I50" si="6">IF(C9&gt;0,C9*(1-C30),0)</f>
        <v>0</v>
      </c>
      <c r="D50" s="37">
        <f t="shared" si="6"/>
        <v>0</v>
      </c>
      <c r="E50" s="37">
        <f t="shared" si="6"/>
        <v>0</v>
      </c>
      <c r="F50" s="37">
        <f t="shared" si="6"/>
        <v>0</v>
      </c>
      <c r="G50" s="37">
        <f t="shared" si="6"/>
        <v>0</v>
      </c>
      <c r="H50" s="37">
        <f t="shared" si="6"/>
        <v>0</v>
      </c>
      <c r="I50" s="37">
        <f t="shared" si="6"/>
        <v>0</v>
      </c>
      <c r="J50" s="37">
        <f t="shared" ref="J50:J65" si="7">SUM(B50:H50)</f>
        <v>0</v>
      </c>
      <c r="M50" s="7"/>
      <c r="Q50" s="7"/>
    </row>
    <row r="51" spans="1:17" x14ac:dyDescent="0.25">
      <c r="A51" s="1" t="s">
        <v>7</v>
      </c>
      <c r="B51" s="37">
        <f>IF(B10&gt;0,B10*(1-B31),0)</f>
        <v>0</v>
      </c>
      <c r="C51" s="37">
        <f t="shared" ref="C51:I51" si="8">IF(C10&gt;0,C10*(1-C31),0)</f>
        <v>0</v>
      </c>
      <c r="D51" s="37">
        <f t="shared" si="8"/>
        <v>0</v>
      </c>
      <c r="E51" s="37">
        <f t="shared" si="8"/>
        <v>0</v>
      </c>
      <c r="F51" s="37">
        <f t="shared" si="8"/>
        <v>0</v>
      </c>
      <c r="G51" s="37">
        <f t="shared" si="8"/>
        <v>0</v>
      </c>
      <c r="H51" s="37">
        <f t="shared" si="8"/>
        <v>0</v>
      </c>
      <c r="I51" s="37">
        <f t="shared" si="8"/>
        <v>0</v>
      </c>
      <c r="J51" s="37">
        <f t="shared" si="7"/>
        <v>0</v>
      </c>
      <c r="M51" s="7"/>
    </row>
    <row r="52" spans="1:17" x14ac:dyDescent="0.25">
      <c r="A52" s="1" t="s">
        <v>42</v>
      </c>
      <c r="B52" s="37">
        <f t="shared" ref="B52:B65" si="9">IF(B11&gt;0,B11*(1-B32),0)</f>
        <v>0</v>
      </c>
      <c r="C52" s="37">
        <f t="shared" ref="C52:I52" si="10">IF(C11&gt;0,C11*(1-C32),0)</f>
        <v>0</v>
      </c>
      <c r="D52" s="37">
        <f t="shared" si="10"/>
        <v>0</v>
      </c>
      <c r="E52" s="37">
        <f t="shared" si="10"/>
        <v>0</v>
      </c>
      <c r="F52" s="37">
        <f t="shared" si="10"/>
        <v>0</v>
      </c>
      <c r="G52" s="37">
        <f t="shared" si="10"/>
        <v>0</v>
      </c>
      <c r="H52" s="37">
        <f t="shared" si="10"/>
        <v>0</v>
      </c>
      <c r="I52" s="37">
        <f t="shared" si="10"/>
        <v>0</v>
      </c>
      <c r="J52" s="37">
        <f t="shared" si="7"/>
        <v>0</v>
      </c>
      <c r="M52" s="7"/>
    </row>
    <row r="53" spans="1:17" x14ac:dyDescent="0.25">
      <c r="A53" s="1" t="s">
        <v>6</v>
      </c>
      <c r="B53" s="37">
        <f t="shared" si="9"/>
        <v>0</v>
      </c>
      <c r="C53" s="37">
        <f t="shared" ref="C53:I53" si="11">IF(C12&gt;0,C12*(1-C33),0)</f>
        <v>0</v>
      </c>
      <c r="D53" s="37">
        <f t="shared" si="11"/>
        <v>0</v>
      </c>
      <c r="E53" s="37">
        <f t="shared" si="11"/>
        <v>0</v>
      </c>
      <c r="F53" s="37">
        <f t="shared" si="11"/>
        <v>0</v>
      </c>
      <c r="G53" s="37">
        <f t="shared" si="11"/>
        <v>0</v>
      </c>
      <c r="H53" s="37">
        <f t="shared" si="11"/>
        <v>0</v>
      </c>
      <c r="I53" s="37">
        <f t="shared" si="11"/>
        <v>0</v>
      </c>
      <c r="J53" s="37">
        <f t="shared" si="7"/>
        <v>0</v>
      </c>
      <c r="M53" s="7"/>
    </row>
    <row r="54" spans="1:17" x14ac:dyDescent="0.25">
      <c r="A54" s="1" t="s">
        <v>50</v>
      </c>
      <c r="B54" s="37">
        <f t="shared" si="9"/>
        <v>0</v>
      </c>
      <c r="C54" s="37">
        <f t="shared" ref="C54:I54" si="12">IF(C13&gt;0,C13*(1-C34),0)</f>
        <v>0</v>
      </c>
      <c r="D54" s="37">
        <f t="shared" si="12"/>
        <v>0</v>
      </c>
      <c r="E54" s="37">
        <f t="shared" si="12"/>
        <v>0</v>
      </c>
      <c r="F54" s="37">
        <f t="shared" si="12"/>
        <v>0</v>
      </c>
      <c r="G54" s="37">
        <f t="shared" si="12"/>
        <v>0</v>
      </c>
      <c r="H54" s="37">
        <f t="shared" si="12"/>
        <v>0</v>
      </c>
      <c r="I54" s="37">
        <f t="shared" si="12"/>
        <v>0</v>
      </c>
      <c r="J54" s="37">
        <f t="shared" si="7"/>
        <v>0</v>
      </c>
      <c r="M54" s="7"/>
    </row>
    <row r="55" spans="1:17" x14ac:dyDescent="0.25">
      <c r="A55" s="1" t="s">
        <v>89</v>
      </c>
      <c r="B55" s="37">
        <f t="shared" si="9"/>
        <v>0</v>
      </c>
      <c r="C55" s="37">
        <f t="shared" ref="C55:I55" si="13">IF(C14&gt;0,C14*(1-C35),0)</f>
        <v>0</v>
      </c>
      <c r="D55" s="37">
        <f t="shared" si="13"/>
        <v>0</v>
      </c>
      <c r="E55" s="37">
        <f t="shared" si="13"/>
        <v>0</v>
      </c>
      <c r="F55" s="37">
        <f t="shared" si="13"/>
        <v>0</v>
      </c>
      <c r="G55" s="37">
        <f t="shared" si="13"/>
        <v>0</v>
      </c>
      <c r="H55" s="37">
        <f t="shared" si="13"/>
        <v>0</v>
      </c>
      <c r="I55" s="37">
        <f t="shared" si="13"/>
        <v>0</v>
      </c>
      <c r="J55" s="37">
        <f t="shared" si="7"/>
        <v>0</v>
      </c>
      <c r="M55" s="7"/>
    </row>
    <row r="56" spans="1:17" x14ac:dyDescent="0.25">
      <c r="A56" s="1" t="s">
        <v>5</v>
      </c>
      <c r="B56" s="37">
        <f t="shared" si="9"/>
        <v>0</v>
      </c>
      <c r="C56" s="37">
        <f t="shared" ref="C56:I56" si="14">IF(C15&gt;0,C15*(1-C36),0)</f>
        <v>0</v>
      </c>
      <c r="D56" s="37">
        <f t="shared" si="14"/>
        <v>0</v>
      </c>
      <c r="E56" s="37">
        <f t="shared" si="14"/>
        <v>0</v>
      </c>
      <c r="F56" s="37">
        <f t="shared" si="14"/>
        <v>0</v>
      </c>
      <c r="G56" s="37">
        <f t="shared" si="14"/>
        <v>0</v>
      </c>
      <c r="H56" s="37">
        <f t="shared" si="14"/>
        <v>0</v>
      </c>
      <c r="I56" s="37">
        <f t="shared" si="14"/>
        <v>0</v>
      </c>
      <c r="J56" s="37">
        <f t="shared" si="7"/>
        <v>0</v>
      </c>
      <c r="M56" s="7"/>
    </row>
    <row r="57" spans="1:17" x14ac:dyDescent="0.25">
      <c r="A57" s="1" t="s">
        <v>84</v>
      </c>
      <c r="B57" s="37">
        <f t="shared" si="9"/>
        <v>0</v>
      </c>
      <c r="C57" s="37">
        <f t="shared" ref="C57:I57" si="15">IF(C16&gt;0,C16*(1-C37),0)</f>
        <v>0</v>
      </c>
      <c r="D57" s="37">
        <f t="shared" si="15"/>
        <v>0</v>
      </c>
      <c r="E57" s="37">
        <f t="shared" si="15"/>
        <v>0</v>
      </c>
      <c r="F57" s="37">
        <f t="shared" si="15"/>
        <v>0</v>
      </c>
      <c r="G57" s="37">
        <f t="shared" si="15"/>
        <v>0</v>
      </c>
      <c r="H57" s="37">
        <f t="shared" si="15"/>
        <v>0</v>
      </c>
      <c r="I57" s="37">
        <f t="shared" si="15"/>
        <v>0</v>
      </c>
      <c r="J57" s="37">
        <f t="shared" si="7"/>
        <v>0</v>
      </c>
      <c r="M57" s="7"/>
    </row>
    <row r="58" spans="1:17" x14ac:dyDescent="0.25">
      <c r="A58" s="1" t="s">
        <v>4</v>
      </c>
      <c r="B58" s="37">
        <f t="shared" si="9"/>
        <v>0</v>
      </c>
      <c r="C58" s="37">
        <f t="shared" ref="C58:I58" si="16">IF(C17&gt;0,C17*(1-C38),0)</f>
        <v>0</v>
      </c>
      <c r="D58" s="37">
        <f t="shared" si="16"/>
        <v>0</v>
      </c>
      <c r="E58" s="37">
        <f t="shared" si="16"/>
        <v>0</v>
      </c>
      <c r="F58" s="37">
        <f t="shared" si="16"/>
        <v>0</v>
      </c>
      <c r="G58" s="37">
        <f t="shared" si="16"/>
        <v>0</v>
      </c>
      <c r="H58" s="37">
        <f t="shared" si="16"/>
        <v>0</v>
      </c>
      <c r="I58" s="37">
        <f t="shared" si="16"/>
        <v>0</v>
      </c>
      <c r="J58" s="37">
        <f t="shared" si="7"/>
        <v>0</v>
      </c>
      <c r="M58" s="7"/>
    </row>
    <row r="59" spans="1:17" x14ac:dyDescent="0.25">
      <c r="A59" s="1" t="s">
        <v>51</v>
      </c>
      <c r="B59" s="37">
        <f t="shared" si="9"/>
        <v>0</v>
      </c>
      <c r="C59" s="37">
        <f t="shared" ref="C59:I59" si="17">IF(C18&gt;0,C18*(1-C39),0)</f>
        <v>0</v>
      </c>
      <c r="D59" s="37">
        <f t="shared" si="17"/>
        <v>0</v>
      </c>
      <c r="E59" s="37">
        <f t="shared" si="17"/>
        <v>0</v>
      </c>
      <c r="F59" s="37">
        <f t="shared" si="17"/>
        <v>0</v>
      </c>
      <c r="G59" s="37">
        <f t="shared" si="17"/>
        <v>0</v>
      </c>
      <c r="H59" s="37">
        <f t="shared" si="17"/>
        <v>0</v>
      </c>
      <c r="I59" s="37">
        <f t="shared" si="17"/>
        <v>0</v>
      </c>
      <c r="J59" s="37">
        <f t="shared" si="7"/>
        <v>0</v>
      </c>
      <c r="M59" s="7"/>
    </row>
    <row r="60" spans="1:17" x14ac:dyDescent="0.25">
      <c r="A60" s="1" t="s">
        <v>85</v>
      </c>
      <c r="B60" s="37">
        <f t="shared" si="9"/>
        <v>0</v>
      </c>
      <c r="C60" s="37">
        <f t="shared" ref="C60:I60" si="18">IF(C19&gt;0,C19*(1-C40),0)</f>
        <v>0</v>
      </c>
      <c r="D60" s="37">
        <f t="shared" si="18"/>
        <v>0</v>
      </c>
      <c r="E60" s="37">
        <f t="shared" si="18"/>
        <v>0</v>
      </c>
      <c r="F60" s="37">
        <f t="shared" si="18"/>
        <v>0</v>
      </c>
      <c r="G60" s="37">
        <f t="shared" si="18"/>
        <v>0</v>
      </c>
      <c r="H60" s="37">
        <f t="shared" si="18"/>
        <v>0</v>
      </c>
      <c r="I60" s="37">
        <f t="shared" si="18"/>
        <v>0</v>
      </c>
      <c r="J60" s="37">
        <f t="shared" si="7"/>
        <v>0</v>
      </c>
      <c r="M60" s="7"/>
    </row>
    <row r="61" spans="1:17" x14ac:dyDescent="0.25">
      <c r="A61" s="1" t="s">
        <v>2</v>
      </c>
      <c r="B61" s="37">
        <f t="shared" si="9"/>
        <v>0</v>
      </c>
      <c r="C61" s="37">
        <f t="shared" ref="C61:I61" si="19">IF(C20&gt;0,C20*(1-C41),0)</f>
        <v>0</v>
      </c>
      <c r="D61" s="37">
        <f t="shared" si="19"/>
        <v>0</v>
      </c>
      <c r="E61" s="37">
        <f t="shared" si="19"/>
        <v>0</v>
      </c>
      <c r="F61" s="37">
        <f t="shared" si="19"/>
        <v>0</v>
      </c>
      <c r="G61" s="37">
        <f t="shared" si="19"/>
        <v>0</v>
      </c>
      <c r="H61" s="37">
        <f t="shared" si="19"/>
        <v>0</v>
      </c>
      <c r="I61" s="37">
        <f t="shared" si="19"/>
        <v>0</v>
      </c>
      <c r="J61" s="37">
        <f t="shared" si="7"/>
        <v>0</v>
      </c>
      <c r="M61" s="7"/>
    </row>
    <row r="62" spans="1:17" x14ac:dyDescent="0.25">
      <c r="A62" s="1" t="s">
        <v>86</v>
      </c>
      <c r="B62" s="37">
        <f t="shared" si="9"/>
        <v>0</v>
      </c>
      <c r="C62" s="37">
        <f t="shared" ref="C62:I62" si="20">IF(C21&gt;0,C21*(1-C42),0)</f>
        <v>0</v>
      </c>
      <c r="D62" s="37">
        <f t="shared" si="20"/>
        <v>0</v>
      </c>
      <c r="E62" s="37">
        <f t="shared" si="20"/>
        <v>0</v>
      </c>
      <c r="F62" s="37">
        <f t="shared" si="20"/>
        <v>0</v>
      </c>
      <c r="G62" s="37">
        <f t="shared" si="20"/>
        <v>0</v>
      </c>
      <c r="H62" s="37">
        <f t="shared" si="20"/>
        <v>0</v>
      </c>
      <c r="I62" s="37">
        <f t="shared" si="20"/>
        <v>0</v>
      </c>
      <c r="J62" s="37">
        <f t="shared" si="7"/>
        <v>0</v>
      </c>
      <c r="M62" s="183" t="s">
        <v>62</v>
      </c>
    </row>
    <row r="63" spans="1:17" x14ac:dyDescent="0.25">
      <c r="A63" s="1" t="s">
        <v>29</v>
      </c>
      <c r="B63" s="37">
        <f t="shared" si="9"/>
        <v>0</v>
      </c>
      <c r="C63" s="37">
        <f t="shared" ref="C63:I63" si="21">IF(C22&gt;0,C22*(1-C43),0)</f>
        <v>0</v>
      </c>
      <c r="D63" s="37">
        <f t="shared" si="21"/>
        <v>0</v>
      </c>
      <c r="E63" s="37">
        <f t="shared" si="21"/>
        <v>0</v>
      </c>
      <c r="F63" s="37">
        <f t="shared" si="21"/>
        <v>0</v>
      </c>
      <c r="G63" s="37">
        <f t="shared" si="21"/>
        <v>0</v>
      </c>
      <c r="H63" s="37">
        <f t="shared" si="21"/>
        <v>0</v>
      </c>
      <c r="I63" s="37">
        <f t="shared" si="21"/>
        <v>0</v>
      </c>
      <c r="J63" s="37">
        <f t="shared" si="7"/>
        <v>0</v>
      </c>
      <c r="M63" s="183"/>
    </row>
    <row r="64" spans="1:17" x14ac:dyDescent="0.25">
      <c r="A64" s="1" t="s">
        <v>52</v>
      </c>
      <c r="B64" s="37">
        <f t="shared" si="9"/>
        <v>0</v>
      </c>
      <c r="C64" s="37">
        <f t="shared" ref="C64:I64" si="22">IF(C23&gt;0,C23*(1-C44),0)</f>
        <v>0</v>
      </c>
      <c r="D64" s="37">
        <f t="shared" si="22"/>
        <v>0</v>
      </c>
      <c r="E64" s="37">
        <f t="shared" si="22"/>
        <v>0</v>
      </c>
      <c r="F64" s="37">
        <f t="shared" si="22"/>
        <v>0</v>
      </c>
      <c r="G64" s="37">
        <f t="shared" si="22"/>
        <v>0</v>
      </c>
      <c r="H64" s="37">
        <f t="shared" si="22"/>
        <v>0</v>
      </c>
      <c r="I64" s="37">
        <f t="shared" si="22"/>
        <v>0</v>
      </c>
      <c r="J64" s="37">
        <f t="shared" si="7"/>
        <v>0</v>
      </c>
      <c r="L64" s="35" t="s">
        <v>41</v>
      </c>
      <c r="M64" s="183" t="s">
        <v>63</v>
      </c>
    </row>
    <row r="65" spans="1:13" x14ac:dyDescent="0.25">
      <c r="A65" s="1" t="s">
        <v>1</v>
      </c>
      <c r="B65" s="38">
        <f t="shared" si="9"/>
        <v>0</v>
      </c>
      <c r="C65" s="38">
        <f t="shared" ref="C65:I65" si="23">IF(C24&gt;0,C24*(1-C45),0)</f>
        <v>0</v>
      </c>
      <c r="D65" s="38">
        <f t="shared" si="23"/>
        <v>0</v>
      </c>
      <c r="E65" s="38">
        <f t="shared" si="23"/>
        <v>0</v>
      </c>
      <c r="F65" s="38">
        <f t="shared" si="23"/>
        <v>0</v>
      </c>
      <c r="G65" s="38">
        <f t="shared" si="23"/>
        <v>0</v>
      </c>
      <c r="H65" s="38">
        <f t="shared" si="23"/>
        <v>0</v>
      </c>
      <c r="I65" s="38">
        <f t="shared" si="23"/>
        <v>0</v>
      </c>
      <c r="J65" s="38">
        <f t="shared" si="7"/>
        <v>0</v>
      </c>
      <c r="L65" s="42" t="s">
        <v>61</v>
      </c>
      <c r="M65" s="184"/>
    </row>
    <row r="66" spans="1:13" x14ac:dyDescent="0.25">
      <c r="A66" s="1"/>
      <c r="B66" s="9">
        <f>SUM(B49:B65)</f>
        <v>0</v>
      </c>
      <c r="C66" s="9">
        <f t="shared" ref="C66:J66" si="24">SUM(C49:C65)</f>
        <v>0</v>
      </c>
      <c r="D66" s="9">
        <f t="shared" si="24"/>
        <v>0</v>
      </c>
      <c r="E66" s="9">
        <f t="shared" si="24"/>
        <v>0</v>
      </c>
      <c r="F66" s="9">
        <f t="shared" si="24"/>
        <v>0</v>
      </c>
      <c r="G66" s="9">
        <f t="shared" si="24"/>
        <v>0</v>
      </c>
      <c r="H66" s="9">
        <f t="shared" si="24"/>
        <v>0</v>
      </c>
      <c r="I66" s="9">
        <f t="shared" si="24"/>
        <v>0</v>
      </c>
      <c r="J66" s="9">
        <f t="shared" si="24"/>
        <v>0</v>
      </c>
      <c r="L66" s="108">
        <v>60000</v>
      </c>
      <c r="M66" s="7">
        <f>J66-L66</f>
        <v>-60000</v>
      </c>
    </row>
    <row r="67" spans="1:13" ht="15.75" thickBot="1" x14ac:dyDescent="0.3">
      <c r="A67" s="1"/>
      <c r="B67" s="9"/>
      <c r="C67" s="9"/>
      <c r="D67" s="9"/>
      <c r="E67" s="9"/>
      <c r="F67" s="9"/>
      <c r="G67" s="9"/>
      <c r="H67" s="9"/>
      <c r="I67" s="9"/>
      <c r="J67" s="9"/>
      <c r="M67" s="7"/>
    </row>
    <row r="68" spans="1:13" ht="15.75" thickBot="1" x14ac:dyDescent="0.3">
      <c r="A68" s="170" t="s">
        <v>64</v>
      </c>
      <c r="B68" s="171"/>
      <c r="C68" s="171"/>
      <c r="D68" s="171"/>
      <c r="E68" s="171"/>
      <c r="F68" s="171"/>
      <c r="G68" s="171"/>
      <c r="H68" s="171"/>
      <c r="I68" s="171"/>
      <c r="J68" s="172"/>
      <c r="M68" s="7"/>
    </row>
    <row r="69" spans="1:13" x14ac:dyDescent="0.25">
      <c r="A69" s="4" t="s">
        <v>16</v>
      </c>
      <c r="B69" s="5" t="s">
        <v>15</v>
      </c>
      <c r="C69" s="5" t="s">
        <v>14</v>
      </c>
      <c r="D69" s="5" t="s">
        <v>13</v>
      </c>
      <c r="E69" s="5" t="s">
        <v>12</v>
      </c>
      <c r="F69" s="5" t="s">
        <v>93</v>
      </c>
      <c r="G69" s="5" t="s">
        <v>94</v>
      </c>
      <c r="H69" s="5" t="s">
        <v>38</v>
      </c>
      <c r="I69" s="5" t="s">
        <v>9</v>
      </c>
      <c r="J69" s="5" t="s">
        <v>0</v>
      </c>
      <c r="M69" s="7"/>
    </row>
    <row r="70" spans="1:13" x14ac:dyDescent="0.25">
      <c r="A70" s="1" t="s">
        <v>49</v>
      </c>
      <c r="B70" s="39">
        <f t="shared" ref="B70:B71" si="25">B8-B49</f>
        <v>0</v>
      </c>
      <c r="C70" s="39">
        <f t="shared" ref="C70:I70" si="26">C8-C49</f>
        <v>0</v>
      </c>
      <c r="D70" s="39">
        <f t="shared" si="26"/>
        <v>0</v>
      </c>
      <c r="E70" s="39">
        <f t="shared" si="26"/>
        <v>0</v>
      </c>
      <c r="F70" s="39">
        <f t="shared" si="26"/>
        <v>0</v>
      </c>
      <c r="G70" s="39">
        <f t="shared" si="26"/>
        <v>0</v>
      </c>
      <c r="H70" s="39">
        <f t="shared" si="26"/>
        <v>0</v>
      </c>
      <c r="I70" s="39">
        <f t="shared" si="26"/>
        <v>0</v>
      </c>
      <c r="J70" s="39">
        <f>SUM(B70:H70)</f>
        <v>0</v>
      </c>
      <c r="M70" s="7"/>
    </row>
    <row r="71" spans="1:13" x14ac:dyDescent="0.25">
      <c r="A71" s="1" t="s">
        <v>8</v>
      </c>
      <c r="B71" s="39">
        <f t="shared" si="25"/>
        <v>0</v>
      </c>
      <c r="C71" s="39">
        <f t="shared" ref="C71:I71" si="27">C9-C50</f>
        <v>0</v>
      </c>
      <c r="D71" s="39">
        <f t="shared" si="27"/>
        <v>0</v>
      </c>
      <c r="E71" s="39">
        <f t="shared" si="27"/>
        <v>0</v>
      </c>
      <c r="F71" s="39">
        <f t="shared" si="27"/>
        <v>0</v>
      </c>
      <c r="G71" s="39">
        <f t="shared" si="27"/>
        <v>0</v>
      </c>
      <c r="H71" s="39">
        <f t="shared" si="27"/>
        <v>0</v>
      </c>
      <c r="I71" s="39">
        <f t="shared" si="27"/>
        <v>0</v>
      </c>
      <c r="J71" s="39">
        <f t="shared" ref="J71:J86" si="28">SUM(B71:H71)</f>
        <v>0</v>
      </c>
      <c r="M71" s="7"/>
    </row>
    <row r="72" spans="1:13" x14ac:dyDescent="0.25">
      <c r="A72" s="1" t="s">
        <v>7</v>
      </c>
      <c r="B72" s="39">
        <f>B10-B51</f>
        <v>0</v>
      </c>
      <c r="C72" s="39">
        <f t="shared" ref="C72:I72" si="29">C10-C51</f>
        <v>0</v>
      </c>
      <c r="D72" s="39">
        <f t="shared" si="29"/>
        <v>0</v>
      </c>
      <c r="E72" s="39">
        <f t="shared" si="29"/>
        <v>0</v>
      </c>
      <c r="F72" s="39">
        <f t="shared" si="29"/>
        <v>0</v>
      </c>
      <c r="G72" s="39">
        <f t="shared" si="29"/>
        <v>0</v>
      </c>
      <c r="H72" s="39">
        <f t="shared" si="29"/>
        <v>0</v>
      </c>
      <c r="I72" s="39">
        <f t="shared" si="29"/>
        <v>0</v>
      </c>
      <c r="J72" s="39">
        <f t="shared" si="28"/>
        <v>0</v>
      </c>
      <c r="M72" s="7"/>
    </row>
    <row r="73" spans="1:13" x14ac:dyDescent="0.25">
      <c r="A73" s="1" t="s">
        <v>42</v>
      </c>
      <c r="B73" s="39">
        <f t="shared" ref="B73:B86" si="30">B11-B52</f>
        <v>0</v>
      </c>
      <c r="C73" s="39">
        <f t="shared" ref="C73:I73" si="31">C11-C52</f>
        <v>0</v>
      </c>
      <c r="D73" s="39">
        <f t="shared" si="31"/>
        <v>0</v>
      </c>
      <c r="E73" s="39">
        <f t="shared" si="31"/>
        <v>0</v>
      </c>
      <c r="F73" s="39">
        <f t="shared" si="31"/>
        <v>0</v>
      </c>
      <c r="G73" s="39">
        <f t="shared" si="31"/>
        <v>0</v>
      </c>
      <c r="H73" s="39">
        <f t="shared" si="31"/>
        <v>0</v>
      </c>
      <c r="I73" s="39">
        <f t="shared" si="31"/>
        <v>0</v>
      </c>
      <c r="J73" s="39">
        <f t="shared" si="28"/>
        <v>0</v>
      </c>
      <c r="M73" s="7"/>
    </row>
    <row r="74" spans="1:13" x14ac:dyDescent="0.25">
      <c r="A74" s="1" t="s">
        <v>6</v>
      </c>
      <c r="B74" s="39">
        <f t="shared" si="30"/>
        <v>0</v>
      </c>
      <c r="C74" s="39">
        <f t="shared" ref="C74:I74" si="32">C12-C53</f>
        <v>0</v>
      </c>
      <c r="D74" s="39">
        <f t="shared" si="32"/>
        <v>0</v>
      </c>
      <c r="E74" s="39">
        <f t="shared" si="32"/>
        <v>0</v>
      </c>
      <c r="F74" s="39">
        <f t="shared" si="32"/>
        <v>0</v>
      </c>
      <c r="G74" s="39">
        <f t="shared" si="32"/>
        <v>0</v>
      </c>
      <c r="H74" s="39">
        <f t="shared" si="32"/>
        <v>0</v>
      </c>
      <c r="I74" s="39">
        <f t="shared" si="32"/>
        <v>0</v>
      </c>
      <c r="J74" s="39">
        <f t="shared" si="28"/>
        <v>0</v>
      </c>
      <c r="M74" s="7"/>
    </row>
    <row r="75" spans="1:13" x14ac:dyDescent="0.25">
      <c r="A75" s="1" t="s">
        <v>50</v>
      </c>
      <c r="B75" s="39">
        <f t="shared" si="30"/>
        <v>0</v>
      </c>
      <c r="C75" s="39">
        <f t="shared" ref="C75:I75" si="33">C13-C54</f>
        <v>0</v>
      </c>
      <c r="D75" s="39">
        <f t="shared" si="33"/>
        <v>0</v>
      </c>
      <c r="E75" s="39">
        <f t="shared" si="33"/>
        <v>0</v>
      </c>
      <c r="F75" s="39">
        <f t="shared" si="33"/>
        <v>0</v>
      </c>
      <c r="G75" s="39">
        <f t="shared" si="33"/>
        <v>0</v>
      </c>
      <c r="H75" s="39">
        <f t="shared" si="33"/>
        <v>0</v>
      </c>
      <c r="I75" s="39">
        <f t="shared" si="33"/>
        <v>0</v>
      </c>
      <c r="J75" s="39">
        <f t="shared" si="28"/>
        <v>0</v>
      </c>
      <c r="M75" s="7"/>
    </row>
    <row r="76" spans="1:13" x14ac:dyDescent="0.25">
      <c r="A76" s="1" t="s">
        <v>89</v>
      </c>
      <c r="B76" s="39">
        <f t="shared" si="30"/>
        <v>0</v>
      </c>
      <c r="C76" s="39">
        <f t="shared" ref="C76:I76" si="34">C14-C55</f>
        <v>0</v>
      </c>
      <c r="D76" s="39">
        <f t="shared" si="34"/>
        <v>0</v>
      </c>
      <c r="E76" s="39">
        <f t="shared" si="34"/>
        <v>0</v>
      </c>
      <c r="F76" s="39">
        <f t="shared" si="34"/>
        <v>0</v>
      </c>
      <c r="G76" s="39">
        <f t="shared" si="34"/>
        <v>0</v>
      </c>
      <c r="H76" s="39">
        <f t="shared" si="34"/>
        <v>0</v>
      </c>
      <c r="I76" s="39">
        <f t="shared" si="34"/>
        <v>0</v>
      </c>
      <c r="J76" s="39">
        <f t="shared" si="28"/>
        <v>0</v>
      </c>
      <c r="M76" s="7"/>
    </row>
    <row r="77" spans="1:13" x14ac:dyDescent="0.25">
      <c r="A77" s="1" t="s">
        <v>5</v>
      </c>
      <c r="B77" s="39">
        <f t="shared" si="30"/>
        <v>0</v>
      </c>
      <c r="C77" s="39">
        <f t="shared" ref="C77:I77" si="35">C15-C56</f>
        <v>0</v>
      </c>
      <c r="D77" s="39">
        <f t="shared" si="35"/>
        <v>0</v>
      </c>
      <c r="E77" s="39">
        <f t="shared" si="35"/>
        <v>0</v>
      </c>
      <c r="F77" s="39">
        <f t="shared" si="35"/>
        <v>0</v>
      </c>
      <c r="G77" s="39">
        <f t="shared" si="35"/>
        <v>0</v>
      </c>
      <c r="H77" s="39">
        <f t="shared" si="35"/>
        <v>0</v>
      </c>
      <c r="I77" s="39">
        <f t="shared" si="35"/>
        <v>0</v>
      </c>
      <c r="J77" s="39">
        <f t="shared" si="28"/>
        <v>0</v>
      </c>
      <c r="M77" s="7"/>
    </row>
    <row r="78" spans="1:13" x14ac:dyDescent="0.25">
      <c r="A78" s="1" t="s">
        <v>84</v>
      </c>
      <c r="B78" s="39">
        <f t="shared" si="30"/>
        <v>0</v>
      </c>
      <c r="C78" s="39">
        <f t="shared" ref="C78:I78" si="36">C16-C57</f>
        <v>0</v>
      </c>
      <c r="D78" s="39">
        <f t="shared" si="36"/>
        <v>0</v>
      </c>
      <c r="E78" s="39">
        <f t="shared" si="36"/>
        <v>0</v>
      </c>
      <c r="F78" s="39">
        <f t="shared" si="36"/>
        <v>0</v>
      </c>
      <c r="G78" s="39">
        <f t="shared" si="36"/>
        <v>0</v>
      </c>
      <c r="H78" s="39">
        <f t="shared" si="36"/>
        <v>0</v>
      </c>
      <c r="I78" s="39">
        <f t="shared" si="36"/>
        <v>0</v>
      </c>
      <c r="J78" s="39">
        <f t="shared" si="28"/>
        <v>0</v>
      </c>
      <c r="M78" s="7"/>
    </row>
    <row r="79" spans="1:13" x14ac:dyDescent="0.25">
      <c r="A79" s="1" t="s">
        <v>4</v>
      </c>
      <c r="B79" s="39">
        <f t="shared" si="30"/>
        <v>0</v>
      </c>
      <c r="C79" s="39">
        <f t="shared" ref="C79:I79" si="37">C17-C58</f>
        <v>0</v>
      </c>
      <c r="D79" s="39">
        <f t="shared" si="37"/>
        <v>0</v>
      </c>
      <c r="E79" s="39">
        <f t="shared" si="37"/>
        <v>0</v>
      </c>
      <c r="F79" s="39">
        <f t="shared" si="37"/>
        <v>0</v>
      </c>
      <c r="G79" s="39">
        <f t="shared" si="37"/>
        <v>0</v>
      </c>
      <c r="H79" s="39">
        <f t="shared" si="37"/>
        <v>0</v>
      </c>
      <c r="I79" s="39">
        <f t="shared" si="37"/>
        <v>0</v>
      </c>
      <c r="J79" s="39">
        <f t="shared" si="28"/>
        <v>0</v>
      </c>
      <c r="M79" s="7"/>
    </row>
    <row r="80" spans="1:13" x14ac:dyDescent="0.25">
      <c r="A80" s="1" t="s">
        <v>51</v>
      </c>
      <c r="B80" s="39">
        <f t="shared" si="30"/>
        <v>0</v>
      </c>
      <c r="C80" s="39">
        <f t="shared" ref="C80:I80" si="38">C18-C59</f>
        <v>0</v>
      </c>
      <c r="D80" s="39">
        <f t="shared" si="38"/>
        <v>0</v>
      </c>
      <c r="E80" s="39">
        <f t="shared" si="38"/>
        <v>0</v>
      </c>
      <c r="F80" s="39">
        <f t="shared" si="38"/>
        <v>0</v>
      </c>
      <c r="G80" s="39">
        <f t="shared" si="38"/>
        <v>0</v>
      </c>
      <c r="H80" s="39">
        <f t="shared" si="38"/>
        <v>0</v>
      </c>
      <c r="I80" s="39">
        <f t="shared" si="38"/>
        <v>0</v>
      </c>
      <c r="J80" s="39">
        <f t="shared" si="28"/>
        <v>0</v>
      </c>
      <c r="M80" s="7"/>
    </row>
    <row r="81" spans="1:13" x14ac:dyDescent="0.25">
      <c r="A81" s="1" t="s">
        <v>85</v>
      </c>
      <c r="B81" s="39">
        <f t="shared" si="30"/>
        <v>0</v>
      </c>
      <c r="C81" s="39">
        <f t="shared" ref="C81:I81" si="39">C19-C60</f>
        <v>0</v>
      </c>
      <c r="D81" s="39">
        <f t="shared" si="39"/>
        <v>0</v>
      </c>
      <c r="E81" s="39">
        <f t="shared" si="39"/>
        <v>0</v>
      </c>
      <c r="F81" s="39">
        <f t="shared" si="39"/>
        <v>0</v>
      </c>
      <c r="G81" s="39">
        <f t="shared" si="39"/>
        <v>0</v>
      </c>
      <c r="H81" s="39">
        <f t="shared" si="39"/>
        <v>0</v>
      </c>
      <c r="I81" s="39">
        <f t="shared" si="39"/>
        <v>0</v>
      </c>
      <c r="J81" s="39">
        <f t="shared" si="28"/>
        <v>0</v>
      </c>
      <c r="M81" s="7"/>
    </row>
    <row r="82" spans="1:13" x14ac:dyDescent="0.25">
      <c r="A82" s="1" t="s">
        <v>2</v>
      </c>
      <c r="B82" s="39">
        <f t="shared" si="30"/>
        <v>0</v>
      </c>
      <c r="C82" s="39">
        <f t="shared" ref="C82:I82" si="40">C20-C61</f>
        <v>0</v>
      </c>
      <c r="D82" s="39">
        <f t="shared" si="40"/>
        <v>0</v>
      </c>
      <c r="E82" s="39">
        <f t="shared" si="40"/>
        <v>0</v>
      </c>
      <c r="F82" s="39">
        <f t="shared" si="40"/>
        <v>0</v>
      </c>
      <c r="G82" s="39">
        <f t="shared" si="40"/>
        <v>0</v>
      </c>
      <c r="H82" s="39">
        <f t="shared" si="40"/>
        <v>0</v>
      </c>
      <c r="I82" s="39">
        <f t="shared" si="40"/>
        <v>0</v>
      </c>
      <c r="J82" s="39">
        <f t="shared" si="28"/>
        <v>0</v>
      </c>
      <c r="M82" s="7"/>
    </row>
    <row r="83" spans="1:13" x14ac:dyDescent="0.25">
      <c r="A83" s="1" t="s">
        <v>86</v>
      </c>
      <c r="B83" s="39">
        <f t="shared" si="30"/>
        <v>0</v>
      </c>
      <c r="C83" s="39">
        <f t="shared" ref="C83:I83" si="41">C21-C62</f>
        <v>0</v>
      </c>
      <c r="D83" s="39">
        <f t="shared" si="41"/>
        <v>0</v>
      </c>
      <c r="E83" s="39">
        <f t="shared" si="41"/>
        <v>0</v>
      </c>
      <c r="F83" s="39">
        <f t="shared" si="41"/>
        <v>0</v>
      </c>
      <c r="G83" s="39">
        <f t="shared" si="41"/>
        <v>0</v>
      </c>
      <c r="H83" s="39">
        <f t="shared" si="41"/>
        <v>0</v>
      </c>
      <c r="I83" s="39">
        <f t="shared" si="41"/>
        <v>0</v>
      </c>
      <c r="J83" s="39">
        <f t="shared" si="28"/>
        <v>0</v>
      </c>
      <c r="M83" s="7"/>
    </row>
    <row r="84" spans="1:13" x14ac:dyDescent="0.25">
      <c r="A84" s="1" t="s">
        <v>29</v>
      </c>
      <c r="B84" s="39">
        <f t="shared" si="30"/>
        <v>0</v>
      </c>
      <c r="C84" s="39">
        <f t="shared" ref="C84:I84" si="42">C22-C63</f>
        <v>0</v>
      </c>
      <c r="D84" s="39">
        <f t="shared" si="42"/>
        <v>0</v>
      </c>
      <c r="E84" s="39">
        <f t="shared" si="42"/>
        <v>0</v>
      </c>
      <c r="F84" s="39">
        <f t="shared" si="42"/>
        <v>0</v>
      </c>
      <c r="G84" s="39">
        <f t="shared" si="42"/>
        <v>0</v>
      </c>
      <c r="H84" s="39">
        <f t="shared" si="42"/>
        <v>0</v>
      </c>
      <c r="I84" s="39">
        <f t="shared" si="42"/>
        <v>0</v>
      </c>
      <c r="J84" s="39">
        <f t="shared" si="28"/>
        <v>0</v>
      </c>
      <c r="M84" s="7"/>
    </row>
    <row r="85" spans="1:13" x14ac:dyDescent="0.25">
      <c r="A85" s="1" t="s">
        <v>52</v>
      </c>
      <c r="B85" s="39">
        <f t="shared" si="30"/>
        <v>0</v>
      </c>
      <c r="C85" s="39">
        <f t="shared" ref="C85:I85" si="43">C23-C64</f>
        <v>0</v>
      </c>
      <c r="D85" s="39">
        <f t="shared" si="43"/>
        <v>0</v>
      </c>
      <c r="E85" s="39">
        <f t="shared" si="43"/>
        <v>0</v>
      </c>
      <c r="F85" s="39">
        <f t="shared" si="43"/>
        <v>0</v>
      </c>
      <c r="G85" s="39">
        <f t="shared" si="43"/>
        <v>0</v>
      </c>
      <c r="H85" s="39">
        <f t="shared" si="43"/>
        <v>0</v>
      </c>
      <c r="I85" s="39">
        <f t="shared" si="43"/>
        <v>0</v>
      </c>
      <c r="J85" s="39">
        <f t="shared" si="28"/>
        <v>0</v>
      </c>
      <c r="M85" s="7"/>
    </row>
    <row r="86" spans="1:13" x14ac:dyDescent="0.25">
      <c r="A86" s="1" t="s">
        <v>1</v>
      </c>
      <c r="B86" s="40">
        <f t="shared" si="30"/>
        <v>0</v>
      </c>
      <c r="C86" s="40">
        <f t="shared" ref="C86:I86" si="44">C24-C65</f>
        <v>0</v>
      </c>
      <c r="D86" s="40">
        <f t="shared" si="44"/>
        <v>0</v>
      </c>
      <c r="E86" s="40">
        <f t="shared" si="44"/>
        <v>0</v>
      </c>
      <c r="F86" s="40">
        <f t="shared" si="44"/>
        <v>0</v>
      </c>
      <c r="G86" s="40">
        <f t="shared" si="44"/>
        <v>0</v>
      </c>
      <c r="H86" s="40">
        <f t="shared" si="44"/>
        <v>0</v>
      </c>
      <c r="I86" s="40">
        <f t="shared" si="44"/>
        <v>0</v>
      </c>
      <c r="J86" s="40">
        <f t="shared" si="28"/>
        <v>0</v>
      </c>
      <c r="M86" s="7"/>
    </row>
    <row r="87" spans="1:13" x14ac:dyDescent="0.25">
      <c r="A87" s="4"/>
      <c r="B87" s="39">
        <f>SUM(B70:B86)</f>
        <v>0</v>
      </c>
      <c r="C87" s="39">
        <f t="shared" ref="C87:J87" si="45">SUM(C70:C86)</f>
        <v>0</v>
      </c>
      <c r="D87" s="39">
        <f t="shared" si="45"/>
        <v>0</v>
      </c>
      <c r="E87" s="39">
        <f t="shared" si="45"/>
        <v>0</v>
      </c>
      <c r="F87" s="39">
        <f t="shared" si="45"/>
        <v>0</v>
      </c>
      <c r="G87" s="39">
        <f t="shared" si="45"/>
        <v>0</v>
      </c>
      <c r="H87" s="39">
        <f t="shared" si="45"/>
        <v>0</v>
      </c>
      <c r="I87" s="39">
        <f t="shared" si="45"/>
        <v>0</v>
      </c>
      <c r="J87" s="39">
        <f t="shared" si="45"/>
        <v>0</v>
      </c>
      <c r="M87" s="7"/>
    </row>
    <row r="88" spans="1:13" ht="15.75" thickBot="1" x14ac:dyDescent="0.3">
      <c r="A88" s="4"/>
      <c r="B88" s="39"/>
      <c r="C88" s="39"/>
      <c r="D88" s="39"/>
      <c r="E88" s="39"/>
      <c r="F88" s="39"/>
      <c r="G88" s="39"/>
      <c r="H88" s="39"/>
      <c r="I88" s="39"/>
      <c r="J88" s="39"/>
      <c r="M88" s="7"/>
    </row>
    <row r="89" spans="1:13" ht="15.75" thickBot="1" x14ac:dyDescent="0.3">
      <c r="A89" s="167" t="s">
        <v>59</v>
      </c>
      <c r="B89" s="168"/>
      <c r="C89" s="168"/>
      <c r="D89" s="168"/>
      <c r="E89" s="168"/>
      <c r="F89" s="168"/>
      <c r="G89" s="168"/>
      <c r="H89" s="168"/>
      <c r="I89" s="168"/>
      <c r="J89" s="169"/>
      <c r="M89" s="7"/>
    </row>
    <row r="90" spans="1:13" x14ac:dyDescent="0.25">
      <c r="A90" s="4" t="s">
        <v>16</v>
      </c>
      <c r="B90" s="5" t="s">
        <v>15</v>
      </c>
      <c r="C90" s="5" t="s">
        <v>14</v>
      </c>
      <c r="D90" s="5" t="s">
        <v>13</v>
      </c>
      <c r="E90" s="5" t="s">
        <v>12</v>
      </c>
      <c r="F90" s="5" t="s">
        <v>93</v>
      </c>
      <c r="G90" s="5" t="s">
        <v>94</v>
      </c>
      <c r="H90" s="5" t="s">
        <v>38</v>
      </c>
      <c r="I90" s="5" t="s">
        <v>9</v>
      </c>
      <c r="J90" s="5" t="s">
        <v>0</v>
      </c>
      <c r="M90" s="7"/>
    </row>
    <row r="91" spans="1:13" x14ac:dyDescent="0.25">
      <c r="A91" s="1" t="s">
        <v>49</v>
      </c>
      <c r="B91" s="41">
        <v>0</v>
      </c>
      <c r="C91" s="41">
        <v>0</v>
      </c>
      <c r="D91" s="41">
        <v>0</v>
      </c>
      <c r="E91" s="41">
        <v>0.1</v>
      </c>
      <c r="F91" s="41">
        <v>0.15</v>
      </c>
      <c r="G91" s="41">
        <v>0.15</v>
      </c>
      <c r="H91" s="41">
        <v>0.2</v>
      </c>
      <c r="I91" s="41">
        <v>1</v>
      </c>
      <c r="J91" s="39"/>
      <c r="M91" s="7"/>
    </row>
    <row r="92" spans="1:13" x14ac:dyDescent="0.25">
      <c r="A92" s="1" t="s">
        <v>8</v>
      </c>
      <c r="B92" s="41">
        <v>0</v>
      </c>
      <c r="C92" s="41">
        <v>0</v>
      </c>
      <c r="D92" s="41">
        <v>0</v>
      </c>
      <c r="E92" s="41">
        <v>0.1</v>
      </c>
      <c r="F92" s="41">
        <v>0.15</v>
      </c>
      <c r="G92" s="41">
        <v>0.15</v>
      </c>
      <c r="H92" s="41">
        <v>0.2</v>
      </c>
      <c r="I92" s="41">
        <v>1</v>
      </c>
      <c r="J92" s="39"/>
      <c r="M92" s="7"/>
    </row>
    <row r="93" spans="1:13" x14ac:dyDescent="0.25">
      <c r="A93" s="1" t="s">
        <v>7</v>
      </c>
      <c r="B93" s="41">
        <v>0</v>
      </c>
      <c r="C93" s="41">
        <v>0</v>
      </c>
      <c r="D93" s="41">
        <v>0</v>
      </c>
      <c r="E93" s="41">
        <v>0.1</v>
      </c>
      <c r="F93" s="41">
        <v>0.15</v>
      </c>
      <c r="G93" s="41">
        <v>0.15</v>
      </c>
      <c r="H93" s="41">
        <v>0.2</v>
      </c>
      <c r="I93" s="41">
        <v>1</v>
      </c>
      <c r="J93" s="39"/>
      <c r="M93" s="7"/>
    </row>
    <row r="94" spans="1:13" x14ac:dyDescent="0.25">
      <c r="A94" s="1" t="s">
        <v>42</v>
      </c>
      <c r="B94" s="41">
        <v>0</v>
      </c>
      <c r="C94" s="41">
        <v>0</v>
      </c>
      <c r="D94" s="41">
        <v>0</v>
      </c>
      <c r="E94" s="41">
        <v>0.1</v>
      </c>
      <c r="F94" s="41">
        <v>0.15</v>
      </c>
      <c r="G94" s="41">
        <v>0.15</v>
      </c>
      <c r="H94" s="41">
        <v>0.2</v>
      </c>
      <c r="I94" s="41">
        <v>1</v>
      </c>
      <c r="J94" s="39"/>
      <c r="M94" s="7"/>
    </row>
    <row r="95" spans="1:13" x14ac:dyDescent="0.25">
      <c r="A95" s="1" t="s">
        <v>6</v>
      </c>
      <c r="B95" s="41">
        <v>0</v>
      </c>
      <c r="C95" s="41">
        <v>0</v>
      </c>
      <c r="D95" s="41">
        <v>0</v>
      </c>
      <c r="E95" s="41">
        <v>0.1</v>
      </c>
      <c r="F95" s="41">
        <v>0.15</v>
      </c>
      <c r="G95" s="41">
        <v>0.15</v>
      </c>
      <c r="H95" s="41">
        <v>0.2</v>
      </c>
      <c r="I95" s="41">
        <v>1</v>
      </c>
      <c r="J95" s="39"/>
      <c r="M95" s="7"/>
    </row>
    <row r="96" spans="1:13" x14ac:dyDescent="0.25">
      <c r="A96" s="1" t="s">
        <v>50</v>
      </c>
      <c r="B96" s="41">
        <v>0</v>
      </c>
      <c r="C96" s="41">
        <v>0</v>
      </c>
      <c r="D96" s="41">
        <v>0</v>
      </c>
      <c r="E96" s="41">
        <v>0.1</v>
      </c>
      <c r="F96" s="41">
        <v>0.15</v>
      </c>
      <c r="G96" s="41">
        <v>0.15</v>
      </c>
      <c r="H96" s="41">
        <v>0.2</v>
      </c>
      <c r="I96" s="41">
        <v>1</v>
      </c>
      <c r="J96" s="39"/>
      <c r="M96" s="7"/>
    </row>
    <row r="97" spans="1:13" x14ac:dyDescent="0.25">
      <c r="A97" s="1" t="s">
        <v>89</v>
      </c>
      <c r="B97" s="41">
        <v>0</v>
      </c>
      <c r="C97" s="41">
        <v>0</v>
      </c>
      <c r="D97" s="41">
        <v>0</v>
      </c>
      <c r="E97" s="41">
        <v>0.1</v>
      </c>
      <c r="F97" s="41">
        <v>0.15</v>
      </c>
      <c r="G97" s="41">
        <v>0.15</v>
      </c>
      <c r="H97" s="41">
        <v>0.2</v>
      </c>
      <c r="I97" s="41">
        <v>1</v>
      </c>
      <c r="J97" s="39"/>
      <c r="M97" s="7"/>
    </row>
    <row r="98" spans="1:13" x14ac:dyDescent="0.25">
      <c r="A98" s="1" t="s">
        <v>5</v>
      </c>
      <c r="B98" s="41">
        <v>0</v>
      </c>
      <c r="C98" s="41">
        <v>0</v>
      </c>
      <c r="D98" s="41">
        <v>0</v>
      </c>
      <c r="E98" s="41">
        <v>0.1</v>
      </c>
      <c r="F98" s="41">
        <v>0.15</v>
      </c>
      <c r="G98" s="41">
        <v>0.15</v>
      </c>
      <c r="H98" s="41">
        <v>0.2</v>
      </c>
      <c r="I98" s="41">
        <v>1</v>
      </c>
      <c r="J98" s="39"/>
      <c r="M98" s="7"/>
    </row>
    <row r="99" spans="1:13" x14ac:dyDescent="0.25">
      <c r="A99" s="1" t="s">
        <v>84</v>
      </c>
      <c r="B99" s="41">
        <v>0</v>
      </c>
      <c r="C99" s="41">
        <v>0</v>
      </c>
      <c r="D99" s="41">
        <v>0</v>
      </c>
      <c r="E99" s="41">
        <v>0.1</v>
      </c>
      <c r="F99" s="41">
        <v>0.15</v>
      </c>
      <c r="G99" s="41">
        <v>0.15</v>
      </c>
      <c r="H99" s="41">
        <v>0.2</v>
      </c>
      <c r="I99" s="41">
        <v>1</v>
      </c>
      <c r="J99" s="39"/>
      <c r="M99" s="7"/>
    </row>
    <row r="100" spans="1:13" x14ac:dyDescent="0.25">
      <c r="A100" s="1" t="s">
        <v>4</v>
      </c>
      <c r="B100" s="41">
        <v>0</v>
      </c>
      <c r="C100" s="41">
        <v>0</v>
      </c>
      <c r="D100" s="41">
        <v>0</v>
      </c>
      <c r="E100" s="41">
        <v>0.1</v>
      </c>
      <c r="F100" s="41">
        <v>0.15</v>
      </c>
      <c r="G100" s="41">
        <v>0.15</v>
      </c>
      <c r="H100" s="41">
        <v>0.2</v>
      </c>
      <c r="I100" s="41">
        <v>1</v>
      </c>
      <c r="J100" s="39"/>
      <c r="M100" s="7"/>
    </row>
    <row r="101" spans="1:13" x14ac:dyDescent="0.25">
      <c r="A101" s="1" t="s">
        <v>51</v>
      </c>
      <c r="B101" s="41">
        <v>0</v>
      </c>
      <c r="C101" s="41">
        <v>0</v>
      </c>
      <c r="D101" s="41">
        <v>0</v>
      </c>
      <c r="E101" s="41">
        <v>0.1</v>
      </c>
      <c r="F101" s="41">
        <v>0.15</v>
      </c>
      <c r="G101" s="41">
        <v>0.15</v>
      </c>
      <c r="H101" s="41">
        <v>0.2</v>
      </c>
      <c r="I101" s="41">
        <v>1</v>
      </c>
      <c r="J101" s="39"/>
      <c r="M101" s="7"/>
    </row>
    <row r="102" spans="1:13" x14ac:dyDescent="0.25">
      <c r="A102" s="1" t="s">
        <v>85</v>
      </c>
      <c r="B102" s="41">
        <v>0</v>
      </c>
      <c r="C102" s="41">
        <v>0</v>
      </c>
      <c r="D102" s="41">
        <v>0</v>
      </c>
      <c r="E102" s="41">
        <v>0.1</v>
      </c>
      <c r="F102" s="41">
        <v>0.15</v>
      </c>
      <c r="G102" s="41">
        <v>0.15</v>
      </c>
      <c r="H102" s="41">
        <v>0.2</v>
      </c>
      <c r="I102" s="41">
        <v>1</v>
      </c>
      <c r="J102" s="39"/>
      <c r="M102" s="7"/>
    </row>
    <row r="103" spans="1:13" x14ac:dyDescent="0.25">
      <c r="A103" s="1" t="s">
        <v>2</v>
      </c>
      <c r="B103" s="41">
        <v>0</v>
      </c>
      <c r="C103" s="41">
        <v>0</v>
      </c>
      <c r="D103" s="41">
        <v>0.1</v>
      </c>
      <c r="E103" s="41">
        <v>0.5</v>
      </c>
      <c r="F103" s="41">
        <v>1</v>
      </c>
      <c r="G103" s="41">
        <v>1</v>
      </c>
      <c r="H103" s="41">
        <v>1</v>
      </c>
      <c r="I103" s="41">
        <v>1</v>
      </c>
      <c r="J103" s="39"/>
      <c r="M103" s="7"/>
    </row>
    <row r="104" spans="1:13" x14ac:dyDescent="0.25">
      <c r="A104" s="1" t="s">
        <v>86</v>
      </c>
      <c r="B104" s="41">
        <v>0</v>
      </c>
      <c r="C104" s="41">
        <v>0</v>
      </c>
      <c r="D104" s="41">
        <v>0</v>
      </c>
      <c r="E104" s="41">
        <v>0.1</v>
      </c>
      <c r="F104" s="41">
        <v>0.15</v>
      </c>
      <c r="G104" s="41">
        <v>0.15</v>
      </c>
      <c r="H104" s="41">
        <v>0.2</v>
      </c>
      <c r="I104" s="41">
        <v>1</v>
      </c>
      <c r="J104" s="39"/>
      <c r="M104" s="7"/>
    </row>
    <row r="105" spans="1:13" x14ac:dyDescent="0.25">
      <c r="A105" s="1" t="s">
        <v>29</v>
      </c>
      <c r="B105" s="41">
        <v>0</v>
      </c>
      <c r="C105" s="41">
        <v>0</v>
      </c>
      <c r="D105" s="41">
        <v>0</v>
      </c>
      <c r="E105" s="41">
        <v>0.1</v>
      </c>
      <c r="F105" s="41">
        <v>0.15</v>
      </c>
      <c r="G105" s="41">
        <v>0.15</v>
      </c>
      <c r="H105" s="41">
        <v>0.2</v>
      </c>
      <c r="I105" s="41">
        <v>1</v>
      </c>
      <c r="J105" s="39"/>
      <c r="M105" s="7"/>
    </row>
    <row r="106" spans="1:13" x14ac:dyDescent="0.25">
      <c r="A106" s="1" t="s">
        <v>52</v>
      </c>
      <c r="B106" s="41">
        <v>0</v>
      </c>
      <c r="C106" s="41">
        <v>0</v>
      </c>
      <c r="D106" s="41">
        <v>0</v>
      </c>
      <c r="E106" s="41">
        <v>0.1</v>
      </c>
      <c r="F106" s="41">
        <v>0.15</v>
      </c>
      <c r="G106" s="41">
        <v>0.15</v>
      </c>
      <c r="H106" s="41">
        <v>0.2</v>
      </c>
      <c r="I106" s="41">
        <v>1</v>
      </c>
      <c r="J106" s="39"/>
      <c r="M106" s="7"/>
    </row>
    <row r="107" spans="1:13" x14ac:dyDescent="0.25">
      <c r="A107" s="1" t="s">
        <v>1</v>
      </c>
      <c r="B107" s="41">
        <v>0</v>
      </c>
      <c r="C107" s="41">
        <v>0</v>
      </c>
      <c r="D107" s="41">
        <v>0</v>
      </c>
      <c r="E107" s="41">
        <v>0.1</v>
      </c>
      <c r="F107" s="41">
        <v>0.15</v>
      </c>
      <c r="G107" s="41">
        <v>0.15</v>
      </c>
      <c r="H107" s="41">
        <v>0.2</v>
      </c>
      <c r="I107" s="41">
        <v>1</v>
      </c>
      <c r="J107" s="39"/>
      <c r="M107" s="7"/>
    </row>
    <row r="108" spans="1:13" ht="15.75" thickBot="1" x14ac:dyDescent="0.3">
      <c r="A108" s="4"/>
      <c r="B108" s="39"/>
      <c r="C108" s="39"/>
      <c r="D108" s="39"/>
      <c r="E108" s="39"/>
      <c r="F108" s="39"/>
      <c r="G108" s="39"/>
      <c r="H108" s="39"/>
      <c r="I108" s="39"/>
      <c r="J108" s="39"/>
      <c r="M108" s="7"/>
    </row>
    <row r="109" spans="1:13" ht="15.75" thickBot="1" x14ac:dyDescent="0.3">
      <c r="A109" s="170" t="s">
        <v>60</v>
      </c>
      <c r="B109" s="171"/>
      <c r="C109" s="171"/>
      <c r="D109" s="171"/>
      <c r="E109" s="171"/>
      <c r="F109" s="171"/>
      <c r="G109" s="171"/>
      <c r="H109" s="171"/>
      <c r="I109" s="171"/>
      <c r="J109" s="172"/>
      <c r="M109" s="7"/>
    </row>
    <row r="110" spans="1:13" x14ac:dyDescent="0.25">
      <c r="A110" s="4" t="s">
        <v>16</v>
      </c>
      <c r="B110" s="5" t="s">
        <v>15</v>
      </c>
      <c r="C110" s="5" t="s">
        <v>14</v>
      </c>
      <c r="D110" s="5" t="s">
        <v>13</v>
      </c>
      <c r="E110" s="5" t="s">
        <v>12</v>
      </c>
      <c r="F110" s="5" t="s">
        <v>93</v>
      </c>
      <c r="G110" s="5" t="s">
        <v>94</v>
      </c>
      <c r="H110" s="5" t="s">
        <v>38</v>
      </c>
      <c r="I110" s="5" t="s">
        <v>9</v>
      </c>
      <c r="J110" s="5" t="s">
        <v>0</v>
      </c>
      <c r="M110" s="7"/>
    </row>
    <row r="111" spans="1:13" x14ac:dyDescent="0.25">
      <c r="A111" s="1" t="s">
        <v>49</v>
      </c>
      <c r="B111" s="66">
        <f>IF(B70&gt;0,B70*B91,0)</f>
        <v>0</v>
      </c>
      <c r="C111" s="66">
        <f t="shared" ref="C111:I111" si="46">IF(C70&gt;0,C70*C91,0)</f>
        <v>0</v>
      </c>
      <c r="D111" s="66">
        <f t="shared" si="46"/>
        <v>0</v>
      </c>
      <c r="E111" s="66">
        <f t="shared" si="46"/>
        <v>0</v>
      </c>
      <c r="F111" s="66">
        <f t="shared" si="46"/>
        <v>0</v>
      </c>
      <c r="G111" s="66">
        <f t="shared" si="46"/>
        <v>0</v>
      </c>
      <c r="H111" s="66">
        <f t="shared" si="46"/>
        <v>0</v>
      </c>
      <c r="I111" s="66">
        <f t="shared" si="46"/>
        <v>0</v>
      </c>
      <c r="J111" s="39">
        <f>SUM(B111:H111)</f>
        <v>0</v>
      </c>
      <c r="M111" s="7"/>
    </row>
    <row r="112" spans="1:13" x14ac:dyDescent="0.25">
      <c r="A112" s="1" t="s">
        <v>8</v>
      </c>
      <c r="B112" s="39">
        <f>IF(B71&gt;0,B71*B92,0)</f>
        <v>0</v>
      </c>
      <c r="C112" s="39">
        <f t="shared" ref="C112:I112" si="47">IF(C71&gt;0,C71*C92,0)</f>
        <v>0</v>
      </c>
      <c r="D112" s="39">
        <f t="shared" si="47"/>
        <v>0</v>
      </c>
      <c r="E112" s="39">
        <f t="shared" si="47"/>
        <v>0</v>
      </c>
      <c r="F112" s="39">
        <f t="shared" si="47"/>
        <v>0</v>
      </c>
      <c r="G112" s="39">
        <f t="shared" si="47"/>
        <v>0</v>
      </c>
      <c r="H112" s="39">
        <f t="shared" si="47"/>
        <v>0</v>
      </c>
      <c r="I112" s="39">
        <f t="shared" si="47"/>
        <v>0</v>
      </c>
      <c r="J112" s="39">
        <f t="shared" ref="J112:J127" si="48">SUM(B112:H112)</f>
        <v>0</v>
      </c>
      <c r="M112" s="7"/>
    </row>
    <row r="113" spans="1:13" x14ac:dyDescent="0.25">
      <c r="A113" s="1" t="s">
        <v>7</v>
      </c>
      <c r="B113" s="39">
        <f>IF(B72&gt;0,B72*B93,0)</f>
        <v>0</v>
      </c>
      <c r="C113" s="39">
        <f t="shared" ref="C113:I113" si="49">IF(C72&gt;0,C72*C93,0)</f>
        <v>0</v>
      </c>
      <c r="D113" s="39">
        <f t="shared" si="49"/>
        <v>0</v>
      </c>
      <c r="E113" s="39">
        <f t="shared" si="49"/>
        <v>0</v>
      </c>
      <c r="F113" s="39">
        <f t="shared" si="49"/>
        <v>0</v>
      </c>
      <c r="G113" s="39">
        <f t="shared" si="49"/>
        <v>0</v>
      </c>
      <c r="H113" s="39">
        <f t="shared" si="49"/>
        <v>0</v>
      </c>
      <c r="I113" s="39">
        <f t="shared" si="49"/>
        <v>0</v>
      </c>
      <c r="J113" s="39">
        <f t="shared" si="48"/>
        <v>0</v>
      </c>
      <c r="M113" s="7"/>
    </row>
    <row r="114" spans="1:13" x14ac:dyDescent="0.25">
      <c r="A114" s="1" t="s">
        <v>42</v>
      </c>
      <c r="B114" s="39">
        <f t="shared" ref="B114:B127" si="50">IF(B73&gt;0,B73*B94,0)</f>
        <v>0</v>
      </c>
      <c r="C114" s="39">
        <f t="shared" ref="C114:I114" si="51">IF(C73&gt;0,C73*C94,0)</f>
        <v>0</v>
      </c>
      <c r="D114" s="39">
        <f t="shared" si="51"/>
        <v>0</v>
      </c>
      <c r="E114" s="39">
        <f t="shared" si="51"/>
        <v>0</v>
      </c>
      <c r="F114" s="39">
        <f t="shared" si="51"/>
        <v>0</v>
      </c>
      <c r="G114" s="39">
        <f t="shared" si="51"/>
        <v>0</v>
      </c>
      <c r="H114" s="39">
        <f t="shared" si="51"/>
        <v>0</v>
      </c>
      <c r="I114" s="39">
        <f t="shared" si="51"/>
        <v>0</v>
      </c>
      <c r="J114" s="39">
        <f t="shared" si="48"/>
        <v>0</v>
      </c>
      <c r="M114" s="7"/>
    </row>
    <row r="115" spans="1:13" x14ac:dyDescent="0.25">
      <c r="A115" s="1" t="s">
        <v>6</v>
      </c>
      <c r="B115" s="39">
        <f t="shared" si="50"/>
        <v>0</v>
      </c>
      <c r="C115" s="39">
        <f t="shared" ref="C115:I115" si="52">IF(C74&gt;0,C74*C95,0)</f>
        <v>0</v>
      </c>
      <c r="D115" s="39">
        <f t="shared" si="52"/>
        <v>0</v>
      </c>
      <c r="E115" s="39">
        <f t="shared" si="52"/>
        <v>0</v>
      </c>
      <c r="F115" s="39">
        <f t="shared" si="52"/>
        <v>0</v>
      </c>
      <c r="G115" s="39">
        <f t="shared" si="52"/>
        <v>0</v>
      </c>
      <c r="H115" s="39">
        <f t="shared" si="52"/>
        <v>0</v>
      </c>
      <c r="I115" s="39">
        <f t="shared" si="52"/>
        <v>0</v>
      </c>
      <c r="J115" s="39">
        <f t="shared" si="48"/>
        <v>0</v>
      </c>
      <c r="M115" s="7"/>
    </row>
    <row r="116" spans="1:13" x14ac:dyDescent="0.25">
      <c r="A116" s="1" t="s">
        <v>50</v>
      </c>
      <c r="B116" s="39">
        <f t="shared" si="50"/>
        <v>0</v>
      </c>
      <c r="C116" s="39">
        <f t="shared" ref="C116:I116" si="53">IF(C75&gt;0,C75*C96,0)</f>
        <v>0</v>
      </c>
      <c r="D116" s="39">
        <f t="shared" si="53"/>
        <v>0</v>
      </c>
      <c r="E116" s="39">
        <f t="shared" si="53"/>
        <v>0</v>
      </c>
      <c r="F116" s="39">
        <f t="shared" si="53"/>
        <v>0</v>
      </c>
      <c r="G116" s="39">
        <f t="shared" si="53"/>
        <v>0</v>
      </c>
      <c r="H116" s="39">
        <f t="shared" si="53"/>
        <v>0</v>
      </c>
      <c r="I116" s="39">
        <f t="shared" si="53"/>
        <v>0</v>
      </c>
      <c r="J116" s="39">
        <f t="shared" si="48"/>
        <v>0</v>
      </c>
      <c r="M116" s="7"/>
    </row>
    <row r="117" spans="1:13" x14ac:dyDescent="0.25">
      <c r="A117" s="1" t="s">
        <v>89</v>
      </c>
      <c r="B117" s="39">
        <f t="shared" si="50"/>
        <v>0</v>
      </c>
      <c r="C117" s="39">
        <f t="shared" ref="C117:I117" si="54">IF(C76&gt;0,C76*C97,0)</f>
        <v>0</v>
      </c>
      <c r="D117" s="39">
        <f t="shared" si="54"/>
        <v>0</v>
      </c>
      <c r="E117" s="39">
        <f t="shared" si="54"/>
        <v>0</v>
      </c>
      <c r="F117" s="39">
        <f t="shared" si="54"/>
        <v>0</v>
      </c>
      <c r="G117" s="39">
        <f t="shared" si="54"/>
        <v>0</v>
      </c>
      <c r="H117" s="39">
        <f t="shared" si="54"/>
        <v>0</v>
      </c>
      <c r="I117" s="39">
        <f t="shared" si="54"/>
        <v>0</v>
      </c>
      <c r="J117" s="39">
        <f t="shared" si="48"/>
        <v>0</v>
      </c>
      <c r="M117" s="7"/>
    </row>
    <row r="118" spans="1:13" x14ac:dyDescent="0.25">
      <c r="A118" s="1" t="s">
        <v>5</v>
      </c>
      <c r="B118" s="39">
        <f t="shared" si="50"/>
        <v>0</v>
      </c>
      <c r="C118" s="39">
        <f t="shared" ref="C118:I118" si="55">IF(C77&gt;0,C77*C98,0)</f>
        <v>0</v>
      </c>
      <c r="D118" s="39">
        <f t="shared" si="55"/>
        <v>0</v>
      </c>
      <c r="E118" s="39">
        <f t="shared" si="55"/>
        <v>0</v>
      </c>
      <c r="F118" s="39">
        <f t="shared" si="55"/>
        <v>0</v>
      </c>
      <c r="G118" s="39">
        <f t="shared" si="55"/>
        <v>0</v>
      </c>
      <c r="H118" s="39">
        <f t="shared" si="55"/>
        <v>0</v>
      </c>
      <c r="I118" s="39">
        <f t="shared" si="55"/>
        <v>0</v>
      </c>
      <c r="J118" s="39">
        <f t="shared" si="48"/>
        <v>0</v>
      </c>
      <c r="M118" s="7"/>
    </row>
    <row r="119" spans="1:13" x14ac:dyDescent="0.25">
      <c r="A119" s="1" t="s">
        <v>84</v>
      </c>
      <c r="B119" s="39">
        <f t="shared" si="50"/>
        <v>0</v>
      </c>
      <c r="C119" s="39">
        <f t="shared" ref="C119:I119" si="56">IF(C78&gt;0,C78*C99,0)</f>
        <v>0</v>
      </c>
      <c r="D119" s="39">
        <f t="shared" si="56"/>
        <v>0</v>
      </c>
      <c r="E119" s="39">
        <f t="shared" si="56"/>
        <v>0</v>
      </c>
      <c r="F119" s="39">
        <f t="shared" si="56"/>
        <v>0</v>
      </c>
      <c r="G119" s="39">
        <f t="shared" si="56"/>
        <v>0</v>
      </c>
      <c r="H119" s="39">
        <f t="shared" si="56"/>
        <v>0</v>
      </c>
      <c r="I119" s="39">
        <f t="shared" si="56"/>
        <v>0</v>
      </c>
      <c r="J119" s="39">
        <f t="shared" si="48"/>
        <v>0</v>
      </c>
      <c r="M119" s="7"/>
    </row>
    <row r="120" spans="1:13" x14ac:dyDescent="0.25">
      <c r="A120" s="1" t="s">
        <v>4</v>
      </c>
      <c r="B120" s="39">
        <f t="shared" si="50"/>
        <v>0</v>
      </c>
      <c r="C120" s="39">
        <f t="shared" ref="C120:I120" si="57">IF(C79&gt;0,C79*C100,0)</f>
        <v>0</v>
      </c>
      <c r="D120" s="39">
        <f t="shared" si="57"/>
        <v>0</v>
      </c>
      <c r="E120" s="39">
        <f t="shared" si="57"/>
        <v>0</v>
      </c>
      <c r="F120" s="39">
        <f t="shared" si="57"/>
        <v>0</v>
      </c>
      <c r="G120" s="39">
        <f t="shared" si="57"/>
        <v>0</v>
      </c>
      <c r="H120" s="39">
        <f t="shared" si="57"/>
        <v>0</v>
      </c>
      <c r="I120" s="39">
        <f t="shared" si="57"/>
        <v>0</v>
      </c>
      <c r="J120" s="39">
        <f t="shared" si="48"/>
        <v>0</v>
      </c>
      <c r="M120" s="7"/>
    </row>
    <row r="121" spans="1:13" x14ac:dyDescent="0.25">
      <c r="A121" s="1" t="s">
        <v>51</v>
      </c>
      <c r="B121" s="39">
        <f t="shared" si="50"/>
        <v>0</v>
      </c>
      <c r="C121" s="39">
        <f t="shared" ref="C121:I121" si="58">IF(C80&gt;0,C80*C101,0)</f>
        <v>0</v>
      </c>
      <c r="D121" s="39">
        <f t="shared" si="58"/>
        <v>0</v>
      </c>
      <c r="E121" s="39">
        <f t="shared" si="58"/>
        <v>0</v>
      </c>
      <c r="F121" s="39">
        <f t="shared" si="58"/>
        <v>0</v>
      </c>
      <c r="G121" s="39">
        <f t="shared" si="58"/>
        <v>0</v>
      </c>
      <c r="H121" s="39">
        <f t="shared" si="58"/>
        <v>0</v>
      </c>
      <c r="I121" s="39">
        <f t="shared" si="58"/>
        <v>0</v>
      </c>
      <c r="J121" s="39">
        <f t="shared" si="48"/>
        <v>0</v>
      </c>
      <c r="M121" s="7"/>
    </row>
    <row r="122" spans="1:13" x14ac:dyDescent="0.25">
      <c r="A122" s="1" t="s">
        <v>85</v>
      </c>
      <c r="B122" s="39">
        <f t="shared" si="50"/>
        <v>0</v>
      </c>
      <c r="C122" s="39">
        <f t="shared" ref="C122:I122" si="59">IF(C81&gt;0,C81*C102,0)</f>
        <v>0</v>
      </c>
      <c r="D122" s="39">
        <f t="shared" si="59"/>
        <v>0</v>
      </c>
      <c r="E122" s="39">
        <f t="shared" si="59"/>
        <v>0</v>
      </c>
      <c r="F122" s="39">
        <f t="shared" si="59"/>
        <v>0</v>
      </c>
      <c r="G122" s="39">
        <f t="shared" si="59"/>
        <v>0</v>
      </c>
      <c r="H122" s="39">
        <f t="shared" si="59"/>
        <v>0</v>
      </c>
      <c r="I122" s="39">
        <f t="shared" si="59"/>
        <v>0</v>
      </c>
      <c r="J122" s="39">
        <f t="shared" si="48"/>
        <v>0</v>
      </c>
      <c r="M122" s="7"/>
    </row>
    <row r="123" spans="1:13" x14ac:dyDescent="0.25">
      <c r="A123" s="1" t="s">
        <v>2</v>
      </c>
      <c r="B123" s="39">
        <f t="shared" si="50"/>
        <v>0</v>
      </c>
      <c r="C123" s="39">
        <f t="shared" ref="C123:I123" si="60">IF(C82&gt;0,C82*C103,0)</f>
        <v>0</v>
      </c>
      <c r="D123" s="39">
        <f t="shared" si="60"/>
        <v>0</v>
      </c>
      <c r="E123" s="39">
        <f t="shared" si="60"/>
        <v>0</v>
      </c>
      <c r="F123" s="39">
        <f t="shared" si="60"/>
        <v>0</v>
      </c>
      <c r="G123" s="39">
        <f t="shared" si="60"/>
        <v>0</v>
      </c>
      <c r="H123" s="39">
        <f t="shared" si="60"/>
        <v>0</v>
      </c>
      <c r="I123" s="39">
        <f t="shared" si="60"/>
        <v>0</v>
      </c>
      <c r="J123" s="39">
        <f t="shared" si="48"/>
        <v>0</v>
      </c>
      <c r="M123" s="7"/>
    </row>
    <row r="124" spans="1:13" x14ac:dyDescent="0.25">
      <c r="A124" s="1" t="s">
        <v>86</v>
      </c>
      <c r="B124" s="39">
        <f t="shared" si="50"/>
        <v>0</v>
      </c>
      <c r="C124" s="39">
        <f t="shared" ref="C124:I124" si="61">IF(C83&gt;0,C83*C104,0)</f>
        <v>0</v>
      </c>
      <c r="D124" s="39">
        <f t="shared" si="61"/>
        <v>0</v>
      </c>
      <c r="E124" s="39">
        <f t="shared" si="61"/>
        <v>0</v>
      </c>
      <c r="F124" s="39">
        <f t="shared" si="61"/>
        <v>0</v>
      </c>
      <c r="G124" s="39">
        <f t="shared" si="61"/>
        <v>0</v>
      </c>
      <c r="H124" s="39">
        <f t="shared" si="61"/>
        <v>0</v>
      </c>
      <c r="I124" s="39">
        <f t="shared" si="61"/>
        <v>0</v>
      </c>
      <c r="J124" s="39">
        <f t="shared" si="48"/>
        <v>0</v>
      </c>
      <c r="M124" s="183" t="s">
        <v>62</v>
      </c>
    </row>
    <row r="125" spans="1:13" x14ac:dyDescent="0.25">
      <c r="A125" s="1" t="s">
        <v>29</v>
      </c>
      <c r="B125" s="39">
        <f t="shared" si="50"/>
        <v>0</v>
      </c>
      <c r="C125" s="39">
        <f t="shared" ref="C125:I125" si="62">IF(C84&gt;0,C84*C105,0)</f>
        <v>0</v>
      </c>
      <c r="D125" s="39">
        <f t="shared" si="62"/>
        <v>0</v>
      </c>
      <c r="E125" s="39">
        <f t="shared" si="62"/>
        <v>0</v>
      </c>
      <c r="F125" s="39">
        <f t="shared" si="62"/>
        <v>0</v>
      </c>
      <c r="G125" s="39">
        <f t="shared" si="62"/>
        <v>0</v>
      </c>
      <c r="H125" s="39">
        <f t="shared" si="62"/>
        <v>0</v>
      </c>
      <c r="I125" s="39">
        <f t="shared" si="62"/>
        <v>0</v>
      </c>
      <c r="J125" s="39">
        <f t="shared" si="48"/>
        <v>0</v>
      </c>
      <c r="M125" s="183"/>
    </row>
    <row r="126" spans="1:13" x14ac:dyDescent="0.25">
      <c r="A126" s="1" t="s">
        <v>52</v>
      </c>
      <c r="B126" s="39">
        <f t="shared" si="50"/>
        <v>0</v>
      </c>
      <c r="C126" s="39">
        <f t="shared" ref="C126:I126" si="63">IF(C85&gt;0,C85*C106,0)</f>
        <v>0</v>
      </c>
      <c r="D126" s="39">
        <f t="shared" si="63"/>
        <v>0</v>
      </c>
      <c r="E126" s="39">
        <f t="shared" si="63"/>
        <v>0</v>
      </c>
      <c r="F126" s="39">
        <f t="shared" si="63"/>
        <v>0</v>
      </c>
      <c r="G126" s="39">
        <f t="shared" si="63"/>
        <v>0</v>
      </c>
      <c r="H126" s="39">
        <f t="shared" si="63"/>
        <v>0</v>
      </c>
      <c r="I126" s="39">
        <f t="shared" si="63"/>
        <v>0</v>
      </c>
      <c r="J126" s="39">
        <f t="shared" si="48"/>
        <v>0</v>
      </c>
      <c r="L126" s="35" t="s">
        <v>151</v>
      </c>
      <c r="M126" s="183" t="s">
        <v>63</v>
      </c>
    </row>
    <row r="127" spans="1:13" x14ac:dyDescent="0.25">
      <c r="A127" s="1" t="s">
        <v>1</v>
      </c>
      <c r="B127" s="40">
        <f t="shared" si="50"/>
        <v>0</v>
      </c>
      <c r="C127" s="40">
        <f t="shared" ref="C127:I127" si="64">IF(C86&gt;0,C86*C107,0)</f>
        <v>0</v>
      </c>
      <c r="D127" s="40">
        <f t="shared" si="64"/>
        <v>0</v>
      </c>
      <c r="E127" s="40">
        <f t="shared" si="64"/>
        <v>0</v>
      </c>
      <c r="F127" s="40">
        <f t="shared" si="64"/>
        <v>0</v>
      </c>
      <c r="G127" s="40">
        <f t="shared" si="64"/>
        <v>0</v>
      </c>
      <c r="H127" s="40">
        <f t="shared" si="64"/>
        <v>0</v>
      </c>
      <c r="I127" s="40">
        <f t="shared" si="64"/>
        <v>0</v>
      </c>
      <c r="J127" s="40">
        <f t="shared" si="48"/>
        <v>0</v>
      </c>
      <c r="L127" s="42" t="s">
        <v>61</v>
      </c>
      <c r="M127" s="184"/>
    </row>
    <row r="128" spans="1:13" x14ac:dyDescent="0.25">
      <c r="A128" s="4"/>
      <c r="B128" s="39">
        <f>SUM(B111:B127)</f>
        <v>0</v>
      </c>
      <c r="C128" s="39">
        <f t="shared" ref="C128:J128" si="65">SUM(C111:C127)</f>
        <v>0</v>
      </c>
      <c r="D128" s="39">
        <f t="shared" si="65"/>
        <v>0</v>
      </c>
      <c r="E128" s="39">
        <f t="shared" si="65"/>
        <v>0</v>
      </c>
      <c r="F128" s="39">
        <f t="shared" si="65"/>
        <v>0</v>
      </c>
      <c r="G128" s="39">
        <f t="shared" si="65"/>
        <v>0</v>
      </c>
      <c r="H128" s="39">
        <f t="shared" si="65"/>
        <v>0</v>
      </c>
      <c r="I128" s="39">
        <f t="shared" si="65"/>
        <v>0</v>
      </c>
      <c r="J128" s="39">
        <f t="shared" si="65"/>
        <v>0</v>
      </c>
      <c r="L128" s="108">
        <v>60000</v>
      </c>
      <c r="M128" s="7">
        <f>J128-L128</f>
        <v>-60000</v>
      </c>
    </row>
    <row r="129" spans="1:13" ht="15.75" thickBot="1" x14ac:dyDescent="0.3">
      <c r="A129" s="4"/>
      <c r="B129" s="39"/>
      <c r="C129" s="39"/>
      <c r="D129" s="39"/>
      <c r="E129" s="39"/>
      <c r="F129" s="39"/>
      <c r="G129" s="39"/>
      <c r="H129" s="39"/>
      <c r="I129" s="39"/>
      <c r="J129" s="39"/>
      <c r="M129" s="7"/>
    </row>
    <row r="130" spans="1:13" ht="15.75" thickBot="1" x14ac:dyDescent="0.3">
      <c r="A130" s="170" t="s">
        <v>30</v>
      </c>
      <c r="B130" s="171"/>
      <c r="C130" s="171"/>
      <c r="D130" s="171"/>
      <c r="E130" s="171"/>
      <c r="F130" s="171"/>
      <c r="G130" s="171"/>
      <c r="H130" s="171"/>
      <c r="I130" s="171"/>
      <c r="J130" s="172"/>
      <c r="M130" s="7"/>
    </row>
    <row r="131" spans="1:13" x14ac:dyDescent="0.25">
      <c r="A131" s="4" t="s">
        <v>16</v>
      </c>
      <c r="B131" s="5" t="s">
        <v>15</v>
      </c>
      <c r="C131" s="5" t="s">
        <v>14</v>
      </c>
      <c r="D131" s="5" t="s">
        <v>13</v>
      </c>
      <c r="E131" s="5" t="s">
        <v>12</v>
      </c>
      <c r="F131" s="5" t="s">
        <v>93</v>
      </c>
      <c r="G131" s="5" t="s">
        <v>94</v>
      </c>
      <c r="H131" s="5" t="s">
        <v>38</v>
      </c>
      <c r="I131" s="5" t="s">
        <v>9</v>
      </c>
      <c r="J131" s="5" t="s">
        <v>0</v>
      </c>
      <c r="M131" s="7"/>
    </row>
    <row r="132" spans="1:13" x14ac:dyDescent="0.25">
      <c r="A132" s="1" t="s">
        <v>49</v>
      </c>
      <c r="B132" s="39">
        <f>B70-B111</f>
        <v>0</v>
      </c>
      <c r="C132" s="39">
        <f t="shared" ref="C132:I132" si="66">C70-C111</f>
        <v>0</v>
      </c>
      <c r="D132" s="39">
        <f t="shared" si="66"/>
        <v>0</v>
      </c>
      <c r="E132" s="39">
        <f t="shared" si="66"/>
        <v>0</v>
      </c>
      <c r="F132" s="39">
        <f t="shared" si="66"/>
        <v>0</v>
      </c>
      <c r="G132" s="39">
        <f t="shared" si="66"/>
        <v>0</v>
      </c>
      <c r="H132" s="39">
        <f t="shared" si="66"/>
        <v>0</v>
      </c>
      <c r="I132" s="39">
        <f t="shared" si="66"/>
        <v>0</v>
      </c>
      <c r="J132" s="39">
        <f>SUM(B132:H132)</f>
        <v>0</v>
      </c>
      <c r="M132" s="7"/>
    </row>
    <row r="133" spans="1:13" x14ac:dyDescent="0.25">
      <c r="A133" s="1" t="s">
        <v>8</v>
      </c>
      <c r="B133" s="39">
        <f>B71-B112</f>
        <v>0</v>
      </c>
      <c r="C133" s="39">
        <f t="shared" ref="C133:I133" si="67">C71-C112</f>
        <v>0</v>
      </c>
      <c r="D133" s="39">
        <f t="shared" si="67"/>
        <v>0</v>
      </c>
      <c r="E133" s="39">
        <f t="shared" si="67"/>
        <v>0</v>
      </c>
      <c r="F133" s="39">
        <f t="shared" si="67"/>
        <v>0</v>
      </c>
      <c r="G133" s="39">
        <f t="shared" si="67"/>
        <v>0</v>
      </c>
      <c r="H133" s="39">
        <f t="shared" si="67"/>
        <v>0</v>
      </c>
      <c r="I133" s="39">
        <f t="shared" si="67"/>
        <v>0</v>
      </c>
      <c r="J133" s="39">
        <f t="shared" ref="J133:J148" si="68">SUM(B133:H133)</f>
        <v>0</v>
      </c>
      <c r="M133" s="7"/>
    </row>
    <row r="134" spans="1:13" x14ac:dyDescent="0.25">
      <c r="A134" s="1" t="s">
        <v>7</v>
      </c>
      <c r="B134" s="39">
        <f>B72-B113</f>
        <v>0</v>
      </c>
      <c r="C134" s="39">
        <f t="shared" ref="C134:I134" si="69">C72-C113</f>
        <v>0</v>
      </c>
      <c r="D134" s="39">
        <f t="shared" si="69"/>
        <v>0</v>
      </c>
      <c r="E134" s="39">
        <f t="shared" si="69"/>
        <v>0</v>
      </c>
      <c r="F134" s="39">
        <f t="shared" si="69"/>
        <v>0</v>
      </c>
      <c r="G134" s="39">
        <f t="shared" si="69"/>
        <v>0</v>
      </c>
      <c r="H134" s="39">
        <f t="shared" si="69"/>
        <v>0</v>
      </c>
      <c r="I134" s="39">
        <f t="shared" si="69"/>
        <v>0</v>
      </c>
      <c r="J134" s="39">
        <f t="shared" si="68"/>
        <v>0</v>
      </c>
      <c r="M134" s="7"/>
    </row>
    <row r="135" spans="1:13" x14ac:dyDescent="0.25">
      <c r="A135" s="1" t="s">
        <v>42</v>
      </c>
      <c r="B135" s="39">
        <f t="shared" ref="B135:B148" si="70">B73-B114</f>
        <v>0</v>
      </c>
      <c r="C135" s="39">
        <f t="shared" ref="C135:I135" si="71">C73-C114</f>
        <v>0</v>
      </c>
      <c r="D135" s="39">
        <f t="shared" si="71"/>
        <v>0</v>
      </c>
      <c r="E135" s="39">
        <f t="shared" si="71"/>
        <v>0</v>
      </c>
      <c r="F135" s="39">
        <f t="shared" si="71"/>
        <v>0</v>
      </c>
      <c r="G135" s="39">
        <f t="shared" si="71"/>
        <v>0</v>
      </c>
      <c r="H135" s="39">
        <f t="shared" si="71"/>
        <v>0</v>
      </c>
      <c r="I135" s="39">
        <f t="shared" si="71"/>
        <v>0</v>
      </c>
      <c r="J135" s="39">
        <f t="shared" si="68"/>
        <v>0</v>
      </c>
      <c r="M135" s="7"/>
    </row>
    <row r="136" spans="1:13" x14ac:dyDescent="0.25">
      <c r="A136" s="1" t="s">
        <v>6</v>
      </c>
      <c r="B136" s="39">
        <f t="shared" si="70"/>
        <v>0</v>
      </c>
      <c r="C136" s="39">
        <f t="shared" ref="C136:I136" si="72">C74-C115</f>
        <v>0</v>
      </c>
      <c r="D136" s="39">
        <f t="shared" si="72"/>
        <v>0</v>
      </c>
      <c r="E136" s="39">
        <f t="shared" si="72"/>
        <v>0</v>
      </c>
      <c r="F136" s="39">
        <f t="shared" si="72"/>
        <v>0</v>
      </c>
      <c r="G136" s="39">
        <f t="shared" si="72"/>
        <v>0</v>
      </c>
      <c r="H136" s="39">
        <f t="shared" si="72"/>
        <v>0</v>
      </c>
      <c r="I136" s="39">
        <f t="shared" si="72"/>
        <v>0</v>
      </c>
      <c r="J136" s="39">
        <f t="shared" si="68"/>
        <v>0</v>
      </c>
      <c r="M136" s="7"/>
    </row>
    <row r="137" spans="1:13" x14ac:dyDescent="0.25">
      <c r="A137" s="1" t="s">
        <v>50</v>
      </c>
      <c r="B137" s="39">
        <f t="shared" si="70"/>
        <v>0</v>
      </c>
      <c r="C137" s="39">
        <f t="shared" ref="C137:I137" si="73">C75-C116</f>
        <v>0</v>
      </c>
      <c r="D137" s="39">
        <f t="shared" si="73"/>
        <v>0</v>
      </c>
      <c r="E137" s="39">
        <f t="shared" si="73"/>
        <v>0</v>
      </c>
      <c r="F137" s="39">
        <f t="shared" si="73"/>
        <v>0</v>
      </c>
      <c r="G137" s="39">
        <f t="shared" si="73"/>
        <v>0</v>
      </c>
      <c r="H137" s="39">
        <f t="shared" si="73"/>
        <v>0</v>
      </c>
      <c r="I137" s="39">
        <f t="shared" si="73"/>
        <v>0</v>
      </c>
      <c r="J137" s="39">
        <f t="shared" si="68"/>
        <v>0</v>
      </c>
      <c r="M137" s="7"/>
    </row>
    <row r="138" spans="1:13" x14ac:dyDescent="0.25">
      <c r="A138" s="1" t="s">
        <v>89</v>
      </c>
      <c r="B138" s="39">
        <f t="shared" si="70"/>
        <v>0</v>
      </c>
      <c r="C138" s="39">
        <f t="shared" ref="C138:I138" si="74">C76-C117</f>
        <v>0</v>
      </c>
      <c r="D138" s="39">
        <f t="shared" si="74"/>
        <v>0</v>
      </c>
      <c r="E138" s="39">
        <f t="shared" si="74"/>
        <v>0</v>
      </c>
      <c r="F138" s="39">
        <f t="shared" si="74"/>
        <v>0</v>
      </c>
      <c r="G138" s="39">
        <f t="shared" si="74"/>
        <v>0</v>
      </c>
      <c r="H138" s="39">
        <f t="shared" si="74"/>
        <v>0</v>
      </c>
      <c r="I138" s="39">
        <f t="shared" si="74"/>
        <v>0</v>
      </c>
      <c r="J138" s="39">
        <f t="shared" si="68"/>
        <v>0</v>
      </c>
      <c r="M138" s="7"/>
    </row>
    <row r="139" spans="1:13" x14ac:dyDescent="0.25">
      <c r="A139" s="1" t="s">
        <v>5</v>
      </c>
      <c r="B139" s="39">
        <f t="shared" si="70"/>
        <v>0</v>
      </c>
      <c r="C139" s="39">
        <f t="shared" ref="C139:I139" si="75">C77-C118</f>
        <v>0</v>
      </c>
      <c r="D139" s="39">
        <f t="shared" si="75"/>
        <v>0</v>
      </c>
      <c r="E139" s="39">
        <f t="shared" si="75"/>
        <v>0</v>
      </c>
      <c r="F139" s="39">
        <f t="shared" si="75"/>
        <v>0</v>
      </c>
      <c r="G139" s="39">
        <f t="shared" si="75"/>
        <v>0</v>
      </c>
      <c r="H139" s="39">
        <f t="shared" si="75"/>
        <v>0</v>
      </c>
      <c r="I139" s="39">
        <f t="shared" si="75"/>
        <v>0</v>
      </c>
      <c r="J139" s="39">
        <f t="shared" si="68"/>
        <v>0</v>
      </c>
      <c r="M139" s="7"/>
    </row>
    <row r="140" spans="1:13" x14ac:dyDescent="0.25">
      <c r="A140" s="1" t="s">
        <v>84</v>
      </c>
      <c r="B140" s="39">
        <f t="shared" si="70"/>
        <v>0</v>
      </c>
      <c r="C140" s="39">
        <f t="shared" ref="C140:I140" si="76">C78-C119</f>
        <v>0</v>
      </c>
      <c r="D140" s="39">
        <f t="shared" si="76"/>
        <v>0</v>
      </c>
      <c r="E140" s="39">
        <f t="shared" si="76"/>
        <v>0</v>
      </c>
      <c r="F140" s="39">
        <f t="shared" si="76"/>
        <v>0</v>
      </c>
      <c r="G140" s="39">
        <f t="shared" si="76"/>
        <v>0</v>
      </c>
      <c r="H140" s="39">
        <f t="shared" si="76"/>
        <v>0</v>
      </c>
      <c r="I140" s="39">
        <f t="shared" si="76"/>
        <v>0</v>
      </c>
      <c r="J140" s="39">
        <f t="shared" si="68"/>
        <v>0</v>
      </c>
      <c r="M140" s="7"/>
    </row>
    <row r="141" spans="1:13" x14ac:dyDescent="0.25">
      <c r="A141" s="1" t="s">
        <v>4</v>
      </c>
      <c r="B141" s="39">
        <f t="shared" si="70"/>
        <v>0</v>
      </c>
      <c r="C141" s="39">
        <f t="shared" ref="C141:I141" si="77">C79-C120</f>
        <v>0</v>
      </c>
      <c r="D141" s="39">
        <f t="shared" si="77"/>
        <v>0</v>
      </c>
      <c r="E141" s="39">
        <f t="shared" si="77"/>
        <v>0</v>
      </c>
      <c r="F141" s="39">
        <f t="shared" si="77"/>
        <v>0</v>
      </c>
      <c r="G141" s="39">
        <f t="shared" si="77"/>
        <v>0</v>
      </c>
      <c r="H141" s="39">
        <f t="shared" si="77"/>
        <v>0</v>
      </c>
      <c r="I141" s="39">
        <f t="shared" si="77"/>
        <v>0</v>
      </c>
      <c r="J141" s="39">
        <f t="shared" si="68"/>
        <v>0</v>
      </c>
      <c r="M141" s="7"/>
    </row>
    <row r="142" spans="1:13" x14ac:dyDescent="0.25">
      <c r="A142" s="1" t="s">
        <v>51</v>
      </c>
      <c r="B142" s="39">
        <f t="shared" si="70"/>
        <v>0</v>
      </c>
      <c r="C142" s="39">
        <f t="shared" ref="C142:I142" si="78">C80-C121</f>
        <v>0</v>
      </c>
      <c r="D142" s="39">
        <f t="shared" si="78"/>
        <v>0</v>
      </c>
      <c r="E142" s="39">
        <f t="shared" si="78"/>
        <v>0</v>
      </c>
      <c r="F142" s="39">
        <f t="shared" si="78"/>
        <v>0</v>
      </c>
      <c r="G142" s="39">
        <f t="shared" si="78"/>
        <v>0</v>
      </c>
      <c r="H142" s="39">
        <f t="shared" si="78"/>
        <v>0</v>
      </c>
      <c r="I142" s="39">
        <f t="shared" si="78"/>
        <v>0</v>
      </c>
      <c r="J142" s="39">
        <f t="shared" si="68"/>
        <v>0</v>
      </c>
      <c r="M142" s="7"/>
    </row>
    <row r="143" spans="1:13" x14ac:dyDescent="0.25">
      <c r="A143" s="1" t="s">
        <v>85</v>
      </c>
      <c r="B143" s="39">
        <f t="shared" si="70"/>
        <v>0</v>
      </c>
      <c r="C143" s="39">
        <f t="shared" ref="C143:I143" si="79">C81-C122</f>
        <v>0</v>
      </c>
      <c r="D143" s="39">
        <f t="shared" si="79"/>
        <v>0</v>
      </c>
      <c r="E143" s="39">
        <f t="shared" si="79"/>
        <v>0</v>
      </c>
      <c r="F143" s="39">
        <f t="shared" si="79"/>
        <v>0</v>
      </c>
      <c r="G143" s="39">
        <f t="shared" si="79"/>
        <v>0</v>
      </c>
      <c r="H143" s="39">
        <f t="shared" si="79"/>
        <v>0</v>
      </c>
      <c r="I143" s="39">
        <f t="shared" si="79"/>
        <v>0</v>
      </c>
      <c r="J143" s="39">
        <f t="shared" si="68"/>
        <v>0</v>
      </c>
      <c r="M143" s="7"/>
    </row>
    <row r="144" spans="1:13" x14ac:dyDescent="0.25">
      <c r="A144" s="1" t="s">
        <v>2</v>
      </c>
      <c r="B144" s="39">
        <f t="shared" si="70"/>
        <v>0</v>
      </c>
      <c r="C144" s="39">
        <f t="shared" ref="C144:I144" si="80">C82-C123</f>
        <v>0</v>
      </c>
      <c r="D144" s="39">
        <f t="shared" si="80"/>
        <v>0</v>
      </c>
      <c r="E144" s="39">
        <f t="shared" si="80"/>
        <v>0</v>
      </c>
      <c r="F144" s="39">
        <f t="shared" si="80"/>
        <v>0</v>
      </c>
      <c r="G144" s="39">
        <f t="shared" si="80"/>
        <v>0</v>
      </c>
      <c r="H144" s="39">
        <f t="shared" si="80"/>
        <v>0</v>
      </c>
      <c r="I144" s="39">
        <f t="shared" si="80"/>
        <v>0</v>
      </c>
      <c r="J144" s="39">
        <f t="shared" si="68"/>
        <v>0</v>
      </c>
      <c r="M144" s="7"/>
    </row>
    <row r="145" spans="1:13" x14ac:dyDescent="0.25">
      <c r="A145" s="1" t="s">
        <v>86</v>
      </c>
      <c r="B145" s="39">
        <f t="shared" si="70"/>
        <v>0</v>
      </c>
      <c r="C145" s="39">
        <f t="shared" ref="C145:I145" si="81">C83-C124</f>
        <v>0</v>
      </c>
      <c r="D145" s="39">
        <f t="shared" si="81"/>
        <v>0</v>
      </c>
      <c r="E145" s="39">
        <f t="shared" si="81"/>
        <v>0</v>
      </c>
      <c r="F145" s="39">
        <f t="shared" si="81"/>
        <v>0</v>
      </c>
      <c r="G145" s="39">
        <f t="shared" si="81"/>
        <v>0</v>
      </c>
      <c r="H145" s="39">
        <f t="shared" si="81"/>
        <v>0</v>
      </c>
      <c r="I145" s="39">
        <f t="shared" si="81"/>
        <v>0</v>
      </c>
      <c r="J145" s="39">
        <f t="shared" si="68"/>
        <v>0</v>
      </c>
      <c r="M145" s="7"/>
    </row>
    <row r="146" spans="1:13" x14ac:dyDescent="0.25">
      <c r="A146" s="1" t="s">
        <v>29</v>
      </c>
      <c r="B146" s="39">
        <f t="shared" si="70"/>
        <v>0</v>
      </c>
      <c r="C146" s="39">
        <f t="shared" ref="C146:I146" si="82">C84-C125</f>
        <v>0</v>
      </c>
      <c r="D146" s="39">
        <f t="shared" si="82"/>
        <v>0</v>
      </c>
      <c r="E146" s="39">
        <f t="shared" si="82"/>
        <v>0</v>
      </c>
      <c r="F146" s="39">
        <f t="shared" si="82"/>
        <v>0</v>
      </c>
      <c r="G146" s="39">
        <f t="shared" si="82"/>
        <v>0</v>
      </c>
      <c r="H146" s="39">
        <f t="shared" si="82"/>
        <v>0</v>
      </c>
      <c r="I146" s="39">
        <f t="shared" si="82"/>
        <v>0</v>
      </c>
      <c r="J146" s="39">
        <f t="shared" si="68"/>
        <v>0</v>
      </c>
      <c r="M146" s="7"/>
    </row>
    <row r="147" spans="1:13" x14ac:dyDescent="0.25">
      <c r="A147" s="1" t="s">
        <v>52</v>
      </c>
      <c r="B147" s="39">
        <f t="shared" si="70"/>
        <v>0</v>
      </c>
      <c r="C147" s="39">
        <f t="shared" ref="C147:I147" si="83">C85-C126</f>
        <v>0</v>
      </c>
      <c r="D147" s="39">
        <f t="shared" si="83"/>
        <v>0</v>
      </c>
      <c r="E147" s="39">
        <f t="shared" si="83"/>
        <v>0</v>
      </c>
      <c r="F147" s="39">
        <f t="shared" si="83"/>
        <v>0</v>
      </c>
      <c r="G147" s="39">
        <f t="shared" si="83"/>
        <v>0</v>
      </c>
      <c r="H147" s="39">
        <f t="shared" si="83"/>
        <v>0</v>
      </c>
      <c r="I147" s="39">
        <f t="shared" si="83"/>
        <v>0</v>
      </c>
      <c r="J147" s="39">
        <f t="shared" si="68"/>
        <v>0</v>
      </c>
      <c r="M147" s="7"/>
    </row>
    <row r="148" spans="1:13" x14ac:dyDescent="0.25">
      <c r="A148" s="1" t="s">
        <v>1</v>
      </c>
      <c r="B148" s="40">
        <f t="shared" si="70"/>
        <v>0</v>
      </c>
      <c r="C148" s="40">
        <f t="shared" ref="C148:I148" si="84">C86-C127</f>
        <v>0</v>
      </c>
      <c r="D148" s="40">
        <f t="shared" si="84"/>
        <v>0</v>
      </c>
      <c r="E148" s="40">
        <f t="shared" si="84"/>
        <v>0</v>
      </c>
      <c r="F148" s="40">
        <f t="shared" si="84"/>
        <v>0</v>
      </c>
      <c r="G148" s="40">
        <f t="shared" si="84"/>
        <v>0</v>
      </c>
      <c r="H148" s="40">
        <f t="shared" si="84"/>
        <v>0</v>
      </c>
      <c r="I148" s="40">
        <f t="shared" si="84"/>
        <v>0</v>
      </c>
      <c r="J148" s="40">
        <f t="shared" si="68"/>
        <v>0</v>
      </c>
      <c r="M148" s="7"/>
    </row>
    <row r="149" spans="1:13" x14ac:dyDescent="0.25">
      <c r="A149" s="4"/>
      <c r="B149" s="39">
        <f>SUM(B132:B148)</f>
        <v>0</v>
      </c>
      <c r="C149" s="39">
        <f t="shared" ref="C149:J149" si="85">SUM(C132:C148)</f>
        <v>0</v>
      </c>
      <c r="D149" s="39">
        <f t="shared" si="85"/>
        <v>0</v>
      </c>
      <c r="E149" s="39">
        <f t="shared" si="85"/>
        <v>0</v>
      </c>
      <c r="F149" s="39">
        <f t="shared" si="85"/>
        <v>0</v>
      </c>
      <c r="G149" s="39">
        <f t="shared" si="85"/>
        <v>0</v>
      </c>
      <c r="H149" s="39">
        <f t="shared" si="85"/>
        <v>0</v>
      </c>
      <c r="I149" s="39">
        <f t="shared" si="85"/>
        <v>0</v>
      </c>
      <c r="J149" s="39">
        <f t="shared" si="85"/>
        <v>0</v>
      </c>
      <c r="M149" s="7"/>
    </row>
    <row r="150" spans="1:13" x14ac:dyDescent="0.25">
      <c r="A150" s="4"/>
      <c r="B150" s="39"/>
      <c r="C150" s="39"/>
      <c r="D150" s="39"/>
      <c r="E150" s="39"/>
      <c r="F150" s="39"/>
      <c r="G150" s="39"/>
      <c r="H150" s="39"/>
      <c r="I150" s="39"/>
      <c r="J150" s="39"/>
      <c r="M150" s="7"/>
    </row>
    <row r="151" spans="1:13" x14ac:dyDescent="0.25">
      <c r="A151" s="4"/>
      <c r="B151" s="39"/>
      <c r="C151" s="39"/>
      <c r="D151" s="39"/>
      <c r="E151" s="39"/>
      <c r="F151" s="39"/>
      <c r="G151" s="39"/>
      <c r="H151" s="39"/>
      <c r="I151" s="39"/>
      <c r="J151" s="39"/>
      <c r="M151" s="7"/>
    </row>
    <row r="152" spans="1:13" x14ac:dyDescent="0.25">
      <c r="A152" s="4"/>
      <c r="B152" s="39"/>
      <c r="C152" s="39"/>
      <c r="D152" s="39"/>
      <c r="E152" s="39"/>
      <c r="F152" s="39"/>
      <c r="G152" s="39"/>
      <c r="H152" s="39"/>
      <c r="I152" s="39"/>
      <c r="J152" s="39"/>
      <c r="M152" s="7"/>
    </row>
    <row r="153" spans="1:13" x14ac:dyDescent="0.25">
      <c r="A153" s="4"/>
      <c r="B153" s="39"/>
      <c r="C153" s="39"/>
      <c r="D153" s="39"/>
      <c r="E153" s="39"/>
      <c r="F153" s="39"/>
      <c r="G153" s="39"/>
      <c r="H153" s="39"/>
      <c r="I153" s="39"/>
      <c r="J153" s="39"/>
      <c r="M153" s="7"/>
    </row>
    <row r="154" spans="1:13" x14ac:dyDescent="0.25">
      <c r="A154" s="4"/>
      <c r="B154" s="39"/>
      <c r="C154" s="39"/>
      <c r="D154" s="39"/>
      <c r="E154" s="39"/>
      <c r="F154" s="39"/>
      <c r="G154" s="39"/>
      <c r="H154" s="39"/>
      <c r="I154" s="39"/>
      <c r="J154" s="39"/>
      <c r="M154" s="7"/>
    </row>
    <row r="155" spans="1:13" x14ac:dyDescent="0.25">
      <c r="A155" s="4"/>
      <c r="B155" s="39"/>
      <c r="C155" s="39"/>
      <c r="D155" s="39"/>
      <c r="E155" s="39"/>
      <c r="F155" s="39"/>
      <c r="G155" s="39"/>
      <c r="H155" s="39"/>
      <c r="I155" s="39"/>
      <c r="J155" s="39"/>
      <c r="M155" s="7"/>
    </row>
    <row r="156" spans="1:13" x14ac:dyDescent="0.25">
      <c r="A156" s="4"/>
      <c r="B156" s="39"/>
      <c r="C156" s="39"/>
      <c r="D156" s="39"/>
      <c r="E156" s="39"/>
      <c r="F156" s="39"/>
      <c r="G156" s="39"/>
      <c r="H156" s="39"/>
      <c r="I156" s="39"/>
      <c r="J156" s="39"/>
      <c r="M156" s="7"/>
    </row>
    <row r="157" spans="1:13" x14ac:dyDescent="0.25">
      <c r="A157" s="1"/>
      <c r="B157" s="9"/>
      <c r="C157" s="9"/>
      <c r="D157" s="9"/>
      <c r="E157" s="9"/>
      <c r="F157" s="9"/>
      <c r="G157" s="9"/>
      <c r="H157" s="9"/>
      <c r="I157" s="9"/>
      <c r="J157" s="9"/>
      <c r="M157" s="7"/>
    </row>
    <row r="158" spans="1:13" x14ac:dyDescent="0.25">
      <c r="A158" s="1"/>
      <c r="B158" s="9"/>
      <c r="C158" s="9"/>
      <c r="D158" s="9"/>
      <c r="E158" s="9"/>
      <c r="F158" s="9"/>
      <c r="G158" s="9"/>
      <c r="H158" s="9"/>
      <c r="I158" s="9"/>
      <c r="J158" s="9"/>
      <c r="M158" s="7"/>
    </row>
  </sheetData>
  <mergeCells count="16">
    <mergeCell ref="A1:M1"/>
    <mergeCell ref="A2:M2"/>
    <mergeCell ref="A3:M3"/>
    <mergeCell ref="A4:M4"/>
    <mergeCell ref="A6:J6"/>
    <mergeCell ref="L6:M6"/>
    <mergeCell ref="A109:J109"/>
    <mergeCell ref="M124:M125"/>
    <mergeCell ref="M126:M127"/>
    <mergeCell ref="A130:J130"/>
    <mergeCell ref="A27:J27"/>
    <mergeCell ref="A47:J47"/>
    <mergeCell ref="M62:M63"/>
    <mergeCell ref="M64:M65"/>
    <mergeCell ref="A68:J68"/>
    <mergeCell ref="A89:J89"/>
  </mergeCells>
  <pageMargins left="0.7" right="0.7" top="0.75" bottom="0.75" header="0.3" footer="0.3"/>
  <pageSetup scale="31"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pageSetUpPr fitToPage="1"/>
  </sheetPr>
  <dimension ref="A1:Q158"/>
  <sheetViews>
    <sheetView zoomScale="85" zoomScaleNormal="85" workbookViewId="0">
      <selection activeCell="B7" sqref="B7:I7"/>
    </sheetView>
  </sheetViews>
  <sheetFormatPr defaultColWidth="9.140625" defaultRowHeight="15" x14ac:dyDescent="0.25"/>
  <cols>
    <col min="1" max="1" width="38.85546875" bestFit="1" customWidth="1"/>
    <col min="2" max="10" width="12.7109375" customWidth="1"/>
    <col min="11" max="11" width="2.5703125" customWidth="1"/>
    <col min="12" max="12" width="12.7109375" customWidth="1"/>
    <col min="13" max="13" width="30.7109375" customWidth="1"/>
    <col min="14" max="14" width="18.5703125" customWidth="1"/>
  </cols>
  <sheetData>
    <row r="1" spans="1:15" ht="18.75" x14ac:dyDescent="0.3">
      <c r="A1" s="173" t="s">
        <v>17</v>
      </c>
      <c r="B1" s="173"/>
      <c r="C1" s="173"/>
      <c r="D1" s="173"/>
      <c r="E1" s="173"/>
      <c r="F1" s="173"/>
      <c r="G1" s="173"/>
      <c r="H1" s="173"/>
      <c r="I1" s="173"/>
      <c r="J1" s="173"/>
      <c r="K1" s="173"/>
      <c r="L1" s="173"/>
      <c r="M1" s="173"/>
      <c r="O1" s="31"/>
    </row>
    <row r="2" spans="1:15" ht="15.75" x14ac:dyDescent="0.25">
      <c r="A2" s="174" t="s">
        <v>269</v>
      </c>
      <c r="B2" s="174"/>
      <c r="C2" s="174"/>
      <c r="D2" s="174"/>
      <c r="E2" s="174"/>
      <c r="F2" s="174"/>
      <c r="G2" s="174"/>
      <c r="H2" s="174"/>
      <c r="I2" s="174"/>
      <c r="J2" s="174"/>
      <c r="K2" s="174"/>
      <c r="L2" s="174"/>
      <c r="M2" s="174"/>
      <c r="O2" s="31"/>
    </row>
    <row r="3" spans="1:15" x14ac:dyDescent="0.25">
      <c r="A3" s="175" t="s">
        <v>31</v>
      </c>
      <c r="B3" s="175"/>
      <c r="C3" s="175"/>
      <c r="D3" s="175"/>
      <c r="E3" s="175"/>
      <c r="F3" s="175"/>
      <c r="G3" s="175"/>
      <c r="H3" s="175"/>
      <c r="I3" s="175"/>
      <c r="J3" s="175"/>
      <c r="K3" s="175"/>
      <c r="L3" s="175"/>
      <c r="M3" s="175"/>
    </row>
    <row r="4" spans="1:15" x14ac:dyDescent="0.25">
      <c r="A4" s="187">
        <f>'Company Summary'!A4:J4</f>
        <v>45199</v>
      </c>
      <c r="B4" s="187"/>
      <c r="C4" s="187"/>
      <c r="D4" s="187"/>
      <c r="E4" s="187"/>
      <c r="F4" s="187"/>
      <c r="G4" s="187"/>
      <c r="H4" s="187"/>
      <c r="I4" s="187"/>
      <c r="J4" s="187"/>
      <c r="K4" s="187"/>
      <c r="L4" s="187"/>
      <c r="M4" s="187"/>
    </row>
    <row r="5" spans="1:15" ht="15.75" thickBot="1" x14ac:dyDescent="0.3">
      <c r="A5" s="81"/>
      <c r="B5" s="81"/>
      <c r="C5" s="81"/>
      <c r="D5" s="81"/>
      <c r="E5" s="81"/>
      <c r="F5" s="81"/>
      <c r="G5" s="81"/>
      <c r="H5" s="81"/>
      <c r="I5" s="81"/>
      <c r="J5" s="81"/>
      <c r="K5" s="81"/>
      <c r="L5" s="81"/>
      <c r="M5" s="81"/>
    </row>
    <row r="6" spans="1:15" ht="15.75" thickBot="1" x14ac:dyDescent="0.3">
      <c r="A6" s="170" t="s">
        <v>54</v>
      </c>
      <c r="B6" s="171"/>
      <c r="C6" s="171"/>
      <c r="D6" s="171"/>
      <c r="E6" s="171"/>
      <c r="F6" s="171"/>
      <c r="G6" s="171"/>
      <c r="H6" s="171"/>
      <c r="I6" s="171"/>
      <c r="J6" s="172"/>
      <c r="L6" s="186"/>
      <c r="M6" s="186"/>
    </row>
    <row r="7" spans="1:15" x14ac:dyDescent="0.25">
      <c r="A7" s="4" t="s">
        <v>16</v>
      </c>
      <c r="B7" s="5" t="s">
        <v>15</v>
      </c>
      <c r="C7" s="5" t="s">
        <v>14</v>
      </c>
      <c r="D7" s="5" t="s">
        <v>13</v>
      </c>
      <c r="E7" s="5" t="s">
        <v>12</v>
      </c>
      <c r="F7" s="5" t="s">
        <v>93</v>
      </c>
      <c r="G7" s="5" t="s">
        <v>94</v>
      </c>
      <c r="H7" s="5" t="s">
        <v>38</v>
      </c>
      <c r="I7" s="5" t="s">
        <v>9</v>
      </c>
      <c r="J7" s="5" t="s">
        <v>0</v>
      </c>
      <c r="L7" s="4"/>
      <c r="M7" s="4"/>
    </row>
    <row r="8" spans="1:15" x14ac:dyDescent="0.25">
      <c r="A8" s="1" t="s">
        <v>49</v>
      </c>
      <c r="B8" s="33">
        <f>'Agile AR Aging &lt;-INPUT'!C387</f>
        <v>0</v>
      </c>
      <c r="C8" s="33">
        <f>'Agile AR Aging &lt;-INPUT'!D387</f>
        <v>0</v>
      </c>
      <c r="D8" s="33">
        <f>'Agile AR Aging &lt;-INPUT'!E387</f>
        <v>0</v>
      </c>
      <c r="E8" s="33">
        <f>'Agile AR Aging &lt;-INPUT'!F387</f>
        <v>0</v>
      </c>
      <c r="F8" s="33">
        <f>'Agile AR Aging &lt;-INPUT'!G387</f>
        <v>0</v>
      </c>
      <c r="G8" s="33">
        <f>'Agile AR Aging &lt;-INPUT'!H387</f>
        <v>0</v>
      </c>
      <c r="H8" s="33">
        <f>'Agile AR Aging &lt;-INPUT'!I387</f>
        <v>0</v>
      </c>
      <c r="I8" s="33">
        <f>'Agile AR Aging &lt;-INPUT'!J387</f>
        <v>0</v>
      </c>
      <c r="J8" s="2">
        <f t="shared" ref="J8:J24" si="0">SUM(B8:H8)</f>
        <v>0</v>
      </c>
      <c r="L8" s="67"/>
    </row>
    <row r="9" spans="1:15" x14ac:dyDescent="0.25">
      <c r="A9" s="1" t="s">
        <v>8</v>
      </c>
      <c r="B9" s="33">
        <f>'Agile AR Aging &lt;-INPUT'!C388</f>
        <v>0</v>
      </c>
      <c r="C9" s="33">
        <f>'Agile AR Aging &lt;-INPUT'!D388</f>
        <v>0</v>
      </c>
      <c r="D9" s="33">
        <f>'Agile AR Aging &lt;-INPUT'!E388</f>
        <v>0</v>
      </c>
      <c r="E9" s="33">
        <f>'Agile AR Aging &lt;-INPUT'!F388</f>
        <v>0</v>
      </c>
      <c r="F9" s="33">
        <f>'Agile AR Aging &lt;-INPUT'!G388</f>
        <v>0</v>
      </c>
      <c r="G9" s="33">
        <f>'Agile AR Aging &lt;-INPUT'!H388</f>
        <v>0</v>
      </c>
      <c r="H9" s="33">
        <f>'Agile AR Aging &lt;-INPUT'!I388</f>
        <v>0</v>
      </c>
      <c r="I9" s="33">
        <f>'Agile AR Aging &lt;-INPUT'!J388</f>
        <v>0</v>
      </c>
      <c r="J9" s="2">
        <f t="shared" si="0"/>
        <v>0</v>
      </c>
      <c r="L9" s="67"/>
      <c r="N9" s="68"/>
    </row>
    <row r="10" spans="1:15" x14ac:dyDescent="0.25">
      <c r="A10" s="1" t="s">
        <v>7</v>
      </c>
      <c r="B10" s="33">
        <f>'Agile AR Aging &lt;-INPUT'!C389</f>
        <v>0</v>
      </c>
      <c r="C10" s="33">
        <f>'Agile AR Aging &lt;-INPUT'!D389</f>
        <v>0</v>
      </c>
      <c r="D10" s="33">
        <f>'Agile AR Aging &lt;-INPUT'!E389</f>
        <v>0</v>
      </c>
      <c r="E10" s="33">
        <f>'Agile AR Aging &lt;-INPUT'!F389</f>
        <v>0</v>
      </c>
      <c r="F10" s="33">
        <f>'Agile AR Aging &lt;-INPUT'!G389</f>
        <v>0</v>
      </c>
      <c r="G10" s="33">
        <f>'Agile AR Aging &lt;-INPUT'!H389</f>
        <v>0</v>
      </c>
      <c r="H10" s="33">
        <f>'Agile AR Aging &lt;-INPUT'!I389</f>
        <v>0</v>
      </c>
      <c r="I10" s="33">
        <f>'Agile AR Aging &lt;-INPUT'!J389</f>
        <v>0</v>
      </c>
      <c r="J10" s="2">
        <f t="shared" si="0"/>
        <v>0</v>
      </c>
      <c r="L10" s="67"/>
      <c r="N10" s="68"/>
    </row>
    <row r="11" spans="1:15" x14ac:dyDescent="0.25">
      <c r="A11" s="1" t="s">
        <v>42</v>
      </c>
      <c r="B11" s="33">
        <f>'Agile AR Aging &lt;-INPUT'!C390</f>
        <v>0</v>
      </c>
      <c r="C11" s="33">
        <f>'Agile AR Aging &lt;-INPUT'!D390</f>
        <v>0</v>
      </c>
      <c r="D11" s="33">
        <f>'Agile AR Aging &lt;-INPUT'!E390</f>
        <v>0</v>
      </c>
      <c r="E11" s="33">
        <f>'Agile AR Aging &lt;-INPUT'!F390</f>
        <v>0</v>
      </c>
      <c r="F11" s="33">
        <f>'Agile AR Aging &lt;-INPUT'!G390</f>
        <v>0</v>
      </c>
      <c r="G11" s="33">
        <f>'Agile AR Aging &lt;-INPUT'!H390</f>
        <v>0</v>
      </c>
      <c r="H11" s="33">
        <f>'Agile AR Aging &lt;-INPUT'!I390</f>
        <v>0</v>
      </c>
      <c r="I11" s="33">
        <f>'Agile AR Aging &lt;-INPUT'!J390</f>
        <v>0</v>
      </c>
      <c r="J11" s="2">
        <f t="shared" si="0"/>
        <v>0</v>
      </c>
      <c r="L11" s="67"/>
      <c r="N11" s="68"/>
    </row>
    <row r="12" spans="1:15" x14ac:dyDescent="0.25">
      <c r="A12" s="1" t="s">
        <v>6</v>
      </c>
      <c r="B12" s="33">
        <f>'Agile AR Aging &lt;-INPUT'!C391+'Agile AR Aging &lt;-INPUT'!C392+'Agile AR Aging &lt;-INPUT'!C399+'Agile AR Aging &lt;-INPUT'!C405</f>
        <v>0</v>
      </c>
      <c r="C12" s="33">
        <f>'Agile AR Aging &lt;-INPUT'!D391+'Agile AR Aging &lt;-INPUT'!D392+'Agile AR Aging &lt;-INPUT'!D399+'Agile AR Aging &lt;-INPUT'!D405</f>
        <v>0</v>
      </c>
      <c r="D12" s="33">
        <f>'Agile AR Aging &lt;-INPUT'!E391+'Agile AR Aging &lt;-INPUT'!E392+'Agile AR Aging &lt;-INPUT'!E399+'Agile AR Aging &lt;-INPUT'!E405</f>
        <v>0</v>
      </c>
      <c r="E12" s="33">
        <f>'Agile AR Aging &lt;-INPUT'!F391+'Agile AR Aging &lt;-INPUT'!F392+'Agile AR Aging &lt;-INPUT'!F399+'Agile AR Aging &lt;-INPUT'!F405</f>
        <v>0</v>
      </c>
      <c r="F12" s="33">
        <f>'Agile AR Aging &lt;-INPUT'!G391+'Agile AR Aging &lt;-INPUT'!G392+'Agile AR Aging &lt;-INPUT'!G399+'Agile AR Aging &lt;-INPUT'!G405</f>
        <v>0</v>
      </c>
      <c r="G12" s="33">
        <f>'Agile AR Aging &lt;-INPUT'!H391+'Agile AR Aging &lt;-INPUT'!H392+'Agile AR Aging &lt;-INPUT'!H399+'Agile AR Aging &lt;-INPUT'!H405</f>
        <v>0</v>
      </c>
      <c r="H12" s="33">
        <f>'Agile AR Aging &lt;-INPUT'!I391+'Agile AR Aging &lt;-INPUT'!I392+'Agile AR Aging &lt;-INPUT'!I399+'Agile AR Aging &lt;-INPUT'!I405</f>
        <v>0</v>
      </c>
      <c r="I12" s="33">
        <f>'Agile AR Aging &lt;-INPUT'!J391+'Agile AR Aging &lt;-INPUT'!J392+'Agile AR Aging &lt;-INPUT'!J399+'Agile AR Aging &lt;-INPUT'!J405</f>
        <v>0</v>
      </c>
      <c r="J12" s="2">
        <f t="shared" si="0"/>
        <v>0</v>
      </c>
      <c r="L12" s="73"/>
      <c r="N12" s="68"/>
    </row>
    <row r="13" spans="1:15" x14ac:dyDescent="0.25">
      <c r="A13" s="1" t="s">
        <v>50</v>
      </c>
      <c r="B13" s="33">
        <f>'Agile AR Aging &lt;-INPUT'!C393</f>
        <v>0</v>
      </c>
      <c r="C13" s="33">
        <f>'Agile AR Aging &lt;-INPUT'!D393</f>
        <v>0</v>
      </c>
      <c r="D13" s="33">
        <f>'Agile AR Aging &lt;-INPUT'!E393</f>
        <v>0</v>
      </c>
      <c r="E13" s="33">
        <f>'Agile AR Aging &lt;-INPUT'!F393</f>
        <v>0</v>
      </c>
      <c r="F13" s="33">
        <f>'Agile AR Aging &lt;-INPUT'!G393</f>
        <v>0</v>
      </c>
      <c r="G13" s="33">
        <f>'Agile AR Aging &lt;-INPUT'!H393</f>
        <v>0</v>
      </c>
      <c r="H13" s="33">
        <f>'Agile AR Aging &lt;-INPUT'!I393</f>
        <v>0</v>
      </c>
      <c r="I13" s="33">
        <f>'Agile AR Aging &lt;-INPUT'!J393</f>
        <v>0</v>
      </c>
      <c r="J13" s="2">
        <f t="shared" si="0"/>
        <v>0</v>
      </c>
      <c r="L13" s="73"/>
      <c r="N13" s="68"/>
    </row>
    <row r="14" spans="1:15" x14ac:dyDescent="0.25">
      <c r="A14" s="1" t="s">
        <v>89</v>
      </c>
      <c r="B14" s="33">
        <f>'Agile AR Aging &lt;-INPUT'!C394</f>
        <v>0</v>
      </c>
      <c r="C14" s="33">
        <f>'Agile AR Aging &lt;-INPUT'!D394</f>
        <v>0</v>
      </c>
      <c r="D14" s="33">
        <f>'Agile AR Aging &lt;-INPUT'!E394</f>
        <v>0</v>
      </c>
      <c r="E14" s="33">
        <f>'Agile AR Aging &lt;-INPUT'!F394</f>
        <v>0</v>
      </c>
      <c r="F14" s="33">
        <f>'Agile AR Aging &lt;-INPUT'!G394</f>
        <v>0</v>
      </c>
      <c r="G14" s="33">
        <f>'Agile AR Aging &lt;-INPUT'!H394</f>
        <v>0</v>
      </c>
      <c r="H14" s="33">
        <f>'Agile AR Aging &lt;-INPUT'!I394</f>
        <v>0</v>
      </c>
      <c r="I14" s="33">
        <f>'Agile AR Aging &lt;-INPUT'!J394</f>
        <v>0</v>
      </c>
      <c r="J14" s="2">
        <f t="shared" si="0"/>
        <v>0</v>
      </c>
      <c r="L14" s="73"/>
      <c r="N14" s="68"/>
    </row>
    <row r="15" spans="1:15" x14ac:dyDescent="0.25">
      <c r="A15" s="1" t="s">
        <v>5</v>
      </c>
      <c r="B15" s="33">
        <f>'Agile AR Aging &lt;-INPUT'!C395</f>
        <v>0</v>
      </c>
      <c r="C15" s="33">
        <f>'Agile AR Aging &lt;-INPUT'!D395</f>
        <v>0</v>
      </c>
      <c r="D15" s="33">
        <f>'Agile AR Aging &lt;-INPUT'!E395</f>
        <v>0</v>
      </c>
      <c r="E15" s="33">
        <f>'Agile AR Aging &lt;-INPUT'!F395</f>
        <v>0</v>
      </c>
      <c r="F15" s="33">
        <f>'Agile AR Aging &lt;-INPUT'!G395</f>
        <v>0</v>
      </c>
      <c r="G15" s="33">
        <f>'Agile AR Aging &lt;-INPUT'!H395</f>
        <v>0</v>
      </c>
      <c r="H15" s="33">
        <f>'Agile AR Aging &lt;-INPUT'!I395</f>
        <v>0</v>
      </c>
      <c r="I15" s="33">
        <f>'Agile AR Aging &lt;-INPUT'!J395</f>
        <v>0</v>
      </c>
      <c r="J15" s="2">
        <f t="shared" si="0"/>
        <v>0</v>
      </c>
      <c r="L15" s="73"/>
      <c r="N15" s="68"/>
    </row>
    <row r="16" spans="1:15" x14ac:dyDescent="0.25">
      <c r="A16" s="1" t="s">
        <v>84</v>
      </c>
      <c r="B16" s="33">
        <f>'Agile AR Aging &lt;-INPUT'!C396</f>
        <v>0</v>
      </c>
      <c r="C16" s="33">
        <f>'Agile AR Aging &lt;-INPUT'!D396</f>
        <v>0</v>
      </c>
      <c r="D16" s="33">
        <f>'Agile AR Aging &lt;-INPUT'!E396</f>
        <v>0</v>
      </c>
      <c r="E16" s="33">
        <f>'Agile AR Aging &lt;-INPUT'!F396</f>
        <v>0</v>
      </c>
      <c r="F16" s="33">
        <f>'Agile AR Aging &lt;-INPUT'!G396</f>
        <v>0</v>
      </c>
      <c r="G16" s="33">
        <f>'Agile AR Aging &lt;-INPUT'!H396</f>
        <v>0</v>
      </c>
      <c r="H16" s="33">
        <f>'Agile AR Aging &lt;-INPUT'!I396</f>
        <v>0</v>
      </c>
      <c r="I16" s="33">
        <f>'Agile AR Aging &lt;-INPUT'!J396</f>
        <v>0</v>
      </c>
      <c r="J16" s="2">
        <f t="shared" si="0"/>
        <v>0</v>
      </c>
      <c r="L16" s="73"/>
      <c r="N16" s="68"/>
    </row>
    <row r="17" spans="1:17" x14ac:dyDescent="0.25">
      <c r="A17" s="1" t="s">
        <v>4</v>
      </c>
      <c r="B17" s="33">
        <f>'Agile AR Aging &lt;-INPUT'!C397</f>
        <v>0</v>
      </c>
      <c r="C17" s="33">
        <f>'Agile AR Aging &lt;-INPUT'!D397</f>
        <v>0</v>
      </c>
      <c r="D17" s="33">
        <f>'Agile AR Aging &lt;-INPUT'!E397</f>
        <v>0</v>
      </c>
      <c r="E17" s="33">
        <f>'Agile AR Aging &lt;-INPUT'!F397</f>
        <v>0</v>
      </c>
      <c r="F17" s="33">
        <f>'Agile AR Aging &lt;-INPUT'!G397</f>
        <v>0</v>
      </c>
      <c r="G17" s="33">
        <f>'Agile AR Aging &lt;-INPUT'!H397</f>
        <v>0</v>
      </c>
      <c r="H17" s="33">
        <f>'Agile AR Aging &lt;-INPUT'!I397</f>
        <v>0</v>
      </c>
      <c r="I17" s="33">
        <f>'Agile AR Aging &lt;-INPUT'!J397</f>
        <v>0</v>
      </c>
      <c r="J17" s="2">
        <f t="shared" si="0"/>
        <v>0</v>
      </c>
      <c r="L17" s="73"/>
      <c r="N17" s="68"/>
    </row>
    <row r="18" spans="1:17" x14ac:dyDescent="0.25">
      <c r="A18" s="1" t="s">
        <v>51</v>
      </c>
      <c r="B18" s="33">
        <f>'Agile AR Aging &lt;-INPUT'!C398</f>
        <v>0</v>
      </c>
      <c r="C18" s="33">
        <f>'Agile AR Aging &lt;-INPUT'!D398</f>
        <v>0</v>
      </c>
      <c r="D18" s="33">
        <f>'Agile AR Aging &lt;-INPUT'!E398</f>
        <v>0</v>
      </c>
      <c r="E18" s="33">
        <f>'Agile AR Aging &lt;-INPUT'!F398</f>
        <v>0</v>
      </c>
      <c r="F18" s="33">
        <f>'Agile AR Aging &lt;-INPUT'!G398</f>
        <v>0</v>
      </c>
      <c r="G18" s="33">
        <f>'Agile AR Aging &lt;-INPUT'!H398</f>
        <v>0</v>
      </c>
      <c r="H18" s="33">
        <f>'Agile AR Aging &lt;-INPUT'!I398</f>
        <v>0</v>
      </c>
      <c r="I18" s="33">
        <f>'Agile AR Aging &lt;-INPUT'!J398</f>
        <v>0</v>
      </c>
      <c r="J18" s="2">
        <f t="shared" si="0"/>
        <v>0</v>
      </c>
      <c r="L18" s="73"/>
      <c r="N18" s="68"/>
    </row>
    <row r="19" spans="1:17" x14ac:dyDescent="0.25">
      <c r="A19" s="1" t="s">
        <v>85</v>
      </c>
      <c r="B19" s="33">
        <f>'Agile AR Aging &lt;-INPUT'!C400</f>
        <v>0</v>
      </c>
      <c r="C19" s="33">
        <f>'Agile AR Aging &lt;-INPUT'!D400</f>
        <v>0</v>
      </c>
      <c r="D19" s="33">
        <f>'Agile AR Aging &lt;-INPUT'!E400</f>
        <v>0</v>
      </c>
      <c r="E19" s="33">
        <f>'Agile AR Aging &lt;-INPUT'!F400</f>
        <v>0</v>
      </c>
      <c r="F19" s="33">
        <f>'Agile AR Aging &lt;-INPUT'!G400</f>
        <v>0</v>
      </c>
      <c r="G19" s="33">
        <f>'Agile AR Aging &lt;-INPUT'!H400</f>
        <v>0</v>
      </c>
      <c r="H19" s="33">
        <f>'Agile AR Aging &lt;-INPUT'!I400</f>
        <v>0</v>
      </c>
      <c r="I19" s="33">
        <f>'Agile AR Aging &lt;-INPUT'!J400</f>
        <v>0</v>
      </c>
      <c r="J19" s="2">
        <f t="shared" si="0"/>
        <v>0</v>
      </c>
      <c r="L19" s="73"/>
      <c r="N19" s="68"/>
    </row>
    <row r="20" spans="1:17" x14ac:dyDescent="0.25">
      <c r="A20" s="1" t="s">
        <v>2</v>
      </c>
      <c r="B20" s="33">
        <f>'Agile AR Aging &lt;-INPUT'!C401</f>
        <v>0</v>
      </c>
      <c r="C20" s="33">
        <f>'Agile AR Aging &lt;-INPUT'!D401</f>
        <v>0</v>
      </c>
      <c r="D20" s="33">
        <f>'Agile AR Aging &lt;-INPUT'!E401</f>
        <v>0</v>
      </c>
      <c r="E20" s="33">
        <f>'Agile AR Aging &lt;-INPUT'!F401</f>
        <v>0</v>
      </c>
      <c r="F20" s="33">
        <f>'Agile AR Aging &lt;-INPUT'!G401</f>
        <v>0</v>
      </c>
      <c r="G20" s="33">
        <f>'Agile AR Aging &lt;-INPUT'!H401</f>
        <v>0</v>
      </c>
      <c r="H20" s="33">
        <f>'Agile AR Aging &lt;-INPUT'!I401</f>
        <v>0</v>
      </c>
      <c r="I20" s="33">
        <f>'Agile AR Aging &lt;-INPUT'!J401</f>
        <v>0</v>
      </c>
      <c r="J20" s="2">
        <f t="shared" si="0"/>
        <v>0</v>
      </c>
      <c r="L20" s="73"/>
      <c r="N20" s="68"/>
    </row>
    <row r="21" spans="1:17" x14ac:dyDescent="0.25">
      <c r="A21" s="1" t="s">
        <v>86</v>
      </c>
      <c r="B21" s="33">
        <f>'Agile AR Aging &lt;-INPUT'!C402</f>
        <v>0</v>
      </c>
      <c r="C21" s="33">
        <f>'Agile AR Aging &lt;-INPUT'!D402</f>
        <v>0</v>
      </c>
      <c r="D21" s="33">
        <f>'Agile AR Aging &lt;-INPUT'!E402</f>
        <v>0</v>
      </c>
      <c r="E21" s="33">
        <f>'Agile AR Aging &lt;-INPUT'!F402</f>
        <v>0</v>
      </c>
      <c r="F21" s="33">
        <f>'Agile AR Aging &lt;-INPUT'!G402</f>
        <v>0</v>
      </c>
      <c r="G21" s="33">
        <f>'Agile AR Aging &lt;-INPUT'!H402</f>
        <v>0</v>
      </c>
      <c r="H21" s="33">
        <f>'Agile AR Aging &lt;-INPUT'!I402</f>
        <v>0</v>
      </c>
      <c r="I21" s="33">
        <f>'Agile AR Aging &lt;-INPUT'!J402</f>
        <v>0</v>
      </c>
      <c r="J21" s="2">
        <f t="shared" si="0"/>
        <v>0</v>
      </c>
      <c r="L21" s="73"/>
      <c r="N21" s="68"/>
    </row>
    <row r="22" spans="1:17" x14ac:dyDescent="0.25">
      <c r="A22" s="1" t="s">
        <v>29</v>
      </c>
      <c r="B22" s="33">
        <f>'Agile AR Aging &lt;-INPUT'!C403</f>
        <v>0</v>
      </c>
      <c r="C22" s="33">
        <f>'Agile AR Aging &lt;-INPUT'!D403</f>
        <v>0</v>
      </c>
      <c r="D22" s="33">
        <f>'Agile AR Aging &lt;-INPUT'!E403</f>
        <v>0</v>
      </c>
      <c r="E22" s="33">
        <f>'Agile AR Aging &lt;-INPUT'!F403</f>
        <v>0</v>
      </c>
      <c r="F22" s="33">
        <f>'Agile AR Aging &lt;-INPUT'!G403</f>
        <v>0</v>
      </c>
      <c r="G22" s="33">
        <f>'Agile AR Aging &lt;-INPUT'!H403</f>
        <v>0</v>
      </c>
      <c r="H22" s="33">
        <f>'Agile AR Aging &lt;-INPUT'!I403</f>
        <v>0</v>
      </c>
      <c r="I22" s="33">
        <f>'Agile AR Aging &lt;-INPUT'!J403</f>
        <v>0</v>
      </c>
      <c r="J22" s="2">
        <f t="shared" si="0"/>
        <v>0</v>
      </c>
      <c r="L22" s="73"/>
      <c r="N22" s="68"/>
    </row>
    <row r="23" spans="1:17" x14ac:dyDescent="0.25">
      <c r="A23" s="1" t="s">
        <v>52</v>
      </c>
      <c r="B23" s="33">
        <f>'Agile AR Aging &lt;-INPUT'!C404</f>
        <v>0</v>
      </c>
      <c r="C23" s="33">
        <f>'Agile AR Aging &lt;-INPUT'!D404</f>
        <v>0</v>
      </c>
      <c r="D23" s="33">
        <f>'Agile AR Aging &lt;-INPUT'!E404</f>
        <v>0</v>
      </c>
      <c r="E23" s="33">
        <f>'Agile AR Aging &lt;-INPUT'!F404</f>
        <v>0</v>
      </c>
      <c r="F23" s="33">
        <f>'Agile AR Aging &lt;-INPUT'!G404</f>
        <v>0</v>
      </c>
      <c r="G23" s="33">
        <f>'Agile AR Aging &lt;-INPUT'!H404</f>
        <v>0</v>
      </c>
      <c r="H23" s="33">
        <f>'Agile AR Aging &lt;-INPUT'!I404</f>
        <v>0</v>
      </c>
      <c r="I23" s="33">
        <f>'Agile AR Aging &lt;-INPUT'!J404</f>
        <v>0</v>
      </c>
      <c r="J23" s="2">
        <f t="shared" si="0"/>
        <v>0</v>
      </c>
      <c r="L23" s="73"/>
      <c r="N23" s="68"/>
    </row>
    <row r="24" spans="1:17" x14ac:dyDescent="0.25">
      <c r="A24" s="1" t="s">
        <v>1</v>
      </c>
      <c r="B24" s="32">
        <f>'Agile AR Aging &lt;-INPUT'!C406</f>
        <v>0</v>
      </c>
      <c r="C24" s="32">
        <f>'Agile AR Aging &lt;-INPUT'!D406</f>
        <v>0</v>
      </c>
      <c r="D24" s="32">
        <f>'Agile AR Aging &lt;-INPUT'!E406</f>
        <v>0</v>
      </c>
      <c r="E24" s="32">
        <f>'Agile AR Aging &lt;-INPUT'!F406</f>
        <v>0</v>
      </c>
      <c r="F24" s="32">
        <f>'Agile AR Aging &lt;-INPUT'!G406</f>
        <v>0</v>
      </c>
      <c r="G24" s="32">
        <f>'Agile AR Aging &lt;-INPUT'!H406</f>
        <v>0</v>
      </c>
      <c r="H24" s="32">
        <f>'Agile AR Aging &lt;-INPUT'!I406</f>
        <v>0</v>
      </c>
      <c r="I24" s="32">
        <f>'Agile AR Aging &lt;-INPUT'!J406</f>
        <v>0</v>
      </c>
      <c r="J24" s="9">
        <f t="shared" si="0"/>
        <v>0</v>
      </c>
      <c r="L24" s="73"/>
      <c r="N24" s="68"/>
    </row>
    <row r="25" spans="1:17" x14ac:dyDescent="0.25">
      <c r="A25" s="1" t="s">
        <v>0</v>
      </c>
      <c r="B25" s="10">
        <f t="shared" ref="B25:I25" si="1">SUM(B8:B24)</f>
        <v>0</v>
      </c>
      <c r="C25" s="10">
        <f t="shared" si="1"/>
        <v>0</v>
      </c>
      <c r="D25" s="10">
        <f t="shared" si="1"/>
        <v>0</v>
      </c>
      <c r="E25" s="10">
        <f t="shared" si="1"/>
        <v>0</v>
      </c>
      <c r="F25" s="10">
        <f t="shared" si="1"/>
        <v>0</v>
      </c>
      <c r="G25" s="10">
        <f t="shared" si="1"/>
        <v>0</v>
      </c>
      <c r="H25" s="10">
        <f t="shared" si="1"/>
        <v>0</v>
      </c>
      <c r="I25" s="10">
        <f t="shared" si="1"/>
        <v>0</v>
      </c>
      <c r="J25" s="10">
        <f>SUM(B25:H25)</f>
        <v>0</v>
      </c>
      <c r="L25" s="31"/>
    </row>
    <row r="26" spans="1:17" ht="15.75" thickBot="1" x14ac:dyDescent="0.3">
      <c r="A26" s="1"/>
      <c r="B26" s="9"/>
      <c r="C26" s="9"/>
      <c r="D26" s="9"/>
      <c r="E26" s="9"/>
      <c r="F26" s="9"/>
      <c r="G26" s="9"/>
      <c r="H26" s="9"/>
      <c r="I26" s="9"/>
      <c r="J26" s="9"/>
      <c r="L26" s="31"/>
      <c r="Q26" s="1"/>
    </row>
    <row r="27" spans="1:17" ht="15.75" thickBot="1" x14ac:dyDescent="0.3">
      <c r="A27" s="167" t="s">
        <v>55</v>
      </c>
      <c r="B27" s="168"/>
      <c r="C27" s="168"/>
      <c r="D27" s="168"/>
      <c r="E27" s="168"/>
      <c r="F27" s="168"/>
      <c r="G27" s="168"/>
      <c r="H27" s="168"/>
      <c r="I27" s="168"/>
      <c r="J27" s="169"/>
      <c r="Q27" s="1"/>
    </row>
    <row r="28" spans="1:17" x14ac:dyDescent="0.25">
      <c r="A28" s="4" t="s">
        <v>16</v>
      </c>
      <c r="B28" s="5" t="s">
        <v>15</v>
      </c>
      <c r="C28" s="5" t="s">
        <v>14</v>
      </c>
      <c r="D28" s="5" t="s">
        <v>13</v>
      </c>
      <c r="E28" s="5" t="s">
        <v>12</v>
      </c>
      <c r="F28" s="5" t="s">
        <v>93</v>
      </c>
      <c r="G28" s="5" t="s">
        <v>94</v>
      </c>
      <c r="H28" s="5" t="s">
        <v>38</v>
      </c>
      <c r="I28" s="5" t="s">
        <v>9</v>
      </c>
      <c r="J28" s="5" t="s">
        <v>0</v>
      </c>
      <c r="Q28" s="1"/>
    </row>
    <row r="29" spans="1:17" x14ac:dyDescent="0.25">
      <c r="A29" s="1" t="s">
        <v>49</v>
      </c>
      <c r="B29" s="36">
        <f>'Reimbursement Rates &lt;-INPUT'!P9</f>
        <v>0</v>
      </c>
      <c r="C29" s="36">
        <f t="shared" ref="C29:I45" si="2">B29</f>
        <v>0</v>
      </c>
      <c r="D29" s="36">
        <f t="shared" si="2"/>
        <v>0</v>
      </c>
      <c r="E29" s="36">
        <f t="shared" si="2"/>
        <v>0</v>
      </c>
      <c r="F29" s="36">
        <f t="shared" si="2"/>
        <v>0</v>
      </c>
      <c r="G29" s="36">
        <f t="shared" si="2"/>
        <v>0</v>
      </c>
      <c r="H29" s="36">
        <f t="shared" si="2"/>
        <v>0</v>
      </c>
      <c r="I29" s="36">
        <f t="shared" si="2"/>
        <v>0</v>
      </c>
      <c r="J29" s="36">
        <f t="shared" ref="J29:J45" si="3">H29</f>
        <v>0</v>
      </c>
    </row>
    <row r="30" spans="1:17" x14ac:dyDescent="0.25">
      <c r="A30" s="1" t="s">
        <v>8</v>
      </c>
      <c r="B30" s="36">
        <f>'Reimbursement Rates &lt;-INPUT'!P10</f>
        <v>0</v>
      </c>
      <c r="C30" s="36">
        <f t="shared" si="2"/>
        <v>0</v>
      </c>
      <c r="D30" s="36">
        <f t="shared" si="2"/>
        <v>0</v>
      </c>
      <c r="E30" s="36">
        <f t="shared" si="2"/>
        <v>0</v>
      </c>
      <c r="F30" s="36">
        <f t="shared" si="2"/>
        <v>0</v>
      </c>
      <c r="G30" s="36">
        <f t="shared" si="2"/>
        <v>0</v>
      </c>
      <c r="H30" s="36">
        <f t="shared" si="2"/>
        <v>0</v>
      </c>
      <c r="I30" s="36">
        <f t="shared" si="2"/>
        <v>0</v>
      </c>
      <c r="J30" s="36">
        <f t="shared" si="3"/>
        <v>0</v>
      </c>
      <c r="Q30" s="1"/>
    </row>
    <row r="31" spans="1:17" x14ac:dyDescent="0.25">
      <c r="A31" s="1" t="s">
        <v>7</v>
      </c>
      <c r="B31" s="36">
        <f>'Reimbursement Rates &lt;-INPUT'!P11</f>
        <v>0</v>
      </c>
      <c r="C31" s="36">
        <f t="shared" si="2"/>
        <v>0</v>
      </c>
      <c r="D31" s="36">
        <f t="shared" si="2"/>
        <v>0</v>
      </c>
      <c r="E31" s="36">
        <f t="shared" si="2"/>
        <v>0</v>
      </c>
      <c r="F31" s="36">
        <f t="shared" si="2"/>
        <v>0</v>
      </c>
      <c r="G31" s="36">
        <f t="shared" si="2"/>
        <v>0</v>
      </c>
      <c r="H31" s="36">
        <f t="shared" si="2"/>
        <v>0</v>
      </c>
      <c r="I31" s="36">
        <f t="shared" si="2"/>
        <v>0</v>
      </c>
      <c r="J31" s="36">
        <f t="shared" si="3"/>
        <v>0</v>
      </c>
    </row>
    <row r="32" spans="1:17" x14ac:dyDescent="0.25">
      <c r="A32" s="1" t="s">
        <v>42</v>
      </c>
      <c r="B32" s="36">
        <f>'Reimbursement Rates &lt;-INPUT'!P12</f>
        <v>0</v>
      </c>
      <c r="C32" s="36">
        <f t="shared" si="2"/>
        <v>0</v>
      </c>
      <c r="D32" s="36">
        <f t="shared" si="2"/>
        <v>0</v>
      </c>
      <c r="E32" s="36">
        <f t="shared" si="2"/>
        <v>0</v>
      </c>
      <c r="F32" s="36">
        <f t="shared" si="2"/>
        <v>0</v>
      </c>
      <c r="G32" s="36">
        <f t="shared" si="2"/>
        <v>0</v>
      </c>
      <c r="H32" s="36">
        <f t="shared" si="2"/>
        <v>0</v>
      </c>
      <c r="I32" s="36">
        <f t="shared" si="2"/>
        <v>0</v>
      </c>
      <c r="J32" s="36">
        <f t="shared" si="3"/>
        <v>0</v>
      </c>
    </row>
    <row r="33" spans="1:17" x14ac:dyDescent="0.25">
      <c r="A33" s="1" t="s">
        <v>6</v>
      </c>
      <c r="B33" s="36">
        <f>'Reimbursement Rates &lt;-INPUT'!P13</f>
        <v>0</v>
      </c>
      <c r="C33" s="36">
        <f t="shared" si="2"/>
        <v>0</v>
      </c>
      <c r="D33" s="36">
        <f t="shared" si="2"/>
        <v>0</v>
      </c>
      <c r="E33" s="36">
        <f t="shared" si="2"/>
        <v>0</v>
      </c>
      <c r="F33" s="36">
        <f t="shared" si="2"/>
        <v>0</v>
      </c>
      <c r="G33" s="36">
        <f t="shared" si="2"/>
        <v>0</v>
      </c>
      <c r="H33" s="36">
        <f t="shared" si="2"/>
        <v>0</v>
      </c>
      <c r="I33" s="36">
        <f t="shared" si="2"/>
        <v>0</v>
      </c>
      <c r="J33" s="36">
        <f t="shared" si="3"/>
        <v>0</v>
      </c>
      <c r="Q33" s="1"/>
    </row>
    <row r="34" spans="1:17" x14ac:dyDescent="0.25">
      <c r="A34" s="1" t="s">
        <v>50</v>
      </c>
      <c r="B34" s="36">
        <f>'Reimbursement Rates &lt;-INPUT'!P15</f>
        <v>0</v>
      </c>
      <c r="C34" s="36">
        <f t="shared" si="2"/>
        <v>0</v>
      </c>
      <c r="D34" s="36">
        <f t="shared" si="2"/>
        <v>0</v>
      </c>
      <c r="E34" s="36">
        <f t="shared" si="2"/>
        <v>0</v>
      </c>
      <c r="F34" s="36">
        <f t="shared" si="2"/>
        <v>0</v>
      </c>
      <c r="G34" s="36">
        <f t="shared" si="2"/>
        <v>0</v>
      </c>
      <c r="H34" s="36">
        <f t="shared" si="2"/>
        <v>0</v>
      </c>
      <c r="I34" s="36">
        <f t="shared" si="2"/>
        <v>0</v>
      </c>
      <c r="J34" s="36">
        <f t="shared" si="3"/>
        <v>0</v>
      </c>
      <c r="M34" s="7"/>
    </row>
    <row r="35" spans="1:17" x14ac:dyDescent="0.25">
      <c r="A35" s="1" t="s">
        <v>89</v>
      </c>
      <c r="B35" s="36">
        <f>'Reimbursement Rates &lt;-INPUT'!P16</f>
        <v>0</v>
      </c>
      <c r="C35" s="36">
        <f t="shared" si="2"/>
        <v>0</v>
      </c>
      <c r="D35" s="36">
        <f t="shared" si="2"/>
        <v>0</v>
      </c>
      <c r="E35" s="36">
        <f t="shared" si="2"/>
        <v>0</v>
      </c>
      <c r="F35" s="36">
        <f t="shared" si="2"/>
        <v>0</v>
      </c>
      <c r="G35" s="36">
        <f t="shared" si="2"/>
        <v>0</v>
      </c>
      <c r="H35" s="36">
        <f t="shared" si="2"/>
        <v>0</v>
      </c>
      <c r="I35" s="36">
        <f t="shared" si="2"/>
        <v>0</v>
      </c>
      <c r="J35" s="36">
        <f t="shared" si="3"/>
        <v>0</v>
      </c>
      <c r="M35" s="7"/>
    </row>
    <row r="36" spans="1:17" x14ac:dyDescent="0.25">
      <c r="A36" s="1" t="s">
        <v>5</v>
      </c>
      <c r="B36" s="36">
        <f>'Reimbursement Rates &lt;-INPUT'!P17</f>
        <v>0</v>
      </c>
      <c r="C36" s="36">
        <f t="shared" si="2"/>
        <v>0</v>
      </c>
      <c r="D36" s="36">
        <f t="shared" si="2"/>
        <v>0</v>
      </c>
      <c r="E36" s="36">
        <f t="shared" si="2"/>
        <v>0</v>
      </c>
      <c r="F36" s="36">
        <f t="shared" si="2"/>
        <v>0</v>
      </c>
      <c r="G36" s="36">
        <f t="shared" si="2"/>
        <v>0</v>
      </c>
      <c r="H36" s="36">
        <f t="shared" si="2"/>
        <v>0</v>
      </c>
      <c r="I36" s="36">
        <f t="shared" si="2"/>
        <v>0</v>
      </c>
      <c r="J36" s="36">
        <f t="shared" si="3"/>
        <v>0</v>
      </c>
      <c r="M36" s="7"/>
      <c r="Q36" s="1"/>
    </row>
    <row r="37" spans="1:17" x14ac:dyDescent="0.25">
      <c r="A37" s="1" t="s">
        <v>84</v>
      </c>
      <c r="B37" s="36">
        <f>'Reimbursement Rates &lt;-INPUT'!P18</f>
        <v>0</v>
      </c>
      <c r="C37" s="36">
        <f t="shared" si="2"/>
        <v>0</v>
      </c>
      <c r="D37" s="36">
        <f t="shared" si="2"/>
        <v>0</v>
      </c>
      <c r="E37" s="36">
        <f t="shared" si="2"/>
        <v>0</v>
      </c>
      <c r="F37" s="36">
        <f t="shared" si="2"/>
        <v>0</v>
      </c>
      <c r="G37" s="36">
        <f t="shared" si="2"/>
        <v>0</v>
      </c>
      <c r="H37" s="36">
        <f t="shared" si="2"/>
        <v>0</v>
      </c>
      <c r="I37" s="36">
        <f t="shared" si="2"/>
        <v>0</v>
      </c>
      <c r="J37" s="36">
        <f t="shared" si="3"/>
        <v>0</v>
      </c>
      <c r="M37" s="7"/>
      <c r="Q37" s="1"/>
    </row>
    <row r="38" spans="1:17" x14ac:dyDescent="0.25">
      <c r="A38" s="1" t="s">
        <v>4</v>
      </c>
      <c r="B38" s="36">
        <f>'Reimbursement Rates &lt;-INPUT'!P19</f>
        <v>0</v>
      </c>
      <c r="C38" s="36">
        <f t="shared" si="2"/>
        <v>0</v>
      </c>
      <c r="D38" s="36">
        <f t="shared" si="2"/>
        <v>0</v>
      </c>
      <c r="E38" s="36">
        <f t="shared" si="2"/>
        <v>0</v>
      </c>
      <c r="F38" s="36">
        <f t="shared" si="2"/>
        <v>0</v>
      </c>
      <c r="G38" s="36">
        <f t="shared" si="2"/>
        <v>0</v>
      </c>
      <c r="H38" s="36">
        <f t="shared" si="2"/>
        <v>0</v>
      </c>
      <c r="I38" s="36">
        <f t="shared" si="2"/>
        <v>0</v>
      </c>
      <c r="J38" s="36">
        <f t="shared" si="3"/>
        <v>0</v>
      </c>
      <c r="M38" s="7"/>
    </row>
    <row r="39" spans="1:17" x14ac:dyDescent="0.25">
      <c r="A39" s="1" t="s">
        <v>51</v>
      </c>
      <c r="B39" s="36">
        <f>'Reimbursement Rates &lt;-INPUT'!P20</f>
        <v>0</v>
      </c>
      <c r="C39" s="36">
        <f t="shared" si="2"/>
        <v>0</v>
      </c>
      <c r="D39" s="36">
        <f t="shared" si="2"/>
        <v>0</v>
      </c>
      <c r="E39" s="36">
        <f t="shared" si="2"/>
        <v>0</v>
      </c>
      <c r="F39" s="36">
        <f t="shared" si="2"/>
        <v>0</v>
      </c>
      <c r="G39" s="36">
        <f t="shared" si="2"/>
        <v>0</v>
      </c>
      <c r="H39" s="36">
        <f t="shared" si="2"/>
        <v>0</v>
      </c>
      <c r="I39" s="36">
        <f t="shared" si="2"/>
        <v>0</v>
      </c>
      <c r="J39" s="36">
        <f t="shared" si="3"/>
        <v>0</v>
      </c>
      <c r="M39" s="7"/>
      <c r="Q39" s="1"/>
    </row>
    <row r="40" spans="1:17" x14ac:dyDescent="0.25">
      <c r="A40" s="1" t="s">
        <v>85</v>
      </c>
      <c r="B40" s="36">
        <f>'Reimbursement Rates &lt;-INPUT'!P22</f>
        <v>0</v>
      </c>
      <c r="C40" s="36">
        <f t="shared" si="2"/>
        <v>0</v>
      </c>
      <c r="D40" s="36">
        <f t="shared" si="2"/>
        <v>0</v>
      </c>
      <c r="E40" s="36">
        <f t="shared" si="2"/>
        <v>0</v>
      </c>
      <c r="F40" s="36">
        <f t="shared" si="2"/>
        <v>0</v>
      </c>
      <c r="G40" s="36">
        <f t="shared" si="2"/>
        <v>0</v>
      </c>
      <c r="H40" s="36">
        <f t="shared" si="2"/>
        <v>0</v>
      </c>
      <c r="I40" s="36">
        <f t="shared" si="2"/>
        <v>0</v>
      </c>
      <c r="J40" s="36">
        <f t="shared" si="3"/>
        <v>0</v>
      </c>
      <c r="M40" s="7"/>
      <c r="Q40" s="1"/>
    </row>
    <row r="41" spans="1:17" x14ac:dyDescent="0.25">
      <c r="A41" s="1" t="s">
        <v>2</v>
      </c>
      <c r="B41" s="36">
        <f>'Reimbursement Rates &lt;-INPUT'!P23</f>
        <v>0</v>
      </c>
      <c r="C41" s="36">
        <f t="shared" si="2"/>
        <v>0</v>
      </c>
      <c r="D41" s="36">
        <f t="shared" si="2"/>
        <v>0</v>
      </c>
      <c r="E41" s="36">
        <f t="shared" si="2"/>
        <v>0</v>
      </c>
      <c r="F41" s="36">
        <f t="shared" si="2"/>
        <v>0</v>
      </c>
      <c r="G41" s="36">
        <f t="shared" si="2"/>
        <v>0</v>
      </c>
      <c r="H41" s="36">
        <f t="shared" si="2"/>
        <v>0</v>
      </c>
      <c r="I41" s="36">
        <f t="shared" si="2"/>
        <v>0</v>
      </c>
      <c r="J41" s="36">
        <f t="shared" si="3"/>
        <v>0</v>
      </c>
      <c r="M41" s="7"/>
      <c r="Q41" s="1"/>
    </row>
    <row r="42" spans="1:17" x14ac:dyDescent="0.25">
      <c r="A42" s="1" t="s">
        <v>86</v>
      </c>
      <c r="B42" s="36">
        <f>'Reimbursement Rates &lt;-INPUT'!P24</f>
        <v>0</v>
      </c>
      <c r="C42" s="36">
        <f t="shared" si="2"/>
        <v>0</v>
      </c>
      <c r="D42" s="36">
        <f t="shared" si="2"/>
        <v>0</v>
      </c>
      <c r="E42" s="36">
        <f t="shared" si="2"/>
        <v>0</v>
      </c>
      <c r="F42" s="36">
        <f t="shared" si="2"/>
        <v>0</v>
      </c>
      <c r="G42" s="36">
        <f t="shared" si="2"/>
        <v>0</v>
      </c>
      <c r="H42" s="36">
        <f t="shared" si="2"/>
        <v>0</v>
      </c>
      <c r="I42" s="36">
        <f t="shared" si="2"/>
        <v>0</v>
      </c>
      <c r="J42" s="36">
        <f t="shared" si="3"/>
        <v>0</v>
      </c>
      <c r="M42" s="7"/>
    </row>
    <row r="43" spans="1:17" x14ac:dyDescent="0.25">
      <c r="A43" s="1" t="s">
        <v>29</v>
      </c>
      <c r="B43" s="36">
        <f>'Reimbursement Rates &lt;-INPUT'!P25</f>
        <v>0</v>
      </c>
      <c r="C43" s="36">
        <f t="shared" si="2"/>
        <v>0</v>
      </c>
      <c r="D43" s="36">
        <f t="shared" si="2"/>
        <v>0</v>
      </c>
      <c r="E43" s="36">
        <f t="shared" si="2"/>
        <v>0</v>
      </c>
      <c r="F43" s="36">
        <f t="shared" si="2"/>
        <v>0</v>
      </c>
      <c r="G43" s="36">
        <f t="shared" si="2"/>
        <v>0</v>
      </c>
      <c r="H43" s="36">
        <f t="shared" si="2"/>
        <v>0</v>
      </c>
      <c r="I43" s="36">
        <f t="shared" si="2"/>
        <v>0</v>
      </c>
      <c r="J43" s="36">
        <f t="shared" si="3"/>
        <v>0</v>
      </c>
      <c r="M43" s="7"/>
    </row>
    <row r="44" spans="1:17" x14ac:dyDescent="0.25">
      <c r="A44" s="1" t="s">
        <v>52</v>
      </c>
      <c r="B44" s="36">
        <f>'Reimbursement Rates &lt;-INPUT'!P26</f>
        <v>0</v>
      </c>
      <c r="C44" s="36">
        <f t="shared" si="2"/>
        <v>0</v>
      </c>
      <c r="D44" s="36">
        <f t="shared" si="2"/>
        <v>0</v>
      </c>
      <c r="E44" s="36">
        <f t="shared" si="2"/>
        <v>0</v>
      </c>
      <c r="F44" s="36">
        <f t="shared" si="2"/>
        <v>0</v>
      </c>
      <c r="G44" s="36">
        <f t="shared" si="2"/>
        <v>0</v>
      </c>
      <c r="H44" s="36">
        <f t="shared" si="2"/>
        <v>0</v>
      </c>
      <c r="I44" s="36">
        <f t="shared" si="2"/>
        <v>0</v>
      </c>
      <c r="J44" s="36">
        <f t="shared" si="3"/>
        <v>0</v>
      </c>
      <c r="M44" s="7"/>
      <c r="Q44" s="1"/>
    </row>
    <row r="45" spans="1:17" x14ac:dyDescent="0.25">
      <c r="A45" s="1" t="s">
        <v>1</v>
      </c>
      <c r="B45" s="36">
        <f>'Reimbursement Rates &lt;-INPUT'!P28</f>
        <v>0</v>
      </c>
      <c r="C45" s="36">
        <f t="shared" si="2"/>
        <v>0</v>
      </c>
      <c r="D45" s="36">
        <f t="shared" si="2"/>
        <v>0</v>
      </c>
      <c r="E45" s="36">
        <f t="shared" si="2"/>
        <v>0</v>
      </c>
      <c r="F45" s="36">
        <f t="shared" si="2"/>
        <v>0</v>
      </c>
      <c r="G45" s="36">
        <f t="shared" si="2"/>
        <v>0</v>
      </c>
      <c r="H45" s="36">
        <f t="shared" si="2"/>
        <v>0</v>
      </c>
      <c r="I45" s="36">
        <f t="shared" si="2"/>
        <v>0</v>
      </c>
      <c r="J45" s="36">
        <f t="shared" si="3"/>
        <v>0</v>
      </c>
      <c r="M45" s="7"/>
      <c r="Q45" s="1"/>
    </row>
    <row r="46" spans="1:17" ht="15.75" thickBot="1" x14ac:dyDescent="0.3">
      <c r="A46" s="1"/>
      <c r="B46" s="9"/>
      <c r="C46" s="9"/>
      <c r="D46" s="9"/>
      <c r="E46" s="9"/>
      <c r="F46" s="9"/>
      <c r="G46" s="9"/>
      <c r="H46" s="9"/>
      <c r="I46" s="9"/>
      <c r="J46" s="9"/>
      <c r="M46" s="7"/>
      <c r="Q46" s="1"/>
    </row>
    <row r="47" spans="1:17" ht="15.75" thickBot="1" x14ac:dyDescent="0.3">
      <c r="A47" s="170" t="s">
        <v>33</v>
      </c>
      <c r="B47" s="171"/>
      <c r="C47" s="171"/>
      <c r="D47" s="171"/>
      <c r="E47" s="171"/>
      <c r="F47" s="171"/>
      <c r="G47" s="171"/>
      <c r="H47" s="171"/>
      <c r="I47" s="171"/>
      <c r="J47" s="172"/>
      <c r="M47" s="7"/>
      <c r="Q47" s="1"/>
    </row>
    <row r="48" spans="1:17" x14ac:dyDescent="0.25">
      <c r="A48" s="4" t="s">
        <v>16</v>
      </c>
      <c r="B48" s="5" t="s">
        <v>15</v>
      </c>
      <c r="C48" s="5" t="s">
        <v>14</v>
      </c>
      <c r="D48" s="5" t="s">
        <v>13</v>
      </c>
      <c r="E48" s="5" t="s">
        <v>12</v>
      </c>
      <c r="F48" s="5" t="s">
        <v>93</v>
      </c>
      <c r="G48" s="5" t="s">
        <v>94</v>
      </c>
      <c r="H48" s="5" t="s">
        <v>38</v>
      </c>
      <c r="I48" s="5" t="s">
        <v>9</v>
      </c>
      <c r="J48" s="5" t="s">
        <v>0</v>
      </c>
      <c r="M48" s="7"/>
    </row>
    <row r="49" spans="1:17" x14ac:dyDescent="0.25">
      <c r="A49" s="1" t="s">
        <v>49</v>
      </c>
      <c r="B49" s="37">
        <f t="shared" ref="B49:B50" si="4">IF(B8&gt;0,B8*(1-B29),0)</f>
        <v>0</v>
      </c>
      <c r="C49" s="37">
        <f t="shared" ref="C49:I49" si="5">IF(C8&gt;0,C8*(1-C29),0)</f>
        <v>0</v>
      </c>
      <c r="D49" s="37">
        <f t="shared" si="5"/>
        <v>0</v>
      </c>
      <c r="E49" s="37">
        <f t="shared" si="5"/>
        <v>0</v>
      </c>
      <c r="F49" s="37">
        <f t="shared" si="5"/>
        <v>0</v>
      </c>
      <c r="G49" s="37">
        <f t="shared" si="5"/>
        <v>0</v>
      </c>
      <c r="H49" s="37">
        <f t="shared" si="5"/>
        <v>0</v>
      </c>
      <c r="I49" s="37">
        <f t="shared" si="5"/>
        <v>0</v>
      </c>
      <c r="J49" s="37">
        <f>SUM(B49:H49)</f>
        <v>0</v>
      </c>
      <c r="M49" s="7"/>
      <c r="Q49" s="1"/>
    </row>
    <row r="50" spans="1:17" x14ac:dyDescent="0.25">
      <c r="A50" s="1" t="s">
        <v>8</v>
      </c>
      <c r="B50" s="37">
        <f t="shared" si="4"/>
        <v>0</v>
      </c>
      <c r="C50" s="37">
        <f t="shared" ref="C50:I50" si="6">IF(C9&gt;0,C9*(1-C30),0)</f>
        <v>0</v>
      </c>
      <c r="D50" s="37">
        <f t="shared" si="6"/>
        <v>0</v>
      </c>
      <c r="E50" s="37">
        <f t="shared" si="6"/>
        <v>0</v>
      </c>
      <c r="F50" s="37">
        <f t="shared" si="6"/>
        <v>0</v>
      </c>
      <c r="G50" s="37">
        <f t="shared" si="6"/>
        <v>0</v>
      </c>
      <c r="H50" s="37">
        <f t="shared" si="6"/>
        <v>0</v>
      </c>
      <c r="I50" s="37">
        <f t="shared" si="6"/>
        <v>0</v>
      </c>
      <c r="J50" s="37">
        <f t="shared" ref="J50:J65" si="7">SUM(B50:H50)</f>
        <v>0</v>
      </c>
      <c r="M50" s="7"/>
      <c r="Q50" s="7"/>
    </row>
    <row r="51" spans="1:17" x14ac:dyDescent="0.25">
      <c r="A51" s="1" t="s">
        <v>7</v>
      </c>
      <c r="B51" s="37">
        <f>IF(B10&gt;0,B10*(1-B31),0)</f>
        <v>0</v>
      </c>
      <c r="C51" s="37">
        <f t="shared" ref="C51:I51" si="8">IF(C10&gt;0,C10*(1-C31),0)</f>
        <v>0</v>
      </c>
      <c r="D51" s="37">
        <f t="shared" si="8"/>
        <v>0</v>
      </c>
      <c r="E51" s="37">
        <f t="shared" si="8"/>
        <v>0</v>
      </c>
      <c r="F51" s="37">
        <f t="shared" si="8"/>
        <v>0</v>
      </c>
      <c r="G51" s="37">
        <f t="shared" si="8"/>
        <v>0</v>
      </c>
      <c r="H51" s="37">
        <f t="shared" si="8"/>
        <v>0</v>
      </c>
      <c r="I51" s="37">
        <f t="shared" si="8"/>
        <v>0</v>
      </c>
      <c r="J51" s="37">
        <f t="shared" si="7"/>
        <v>0</v>
      </c>
      <c r="M51" s="7"/>
    </row>
    <row r="52" spans="1:17" x14ac:dyDescent="0.25">
      <c r="A52" s="1" t="s">
        <v>42</v>
      </c>
      <c r="B52" s="37">
        <f t="shared" ref="B52:B65" si="9">IF(B11&gt;0,B11*(1-B32),0)</f>
        <v>0</v>
      </c>
      <c r="C52" s="37">
        <f t="shared" ref="C52:I52" si="10">IF(C11&gt;0,C11*(1-C32),0)</f>
        <v>0</v>
      </c>
      <c r="D52" s="37">
        <f t="shared" si="10"/>
        <v>0</v>
      </c>
      <c r="E52" s="37">
        <f t="shared" si="10"/>
        <v>0</v>
      </c>
      <c r="F52" s="37">
        <f t="shared" si="10"/>
        <v>0</v>
      </c>
      <c r="G52" s="37">
        <f t="shared" si="10"/>
        <v>0</v>
      </c>
      <c r="H52" s="37">
        <f t="shared" si="10"/>
        <v>0</v>
      </c>
      <c r="I52" s="37">
        <f t="shared" si="10"/>
        <v>0</v>
      </c>
      <c r="J52" s="37">
        <f t="shared" si="7"/>
        <v>0</v>
      </c>
      <c r="M52" s="7"/>
    </row>
    <row r="53" spans="1:17" x14ac:dyDescent="0.25">
      <c r="A53" s="1" t="s">
        <v>6</v>
      </c>
      <c r="B53" s="37">
        <f t="shared" si="9"/>
        <v>0</v>
      </c>
      <c r="C53" s="37">
        <f t="shared" ref="C53:I53" si="11">IF(C12&gt;0,C12*(1-C33),0)</f>
        <v>0</v>
      </c>
      <c r="D53" s="37">
        <f t="shared" si="11"/>
        <v>0</v>
      </c>
      <c r="E53" s="37">
        <f t="shared" si="11"/>
        <v>0</v>
      </c>
      <c r="F53" s="37">
        <f t="shared" si="11"/>
        <v>0</v>
      </c>
      <c r="G53" s="37">
        <f t="shared" si="11"/>
        <v>0</v>
      </c>
      <c r="H53" s="37">
        <f t="shared" si="11"/>
        <v>0</v>
      </c>
      <c r="I53" s="37">
        <f t="shared" si="11"/>
        <v>0</v>
      </c>
      <c r="J53" s="37">
        <f t="shared" si="7"/>
        <v>0</v>
      </c>
      <c r="M53" s="7"/>
    </row>
    <row r="54" spans="1:17" x14ac:dyDescent="0.25">
      <c r="A54" s="1" t="s">
        <v>50</v>
      </c>
      <c r="B54" s="37">
        <f t="shared" si="9"/>
        <v>0</v>
      </c>
      <c r="C54" s="37">
        <f t="shared" ref="C54:I54" si="12">IF(C13&gt;0,C13*(1-C34),0)</f>
        <v>0</v>
      </c>
      <c r="D54" s="37">
        <f t="shared" si="12"/>
        <v>0</v>
      </c>
      <c r="E54" s="37">
        <f t="shared" si="12"/>
        <v>0</v>
      </c>
      <c r="F54" s="37">
        <f t="shared" si="12"/>
        <v>0</v>
      </c>
      <c r="G54" s="37">
        <f t="shared" si="12"/>
        <v>0</v>
      </c>
      <c r="H54" s="37">
        <f t="shared" si="12"/>
        <v>0</v>
      </c>
      <c r="I54" s="37">
        <f t="shared" si="12"/>
        <v>0</v>
      </c>
      <c r="J54" s="37">
        <f t="shared" si="7"/>
        <v>0</v>
      </c>
      <c r="M54" s="7"/>
    </row>
    <row r="55" spans="1:17" x14ac:dyDescent="0.25">
      <c r="A55" s="1" t="s">
        <v>89</v>
      </c>
      <c r="B55" s="37">
        <f t="shared" si="9"/>
        <v>0</v>
      </c>
      <c r="C55" s="37">
        <f t="shared" ref="C55:I55" si="13">IF(C14&gt;0,C14*(1-C35),0)</f>
        <v>0</v>
      </c>
      <c r="D55" s="37">
        <f t="shared" si="13"/>
        <v>0</v>
      </c>
      <c r="E55" s="37">
        <f t="shared" si="13"/>
        <v>0</v>
      </c>
      <c r="F55" s="37">
        <f t="shared" si="13"/>
        <v>0</v>
      </c>
      <c r="G55" s="37">
        <f t="shared" si="13"/>
        <v>0</v>
      </c>
      <c r="H55" s="37">
        <f t="shared" si="13"/>
        <v>0</v>
      </c>
      <c r="I55" s="37">
        <f t="shared" si="13"/>
        <v>0</v>
      </c>
      <c r="J55" s="37">
        <f t="shared" si="7"/>
        <v>0</v>
      </c>
      <c r="M55" s="7"/>
    </row>
    <row r="56" spans="1:17" x14ac:dyDescent="0.25">
      <c r="A56" s="1" t="s">
        <v>5</v>
      </c>
      <c r="B56" s="37">
        <f t="shared" si="9"/>
        <v>0</v>
      </c>
      <c r="C56" s="37">
        <f t="shared" ref="C56:I56" si="14">IF(C15&gt;0,C15*(1-C36),0)</f>
        <v>0</v>
      </c>
      <c r="D56" s="37">
        <f t="shared" si="14"/>
        <v>0</v>
      </c>
      <c r="E56" s="37">
        <f t="shared" si="14"/>
        <v>0</v>
      </c>
      <c r="F56" s="37">
        <f t="shared" si="14"/>
        <v>0</v>
      </c>
      <c r="G56" s="37">
        <f t="shared" si="14"/>
        <v>0</v>
      </c>
      <c r="H56" s="37">
        <f t="shared" si="14"/>
        <v>0</v>
      </c>
      <c r="I56" s="37">
        <f t="shared" si="14"/>
        <v>0</v>
      </c>
      <c r="J56" s="37">
        <f t="shared" si="7"/>
        <v>0</v>
      </c>
      <c r="M56" s="7"/>
    </row>
    <row r="57" spans="1:17" x14ac:dyDescent="0.25">
      <c r="A57" s="1" t="s">
        <v>84</v>
      </c>
      <c r="B57" s="37">
        <f t="shared" si="9"/>
        <v>0</v>
      </c>
      <c r="C57" s="37">
        <f t="shared" ref="C57:I57" si="15">IF(C16&gt;0,C16*(1-C37),0)</f>
        <v>0</v>
      </c>
      <c r="D57" s="37">
        <f t="shared" si="15"/>
        <v>0</v>
      </c>
      <c r="E57" s="37">
        <f t="shared" si="15"/>
        <v>0</v>
      </c>
      <c r="F57" s="37">
        <f t="shared" si="15"/>
        <v>0</v>
      </c>
      <c r="G57" s="37">
        <f t="shared" si="15"/>
        <v>0</v>
      </c>
      <c r="H57" s="37">
        <f t="shared" si="15"/>
        <v>0</v>
      </c>
      <c r="I57" s="37">
        <f t="shared" si="15"/>
        <v>0</v>
      </c>
      <c r="J57" s="37">
        <f t="shared" si="7"/>
        <v>0</v>
      </c>
      <c r="M57" s="7"/>
    </row>
    <row r="58" spans="1:17" x14ac:dyDescent="0.25">
      <c r="A58" s="1" t="s">
        <v>4</v>
      </c>
      <c r="B58" s="37">
        <f t="shared" si="9"/>
        <v>0</v>
      </c>
      <c r="C58" s="37">
        <f t="shared" ref="C58:I58" si="16">IF(C17&gt;0,C17*(1-C38),0)</f>
        <v>0</v>
      </c>
      <c r="D58" s="37">
        <f t="shared" si="16"/>
        <v>0</v>
      </c>
      <c r="E58" s="37">
        <f t="shared" si="16"/>
        <v>0</v>
      </c>
      <c r="F58" s="37">
        <f t="shared" si="16"/>
        <v>0</v>
      </c>
      <c r="G58" s="37">
        <f t="shared" si="16"/>
        <v>0</v>
      </c>
      <c r="H58" s="37">
        <f t="shared" si="16"/>
        <v>0</v>
      </c>
      <c r="I58" s="37">
        <f t="shared" si="16"/>
        <v>0</v>
      </c>
      <c r="J58" s="37">
        <f t="shared" si="7"/>
        <v>0</v>
      </c>
      <c r="M58" s="7"/>
    </row>
    <row r="59" spans="1:17" x14ac:dyDescent="0.25">
      <c r="A59" s="1" t="s">
        <v>51</v>
      </c>
      <c r="B59" s="37">
        <f t="shared" si="9"/>
        <v>0</v>
      </c>
      <c r="C59" s="37">
        <f t="shared" ref="C59:I59" si="17">IF(C18&gt;0,C18*(1-C39),0)</f>
        <v>0</v>
      </c>
      <c r="D59" s="37">
        <f t="shared" si="17"/>
        <v>0</v>
      </c>
      <c r="E59" s="37">
        <f t="shared" si="17"/>
        <v>0</v>
      </c>
      <c r="F59" s="37">
        <f t="shared" si="17"/>
        <v>0</v>
      </c>
      <c r="G59" s="37">
        <f t="shared" si="17"/>
        <v>0</v>
      </c>
      <c r="H59" s="37">
        <f t="shared" si="17"/>
        <v>0</v>
      </c>
      <c r="I59" s="37">
        <f t="shared" si="17"/>
        <v>0</v>
      </c>
      <c r="J59" s="37">
        <f t="shared" si="7"/>
        <v>0</v>
      </c>
      <c r="M59" s="7"/>
    </row>
    <row r="60" spans="1:17" x14ac:dyDescent="0.25">
      <c r="A60" s="1" t="s">
        <v>85</v>
      </c>
      <c r="B60" s="37">
        <f t="shared" si="9"/>
        <v>0</v>
      </c>
      <c r="C60" s="37">
        <f t="shared" ref="C60:I60" si="18">IF(C19&gt;0,C19*(1-C40),0)</f>
        <v>0</v>
      </c>
      <c r="D60" s="37">
        <f t="shared" si="18"/>
        <v>0</v>
      </c>
      <c r="E60" s="37">
        <f t="shared" si="18"/>
        <v>0</v>
      </c>
      <c r="F60" s="37">
        <f t="shared" si="18"/>
        <v>0</v>
      </c>
      <c r="G60" s="37">
        <f t="shared" si="18"/>
        <v>0</v>
      </c>
      <c r="H60" s="37">
        <f t="shared" si="18"/>
        <v>0</v>
      </c>
      <c r="I60" s="37">
        <f t="shared" si="18"/>
        <v>0</v>
      </c>
      <c r="J60" s="37">
        <f t="shared" si="7"/>
        <v>0</v>
      </c>
      <c r="M60" s="7"/>
    </row>
    <row r="61" spans="1:17" x14ac:dyDescent="0.25">
      <c r="A61" s="1" t="s">
        <v>2</v>
      </c>
      <c r="B61" s="37">
        <f t="shared" si="9"/>
        <v>0</v>
      </c>
      <c r="C61" s="37">
        <f t="shared" ref="C61:I61" si="19">IF(C20&gt;0,C20*(1-C41),0)</f>
        <v>0</v>
      </c>
      <c r="D61" s="37">
        <f t="shared" si="19"/>
        <v>0</v>
      </c>
      <c r="E61" s="37">
        <f t="shared" si="19"/>
        <v>0</v>
      </c>
      <c r="F61" s="37">
        <f t="shared" si="19"/>
        <v>0</v>
      </c>
      <c r="G61" s="37">
        <f t="shared" si="19"/>
        <v>0</v>
      </c>
      <c r="H61" s="37">
        <f t="shared" si="19"/>
        <v>0</v>
      </c>
      <c r="I61" s="37">
        <f t="shared" si="19"/>
        <v>0</v>
      </c>
      <c r="J61" s="37">
        <f t="shared" si="7"/>
        <v>0</v>
      </c>
      <c r="M61" s="7"/>
    </row>
    <row r="62" spans="1:17" x14ac:dyDescent="0.25">
      <c r="A62" s="1" t="s">
        <v>86</v>
      </c>
      <c r="B62" s="37">
        <f t="shared" si="9"/>
        <v>0</v>
      </c>
      <c r="C62" s="37">
        <f t="shared" ref="C62:I62" si="20">IF(C21&gt;0,C21*(1-C42),0)</f>
        <v>0</v>
      </c>
      <c r="D62" s="37">
        <f t="shared" si="20"/>
        <v>0</v>
      </c>
      <c r="E62" s="37">
        <f t="shared" si="20"/>
        <v>0</v>
      </c>
      <c r="F62" s="37">
        <f t="shared" si="20"/>
        <v>0</v>
      </c>
      <c r="G62" s="37">
        <f t="shared" si="20"/>
        <v>0</v>
      </c>
      <c r="H62" s="37">
        <f t="shared" si="20"/>
        <v>0</v>
      </c>
      <c r="I62" s="37">
        <f t="shared" si="20"/>
        <v>0</v>
      </c>
      <c r="J62" s="37">
        <f t="shared" si="7"/>
        <v>0</v>
      </c>
      <c r="M62" s="183" t="s">
        <v>62</v>
      </c>
    </row>
    <row r="63" spans="1:17" x14ac:dyDescent="0.25">
      <c r="A63" s="1" t="s">
        <v>29</v>
      </c>
      <c r="B63" s="37">
        <f t="shared" si="9"/>
        <v>0</v>
      </c>
      <c r="C63" s="37">
        <f t="shared" ref="C63:I63" si="21">IF(C22&gt;0,C22*(1-C43),0)</f>
        <v>0</v>
      </c>
      <c r="D63" s="37">
        <f t="shared" si="21"/>
        <v>0</v>
      </c>
      <c r="E63" s="37">
        <f t="shared" si="21"/>
        <v>0</v>
      </c>
      <c r="F63" s="37">
        <f t="shared" si="21"/>
        <v>0</v>
      </c>
      <c r="G63" s="37">
        <f t="shared" si="21"/>
        <v>0</v>
      </c>
      <c r="H63" s="37">
        <f t="shared" si="21"/>
        <v>0</v>
      </c>
      <c r="I63" s="37">
        <f t="shared" si="21"/>
        <v>0</v>
      </c>
      <c r="J63" s="37">
        <f t="shared" si="7"/>
        <v>0</v>
      </c>
      <c r="M63" s="183"/>
    </row>
    <row r="64" spans="1:17" x14ac:dyDescent="0.25">
      <c r="A64" s="1" t="s">
        <v>52</v>
      </c>
      <c r="B64" s="37">
        <f t="shared" si="9"/>
        <v>0</v>
      </c>
      <c r="C64" s="37">
        <f t="shared" ref="C64:I64" si="22">IF(C23&gt;0,C23*(1-C44),0)</f>
        <v>0</v>
      </c>
      <c r="D64" s="37">
        <f t="shared" si="22"/>
        <v>0</v>
      </c>
      <c r="E64" s="37">
        <f t="shared" si="22"/>
        <v>0</v>
      </c>
      <c r="F64" s="37">
        <f t="shared" si="22"/>
        <v>0</v>
      </c>
      <c r="G64" s="37">
        <f t="shared" si="22"/>
        <v>0</v>
      </c>
      <c r="H64" s="37">
        <f t="shared" si="22"/>
        <v>0</v>
      </c>
      <c r="I64" s="37">
        <f t="shared" si="22"/>
        <v>0</v>
      </c>
      <c r="J64" s="37">
        <f t="shared" si="7"/>
        <v>0</v>
      </c>
      <c r="L64" s="35" t="s">
        <v>41</v>
      </c>
      <c r="M64" s="183" t="s">
        <v>63</v>
      </c>
    </row>
    <row r="65" spans="1:13" x14ac:dyDescent="0.25">
      <c r="A65" s="1" t="s">
        <v>1</v>
      </c>
      <c r="B65" s="38">
        <f t="shared" si="9"/>
        <v>0</v>
      </c>
      <c r="C65" s="38">
        <f t="shared" ref="C65:I65" si="23">IF(C24&gt;0,C24*(1-C45),0)</f>
        <v>0</v>
      </c>
      <c r="D65" s="38">
        <f t="shared" si="23"/>
        <v>0</v>
      </c>
      <c r="E65" s="38">
        <f t="shared" si="23"/>
        <v>0</v>
      </c>
      <c r="F65" s="38">
        <f t="shared" si="23"/>
        <v>0</v>
      </c>
      <c r="G65" s="38">
        <f t="shared" si="23"/>
        <v>0</v>
      </c>
      <c r="H65" s="38">
        <f t="shared" si="23"/>
        <v>0</v>
      </c>
      <c r="I65" s="38">
        <f t="shared" si="23"/>
        <v>0</v>
      </c>
      <c r="J65" s="38">
        <f t="shared" si="7"/>
        <v>0</v>
      </c>
      <c r="L65" s="42" t="s">
        <v>61</v>
      </c>
      <c r="M65" s="184"/>
    </row>
    <row r="66" spans="1:13" x14ac:dyDescent="0.25">
      <c r="A66" s="1"/>
      <c r="B66" s="9">
        <f>SUM(B49:B65)</f>
        <v>0</v>
      </c>
      <c r="C66" s="9">
        <f t="shared" ref="C66:J66" si="24">SUM(C49:C65)</f>
        <v>0</v>
      </c>
      <c r="D66" s="9">
        <f t="shared" si="24"/>
        <v>0</v>
      </c>
      <c r="E66" s="9">
        <f t="shared" si="24"/>
        <v>0</v>
      </c>
      <c r="F66" s="9">
        <f t="shared" si="24"/>
        <v>0</v>
      </c>
      <c r="G66" s="9">
        <f t="shared" si="24"/>
        <v>0</v>
      </c>
      <c r="H66" s="9">
        <f t="shared" si="24"/>
        <v>0</v>
      </c>
      <c r="I66" s="9">
        <f t="shared" si="24"/>
        <v>0</v>
      </c>
      <c r="J66" s="9">
        <f t="shared" si="24"/>
        <v>0</v>
      </c>
      <c r="L66" s="108">
        <v>60000</v>
      </c>
      <c r="M66" s="7">
        <f>J66-L66</f>
        <v>-60000</v>
      </c>
    </row>
    <row r="67" spans="1:13" ht="15.75" thickBot="1" x14ac:dyDescent="0.3">
      <c r="A67" s="1"/>
      <c r="B67" s="9"/>
      <c r="C67" s="9"/>
      <c r="D67" s="9"/>
      <c r="E67" s="9"/>
      <c r="F67" s="9"/>
      <c r="G67" s="9"/>
      <c r="H67" s="9"/>
      <c r="I67" s="9"/>
      <c r="J67" s="9"/>
      <c r="M67" s="7"/>
    </row>
    <row r="68" spans="1:13" ht="15.75" thickBot="1" x14ac:dyDescent="0.3">
      <c r="A68" s="170" t="s">
        <v>64</v>
      </c>
      <c r="B68" s="171"/>
      <c r="C68" s="171"/>
      <c r="D68" s="171"/>
      <c r="E68" s="171"/>
      <c r="F68" s="171"/>
      <c r="G68" s="171"/>
      <c r="H68" s="171"/>
      <c r="I68" s="171"/>
      <c r="J68" s="172"/>
      <c r="M68" s="7"/>
    </row>
    <row r="69" spans="1:13" x14ac:dyDescent="0.25">
      <c r="A69" s="4" t="s">
        <v>16</v>
      </c>
      <c r="B69" s="5" t="s">
        <v>15</v>
      </c>
      <c r="C69" s="5" t="s">
        <v>14</v>
      </c>
      <c r="D69" s="5" t="s">
        <v>13</v>
      </c>
      <c r="E69" s="5" t="s">
        <v>12</v>
      </c>
      <c r="F69" s="5" t="s">
        <v>93</v>
      </c>
      <c r="G69" s="5" t="s">
        <v>94</v>
      </c>
      <c r="H69" s="5" t="s">
        <v>38</v>
      </c>
      <c r="I69" s="5" t="s">
        <v>9</v>
      </c>
      <c r="J69" s="5" t="s">
        <v>0</v>
      </c>
      <c r="M69" s="7"/>
    </row>
    <row r="70" spans="1:13" x14ac:dyDescent="0.25">
      <c r="A70" s="1" t="s">
        <v>49</v>
      </c>
      <c r="B70" s="39">
        <f t="shared" ref="B70:B71" si="25">B8-B49</f>
        <v>0</v>
      </c>
      <c r="C70" s="39">
        <f t="shared" ref="C70:I70" si="26">C8-C49</f>
        <v>0</v>
      </c>
      <c r="D70" s="39">
        <f t="shared" si="26"/>
        <v>0</v>
      </c>
      <c r="E70" s="39">
        <f t="shared" si="26"/>
        <v>0</v>
      </c>
      <c r="F70" s="39">
        <f t="shared" si="26"/>
        <v>0</v>
      </c>
      <c r="G70" s="39">
        <f t="shared" si="26"/>
        <v>0</v>
      </c>
      <c r="H70" s="39">
        <f t="shared" si="26"/>
        <v>0</v>
      </c>
      <c r="I70" s="39">
        <f t="shared" si="26"/>
        <v>0</v>
      </c>
      <c r="J70" s="39">
        <f>SUM(B70:H70)</f>
        <v>0</v>
      </c>
      <c r="M70" s="7"/>
    </row>
    <row r="71" spans="1:13" x14ac:dyDescent="0.25">
      <c r="A71" s="1" t="s">
        <v>8</v>
      </c>
      <c r="B71" s="39">
        <f t="shared" si="25"/>
        <v>0</v>
      </c>
      <c r="C71" s="39">
        <f t="shared" ref="C71:I71" si="27">C9-C50</f>
        <v>0</v>
      </c>
      <c r="D71" s="39">
        <f t="shared" si="27"/>
        <v>0</v>
      </c>
      <c r="E71" s="39">
        <f t="shared" si="27"/>
        <v>0</v>
      </c>
      <c r="F71" s="39">
        <f t="shared" si="27"/>
        <v>0</v>
      </c>
      <c r="G71" s="39">
        <f t="shared" si="27"/>
        <v>0</v>
      </c>
      <c r="H71" s="39">
        <f t="shared" si="27"/>
        <v>0</v>
      </c>
      <c r="I71" s="39">
        <f t="shared" si="27"/>
        <v>0</v>
      </c>
      <c r="J71" s="39">
        <f t="shared" ref="J71:J86" si="28">SUM(B71:H71)</f>
        <v>0</v>
      </c>
      <c r="M71" s="7"/>
    </row>
    <row r="72" spans="1:13" x14ac:dyDescent="0.25">
      <c r="A72" s="1" t="s">
        <v>7</v>
      </c>
      <c r="B72" s="39">
        <f>B10-B51</f>
        <v>0</v>
      </c>
      <c r="C72" s="39">
        <f t="shared" ref="C72:I72" si="29">C10-C51</f>
        <v>0</v>
      </c>
      <c r="D72" s="39">
        <f t="shared" si="29"/>
        <v>0</v>
      </c>
      <c r="E72" s="39">
        <f t="shared" si="29"/>
        <v>0</v>
      </c>
      <c r="F72" s="39">
        <f t="shared" si="29"/>
        <v>0</v>
      </c>
      <c r="G72" s="39">
        <f t="shared" si="29"/>
        <v>0</v>
      </c>
      <c r="H72" s="39">
        <f t="shared" si="29"/>
        <v>0</v>
      </c>
      <c r="I72" s="39">
        <f t="shared" si="29"/>
        <v>0</v>
      </c>
      <c r="J72" s="39">
        <f t="shared" si="28"/>
        <v>0</v>
      </c>
      <c r="M72" s="7"/>
    </row>
    <row r="73" spans="1:13" x14ac:dyDescent="0.25">
      <c r="A73" s="1" t="s">
        <v>42</v>
      </c>
      <c r="B73" s="39">
        <f t="shared" ref="B73:B86" si="30">B11-B52</f>
        <v>0</v>
      </c>
      <c r="C73" s="39">
        <f t="shared" ref="C73:I73" si="31">C11-C52</f>
        <v>0</v>
      </c>
      <c r="D73" s="39">
        <f t="shared" si="31"/>
        <v>0</v>
      </c>
      <c r="E73" s="39">
        <f t="shared" si="31"/>
        <v>0</v>
      </c>
      <c r="F73" s="39">
        <f t="shared" si="31"/>
        <v>0</v>
      </c>
      <c r="G73" s="39">
        <f t="shared" si="31"/>
        <v>0</v>
      </c>
      <c r="H73" s="39">
        <f t="shared" si="31"/>
        <v>0</v>
      </c>
      <c r="I73" s="39">
        <f t="shared" si="31"/>
        <v>0</v>
      </c>
      <c r="J73" s="39">
        <f t="shared" si="28"/>
        <v>0</v>
      </c>
      <c r="M73" s="7"/>
    </row>
    <row r="74" spans="1:13" x14ac:dyDescent="0.25">
      <c r="A74" s="1" t="s">
        <v>6</v>
      </c>
      <c r="B74" s="39">
        <f t="shared" si="30"/>
        <v>0</v>
      </c>
      <c r="C74" s="39">
        <f t="shared" ref="C74:I74" si="32">C12-C53</f>
        <v>0</v>
      </c>
      <c r="D74" s="39">
        <f t="shared" si="32"/>
        <v>0</v>
      </c>
      <c r="E74" s="39">
        <f t="shared" si="32"/>
        <v>0</v>
      </c>
      <c r="F74" s="39">
        <f t="shared" si="32"/>
        <v>0</v>
      </c>
      <c r="G74" s="39">
        <f t="shared" si="32"/>
        <v>0</v>
      </c>
      <c r="H74" s="39">
        <f t="shared" si="32"/>
        <v>0</v>
      </c>
      <c r="I74" s="39">
        <f t="shared" si="32"/>
        <v>0</v>
      </c>
      <c r="J74" s="39">
        <f t="shared" si="28"/>
        <v>0</v>
      </c>
      <c r="M74" s="7"/>
    </row>
    <row r="75" spans="1:13" x14ac:dyDescent="0.25">
      <c r="A75" s="1" t="s">
        <v>50</v>
      </c>
      <c r="B75" s="39">
        <f t="shared" si="30"/>
        <v>0</v>
      </c>
      <c r="C75" s="39">
        <f t="shared" ref="C75:I75" si="33">C13-C54</f>
        <v>0</v>
      </c>
      <c r="D75" s="39">
        <f t="shared" si="33"/>
        <v>0</v>
      </c>
      <c r="E75" s="39">
        <f t="shared" si="33"/>
        <v>0</v>
      </c>
      <c r="F75" s="39">
        <f t="shared" si="33"/>
        <v>0</v>
      </c>
      <c r="G75" s="39">
        <f t="shared" si="33"/>
        <v>0</v>
      </c>
      <c r="H75" s="39">
        <f t="shared" si="33"/>
        <v>0</v>
      </c>
      <c r="I75" s="39">
        <f t="shared" si="33"/>
        <v>0</v>
      </c>
      <c r="J75" s="39">
        <f t="shared" si="28"/>
        <v>0</v>
      </c>
      <c r="M75" s="7"/>
    </row>
    <row r="76" spans="1:13" x14ac:dyDescent="0.25">
      <c r="A76" s="1" t="s">
        <v>89</v>
      </c>
      <c r="B76" s="39">
        <f t="shared" si="30"/>
        <v>0</v>
      </c>
      <c r="C76" s="39">
        <f t="shared" ref="C76:I76" si="34">C14-C55</f>
        <v>0</v>
      </c>
      <c r="D76" s="39">
        <f t="shared" si="34"/>
        <v>0</v>
      </c>
      <c r="E76" s="39">
        <f t="shared" si="34"/>
        <v>0</v>
      </c>
      <c r="F76" s="39">
        <f t="shared" si="34"/>
        <v>0</v>
      </c>
      <c r="G76" s="39">
        <f t="shared" si="34"/>
        <v>0</v>
      </c>
      <c r="H76" s="39">
        <f t="shared" si="34"/>
        <v>0</v>
      </c>
      <c r="I76" s="39">
        <f t="shared" si="34"/>
        <v>0</v>
      </c>
      <c r="J76" s="39">
        <f t="shared" si="28"/>
        <v>0</v>
      </c>
      <c r="M76" s="7"/>
    </row>
    <row r="77" spans="1:13" x14ac:dyDescent="0.25">
      <c r="A77" s="1" t="s">
        <v>5</v>
      </c>
      <c r="B77" s="39">
        <f t="shared" si="30"/>
        <v>0</v>
      </c>
      <c r="C77" s="39">
        <f t="shared" ref="C77:I77" si="35">C15-C56</f>
        <v>0</v>
      </c>
      <c r="D77" s="39">
        <f t="shared" si="35"/>
        <v>0</v>
      </c>
      <c r="E77" s="39">
        <f t="shared" si="35"/>
        <v>0</v>
      </c>
      <c r="F77" s="39">
        <f t="shared" si="35"/>
        <v>0</v>
      </c>
      <c r="G77" s="39">
        <f t="shared" si="35"/>
        <v>0</v>
      </c>
      <c r="H77" s="39">
        <f t="shared" si="35"/>
        <v>0</v>
      </c>
      <c r="I77" s="39">
        <f t="shared" si="35"/>
        <v>0</v>
      </c>
      <c r="J77" s="39">
        <f t="shared" si="28"/>
        <v>0</v>
      </c>
      <c r="M77" s="7"/>
    </row>
    <row r="78" spans="1:13" x14ac:dyDescent="0.25">
      <c r="A78" s="1" t="s">
        <v>84</v>
      </c>
      <c r="B78" s="39">
        <f t="shared" si="30"/>
        <v>0</v>
      </c>
      <c r="C78" s="39">
        <f t="shared" ref="C78:I78" si="36">C16-C57</f>
        <v>0</v>
      </c>
      <c r="D78" s="39">
        <f t="shared" si="36"/>
        <v>0</v>
      </c>
      <c r="E78" s="39">
        <f t="shared" si="36"/>
        <v>0</v>
      </c>
      <c r="F78" s="39">
        <f t="shared" si="36"/>
        <v>0</v>
      </c>
      <c r="G78" s="39">
        <f t="shared" si="36"/>
        <v>0</v>
      </c>
      <c r="H78" s="39">
        <f t="shared" si="36"/>
        <v>0</v>
      </c>
      <c r="I78" s="39">
        <f t="shared" si="36"/>
        <v>0</v>
      </c>
      <c r="J78" s="39">
        <f t="shared" si="28"/>
        <v>0</v>
      </c>
      <c r="M78" s="7"/>
    </row>
    <row r="79" spans="1:13" x14ac:dyDescent="0.25">
      <c r="A79" s="1" t="s">
        <v>4</v>
      </c>
      <c r="B79" s="39">
        <f t="shared" si="30"/>
        <v>0</v>
      </c>
      <c r="C79" s="39">
        <f t="shared" ref="C79:I79" si="37">C17-C58</f>
        <v>0</v>
      </c>
      <c r="D79" s="39">
        <f t="shared" si="37"/>
        <v>0</v>
      </c>
      <c r="E79" s="39">
        <f t="shared" si="37"/>
        <v>0</v>
      </c>
      <c r="F79" s="39">
        <f t="shared" si="37"/>
        <v>0</v>
      </c>
      <c r="G79" s="39">
        <f t="shared" si="37"/>
        <v>0</v>
      </c>
      <c r="H79" s="39">
        <f t="shared" si="37"/>
        <v>0</v>
      </c>
      <c r="I79" s="39">
        <f t="shared" si="37"/>
        <v>0</v>
      </c>
      <c r="J79" s="39">
        <f t="shared" si="28"/>
        <v>0</v>
      </c>
      <c r="M79" s="7"/>
    </row>
    <row r="80" spans="1:13" x14ac:dyDescent="0.25">
      <c r="A80" s="1" t="s">
        <v>51</v>
      </c>
      <c r="B80" s="39">
        <f t="shared" si="30"/>
        <v>0</v>
      </c>
      <c r="C80" s="39">
        <f t="shared" ref="C80:I80" si="38">C18-C59</f>
        <v>0</v>
      </c>
      <c r="D80" s="39">
        <f t="shared" si="38"/>
        <v>0</v>
      </c>
      <c r="E80" s="39">
        <f t="shared" si="38"/>
        <v>0</v>
      </c>
      <c r="F80" s="39">
        <f t="shared" si="38"/>
        <v>0</v>
      </c>
      <c r="G80" s="39">
        <f t="shared" si="38"/>
        <v>0</v>
      </c>
      <c r="H80" s="39">
        <f t="shared" si="38"/>
        <v>0</v>
      </c>
      <c r="I80" s="39">
        <f t="shared" si="38"/>
        <v>0</v>
      </c>
      <c r="J80" s="39">
        <f t="shared" si="28"/>
        <v>0</v>
      </c>
      <c r="M80" s="7"/>
    </row>
    <row r="81" spans="1:13" x14ac:dyDescent="0.25">
      <c r="A81" s="1" t="s">
        <v>85</v>
      </c>
      <c r="B81" s="39">
        <f t="shared" si="30"/>
        <v>0</v>
      </c>
      <c r="C81" s="39">
        <f t="shared" ref="C81:I81" si="39">C19-C60</f>
        <v>0</v>
      </c>
      <c r="D81" s="39">
        <f t="shared" si="39"/>
        <v>0</v>
      </c>
      <c r="E81" s="39">
        <f t="shared" si="39"/>
        <v>0</v>
      </c>
      <c r="F81" s="39">
        <f t="shared" si="39"/>
        <v>0</v>
      </c>
      <c r="G81" s="39">
        <f t="shared" si="39"/>
        <v>0</v>
      </c>
      <c r="H81" s="39">
        <f t="shared" si="39"/>
        <v>0</v>
      </c>
      <c r="I81" s="39">
        <f t="shared" si="39"/>
        <v>0</v>
      </c>
      <c r="J81" s="39">
        <f t="shared" si="28"/>
        <v>0</v>
      </c>
      <c r="M81" s="7"/>
    </row>
    <row r="82" spans="1:13" x14ac:dyDescent="0.25">
      <c r="A82" s="1" t="s">
        <v>2</v>
      </c>
      <c r="B82" s="39">
        <f t="shared" si="30"/>
        <v>0</v>
      </c>
      <c r="C82" s="39">
        <f t="shared" ref="C82:I82" si="40">C20-C61</f>
        <v>0</v>
      </c>
      <c r="D82" s="39">
        <f t="shared" si="40"/>
        <v>0</v>
      </c>
      <c r="E82" s="39">
        <f t="shared" si="40"/>
        <v>0</v>
      </c>
      <c r="F82" s="39">
        <f t="shared" si="40"/>
        <v>0</v>
      </c>
      <c r="G82" s="39">
        <f t="shared" si="40"/>
        <v>0</v>
      </c>
      <c r="H82" s="39">
        <f t="shared" si="40"/>
        <v>0</v>
      </c>
      <c r="I82" s="39">
        <f t="shared" si="40"/>
        <v>0</v>
      </c>
      <c r="J82" s="39">
        <f t="shared" si="28"/>
        <v>0</v>
      </c>
      <c r="M82" s="7"/>
    </row>
    <row r="83" spans="1:13" x14ac:dyDescent="0.25">
      <c r="A83" s="1" t="s">
        <v>86</v>
      </c>
      <c r="B83" s="39">
        <f t="shared" si="30"/>
        <v>0</v>
      </c>
      <c r="C83" s="39">
        <f t="shared" ref="C83:I83" si="41">C21-C62</f>
        <v>0</v>
      </c>
      <c r="D83" s="39">
        <f t="shared" si="41"/>
        <v>0</v>
      </c>
      <c r="E83" s="39">
        <f t="shared" si="41"/>
        <v>0</v>
      </c>
      <c r="F83" s="39">
        <f t="shared" si="41"/>
        <v>0</v>
      </c>
      <c r="G83" s="39">
        <f t="shared" si="41"/>
        <v>0</v>
      </c>
      <c r="H83" s="39">
        <f t="shared" si="41"/>
        <v>0</v>
      </c>
      <c r="I83" s="39">
        <f t="shared" si="41"/>
        <v>0</v>
      </c>
      <c r="J83" s="39">
        <f t="shared" si="28"/>
        <v>0</v>
      </c>
      <c r="M83" s="7"/>
    </row>
    <row r="84" spans="1:13" x14ac:dyDescent="0.25">
      <c r="A84" s="1" t="s">
        <v>29</v>
      </c>
      <c r="B84" s="39">
        <f t="shared" si="30"/>
        <v>0</v>
      </c>
      <c r="C84" s="39">
        <f t="shared" ref="C84:I84" si="42">C22-C63</f>
        <v>0</v>
      </c>
      <c r="D84" s="39">
        <f t="shared" si="42"/>
        <v>0</v>
      </c>
      <c r="E84" s="39">
        <f t="shared" si="42"/>
        <v>0</v>
      </c>
      <c r="F84" s="39">
        <f t="shared" si="42"/>
        <v>0</v>
      </c>
      <c r="G84" s="39">
        <f t="shared" si="42"/>
        <v>0</v>
      </c>
      <c r="H84" s="39">
        <f t="shared" si="42"/>
        <v>0</v>
      </c>
      <c r="I84" s="39">
        <f t="shared" si="42"/>
        <v>0</v>
      </c>
      <c r="J84" s="39">
        <f t="shared" si="28"/>
        <v>0</v>
      </c>
      <c r="M84" s="7"/>
    </row>
    <row r="85" spans="1:13" x14ac:dyDescent="0.25">
      <c r="A85" s="1" t="s">
        <v>52</v>
      </c>
      <c r="B85" s="39">
        <f t="shared" si="30"/>
        <v>0</v>
      </c>
      <c r="C85" s="39">
        <f t="shared" ref="C85:I85" si="43">C23-C64</f>
        <v>0</v>
      </c>
      <c r="D85" s="39">
        <f t="shared" si="43"/>
        <v>0</v>
      </c>
      <c r="E85" s="39">
        <f t="shared" si="43"/>
        <v>0</v>
      </c>
      <c r="F85" s="39">
        <f t="shared" si="43"/>
        <v>0</v>
      </c>
      <c r="G85" s="39">
        <f t="shared" si="43"/>
        <v>0</v>
      </c>
      <c r="H85" s="39">
        <f t="shared" si="43"/>
        <v>0</v>
      </c>
      <c r="I85" s="39">
        <f t="shared" si="43"/>
        <v>0</v>
      </c>
      <c r="J85" s="39">
        <f t="shared" si="28"/>
        <v>0</v>
      </c>
      <c r="M85" s="7"/>
    </row>
    <row r="86" spans="1:13" x14ac:dyDescent="0.25">
      <c r="A86" s="1" t="s">
        <v>1</v>
      </c>
      <c r="B86" s="40">
        <f t="shared" si="30"/>
        <v>0</v>
      </c>
      <c r="C86" s="40">
        <f t="shared" ref="C86:I86" si="44">C24-C65</f>
        <v>0</v>
      </c>
      <c r="D86" s="40">
        <f t="shared" si="44"/>
        <v>0</v>
      </c>
      <c r="E86" s="40">
        <f t="shared" si="44"/>
        <v>0</v>
      </c>
      <c r="F86" s="40">
        <f t="shared" si="44"/>
        <v>0</v>
      </c>
      <c r="G86" s="40">
        <f t="shared" si="44"/>
        <v>0</v>
      </c>
      <c r="H86" s="40">
        <f t="shared" si="44"/>
        <v>0</v>
      </c>
      <c r="I86" s="40">
        <f t="shared" si="44"/>
        <v>0</v>
      </c>
      <c r="J86" s="40">
        <f t="shared" si="28"/>
        <v>0</v>
      </c>
      <c r="M86" s="7"/>
    </row>
    <row r="87" spans="1:13" x14ac:dyDescent="0.25">
      <c r="A87" s="4"/>
      <c r="B87" s="39">
        <f>SUM(B70:B86)</f>
        <v>0</v>
      </c>
      <c r="C87" s="39">
        <f t="shared" ref="C87:J87" si="45">SUM(C70:C86)</f>
        <v>0</v>
      </c>
      <c r="D87" s="39">
        <f t="shared" si="45"/>
        <v>0</v>
      </c>
      <c r="E87" s="39">
        <f t="shared" si="45"/>
        <v>0</v>
      </c>
      <c r="F87" s="39">
        <f t="shared" si="45"/>
        <v>0</v>
      </c>
      <c r="G87" s="39">
        <f t="shared" si="45"/>
        <v>0</v>
      </c>
      <c r="H87" s="39">
        <f t="shared" si="45"/>
        <v>0</v>
      </c>
      <c r="I87" s="39">
        <f t="shared" si="45"/>
        <v>0</v>
      </c>
      <c r="J87" s="39">
        <f t="shared" si="45"/>
        <v>0</v>
      </c>
      <c r="M87" s="7"/>
    </row>
    <row r="88" spans="1:13" ht="15.75" thickBot="1" x14ac:dyDescent="0.3">
      <c r="A88" s="4"/>
      <c r="B88" s="39"/>
      <c r="C88" s="39"/>
      <c r="D88" s="39"/>
      <c r="E88" s="39"/>
      <c r="F88" s="39"/>
      <c r="G88" s="39"/>
      <c r="H88" s="39"/>
      <c r="I88" s="39"/>
      <c r="J88" s="39"/>
      <c r="M88" s="7"/>
    </row>
    <row r="89" spans="1:13" ht="15.75" thickBot="1" x14ac:dyDescent="0.3">
      <c r="A89" s="167" t="s">
        <v>59</v>
      </c>
      <c r="B89" s="168"/>
      <c r="C89" s="168"/>
      <c r="D89" s="168"/>
      <c r="E89" s="168"/>
      <c r="F89" s="168"/>
      <c r="G89" s="168"/>
      <c r="H89" s="168"/>
      <c r="I89" s="168"/>
      <c r="J89" s="169"/>
      <c r="M89" s="7"/>
    </row>
    <row r="90" spans="1:13" x14ac:dyDescent="0.25">
      <c r="A90" s="4" t="s">
        <v>16</v>
      </c>
      <c r="B90" s="5" t="s">
        <v>15</v>
      </c>
      <c r="C90" s="5" t="s">
        <v>14</v>
      </c>
      <c r="D90" s="5" t="s">
        <v>13</v>
      </c>
      <c r="E90" s="5" t="s">
        <v>12</v>
      </c>
      <c r="F90" s="5" t="s">
        <v>93</v>
      </c>
      <c r="G90" s="5" t="s">
        <v>94</v>
      </c>
      <c r="H90" s="5" t="s">
        <v>38</v>
      </c>
      <c r="I90" s="5" t="s">
        <v>9</v>
      </c>
      <c r="J90" s="5" t="s">
        <v>0</v>
      </c>
      <c r="M90" s="7"/>
    </row>
    <row r="91" spans="1:13" x14ac:dyDescent="0.25">
      <c r="A91" s="1" t="s">
        <v>49</v>
      </c>
      <c r="B91" s="41">
        <v>0</v>
      </c>
      <c r="C91" s="41">
        <v>0</v>
      </c>
      <c r="D91" s="41">
        <v>0</v>
      </c>
      <c r="E91" s="41">
        <v>0.1</v>
      </c>
      <c r="F91" s="41">
        <v>0.15</v>
      </c>
      <c r="G91" s="41">
        <v>0.15</v>
      </c>
      <c r="H91" s="41">
        <v>0.2</v>
      </c>
      <c r="I91" s="41">
        <v>1</v>
      </c>
      <c r="J91" s="39"/>
      <c r="M91" s="7"/>
    </row>
    <row r="92" spans="1:13" x14ac:dyDescent="0.25">
      <c r="A92" s="1" t="s">
        <v>8</v>
      </c>
      <c r="B92" s="41">
        <v>0</v>
      </c>
      <c r="C92" s="41">
        <v>0</v>
      </c>
      <c r="D92" s="41">
        <v>0</v>
      </c>
      <c r="E92" s="41">
        <v>0.1</v>
      </c>
      <c r="F92" s="41">
        <v>0.15</v>
      </c>
      <c r="G92" s="41">
        <v>0.15</v>
      </c>
      <c r="H92" s="41">
        <v>0.2</v>
      </c>
      <c r="I92" s="41">
        <v>1</v>
      </c>
      <c r="J92" s="39"/>
      <c r="M92" s="7"/>
    </row>
    <row r="93" spans="1:13" x14ac:dyDescent="0.25">
      <c r="A93" s="1" t="s">
        <v>7</v>
      </c>
      <c r="B93" s="41">
        <v>0</v>
      </c>
      <c r="C93" s="41">
        <v>0</v>
      </c>
      <c r="D93" s="41">
        <v>0</v>
      </c>
      <c r="E93" s="41">
        <v>0.1</v>
      </c>
      <c r="F93" s="41">
        <v>0.15</v>
      </c>
      <c r="G93" s="41">
        <v>0.15</v>
      </c>
      <c r="H93" s="41">
        <v>0.2</v>
      </c>
      <c r="I93" s="41">
        <v>1</v>
      </c>
      <c r="J93" s="39"/>
      <c r="M93" s="7"/>
    </row>
    <row r="94" spans="1:13" x14ac:dyDescent="0.25">
      <c r="A94" s="1" t="s">
        <v>42</v>
      </c>
      <c r="B94" s="41">
        <v>0</v>
      </c>
      <c r="C94" s="41">
        <v>0</v>
      </c>
      <c r="D94" s="41">
        <v>0</v>
      </c>
      <c r="E94" s="41">
        <v>0.1</v>
      </c>
      <c r="F94" s="41">
        <v>0.15</v>
      </c>
      <c r="G94" s="41">
        <v>0.15</v>
      </c>
      <c r="H94" s="41">
        <v>0.2</v>
      </c>
      <c r="I94" s="41">
        <v>1</v>
      </c>
      <c r="J94" s="39"/>
      <c r="M94" s="7"/>
    </row>
    <row r="95" spans="1:13" x14ac:dyDescent="0.25">
      <c r="A95" s="1" t="s">
        <v>6</v>
      </c>
      <c r="B95" s="41">
        <v>0</v>
      </c>
      <c r="C95" s="41">
        <v>0</v>
      </c>
      <c r="D95" s="41">
        <v>0</v>
      </c>
      <c r="E95" s="41">
        <v>0.1</v>
      </c>
      <c r="F95" s="41">
        <v>0.15</v>
      </c>
      <c r="G95" s="41">
        <v>0.15</v>
      </c>
      <c r="H95" s="41">
        <v>0.2</v>
      </c>
      <c r="I95" s="41">
        <v>1</v>
      </c>
      <c r="J95" s="39"/>
      <c r="M95" s="7"/>
    </row>
    <row r="96" spans="1:13" x14ac:dyDescent="0.25">
      <c r="A96" s="1" t="s">
        <v>50</v>
      </c>
      <c r="B96" s="41">
        <v>0</v>
      </c>
      <c r="C96" s="41">
        <v>0</v>
      </c>
      <c r="D96" s="41">
        <v>0</v>
      </c>
      <c r="E96" s="41">
        <v>0.1</v>
      </c>
      <c r="F96" s="41">
        <v>0.15</v>
      </c>
      <c r="G96" s="41">
        <v>0.15</v>
      </c>
      <c r="H96" s="41">
        <v>0.2</v>
      </c>
      <c r="I96" s="41">
        <v>1</v>
      </c>
      <c r="J96" s="39"/>
      <c r="M96" s="7"/>
    </row>
    <row r="97" spans="1:13" x14ac:dyDescent="0.25">
      <c r="A97" s="1" t="s">
        <v>89</v>
      </c>
      <c r="B97" s="41">
        <v>0</v>
      </c>
      <c r="C97" s="41">
        <v>0</v>
      </c>
      <c r="D97" s="41">
        <v>0</v>
      </c>
      <c r="E97" s="41">
        <v>0.1</v>
      </c>
      <c r="F97" s="41">
        <v>0.15</v>
      </c>
      <c r="G97" s="41">
        <v>0.15</v>
      </c>
      <c r="H97" s="41">
        <v>0.2</v>
      </c>
      <c r="I97" s="41">
        <v>1</v>
      </c>
      <c r="J97" s="39"/>
      <c r="M97" s="7"/>
    </row>
    <row r="98" spans="1:13" x14ac:dyDescent="0.25">
      <c r="A98" s="1" t="s">
        <v>5</v>
      </c>
      <c r="B98" s="41">
        <v>0</v>
      </c>
      <c r="C98" s="41">
        <v>0</v>
      </c>
      <c r="D98" s="41">
        <v>0</v>
      </c>
      <c r="E98" s="41">
        <v>0.1</v>
      </c>
      <c r="F98" s="41">
        <v>0.15</v>
      </c>
      <c r="G98" s="41">
        <v>0.15</v>
      </c>
      <c r="H98" s="41">
        <v>0.2</v>
      </c>
      <c r="I98" s="41">
        <v>1</v>
      </c>
      <c r="J98" s="39"/>
      <c r="M98" s="7"/>
    </row>
    <row r="99" spans="1:13" x14ac:dyDescent="0.25">
      <c r="A99" s="1" t="s">
        <v>84</v>
      </c>
      <c r="B99" s="41">
        <v>0</v>
      </c>
      <c r="C99" s="41">
        <v>0</v>
      </c>
      <c r="D99" s="41">
        <v>0</v>
      </c>
      <c r="E99" s="41">
        <v>0.1</v>
      </c>
      <c r="F99" s="41">
        <v>0.15</v>
      </c>
      <c r="G99" s="41">
        <v>0.15</v>
      </c>
      <c r="H99" s="41">
        <v>0.2</v>
      </c>
      <c r="I99" s="41">
        <v>1</v>
      </c>
      <c r="J99" s="39"/>
      <c r="M99" s="7"/>
    </row>
    <row r="100" spans="1:13" x14ac:dyDescent="0.25">
      <c r="A100" s="1" t="s">
        <v>4</v>
      </c>
      <c r="B100" s="41">
        <v>0</v>
      </c>
      <c r="C100" s="41">
        <v>0</v>
      </c>
      <c r="D100" s="41">
        <v>0</v>
      </c>
      <c r="E100" s="41">
        <v>0.1</v>
      </c>
      <c r="F100" s="41">
        <v>0.15</v>
      </c>
      <c r="G100" s="41">
        <v>0.15</v>
      </c>
      <c r="H100" s="41">
        <v>0.2</v>
      </c>
      <c r="I100" s="41">
        <v>1</v>
      </c>
      <c r="J100" s="39"/>
      <c r="M100" s="7"/>
    </row>
    <row r="101" spans="1:13" x14ac:dyDescent="0.25">
      <c r="A101" s="1" t="s">
        <v>51</v>
      </c>
      <c r="B101" s="41">
        <v>0</v>
      </c>
      <c r="C101" s="41">
        <v>0</v>
      </c>
      <c r="D101" s="41">
        <v>0</v>
      </c>
      <c r="E101" s="41">
        <v>0.1</v>
      </c>
      <c r="F101" s="41">
        <v>0.15</v>
      </c>
      <c r="G101" s="41">
        <v>0.15</v>
      </c>
      <c r="H101" s="41">
        <v>0.2</v>
      </c>
      <c r="I101" s="41">
        <v>1</v>
      </c>
      <c r="J101" s="39"/>
      <c r="M101" s="7"/>
    </row>
    <row r="102" spans="1:13" x14ac:dyDescent="0.25">
      <c r="A102" s="1" t="s">
        <v>85</v>
      </c>
      <c r="B102" s="41">
        <v>0</v>
      </c>
      <c r="C102" s="41">
        <v>0</v>
      </c>
      <c r="D102" s="41">
        <v>0</v>
      </c>
      <c r="E102" s="41">
        <v>0.1</v>
      </c>
      <c r="F102" s="41">
        <v>0.15</v>
      </c>
      <c r="G102" s="41">
        <v>0.15</v>
      </c>
      <c r="H102" s="41">
        <v>0.2</v>
      </c>
      <c r="I102" s="41">
        <v>1</v>
      </c>
      <c r="J102" s="39"/>
      <c r="M102" s="7"/>
    </row>
    <row r="103" spans="1:13" x14ac:dyDescent="0.25">
      <c r="A103" s="1" t="s">
        <v>2</v>
      </c>
      <c r="B103" s="41">
        <v>0</v>
      </c>
      <c r="C103" s="41">
        <v>0</v>
      </c>
      <c r="D103" s="41">
        <v>0.1</v>
      </c>
      <c r="E103" s="41">
        <v>0.5</v>
      </c>
      <c r="F103" s="41">
        <v>1</v>
      </c>
      <c r="G103" s="41">
        <v>1</v>
      </c>
      <c r="H103" s="41">
        <v>1</v>
      </c>
      <c r="I103" s="41">
        <v>1</v>
      </c>
      <c r="J103" s="39"/>
      <c r="M103" s="7"/>
    </row>
    <row r="104" spans="1:13" x14ac:dyDescent="0.25">
      <c r="A104" s="1" t="s">
        <v>86</v>
      </c>
      <c r="B104" s="41">
        <v>0</v>
      </c>
      <c r="C104" s="41">
        <v>0</v>
      </c>
      <c r="D104" s="41">
        <v>0</v>
      </c>
      <c r="E104" s="41">
        <v>0.1</v>
      </c>
      <c r="F104" s="41">
        <v>0.15</v>
      </c>
      <c r="G104" s="41">
        <v>0.15</v>
      </c>
      <c r="H104" s="41">
        <v>0.2</v>
      </c>
      <c r="I104" s="41">
        <v>1</v>
      </c>
      <c r="J104" s="39"/>
      <c r="M104" s="7"/>
    </row>
    <row r="105" spans="1:13" x14ac:dyDescent="0.25">
      <c r="A105" s="1" t="s">
        <v>29</v>
      </c>
      <c r="B105" s="41">
        <v>0</v>
      </c>
      <c r="C105" s="41">
        <v>0</v>
      </c>
      <c r="D105" s="41">
        <v>0</v>
      </c>
      <c r="E105" s="41">
        <v>0.1</v>
      </c>
      <c r="F105" s="41">
        <v>0.15</v>
      </c>
      <c r="G105" s="41">
        <v>0.15</v>
      </c>
      <c r="H105" s="41">
        <v>0.2</v>
      </c>
      <c r="I105" s="41">
        <v>1</v>
      </c>
      <c r="J105" s="39"/>
      <c r="M105" s="7"/>
    </row>
    <row r="106" spans="1:13" x14ac:dyDescent="0.25">
      <c r="A106" s="1" t="s">
        <v>52</v>
      </c>
      <c r="B106" s="41">
        <v>0</v>
      </c>
      <c r="C106" s="41">
        <v>0</v>
      </c>
      <c r="D106" s="41">
        <v>0</v>
      </c>
      <c r="E106" s="41">
        <v>0.1</v>
      </c>
      <c r="F106" s="41">
        <v>0.15</v>
      </c>
      <c r="G106" s="41">
        <v>0.15</v>
      </c>
      <c r="H106" s="41">
        <v>0.2</v>
      </c>
      <c r="I106" s="41">
        <v>1</v>
      </c>
      <c r="J106" s="39"/>
      <c r="M106" s="7"/>
    </row>
    <row r="107" spans="1:13" x14ac:dyDescent="0.25">
      <c r="A107" s="1" t="s">
        <v>1</v>
      </c>
      <c r="B107" s="41">
        <v>0</v>
      </c>
      <c r="C107" s="41">
        <v>0</v>
      </c>
      <c r="D107" s="41">
        <v>0</v>
      </c>
      <c r="E107" s="41">
        <v>0.1</v>
      </c>
      <c r="F107" s="41">
        <v>0.15</v>
      </c>
      <c r="G107" s="41">
        <v>0.15</v>
      </c>
      <c r="H107" s="41">
        <v>0.2</v>
      </c>
      <c r="I107" s="41">
        <v>1</v>
      </c>
      <c r="J107" s="39"/>
      <c r="M107" s="7"/>
    </row>
    <row r="108" spans="1:13" ht="15.75" thickBot="1" x14ac:dyDescent="0.3">
      <c r="A108" s="4"/>
      <c r="B108" s="39"/>
      <c r="C108" s="39"/>
      <c r="D108" s="39"/>
      <c r="E108" s="39"/>
      <c r="F108" s="39"/>
      <c r="G108" s="39"/>
      <c r="H108" s="39"/>
      <c r="I108" s="39"/>
      <c r="J108" s="39"/>
      <c r="M108" s="7"/>
    </row>
    <row r="109" spans="1:13" ht="15.75" thickBot="1" x14ac:dyDescent="0.3">
      <c r="A109" s="170" t="s">
        <v>60</v>
      </c>
      <c r="B109" s="171"/>
      <c r="C109" s="171"/>
      <c r="D109" s="171"/>
      <c r="E109" s="171"/>
      <c r="F109" s="171"/>
      <c r="G109" s="171"/>
      <c r="H109" s="171"/>
      <c r="I109" s="171"/>
      <c r="J109" s="172"/>
      <c r="M109" s="7"/>
    </row>
    <row r="110" spans="1:13" x14ac:dyDescent="0.25">
      <c r="A110" s="4" t="s">
        <v>16</v>
      </c>
      <c r="B110" s="5" t="s">
        <v>15</v>
      </c>
      <c r="C110" s="5" t="s">
        <v>14</v>
      </c>
      <c r="D110" s="5" t="s">
        <v>13</v>
      </c>
      <c r="E110" s="5" t="s">
        <v>12</v>
      </c>
      <c r="F110" s="5" t="s">
        <v>93</v>
      </c>
      <c r="G110" s="5" t="s">
        <v>94</v>
      </c>
      <c r="H110" s="5" t="s">
        <v>38</v>
      </c>
      <c r="I110" s="5" t="s">
        <v>9</v>
      </c>
      <c r="J110" s="5" t="s">
        <v>0</v>
      </c>
      <c r="M110" s="7"/>
    </row>
    <row r="111" spans="1:13" x14ac:dyDescent="0.25">
      <c r="A111" s="1" t="s">
        <v>49</v>
      </c>
      <c r="B111" s="66">
        <f>IF(B70&gt;0,B70*B91,0)</f>
        <v>0</v>
      </c>
      <c r="C111" s="66">
        <f t="shared" ref="C111:I111" si="46">IF(C70&gt;0,C70*C91,0)</f>
        <v>0</v>
      </c>
      <c r="D111" s="66">
        <f t="shared" si="46"/>
        <v>0</v>
      </c>
      <c r="E111" s="66">
        <f t="shared" si="46"/>
        <v>0</v>
      </c>
      <c r="F111" s="66">
        <f t="shared" si="46"/>
        <v>0</v>
      </c>
      <c r="G111" s="66">
        <f t="shared" si="46"/>
        <v>0</v>
      </c>
      <c r="H111" s="66">
        <f t="shared" si="46"/>
        <v>0</v>
      </c>
      <c r="I111" s="66">
        <f t="shared" si="46"/>
        <v>0</v>
      </c>
      <c r="J111" s="39">
        <f>SUM(B111:H111)</f>
        <v>0</v>
      </c>
      <c r="M111" s="7"/>
    </row>
    <row r="112" spans="1:13" x14ac:dyDescent="0.25">
      <c r="A112" s="1" t="s">
        <v>8</v>
      </c>
      <c r="B112" s="39">
        <f>IF(B71&gt;0,B71*B92,0)</f>
        <v>0</v>
      </c>
      <c r="C112" s="39">
        <f t="shared" ref="C112:I112" si="47">IF(C71&gt;0,C71*C92,0)</f>
        <v>0</v>
      </c>
      <c r="D112" s="39">
        <f t="shared" si="47"/>
        <v>0</v>
      </c>
      <c r="E112" s="39">
        <f t="shared" si="47"/>
        <v>0</v>
      </c>
      <c r="F112" s="39">
        <f t="shared" si="47"/>
        <v>0</v>
      </c>
      <c r="G112" s="39">
        <f t="shared" si="47"/>
        <v>0</v>
      </c>
      <c r="H112" s="39">
        <f t="shared" si="47"/>
        <v>0</v>
      </c>
      <c r="I112" s="39">
        <f t="shared" si="47"/>
        <v>0</v>
      </c>
      <c r="J112" s="39">
        <f t="shared" ref="J112:J127" si="48">SUM(B112:H112)</f>
        <v>0</v>
      </c>
      <c r="M112" s="7"/>
    </row>
    <row r="113" spans="1:13" x14ac:dyDescent="0.25">
      <c r="A113" s="1" t="s">
        <v>7</v>
      </c>
      <c r="B113" s="39">
        <f>IF(B72&gt;0,B72*B93,0)</f>
        <v>0</v>
      </c>
      <c r="C113" s="39">
        <f t="shared" ref="C113:I113" si="49">IF(C72&gt;0,C72*C93,0)</f>
        <v>0</v>
      </c>
      <c r="D113" s="39">
        <f t="shared" si="49"/>
        <v>0</v>
      </c>
      <c r="E113" s="39">
        <f t="shared" si="49"/>
        <v>0</v>
      </c>
      <c r="F113" s="39">
        <f t="shared" si="49"/>
        <v>0</v>
      </c>
      <c r="G113" s="39">
        <f t="shared" si="49"/>
        <v>0</v>
      </c>
      <c r="H113" s="39">
        <f t="shared" si="49"/>
        <v>0</v>
      </c>
      <c r="I113" s="39">
        <f t="shared" si="49"/>
        <v>0</v>
      </c>
      <c r="J113" s="39">
        <f t="shared" si="48"/>
        <v>0</v>
      </c>
      <c r="M113" s="7"/>
    </row>
    <row r="114" spans="1:13" x14ac:dyDescent="0.25">
      <c r="A114" s="1" t="s">
        <v>42</v>
      </c>
      <c r="B114" s="39">
        <f t="shared" ref="B114:B127" si="50">IF(B73&gt;0,B73*B94,0)</f>
        <v>0</v>
      </c>
      <c r="C114" s="39">
        <f t="shared" ref="C114:I114" si="51">IF(C73&gt;0,C73*C94,0)</f>
        <v>0</v>
      </c>
      <c r="D114" s="39">
        <f t="shared" si="51"/>
        <v>0</v>
      </c>
      <c r="E114" s="39">
        <f t="shared" si="51"/>
        <v>0</v>
      </c>
      <c r="F114" s="39">
        <f t="shared" si="51"/>
        <v>0</v>
      </c>
      <c r="G114" s="39">
        <f t="shared" si="51"/>
        <v>0</v>
      </c>
      <c r="H114" s="39">
        <f t="shared" si="51"/>
        <v>0</v>
      </c>
      <c r="I114" s="39">
        <f t="shared" si="51"/>
        <v>0</v>
      </c>
      <c r="J114" s="39">
        <f t="shared" si="48"/>
        <v>0</v>
      </c>
      <c r="M114" s="7"/>
    </row>
    <row r="115" spans="1:13" x14ac:dyDescent="0.25">
      <c r="A115" s="1" t="s">
        <v>6</v>
      </c>
      <c r="B115" s="39">
        <f t="shared" si="50"/>
        <v>0</v>
      </c>
      <c r="C115" s="39">
        <f t="shared" ref="C115:I115" si="52">IF(C74&gt;0,C74*C95,0)</f>
        <v>0</v>
      </c>
      <c r="D115" s="39">
        <f t="shared" si="52"/>
        <v>0</v>
      </c>
      <c r="E115" s="39">
        <f t="shared" si="52"/>
        <v>0</v>
      </c>
      <c r="F115" s="39">
        <f t="shared" si="52"/>
        <v>0</v>
      </c>
      <c r="G115" s="39">
        <f t="shared" si="52"/>
        <v>0</v>
      </c>
      <c r="H115" s="39">
        <f t="shared" si="52"/>
        <v>0</v>
      </c>
      <c r="I115" s="39">
        <f t="shared" si="52"/>
        <v>0</v>
      </c>
      <c r="J115" s="39">
        <f t="shared" si="48"/>
        <v>0</v>
      </c>
      <c r="M115" s="7"/>
    </row>
    <row r="116" spans="1:13" x14ac:dyDescent="0.25">
      <c r="A116" s="1" t="s">
        <v>50</v>
      </c>
      <c r="B116" s="39">
        <f t="shared" si="50"/>
        <v>0</v>
      </c>
      <c r="C116" s="39">
        <f t="shared" ref="C116:I116" si="53">IF(C75&gt;0,C75*C96,0)</f>
        <v>0</v>
      </c>
      <c r="D116" s="39">
        <f t="shared" si="53"/>
        <v>0</v>
      </c>
      <c r="E116" s="39">
        <f t="shared" si="53"/>
        <v>0</v>
      </c>
      <c r="F116" s="39">
        <f t="shared" si="53"/>
        <v>0</v>
      </c>
      <c r="G116" s="39">
        <f t="shared" si="53"/>
        <v>0</v>
      </c>
      <c r="H116" s="39">
        <f t="shared" si="53"/>
        <v>0</v>
      </c>
      <c r="I116" s="39">
        <f t="shared" si="53"/>
        <v>0</v>
      </c>
      <c r="J116" s="39">
        <f t="shared" si="48"/>
        <v>0</v>
      </c>
      <c r="M116" s="7"/>
    </row>
    <row r="117" spans="1:13" x14ac:dyDescent="0.25">
      <c r="A117" s="1" t="s">
        <v>89</v>
      </c>
      <c r="B117" s="39">
        <f t="shared" si="50"/>
        <v>0</v>
      </c>
      <c r="C117" s="39">
        <f t="shared" ref="C117:I117" si="54">IF(C76&gt;0,C76*C97,0)</f>
        <v>0</v>
      </c>
      <c r="D117" s="39">
        <f t="shared" si="54"/>
        <v>0</v>
      </c>
      <c r="E117" s="39">
        <f t="shared" si="54"/>
        <v>0</v>
      </c>
      <c r="F117" s="39">
        <f t="shared" si="54"/>
        <v>0</v>
      </c>
      <c r="G117" s="39">
        <f t="shared" si="54"/>
        <v>0</v>
      </c>
      <c r="H117" s="39">
        <f t="shared" si="54"/>
        <v>0</v>
      </c>
      <c r="I117" s="39">
        <f t="shared" si="54"/>
        <v>0</v>
      </c>
      <c r="J117" s="39">
        <f t="shared" si="48"/>
        <v>0</v>
      </c>
      <c r="M117" s="7"/>
    </row>
    <row r="118" spans="1:13" x14ac:dyDescent="0.25">
      <c r="A118" s="1" t="s">
        <v>5</v>
      </c>
      <c r="B118" s="39">
        <f t="shared" si="50"/>
        <v>0</v>
      </c>
      <c r="C118" s="39">
        <f t="shared" ref="C118:I118" si="55">IF(C77&gt;0,C77*C98,0)</f>
        <v>0</v>
      </c>
      <c r="D118" s="39">
        <f t="shared" si="55"/>
        <v>0</v>
      </c>
      <c r="E118" s="39">
        <f t="shared" si="55"/>
        <v>0</v>
      </c>
      <c r="F118" s="39">
        <f t="shared" si="55"/>
        <v>0</v>
      </c>
      <c r="G118" s="39">
        <f t="shared" si="55"/>
        <v>0</v>
      </c>
      <c r="H118" s="39">
        <f t="shared" si="55"/>
        <v>0</v>
      </c>
      <c r="I118" s="39">
        <f t="shared" si="55"/>
        <v>0</v>
      </c>
      <c r="J118" s="39">
        <f t="shared" si="48"/>
        <v>0</v>
      </c>
      <c r="M118" s="7"/>
    </row>
    <row r="119" spans="1:13" x14ac:dyDescent="0.25">
      <c r="A119" s="1" t="s">
        <v>84</v>
      </c>
      <c r="B119" s="39">
        <f t="shared" si="50"/>
        <v>0</v>
      </c>
      <c r="C119" s="39">
        <f t="shared" ref="C119:I119" si="56">IF(C78&gt;0,C78*C99,0)</f>
        <v>0</v>
      </c>
      <c r="D119" s="39">
        <f t="shared" si="56"/>
        <v>0</v>
      </c>
      <c r="E119" s="39">
        <f t="shared" si="56"/>
        <v>0</v>
      </c>
      <c r="F119" s="39">
        <f t="shared" si="56"/>
        <v>0</v>
      </c>
      <c r="G119" s="39">
        <f t="shared" si="56"/>
        <v>0</v>
      </c>
      <c r="H119" s="39">
        <f t="shared" si="56"/>
        <v>0</v>
      </c>
      <c r="I119" s="39">
        <f t="shared" si="56"/>
        <v>0</v>
      </c>
      <c r="J119" s="39">
        <f t="shared" si="48"/>
        <v>0</v>
      </c>
      <c r="M119" s="7"/>
    </row>
    <row r="120" spans="1:13" x14ac:dyDescent="0.25">
      <c r="A120" s="1" t="s">
        <v>4</v>
      </c>
      <c r="B120" s="39">
        <f t="shared" si="50"/>
        <v>0</v>
      </c>
      <c r="C120" s="39">
        <f t="shared" ref="C120:I120" si="57">IF(C79&gt;0,C79*C100,0)</f>
        <v>0</v>
      </c>
      <c r="D120" s="39">
        <f t="shared" si="57"/>
        <v>0</v>
      </c>
      <c r="E120" s="39">
        <f t="shared" si="57"/>
        <v>0</v>
      </c>
      <c r="F120" s="39">
        <f t="shared" si="57"/>
        <v>0</v>
      </c>
      <c r="G120" s="39">
        <f t="shared" si="57"/>
        <v>0</v>
      </c>
      <c r="H120" s="39">
        <f t="shared" si="57"/>
        <v>0</v>
      </c>
      <c r="I120" s="39">
        <f t="shared" si="57"/>
        <v>0</v>
      </c>
      <c r="J120" s="39">
        <f t="shared" si="48"/>
        <v>0</v>
      </c>
      <c r="M120" s="7"/>
    </row>
    <row r="121" spans="1:13" x14ac:dyDescent="0.25">
      <c r="A121" s="1" t="s">
        <v>51</v>
      </c>
      <c r="B121" s="39">
        <f t="shared" si="50"/>
        <v>0</v>
      </c>
      <c r="C121" s="39">
        <f t="shared" ref="C121:I121" si="58">IF(C80&gt;0,C80*C101,0)</f>
        <v>0</v>
      </c>
      <c r="D121" s="39">
        <f t="shared" si="58"/>
        <v>0</v>
      </c>
      <c r="E121" s="39">
        <f t="shared" si="58"/>
        <v>0</v>
      </c>
      <c r="F121" s="39">
        <f t="shared" si="58"/>
        <v>0</v>
      </c>
      <c r="G121" s="39">
        <f t="shared" si="58"/>
        <v>0</v>
      </c>
      <c r="H121" s="39">
        <f t="shared" si="58"/>
        <v>0</v>
      </c>
      <c r="I121" s="39">
        <f t="shared" si="58"/>
        <v>0</v>
      </c>
      <c r="J121" s="39">
        <f t="shared" si="48"/>
        <v>0</v>
      </c>
      <c r="M121" s="7"/>
    </row>
    <row r="122" spans="1:13" x14ac:dyDescent="0.25">
      <c r="A122" s="1" t="s">
        <v>85</v>
      </c>
      <c r="B122" s="39">
        <f t="shared" si="50"/>
        <v>0</v>
      </c>
      <c r="C122" s="39">
        <f t="shared" ref="C122:I122" si="59">IF(C81&gt;0,C81*C102,0)</f>
        <v>0</v>
      </c>
      <c r="D122" s="39">
        <f t="shared" si="59"/>
        <v>0</v>
      </c>
      <c r="E122" s="39">
        <f t="shared" si="59"/>
        <v>0</v>
      </c>
      <c r="F122" s="39">
        <f t="shared" si="59"/>
        <v>0</v>
      </c>
      <c r="G122" s="39">
        <f t="shared" si="59"/>
        <v>0</v>
      </c>
      <c r="H122" s="39">
        <f t="shared" si="59"/>
        <v>0</v>
      </c>
      <c r="I122" s="39">
        <f t="shared" si="59"/>
        <v>0</v>
      </c>
      <c r="J122" s="39">
        <f t="shared" si="48"/>
        <v>0</v>
      </c>
      <c r="M122" s="7"/>
    </row>
    <row r="123" spans="1:13" x14ac:dyDescent="0.25">
      <c r="A123" s="1" t="s">
        <v>2</v>
      </c>
      <c r="B123" s="39">
        <f t="shared" si="50"/>
        <v>0</v>
      </c>
      <c r="C123" s="39">
        <f t="shared" ref="C123:I123" si="60">IF(C82&gt;0,C82*C103,0)</f>
        <v>0</v>
      </c>
      <c r="D123" s="39">
        <f t="shared" si="60"/>
        <v>0</v>
      </c>
      <c r="E123" s="39">
        <f t="shared" si="60"/>
        <v>0</v>
      </c>
      <c r="F123" s="39">
        <f t="shared" si="60"/>
        <v>0</v>
      </c>
      <c r="G123" s="39">
        <f t="shared" si="60"/>
        <v>0</v>
      </c>
      <c r="H123" s="39">
        <f t="shared" si="60"/>
        <v>0</v>
      </c>
      <c r="I123" s="39">
        <f t="shared" si="60"/>
        <v>0</v>
      </c>
      <c r="J123" s="39">
        <f t="shared" si="48"/>
        <v>0</v>
      </c>
      <c r="M123" s="7"/>
    </row>
    <row r="124" spans="1:13" x14ac:dyDescent="0.25">
      <c r="A124" s="1" t="s">
        <v>86</v>
      </c>
      <c r="B124" s="39">
        <f t="shared" si="50"/>
        <v>0</v>
      </c>
      <c r="C124" s="39">
        <f t="shared" ref="C124:I124" si="61">IF(C83&gt;0,C83*C104,0)</f>
        <v>0</v>
      </c>
      <c r="D124" s="39">
        <f t="shared" si="61"/>
        <v>0</v>
      </c>
      <c r="E124" s="39">
        <f t="shared" si="61"/>
        <v>0</v>
      </c>
      <c r="F124" s="39">
        <f t="shared" si="61"/>
        <v>0</v>
      </c>
      <c r="G124" s="39">
        <f t="shared" si="61"/>
        <v>0</v>
      </c>
      <c r="H124" s="39">
        <f t="shared" si="61"/>
        <v>0</v>
      </c>
      <c r="I124" s="39">
        <f t="shared" si="61"/>
        <v>0</v>
      </c>
      <c r="J124" s="39">
        <f t="shared" si="48"/>
        <v>0</v>
      </c>
      <c r="M124" s="183" t="s">
        <v>62</v>
      </c>
    </row>
    <row r="125" spans="1:13" x14ac:dyDescent="0.25">
      <c r="A125" s="1" t="s">
        <v>29</v>
      </c>
      <c r="B125" s="39">
        <f t="shared" si="50"/>
        <v>0</v>
      </c>
      <c r="C125" s="39">
        <f t="shared" ref="C125:I125" si="62">IF(C84&gt;0,C84*C105,0)</f>
        <v>0</v>
      </c>
      <c r="D125" s="39">
        <f t="shared" si="62"/>
        <v>0</v>
      </c>
      <c r="E125" s="39">
        <f t="shared" si="62"/>
        <v>0</v>
      </c>
      <c r="F125" s="39">
        <f t="shared" si="62"/>
        <v>0</v>
      </c>
      <c r="G125" s="39">
        <f t="shared" si="62"/>
        <v>0</v>
      </c>
      <c r="H125" s="39">
        <f t="shared" si="62"/>
        <v>0</v>
      </c>
      <c r="I125" s="39">
        <f t="shared" si="62"/>
        <v>0</v>
      </c>
      <c r="J125" s="39">
        <f t="shared" si="48"/>
        <v>0</v>
      </c>
      <c r="M125" s="183"/>
    </row>
    <row r="126" spans="1:13" x14ac:dyDescent="0.25">
      <c r="A126" s="1" t="s">
        <v>52</v>
      </c>
      <c r="B126" s="39">
        <f t="shared" si="50"/>
        <v>0</v>
      </c>
      <c r="C126" s="39">
        <f t="shared" ref="C126:I126" si="63">IF(C85&gt;0,C85*C106,0)</f>
        <v>0</v>
      </c>
      <c r="D126" s="39">
        <f t="shared" si="63"/>
        <v>0</v>
      </c>
      <c r="E126" s="39">
        <f t="shared" si="63"/>
        <v>0</v>
      </c>
      <c r="F126" s="39">
        <f t="shared" si="63"/>
        <v>0</v>
      </c>
      <c r="G126" s="39">
        <f t="shared" si="63"/>
        <v>0</v>
      </c>
      <c r="H126" s="39">
        <f t="shared" si="63"/>
        <v>0</v>
      </c>
      <c r="I126" s="39">
        <f t="shared" si="63"/>
        <v>0</v>
      </c>
      <c r="J126" s="39">
        <f t="shared" si="48"/>
        <v>0</v>
      </c>
      <c r="L126" s="35" t="s">
        <v>151</v>
      </c>
      <c r="M126" s="183" t="s">
        <v>63</v>
      </c>
    </row>
    <row r="127" spans="1:13" x14ac:dyDescent="0.25">
      <c r="A127" s="1" t="s">
        <v>1</v>
      </c>
      <c r="B127" s="40">
        <f t="shared" si="50"/>
        <v>0</v>
      </c>
      <c r="C127" s="40">
        <f t="shared" ref="C127:I127" si="64">IF(C86&gt;0,C86*C107,0)</f>
        <v>0</v>
      </c>
      <c r="D127" s="40">
        <f t="shared" si="64"/>
        <v>0</v>
      </c>
      <c r="E127" s="40">
        <f t="shared" si="64"/>
        <v>0</v>
      </c>
      <c r="F127" s="40">
        <f t="shared" si="64"/>
        <v>0</v>
      </c>
      <c r="G127" s="40">
        <f t="shared" si="64"/>
        <v>0</v>
      </c>
      <c r="H127" s="40">
        <f t="shared" si="64"/>
        <v>0</v>
      </c>
      <c r="I127" s="40">
        <f t="shared" si="64"/>
        <v>0</v>
      </c>
      <c r="J127" s="40">
        <f t="shared" si="48"/>
        <v>0</v>
      </c>
      <c r="L127" s="42" t="s">
        <v>61</v>
      </c>
      <c r="M127" s="184"/>
    </row>
    <row r="128" spans="1:13" x14ac:dyDescent="0.25">
      <c r="A128" s="4"/>
      <c r="B128" s="39">
        <f>SUM(B111:B127)</f>
        <v>0</v>
      </c>
      <c r="C128" s="39">
        <f t="shared" ref="C128:J128" si="65">SUM(C111:C127)</f>
        <v>0</v>
      </c>
      <c r="D128" s="39">
        <f t="shared" si="65"/>
        <v>0</v>
      </c>
      <c r="E128" s="39">
        <f t="shared" si="65"/>
        <v>0</v>
      </c>
      <c r="F128" s="39">
        <f t="shared" si="65"/>
        <v>0</v>
      </c>
      <c r="G128" s="39">
        <f t="shared" si="65"/>
        <v>0</v>
      </c>
      <c r="H128" s="39">
        <f t="shared" si="65"/>
        <v>0</v>
      </c>
      <c r="I128" s="39">
        <f t="shared" si="65"/>
        <v>0</v>
      </c>
      <c r="J128" s="39">
        <f t="shared" si="65"/>
        <v>0</v>
      </c>
      <c r="L128" s="108">
        <v>60000</v>
      </c>
      <c r="M128" s="7">
        <f>J128-L128</f>
        <v>-60000</v>
      </c>
    </row>
    <row r="129" spans="1:13" ht="15.75" thickBot="1" x14ac:dyDescent="0.3">
      <c r="A129" s="4"/>
      <c r="B129" s="39"/>
      <c r="C129" s="39"/>
      <c r="D129" s="39"/>
      <c r="E129" s="39"/>
      <c r="F129" s="39"/>
      <c r="G129" s="39"/>
      <c r="H129" s="39"/>
      <c r="I129" s="39"/>
      <c r="J129" s="39"/>
      <c r="M129" s="7"/>
    </row>
    <row r="130" spans="1:13" ht="15.75" thickBot="1" x14ac:dyDescent="0.3">
      <c r="A130" s="170" t="s">
        <v>30</v>
      </c>
      <c r="B130" s="171"/>
      <c r="C130" s="171"/>
      <c r="D130" s="171"/>
      <c r="E130" s="171"/>
      <c r="F130" s="171"/>
      <c r="G130" s="171"/>
      <c r="H130" s="171"/>
      <c r="I130" s="171"/>
      <c r="J130" s="172"/>
      <c r="M130" s="7"/>
    </row>
    <row r="131" spans="1:13" x14ac:dyDescent="0.25">
      <c r="A131" s="4" t="s">
        <v>16</v>
      </c>
      <c r="B131" s="5" t="s">
        <v>15</v>
      </c>
      <c r="C131" s="5" t="s">
        <v>14</v>
      </c>
      <c r="D131" s="5" t="s">
        <v>13</v>
      </c>
      <c r="E131" s="5" t="s">
        <v>12</v>
      </c>
      <c r="F131" s="5" t="s">
        <v>93</v>
      </c>
      <c r="G131" s="5" t="s">
        <v>94</v>
      </c>
      <c r="H131" s="5" t="s">
        <v>38</v>
      </c>
      <c r="I131" s="5" t="s">
        <v>9</v>
      </c>
      <c r="J131" s="5" t="s">
        <v>0</v>
      </c>
      <c r="M131" s="7"/>
    </row>
    <row r="132" spans="1:13" x14ac:dyDescent="0.25">
      <c r="A132" s="1" t="s">
        <v>49</v>
      </c>
      <c r="B132" s="39">
        <f>B70-B111</f>
        <v>0</v>
      </c>
      <c r="C132" s="39">
        <f t="shared" ref="C132:I132" si="66">C70-C111</f>
        <v>0</v>
      </c>
      <c r="D132" s="39">
        <f t="shared" si="66"/>
        <v>0</v>
      </c>
      <c r="E132" s="39">
        <f t="shared" si="66"/>
        <v>0</v>
      </c>
      <c r="F132" s="39">
        <f t="shared" si="66"/>
        <v>0</v>
      </c>
      <c r="G132" s="39">
        <f t="shared" si="66"/>
        <v>0</v>
      </c>
      <c r="H132" s="39">
        <f t="shared" si="66"/>
        <v>0</v>
      </c>
      <c r="I132" s="39">
        <f t="shared" si="66"/>
        <v>0</v>
      </c>
      <c r="J132" s="39">
        <f>SUM(B132:H132)</f>
        <v>0</v>
      </c>
      <c r="M132" s="7"/>
    </row>
    <row r="133" spans="1:13" x14ac:dyDescent="0.25">
      <c r="A133" s="1" t="s">
        <v>8</v>
      </c>
      <c r="B133" s="39">
        <f>B71-B112</f>
        <v>0</v>
      </c>
      <c r="C133" s="39">
        <f t="shared" ref="C133:I133" si="67">C71-C112</f>
        <v>0</v>
      </c>
      <c r="D133" s="39">
        <f t="shared" si="67"/>
        <v>0</v>
      </c>
      <c r="E133" s="39">
        <f t="shared" si="67"/>
        <v>0</v>
      </c>
      <c r="F133" s="39">
        <f t="shared" si="67"/>
        <v>0</v>
      </c>
      <c r="G133" s="39">
        <f t="shared" si="67"/>
        <v>0</v>
      </c>
      <c r="H133" s="39">
        <f t="shared" si="67"/>
        <v>0</v>
      </c>
      <c r="I133" s="39">
        <f t="shared" si="67"/>
        <v>0</v>
      </c>
      <c r="J133" s="39">
        <f t="shared" ref="J133:J148" si="68">SUM(B133:H133)</f>
        <v>0</v>
      </c>
      <c r="M133" s="7"/>
    </row>
    <row r="134" spans="1:13" x14ac:dyDescent="0.25">
      <c r="A134" s="1" t="s">
        <v>7</v>
      </c>
      <c r="B134" s="39">
        <f>B72-B113</f>
        <v>0</v>
      </c>
      <c r="C134" s="39">
        <f t="shared" ref="C134:I134" si="69">C72-C113</f>
        <v>0</v>
      </c>
      <c r="D134" s="39">
        <f t="shared" si="69"/>
        <v>0</v>
      </c>
      <c r="E134" s="39">
        <f t="shared" si="69"/>
        <v>0</v>
      </c>
      <c r="F134" s="39">
        <f t="shared" si="69"/>
        <v>0</v>
      </c>
      <c r="G134" s="39">
        <f t="shared" si="69"/>
        <v>0</v>
      </c>
      <c r="H134" s="39">
        <f t="shared" si="69"/>
        <v>0</v>
      </c>
      <c r="I134" s="39">
        <f t="shared" si="69"/>
        <v>0</v>
      </c>
      <c r="J134" s="39">
        <f t="shared" si="68"/>
        <v>0</v>
      </c>
      <c r="M134" s="7"/>
    </row>
    <row r="135" spans="1:13" x14ac:dyDescent="0.25">
      <c r="A135" s="1" t="s">
        <v>42</v>
      </c>
      <c r="B135" s="39">
        <f t="shared" ref="B135:B148" si="70">B73-B114</f>
        <v>0</v>
      </c>
      <c r="C135" s="39">
        <f t="shared" ref="C135:I135" si="71">C73-C114</f>
        <v>0</v>
      </c>
      <c r="D135" s="39">
        <f t="shared" si="71"/>
        <v>0</v>
      </c>
      <c r="E135" s="39">
        <f t="shared" si="71"/>
        <v>0</v>
      </c>
      <c r="F135" s="39">
        <f t="shared" si="71"/>
        <v>0</v>
      </c>
      <c r="G135" s="39">
        <f t="shared" si="71"/>
        <v>0</v>
      </c>
      <c r="H135" s="39">
        <f t="shared" si="71"/>
        <v>0</v>
      </c>
      <c r="I135" s="39">
        <f t="shared" si="71"/>
        <v>0</v>
      </c>
      <c r="J135" s="39">
        <f t="shared" si="68"/>
        <v>0</v>
      </c>
      <c r="M135" s="7"/>
    </row>
    <row r="136" spans="1:13" x14ac:dyDescent="0.25">
      <c r="A136" s="1" t="s">
        <v>6</v>
      </c>
      <c r="B136" s="39">
        <f t="shared" si="70"/>
        <v>0</v>
      </c>
      <c r="C136" s="39">
        <f t="shared" ref="C136:I136" si="72">C74-C115</f>
        <v>0</v>
      </c>
      <c r="D136" s="39">
        <f t="shared" si="72"/>
        <v>0</v>
      </c>
      <c r="E136" s="39">
        <f t="shared" si="72"/>
        <v>0</v>
      </c>
      <c r="F136" s="39">
        <f t="shared" si="72"/>
        <v>0</v>
      </c>
      <c r="G136" s="39">
        <f t="shared" si="72"/>
        <v>0</v>
      </c>
      <c r="H136" s="39">
        <f t="shared" si="72"/>
        <v>0</v>
      </c>
      <c r="I136" s="39">
        <f t="shared" si="72"/>
        <v>0</v>
      </c>
      <c r="J136" s="39">
        <f t="shared" si="68"/>
        <v>0</v>
      </c>
      <c r="M136" s="7"/>
    </row>
    <row r="137" spans="1:13" x14ac:dyDescent="0.25">
      <c r="A137" s="1" t="s">
        <v>50</v>
      </c>
      <c r="B137" s="39">
        <f t="shared" si="70"/>
        <v>0</v>
      </c>
      <c r="C137" s="39">
        <f t="shared" ref="C137:I137" si="73">C75-C116</f>
        <v>0</v>
      </c>
      <c r="D137" s="39">
        <f t="shared" si="73"/>
        <v>0</v>
      </c>
      <c r="E137" s="39">
        <f t="shared" si="73"/>
        <v>0</v>
      </c>
      <c r="F137" s="39">
        <f t="shared" si="73"/>
        <v>0</v>
      </c>
      <c r="G137" s="39">
        <f t="shared" si="73"/>
        <v>0</v>
      </c>
      <c r="H137" s="39">
        <f t="shared" si="73"/>
        <v>0</v>
      </c>
      <c r="I137" s="39">
        <f t="shared" si="73"/>
        <v>0</v>
      </c>
      <c r="J137" s="39">
        <f t="shared" si="68"/>
        <v>0</v>
      </c>
      <c r="M137" s="7"/>
    </row>
    <row r="138" spans="1:13" x14ac:dyDescent="0.25">
      <c r="A138" s="1" t="s">
        <v>89</v>
      </c>
      <c r="B138" s="39">
        <f t="shared" si="70"/>
        <v>0</v>
      </c>
      <c r="C138" s="39">
        <f t="shared" ref="C138:I138" si="74">C76-C117</f>
        <v>0</v>
      </c>
      <c r="D138" s="39">
        <f t="shared" si="74"/>
        <v>0</v>
      </c>
      <c r="E138" s="39">
        <f t="shared" si="74"/>
        <v>0</v>
      </c>
      <c r="F138" s="39">
        <f t="shared" si="74"/>
        <v>0</v>
      </c>
      <c r="G138" s="39">
        <f t="shared" si="74"/>
        <v>0</v>
      </c>
      <c r="H138" s="39">
        <f t="shared" si="74"/>
        <v>0</v>
      </c>
      <c r="I138" s="39">
        <f t="shared" si="74"/>
        <v>0</v>
      </c>
      <c r="J138" s="39">
        <f t="shared" si="68"/>
        <v>0</v>
      </c>
      <c r="M138" s="7"/>
    </row>
    <row r="139" spans="1:13" x14ac:dyDescent="0.25">
      <c r="A139" s="1" t="s">
        <v>5</v>
      </c>
      <c r="B139" s="39">
        <f t="shared" si="70"/>
        <v>0</v>
      </c>
      <c r="C139" s="39">
        <f t="shared" ref="C139:I139" si="75">C77-C118</f>
        <v>0</v>
      </c>
      <c r="D139" s="39">
        <f t="shared" si="75"/>
        <v>0</v>
      </c>
      <c r="E139" s="39">
        <f t="shared" si="75"/>
        <v>0</v>
      </c>
      <c r="F139" s="39">
        <f t="shared" si="75"/>
        <v>0</v>
      </c>
      <c r="G139" s="39">
        <f t="shared" si="75"/>
        <v>0</v>
      </c>
      <c r="H139" s="39">
        <f t="shared" si="75"/>
        <v>0</v>
      </c>
      <c r="I139" s="39">
        <f t="shared" si="75"/>
        <v>0</v>
      </c>
      <c r="J139" s="39">
        <f t="shared" si="68"/>
        <v>0</v>
      </c>
      <c r="M139" s="7"/>
    </row>
    <row r="140" spans="1:13" x14ac:dyDescent="0.25">
      <c r="A140" s="1" t="s">
        <v>84</v>
      </c>
      <c r="B140" s="39">
        <f t="shared" si="70"/>
        <v>0</v>
      </c>
      <c r="C140" s="39">
        <f t="shared" ref="C140:I140" si="76">C78-C119</f>
        <v>0</v>
      </c>
      <c r="D140" s="39">
        <f t="shared" si="76"/>
        <v>0</v>
      </c>
      <c r="E140" s="39">
        <f t="shared" si="76"/>
        <v>0</v>
      </c>
      <c r="F140" s="39">
        <f t="shared" si="76"/>
        <v>0</v>
      </c>
      <c r="G140" s="39">
        <f t="shared" si="76"/>
        <v>0</v>
      </c>
      <c r="H140" s="39">
        <f t="shared" si="76"/>
        <v>0</v>
      </c>
      <c r="I140" s="39">
        <f t="shared" si="76"/>
        <v>0</v>
      </c>
      <c r="J140" s="39">
        <f t="shared" si="68"/>
        <v>0</v>
      </c>
      <c r="M140" s="7"/>
    </row>
    <row r="141" spans="1:13" x14ac:dyDescent="0.25">
      <c r="A141" s="1" t="s">
        <v>4</v>
      </c>
      <c r="B141" s="39">
        <f t="shared" si="70"/>
        <v>0</v>
      </c>
      <c r="C141" s="39">
        <f t="shared" ref="C141:I141" si="77">C79-C120</f>
        <v>0</v>
      </c>
      <c r="D141" s="39">
        <f t="shared" si="77"/>
        <v>0</v>
      </c>
      <c r="E141" s="39">
        <f t="shared" si="77"/>
        <v>0</v>
      </c>
      <c r="F141" s="39">
        <f t="shared" si="77"/>
        <v>0</v>
      </c>
      <c r="G141" s="39">
        <f t="shared" si="77"/>
        <v>0</v>
      </c>
      <c r="H141" s="39">
        <f t="shared" si="77"/>
        <v>0</v>
      </c>
      <c r="I141" s="39">
        <f t="shared" si="77"/>
        <v>0</v>
      </c>
      <c r="J141" s="39">
        <f t="shared" si="68"/>
        <v>0</v>
      </c>
      <c r="M141" s="7"/>
    </row>
    <row r="142" spans="1:13" x14ac:dyDescent="0.25">
      <c r="A142" s="1" t="s">
        <v>51</v>
      </c>
      <c r="B142" s="39">
        <f t="shared" si="70"/>
        <v>0</v>
      </c>
      <c r="C142" s="39">
        <f t="shared" ref="C142:I142" si="78">C80-C121</f>
        <v>0</v>
      </c>
      <c r="D142" s="39">
        <f t="shared" si="78"/>
        <v>0</v>
      </c>
      <c r="E142" s="39">
        <f t="shared" si="78"/>
        <v>0</v>
      </c>
      <c r="F142" s="39">
        <f t="shared" si="78"/>
        <v>0</v>
      </c>
      <c r="G142" s="39">
        <f t="shared" si="78"/>
        <v>0</v>
      </c>
      <c r="H142" s="39">
        <f t="shared" si="78"/>
        <v>0</v>
      </c>
      <c r="I142" s="39">
        <f t="shared" si="78"/>
        <v>0</v>
      </c>
      <c r="J142" s="39">
        <f t="shared" si="68"/>
        <v>0</v>
      </c>
      <c r="M142" s="7"/>
    </row>
    <row r="143" spans="1:13" x14ac:dyDescent="0.25">
      <c r="A143" s="1" t="s">
        <v>85</v>
      </c>
      <c r="B143" s="39">
        <f t="shared" si="70"/>
        <v>0</v>
      </c>
      <c r="C143" s="39">
        <f t="shared" ref="C143:I143" si="79">C81-C122</f>
        <v>0</v>
      </c>
      <c r="D143" s="39">
        <f t="shared" si="79"/>
        <v>0</v>
      </c>
      <c r="E143" s="39">
        <f t="shared" si="79"/>
        <v>0</v>
      </c>
      <c r="F143" s="39">
        <f t="shared" si="79"/>
        <v>0</v>
      </c>
      <c r="G143" s="39">
        <f t="shared" si="79"/>
        <v>0</v>
      </c>
      <c r="H143" s="39">
        <f t="shared" si="79"/>
        <v>0</v>
      </c>
      <c r="I143" s="39">
        <f t="shared" si="79"/>
        <v>0</v>
      </c>
      <c r="J143" s="39">
        <f t="shared" si="68"/>
        <v>0</v>
      </c>
      <c r="M143" s="7"/>
    </row>
    <row r="144" spans="1:13" x14ac:dyDescent="0.25">
      <c r="A144" s="1" t="s">
        <v>2</v>
      </c>
      <c r="B144" s="39">
        <f t="shared" si="70"/>
        <v>0</v>
      </c>
      <c r="C144" s="39">
        <f t="shared" ref="C144:I144" si="80">C82-C123</f>
        <v>0</v>
      </c>
      <c r="D144" s="39">
        <f t="shared" si="80"/>
        <v>0</v>
      </c>
      <c r="E144" s="39">
        <f t="shared" si="80"/>
        <v>0</v>
      </c>
      <c r="F144" s="39">
        <f t="shared" si="80"/>
        <v>0</v>
      </c>
      <c r="G144" s="39">
        <f t="shared" si="80"/>
        <v>0</v>
      </c>
      <c r="H144" s="39">
        <f t="shared" si="80"/>
        <v>0</v>
      </c>
      <c r="I144" s="39">
        <f t="shared" si="80"/>
        <v>0</v>
      </c>
      <c r="J144" s="39">
        <f t="shared" si="68"/>
        <v>0</v>
      </c>
      <c r="M144" s="7"/>
    </row>
    <row r="145" spans="1:13" x14ac:dyDescent="0.25">
      <c r="A145" s="1" t="s">
        <v>86</v>
      </c>
      <c r="B145" s="39">
        <f t="shared" si="70"/>
        <v>0</v>
      </c>
      <c r="C145" s="39">
        <f t="shared" ref="C145:I145" si="81">C83-C124</f>
        <v>0</v>
      </c>
      <c r="D145" s="39">
        <f t="shared" si="81"/>
        <v>0</v>
      </c>
      <c r="E145" s="39">
        <f t="shared" si="81"/>
        <v>0</v>
      </c>
      <c r="F145" s="39">
        <f t="shared" si="81"/>
        <v>0</v>
      </c>
      <c r="G145" s="39">
        <f t="shared" si="81"/>
        <v>0</v>
      </c>
      <c r="H145" s="39">
        <f t="shared" si="81"/>
        <v>0</v>
      </c>
      <c r="I145" s="39">
        <f t="shared" si="81"/>
        <v>0</v>
      </c>
      <c r="J145" s="39">
        <f t="shared" si="68"/>
        <v>0</v>
      </c>
      <c r="M145" s="7"/>
    </row>
    <row r="146" spans="1:13" x14ac:dyDescent="0.25">
      <c r="A146" s="1" t="s">
        <v>29</v>
      </c>
      <c r="B146" s="39">
        <f t="shared" si="70"/>
        <v>0</v>
      </c>
      <c r="C146" s="39">
        <f t="shared" ref="C146:I146" si="82">C84-C125</f>
        <v>0</v>
      </c>
      <c r="D146" s="39">
        <f t="shared" si="82"/>
        <v>0</v>
      </c>
      <c r="E146" s="39">
        <f t="shared" si="82"/>
        <v>0</v>
      </c>
      <c r="F146" s="39">
        <f t="shared" si="82"/>
        <v>0</v>
      </c>
      <c r="G146" s="39">
        <f t="shared" si="82"/>
        <v>0</v>
      </c>
      <c r="H146" s="39">
        <f t="shared" si="82"/>
        <v>0</v>
      </c>
      <c r="I146" s="39">
        <f t="shared" si="82"/>
        <v>0</v>
      </c>
      <c r="J146" s="39">
        <f t="shared" si="68"/>
        <v>0</v>
      </c>
      <c r="M146" s="7"/>
    </row>
    <row r="147" spans="1:13" x14ac:dyDescent="0.25">
      <c r="A147" s="1" t="s">
        <v>52</v>
      </c>
      <c r="B147" s="39">
        <f t="shared" si="70"/>
        <v>0</v>
      </c>
      <c r="C147" s="39">
        <f t="shared" ref="C147:I147" si="83">C85-C126</f>
        <v>0</v>
      </c>
      <c r="D147" s="39">
        <f t="shared" si="83"/>
        <v>0</v>
      </c>
      <c r="E147" s="39">
        <f t="shared" si="83"/>
        <v>0</v>
      </c>
      <c r="F147" s="39">
        <f t="shared" si="83"/>
        <v>0</v>
      </c>
      <c r="G147" s="39">
        <f t="shared" si="83"/>
        <v>0</v>
      </c>
      <c r="H147" s="39">
        <f t="shared" si="83"/>
        <v>0</v>
      </c>
      <c r="I147" s="39">
        <f t="shared" si="83"/>
        <v>0</v>
      </c>
      <c r="J147" s="39">
        <f t="shared" si="68"/>
        <v>0</v>
      </c>
      <c r="M147" s="7"/>
    </row>
    <row r="148" spans="1:13" x14ac:dyDescent="0.25">
      <c r="A148" s="1" t="s">
        <v>1</v>
      </c>
      <c r="B148" s="40">
        <f t="shared" si="70"/>
        <v>0</v>
      </c>
      <c r="C148" s="40">
        <f t="shared" ref="C148:I148" si="84">C86-C127</f>
        <v>0</v>
      </c>
      <c r="D148" s="40">
        <f t="shared" si="84"/>
        <v>0</v>
      </c>
      <c r="E148" s="40">
        <f t="shared" si="84"/>
        <v>0</v>
      </c>
      <c r="F148" s="40">
        <f t="shared" si="84"/>
        <v>0</v>
      </c>
      <c r="G148" s="40">
        <f t="shared" si="84"/>
        <v>0</v>
      </c>
      <c r="H148" s="40">
        <f t="shared" si="84"/>
        <v>0</v>
      </c>
      <c r="I148" s="40">
        <f t="shared" si="84"/>
        <v>0</v>
      </c>
      <c r="J148" s="40">
        <f t="shared" si="68"/>
        <v>0</v>
      </c>
      <c r="M148" s="7"/>
    </row>
    <row r="149" spans="1:13" x14ac:dyDescent="0.25">
      <c r="A149" s="4"/>
      <c r="B149" s="39">
        <f>SUM(B132:B148)</f>
        <v>0</v>
      </c>
      <c r="C149" s="39">
        <f t="shared" ref="C149:J149" si="85">SUM(C132:C148)</f>
        <v>0</v>
      </c>
      <c r="D149" s="39">
        <f t="shared" si="85"/>
        <v>0</v>
      </c>
      <c r="E149" s="39">
        <f t="shared" si="85"/>
        <v>0</v>
      </c>
      <c r="F149" s="39">
        <f t="shared" si="85"/>
        <v>0</v>
      </c>
      <c r="G149" s="39">
        <f t="shared" si="85"/>
        <v>0</v>
      </c>
      <c r="H149" s="39">
        <f t="shared" si="85"/>
        <v>0</v>
      </c>
      <c r="I149" s="39">
        <f t="shared" si="85"/>
        <v>0</v>
      </c>
      <c r="J149" s="39">
        <f t="shared" si="85"/>
        <v>0</v>
      </c>
      <c r="M149" s="7"/>
    </row>
    <row r="150" spans="1:13" x14ac:dyDescent="0.25">
      <c r="A150" s="4"/>
      <c r="B150" s="39"/>
      <c r="C150" s="39"/>
      <c r="D150" s="39"/>
      <c r="E150" s="39"/>
      <c r="F150" s="39"/>
      <c r="G150" s="39"/>
      <c r="H150" s="39"/>
      <c r="I150" s="39"/>
      <c r="J150" s="39"/>
      <c r="M150" s="7"/>
    </row>
    <row r="151" spans="1:13" x14ac:dyDescent="0.25">
      <c r="A151" s="4"/>
      <c r="B151" s="39"/>
      <c r="C151" s="39"/>
      <c r="D151" s="39"/>
      <c r="E151" s="39"/>
      <c r="F151" s="39"/>
      <c r="G151" s="39"/>
      <c r="H151" s="39"/>
      <c r="I151" s="39"/>
      <c r="J151" s="39"/>
      <c r="M151" s="7"/>
    </row>
    <row r="152" spans="1:13" x14ac:dyDescent="0.25">
      <c r="A152" s="4"/>
      <c r="B152" s="39"/>
      <c r="C152" s="39"/>
      <c r="D152" s="39"/>
      <c r="E152" s="39"/>
      <c r="F152" s="39"/>
      <c r="G152" s="39"/>
      <c r="H152" s="39"/>
      <c r="I152" s="39"/>
      <c r="J152" s="39"/>
      <c r="M152" s="7"/>
    </row>
    <row r="153" spans="1:13" x14ac:dyDescent="0.25">
      <c r="A153" s="4"/>
      <c r="B153" s="39"/>
      <c r="C153" s="39"/>
      <c r="D153" s="39"/>
      <c r="E153" s="39"/>
      <c r="F153" s="39"/>
      <c r="G153" s="39"/>
      <c r="H153" s="39"/>
      <c r="I153" s="39"/>
      <c r="J153" s="39"/>
      <c r="M153" s="7"/>
    </row>
    <row r="154" spans="1:13" x14ac:dyDescent="0.25">
      <c r="A154" s="4"/>
      <c r="B154" s="39"/>
      <c r="C154" s="39"/>
      <c r="D154" s="39"/>
      <c r="E154" s="39"/>
      <c r="F154" s="39"/>
      <c r="G154" s="39"/>
      <c r="H154" s="39"/>
      <c r="I154" s="39"/>
      <c r="J154" s="39"/>
      <c r="M154" s="7"/>
    </row>
    <row r="155" spans="1:13" x14ac:dyDescent="0.25">
      <c r="A155" s="4"/>
      <c r="B155" s="39"/>
      <c r="C155" s="39"/>
      <c r="D155" s="39"/>
      <c r="E155" s="39"/>
      <c r="F155" s="39"/>
      <c r="G155" s="39"/>
      <c r="H155" s="39"/>
      <c r="I155" s="39"/>
      <c r="J155" s="39"/>
      <c r="M155" s="7"/>
    </row>
    <row r="156" spans="1:13" x14ac:dyDescent="0.25">
      <c r="A156" s="4"/>
      <c r="B156" s="39"/>
      <c r="C156" s="39"/>
      <c r="D156" s="39"/>
      <c r="E156" s="39"/>
      <c r="F156" s="39"/>
      <c r="G156" s="39"/>
      <c r="H156" s="39"/>
      <c r="I156" s="39"/>
      <c r="J156" s="39"/>
      <c r="M156" s="7"/>
    </row>
    <row r="157" spans="1:13" x14ac:dyDescent="0.25">
      <c r="A157" s="1"/>
      <c r="B157" s="9"/>
      <c r="C157" s="9"/>
      <c r="D157" s="9"/>
      <c r="E157" s="9"/>
      <c r="F157" s="9"/>
      <c r="G157" s="9"/>
      <c r="H157" s="9"/>
      <c r="I157" s="9"/>
      <c r="J157" s="9"/>
      <c r="M157" s="7"/>
    </row>
    <row r="158" spans="1:13" x14ac:dyDescent="0.25">
      <c r="A158" s="1"/>
      <c r="B158" s="9"/>
      <c r="C158" s="9"/>
      <c r="D158" s="9"/>
      <c r="E158" s="9"/>
      <c r="F158" s="9"/>
      <c r="G158" s="9"/>
      <c r="H158" s="9"/>
      <c r="I158" s="9"/>
      <c r="J158" s="9"/>
      <c r="M158" s="7"/>
    </row>
  </sheetData>
  <mergeCells count="16">
    <mergeCell ref="A1:M1"/>
    <mergeCell ref="A2:M2"/>
    <mergeCell ref="A3:M3"/>
    <mergeCell ref="A4:M4"/>
    <mergeCell ref="A6:J6"/>
    <mergeCell ref="L6:M6"/>
    <mergeCell ref="A109:J109"/>
    <mergeCell ref="M124:M125"/>
    <mergeCell ref="M126:M127"/>
    <mergeCell ref="A130:J130"/>
    <mergeCell ref="A27:J27"/>
    <mergeCell ref="A47:J47"/>
    <mergeCell ref="M62:M63"/>
    <mergeCell ref="M64:M65"/>
    <mergeCell ref="A68:J68"/>
    <mergeCell ref="A89:J89"/>
  </mergeCells>
  <pageMargins left="0.7" right="0.7" top="0.75" bottom="0.75" header="0.3" footer="0.3"/>
  <pageSetup scale="31"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6"/>
  </sheetPr>
  <dimension ref="A1:BA57"/>
  <sheetViews>
    <sheetView zoomScaleNormal="100" workbookViewId="0">
      <selection sqref="A1:AY1"/>
    </sheetView>
  </sheetViews>
  <sheetFormatPr defaultRowHeight="15" x14ac:dyDescent="0.25"/>
  <cols>
    <col min="1" max="1" width="19.85546875" bestFit="1" customWidth="1"/>
    <col min="2" max="2" width="17" customWidth="1"/>
    <col min="3" max="3" width="16" customWidth="1"/>
    <col min="4" max="16" width="9.7109375" hidden="1" customWidth="1"/>
    <col min="17" max="17" width="11.7109375" customWidth="1"/>
    <col min="19" max="19" width="16.7109375" bestFit="1" customWidth="1"/>
    <col min="20" max="20" width="14.28515625" bestFit="1" customWidth="1"/>
    <col min="21" max="33" width="9.7109375" hidden="1" customWidth="1"/>
    <col min="34" max="34" width="11.7109375" customWidth="1"/>
    <col min="36" max="36" width="22.85546875" customWidth="1"/>
    <col min="37" max="37" width="18.28515625" customWidth="1"/>
    <col min="38" max="49" width="9.7109375" hidden="1" customWidth="1"/>
    <col min="50" max="50" width="11" hidden="1" customWidth="1"/>
    <col min="51" max="51" width="11.7109375" customWidth="1"/>
  </cols>
  <sheetData>
    <row r="1" spans="1:53" ht="18.75" x14ac:dyDescent="0.3">
      <c r="A1" s="173" t="s">
        <v>17</v>
      </c>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73"/>
      <c r="AL1" s="173"/>
      <c r="AM1" s="173"/>
      <c r="AN1" s="173"/>
      <c r="AO1" s="173"/>
      <c r="AP1" s="173"/>
      <c r="AQ1" s="173"/>
      <c r="AR1" s="173"/>
      <c r="AS1" s="173"/>
      <c r="AT1" s="173"/>
      <c r="AU1" s="173"/>
      <c r="AV1" s="173"/>
      <c r="AW1" s="173"/>
      <c r="AX1" s="173"/>
      <c r="AY1" s="173"/>
      <c r="BA1" s="31"/>
    </row>
    <row r="2" spans="1:53" ht="15.75" x14ac:dyDescent="0.25">
      <c r="A2" s="174" t="str">
        <f>'Company Summary'!A2:J2</f>
        <v>Biocorrect</v>
      </c>
      <c r="B2" s="174"/>
      <c r="C2" s="174"/>
      <c r="D2" s="174"/>
      <c r="E2" s="174"/>
      <c r="F2" s="174"/>
      <c r="G2" s="174"/>
      <c r="H2" s="174"/>
      <c r="I2" s="174"/>
      <c r="J2" s="174"/>
      <c r="K2" s="174"/>
      <c r="L2" s="174"/>
      <c r="M2" s="174"/>
      <c r="N2" s="174"/>
      <c r="O2" s="174"/>
      <c r="P2" s="174"/>
      <c r="Q2" s="174"/>
      <c r="R2" s="174"/>
      <c r="S2" s="174"/>
      <c r="T2" s="174"/>
      <c r="U2" s="174"/>
      <c r="V2" s="174"/>
      <c r="W2" s="174"/>
      <c r="X2" s="174"/>
      <c r="Y2" s="174"/>
      <c r="Z2" s="174"/>
      <c r="AA2" s="174"/>
      <c r="AB2" s="174"/>
      <c r="AC2" s="174"/>
      <c r="AD2" s="174"/>
      <c r="AE2" s="174"/>
      <c r="AF2" s="174"/>
      <c r="AG2" s="174"/>
      <c r="AH2" s="174"/>
      <c r="AI2" s="174"/>
      <c r="AJ2" s="174"/>
      <c r="AK2" s="174"/>
      <c r="AL2" s="174"/>
      <c r="AM2" s="174"/>
      <c r="AN2" s="174"/>
      <c r="AO2" s="174"/>
      <c r="AP2" s="174"/>
      <c r="AQ2" s="174"/>
      <c r="AR2" s="174"/>
      <c r="AS2" s="174"/>
      <c r="AT2" s="174"/>
      <c r="AU2" s="174"/>
      <c r="AV2" s="174"/>
      <c r="AW2" s="174"/>
      <c r="AX2" s="174"/>
      <c r="AY2" s="174"/>
      <c r="BA2" s="31"/>
    </row>
    <row r="3" spans="1:53" x14ac:dyDescent="0.25">
      <c r="A3" s="175" t="s">
        <v>55</v>
      </c>
      <c r="B3" s="175"/>
      <c r="C3" s="175"/>
      <c r="D3" s="175"/>
      <c r="E3" s="175"/>
      <c r="F3" s="175"/>
      <c r="G3" s="175"/>
      <c r="H3" s="175"/>
      <c r="I3" s="175"/>
      <c r="J3" s="175"/>
      <c r="K3" s="175"/>
      <c r="L3" s="175"/>
      <c r="M3" s="175"/>
      <c r="N3" s="175"/>
      <c r="O3" s="175"/>
      <c r="P3" s="175"/>
      <c r="Q3" s="175"/>
      <c r="R3" s="175"/>
      <c r="S3" s="175"/>
      <c r="T3" s="175"/>
      <c r="U3" s="175"/>
      <c r="V3" s="175"/>
      <c r="W3" s="175"/>
      <c r="X3" s="175"/>
      <c r="Y3" s="175"/>
      <c r="Z3" s="175"/>
      <c r="AA3" s="175"/>
      <c r="AB3" s="175"/>
      <c r="AC3" s="175"/>
      <c r="AD3" s="175"/>
      <c r="AE3" s="175"/>
      <c r="AF3" s="175"/>
      <c r="AG3" s="175"/>
      <c r="AH3" s="175"/>
      <c r="AI3" s="175"/>
      <c r="AJ3" s="175"/>
      <c r="AK3" s="175"/>
      <c r="AL3" s="175"/>
      <c r="AM3" s="175"/>
      <c r="AN3" s="175"/>
      <c r="AO3" s="175"/>
      <c r="AP3" s="175"/>
      <c r="AQ3" s="175"/>
      <c r="AR3" s="175"/>
      <c r="AS3" s="175"/>
      <c r="AT3" s="175"/>
      <c r="AU3" s="175"/>
      <c r="AV3" s="175"/>
      <c r="AW3" s="175"/>
      <c r="AX3" s="175"/>
      <c r="AY3" s="175"/>
    </row>
    <row r="4" spans="1:53" x14ac:dyDescent="0.25">
      <c r="A4" s="35"/>
      <c r="B4" s="35"/>
      <c r="C4" s="35"/>
      <c r="D4" s="35"/>
      <c r="E4" s="35"/>
      <c r="F4" s="35"/>
      <c r="G4" s="35"/>
      <c r="H4" s="35"/>
      <c r="I4" s="35"/>
      <c r="J4" s="35"/>
      <c r="K4" s="35"/>
      <c r="L4" s="35"/>
      <c r="M4" s="35"/>
      <c r="N4" s="35"/>
      <c r="O4" s="35"/>
      <c r="P4" s="35"/>
      <c r="Q4" s="35"/>
      <c r="R4" s="35"/>
      <c r="S4" s="35"/>
      <c r="T4" s="35"/>
      <c r="U4" s="35"/>
      <c r="V4" s="35"/>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row>
    <row r="5" spans="1:53" x14ac:dyDescent="0.25">
      <c r="A5" s="35"/>
      <c r="B5" s="175" t="s">
        <v>58</v>
      </c>
      <c r="C5" s="175"/>
      <c r="D5" s="175"/>
      <c r="E5" s="175"/>
      <c r="F5" s="175"/>
      <c r="G5" s="175"/>
      <c r="H5" s="175"/>
      <c r="I5" s="175"/>
      <c r="J5" s="175"/>
      <c r="K5" s="175"/>
      <c r="L5" s="175"/>
      <c r="M5" s="175"/>
      <c r="N5" s="175"/>
      <c r="O5" s="175"/>
      <c r="P5" s="175"/>
      <c r="Q5" s="175"/>
      <c r="R5" s="35"/>
      <c r="S5" s="175" t="s">
        <v>57</v>
      </c>
      <c r="T5" s="175"/>
      <c r="U5" s="175"/>
      <c r="V5" s="175"/>
      <c r="W5" s="175"/>
      <c r="X5" s="175"/>
      <c r="Y5" s="175"/>
      <c r="Z5" s="175"/>
      <c r="AA5" s="175"/>
      <c r="AB5" s="175"/>
      <c r="AC5" s="175"/>
      <c r="AD5" s="175"/>
      <c r="AE5" s="175"/>
      <c r="AF5" s="175"/>
      <c r="AG5" s="175"/>
      <c r="AH5" s="175"/>
      <c r="AI5" s="35"/>
      <c r="AJ5" s="175" t="s">
        <v>57</v>
      </c>
      <c r="AK5" s="175"/>
      <c r="AL5" s="175"/>
      <c r="AM5" s="175"/>
      <c r="AN5" s="175"/>
      <c r="AO5" s="175"/>
      <c r="AP5" s="175"/>
      <c r="AQ5" s="175"/>
      <c r="AR5" s="175"/>
      <c r="AS5" s="175"/>
      <c r="AT5" s="175"/>
      <c r="AU5" s="175"/>
      <c r="AV5" s="175"/>
      <c r="AW5" s="175"/>
      <c r="AX5" s="175"/>
      <c r="AY5" s="175"/>
      <c r="BA5" s="31"/>
    </row>
    <row r="6" spans="1:53" x14ac:dyDescent="0.25">
      <c r="B6" s="176" t="s">
        <v>1263</v>
      </c>
      <c r="C6" s="192"/>
      <c r="D6" s="192"/>
      <c r="E6" s="192"/>
      <c r="F6" s="192"/>
      <c r="G6" s="192"/>
      <c r="H6" s="192"/>
      <c r="I6" s="192"/>
      <c r="J6" s="192"/>
      <c r="K6" s="192"/>
      <c r="L6" s="192"/>
      <c r="M6" s="192"/>
      <c r="N6" s="192"/>
      <c r="O6" s="192"/>
      <c r="P6" s="192"/>
      <c r="Q6" s="192"/>
      <c r="S6" s="192" t="s">
        <v>1177</v>
      </c>
      <c r="T6" s="192"/>
      <c r="U6" s="192"/>
      <c r="V6" s="192"/>
      <c r="W6" s="192"/>
      <c r="X6" s="192"/>
      <c r="Y6" s="192"/>
      <c r="Z6" s="192"/>
      <c r="AA6" s="192"/>
      <c r="AB6" s="192"/>
      <c r="AC6" s="192"/>
      <c r="AD6" s="192"/>
      <c r="AE6" s="192"/>
      <c r="AF6" s="192"/>
      <c r="AG6" s="192"/>
      <c r="AH6" s="192"/>
      <c r="AJ6" s="175" t="s">
        <v>91</v>
      </c>
      <c r="AK6" s="175"/>
      <c r="AL6" s="175"/>
      <c r="AM6" s="175"/>
      <c r="AN6" s="175"/>
      <c r="AO6" s="175"/>
      <c r="AP6" s="175"/>
      <c r="AQ6" s="175"/>
      <c r="AR6" s="175"/>
      <c r="AS6" s="175"/>
      <c r="AT6" s="175"/>
      <c r="AU6" s="175"/>
      <c r="AV6" s="175"/>
      <c r="AW6" s="175"/>
      <c r="AX6" s="175"/>
      <c r="AY6" s="175"/>
    </row>
    <row r="7" spans="1:53" ht="15.75" thickBot="1" x14ac:dyDescent="0.3">
      <c r="B7" s="43" t="str">
        <f>'Biocorrect-Agile'!A2</f>
        <v>Biocorrect-Agile</v>
      </c>
      <c r="C7" s="43" t="str">
        <f>'Biocorrect-GP'!A2</f>
        <v>Biocorrect-GP</v>
      </c>
      <c r="D7" s="43" t="s">
        <v>117</v>
      </c>
      <c r="E7" s="43" t="s">
        <v>118</v>
      </c>
      <c r="F7" s="43" t="s">
        <v>119</v>
      </c>
      <c r="G7" s="43" t="s">
        <v>120</v>
      </c>
      <c r="H7" s="43" t="s">
        <v>121</v>
      </c>
      <c r="I7" s="43" t="s">
        <v>122</v>
      </c>
      <c r="J7" s="43" t="s">
        <v>123</v>
      </c>
      <c r="K7" s="43" t="s">
        <v>124</v>
      </c>
      <c r="L7" s="43" t="s">
        <v>125</v>
      </c>
      <c r="M7" s="43" t="s">
        <v>126</v>
      </c>
      <c r="N7" s="43" t="s">
        <v>127</v>
      </c>
      <c r="O7" s="43" t="s">
        <v>128</v>
      </c>
      <c r="P7" s="43" t="s">
        <v>129</v>
      </c>
      <c r="Q7" s="43" t="s">
        <v>56</v>
      </c>
      <c r="R7" s="35"/>
      <c r="S7" s="43" t="str">
        <f>B7</f>
        <v>Biocorrect-Agile</v>
      </c>
      <c r="T7" s="43" t="str">
        <f>C7</f>
        <v>Biocorrect-GP</v>
      </c>
      <c r="U7" s="43" t="str">
        <f t="shared" ref="U7:AG7" si="0">D7</f>
        <v>Clinic 3</v>
      </c>
      <c r="V7" s="43" t="str">
        <f t="shared" si="0"/>
        <v>Clinic 4</v>
      </c>
      <c r="W7" s="43" t="str">
        <f t="shared" si="0"/>
        <v>Clinic 5</v>
      </c>
      <c r="X7" s="43" t="str">
        <f t="shared" si="0"/>
        <v>Clinic 6</v>
      </c>
      <c r="Y7" s="43" t="str">
        <f t="shared" si="0"/>
        <v>Clinic 7</v>
      </c>
      <c r="Z7" s="43" t="str">
        <f t="shared" si="0"/>
        <v>Clinic 8</v>
      </c>
      <c r="AA7" s="43" t="str">
        <f t="shared" si="0"/>
        <v>Clinic 9</v>
      </c>
      <c r="AB7" s="43" t="str">
        <f t="shared" si="0"/>
        <v>Clinic 10</v>
      </c>
      <c r="AC7" s="43" t="str">
        <f t="shared" si="0"/>
        <v>Clinic 11</v>
      </c>
      <c r="AD7" s="43" t="str">
        <f t="shared" si="0"/>
        <v>Clinic 12</v>
      </c>
      <c r="AE7" s="43" t="str">
        <f t="shared" si="0"/>
        <v>Clinic 13</v>
      </c>
      <c r="AF7" s="43" t="str">
        <f t="shared" si="0"/>
        <v>Clinic 14</v>
      </c>
      <c r="AG7" s="43" t="str">
        <f t="shared" si="0"/>
        <v>Clinic 15</v>
      </c>
      <c r="AH7" s="43" t="s">
        <v>56</v>
      </c>
      <c r="AJ7" s="43" t="str">
        <f>B7</f>
        <v>Biocorrect-Agile</v>
      </c>
      <c r="AK7" s="43" t="str">
        <f t="shared" ref="AK7:AX7" si="1">C7</f>
        <v>Biocorrect-GP</v>
      </c>
      <c r="AL7" s="43" t="str">
        <f t="shared" si="1"/>
        <v>Clinic 3</v>
      </c>
      <c r="AM7" s="43" t="str">
        <f t="shared" si="1"/>
        <v>Clinic 4</v>
      </c>
      <c r="AN7" s="43" t="str">
        <f t="shared" si="1"/>
        <v>Clinic 5</v>
      </c>
      <c r="AO7" s="43" t="str">
        <f t="shared" si="1"/>
        <v>Clinic 6</v>
      </c>
      <c r="AP7" s="43" t="str">
        <f t="shared" si="1"/>
        <v>Clinic 7</v>
      </c>
      <c r="AQ7" s="43" t="str">
        <f t="shared" si="1"/>
        <v>Clinic 8</v>
      </c>
      <c r="AR7" s="43" t="str">
        <f t="shared" si="1"/>
        <v>Clinic 9</v>
      </c>
      <c r="AS7" s="43" t="str">
        <f t="shared" si="1"/>
        <v>Clinic 10</v>
      </c>
      <c r="AT7" s="43" t="str">
        <f t="shared" si="1"/>
        <v>Clinic 11</v>
      </c>
      <c r="AU7" s="43" t="str">
        <f t="shared" si="1"/>
        <v>Clinic 12</v>
      </c>
      <c r="AV7" s="43" t="str">
        <f t="shared" si="1"/>
        <v>Clinic 13</v>
      </c>
      <c r="AW7" s="43" t="str">
        <f t="shared" si="1"/>
        <v>Clinic 14</v>
      </c>
      <c r="AX7" s="43" t="str">
        <f t="shared" si="1"/>
        <v>Clinic 15</v>
      </c>
      <c r="AY7" s="43" t="s">
        <v>56</v>
      </c>
    </row>
    <row r="8" spans="1:53" x14ac:dyDescent="0.25">
      <c r="A8" s="4" t="s">
        <v>16</v>
      </c>
    </row>
    <row r="9" spans="1:53" x14ac:dyDescent="0.25">
      <c r="A9" s="1" t="s">
        <v>49</v>
      </c>
      <c r="B9" s="83"/>
      <c r="C9" s="82"/>
      <c r="D9" s="82"/>
      <c r="E9" s="82"/>
      <c r="F9" s="82"/>
      <c r="G9" s="82"/>
      <c r="H9" s="82"/>
      <c r="I9" s="82"/>
      <c r="J9" s="82"/>
      <c r="K9" s="82"/>
      <c r="L9" s="82"/>
      <c r="M9" s="82"/>
      <c r="N9" s="82"/>
      <c r="O9" s="82"/>
      <c r="P9" s="82"/>
      <c r="Q9" s="83"/>
      <c r="S9" s="83"/>
      <c r="T9" s="82"/>
      <c r="U9" s="82"/>
      <c r="V9" s="82"/>
      <c r="W9" s="82"/>
      <c r="X9" s="82"/>
      <c r="Y9" s="82"/>
      <c r="Z9" s="82"/>
      <c r="AA9" s="82"/>
      <c r="AB9" s="82"/>
      <c r="AC9" s="82"/>
      <c r="AD9" s="82"/>
      <c r="AE9" s="82"/>
      <c r="AF9" s="82"/>
      <c r="AG9" s="82"/>
      <c r="AH9" s="83"/>
      <c r="AJ9" s="34">
        <f>B9-S9</f>
        <v>0</v>
      </c>
      <c r="AK9" s="34">
        <f t="shared" ref="AK9:AY24" si="2">C9-T9</f>
        <v>0</v>
      </c>
      <c r="AL9" s="34">
        <f t="shared" si="2"/>
        <v>0</v>
      </c>
      <c r="AM9" s="34">
        <f t="shared" si="2"/>
        <v>0</v>
      </c>
      <c r="AN9" s="34">
        <f t="shared" si="2"/>
        <v>0</v>
      </c>
      <c r="AO9" s="34">
        <f t="shared" si="2"/>
        <v>0</v>
      </c>
      <c r="AP9" s="34">
        <f t="shared" si="2"/>
        <v>0</v>
      </c>
      <c r="AQ9" s="34">
        <f t="shared" si="2"/>
        <v>0</v>
      </c>
      <c r="AR9" s="34">
        <f t="shared" si="2"/>
        <v>0</v>
      </c>
      <c r="AS9" s="34">
        <f t="shared" si="2"/>
        <v>0</v>
      </c>
      <c r="AT9" s="34">
        <f t="shared" si="2"/>
        <v>0</v>
      </c>
      <c r="AU9" s="34">
        <f t="shared" si="2"/>
        <v>0</v>
      </c>
      <c r="AV9" s="34">
        <f t="shared" si="2"/>
        <v>0</v>
      </c>
      <c r="AW9" s="34">
        <f t="shared" si="2"/>
        <v>0</v>
      </c>
      <c r="AX9" s="34">
        <f t="shared" si="2"/>
        <v>0</v>
      </c>
      <c r="AY9" s="34">
        <f t="shared" si="2"/>
        <v>0</v>
      </c>
    </row>
    <row r="10" spans="1:53" x14ac:dyDescent="0.25">
      <c r="A10" s="1" t="s">
        <v>8</v>
      </c>
      <c r="B10" s="83">
        <v>0.89500000000000002</v>
      </c>
      <c r="C10" s="83"/>
      <c r="D10" s="83"/>
      <c r="E10" s="83"/>
      <c r="F10" s="83"/>
      <c r="G10" s="83"/>
      <c r="H10" s="83"/>
      <c r="I10" s="83"/>
      <c r="J10" s="83"/>
      <c r="K10" s="83"/>
      <c r="L10" s="83"/>
      <c r="M10" s="83"/>
      <c r="N10" s="83"/>
      <c r="O10" s="83"/>
      <c r="P10" s="83"/>
      <c r="Q10" s="83"/>
      <c r="S10" s="83">
        <v>0.88600000000000001</v>
      </c>
      <c r="T10" s="83"/>
      <c r="U10" s="83"/>
      <c r="V10" s="83"/>
      <c r="W10" s="83"/>
      <c r="X10" s="83"/>
      <c r="Y10" s="83"/>
      <c r="Z10" s="83"/>
      <c r="AA10" s="83"/>
      <c r="AB10" s="83"/>
      <c r="AC10" s="83"/>
      <c r="AD10" s="83"/>
      <c r="AE10" s="83"/>
      <c r="AF10" s="83"/>
      <c r="AG10" s="83"/>
      <c r="AH10" s="83"/>
      <c r="AJ10" s="34">
        <f t="shared" ref="AJ10:AJ28" si="3">B10-S10</f>
        <v>9.000000000000008E-3</v>
      </c>
      <c r="AK10" s="34">
        <f t="shared" si="2"/>
        <v>0</v>
      </c>
      <c r="AL10" s="34">
        <f t="shared" si="2"/>
        <v>0</v>
      </c>
      <c r="AM10" s="34">
        <f t="shared" si="2"/>
        <v>0</v>
      </c>
      <c r="AN10" s="34">
        <f t="shared" si="2"/>
        <v>0</v>
      </c>
      <c r="AO10" s="34">
        <f t="shared" si="2"/>
        <v>0</v>
      </c>
      <c r="AP10" s="34">
        <f t="shared" si="2"/>
        <v>0</v>
      </c>
      <c r="AQ10" s="34">
        <f t="shared" si="2"/>
        <v>0</v>
      </c>
      <c r="AR10" s="34">
        <f t="shared" si="2"/>
        <v>0</v>
      </c>
      <c r="AS10" s="34">
        <f t="shared" si="2"/>
        <v>0</v>
      </c>
      <c r="AT10" s="34">
        <f t="shared" si="2"/>
        <v>0</v>
      </c>
      <c r="AU10" s="34">
        <f t="shared" si="2"/>
        <v>0</v>
      </c>
      <c r="AV10" s="34">
        <f t="shared" si="2"/>
        <v>0</v>
      </c>
      <c r="AW10" s="34">
        <f t="shared" si="2"/>
        <v>0</v>
      </c>
      <c r="AX10" s="34">
        <f t="shared" si="2"/>
        <v>0</v>
      </c>
      <c r="AY10" s="34">
        <f t="shared" si="2"/>
        <v>0</v>
      </c>
    </row>
    <row r="11" spans="1:53" x14ac:dyDescent="0.25">
      <c r="A11" s="1" t="s">
        <v>7</v>
      </c>
      <c r="B11" s="83">
        <v>0.76500000000000001</v>
      </c>
      <c r="C11" s="84"/>
      <c r="D11" s="84"/>
      <c r="E11" s="84"/>
      <c r="F11" s="84"/>
      <c r="G11" s="84"/>
      <c r="H11" s="84"/>
      <c r="I11" s="84"/>
      <c r="J11" s="84"/>
      <c r="K11" s="84"/>
      <c r="L11" s="84"/>
      <c r="M11" s="84"/>
      <c r="N11" s="84"/>
      <c r="O11" s="84"/>
      <c r="P11" s="84"/>
      <c r="Q11" s="84"/>
      <c r="S11" s="83">
        <v>0.72799999999999998</v>
      </c>
      <c r="T11" s="84"/>
      <c r="U11" s="84"/>
      <c r="V11" s="84"/>
      <c r="W11" s="84"/>
      <c r="X11" s="84"/>
      <c r="Y11" s="84"/>
      <c r="Z11" s="84"/>
      <c r="AA11" s="84"/>
      <c r="AB11" s="84"/>
      <c r="AC11" s="84"/>
      <c r="AD11" s="84"/>
      <c r="AE11" s="84"/>
      <c r="AF11" s="84"/>
      <c r="AG11" s="84"/>
      <c r="AH11" s="84"/>
      <c r="AJ11" s="34">
        <f t="shared" si="3"/>
        <v>3.7000000000000033E-2</v>
      </c>
      <c r="AK11" s="34">
        <f t="shared" si="2"/>
        <v>0</v>
      </c>
      <c r="AL11" s="34">
        <f t="shared" si="2"/>
        <v>0</v>
      </c>
      <c r="AM11" s="34">
        <f t="shared" si="2"/>
        <v>0</v>
      </c>
      <c r="AN11" s="34">
        <f t="shared" si="2"/>
        <v>0</v>
      </c>
      <c r="AO11" s="34">
        <f t="shared" si="2"/>
        <v>0</v>
      </c>
      <c r="AP11" s="34">
        <f t="shared" si="2"/>
        <v>0</v>
      </c>
      <c r="AQ11" s="34">
        <f t="shared" si="2"/>
        <v>0</v>
      </c>
      <c r="AR11" s="34">
        <f t="shared" si="2"/>
        <v>0</v>
      </c>
      <c r="AS11" s="34">
        <f t="shared" si="2"/>
        <v>0</v>
      </c>
      <c r="AT11" s="34">
        <f t="shared" si="2"/>
        <v>0</v>
      </c>
      <c r="AU11" s="34">
        <f t="shared" si="2"/>
        <v>0</v>
      </c>
      <c r="AV11" s="34">
        <f t="shared" si="2"/>
        <v>0</v>
      </c>
      <c r="AW11" s="34">
        <f t="shared" si="2"/>
        <v>0</v>
      </c>
      <c r="AX11" s="34">
        <f t="shared" si="2"/>
        <v>0</v>
      </c>
      <c r="AY11" s="34">
        <f t="shared" si="2"/>
        <v>0</v>
      </c>
    </row>
    <row r="12" spans="1:53" x14ac:dyDescent="0.25">
      <c r="A12" s="1" t="s">
        <v>42</v>
      </c>
      <c r="B12" s="124">
        <f>B13</f>
        <v>0.73499999999999999</v>
      </c>
      <c r="C12" s="84"/>
      <c r="D12" s="84"/>
      <c r="E12" s="84"/>
      <c r="F12" s="84"/>
      <c r="G12" s="84"/>
      <c r="H12" s="84"/>
      <c r="I12" s="84"/>
      <c r="J12" s="84"/>
      <c r="K12" s="84"/>
      <c r="L12" s="84"/>
      <c r="M12" s="84"/>
      <c r="N12" s="84"/>
      <c r="O12" s="84"/>
      <c r="P12" s="84"/>
      <c r="Q12" s="84"/>
      <c r="S12" s="124">
        <v>0.73199999999999998</v>
      </c>
      <c r="T12" s="84"/>
      <c r="U12" s="84"/>
      <c r="V12" s="84"/>
      <c r="W12" s="84"/>
      <c r="X12" s="84"/>
      <c r="Y12" s="84"/>
      <c r="Z12" s="84"/>
      <c r="AA12" s="84"/>
      <c r="AB12" s="84"/>
      <c r="AC12" s="84"/>
      <c r="AD12" s="84"/>
      <c r="AE12" s="84"/>
      <c r="AF12" s="84"/>
      <c r="AG12" s="84"/>
      <c r="AH12" s="84"/>
      <c r="AJ12" s="34">
        <f t="shared" si="3"/>
        <v>3.0000000000000027E-3</v>
      </c>
      <c r="AK12" s="34">
        <f t="shared" si="2"/>
        <v>0</v>
      </c>
      <c r="AL12" s="34">
        <f t="shared" si="2"/>
        <v>0</v>
      </c>
      <c r="AM12" s="34">
        <f t="shared" si="2"/>
        <v>0</v>
      </c>
      <c r="AN12" s="34">
        <f t="shared" si="2"/>
        <v>0</v>
      </c>
      <c r="AO12" s="34">
        <f t="shared" si="2"/>
        <v>0</v>
      </c>
      <c r="AP12" s="34">
        <f t="shared" si="2"/>
        <v>0</v>
      </c>
      <c r="AQ12" s="34">
        <f t="shared" si="2"/>
        <v>0</v>
      </c>
      <c r="AR12" s="34">
        <f t="shared" si="2"/>
        <v>0</v>
      </c>
      <c r="AS12" s="34">
        <f t="shared" si="2"/>
        <v>0</v>
      </c>
      <c r="AT12" s="34">
        <f t="shared" si="2"/>
        <v>0</v>
      </c>
      <c r="AU12" s="34">
        <f t="shared" si="2"/>
        <v>0</v>
      </c>
      <c r="AV12" s="34">
        <f t="shared" si="2"/>
        <v>0</v>
      </c>
      <c r="AW12" s="34">
        <f t="shared" si="2"/>
        <v>0</v>
      </c>
      <c r="AX12" s="34">
        <f t="shared" si="2"/>
        <v>0</v>
      </c>
      <c r="AY12" s="34">
        <f t="shared" si="2"/>
        <v>0</v>
      </c>
    </row>
    <row r="13" spans="1:53" x14ac:dyDescent="0.25">
      <c r="A13" s="1" t="s">
        <v>6</v>
      </c>
      <c r="B13" s="84">
        <v>0.73499999999999999</v>
      </c>
      <c r="C13" s="84"/>
      <c r="D13" s="84"/>
      <c r="E13" s="84"/>
      <c r="F13" s="84"/>
      <c r="G13" s="84"/>
      <c r="H13" s="84"/>
      <c r="I13" s="84"/>
      <c r="J13" s="84"/>
      <c r="K13" s="84"/>
      <c r="L13" s="84"/>
      <c r="M13" s="84"/>
      <c r="N13" s="84"/>
      <c r="O13" s="84"/>
      <c r="P13" s="84"/>
      <c r="Q13" s="84"/>
      <c r="S13" s="84">
        <v>0.73199999999999998</v>
      </c>
      <c r="T13" s="84"/>
      <c r="U13" s="84"/>
      <c r="V13" s="84"/>
      <c r="W13" s="84"/>
      <c r="X13" s="84"/>
      <c r="Y13" s="84"/>
      <c r="Z13" s="84"/>
      <c r="AA13" s="84"/>
      <c r="AB13" s="84"/>
      <c r="AC13" s="84"/>
      <c r="AD13" s="84"/>
      <c r="AE13" s="84"/>
      <c r="AF13" s="84"/>
      <c r="AG13" s="84"/>
      <c r="AH13" s="84"/>
      <c r="AJ13" s="34">
        <f t="shared" si="3"/>
        <v>3.0000000000000027E-3</v>
      </c>
      <c r="AK13" s="34">
        <f t="shared" si="2"/>
        <v>0</v>
      </c>
      <c r="AL13" s="34">
        <f t="shared" si="2"/>
        <v>0</v>
      </c>
      <c r="AM13" s="34">
        <f t="shared" si="2"/>
        <v>0</v>
      </c>
      <c r="AN13" s="34">
        <f t="shared" si="2"/>
        <v>0</v>
      </c>
      <c r="AO13" s="34">
        <f t="shared" si="2"/>
        <v>0</v>
      </c>
      <c r="AP13" s="34">
        <f t="shared" si="2"/>
        <v>0</v>
      </c>
      <c r="AQ13" s="34">
        <f t="shared" si="2"/>
        <v>0</v>
      </c>
      <c r="AR13" s="34">
        <f t="shared" si="2"/>
        <v>0</v>
      </c>
      <c r="AS13" s="34">
        <f t="shared" si="2"/>
        <v>0</v>
      </c>
      <c r="AT13" s="34">
        <f t="shared" si="2"/>
        <v>0</v>
      </c>
      <c r="AU13" s="34">
        <f t="shared" si="2"/>
        <v>0</v>
      </c>
      <c r="AV13" s="34">
        <f t="shared" si="2"/>
        <v>0</v>
      </c>
      <c r="AW13" s="34">
        <f t="shared" si="2"/>
        <v>0</v>
      </c>
      <c r="AX13" s="34">
        <f t="shared" si="2"/>
        <v>0</v>
      </c>
      <c r="AY13" s="34">
        <f t="shared" si="2"/>
        <v>0</v>
      </c>
    </row>
    <row r="14" spans="1:53" x14ac:dyDescent="0.25">
      <c r="A14" s="1" t="s">
        <v>90</v>
      </c>
      <c r="B14" s="78"/>
      <c r="C14" s="78"/>
      <c r="D14" s="78"/>
      <c r="E14" s="78"/>
      <c r="F14" s="78"/>
      <c r="G14" s="78"/>
      <c r="H14" s="78"/>
      <c r="I14" s="78"/>
      <c r="J14" s="78"/>
      <c r="K14" s="78"/>
      <c r="L14" s="78"/>
      <c r="M14" s="78"/>
      <c r="N14" s="78"/>
      <c r="O14" s="78"/>
      <c r="P14" s="78"/>
      <c r="Q14" s="78"/>
      <c r="S14" s="78"/>
      <c r="T14" s="78"/>
      <c r="U14" s="78"/>
      <c r="V14" s="78"/>
      <c r="W14" s="78"/>
      <c r="X14" s="78"/>
      <c r="Y14" s="78"/>
      <c r="Z14" s="78"/>
      <c r="AA14" s="78"/>
      <c r="AB14" s="78"/>
      <c r="AC14" s="78"/>
      <c r="AD14" s="78"/>
      <c r="AE14" s="78"/>
      <c r="AF14" s="78"/>
      <c r="AG14" s="78"/>
      <c r="AH14" s="78"/>
      <c r="AJ14" s="78">
        <f t="shared" si="3"/>
        <v>0</v>
      </c>
      <c r="AK14" s="78">
        <f t="shared" si="2"/>
        <v>0</v>
      </c>
      <c r="AL14" s="78">
        <f t="shared" si="2"/>
        <v>0</v>
      </c>
      <c r="AM14" s="78">
        <f t="shared" si="2"/>
        <v>0</v>
      </c>
      <c r="AN14" s="78">
        <f t="shared" si="2"/>
        <v>0</v>
      </c>
      <c r="AO14" s="78">
        <f t="shared" si="2"/>
        <v>0</v>
      </c>
      <c r="AP14" s="78">
        <f t="shared" si="2"/>
        <v>0</v>
      </c>
      <c r="AQ14" s="78">
        <f t="shared" si="2"/>
        <v>0</v>
      </c>
      <c r="AR14" s="78">
        <f t="shared" si="2"/>
        <v>0</v>
      </c>
      <c r="AS14" s="78">
        <f t="shared" si="2"/>
        <v>0</v>
      </c>
      <c r="AT14" s="78">
        <f t="shared" si="2"/>
        <v>0</v>
      </c>
      <c r="AU14" s="78">
        <f t="shared" si="2"/>
        <v>0</v>
      </c>
      <c r="AV14" s="78">
        <f t="shared" si="2"/>
        <v>0</v>
      </c>
      <c r="AW14" s="78">
        <f t="shared" si="2"/>
        <v>0</v>
      </c>
      <c r="AX14" s="78">
        <f t="shared" si="2"/>
        <v>0</v>
      </c>
      <c r="AY14" s="78">
        <f t="shared" si="2"/>
        <v>0</v>
      </c>
    </row>
    <row r="15" spans="1:53" x14ac:dyDescent="0.25">
      <c r="A15" s="1" t="s">
        <v>50</v>
      </c>
      <c r="B15" s="84">
        <v>0.76200000000000001</v>
      </c>
      <c r="C15" s="84"/>
      <c r="D15" s="84"/>
      <c r="E15" s="84"/>
      <c r="F15" s="84"/>
      <c r="G15" s="84"/>
      <c r="H15" s="84"/>
      <c r="I15" s="84"/>
      <c r="J15" s="84"/>
      <c r="K15" s="84"/>
      <c r="L15" s="84"/>
      <c r="M15" s="84"/>
      <c r="N15" s="84"/>
      <c r="O15" s="84"/>
      <c r="P15" s="84"/>
      <c r="Q15" s="84"/>
      <c r="S15" s="84">
        <v>0.74399999999999999</v>
      </c>
      <c r="T15" s="84"/>
      <c r="U15" s="84"/>
      <c r="V15" s="84"/>
      <c r="W15" s="84"/>
      <c r="X15" s="84"/>
      <c r="Y15" s="84"/>
      <c r="Z15" s="84"/>
      <c r="AA15" s="84"/>
      <c r="AB15" s="84"/>
      <c r="AC15" s="84"/>
      <c r="AD15" s="84"/>
      <c r="AE15" s="84"/>
      <c r="AF15" s="84"/>
      <c r="AG15" s="84"/>
      <c r="AH15" s="84"/>
      <c r="AJ15" s="34">
        <f t="shared" si="3"/>
        <v>1.8000000000000016E-2</v>
      </c>
      <c r="AK15" s="34">
        <f t="shared" si="2"/>
        <v>0</v>
      </c>
      <c r="AL15" s="34">
        <f t="shared" si="2"/>
        <v>0</v>
      </c>
      <c r="AM15" s="34">
        <f t="shared" si="2"/>
        <v>0</v>
      </c>
      <c r="AN15" s="34">
        <f t="shared" si="2"/>
        <v>0</v>
      </c>
      <c r="AO15" s="34">
        <f t="shared" si="2"/>
        <v>0</v>
      </c>
      <c r="AP15" s="34">
        <f t="shared" si="2"/>
        <v>0</v>
      </c>
      <c r="AQ15" s="34">
        <f t="shared" si="2"/>
        <v>0</v>
      </c>
      <c r="AR15" s="34">
        <f t="shared" si="2"/>
        <v>0</v>
      </c>
      <c r="AS15" s="34">
        <f t="shared" si="2"/>
        <v>0</v>
      </c>
      <c r="AT15" s="34">
        <f t="shared" si="2"/>
        <v>0</v>
      </c>
      <c r="AU15" s="34">
        <f t="shared" si="2"/>
        <v>0</v>
      </c>
      <c r="AV15" s="34">
        <f t="shared" si="2"/>
        <v>0</v>
      </c>
      <c r="AW15" s="34">
        <f t="shared" si="2"/>
        <v>0</v>
      </c>
      <c r="AX15" s="34">
        <f t="shared" si="2"/>
        <v>0</v>
      </c>
      <c r="AY15" s="34">
        <f t="shared" si="2"/>
        <v>0</v>
      </c>
    </row>
    <row r="16" spans="1:53" x14ac:dyDescent="0.25">
      <c r="A16" s="1" t="s">
        <v>89</v>
      </c>
      <c r="B16" s="84"/>
      <c r="C16" s="84"/>
      <c r="D16" s="84"/>
      <c r="E16" s="84"/>
      <c r="F16" s="84"/>
      <c r="G16" s="84"/>
      <c r="H16" s="84"/>
      <c r="I16" s="84"/>
      <c r="J16" s="84"/>
      <c r="K16" s="84"/>
      <c r="L16" s="84"/>
      <c r="M16" s="84"/>
      <c r="N16" s="84"/>
      <c r="O16" s="84"/>
      <c r="P16" s="84"/>
      <c r="Q16" s="84"/>
      <c r="S16" s="84"/>
      <c r="T16" s="84"/>
      <c r="U16" s="84"/>
      <c r="V16" s="84"/>
      <c r="W16" s="84"/>
      <c r="X16" s="84"/>
      <c r="Y16" s="84"/>
      <c r="Z16" s="84"/>
      <c r="AA16" s="84"/>
      <c r="AB16" s="84"/>
      <c r="AC16" s="84"/>
      <c r="AD16" s="84"/>
      <c r="AE16" s="84"/>
      <c r="AF16" s="84"/>
      <c r="AG16" s="84"/>
      <c r="AH16" s="84"/>
      <c r="AJ16" s="34">
        <f t="shared" si="3"/>
        <v>0</v>
      </c>
      <c r="AK16" s="34">
        <f t="shared" si="2"/>
        <v>0</v>
      </c>
      <c r="AL16" s="34">
        <f t="shared" si="2"/>
        <v>0</v>
      </c>
      <c r="AM16" s="34">
        <f t="shared" si="2"/>
        <v>0</v>
      </c>
      <c r="AN16" s="34">
        <f t="shared" si="2"/>
        <v>0</v>
      </c>
      <c r="AO16" s="34">
        <f t="shared" si="2"/>
        <v>0</v>
      </c>
      <c r="AP16" s="34">
        <f t="shared" si="2"/>
        <v>0</v>
      </c>
      <c r="AQ16" s="34">
        <f t="shared" si="2"/>
        <v>0</v>
      </c>
      <c r="AR16" s="34">
        <f t="shared" si="2"/>
        <v>0</v>
      </c>
      <c r="AS16" s="34">
        <f t="shared" si="2"/>
        <v>0</v>
      </c>
      <c r="AT16" s="34">
        <f t="shared" si="2"/>
        <v>0</v>
      </c>
      <c r="AU16" s="34">
        <f t="shared" si="2"/>
        <v>0</v>
      </c>
      <c r="AV16" s="34">
        <f t="shared" si="2"/>
        <v>0</v>
      </c>
      <c r="AW16" s="34">
        <f t="shared" si="2"/>
        <v>0</v>
      </c>
      <c r="AX16" s="34">
        <f t="shared" si="2"/>
        <v>0</v>
      </c>
      <c r="AY16" s="34">
        <f t="shared" si="2"/>
        <v>0</v>
      </c>
    </row>
    <row r="17" spans="1:52" x14ac:dyDescent="0.25">
      <c r="A17" s="1" t="s">
        <v>5</v>
      </c>
      <c r="B17" s="148">
        <v>0.69</v>
      </c>
      <c r="C17" s="83"/>
      <c r="D17" s="83"/>
      <c r="E17" s="83"/>
      <c r="F17" s="83"/>
      <c r="G17" s="83"/>
      <c r="H17" s="83"/>
      <c r="I17" s="83"/>
      <c r="J17" s="83"/>
      <c r="K17" s="83"/>
      <c r="L17" s="83"/>
      <c r="M17" s="83"/>
      <c r="N17" s="83"/>
      <c r="O17" s="83"/>
      <c r="P17" s="83"/>
      <c r="Q17" s="83"/>
      <c r="S17" s="148">
        <v>0.69</v>
      </c>
      <c r="T17" s="83"/>
      <c r="U17" s="83"/>
      <c r="V17" s="83"/>
      <c r="W17" s="83"/>
      <c r="X17" s="83"/>
      <c r="Y17" s="83"/>
      <c r="Z17" s="83"/>
      <c r="AA17" s="83"/>
      <c r="AB17" s="83"/>
      <c r="AC17" s="83"/>
      <c r="AD17" s="83"/>
      <c r="AE17" s="83"/>
      <c r="AF17" s="83"/>
      <c r="AG17" s="83"/>
      <c r="AH17" s="83"/>
      <c r="AJ17" s="34">
        <f t="shared" si="3"/>
        <v>0</v>
      </c>
      <c r="AK17" s="34">
        <f t="shared" si="2"/>
        <v>0</v>
      </c>
      <c r="AL17" s="34">
        <f t="shared" si="2"/>
        <v>0</v>
      </c>
      <c r="AM17" s="34">
        <f t="shared" si="2"/>
        <v>0</v>
      </c>
      <c r="AN17" s="34">
        <f t="shared" si="2"/>
        <v>0</v>
      </c>
      <c r="AO17" s="34">
        <f t="shared" si="2"/>
        <v>0</v>
      </c>
      <c r="AP17" s="34">
        <f t="shared" si="2"/>
        <v>0</v>
      </c>
      <c r="AQ17" s="34">
        <f t="shared" si="2"/>
        <v>0</v>
      </c>
      <c r="AR17" s="34">
        <f t="shared" si="2"/>
        <v>0</v>
      </c>
      <c r="AS17" s="34">
        <f t="shared" si="2"/>
        <v>0</v>
      </c>
      <c r="AT17" s="34">
        <f t="shared" si="2"/>
        <v>0</v>
      </c>
      <c r="AU17" s="34">
        <f t="shared" si="2"/>
        <v>0</v>
      </c>
      <c r="AV17" s="34">
        <f t="shared" si="2"/>
        <v>0</v>
      </c>
      <c r="AW17" s="34">
        <f t="shared" si="2"/>
        <v>0</v>
      </c>
      <c r="AX17" s="34">
        <f t="shared" si="2"/>
        <v>0</v>
      </c>
      <c r="AY17" s="34">
        <f t="shared" si="2"/>
        <v>0</v>
      </c>
      <c r="AZ17" s="110" t="s">
        <v>1020</v>
      </c>
    </row>
    <row r="18" spans="1:52" x14ac:dyDescent="0.25">
      <c r="A18" s="1" t="s">
        <v>84</v>
      </c>
      <c r="B18" s="83"/>
      <c r="C18" s="83"/>
      <c r="D18" s="83"/>
      <c r="E18" s="83"/>
      <c r="F18" s="83"/>
      <c r="G18" s="83"/>
      <c r="H18" s="83"/>
      <c r="I18" s="83"/>
      <c r="J18" s="83"/>
      <c r="K18" s="83"/>
      <c r="L18" s="83"/>
      <c r="M18" s="83"/>
      <c r="N18" s="83"/>
      <c r="O18" s="83"/>
      <c r="P18" s="83"/>
      <c r="Q18" s="83"/>
      <c r="S18" s="83"/>
      <c r="T18" s="83"/>
      <c r="U18" s="83"/>
      <c r="V18" s="83"/>
      <c r="W18" s="83"/>
      <c r="X18" s="83"/>
      <c r="Y18" s="83"/>
      <c r="Z18" s="83"/>
      <c r="AA18" s="83"/>
      <c r="AB18" s="83"/>
      <c r="AC18" s="83"/>
      <c r="AD18" s="83"/>
      <c r="AE18" s="83"/>
      <c r="AF18" s="83"/>
      <c r="AG18" s="83"/>
      <c r="AH18" s="83"/>
      <c r="AJ18" s="34">
        <f t="shared" si="3"/>
        <v>0</v>
      </c>
      <c r="AK18" s="34">
        <f t="shared" si="2"/>
        <v>0</v>
      </c>
      <c r="AL18" s="34">
        <f t="shared" si="2"/>
        <v>0</v>
      </c>
      <c r="AM18" s="34">
        <f t="shared" si="2"/>
        <v>0</v>
      </c>
      <c r="AN18" s="34">
        <f t="shared" si="2"/>
        <v>0</v>
      </c>
      <c r="AO18" s="34">
        <f t="shared" si="2"/>
        <v>0</v>
      </c>
      <c r="AP18" s="34">
        <f t="shared" si="2"/>
        <v>0</v>
      </c>
      <c r="AQ18" s="34">
        <f t="shared" si="2"/>
        <v>0</v>
      </c>
      <c r="AR18" s="34">
        <f t="shared" si="2"/>
        <v>0</v>
      </c>
      <c r="AS18" s="34">
        <f t="shared" si="2"/>
        <v>0</v>
      </c>
      <c r="AT18" s="34">
        <f t="shared" si="2"/>
        <v>0</v>
      </c>
      <c r="AU18" s="34">
        <f t="shared" si="2"/>
        <v>0</v>
      </c>
      <c r="AV18" s="34">
        <f t="shared" si="2"/>
        <v>0</v>
      </c>
      <c r="AW18" s="34">
        <f t="shared" si="2"/>
        <v>0</v>
      </c>
      <c r="AX18" s="34">
        <f t="shared" si="2"/>
        <v>0</v>
      </c>
      <c r="AY18" s="34">
        <f t="shared" si="2"/>
        <v>0</v>
      </c>
    </row>
    <row r="19" spans="1:52" x14ac:dyDescent="0.25">
      <c r="A19" s="1" t="s">
        <v>4</v>
      </c>
      <c r="B19" s="83">
        <v>0.218</v>
      </c>
      <c r="C19" s="84"/>
      <c r="D19" s="84"/>
      <c r="E19" s="84"/>
      <c r="F19" s="84"/>
      <c r="G19" s="84"/>
      <c r="H19" s="84"/>
      <c r="I19" s="84"/>
      <c r="J19" s="84"/>
      <c r="K19" s="84"/>
      <c r="L19" s="84"/>
      <c r="M19" s="84"/>
      <c r="N19" s="84"/>
      <c r="O19" s="84"/>
      <c r="P19" s="84"/>
      <c r="Q19" s="84"/>
      <c r="S19" s="160">
        <v>0.218</v>
      </c>
      <c r="T19" s="84"/>
      <c r="U19" s="84"/>
      <c r="V19" s="84"/>
      <c r="W19" s="84"/>
      <c r="X19" s="84"/>
      <c r="Y19" s="84"/>
      <c r="Z19" s="84"/>
      <c r="AA19" s="84"/>
      <c r="AB19" s="84"/>
      <c r="AC19" s="84"/>
      <c r="AD19" s="84"/>
      <c r="AE19" s="84"/>
      <c r="AF19" s="84"/>
      <c r="AG19" s="84"/>
      <c r="AH19" s="84"/>
      <c r="AJ19" s="34">
        <f t="shared" si="3"/>
        <v>0</v>
      </c>
      <c r="AK19" s="34">
        <f t="shared" si="2"/>
        <v>0</v>
      </c>
      <c r="AL19" s="34">
        <f t="shared" si="2"/>
        <v>0</v>
      </c>
      <c r="AM19" s="34">
        <f t="shared" si="2"/>
        <v>0</v>
      </c>
      <c r="AN19" s="34">
        <f t="shared" si="2"/>
        <v>0</v>
      </c>
      <c r="AO19" s="34">
        <f t="shared" si="2"/>
        <v>0</v>
      </c>
      <c r="AP19" s="34">
        <f t="shared" si="2"/>
        <v>0</v>
      </c>
      <c r="AQ19" s="34">
        <f t="shared" si="2"/>
        <v>0</v>
      </c>
      <c r="AR19" s="34">
        <f t="shared" si="2"/>
        <v>0</v>
      </c>
      <c r="AS19" s="34">
        <f t="shared" si="2"/>
        <v>0</v>
      </c>
      <c r="AT19" s="34">
        <f t="shared" si="2"/>
        <v>0</v>
      </c>
      <c r="AU19" s="34">
        <f t="shared" si="2"/>
        <v>0</v>
      </c>
      <c r="AV19" s="34">
        <f t="shared" si="2"/>
        <v>0</v>
      </c>
      <c r="AW19" s="34">
        <f t="shared" si="2"/>
        <v>0</v>
      </c>
      <c r="AX19" s="34">
        <f t="shared" si="2"/>
        <v>0</v>
      </c>
      <c r="AY19" s="34">
        <f t="shared" si="2"/>
        <v>0</v>
      </c>
    </row>
    <row r="20" spans="1:52" x14ac:dyDescent="0.25">
      <c r="A20" s="1" t="s">
        <v>51</v>
      </c>
      <c r="B20" s="84">
        <v>0.68899999999999995</v>
      </c>
      <c r="C20" s="84"/>
      <c r="D20" s="84"/>
      <c r="E20" s="84"/>
      <c r="F20" s="84"/>
      <c r="G20" s="84"/>
      <c r="H20" s="84"/>
      <c r="I20" s="84"/>
      <c r="J20" s="84"/>
      <c r="K20" s="84"/>
      <c r="L20" s="84"/>
      <c r="M20" s="84"/>
      <c r="N20" s="84"/>
      <c r="O20" s="84"/>
      <c r="P20" s="84"/>
      <c r="Q20" s="84"/>
      <c r="S20" s="84">
        <v>0.67300000000000004</v>
      </c>
      <c r="T20" s="84"/>
      <c r="U20" s="84"/>
      <c r="V20" s="84"/>
      <c r="W20" s="84"/>
      <c r="X20" s="84"/>
      <c r="Y20" s="84"/>
      <c r="Z20" s="84"/>
      <c r="AA20" s="84"/>
      <c r="AB20" s="84"/>
      <c r="AC20" s="84"/>
      <c r="AD20" s="84"/>
      <c r="AE20" s="84"/>
      <c r="AF20" s="84"/>
      <c r="AG20" s="84"/>
      <c r="AH20" s="84"/>
      <c r="AJ20" s="34">
        <f t="shared" si="3"/>
        <v>1.5999999999999903E-2</v>
      </c>
      <c r="AK20" s="34">
        <f t="shared" si="2"/>
        <v>0</v>
      </c>
      <c r="AL20" s="34">
        <f t="shared" si="2"/>
        <v>0</v>
      </c>
      <c r="AM20" s="34">
        <f t="shared" si="2"/>
        <v>0</v>
      </c>
      <c r="AN20" s="34">
        <f t="shared" si="2"/>
        <v>0</v>
      </c>
      <c r="AO20" s="34">
        <f t="shared" si="2"/>
        <v>0</v>
      </c>
      <c r="AP20" s="34">
        <f t="shared" si="2"/>
        <v>0</v>
      </c>
      <c r="AQ20" s="34">
        <f t="shared" si="2"/>
        <v>0</v>
      </c>
      <c r="AR20" s="34">
        <f t="shared" si="2"/>
        <v>0</v>
      </c>
      <c r="AS20" s="34">
        <f t="shared" si="2"/>
        <v>0</v>
      </c>
      <c r="AT20" s="34">
        <f t="shared" si="2"/>
        <v>0</v>
      </c>
      <c r="AU20" s="34">
        <f t="shared" si="2"/>
        <v>0</v>
      </c>
      <c r="AV20" s="34">
        <f t="shared" si="2"/>
        <v>0</v>
      </c>
      <c r="AW20" s="34">
        <f t="shared" si="2"/>
        <v>0</v>
      </c>
      <c r="AX20" s="34">
        <f t="shared" si="2"/>
        <v>0</v>
      </c>
      <c r="AY20" s="34">
        <f t="shared" si="2"/>
        <v>0</v>
      </c>
    </row>
    <row r="21" spans="1:52" x14ac:dyDescent="0.25">
      <c r="A21" s="1" t="s">
        <v>87</v>
      </c>
      <c r="B21" s="78"/>
      <c r="C21" s="78"/>
      <c r="D21" s="78"/>
      <c r="E21" s="78"/>
      <c r="F21" s="78"/>
      <c r="G21" s="78"/>
      <c r="H21" s="78"/>
      <c r="I21" s="78"/>
      <c r="J21" s="78"/>
      <c r="K21" s="78"/>
      <c r="L21" s="78"/>
      <c r="M21" s="78"/>
      <c r="N21" s="78"/>
      <c r="O21" s="78"/>
      <c r="P21" s="78"/>
      <c r="Q21" s="78"/>
      <c r="S21" s="78"/>
      <c r="T21" s="78"/>
      <c r="U21" s="78"/>
      <c r="V21" s="78"/>
      <c r="W21" s="78"/>
      <c r="X21" s="78"/>
      <c r="Y21" s="78"/>
      <c r="Z21" s="78"/>
      <c r="AA21" s="78"/>
      <c r="AB21" s="78"/>
      <c r="AC21" s="78"/>
      <c r="AD21" s="78"/>
      <c r="AE21" s="78"/>
      <c r="AF21" s="78"/>
      <c r="AG21" s="78"/>
      <c r="AH21" s="78"/>
      <c r="AJ21" s="78">
        <f t="shared" si="3"/>
        <v>0</v>
      </c>
      <c r="AK21" s="78">
        <f t="shared" si="2"/>
        <v>0</v>
      </c>
      <c r="AL21" s="78">
        <f t="shared" si="2"/>
        <v>0</v>
      </c>
      <c r="AM21" s="78">
        <f t="shared" si="2"/>
        <v>0</v>
      </c>
      <c r="AN21" s="78">
        <f t="shared" si="2"/>
        <v>0</v>
      </c>
      <c r="AO21" s="78">
        <f t="shared" si="2"/>
        <v>0</v>
      </c>
      <c r="AP21" s="78">
        <f t="shared" si="2"/>
        <v>0</v>
      </c>
      <c r="AQ21" s="78">
        <f t="shared" si="2"/>
        <v>0</v>
      </c>
      <c r="AR21" s="78">
        <f t="shared" si="2"/>
        <v>0</v>
      </c>
      <c r="AS21" s="78">
        <f t="shared" si="2"/>
        <v>0</v>
      </c>
      <c r="AT21" s="78">
        <f t="shared" si="2"/>
        <v>0</v>
      </c>
      <c r="AU21" s="78">
        <f t="shared" si="2"/>
        <v>0</v>
      </c>
      <c r="AV21" s="78">
        <f t="shared" si="2"/>
        <v>0</v>
      </c>
      <c r="AW21" s="78">
        <f t="shared" si="2"/>
        <v>0</v>
      </c>
      <c r="AX21" s="78">
        <f t="shared" si="2"/>
        <v>0</v>
      </c>
      <c r="AY21" s="78">
        <f t="shared" si="2"/>
        <v>0</v>
      </c>
    </row>
    <row r="22" spans="1:52" x14ac:dyDescent="0.25">
      <c r="A22" s="1" t="s">
        <v>85</v>
      </c>
      <c r="B22" s="118"/>
      <c r="C22" s="84"/>
      <c r="D22" s="84"/>
      <c r="E22" s="84"/>
      <c r="F22" s="84"/>
      <c r="G22" s="84"/>
      <c r="H22" s="84"/>
      <c r="I22" s="84"/>
      <c r="J22" s="84"/>
      <c r="K22" s="84"/>
      <c r="L22" s="84"/>
      <c r="M22" s="84"/>
      <c r="N22" s="84"/>
      <c r="O22" s="84"/>
      <c r="P22" s="84"/>
      <c r="Q22" s="84"/>
      <c r="S22" s="118"/>
      <c r="T22" s="84"/>
      <c r="U22" s="84"/>
      <c r="V22" s="84"/>
      <c r="W22" s="84"/>
      <c r="X22" s="84"/>
      <c r="Y22" s="84"/>
      <c r="Z22" s="84"/>
      <c r="AA22" s="84"/>
      <c r="AB22" s="84"/>
      <c r="AC22" s="84"/>
      <c r="AD22" s="84"/>
      <c r="AE22" s="84"/>
      <c r="AF22" s="84"/>
      <c r="AG22" s="84"/>
      <c r="AH22" s="84"/>
      <c r="AJ22" s="34">
        <f t="shared" si="3"/>
        <v>0</v>
      </c>
      <c r="AK22" s="34">
        <f t="shared" si="2"/>
        <v>0</v>
      </c>
      <c r="AL22" s="34">
        <f t="shared" si="2"/>
        <v>0</v>
      </c>
      <c r="AM22" s="34">
        <f t="shared" si="2"/>
        <v>0</v>
      </c>
      <c r="AN22" s="34">
        <f t="shared" si="2"/>
        <v>0</v>
      </c>
      <c r="AO22" s="34">
        <f t="shared" si="2"/>
        <v>0</v>
      </c>
      <c r="AP22" s="34">
        <f t="shared" si="2"/>
        <v>0</v>
      </c>
      <c r="AQ22" s="34">
        <f t="shared" si="2"/>
        <v>0</v>
      </c>
      <c r="AR22" s="34">
        <f t="shared" si="2"/>
        <v>0</v>
      </c>
      <c r="AS22" s="34">
        <f t="shared" si="2"/>
        <v>0</v>
      </c>
      <c r="AT22" s="34">
        <f t="shared" si="2"/>
        <v>0</v>
      </c>
      <c r="AU22" s="34">
        <f t="shared" si="2"/>
        <v>0</v>
      </c>
      <c r="AV22" s="34">
        <f t="shared" si="2"/>
        <v>0</v>
      </c>
      <c r="AW22" s="34">
        <f t="shared" si="2"/>
        <v>0</v>
      </c>
      <c r="AX22" s="34">
        <f t="shared" si="2"/>
        <v>0</v>
      </c>
      <c r="AY22" s="34">
        <f t="shared" si="2"/>
        <v>0</v>
      </c>
    </row>
    <row r="23" spans="1:52" x14ac:dyDescent="0.25">
      <c r="A23" s="1" t="s">
        <v>2</v>
      </c>
      <c r="B23" s="84">
        <v>0.998</v>
      </c>
      <c r="C23" s="160">
        <v>1</v>
      </c>
      <c r="D23" s="84"/>
      <c r="E23" s="84"/>
      <c r="F23" s="84"/>
      <c r="G23" s="84"/>
      <c r="H23" s="84"/>
      <c r="I23" s="84"/>
      <c r="J23" s="84"/>
      <c r="K23" s="84"/>
      <c r="L23" s="84"/>
      <c r="M23" s="84"/>
      <c r="N23" s="84"/>
      <c r="O23" s="84"/>
      <c r="P23" s="84"/>
      <c r="Q23" s="84"/>
      <c r="S23" s="84">
        <v>0.998</v>
      </c>
      <c r="T23" s="84">
        <v>1</v>
      </c>
      <c r="U23" s="84"/>
      <c r="V23" s="84"/>
      <c r="W23" s="84"/>
      <c r="X23" s="84"/>
      <c r="Y23" s="84"/>
      <c r="Z23" s="84"/>
      <c r="AA23" s="84"/>
      <c r="AB23" s="84"/>
      <c r="AC23" s="84"/>
      <c r="AD23" s="84"/>
      <c r="AE23" s="84"/>
      <c r="AF23" s="84"/>
      <c r="AG23" s="84"/>
      <c r="AH23" s="84"/>
      <c r="AJ23" s="34">
        <f t="shared" si="3"/>
        <v>0</v>
      </c>
      <c r="AK23" s="34">
        <f t="shared" si="2"/>
        <v>0</v>
      </c>
      <c r="AL23" s="34">
        <f t="shared" si="2"/>
        <v>0</v>
      </c>
      <c r="AM23" s="34">
        <f t="shared" si="2"/>
        <v>0</v>
      </c>
      <c r="AN23" s="34">
        <f t="shared" si="2"/>
        <v>0</v>
      </c>
      <c r="AO23" s="34">
        <f t="shared" si="2"/>
        <v>0</v>
      </c>
      <c r="AP23" s="34">
        <f t="shared" si="2"/>
        <v>0</v>
      </c>
      <c r="AQ23" s="34">
        <f t="shared" si="2"/>
        <v>0</v>
      </c>
      <c r="AR23" s="34">
        <f t="shared" si="2"/>
        <v>0</v>
      </c>
      <c r="AS23" s="34">
        <f t="shared" si="2"/>
        <v>0</v>
      </c>
      <c r="AT23" s="34">
        <f t="shared" si="2"/>
        <v>0</v>
      </c>
      <c r="AU23" s="34">
        <f t="shared" si="2"/>
        <v>0</v>
      </c>
      <c r="AV23" s="34">
        <f t="shared" si="2"/>
        <v>0</v>
      </c>
      <c r="AW23" s="34">
        <f t="shared" si="2"/>
        <v>0</v>
      </c>
      <c r="AX23" s="34">
        <f t="shared" si="2"/>
        <v>0</v>
      </c>
      <c r="AY23" s="34">
        <f t="shared" si="2"/>
        <v>0</v>
      </c>
    </row>
    <row r="24" spans="1:52" x14ac:dyDescent="0.25">
      <c r="A24" s="1" t="s">
        <v>86</v>
      </c>
      <c r="B24" s="160">
        <v>0.88500000000000001</v>
      </c>
      <c r="C24" s="84"/>
      <c r="D24" s="84"/>
      <c r="E24" s="84"/>
      <c r="F24" s="84"/>
      <c r="G24" s="84"/>
      <c r="H24" s="84"/>
      <c r="I24" s="84"/>
      <c r="J24" s="84"/>
      <c r="K24" s="84"/>
      <c r="L24" s="84"/>
      <c r="M24" s="84"/>
      <c r="N24" s="84"/>
      <c r="O24" s="84"/>
      <c r="P24" s="84"/>
      <c r="Q24" s="84"/>
      <c r="R24" s="4"/>
      <c r="S24" s="84">
        <v>0.88500000000000001</v>
      </c>
      <c r="T24" s="84"/>
      <c r="U24" s="84"/>
      <c r="V24" s="84"/>
      <c r="W24" s="84"/>
      <c r="X24" s="84"/>
      <c r="Y24" s="84"/>
      <c r="Z24" s="84"/>
      <c r="AA24" s="84"/>
      <c r="AB24" s="84"/>
      <c r="AC24" s="84"/>
      <c r="AD24" s="84"/>
      <c r="AE24" s="84"/>
      <c r="AF24" s="84"/>
      <c r="AG24" s="84"/>
      <c r="AH24" s="84"/>
      <c r="AJ24" s="34">
        <f t="shared" si="3"/>
        <v>0</v>
      </c>
      <c r="AK24" s="34">
        <f t="shared" si="2"/>
        <v>0</v>
      </c>
      <c r="AL24" s="34">
        <f t="shared" si="2"/>
        <v>0</v>
      </c>
      <c r="AM24" s="34">
        <f t="shared" si="2"/>
        <v>0</v>
      </c>
      <c r="AN24" s="34">
        <f t="shared" si="2"/>
        <v>0</v>
      </c>
      <c r="AO24" s="34">
        <f t="shared" si="2"/>
        <v>0</v>
      </c>
      <c r="AP24" s="34">
        <f t="shared" si="2"/>
        <v>0</v>
      </c>
      <c r="AQ24" s="34">
        <f t="shared" si="2"/>
        <v>0</v>
      </c>
      <c r="AR24" s="34">
        <f t="shared" si="2"/>
        <v>0</v>
      </c>
      <c r="AS24" s="34">
        <f t="shared" si="2"/>
        <v>0</v>
      </c>
      <c r="AT24" s="34">
        <f t="shared" si="2"/>
        <v>0</v>
      </c>
      <c r="AU24" s="34">
        <f t="shared" si="2"/>
        <v>0</v>
      </c>
      <c r="AV24" s="34">
        <f t="shared" si="2"/>
        <v>0</v>
      </c>
      <c r="AW24" s="34">
        <f t="shared" si="2"/>
        <v>0</v>
      </c>
      <c r="AX24" s="34">
        <f t="shared" si="2"/>
        <v>0</v>
      </c>
      <c r="AY24" s="34">
        <f t="shared" si="2"/>
        <v>0</v>
      </c>
    </row>
    <row r="25" spans="1:52" x14ac:dyDescent="0.25">
      <c r="A25" s="1" t="s">
        <v>29</v>
      </c>
      <c r="B25" s="160">
        <v>1</v>
      </c>
      <c r="C25" s="82"/>
      <c r="D25" s="82"/>
      <c r="E25" s="82"/>
      <c r="F25" s="82"/>
      <c r="G25" s="82"/>
      <c r="H25" s="82"/>
      <c r="I25" s="82"/>
      <c r="J25" s="82"/>
      <c r="K25" s="82"/>
      <c r="L25" s="82"/>
      <c r="M25" s="82"/>
      <c r="N25" s="82"/>
      <c r="O25" s="82"/>
      <c r="P25" s="82"/>
      <c r="Q25" s="84"/>
      <c r="S25" s="84">
        <v>1</v>
      </c>
      <c r="T25" s="82"/>
      <c r="U25" s="82"/>
      <c r="V25" s="82"/>
      <c r="W25" s="82"/>
      <c r="X25" s="82"/>
      <c r="Y25" s="82"/>
      <c r="Z25" s="82"/>
      <c r="AA25" s="82"/>
      <c r="AB25" s="82"/>
      <c r="AC25" s="82"/>
      <c r="AD25" s="82"/>
      <c r="AE25" s="82"/>
      <c r="AF25" s="82"/>
      <c r="AG25" s="82"/>
      <c r="AH25" s="84"/>
      <c r="AJ25" s="34">
        <f t="shared" si="3"/>
        <v>0</v>
      </c>
      <c r="AK25" s="34">
        <f t="shared" ref="AK25:AK28" si="4">C25-T25</f>
        <v>0</v>
      </c>
      <c r="AL25" s="34">
        <f t="shared" ref="AL25:AL28" si="5">D25-U25</f>
        <v>0</v>
      </c>
      <c r="AM25" s="34">
        <f t="shared" ref="AM25:AM28" si="6">E25-V25</f>
        <v>0</v>
      </c>
      <c r="AN25" s="34">
        <f t="shared" ref="AN25:AN28" si="7">F25-W25</f>
        <v>0</v>
      </c>
      <c r="AO25" s="34">
        <f t="shared" ref="AO25:AO28" si="8">G25-X25</f>
        <v>0</v>
      </c>
      <c r="AP25" s="34">
        <f t="shared" ref="AP25:AP28" si="9">H25-Y25</f>
        <v>0</v>
      </c>
      <c r="AQ25" s="34">
        <f t="shared" ref="AQ25:AQ28" si="10">I25-Z25</f>
        <v>0</v>
      </c>
      <c r="AR25" s="34">
        <f t="shared" ref="AR25:AR28" si="11">J25-AA25</f>
        <v>0</v>
      </c>
      <c r="AS25" s="34">
        <f t="shared" ref="AS25:AS28" si="12">K25-AB25</f>
        <v>0</v>
      </c>
      <c r="AT25" s="34">
        <f t="shared" ref="AT25:AT28" si="13">L25-AC25</f>
        <v>0</v>
      </c>
      <c r="AU25" s="34">
        <f t="shared" ref="AU25:AU28" si="14">M25-AD25</f>
        <v>0</v>
      </c>
      <c r="AV25" s="34">
        <f t="shared" ref="AV25:AV28" si="15">N25-AE25</f>
        <v>0</v>
      </c>
      <c r="AW25" s="34">
        <f t="shared" ref="AW25:AW28" si="16">O25-AF25</f>
        <v>0</v>
      </c>
      <c r="AX25" s="34">
        <f t="shared" ref="AX25:AX28" si="17">P25-AG25</f>
        <v>0</v>
      </c>
      <c r="AY25" s="34">
        <f t="shared" ref="AY25:AY28" si="18">Q25-AH25</f>
        <v>0</v>
      </c>
    </row>
    <row r="26" spans="1:52" x14ac:dyDescent="0.25">
      <c r="A26" s="1" t="s">
        <v>52</v>
      </c>
      <c r="B26" s="84"/>
      <c r="C26" s="82"/>
      <c r="D26" s="82"/>
      <c r="E26" s="82"/>
      <c r="F26" s="82"/>
      <c r="G26" s="82"/>
      <c r="H26" s="82"/>
      <c r="I26" s="82"/>
      <c r="J26" s="82"/>
      <c r="K26" s="82"/>
      <c r="L26" s="82"/>
      <c r="M26" s="82"/>
      <c r="N26" s="82"/>
      <c r="O26" s="82"/>
      <c r="P26" s="82"/>
      <c r="Q26" s="84"/>
      <c r="S26" s="84"/>
      <c r="T26" s="82"/>
      <c r="U26" s="82"/>
      <c r="V26" s="82"/>
      <c r="W26" s="82"/>
      <c r="X26" s="82"/>
      <c r="Y26" s="82"/>
      <c r="Z26" s="82"/>
      <c r="AA26" s="82"/>
      <c r="AB26" s="82"/>
      <c r="AC26" s="82"/>
      <c r="AD26" s="82"/>
      <c r="AE26" s="82"/>
      <c r="AF26" s="82"/>
      <c r="AG26" s="82"/>
      <c r="AH26" s="84"/>
      <c r="AJ26" s="34">
        <f t="shared" si="3"/>
        <v>0</v>
      </c>
      <c r="AK26" s="34">
        <f t="shared" si="4"/>
        <v>0</v>
      </c>
      <c r="AL26" s="34">
        <f t="shared" si="5"/>
        <v>0</v>
      </c>
      <c r="AM26" s="34">
        <f t="shared" si="6"/>
        <v>0</v>
      </c>
      <c r="AN26" s="34">
        <f t="shared" si="7"/>
        <v>0</v>
      </c>
      <c r="AO26" s="34">
        <f t="shared" si="8"/>
        <v>0</v>
      </c>
      <c r="AP26" s="34">
        <f t="shared" si="9"/>
        <v>0</v>
      </c>
      <c r="AQ26" s="34">
        <f t="shared" si="10"/>
        <v>0</v>
      </c>
      <c r="AR26" s="34">
        <f t="shared" si="11"/>
        <v>0</v>
      </c>
      <c r="AS26" s="34">
        <f t="shared" si="12"/>
        <v>0</v>
      </c>
      <c r="AT26" s="34">
        <f t="shared" si="13"/>
        <v>0</v>
      </c>
      <c r="AU26" s="34">
        <f t="shared" si="14"/>
        <v>0</v>
      </c>
      <c r="AV26" s="34">
        <f t="shared" si="15"/>
        <v>0</v>
      </c>
      <c r="AW26" s="34">
        <f t="shared" si="16"/>
        <v>0</v>
      </c>
      <c r="AX26" s="34">
        <f t="shared" si="17"/>
        <v>0</v>
      </c>
      <c r="AY26" s="34">
        <f t="shared" si="18"/>
        <v>0</v>
      </c>
    </row>
    <row r="27" spans="1:52" x14ac:dyDescent="0.25">
      <c r="A27" s="1" t="s">
        <v>88</v>
      </c>
      <c r="B27" s="78"/>
      <c r="C27" s="79"/>
      <c r="D27" s="79"/>
      <c r="E27" s="79"/>
      <c r="F27" s="79"/>
      <c r="G27" s="79"/>
      <c r="H27" s="79"/>
      <c r="I27" s="79"/>
      <c r="J27" s="79"/>
      <c r="K27" s="79"/>
      <c r="L27" s="79"/>
      <c r="M27" s="79"/>
      <c r="N27" s="79"/>
      <c r="O27" s="79"/>
      <c r="P27" s="79"/>
      <c r="Q27" s="78"/>
      <c r="S27" s="78"/>
      <c r="T27" s="79"/>
      <c r="U27" s="79"/>
      <c r="V27" s="79"/>
      <c r="W27" s="79"/>
      <c r="X27" s="79"/>
      <c r="Y27" s="79"/>
      <c r="Z27" s="79"/>
      <c r="AA27" s="79"/>
      <c r="AB27" s="79"/>
      <c r="AC27" s="79"/>
      <c r="AD27" s="79"/>
      <c r="AE27" s="79"/>
      <c r="AF27" s="79"/>
      <c r="AG27" s="79"/>
      <c r="AH27" s="78"/>
      <c r="AJ27" s="78">
        <f t="shared" si="3"/>
        <v>0</v>
      </c>
      <c r="AK27" s="78">
        <f t="shared" si="4"/>
        <v>0</v>
      </c>
      <c r="AL27" s="78">
        <f t="shared" si="5"/>
        <v>0</v>
      </c>
      <c r="AM27" s="78">
        <f t="shared" si="6"/>
        <v>0</v>
      </c>
      <c r="AN27" s="78">
        <f t="shared" si="7"/>
        <v>0</v>
      </c>
      <c r="AO27" s="78">
        <f t="shared" si="8"/>
        <v>0</v>
      </c>
      <c r="AP27" s="78">
        <f t="shared" si="9"/>
        <v>0</v>
      </c>
      <c r="AQ27" s="78">
        <f t="shared" si="10"/>
        <v>0</v>
      </c>
      <c r="AR27" s="78">
        <f t="shared" si="11"/>
        <v>0</v>
      </c>
      <c r="AS27" s="78">
        <f t="shared" si="12"/>
        <v>0</v>
      </c>
      <c r="AT27" s="78">
        <f t="shared" si="13"/>
        <v>0</v>
      </c>
      <c r="AU27" s="78">
        <f t="shared" si="14"/>
        <v>0</v>
      </c>
      <c r="AV27" s="78">
        <f t="shared" si="15"/>
        <v>0</v>
      </c>
      <c r="AW27" s="78">
        <f t="shared" si="16"/>
        <v>0</v>
      </c>
      <c r="AX27" s="78">
        <f t="shared" si="17"/>
        <v>0</v>
      </c>
      <c r="AY27" s="78">
        <f t="shared" si="18"/>
        <v>0</v>
      </c>
    </row>
    <row r="28" spans="1:52" x14ac:dyDescent="0.25">
      <c r="A28" s="1" t="s">
        <v>1</v>
      </c>
      <c r="B28" s="84">
        <v>0.73699999999999999</v>
      </c>
      <c r="C28" s="82"/>
      <c r="D28" s="82"/>
      <c r="E28" s="82"/>
      <c r="F28" s="82"/>
      <c r="G28" s="82"/>
      <c r="H28" s="82"/>
      <c r="I28" s="82"/>
      <c r="J28" s="82"/>
      <c r="K28" s="82"/>
      <c r="L28" s="82"/>
      <c r="M28" s="82"/>
      <c r="N28" s="82"/>
      <c r="O28" s="82"/>
      <c r="P28" s="82"/>
      <c r="Q28" s="84"/>
      <c r="S28" s="84">
        <v>0.79400000000000004</v>
      </c>
      <c r="T28" s="82"/>
      <c r="U28" s="82"/>
      <c r="V28" s="82"/>
      <c r="W28" s="82"/>
      <c r="X28" s="82"/>
      <c r="Y28" s="82"/>
      <c r="Z28" s="82"/>
      <c r="AA28" s="82"/>
      <c r="AB28" s="82"/>
      <c r="AC28" s="82"/>
      <c r="AD28" s="82"/>
      <c r="AE28" s="82"/>
      <c r="AF28" s="82"/>
      <c r="AG28" s="82"/>
      <c r="AH28" s="84"/>
      <c r="AJ28" s="34">
        <f t="shared" si="3"/>
        <v>-5.7000000000000051E-2</v>
      </c>
      <c r="AK28" s="34">
        <f t="shared" si="4"/>
        <v>0</v>
      </c>
      <c r="AL28" s="34">
        <f t="shared" si="5"/>
        <v>0</v>
      </c>
      <c r="AM28" s="34">
        <f t="shared" si="6"/>
        <v>0</v>
      </c>
      <c r="AN28" s="34">
        <f t="shared" si="7"/>
        <v>0</v>
      </c>
      <c r="AO28" s="34">
        <f t="shared" si="8"/>
        <v>0</v>
      </c>
      <c r="AP28" s="34">
        <f t="shared" si="9"/>
        <v>0</v>
      </c>
      <c r="AQ28" s="34">
        <f t="shared" si="10"/>
        <v>0</v>
      </c>
      <c r="AR28" s="34">
        <f t="shared" si="11"/>
        <v>0</v>
      </c>
      <c r="AS28" s="34">
        <f t="shared" si="12"/>
        <v>0</v>
      </c>
      <c r="AT28" s="34">
        <f t="shared" si="13"/>
        <v>0</v>
      </c>
      <c r="AU28" s="34">
        <f t="shared" si="14"/>
        <v>0</v>
      </c>
      <c r="AV28" s="34">
        <f t="shared" si="15"/>
        <v>0</v>
      </c>
      <c r="AW28" s="34">
        <f t="shared" si="16"/>
        <v>0</v>
      </c>
      <c r="AX28" s="34">
        <f t="shared" si="17"/>
        <v>0</v>
      </c>
      <c r="AY28" s="34">
        <f t="shared" si="18"/>
        <v>0</v>
      </c>
    </row>
    <row r="29" spans="1:52" ht="15.75" thickBot="1" x14ac:dyDescent="0.3"/>
    <row r="30" spans="1:52" ht="15.75" thickBot="1" x14ac:dyDescent="0.3">
      <c r="B30" s="69"/>
      <c r="C30" s="1" t="s">
        <v>1021</v>
      </c>
      <c r="AJ30" s="1" t="s">
        <v>131</v>
      </c>
    </row>
    <row r="32" spans="1:52" x14ac:dyDescent="0.25">
      <c r="B32" s="119"/>
      <c r="C32" t="s">
        <v>778</v>
      </c>
      <c r="AJ32" s="147"/>
      <c r="AK32" t="s">
        <v>1167</v>
      </c>
    </row>
    <row r="34" spans="1:17" x14ac:dyDescent="0.25">
      <c r="B34" s="115"/>
      <c r="C34" t="s">
        <v>779</v>
      </c>
    </row>
    <row r="35" spans="1:17" ht="15.75" thickBot="1" x14ac:dyDescent="0.3"/>
    <row r="36" spans="1:17" ht="15.75" thickBot="1" x14ac:dyDescent="0.3">
      <c r="A36" s="189" t="s">
        <v>130</v>
      </c>
      <c r="B36" s="190"/>
      <c r="C36" s="190"/>
      <c r="D36" s="190"/>
      <c r="E36" s="190"/>
      <c r="F36" s="190"/>
      <c r="G36" s="190"/>
      <c r="H36" s="190"/>
      <c r="I36" s="190"/>
      <c r="J36" s="190"/>
      <c r="K36" s="190"/>
      <c r="L36" s="190"/>
      <c r="M36" s="190"/>
      <c r="N36" s="190"/>
      <c r="O36" s="190"/>
      <c r="P36" s="190"/>
      <c r="Q36" s="191"/>
    </row>
    <row r="38" spans="1:17" x14ac:dyDescent="0.25">
      <c r="A38" s="65" t="s">
        <v>134</v>
      </c>
    </row>
    <row r="39" spans="1:17" x14ac:dyDescent="0.25">
      <c r="A39" s="85" t="s">
        <v>132</v>
      </c>
    </row>
    <row r="40" spans="1:17" x14ac:dyDescent="0.25">
      <c r="A40" s="85" t="s">
        <v>133</v>
      </c>
    </row>
    <row r="41" spans="1:17" x14ac:dyDescent="0.25">
      <c r="A41" s="85" t="s">
        <v>136</v>
      </c>
    </row>
    <row r="42" spans="1:17" x14ac:dyDescent="0.25">
      <c r="A42" s="85" t="s">
        <v>137</v>
      </c>
    </row>
    <row r="43" spans="1:17" x14ac:dyDescent="0.25">
      <c r="A43" s="85" t="s">
        <v>138</v>
      </c>
    </row>
    <row r="44" spans="1:17" x14ac:dyDescent="0.25">
      <c r="A44" s="85" t="s">
        <v>139</v>
      </c>
    </row>
    <row r="45" spans="1:17" x14ac:dyDescent="0.25">
      <c r="A45" s="85" t="s">
        <v>271</v>
      </c>
    </row>
    <row r="47" spans="1:17" x14ac:dyDescent="0.25">
      <c r="A47" s="65" t="s">
        <v>135</v>
      </c>
    </row>
    <row r="48" spans="1:17" x14ac:dyDescent="0.25">
      <c r="A48" s="86" t="s">
        <v>140</v>
      </c>
    </row>
    <row r="49" spans="1:1" x14ac:dyDescent="0.25">
      <c r="A49" s="86" t="s">
        <v>141</v>
      </c>
    </row>
    <row r="50" spans="1:1" x14ac:dyDescent="0.25">
      <c r="A50" s="86" t="s">
        <v>142</v>
      </c>
    </row>
    <row r="51" spans="1:1" x14ac:dyDescent="0.25">
      <c r="A51" s="86" t="s">
        <v>272</v>
      </c>
    </row>
    <row r="52" spans="1:1" x14ac:dyDescent="0.25">
      <c r="A52" s="86" t="s">
        <v>143</v>
      </c>
    </row>
    <row r="53" spans="1:1" x14ac:dyDescent="0.25">
      <c r="A53" s="65"/>
    </row>
    <row r="54" spans="1:1" x14ac:dyDescent="0.25">
      <c r="A54" s="65"/>
    </row>
    <row r="56" spans="1:1" x14ac:dyDescent="0.25">
      <c r="A56" s="31"/>
    </row>
    <row r="57" spans="1:1" x14ac:dyDescent="0.25">
      <c r="A57" s="31"/>
    </row>
  </sheetData>
  <mergeCells count="10">
    <mergeCell ref="A36:Q36"/>
    <mergeCell ref="A1:AY1"/>
    <mergeCell ref="A2:AY2"/>
    <mergeCell ref="A3:AY3"/>
    <mergeCell ref="B6:Q6"/>
    <mergeCell ref="S6:AH6"/>
    <mergeCell ref="S5:AH5"/>
    <mergeCell ref="B5:Q5"/>
    <mergeCell ref="AJ6:AY6"/>
    <mergeCell ref="AJ5:AY5"/>
  </mergeCells>
  <conditionalFormatting sqref="AJ9:AY13">
    <cfRule type="cellIs" dxfId="10" priority="5" operator="lessThan">
      <formula>-0.05</formula>
    </cfRule>
    <cfRule type="cellIs" dxfId="9" priority="6" operator="greaterThan">
      <formula>0.05</formula>
    </cfRule>
  </conditionalFormatting>
  <conditionalFormatting sqref="AJ15:AY20">
    <cfRule type="cellIs" dxfId="8" priority="3" operator="lessThan">
      <formula>-0.05</formula>
    </cfRule>
    <cfRule type="cellIs" dxfId="7" priority="4" operator="greaterThan">
      <formula>0.05</formula>
    </cfRule>
  </conditionalFormatting>
  <conditionalFormatting sqref="AJ22:AY26 AJ28:AY28">
    <cfRule type="cellIs" dxfId="6" priority="1" operator="lessThan">
      <formula>-0.05</formula>
    </cfRule>
    <cfRule type="cellIs" dxfId="5" priority="2" operator="greaterThan">
      <formula>0.05</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theme="6"/>
  </sheetPr>
  <dimension ref="A1:AG436"/>
  <sheetViews>
    <sheetView topLeftCell="B1" zoomScale="85" zoomScaleNormal="85" workbookViewId="0">
      <selection activeCell="B1" sqref="B1:N1"/>
    </sheetView>
  </sheetViews>
  <sheetFormatPr defaultRowHeight="15" x14ac:dyDescent="0.25"/>
  <cols>
    <col min="1" max="1" width="23" hidden="1" customWidth="1"/>
    <col min="2" max="2" width="19.85546875" bestFit="1" customWidth="1"/>
    <col min="3" max="11" width="12.7109375" customWidth="1"/>
    <col min="13" max="13" width="19.85546875" bestFit="1" customWidth="1"/>
    <col min="14" max="22" width="12.7109375" customWidth="1"/>
    <col min="24" max="24" width="19.85546875" bestFit="1" customWidth="1"/>
    <col min="25" max="33" width="12.7109375" customWidth="1"/>
  </cols>
  <sheetData>
    <row r="1" spans="2:18" ht="18.75" x14ac:dyDescent="0.3">
      <c r="B1" s="173" t="s">
        <v>17</v>
      </c>
      <c r="C1" s="173"/>
      <c r="D1" s="173"/>
      <c r="E1" s="173"/>
      <c r="F1" s="173"/>
      <c r="G1" s="173"/>
      <c r="H1" s="173"/>
      <c r="I1" s="173"/>
      <c r="J1" s="173"/>
      <c r="K1" s="173"/>
      <c r="L1" s="173"/>
      <c r="M1" s="173"/>
      <c r="N1" s="173"/>
      <c r="P1" s="31"/>
    </row>
    <row r="2" spans="2:18" ht="15.75" x14ac:dyDescent="0.25">
      <c r="B2" s="174" t="str">
        <f>'Company Summary'!A2</f>
        <v>Biocorrect</v>
      </c>
      <c r="C2" s="174"/>
      <c r="D2" s="174"/>
      <c r="E2" s="174"/>
      <c r="F2" s="174"/>
      <c r="G2" s="174"/>
      <c r="H2" s="174"/>
      <c r="I2" s="174"/>
      <c r="J2" s="174"/>
      <c r="K2" s="174"/>
      <c r="L2" s="174"/>
      <c r="M2" s="174"/>
      <c r="N2" s="174"/>
      <c r="P2" s="31"/>
    </row>
    <row r="3" spans="2:18" x14ac:dyDescent="0.25">
      <c r="B3" s="175" t="s">
        <v>92</v>
      </c>
      <c r="C3" s="175"/>
      <c r="D3" s="175"/>
      <c r="E3" s="175"/>
      <c r="F3" s="175"/>
      <c r="G3" s="175"/>
      <c r="H3" s="175"/>
      <c r="I3" s="175"/>
      <c r="J3" s="175"/>
      <c r="K3" s="175"/>
      <c r="L3" s="175"/>
      <c r="M3" s="175"/>
      <c r="N3" s="175"/>
      <c r="P3" s="31"/>
    </row>
    <row r="4" spans="2:18" ht="15.75" thickBot="1" x14ac:dyDescent="0.3">
      <c r="B4" s="35"/>
      <c r="C4" s="35"/>
      <c r="D4" s="35"/>
      <c r="E4" s="35"/>
      <c r="F4" s="35"/>
      <c r="G4" s="35"/>
      <c r="H4" s="35"/>
      <c r="I4" s="35"/>
      <c r="J4" s="35"/>
      <c r="K4" s="35"/>
      <c r="L4" s="35"/>
      <c r="M4" s="35"/>
      <c r="N4" s="35"/>
      <c r="P4" s="31"/>
    </row>
    <row r="5" spans="2:18" ht="15.75" thickBot="1" x14ac:dyDescent="0.3">
      <c r="B5" s="189" t="s">
        <v>130</v>
      </c>
      <c r="C5" s="190"/>
      <c r="D5" s="190"/>
      <c r="E5" s="190"/>
      <c r="F5" s="190"/>
      <c r="G5" s="190"/>
      <c r="H5" s="190"/>
      <c r="I5" s="190"/>
      <c r="J5" s="190"/>
      <c r="K5" s="190"/>
      <c r="L5" s="190"/>
      <c r="M5" s="190"/>
      <c r="N5" s="190"/>
      <c r="O5" s="190"/>
      <c r="P5" s="190"/>
      <c r="Q5" s="190"/>
      <c r="R5" s="191"/>
    </row>
    <row r="6" spans="2:18" x14ac:dyDescent="0.25">
      <c r="B6" s="35"/>
      <c r="C6" s="35"/>
      <c r="D6" s="35"/>
      <c r="E6" s="35"/>
      <c r="F6" s="35"/>
      <c r="G6" s="35"/>
      <c r="H6" s="35"/>
      <c r="I6" s="35"/>
      <c r="J6" s="35"/>
      <c r="K6" s="35"/>
      <c r="L6" s="35"/>
      <c r="M6" s="35"/>
      <c r="N6" s="35"/>
      <c r="P6" s="31"/>
    </row>
    <row r="7" spans="2:18" x14ac:dyDescent="0.25">
      <c r="B7" s="65" t="s">
        <v>134</v>
      </c>
      <c r="C7" s="35"/>
      <c r="D7" s="35"/>
      <c r="E7" s="35"/>
      <c r="F7" s="35"/>
      <c r="G7" s="35"/>
      <c r="H7" s="35"/>
      <c r="I7" s="35"/>
      <c r="J7" s="35"/>
      <c r="K7" s="35"/>
      <c r="L7" s="35"/>
      <c r="M7" s="35"/>
      <c r="N7" s="35"/>
      <c r="P7" s="31"/>
    </row>
    <row r="8" spans="2:18" x14ac:dyDescent="0.25">
      <c r="B8" s="85" t="s">
        <v>144</v>
      </c>
      <c r="C8" s="35"/>
      <c r="D8" s="35"/>
      <c r="E8" s="35"/>
      <c r="F8" s="35"/>
      <c r="G8" s="35"/>
      <c r="H8" s="35"/>
      <c r="I8" s="35"/>
      <c r="J8" s="35"/>
      <c r="K8" s="35"/>
      <c r="L8" s="35"/>
      <c r="M8" s="35"/>
      <c r="N8" s="35"/>
      <c r="P8" s="31"/>
    </row>
    <row r="9" spans="2:18" x14ac:dyDescent="0.25">
      <c r="B9" s="85" t="s">
        <v>133</v>
      </c>
      <c r="C9" s="35"/>
      <c r="D9" s="35"/>
      <c r="E9" s="35"/>
      <c r="F9" s="35"/>
      <c r="G9" s="35"/>
      <c r="H9" s="35"/>
      <c r="I9" s="35"/>
      <c r="J9" s="35"/>
      <c r="K9" s="35"/>
      <c r="L9" s="35"/>
      <c r="M9" s="35"/>
      <c r="N9" s="35"/>
      <c r="P9" s="31"/>
    </row>
    <row r="10" spans="2:18" x14ac:dyDescent="0.25">
      <c r="B10" s="85" t="s">
        <v>145</v>
      </c>
      <c r="C10" s="35"/>
      <c r="D10" s="35"/>
      <c r="E10" s="35"/>
      <c r="F10" s="35"/>
      <c r="G10" s="35"/>
      <c r="H10" s="35"/>
      <c r="I10" s="35"/>
      <c r="J10" s="35"/>
      <c r="K10" s="35"/>
      <c r="L10" s="35"/>
      <c r="M10" s="35"/>
      <c r="N10" s="35"/>
      <c r="P10" s="31"/>
    </row>
    <row r="11" spans="2:18" x14ac:dyDescent="0.25">
      <c r="B11" s="85" t="s">
        <v>137</v>
      </c>
      <c r="C11" s="35"/>
      <c r="D11" s="35"/>
      <c r="E11" s="35"/>
      <c r="F11" s="35"/>
      <c r="G11" s="35"/>
      <c r="H11" s="35"/>
      <c r="I11" s="35"/>
      <c r="J11" s="35"/>
      <c r="K11" s="35"/>
      <c r="L11" s="35"/>
      <c r="M11" s="35"/>
      <c r="N11" s="35"/>
      <c r="P11" s="31"/>
    </row>
    <row r="12" spans="2:18" x14ac:dyDescent="0.25">
      <c r="B12" s="85" t="s">
        <v>138</v>
      </c>
      <c r="C12" s="35"/>
      <c r="D12" s="35"/>
      <c r="E12" s="35"/>
      <c r="F12" s="35"/>
      <c r="G12" s="35"/>
      <c r="H12" s="35"/>
      <c r="I12" s="35"/>
      <c r="J12" s="35"/>
      <c r="K12" s="35"/>
      <c r="L12" s="35"/>
      <c r="M12" s="35"/>
      <c r="N12" s="35"/>
      <c r="P12" s="31"/>
    </row>
    <row r="13" spans="2:18" x14ac:dyDescent="0.25">
      <c r="B13" s="85" t="s">
        <v>270</v>
      </c>
      <c r="C13" s="35"/>
      <c r="D13" s="35"/>
      <c r="E13" s="35"/>
      <c r="F13" s="35"/>
      <c r="G13" s="35"/>
      <c r="H13" s="35"/>
      <c r="I13" s="35"/>
      <c r="J13" s="35"/>
      <c r="K13" s="35"/>
      <c r="L13" s="35"/>
      <c r="M13" s="35"/>
      <c r="N13" s="35"/>
      <c r="P13" s="31"/>
    </row>
    <row r="14" spans="2:18" x14ac:dyDescent="0.25">
      <c r="B14" s="85"/>
      <c r="C14" s="35"/>
      <c r="D14" s="35"/>
      <c r="E14" s="35"/>
      <c r="F14" s="35"/>
      <c r="G14" s="35"/>
      <c r="H14" s="35"/>
      <c r="I14" s="35"/>
      <c r="J14" s="35"/>
      <c r="K14" s="35"/>
      <c r="L14" s="35"/>
      <c r="M14" s="35"/>
      <c r="N14" s="35"/>
      <c r="P14" s="31"/>
    </row>
    <row r="15" spans="2:18" x14ac:dyDescent="0.25">
      <c r="B15" s="89" t="s">
        <v>146</v>
      </c>
      <c r="C15" s="35"/>
      <c r="D15" s="35"/>
      <c r="E15" s="35"/>
      <c r="F15" s="35"/>
      <c r="G15" s="35"/>
      <c r="H15" s="35"/>
      <c r="I15" s="35"/>
      <c r="J15" s="35"/>
      <c r="K15" s="35"/>
      <c r="L15" s="35"/>
      <c r="M15" s="35"/>
      <c r="N15" s="35"/>
      <c r="P15" s="31"/>
    </row>
    <row r="16" spans="2:18" x14ac:dyDescent="0.25">
      <c r="B16" s="85" t="s">
        <v>147</v>
      </c>
      <c r="C16" s="35"/>
      <c r="D16" s="35"/>
      <c r="E16" s="35"/>
      <c r="F16" s="35"/>
      <c r="G16" s="35"/>
      <c r="H16" s="35"/>
      <c r="I16" s="35"/>
      <c r="J16" s="35"/>
      <c r="K16" s="35"/>
      <c r="L16" s="35"/>
      <c r="M16" s="35"/>
      <c r="N16" s="35"/>
      <c r="P16" s="31"/>
    </row>
    <row r="17" spans="1:33" x14ac:dyDescent="0.25">
      <c r="B17" s="85" t="s">
        <v>148</v>
      </c>
      <c r="C17" s="35"/>
      <c r="D17" s="35"/>
      <c r="E17" s="35"/>
      <c r="F17" s="35"/>
      <c r="G17" s="35"/>
      <c r="H17" s="35"/>
      <c r="I17" s="35"/>
      <c r="J17" s="35"/>
      <c r="K17" s="35"/>
      <c r="L17" s="35"/>
      <c r="M17" s="35"/>
      <c r="N17" s="35"/>
      <c r="P17" s="31"/>
    </row>
    <row r="20" spans="1:33" x14ac:dyDescent="0.25">
      <c r="B20" s="72" t="s">
        <v>96</v>
      </c>
      <c r="C20" s="187">
        <f>'Company Summary'!A4</f>
        <v>45199</v>
      </c>
      <c r="D20" s="187"/>
      <c r="E20" s="187"/>
      <c r="F20" s="187"/>
      <c r="G20" s="187"/>
      <c r="H20" s="187"/>
      <c r="I20" s="187"/>
      <c r="J20" s="187"/>
      <c r="K20" s="187"/>
      <c r="M20" s="72" t="s">
        <v>96</v>
      </c>
      <c r="N20" s="176">
        <f>EOMONTH(C20,-1)</f>
        <v>45169</v>
      </c>
      <c r="O20" s="192"/>
      <c r="P20" s="192"/>
      <c r="Q20" s="192"/>
      <c r="R20" s="192"/>
      <c r="S20" s="192"/>
      <c r="T20" s="192"/>
      <c r="U20" s="192"/>
      <c r="V20" s="192"/>
      <c r="Y20" s="175" t="s">
        <v>97</v>
      </c>
      <c r="Z20" s="175"/>
      <c r="AA20" s="175"/>
      <c r="AB20" s="175"/>
      <c r="AC20" s="175"/>
      <c r="AD20" s="175"/>
      <c r="AE20" s="175"/>
      <c r="AF20" s="175"/>
      <c r="AG20" s="175"/>
    </row>
    <row r="21" spans="1:33" x14ac:dyDescent="0.25">
      <c r="B21" s="72" t="s">
        <v>95</v>
      </c>
      <c r="C21" s="175" t="str">
        <f>'Reimbursement Rates &lt;-INPUT'!B7</f>
        <v>Biocorrect-Agile</v>
      </c>
      <c r="D21" s="175"/>
      <c r="E21" s="175"/>
      <c r="F21" s="175"/>
      <c r="G21" s="175"/>
      <c r="H21" s="175"/>
      <c r="I21" s="175"/>
      <c r="J21" s="175"/>
      <c r="K21" s="175"/>
      <c r="M21" s="72" t="s">
        <v>95</v>
      </c>
      <c r="N21" s="175" t="str">
        <f>C21</f>
        <v>Biocorrect-Agile</v>
      </c>
      <c r="O21" s="175"/>
      <c r="P21" s="175"/>
      <c r="Q21" s="175"/>
      <c r="R21" s="175"/>
      <c r="S21" s="175"/>
      <c r="T21" s="175"/>
      <c r="U21" s="175"/>
      <c r="V21" s="175"/>
      <c r="X21" s="71" t="s">
        <v>95</v>
      </c>
      <c r="Y21" s="175" t="str">
        <f>C21</f>
        <v>Biocorrect-Agile</v>
      </c>
      <c r="Z21" s="175"/>
      <c r="AA21" s="175"/>
      <c r="AB21" s="175"/>
      <c r="AC21" s="175"/>
      <c r="AD21" s="175"/>
      <c r="AE21" s="175"/>
      <c r="AF21" s="175"/>
      <c r="AG21" s="175"/>
    </row>
    <row r="22" spans="1:33" x14ac:dyDescent="0.25">
      <c r="B22" s="4" t="s">
        <v>16</v>
      </c>
      <c r="C22" s="5" t="s">
        <v>15</v>
      </c>
      <c r="D22" s="5" t="s">
        <v>14</v>
      </c>
      <c r="E22" s="5" t="s">
        <v>13</v>
      </c>
      <c r="F22" s="5" t="s">
        <v>12</v>
      </c>
      <c r="G22" s="5" t="s">
        <v>93</v>
      </c>
      <c r="H22" s="5" t="s">
        <v>94</v>
      </c>
      <c r="I22" s="5" t="s">
        <v>38</v>
      </c>
      <c r="J22" s="5" t="s">
        <v>9</v>
      </c>
      <c r="K22" s="5" t="s">
        <v>80</v>
      </c>
      <c r="M22" s="4" t="s">
        <v>16</v>
      </c>
      <c r="N22" s="5" t="s">
        <v>15</v>
      </c>
      <c r="O22" s="5" t="s">
        <v>14</v>
      </c>
      <c r="P22" s="5" t="s">
        <v>13</v>
      </c>
      <c r="Q22" s="5" t="s">
        <v>12</v>
      </c>
      <c r="R22" s="5" t="s">
        <v>93</v>
      </c>
      <c r="S22" s="5" t="s">
        <v>94</v>
      </c>
      <c r="T22" s="5" t="s">
        <v>38</v>
      </c>
      <c r="U22" s="5" t="s">
        <v>9</v>
      </c>
      <c r="V22" s="5" t="s">
        <v>80</v>
      </c>
      <c r="X22" s="4" t="s">
        <v>16</v>
      </c>
      <c r="Y22" s="5" t="s">
        <v>15</v>
      </c>
      <c r="Z22" s="5" t="s">
        <v>14</v>
      </c>
      <c r="AA22" s="5" t="s">
        <v>13</v>
      </c>
      <c r="AB22" s="5" t="s">
        <v>12</v>
      </c>
      <c r="AC22" s="5" t="s">
        <v>93</v>
      </c>
      <c r="AD22" s="5" t="s">
        <v>94</v>
      </c>
      <c r="AE22" s="5" t="s">
        <v>38</v>
      </c>
      <c r="AF22" s="5" t="s">
        <v>9</v>
      </c>
      <c r="AG22" s="5" t="s">
        <v>80</v>
      </c>
    </row>
    <row r="23" spans="1:33" x14ac:dyDescent="0.25">
      <c r="A23" t="s">
        <v>1094</v>
      </c>
      <c r="B23" s="1" t="s">
        <v>1094</v>
      </c>
      <c r="C23" s="2">
        <f>SUMIFS(CurrentMonthAgingData!$AN:$AN,CurrentMonthAgingData!$BC:$BC,"=1",CurrentMonthAgingData!$BA:$BA,"=Biocorrect",CurrentMonthAgingData!$AV:$AV,""&amp;$A23&amp;"")</f>
        <v>0</v>
      </c>
      <c r="D23" s="2">
        <f>SUMIFS(CurrentMonthAgingData!$AN:$AN,CurrentMonthAgingData!$BC:$BC,"=2",CurrentMonthAgingData!$BA:$BA,"=Biocorrect",CurrentMonthAgingData!$AV:$AV,""&amp;$A23&amp;"")</f>
        <v>0</v>
      </c>
      <c r="E23" s="2">
        <f>SUMIFS(CurrentMonthAgingData!$AN:$AN,CurrentMonthAgingData!$BC:$BC,"=3",CurrentMonthAgingData!$BA:$BA,"=Biocorrect",CurrentMonthAgingData!$AV:$AV,""&amp;$A23&amp;"")</f>
        <v>0</v>
      </c>
      <c r="F23" s="2">
        <f>SUMIFS(CurrentMonthAgingData!$AN:$AN,CurrentMonthAgingData!$BC:$BC,"=4",CurrentMonthAgingData!$BA:$BA,"=Biocorrect",CurrentMonthAgingData!$AV:$AV,""&amp;$A23&amp;"")</f>
        <v>0</v>
      </c>
      <c r="G23" s="2">
        <f>SUMIFS(CurrentMonthAgingData!$AN:$AN,CurrentMonthAgingData!$BC:$BC,"=5",CurrentMonthAgingData!$BA:$BA,"=Biocorrect",CurrentMonthAgingData!$AV:$AV,""&amp;$A23&amp;"")</f>
        <v>0</v>
      </c>
      <c r="H23" s="2">
        <f>SUMIFS(CurrentMonthAgingData!$AN:$AN,CurrentMonthAgingData!$BC:$BC,"=6",CurrentMonthAgingData!$BA:$BA,"=Biocorrect",CurrentMonthAgingData!$AV:$AV,""&amp;$A23&amp;"")</f>
        <v>0</v>
      </c>
      <c r="I23" s="2">
        <f>SUMIFS(CurrentMonthAgingData!$AN:$AN,CurrentMonthAgingData!$BC:$BC,"=7",CurrentMonthAgingData!$BA:$BA,"=Biocorrect",CurrentMonthAgingData!$AV:$AV,""&amp;$A23&amp;"")</f>
        <v>0</v>
      </c>
      <c r="J23" s="2">
        <f>SUMIFS(CurrentMonthAgingData!$AN:$AN,CurrentMonthAgingData!$BC:$BC,"=8",CurrentMonthAgingData!$BA:$BA,"=Biocorrect",CurrentMonthAgingData!$AV:$AV,""&amp;$A23&amp;"")</f>
        <v>0</v>
      </c>
      <c r="K23" s="2">
        <f>SUM(C23:J23)</f>
        <v>0</v>
      </c>
      <c r="M23" s="1" t="s">
        <v>1094</v>
      </c>
      <c r="N23" s="2">
        <v>0</v>
      </c>
      <c r="O23" s="2">
        <v>0</v>
      </c>
      <c r="P23" s="2">
        <v>0</v>
      </c>
      <c r="Q23" s="2">
        <v>0</v>
      </c>
      <c r="R23" s="2">
        <v>0</v>
      </c>
      <c r="S23" s="2">
        <v>0</v>
      </c>
      <c r="T23" s="2">
        <v>0</v>
      </c>
      <c r="U23" s="2">
        <v>0</v>
      </c>
      <c r="V23" s="2">
        <f>SUM(N23:U23)</f>
        <v>0</v>
      </c>
      <c r="X23" s="1" t="s">
        <v>1094</v>
      </c>
      <c r="Y23" s="2">
        <f t="shared" ref="Y23:Y42" si="0">C23-N23</f>
        <v>0</v>
      </c>
      <c r="Z23" s="2">
        <f t="shared" ref="Z23:Z42" si="1">D23-O23</f>
        <v>0</v>
      </c>
      <c r="AA23" s="2">
        <f t="shared" ref="AA23:AA42" si="2">E23-P23</f>
        <v>0</v>
      </c>
      <c r="AB23" s="2">
        <f t="shared" ref="AB23:AB42" si="3">F23-Q23</f>
        <v>0</v>
      </c>
      <c r="AC23" s="2">
        <f t="shared" ref="AC23:AC42" si="4">G23-R23</f>
        <v>0</v>
      </c>
      <c r="AD23" s="2">
        <f t="shared" ref="AD23:AD42" si="5">H23-S23</f>
        <v>0</v>
      </c>
      <c r="AE23" s="2">
        <f t="shared" ref="AE23:AE42" si="6">I23-T23</f>
        <v>0</v>
      </c>
      <c r="AF23" s="2">
        <f t="shared" ref="AF23:AF42" si="7">J23-U23</f>
        <v>0</v>
      </c>
      <c r="AG23" s="2">
        <f>SUM(Y23:AF23)</f>
        <v>0</v>
      </c>
    </row>
    <row r="24" spans="1:33" x14ac:dyDescent="0.25">
      <c r="A24" t="s">
        <v>8</v>
      </c>
      <c r="B24" s="1" t="s">
        <v>8</v>
      </c>
      <c r="C24" s="2">
        <f>SUMIFS(CurrentMonthAgingData!$AN:$AN,CurrentMonthAgingData!$BC:$BC,"=1",CurrentMonthAgingData!$BA:$BA,"=Biocorrect",CurrentMonthAgingData!$AV:$AV,""&amp;$A24&amp;"")</f>
        <v>432</v>
      </c>
      <c r="D24" s="2">
        <f>SUMIFS(CurrentMonthAgingData!$AN:$AN,CurrentMonthAgingData!$BC:$BC,"=2",CurrentMonthAgingData!$BA:$BA,"=Biocorrect",CurrentMonthAgingData!$AV:$AV,""&amp;$A24&amp;"")</f>
        <v>864</v>
      </c>
      <c r="E24" s="2">
        <f>SUMIFS(CurrentMonthAgingData!$AN:$AN,CurrentMonthAgingData!$BC:$BC,"=3",CurrentMonthAgingData!$BA:$BA,"=Biocorrect",CurrentMonthAgingData!$AV:$AV,""&amp;$A24&amp;"")</f>
        <v>0</v>
      </c>
      <c r="F24" s="2">
        <f>SUMIFS(CurrentMonthAgingData!$AN:$AN,CurrentMonthAgingData!$BC:$BC,"=4",CurrentMonthAgingData!$BA:$BA,"=Biocorrect",CurrentMonthAgingData!$AV:$AV,""&amp;$A24&amp;"")</f>
        <v>0</v>
      </c>
      <c r="G24" s="2">
        <f>SUMIFS(CurrentMonthAgingData!$AN:$AN,CurrentMonthAgingData!$BC:$BC,"=5",CurrentMonthAgingData!$BA:$BA,"=Biocorrect",CurrentMonthAgingData!$AV:$AV,""&amp;$A24&amp;"")</f>
        <v>0</v>
      </c>
      <c r="H24" s="2">
        <f>SUMIFS(CurrentMonthAgingData!$AN:$AN,CurrentMonthAgingData!$BC:$BC,"=6",CurrentMonthAgingData!$BA:$BA,"=Biocorrect",CurrentMonthAgingData!$AV:$AV,""&amp;$A24&amp;"")</f>
        <v>0</v>
      </c>
      <c r="I24" s="2">
        <f>SUMIFS(CurrentMonthAgingData!$AN:$AN,CurrentMonthAgingData!$BC:$BC,"=7",CurrentMonthAgingData!$BA:$BA,"=Biocorrect",CurrentMonthAgingData!$AV:$AV,""&amp;$A24&amp;"")</f>
        <v>0</v>
      </c>
      <c r="J24" s="2">
        <f>SUMIFS(CurrentMonthAgingData!$AN:$AN,CurrentMonthAgingData!$BC:$BC,"=8",CurrentMonthAgingData!$BA:$BA,"=Biocorrect",CurrentMonthAgingData!$AV:$AV,""&amp;$A24&amp;"")</f>
        <v>0</v>
      </c>
      <c r="K24" s="2">
        <f>SUM(C24:J24)</f>
        <v>1296</v>
      </c>
      <c r="M24" s="1" t="s">
        <v>8</v>
      </c>
      <c r="N24" s="2">
        <v>864</v>
      </c>
      <c r="O24" s="2">
        <v>0</v>
      </c>
      <c r="P24" s="2">
        <v>0</v>
      </c>
      <c r="Q24" s="2">
        <v>0</v>
      </c>
      <c r="R24" s="2">
        <v>0</v>
      </c>
      <c r="S24" s="2">
        <v>0</v>
      </c>
      <c r="T24" s="2">
        <v>0</v>
      </c>
      <c r="U24" s="2">
        <v>0</v>
      </c>
      <c r="V24" s="2">
        <f t="shared" ref="V24:V42" si="8">SUM(N24:U24)</f>
        <v>864</v>
      </c>
      <c r="X24" s="1" t="s">
        <v>8</v>
      </c>
      <c r="Y24" s="2">
        <f t="shared" si="0"/>
        <v>-432</v>
      </c>
      <c r="Z24" s="2">
        <f t="shared" si="1"/>
        <v>864</v>
      </c>
      <c r="AA24" s="2">
        <f t="shared" si="2"/>
        <v>0</v>
      </c>
      <c r="AB24" s="2">
        <f t="shared" si="3"/>
        <v>0</v>
      </c>
      <c r="AC24" s="2">
        <f t="shared" si="4"/>
        <v>0</v>
      </c>
      <c r="AD24" s="2">
        <f t="shared" si="5"/>
        <v>0</v>
      </c>
      <c r="AE24" s="2">
        <f t="shared" si="6"/>
        <v>0</v>
      </c>
      <c r="AF24" s="2">
        <f t="shared" si="7"/>
        <v>0</v>
      </c>
      <c r="AG24" s="2">
        <f t="shared" ref="AG24:AG42" si="9">SUM(Y24:AF24)</f>
        <v>432</v>
      </c>
    </row>
    <row r="25" spans="1:33" x14ac:dyDescent="0.25">
      <c r="A25" t="s">
        <v>1095</v>
      </c>
      <c r="B25" s="1" t="s">
        <v>1095</v>
      </c>
      <c r="C25" s="2">
        <f>SUMIFS(CurrentMonthAgingData!$AN:$AN,CurrentMonthAgingData!$BC:$BC,"=1",CurrentMonthAgingData!$BA:$BA,"=Biocorrect",CurrentMonthAgingData!$AV:$AV,""&amp;$A25&amp;"")</f>
        <v>6780</v>
      </c>
      <c r="D25" s="2">
        <f>SUMIFS(CurrentMonthAgingData!$AN:$AN,CurrentMonthAgingData!$BC:$BC,"=2",CurrentMonthAgingData!$BA:$BA,"=Biocorrect",CurrentMonthAgingData!$AV:$AV,""&amp;$A25&amp;"")</f>
        <v>1080</v>
      </c>
      <c r="E25" s="2">
        <f>SUMIFS(CurrentMonthAgingData!$AN:$AN,CurrentMonthAgingData!$BC:$BC,"=3",CurrentMonthAgingData!$BA:$BA,"=Biocorrect",CurrentMonthAgingData!$AV:$AV,""&amp;$A25&amp;"")</f>
        <v>0</v>
      </c>
      <c r="F25" s="2">
        <f>SUMIFS(CurrentMonthAgingData!$AN:$AN,CurrentMonthAgingData!$BC:$BC,"=4",CurrentMonthAgingData!$BA:$BA,"=Biocorrect",CurrentMonthAgingData!$AV:$AV,""&amp;$A25&amp;"")</f>
        <v>0</v>
      </c>
      <c r="G25" s="2">
        <f>SUMIFS(CurrentMonthAgingData!$AN:$AN,CurrentMonthAgingData!$BC:$BC,"=5",CurrentMonthAgingData!$BA:$BA,"=Biocorrect",CurrentMonthAgingData!$AV:$AV,""&amp;$A25&amp;"")</f>
        <v>0</v>
      </c>
      <c r="H25" s="2">
        <f>SUMIFS(CurrentMonthAgingData!$AN:$AN,CurrentMonthAgingData!$BC:$BC,"=6",CurrentMonthAgingData!$BA:$BA,"=Biocorrect",CurrentMonthAgingData!$AV:$AV,""&amp;$A25&amp;"")</f>
        <v>0</v>
      </c>
      <c r="I25" s="2">
        <f>SUMIFS(CurrentMonthAgingData!$AN:$AN,CurrentMonthAgingData!$BC:$BC,"=7",CurrentMonthAgingData!$BA:$BA,"=Biocorrect",CurrentMonthAgingData!$AV:$AV,""&amp;$A25&amp;"")</f>
        <v>-28.44</v>
      </c>
      <c r="J25" s="2">
        <f>SUMIFS(CurrentMonthAgingData!$AN:$AN,CurrentMonthAgingData!$BC:$BC,"=8",CurrentMonthAgingData!$BA:$BA,"=Biocorrect",CurrentMonthAgingData!$AV:$AV,""&amp;$A25&amp;"")</f>
        <v>0</v>
      </c>
      <c r="K25" s="2">
        <f t="shared" ref="K25:K42" si="10">SUM(C25:J25)</f>
        <v>7831.56</v>
      </c>
      <c r="M25" s="1" t="s">
        <v>1095</v>
      </c>
      <c r="N25" s="2">
        <v>8208</v>
      </c>
      <c r="O25" s="2">
        <v>0</v>
      </c>
      <c r="P25" s="2">
        <v>0</v>
      </c>
      <c r="Q25" s="2">
        <v>0</v>
      </c>
      <c r="R25" s="2">
        <v>0</v>
      </c>
      <c r="S25" s="2">
        <v>0</v>
      </c>
      <c r="T25" s="2">
        <v>-28.44</v>
      </c>
      <c r="U25" s="2">
        <v>0</v>
      </c>
      <c r="V25" s="2">
        <f t="shared" si="8"/>
        <v>8179.56</v>
      </c>
      <c r="X25" s="1" t="s">
        <v>1095</v>
      </c>
      <c r="Y25" s="2">
        <f t="shared" si="0"/>
        <v>-1428</v>
      </c>
      <c r="Z25" s="2">
        <f t="shared" si="1"/>
        <v>1080</v>
      </c>
      <c r="AA25" s="2">
        <f t="shared" si="2"/>
        <v>0</v>
      </c>
      <c r="AB25" s="2">
        <f t="shared" si="3"/>
        <v>0</v>
      </c>
      <c r="AC25" s="2">
        <f t="shared" si="4"/>
        <v>0</v>
      </c>
      <c r="AD25" s="2">
        <f t="shared" si="5"/>
        <v>0</v>
      </c>
      <c r="AE25" s="2">
        <f t="shared" si="6"/>
        <v>0</v>
      </c>
      <c r="AF25" s="2">
        <f t="shared" si="7"/>
        <v>0</v>
      </c>
      <c r="AG25" s="2">
        <f t="shared" si="9"/>
        <v>-348</v>
      </c>
    </row>
    <row r="26" spans="1:33" x14ac:dyDescent="0.25">
      <c r="A26" t="s">
        <v>42</v>
      </c>
      <c r="B26" s="1" t="s">
        <v>42</v>
      </c>
      <c r="C26" s="2">
        <f>SUMIFS(CurrentMonthAgingData!$AN:$AN,CurrentMonthAgingData!$BC:$BC,"=1",CurrentMonthAgingData!$BA:$BA,"=Biocorrect",CurrentMonthAgingData!$AV:$AV,""&amp;$A26&amp;"")</f>
        <v>0</v>
      </c>
      <c r="D26" s="2">
        <f>SUMIFS(CurrentMonthAgingData!$AN:$AN,CurrentMonthAgingData!$BC:$BC,"=2",CurrentMonthAgingData!$BA:$BA,"=Biocorrect",CurrentMonthAgingData!$AV:$AV,""&amp;$A26&amp;"")</f>
        <v>0</v>
      </c>
      <c r="E26" s="2">
        <f>SUMIFS(CurrentMonthAgingData!$AN:$AN,CurrentMonthAgingData!$BC:$BC,"=3",CurrentMonthAgingData!$BA:$BA,"=Biocorrect",CurrentMonthAgingData!$AV:$AV,""&amp;$A26&amp;"")</f>
        <v>0</v>
      </c>
      <c r="F26" s="2">
        <f>SUMIFS(CurrentMonthAgingData!$AN:$AN,CurrentMonthAgingData!$BC:$BC,"=4",CurrentMonthAgingData!$BA:$BA,"=Biocorrect",CurrentMonthAgingData!$AV:$AV,""&amp;$A26&amp;"")</f>
        <v>0</v>
      </c>
      <c r="G26" s="2">
        <f>SUMIFS(CurrentMonthAgingData!$AN:$AN,CurrentMonthAgingData!$BC:$BC,"=5",CurrentMonthAgingData!$BA:$BA,"=Biocorrect",CurrentMonthAgingData!$AV:$AV,""&amp;$A26&amp;"")</f>
        <v>0</v>
      </c>
      <c r="H26" s="2">
        <f>SUMIFS(CurrentMonthAgingData!$AN:$AN,CurrentMonthAgingData!$BC:$BC,"=6",CurrentMonthAgingData!$BA:$BA,"=Biocorrect",CurrentMonthAgingData!$AV:$AV,""&amp;$A26&amp;"")</f>
        <v>0</v>
      </c>
      <c r="I26" s="2">
        <f>SUMIFS(CurrentMonthAgingData!$AN:$AN,CurrentMonthAgingData!$BC:$BC,"=7",CurrentMonthAgingData!$BA:$BA,"=Biocorrect",CurrentMonthAgingData!$AV:$AV,""&amp;$A26&amp;"")</f>
        <v>0</v>
      </c>
      <c r="J26" s="2">
        <f>SUMIFS(CurrentMonthAgingData!$AN:$AN,CurrentMonthAgingData!$BC:$BC,"=8",CurrentMonthAgingData!$BA:$BA,"=Biocorrect",CurrentMonthAgingData!$AV:$AV,""&amp;$A26&amp;"")</f>
        <v>0</v>
      </c>
      <c r="K26" s="2">
        <f t="shared" si="10"/>
        <v>0</v>
      </c>
      <c r="M26" s="1" t="s">
        <v>42</v>
      </c>
      <c r="N26" s="2">
        <v>0</v>
      </c>
      <c r="O26" s="2">
        <v>0</v>
      </c>
      <c r="P26" s="2">
        <v>0</v>
      </c>
      <c r="Q26" s="2">
        <v>0</v>
      </c>
      <c r="R26" s="2">
        <v>0</v>
      </c>
      <c r="S26" s="2">
        <v>0</v>
      </c>
      <c r="T26" s="2">
        <v>0</v>
      </c>
      <c r="U26" s="2">
        <v>0</v>
      </c>
      <c r="V26" s="2">
        <f t="shared" si="8"/>
        <v>0</v>
      </c>
      <c r="X26" s="1" t="s">
        <v>42</v>
      </c>
      <c r="Y26" s="2">
        <f t="shared" si="0"/>
        <v>0</v>
      </c>
      <c r="Z26" s="2">
        <f t="shared" si="1"/>
        <v>0</v>
      </c>
      <c r="AA26" s="2">
        <f t="shared" si="2"/>
        <v>0</v>
      </c>
      <c r="AB26" s="2">
        <f t="shared" si="3"/>
        <v>0</v>
      </c>
      <c r="AC26" s="2">
        <f t="shared" si="4"/>
        <v>0</v>
      </c>
      <c r="AD26" s="2">
        <f t="shared" si="5"/>
        <v>0</v>
      </c>
      <c r="AE26" s="2">
        <f t="shared" si="6"/>
        <v>0</v>
      </c>
      <c r="AF26" s="2">
        <f t="shared" si="7"/>
        <v>0</v>
      </c>
      <c r="AG26" s="2">
        <f t="shared" si="9"/>
        <v>0</v>
      </c>
    </row>
    <row r="27" spans="1:33" x14ac:dyDescent="0.25">
      <c r="A27" t="s">
        <v>6</v>
      </c>
      <c r="B27" s="1" t="s">
        <v>6</v>
      </c>
      <c r="C27" s="2">
        <f>SUMIFS(CurrentMonthAgingData!$AN:$AN,CurrentMonthAgingData!$BC:$BC,"=1",CurrentMonthAgingData!$BA:$BA,"=Biocorrect",CurrentMonthAgingData!$AV:$AV,""&amp;$A27&amp;"")</f>
        <v>432</v>
      </c>
      <c r="D27" s="2">
        <f>SUMIFS(CurrentMonthAgingData!$AN:$AN,CurrentMonthAgingData!$BC:$BC,"=2",CurrentMonthAgingData!$BA:$BA,"=Biocorrect",CurrentMonthAgingData!$AV:$AV,""&amp;$A27&amp;"")</f>
        <v>0</v>
      </c>
      <c r="E27" s="2">
        <f>SUMIFS(CurrentMonthAgingData!$AN:$AN,CurrentMonthAgingData!$BC:$BC,"=3",CurrentMonthAgingData!$BA:$BA,"=Biocorrect",CurrentMonthAgingData!$AV:$AV,""&amp;$A27&amp;"")</f>
        <v>0</v>
      </c>
      <c r="F27" s="2">
        <f>SUMIFS(CurrentMonthAgingData!$AN:$AN,CurrentMonthAgingData!$BC:$BC,"=4",CurrentMonthAgingData!$BA:$BA,"=Biocorrect",CurrentMonthAgingData!$AV:$AV,""&amp;$A27&amp;"")</f>
        <v>0</v>
      </c>
      <c r="G27" s="2">
        <f>SUMIFS(CurrentMonthAgingData!$AN:$AN,CurrentMonthAgingData!$BC:$BC,"=5",CurrentMonthAgingData!$BA:$BA,"=Biocorrect",CurrentMonthAgingData!$AV:$AV,""&amp;$A27&amp;"")</f>
        <v>0</v>
      </c>
      <c r="H27" s="2">
        <f>SUMIFS(CurrentMonthAgingData!$AN:$AN,CurrentMonthAgingData!$BC:$BC,"=6",CurrentMonthAgingData!$BA:$BA,"=Biocorrect",CurrentMonthAgingData!$AV:$AV,""&amp;$A27&amp;"")</f>
        <v>0</v>
      </c>
      <c r="I27" s="2">
        <f>SUMIFS(CurrentMonthAgingData!$AN:$AN,CurrentMonthAgingData!$BC:$BC,"=7",CurrentMonthAgingData!$BA:$BA,"=Biocorrect",CurrentMonthAgingData!$AV:$AV,""&amp;$A27&amp;"")</f>
        <v>0</v>
      </c>
      <c r="J27" s="2">
        <f>SUMIFS(CurrentMonthAgingData!$AN:$AN,CurrentMonthAgingData!$BC:$BC,"=8",CurrentMonthAgingData!$BA:$BA,"=Biocorrect",CurrentMonthAgingData!$AV:$AV,""&amp;$A27&amp;"")</f>
        <v>0</v>
      </c>
      <c r="K27" s="2">
        <f t="shared" si="10"/>
        <v>432</v>
      </c>
      <c r="M27" s="1" t="s">
        <v>6</v>
      </c>
      <c r="N27" s="2">
        <v>0</v>
      </c>
      <c r="O27" s="2">
        <v>432</v>
      </c>
      <c r="P27" s="2">
        <v>0</v>
      </c>
      <c r="Q27" s="2">
        <v>0</v>
      </c>
      <c r="R27" s="2">
        <v>0</v>
      </c>
      <c r="S27" s="2">
        <v>0</v>
      </c>
      <c r="T27" s="2">
        <v>0</v>
      </c>
      <c r="U27" s="2">
        <v>0</v>
      </c>
      <c r="V27" s="2">
        <f t="shared" si="8"/>
        <v>432</v>
      </c>
      <c r="X27" s="1" t="s">
        <v>6</v>
      </c>
      <c r="Y27" s="2">
        <f t="shared" si="0"/>
        <v>432</v>
      </c>
      <c r="Z27" s="2">
        <f t="shared" si="1"/>
        <v>-432</v>
      </c>
      <c r="AA27" s="2">
        <f t="shared" si="2"/>
        <v>0</v>
      </c>
      <c r="AB27" s="2">
        <f t="shared" si="3"/>
        <v>0</v>
      </c>
      <c r="AC27" s="2">
        <f t="shared" si="4"/>
        <v>0</v>
      </c>
      <c r="AD27" s="2">
        <f t="shared" si="5"/>
        <v>0</v>
      </c>
      <c r="AE27" s="2">
        <f t="shared" si="6"/>
        <v>0</v>
      </c>
      <c r="AF27" s="2">
        <f t="shared" si="7"/>
        <v>0</v>
      </c>
      <c r="AG27" s="2">
        <f t="shared" si="9"/>
        <v>0</v>
      </c>
    </row>
    <row r="28" spans="1:33" x14ac:dyDescent="0.25">
      <c r="B28" s="1" t="s">
        <v>90</v>
      </c>
      <c r="C28" s="2">
        <f>SUMIFS(CurrentMonthAgingData!$AN:$AN,CurrentMonthAgingData!$BC:$BC,"=1",CurrentMonthAgingData!$BA:$BA,"=Biocorrect",CurrentMonthAgingData!$AV:$AV,""&amp;$A28&amp;"")</f>
        <v>0</v>
      </c>
      <c r="D28" s="2">
        <f>SUMIFS(CurrentMonthAgingData!$AN:$AN,CurrentMonthAgingData!$BC:$BC,"=2",CurrentMonthAgingData!$BA:$BA,"=Biocorrect",CurrentMonthAgingData!$AV:$AV,""&amp;$A28&amp;"")</f>
        <v>0</v>
      </c>
      <c r="E28" s="2">
        <f>SUMIFS(CurrentMonthAgingData!$AN:$AN,CurrentMonthAgingData!$BC:$BC,"=3",CurrentMonthAgingData!$BA:$BA,"=Biocorrect",CurrentMonthAgingData!$AV:$AV,""&amp;$A28&amp;"")</f>
        <v>0</v>
      </c>
      <c r="F28" s="2">
        <f>SUMIFS(CurrentMonthAgingData!$AN:$AN,CurrentMonthAgingData!$BC:$BC,"=4",CurrentMonthAgingData!$BA:$BA,"=Biocorrect",CurrentMonthAgingData!$AV:$AV,""&amp;$A28&amp;"")</f>
        <v>0</v>
      </c>
      <c r="G28" s="2">
        <f>SUMIFS(CurrentMonthAgingData!$AN:$AN,CurrentMonthAgingData!$BC:$BC,"=5",CurrentMonthAgingData!$BA:$BA,"=Biocorrect",CurrentMonthAgingData!$AV:$AV,""&amp;$A28&amp;"")</f>
        <v>0</v>
      </c>
      <c r="H28" s="2">
        <f>SUMIFS(CurrentMonthAgingData!$AN:$AN,CurrentMonthAgingData!$BC:$BC,"=6",CurrentMonthAgingData!$BA:$BA,"=Biocorrect",CurrentMonthAgingData!$AV:$AV,""&amp;$A28&amp;"")</f>
        <v>0</v>
      </c>
      <c r="I28" s="2">
        <f>SUMIFS(CurrentMonthAgingData!$AN:$AN,CurrentMonthAgingData!$BC:$BC,"=7",CurrentMonthAgingData!$BA:$BA,"=Biocorrect",CurrentMonthAgingData!$AV:$AV,""&amp;$A28&amp;"")</f>
        <v>0</v>
      </c>
      <c r="J28" s="2">
        <f>SUMIFS(CurrentMonthAgingData!$AN:$AN,CurrentMonthAgingData!$BC:$BC,"=8",CurrentMonthAgingData!$BA:$BA,"=Biocorrect",CurrentMonthAgingData!$AV:$AV,""&amp;$A28&amp;"")</f>
        <v>-35</v>
      </c>
      <c r="K28" s="2">
        <f t="shared" si="10"/>
        <v>-35</v>
      </c>
      <c r="M28" s="1" t="s">
        <v>90</v>
      </c>
      <c r="N28" s="2">
        <v>0</v>
      </c>
      <c r="O28" s="2">
        <v>0</v>
      </c>
      <c r="P28" s="2">
        <v>0</v>
      </c>
      <c r="Q28" s="2">
        <v>0</v>
      </c>
      <c r="R28" s="2">
        <v>0</v>
      </c>
      <c r="S28" s="2">
        <v>0</v>
      </c>
      <c r="T28" s="2">
        <v>0</v>
      </c>
      <c r="U28" s="2">
        <v>-35</v>
      </c>
      <c r="V28" s="2">
        <f t="shared" si="8"/>
        <v>-35</v>
      </c>
      <c r="X28" s="1" t="s">
        <v>90</v>
      </c>
      <c r="Y28" s="2">
        <f t="shared" si="0"/>
        <v>0</v>
      </c>
      <c r="Z28" s="2">
        <f t="shared" si="1"/>
        <v>0</v>
      </c>
      <c r="AA28" s="2">
        <f t="shared" si="2"/>
        <v>0</v>
      </c>
      <c r="AB28" s="2">
        <f t="shared" si="3"/>
        <v>0</v>
      </c>
      <c r="AC28" s="2">
        <f t="shared" si="4"/>
        <v>0</v>
      </c>
      <c r="AD28" s="2">
        <f t="shared" si="5"/>
        <v>0</v>
      </c>
      <c r="AE28" s="2">
        <f t="shared" si="6"/>
        <v>0</v>
      </c>
      <c r="AF28" s="2">
        <f t="shared" si="7"/>
        <v>0</v>
      </c>
      <c r="AG28" s="2">
        <f t="shared" si="9"/>
        <v>0</v>
      </c>
    </row>
    <row r="29" spans="1:33" x14ac:dyDescent="0.25">
      <c r="A29" t="s">
        <v>1096</v>
      </c>
      <c r="B29" s="1" t="s">
        <v>1100</v>
      </c>
      <c r="C29" s="2">
        <f>SUMIFS(CurrentMonthAgingData!$AN:$AN,CurrentMonthAgingData!$BC:$BC,"=1",CurrentMonthAgingData!$BA:$BA,"=Biocorrect",CurrentMonthAgingData!$AV:$AV,""&amp;$A29&amp;"")</f>
        <v>0</v>
      </c>
      <c r="D29" s="2">
        <f>SUMIFS(CurrentMonthAgingData!$AN:$AN,CurrentMonthAgingData!$BC:$BC,"=2",CurrentMonthAgingData!$BA:$BA,"=Biocorrect",CurrentMonthAgingData!$AV:$AV,""&amp;$A29&amp;"")</f>
        <v>0</v>
      </c>
      <c r="E29" s="2">
        <f>SUMIFS(CurrentMonthAgingData!$AN:$AN,CurrentMonthAgingData!$BC:$BC,"=3",CurrentMonthAgingData!$BA:$BA,"=Biocorrect",CurrentMonthAgingData!$AV:$AV,""&amp;$A29&amp;"")</f>
        <v>0</v>
      </c>
      <c r="F29" s="2">
        <f>SUMIFS(CurrentMonthAgingData!$AN:$AN,CurrentMonthAgingData!$BC:$BC,"=4",CurrentMonthAgingData!$BA:$BA,"=Biocorrect",CurrentMonthAgingData!$AV:$AV,""&amp;$A29&amp;"")</f>
        <v>0</v>
      </c>
      <c r="G29" s="2">
        <f>SUMIFS(CurrentMonthAgingData!$AN:$AN,CurrentMonthAgingData!$BC:$BC,"=5",CurrentMonthAgingData!$BA:$BA,"=Biocorrect",CurrentMonthAgingData!$AV:$AV,""&amp;$A29&amp;"")</f>
        <v>0</v>
      </c>
      <c r="H29" s="2">
        <f>SUMIFS(CurrentMonthAgingData!$AN:$AN,CurrentMonthAgingData!$BC:$BC,"=6",CurrentMonthAgingData!$BA:$BA,"=Biocorrect",CurrentMonthAgingData!$AV:$AV,""&amp;$A29&amp;"")</f>
        <v>0</v>
      </c>
      <c r="I29" s="2">
        <f>SUMIFS(CurrentMonthAgingData!$AN:$AN,CurrentMonthAgingData!$BC:$BC,"=7",CurrentMonthAgingData!$BA:$BA,"=Biocorrect",CurrentMonthAgingData!$AV:$AV,""&amp;$A29&amp;"")</f>
        <v>0</v>
      </c>
      <c r="J29" s="2">
        <f>SUMIFS(CurrentMonthAgingData!$AN:$AN,CurrentMonthAgingData!$BC:$BC,"=8",CurrentMonthAgingData!$BA:$BA,"=Biocorrect",CurrentMonthAgingData!$AV:$AV,""&amp;$A29&amp;"")</f>
        <v>0</v>
      </c>
      <c r="K29" s="2">
        <f t="shared" si="10"/>
        <v>0</v>
      </c>
      <c r="M29" s="1" t="s">
        <v>1100</v>
      </c>
      <c r="N29" s="2">
        <v>864</v>
      </c>
      <c r="O29" s="2">
        <v>0</v>
      </c>
      <c r="P29" s="2">
        <v>0</v>
      </c>
      <c r="Q29" s="2">
        <v>0</v>
      </c>
      <c r="R29" s="2">
        <v>0</v>
      </c>
      <c r="S29" s="2">
        <v>0</v>
      </c>
      <c r="T29" s="2">
        <v>0</v>
      </c>
      <c r="U29" s="2">
        <v>0</v>
      </c>
      <c r="V29" s="2">
        <f t="shared" si="8"/>
        <v>864</v>
      </c>
      <c r="X29" s="1" t="s">
        <v>1100</v>
      </c>
      <c r="Y29" s="2">
        <f t="shared" si="0"/>
        <v>-864</v>
      </c>
      <c r="Z29" s="2">
        <f t="shared" si="1"/>
        <v>0</v>
      </c>
      <c r="AA29" s="2">
        <f t="shared" si="2"/>
        <v>0</v>
      </c>
      <c r="AB29" s="2">
        <f t="shared" si="3"/>
        <v>0</v>
      </c>
      <c r="AC29" s="2">
        <f t="shared" si="4"/>
        <v>0</v>
      </c>
      <c r="AD29" s="2">
        <f t="shared" si="5"/>
        <v>0</v>
      </c>
      <c r="AE29" s="2">
        <f t="shared" si="6"/>
        <v>0</v>
      </c>
      <c r="AF29" s="2">
        <f t="shared" si="7"/>
        <v>0</v>
      </c>
      <c r="AG29" s="2">
        <f t="shared" si="9"/>
        <v>-864</v>
      </c>
    </row>
    <row r="30" spans="1:33" x14ac:dyDescent="0.25">
      <c r="A30" t="s">
        <v>89</v>
      </c>
      <c r="B30" s="1" t="s">
        <v>89</v>
      </c>
      <c r="C30" s="2">
        <f>SUMIFS(CurrentMonthAgingData!$AN:$AN,CurrentMonthAgingData!$BC:$BC,"=1",CurrentMonthAgingData!$BA:$BA,"=Biocorrect",CurrentMonthAgingData!$AV:$AV,""&amp;$A30&amp;"")</f>
        <v>0</v>
      </c>
      <c r="D30" s="2">
        <f>SUMIFS(CurrentMonthAgingData!$AN:$AN,CurrentMonthAgingData!$BC:$BC,"=2",CurrentMonthAgingData!$BA:$BA,"=Biocorrect",CurrentMonthAgingData!$AV:$AV,""&amp;$A30&amp;"")</f>
        <v>0</v>
      </c>
      <c r="E30" s="2">
        <f>SUMIFS(CurrentMonthAgingData!$AN:$AN,CurrentMonthAgingData!$BC:$BC,"=3",CurrentMonthAgingData!$BA:$BA,"=Biocorrect",CurrentMonthAgingData!$AV:$AV,""&amp;$A30&amp;"")</f>
        <v>0</v>
      </c>
      <c r="F30" s="2">
        <f>SUMIFS(CurrentMonthAgingData!$AN:$AN,CurrentMonthAgingData!$BC:$BC,"=4",CurrentMonthAgingData!$BA:$BA,"=Biocorrect",CurrentMonthAgingData!$AV:$AV,""&amp;$A30&amp;"")</f>
        <v>0</v>
      </c>
      <c r="G30" s="2">
        <f>SUMIFS(CurrentMonthAgingData!$AN:$AN,CurrentMonthAgingData!$BC:$BC,"=5",CurrentMonthAgingData!$BA:$BA,"=Biocorrect",CurrentMonthAgingData!$AV:$AV,""&amp;$A30&amp;"")</f>
        <v>0</v>
      </c>
      <c r="H30" s="2">
        <f>SUMIFS(CurrentMonthAgingData!$AN:$AN,CurrentMonthAgingData!$BC:$BC,"=6",CurrentMonthAgingData!$BA:$BA,"=Biocorrect",CurrentMonthAgingData!$AV:$AV,""&amp;$A30&amp;"")</f>
        <v>0</v>
      </c>
      <c r="I30" s="2">
        <f>SUMIFS(CurrentMonthAgingData!$AN:$AN,CurrentMonthAgingData!$BC:$BC,"=7",CurrentMonthAgingData!$BA:$BA,"=Biocorrect",CurrentMonthAgingData!$AV:$AV,""&amp;$A30&amp;"")</f>
        <v>0</v>
      </c>
      <c r="J30" s="2">
        <f>SUMIFS(CurrentMonthAgingData!$AN:$AN,CurrentMonthAgingData!$BC:$BC,"=8",CurrentMonthAgingData!$BA:$BA,"=Biocorrect",CurrentMonthAgingData!$AV:$AV,""&amp;$A30&amp;"")</f>
        <v>0</v>
      </c>
      <c r="K30" s="2">
        <f t="shared" si="10"/>
        <v>0</v>
      </c>
      <c r="M30" s="1" t="s">
        <v>89</v>
      </c>
      <c r="N30" s="2">
        <v>0</v>
      </c>
      <c r="O30" s="2">
        <v>0</v>
      </c>
      <c r="P30" s="2">
        <v>0</v>
      </c>
      <c r="Q30" s="2">
        <v>0</v>
      </c>
      <c r="R30" s="2">
        <v>0</v>
      </c>
      <c r="S30" s="2">
        <v>0</v>
      </c>
      <c r="T30" s="2">
        <v>0</v>
      </c>
      <c r="U30" s="2">
        <v>0</v>
      </c>
      <c r="V30" s="2">
        <f t="shared" si="8"/>
        <v>0</v>
      </c>
      <c r="X30" s="1" t="s">
        <v>89</v>
      </c>
      <c r="Y30" s="2">
        <f t="shared" si="0"/>
        <v>0</v>
      </c>
      <c r="Z30" s="2">
        <f t="shared" si="1"/>
        <v>0</v>
      </c>
      <c r="AA30" s="2">
        <f t="shared" si="2"/>
        <v>0</v>
      </c>
      <c r="AB30" s="2">
        <f t="shared" si="3"/>
        <v>0</v>
      </c>
      <c r="AC30" s="2">
        <f t="shared" si="4"/>
        <v>0</v>
      </c>
      <c r="AD30" s="2">
        <f t="shared" si="5"/>
        <v>0</v>
      </c>
      <c r="AE30" s="2">
        <f t="shared" si="6"/>
        <v>0</v>
      </c>
      <c r="AF30" s="2">
        <f t="shared" si="7"/>
        <v>0</v>
      </c>
      <c r="AG30" s="2">
        <f t="shared" si="9"/>
        <v>0</v>
      </c>
    </row>
    <row r="31" spans="1:33" x14ac:dyDescent="0.25">
      <c r="A31" t="s">
        <v>5</v>
      </c>
      <c r="B31" s="1" t="s">
        <v>5</v>
      </c>
      <c r="C31" s="2">
        <f>SUMIFS(CurrentMonthAgingData!$AN:$AN,CurrentMonthAgingData!$BC:$BC,"=1",CurrentMonthAgingData!$BA:$BA,"=Biocorrect",CurrentMonthAgingData!$AV:$AV,""&amp;$A31&amp;"")</f>
        <v>0</v>
      </c>
      <c r="D31" s="2">
        <f>SUMIFS(CurrentMonthAgingData!$AN:$AN,CurrentMonthAgingData!$BC:$BC,"=2",CurrentMonthAgingData!$BA:$BA,"=Biocorrect",CurrentMonthAgingData!$AV:$AV,""&amp;$A31&amp;"")</f>
        <v>0</v>
      </c>
      <c r="E31" s="2">
        <f>SUMIFS(CurrentMonthAgingData!$AN:$AN,CurrentMonthAgingData!$BC:$BC,"=3",CurrentMonthAgingData!$BA:$BA,"=Biocorrect",CurrentMonthAgingData!$AV:$AV,""&amp;$A31&amp;"")</f>
        <v>0</v>
      </c>
      <c r="F31" s="2">
        <f>SUMIFS(CurrentMonthAgingData!$AN:$AN,CurrentMonthAgingData!$BC:$BC,"=4",CurrentMonthAgingData!$BA:$BA,"=Biocorrect",CurrentMonthAgingData!$AV:$AV,""&amp;$A31&amp;"")</f>
        <v>0</v>
      </c>
      <c r="G31" s="2">
        <f>SUMIFS(CurrentMonthAgingData!$AN:$AN,CurrentMonthAgingData!$BC:$BC,"=5",CurrentMonthAgingData!$BA:$BA,"=Biocorrect",CurrentMonthAgingData!$AV:$AV,""&amp;$A31&amp;"")</f>
        <v>0</v>
      </c>
      <c r="H31" s="2">
        <f>SUMIFS(CurrentMonthAgingData!$AN:$AN,CurrentMonthAgingData!$BC:$BC,"=6",CurrentMonthAgingData!$BA:$BA,"=Biocorrect",CurrentMonthAgingData!$AV:$AV,""&amp;$A31&amp;"")</f>
        <v>0</v>
      </c>
      <c r="I31" s="2">
        <f>SUMIFS(CurrentMonthAgingData!$AN:$AN,CurrentMonthAgingData!$BC:$BC,"=7",CurrentMonthAgingData!$BA:$BA,"=Biocorrect",CurrentMonthAgingData!$AV:$AV,""&amp;$A31&amp;"")</f>
        <v>0</v>
      </c>
      <c r="J31" s="2">
        <f>SUMIFS(CurrentMonthAgingData!$AN:$AN,CurrentMonthAgingData!$BC:$BC,"=8",CurrentMonthAgingData!$BA:$BA,"=Biocorrect",CurrentMonthAgingData!$AV:$AV,""&amp;$A31&amp;"")</f>
        <v>0</v>
      </c>
      <c r="K31" s="2">
        <f>SUM(C31:J31)</f>
        <v>0</v>
      </c>
      <c r="M31" s="1" t="s">
        <v>5</v>
      </c>
      <c r="N31" s="2">
        <v>0</v>
      </c>
      <c r="O31" s="2">
        <v>0</v>
      </c>
      <c r="P31" s="2">
        <v>0</v>
      </c>
      <c r="Q31" s="2">
        <v>0</v>
      </c>
      <c r="R31" s="2">
        <v>0</v>
      </c>
      <c r="S31" s="2">
        <v>0</v>
      </c>
      <c r="T31" s="2">
        <v>0</v>
      </c>
      <c r="U31" s="2">
        <v>0</v>
      </c>
      <c r="V31" s="2">
        <f t="shared" si="8"/>
        <v>0</v>
      </c>
      <c r="X31" s="1" t="s">
        <v>5</v>
      </c>
      <c r="Y31" s="2">
        <f t="shared" si="0"/>
        <v>0</v>
      </c>
      <c r="Z31" s="2">
        <f t="shared" si="1"/>
        <v>0</v>
      </c>
      <c r="AA31" s="2">
        <f t="shared" si="2"/>
        <v>0</v>
      </c>
      <c r="AB31" s="2">
        <f t="shared" si="3"/>
        <v>0</v>
      </c>
      <c r="AC31" s="2">
        <f t="shared" si="4"/>
        <v>0</v>
      </c>
      <c r="AD31" s="2">
        <f t="shared" si="5"/>
        <v>0</v>
      </c>
      <c r="AE31" s="2">
        <f t="shared" si="6"/>
        <v>0</v>
      </c>
      <c r="AF31" s="2">
        <f t="shared" si="7"/>
        <v>0</v>
      </c>
      <c r="AG31" s="2">
        <f t="shared" si="9"/>
        <v>0</v>
      </c>
    </row>
    <row r="32" spans="1:33" x14ac:dyDescent="0.25">
      <c r="A32" t="s">
        <v>84</v>
      </c>
      <c r="B32" s="1" t="s">
        <v>84</v>
      </c>
      <c r="C32" s="2">
        <f>SUMIFS(CurrentMonthAgingData!$AN:$AN,CurrentMonthAgingData!$BC:$BC,"=1",CurrentMonthAgingData!$BA:$BA,"=Biocorrect",CurrentMonthAgingData!$AV:$AV,""&amp;$A32&amp;"")</f>
        <v>0</v>
      </c>
      <c r="D32" s="2">
        <f>SUMIFS(CurrentMonthAgingData!$AN:$AN,CurrentMonthAgingData!$BC:$BC,"=2",CurrentMonthAgingData!$BA:$BA,"=Biocorrect",CurrentMonthAgingData!$AV:$AV,""&amp;$A32&amp;"")</f>
        <v>0</v>
      </c>
      <c r="E32" s="2">
        <f>SUMIFS(CurrentMonthAgingData!$AN:$AN,CurrentMonthAgingData!$BC:$BC,"=3",CurrentMonthAgingData!$BA:$BA,"=Biocorrect",CurrentMonthAgingData!$AV:$AV,""&amp;$A32&amp;"")</f>
        <v>0</v>
      </c>
      <c r="F32" s="2">
        <f>SUMIFS(CurrentMonthAgingData!$AN:$AN,CurrentMonthAgingData!$BC:$BC,"=4",CurrentMonthAgingData!$BA:$BA,"=Biocorrect",CurrentMonthAgingData!$AV:$AV,""&amp;$A32&amp;"")</f>
        <v>0</v>
      </c>
      <c r="G32" s="2">
        <f>SUMIFS(CurrentMonthAgingData!$AN:$AN,CurrentMonthAgingData!$BC:$BC,"=5",CurrentMonthAgingData!$BA:$BA,"=Biocorrect",CurrentMonthAgingData!$AV:$AV,""&amp;$A32&amp;"")</f>
        <v>0</v>
      </c>
      <c r="H32" s="2">
        <f>SUMIFS(CurrentMonthAgingData!$AN:$AN,CurrentMonthAgingData!$BC:$BC,"=6",CurrentMonthAgingData!$BA:$BA,"=Biocorrect",CurrentMonthAgingData!$AV:$AV,""&amp;$A32&amp;"")</f>
        <v>0</v>
      </c>
      <c r="I32" s="2">
        <f>SUMIFS(CurrentMonthAgingData!$AN:$AN,CurrentMonthAgingData!$BC:$BC,"=7",CurrentMonthAgingData!$BA:$BA,"=Biocorrect",CurrentMonthAgingData!$AV:$AV,""&amp;$A32&amp;"")</f>
        <v>0</v>
      </c>
      <c r="J32" s="2">
        <f>SUMIFS(CurrentMonthAgingData!$AN:$AN,CurrentMonthAgingData!$BC:$BC,"=8",CurrentMonthAgingData!$BA:$BA,"=Biocorrect",CurrentMonthAgingData!$AV:$AV,""&amp;$A32&amp;"")</f>
        <v>0</v>
      </c>
      <c r="K32" s="2">
        <f t="shared" si="10"/>
        <v>0</v>
      </c>
      <c r="M32" s="1" t="s">
        <v>84</v>
      </c>
      <c r="N32" s="2">
        <v>0</v>
      </c>
      <c r="O32" s="2">
        <v>0</v>
      </c>
      <c r="P32" s="2">
        <v>0</v>
      </c>
      <c r="Q32" s="2">
        <v>0</v>
      </c>
      <c r="R32" s="2">
        <v>0</v>
      </c>
      <c r="S32" s="2">
        <v>0</v>
      </c>
      <c r="T32" s="2">
        <v>0</v>
      </c>
      <c r="U32" s="2">
        <v>0</v>
      </c>
      <c r="V32" s="2">
        <f t="shared" si="8"/>
        <v>0</v>
      </c>
      <c r="X32" s="1" t="s">
        <v>84</v>
      </c>
      <c r="Y32" s="2">
        <f t="shared" si="0"/>
        <v>0</v>
      </c>
      <c r="Z32" s="2">
        <f t="shared" si="1"/>
        <v>0</v>
      </c>
      <c r="AA32" s="2">
        <f t="shared" si="2"/>
        <v>0</v>
      </c>
      <c r="AB32" s="2">
        <f t="shared" si="3"/>
        <v>0</v>
      </c>
      <c r="AC32" s="2">
        <f t="shared" si="4"/>
        <v>0</v>
      </c>
      <c r="AD32" s="2">
        <f t="shared" si="5"/>
        <v>0</v>
      </c>
      <c r="AE32" s="2">
        <f t="shared" si="6"/>
        <v>0</v>
      </c>
      <c r="AF32" s="2">
        <f t="shared" si="7"/>
        <v>0</v>
      </c>
      <c r="AG32" s="2">
        <f t="shared" si="9"/>
        <v>0</v>
      </c>
    </row>
    <row r="33" spans="1:33" x14ac:dyDescent="0.25">
      <c r="A33" t="s">
        <v>4</v>
      </c>
      <c r="B33" s="1" t="s">
        <v>4</v>
      </c>
      <c r="C33" s="2">
        <f>SUMIFS(CurrentMonthAgingData!$AN:$AN,CurrentMonthAgingData!$BC:$BC,"=1",CurrentMonthAgingData!$BA:$BA,"=Biocorrect",CurrentMonthAgingData!$AV:$AV,""&amp;$A33&amp;"")</f>
        <v>432</v>
      </c>
      <c r="D33" s="2">
        <f>SUMIFS(CurrentMonthAgingData!$AN:$AN,CurrentMonthAgingData!$BC:$BC,"=2",CurrentMonthAgingData!$BA:$BA,"=Biocorrect",CurrentMonthAgingData!$AV:$AV,""&amp;$A33&amp;"")</f>
        <v>0</v>
      </c>
      <c r="E33" s="2">
        <f>SUMIFS(CurrentMonthAgingData!$AN:$AN,CurrentMonthAgingData!$BC:$BC,"=3",CurrentMonthAgingData!$BA:$BA,"=Biocorrect",CurrentMonthAgingData!$AV:$AV,""&amp;$A33&amp;"")</f>
        <v>0</v>
      </c>
      <c r="F33" s="2">
        <f>SUMIFS(CurrentMonthAgingData!$AN:$AN,CurrentMonthAgingData!$BC:$BC,"=4",CurrentMonthAgingData!$BA:$BA,"=Biocorrect",CurrentMonthAgingData!$AV:$AV,""&amp;$A33&amp;"")</f>
        <v>0</v>
      </c>
      <c r="G33" s="2">
        <f>SUMIFS(CurrentMonthAgingData!$AN:$AN,CurrentMonthAgingData!$BC:$BC,"=5",CurrentMonthAgingData!$BA:$BA,"=Biocorrect",CurrentMonthAgingData!$AV:$AV,""&amp;$A33&amp;"")</f>
        <v>0</v>
      </c>
      <c r="H33" s="2">
        <f>SUMIFS(CurrentMonthAgingData!$AN:$AN,CurrentMonthAgingData!$BC:$BC,"=6",CurrentMonthAgingData!$BA:$BA,"=Biocorrect",CurrentMonthAgingData!$AV:$AV,""&amp;$A33&amp;"")</f>
        <v>0</v>
      </c>
      <c r="I33" s="2">
        <f>SUMIFS(CurrentMonthAgingData!$AN:$AN,CurrentMonthAgingData!$BC:$BC,"=7",CurrentMonthAgingData!$BA:$BA,"=Biocorrect",CurrentMonthAgingData!$AV:$AV,""&amp;$A33&amp;"")</f>
        <v>0</v>
      </c>
      <c r="J33" s="2">
        <f>SUMIFS(CurrentMonthAgingData!$AN:$AN,CurrentMonthAgingData!$BC:$BC,"=8",CurrentMonthAgingData!$BA:$BA,"=Biocorrect",CurrentMonthAgingData!$AV:$AV,""&amp;$A33&amp;"")</f>
        <v>0</v>
      </c>
      <c r="K33" s="2">
        <f t="shared" si="10"/>
        <v>432</v>
      </c>
      <c r="M33" s="1" t="s">
        <v>4</v>
      </c>
      <c r="N33" s="2">
        <v>0</v>
      </c>
      <c r="O33" s="2">
        <v>0</v>
      </c>
      <c r="P33" s="2">
        <v>0</v>
      </c>
      <c r="Q33" s="2">
        <v>0</v>
      </c>
      <c r="R33" s="2">
        <v>0</v>
      </c>
      <c r="S33" s="2">
        <v>0</v>
      </c>
      <c r="T33" s="2">
        <v>0</v>
      </c>
      <c r="U33" s="2">
        <v>0</v>
      </c>
      <c r="V33" s="2">
        <f t="shared" si="8"/>
        <v>0</v>
      </c>
      <c r="X33" s="1" t="s">
        <v>4</v>
      </c>
      <c r="Y33" s="2">
        <f t="shared" si="0"/>
        <v>432</v>
      </c>
      <c r="Z33" s="2">
        <f t="shared" si="1"/>
        <v>0</v>
      </c>
      <c r="AA33" s="2">
        <f t="shared" si="2"/>
        <v>0</v>
      </c>
      <c r="AB33" s="2">
        <f t="shared" si="3"/>
        <v>0</v>
      </c>
      <c r="AC33" s="2">
        <f t="shared" si="4"/>
        <v>0</v>
      </c>
      <c r="AD33" s="2">
        <f t="shared" si="5"/>
        <v>0</v>
      </c>
      <c r="AE33" s="2">
        <f t="shared" si="6"/>
        <v>0</v>
      </c>
      <c r="AF33" s="2">
        <f t="shared" si="7"/>
        <v>0</v>
      </c>
      <c r="AG33" s="2">
        <f t="shared" si="9"/>
        <v>432</v>
      </c>
    </row>
    <row r="34" spans="1:33" x14ac:dyDescent="0.25">
      <c r="A34" t="s">
        <v>51</v>
      </c>
      <c r="B34" s="1" t="s">
        <v>51</v>
      </c>
      <c r="C34" s="2">
        <f>SUMIFS(CurrentMonthAgingData!$AN:$AN,CurrentMonthAgingData!$BC:$BC,"=1",CurrentMonthAgingData!$BA:$BA,"=Biocorrect",CurrentMonthAgingData!$AV:$AV,""&amp;$A34&amp;"")</f>
        <v>432</v>
      </c>
      <c r="D34" s="2">
        <f>SUMIFS(CurrentMonthAgingData!$AN:$AN,CurrentMonthAgingData!$BC:$BC,"=2",CurrentMonthAgingData!$BA:$BA,"=Biocorrect",CurrentMonthAgingData!$AV:$AV,""&amp;$A34&amp;"")</f>
        <v>0</v>
      </c>
      <c r="E34" s="2">
        <f>SUMIFS(CurrentMonthAgingData!$AN:$AN,CurrentMonthAgingData!$BC:$BC,"=3",CurrentMonthAgingData!$BA:$BA,"=Biocorrect",CurrentMonthAgingData!$AV:$AV,""&amp;$A34&amp;"")</f>
        <v>0</v>
      </c>
      <c r="F34" s="2">
        <f>SUMIFS(CurrentMonthAgingData!$AN:$AN,CurrentMonthAgingData!$BC:$BC,"=4",CurrentMonthAgingData!$BA:$BA,"=Biocorrect",CurrentMonthAgingData!$AV:$AV,""&amp;$A34&amp;"")</f>
        <v>0</v>
      </c>
      <c r="G34" s="2">
        <f>SUMIFS(CurrentMonthAgingData!$AN:$AN,CurrentMonthAgingData!$BC:$BC,"=5",CurrentMonthAgingData!$BA:$BA,"=Biocorrect",CurrentMonthAgingData!$AV:$AV,""&amp;$A34&amp;"")</f>
        <v>0</v>
      </c>
      <c r="H34" s="2">
        <f>SUMIFS(CurrentMonthAgingData!$AN:$AN,CurrentMonthAgingData!$BC:$BC,"=6",CurrentMonthAgingData!$BA:$BA,"=Biocorrect",CurrentMonthAgingData!$AV:$AV,""&amp;$A34&amp;"")</f>
        <v>0</v>
      </c>
      <c r="I34" s="2">
        <f>SUMIFS(CurrentMonthAgingData!$AN:$AN,CurrentMonthAgingData!$BC:$BC,"=7",CurrentMonthAgingData!$BA:$BA,"=Biocorrect",CurrentMonthAgingData!$AV:$AV,""&amp;$A34&amp;"")</f>
        <v>0</v>
      </c>
      <c r="J34" s="2">
        <f>SUMIFS(CurrentMonthAgingData!$AN:$AN,CurrentMonthAgingData!$BC:$BC,"=8",CurrentMonthAgingData!$BA:$BA,"=Biocorrect",CurrentMonthAgingData!$AV:$AV,""&amp;$A34&amp;"")</f>
        <v>0</v>
      </c>
      <c r="K34" s="2">
        <f t="shared" si="10"/>
        <v>432</v>
      </c>
      <c r="M34" s="1" t="s">
        <v>51</v>
      </c>
      <c r="N34" s="2">
        <v>432</v>
      </c>
      <c r="O34" s="2">
        <v>0</v>
      </c>
      <c r="P34" s="2">
        <v>0</v>
      </c>
      <c r="Q34" s="2">
        <v>0</v>
      </c>
      <c r="R34" s="2">
        <v>0</v>
      </c>
      <c r="S34" s="2">
        <v>0</v>
      </c>
      <c r="T34" s="2">
        <v>0</v>
      </c>
      <c r="U34" s="2">
        <v>0</v>
      </c>
      <c r="V34" s="2">
        <f t="shared" si="8"/>
        <v>432</v>
      </c>
      <c r="X34" s="1" t="s">
        <v>51</v>
      </c>
      <c r="Y34" s="2">
        <f t="shared" si="0"/>
        <v>0</v>
      </c>
      <c r="Z34" s="2">
        <f t="shared" si="1"/>
        <v>0</v>
      </c>
      <c r="AA34" s="2">
        <f t="shared" si="2"/>
        <v>0</v>
      </c>
      <c r="AB34" s="2">
        <f t="shared" si="3"/>
        <v>0</v>
      </c>
      <c r="AC34" s="2">
        <f t="shared" si="4"/>
        <v>0</v>
      </c>
      <c r="AD34" s="2">
        <f t="shared" si="5"/>
        <v>0</v>
      </c>
      <c r="AE34" s="2">
        <f t="shared" si="6"/>
        <v>0</v>
      </c>
      <c r="AF34" s="2">
        <f t="shared" si="7"/>
        <v>0</v>
      </c>
      <c r="AG34" s="2">
        <f t="shared" si="9"/>
        <v>0</v>
      </c>
    </row>
    <row r="35" spans="1:33" x14ac:dyDescent="0.25">
      <c r="A35" t="s">
        <v>87</v>
      </c>
      <c r="B35" s="1" t="s">
        <v>87</v>
      </c>
      <c r="C35" s="2">
        <f>SUMIFS(CurrentMonthAgingData!$AN:$AN,CurrentMonthAgingData!$BC:$BC,"=1",CurrentMonthAgingData!$BA:$BA,"=Biocorrect",CurrentMonthAgingData!$AV:$AV,""&amp;$A35&amp;"")</f>
        <v>0</v>
      </c>
      <c r="D35" s="2">
        <f>SUMIFS(CurrentMonthAgingData!$AN:$AN,CurrentMonthAgingData!$BC:$BC,"=2",CurrentMonthAgingData!$BA:$BA,"=Biocorrect",CurrentMonthAgingData!$AV:$AV,""&amp;$A35&amp;"")</f>
        <v>0</v>
      </c>
      <c r="E35" s="2">
        <f>SUMIFS(CurrentMonthAgingData!$AN:$AN,CurrentMonthAgingData!$BC:$BC,"=3",CurrentMonthAgingData!$BA:$BA,"=Biocorrect",CurrentMonthAgingData!$AV:$AV,""&amp;$A35&amp;"")</f>
        <v>0</v>
      </c>
      <c r="F35" s="2">
        <f>SUMIFS(CurrentMonthAgingData!$AN:$AN,CurrentMonthAgingData!$BC:$BC,"=4",CurrentMonthAgingData!$BA:$BA,"=Biocorrect",CurrentMonthAgingData!$AV:$AV,""&amp;$A35&amp;"")</f>
        <v>0</v>
      </c>
      <c r="G35" s="2">
        <f>SUMIFS(CurrentMonthAgingData!$AN:$AN,CurrentMonthAgingData!$BC:$BC,"=5",CurrentMonthAgingData!$BA:$BA,"=Biocorrect",CurrentMonthAgingData!$AV:$AV,""&amp;$A35&amp;"")</f>
        <v>0</v>
      </c>
      <c r="H35" s="2">
        <f>SUMIFS(CurrentMonthAgingData!$AN:$AN,CurrentMonthAgingData!$BC:$BC,"=6",CurrentMonthAgingData!$BA:$BA,"=Biocorrect",CurrentMonthAgingData!$AV:$AV,""&amp;$A35&amp;"")</f>
        <v>0</v>
      </c>
      <c r="I35" s="2">
        <f>SUMIFS(CurrentMonthAgingData!$AN:$AN,CurrentMonthAgingData!$BC:$BC,"=7",CurrentMonthAgingData!$BA:$BA,"=Biocorrect",CurrentMonthAgingData!$AV:$AV,""&amp;$A35&amp;"")</f>
        <v>0</v>
      </c>
      <c r="J35" s="2">
        <f>SUMIFS(CurrentMonthAgingData!$AN:$AN,CurrentMonthAgingData!$BC:$BC,"=8",CurrentMonthAgingData!$BA:$BA,"=Biocorrect",CurrentMonthAgingData!$AV:$AV,""&amp;$A35&amp;"")</f>
        <v>0</v>
      </c>
      <c r="K35" s="2">
        <f t="shared" si="10"/>
        <v>0</v>
      </c>
      <c r="M35" s="1" t="s">
        <v>87</v>
      </c>
      <c r="N35" s="2">
        <v>0</v>
      </c>
      <c r="O35" s="2">
        <v>0</v>
      </c>
      <c r="P35" s="2">
        <v>0</v>
      </c>
      <c r="Q35" s="2">
        <v>0</v>
      </c>
      <c r="R35" s="2">
        <v>0</v>
      </c>
      <c r="S35" s="2">
        <v>0</v>
      </c>
      <c r="T35" s="2">
        <v>0</v>
      </c>
      <c r="U35" s="2">
        <v>0</v>
      </c>
      <c r="V35" s="2">
        <f t="shared" si="8"/>
        <v>0</v>
      </c>
      <c r="X35" s="1" t="s">
        <v>87</v>
      </c>
      <c r="Y35" s="2">
        <f t="shared" si="0"/>
        <v>0</v>
      </c>
      <c r="Z35" s="2">
        <f t="shared" si="1"/>
        <v>0</v>
      </c>
      <c r="AA35" s="2">
        <f t="shared" si="2"/>
        <v>0</v>
      </c>
      <c r="AB35" s="2">
        <f t="shared" si="3"/>
        <v>0</v>
      </c>
      <c r="AC35" s="2">
        <f t="shared" si="4"/>
        <v>0</v>
      </c>
      <c r="AD35" s="2">
        <f t="shared" si="5"/>
        <v>0</v>
      </c>
      <c r="AE35" s="2">
        <f t="shared" si="6"/>
        <v>0</v>
      </c>
      <c r="AF35" s="2">
        <f t="shared" si="7"/>
        <v>0</v>
      </c>
      <c r="AG35" s="2">
        <f t="shared" si="9"/>
        <v>0</v>
      </c>
    </row>
    <row r="36" spans="1:33" x14ac:dyDescent="0.25">
      <c r="A36" t="s">
        <v>85</v>
      </c>
      <c r="B36" s="1" t="s">
        <v>85</v>
      </c>
      <c r="C36" s="2">
        <f>SUMIFS(CurrentMonthAgingData!$AN:$AN,CurrentMonthAgingData!$BC:$BC,"=1",CurrentMonthAgingData!$BA:$BA,"=Biocorrect",CurrentMonthAgingData!$AV:$AV,""&amp;$A36&amp;"")</f>
        <v>0</v>
      </c>
      <c r="D36" s="2">
        <f>SUMIFS(CurrentMonthAgingData!$AN:$AN,CurrentMonthAgingData!$BC:$BC,"=2",CurrentMonthAgingData!$BA:$BA,"=Biocorrect",CurrentMonthAgingData!$AV:$AV,""&amp;$A36&amp;"")</f>
        <v>0</v>
      </c>
      <c r="E36" s="2">
        <f>SUMIFS(CurrentMonthAgingData!$AN:$AN,CurrentMonthAgingData!$BC:$BC,"=3",CurrentMonthAgingData!$BA:$BA,"=Biocorrect",CurrentMonthAgingData!$AV:$AV,""&amp;$A36&amp;"")</f>
        <v>0</v>
      </c>
      <c r="F36" s="2">
        <f>SUMIFS(CurrentMonthAgingData!$AN:$AN,CurrentMonthAgingData!$BC:$BC,"=4",CurrentMonthAgingData!$BA:$BA,"=Biocorrect",CurrentMonthAgingData!$AV:$AV,""&amp;$A36&amp;"")</f>
        <v>0</v>
      </c>
      <c r="G36" s="2">
        <f>SUMIFS(CurrentMonthAgingData!$AN:$AN,CurrentMonthAgingData!$BC:$BC,"=5",CurrentMonthAgingData!$BA:$BA,"=Biocorrect",CurrentMonthAgingData!$AV:$AV,""&amp;$A36&amp;"")</f>
        <v>0</v>
      </c>
      <c r="H36" s="2">
        <f>SUMIFS(CurrentMonthAgingData!$AN:$AN,CurrentMonthAgingData!$BC:$BC,"=6",CurrentMonthAgingData!$BA:$BA,"=Biocorrect",CurrentMonthAgingData!$AV:$AV,""&amp;$A36&amp;"")</f>
        <v>0</v>
      </c>
      <c r="I36" s="2">
        <f>SUMIFS(CurrentMonthAgingData!$AN:$AN,CurrentMonthAgingData!$BC:$BC,"=7",CurrentMonthAgingData!$BA:$BA,"=Biocorrect",CurrentMonthAgingData!$AV:$AV,""&amp;$A36&amp;"")</f>
        <v>432</v>
      </c>
      <c r="J36" s="2">
        <f>SUMIFS(CurrentMonthAgingData!$AN:$AN,CurrentMonthAgingData!$BC:$BC,"=8",CurrentMonthAgingData!$BA:$BA,"=Biocorrect",CurrentMonthAgingData!$AV:$AV,""&amp;$A36&amp;"")</f>
        <v>0</v>
      </c>
      <c r="K36" s="2">
        <f t="shared" si="10"/>
        <v>432</v>
      </c>
      <c r="M36" s="1" t="s">
        <v>85</v>
      </c>
      <c r="N36" s="2">
        <v>0</v>
      </c>
      <c r="O36" s="2">
        <v>0</v>
      </c>
      <c r="P36" s="2">
        <v>0</v>
      </c>
      <c r="Q36" s="2">
        <v>0</v>
      </c>
      <c r="R36" s="2">
        <v>0</v>
      </c>
      <c r="S36" s="2">
        <v>0</v>
      </c>
      <c r="T36" s="2">
        <v>432</v>
      </c>
      <c r="U36" s="2">
        <v>0</v>
      </c>
      <c r="V36" s="2">
        <f t="shared" si="8"/>
        <v>432</v>
      </c>
      <c r="X36" s="1" t="s">
        <v>85</v>
      </c>
      <c r="Y36" s="2">
        <f t="shared" si="0"/>
        <v>0</v>
      </c>
      <c r="Z36" s="2">
        <f t="shared" si="1"/>
        <v>0</v>
      </c>
      <c r="AA36" s="2">
        <f t="shared" si="2"/>
        <v>0</v>
      </c>
      <c r="AB36" s="2">
        <f t="shared" si="3"/>
        <v>0</v>
      </c>
      <c r="AC36" s="2">
        <f t="shared" si="4"/>
        <v>0</v>
      </c>
      <c r="AD36" s="2">
        <f t="shared" si="5"/>
        <v>0</v>
      </c>
      <c r="AE36" s="2">
        <f t="shared" si="6"/>
        <v>0</v>
      </c>
      <c r="AF36" s="2">
        <f t="shared" si="7"/>
        <v>0</v>
      </c>
      <c r="AG36" s="2">
        <f t="shared" si="9"/>
        <v>0</v>
      </c>
    </row>
    <row r="37" spans="1:33" x14ac:dyDescent="0.25">
      <c r="A37" t="s">
        <v>1097</v>
      </c>
      <c r="B37" s="1" t="s">
        <v>2</v>
      </c>
      <c r="C37" s="2">
        <f>SUM(SUMIFS(CurrentMonthAgingData!$AN:$AN,CurrentMonthAgingData!$AV:$AV,{"Patient Pay","WHOLESALE ACCOUNTS"},CurrentMonthAgingData!$BC:$BC,"=1",CurrentMonthAgingData!$BA:$BA,"=Biocorrect"))</f>
        <v>721.31999999999971</v>
      </c>
      <c r="D37" s="2">
        <f>SUM(SUMIFS(CurrentMonthAgingData!$AN:$AN,CurrentMonthAgingData!$AV:$AV,{"Patient Pay","WHOLESALE ACCOUNTS"},CurrentMonthAgingData!$BC:$BC,"=2",CurrentMonthAgingData!$BA:$BA,"=Biocorrect"))</f>
        <v>3355.43</v>
      </c>
      <c r="E37" s="2">
        <f>SUM(SUMIFS(CurrentMonthAgingData!$AN:$AN,CurrentMonthAgingData!$AV:$AV,{"Patient Pay","WHOLESALE ACCOUNTS"},CurrentMonthAgingData!$BC:$BC,"=3",CurrentMonthAgingData!$BA:$BA,"=Biocorrect"))</f>
        <v>2210.86</v>
      </c>
      <c r="F37" s="2">
        <f>SUM(SUMIFS(CurrentMonthAgingData!$AN:$AN,CurrentMonthAgingData!$AV:$AV,{"Patient Pay","WHOLESALE ACCOUNTS"},CurrentMonthAgingData!$BC:$BC,"=4",CurrentMonthAgingData!$BA:$BA,"=Biocorrect"))</f>
        <v>540.72</v>
      </c>
      <c r="G37" s="2">
        <f>SUM(SUMIFS(CurrentMonthAgingData!$AN:$AN,CurrentMonthAgingData!$AV:$AV,{"Patient Pay","WHOLESALE ACCOUNTS"},CurrentMonthAgingData!$BC:$BC,"=5",CurrentMonthAgingData!$BA:$BA,"=Biocorrect"))</f>
        <v>548.73</v>
      </c>
      <c r="H37" s="2">
        <f>SUM(SUMIFS(CurrentMonthAgingData!$AN:$AN,CurrentMonthAgingData!$AV:$AV,{"Patient Pay","WHOLESALE ACCOUNTS"},CurrentMonthAgingData!$BC:$BC,"=6",CurrentMonthAgingData!$BA:$BA,"=Biocorrect"))</f>
        <v>1101.2</v>
      </c>
      <c r="I37" s="2">
        <f>SUM(SUMIFS(CurrentMonthAgingData!$AN:$AN,CurrentMonthAgingData!$AV:$AV,{"Patient Pay","WHOLESALE ACCOUNTS"},CurrentMonthAgingData!$BC:$BC,"=7",CurrentMonthAgingData!$BA:$BA,"=Biocorrect"))</f>
        <v>1017.48</v>
      </c>
      <c r="J37" s="2">
        <f>SUM(SUMIFS(CurrentMonthAgingData!$AN:$AN,CurrentMonthAgingData!$AV:$AV,{"Patient Pay","WHOLESALE ACCOUNTS"},CurrentMonthAgingData!$BC:$BC,"=8",CurrentMonthAgingData!$BA:$BA,"=Biocorrect"))</f>
        <v>253.96000000000015</v>
      </c>
      <c r="K37" s="2">
        <f t="shared" si="10"/>
        <v>9749.7000000000007</v>
      </c>
      <c r="M37" s="1" t="s">
        <v>2</v>
      </c>
      <c r="N37" s="2">
        <v>2492.6800000000003</v>
      </c>
      <c r="O37" s="2">
        <v>6009.39</v>
      </c>
      <c r="P37" s="2">
        <v>540.72</v>
      </c>
      <c r="Q37" s="2">
        <v>1008.2900000000001</v>
      </c>
      <c r="R37" s="2">
        <v>1300.94</v>
      </c>
      <c r="S37" s="2">
        <v>740.6</v>
      </c>
      <c r="T37" s="2">
        <v>210.88</v>
      </c>
      <c r="U37" s="2">
        <v>285.96000000000004</v>
      </c>
      <c r="V37" s="2">
        <f t="shared" si="8"/>
        <v>12589.46</v>
      </c>
      <c r="X37" s="1" t="s">
        <v>2</v>
      </c>
      <c r="Y37" s="2">
        <f t="shared" si="0"/>
        <v>-1771.3600000000006</v>
      </c>
      <c r="Z37" s="2">
        <f t="shared" si="1"/>
        <v>-2653.9600000000005</v>
      </c>
      <c r="AA37" s="2">
        <f t="shared" si="2"/>
        <v>1670.14</v>
      </c>
      <c r="AB37" s="2">
        <f t="shared" si="3"/>
        <v>-467.57000000000005</v>
      </c>
      <c r="AC37" s="2">
        <f t="shared" si="4"/>
        <v>-752.21</v>
      </c>
      <c r="AD37" s="2">
        <f t="shared" si="5"/>
        <v>360.6</v>
      </c>
      <c r="AE37" s="2">
        <f t="shared" si="6"/>
        <v>806.6</v>
      </c>
      <c r="AF37" s="2">
        <f t="shared" si="7"/>
        <v>-31.999999999999886</v>
      </c>
      <c r="AG37" s="2">
        <f t="shared" si="9"/>
        <v>-2839.7600000000016</v>
      </c>
    </row>
    <row r="38" spans="1:33" x14ac:dyDescent="0.25">
      <c r="A38" t="s">
        <v>86</v>
      </c>
      <c r="B38" s="1" t="s">
        <v>86</v>
      </c>
      <c r="C38" s="2">
        <f>SUMIFS(CurrentMonthAgingData!$AN:$AN,CurrentMonthAgingData!$BC:$BC,"=1",CurrentMonthAgingData!$BA:$BA,"=Biocorrect",CurrentMonthAgingData!$AV:$AV,""&amp;$A38&amp;"")</f>
        <v>0</v>
      </c>
      <c r="D38" s="2">
        <f>SUMIFS(CurrentMonthAgingData!$AN:$AN,CurrentMonthAgingData!$BC:$BC,"=2",CurrentMonthAgingData!$BA:$BA,"=Biocorrect",CurrentMonthAgingData!$AV:$AV,""&amp;$A38&amp;"")</f>
        <v>0</v>
      </c>
      <c r="E38" s="2">
        <f>SUMIFS(CurrentMonthAgingData!$AN:$AN,CurrentMonthAgingData!$BC:$BC,"=3",CurrentMonthAgingData!$BA:$BA,"=Biocorrect",CurrentMonthAgingData!$AV:$AV,""&amp;$A38&amp;"")</f>
        <v>0</v>
      </c>
      <c r="F38" s="2">
        <f>SUMIFS(CurrentMonthAgingData!$AN:$AN,CurrentMonthAgingData!$BC:$BC,"=4",CurrentMonthAgingData!$BA:$BA,"=Biocorrect",CurrentMonthAgingData!$AV:$AV,""&amp;$A38&amp;"")</f>
        <v>0</v>
      </c>
      <c r="G38" s="2">
        <f>SUMIFS(CurrentMonthAgingData!$AN:$AN,CurrentMonthAgingData!$BC:$BC,"=5",CurrentMonthAgingData!$BA:$BA,"=Biocorrect",CurrentMonthAgingData!$AV:$AV,""&amp;$A38&amp;"")</f>
        <v>0</v>
      </c>
      <c r="H38" s="2">
        <f>SUMIFS(CurrentMonthAgingData!$AN:$AN,CurrentMonthAgingData!$BC:$BC,"=6",CurrentMonthAgingData!$BA:$BA,"=Biocorrect",CurrentMonthAgingData!$AV:$AV,""&amp;$A38&amp;"")</f>
        <v>0</v>
      </c>
      <c r="I38" s="2">
        <f>SUMIFS(CurrentMonthAgingData!$AN:$AN,CurrentMonthAgingData!$BC:$BC,"=7",CurrentMonthAgingData!$BA:$BA,"=Biocorrect",CurrentMonthAgingData!$AV:$AV,""&amp;$A38&amp;"")</f>
        <v>0</v>
      </c>
      <c r="J38" s="2">
        <f>SUMIFS(CurrentMonthAgingData!$AN:$AN,CurrentMonthAgingData!$BC:$BC,"=8",CurrentMonthAgingData!$BA:$BA,"=Biocorrect",CurrentMonthAgingData!$AV:$AV,""&amp;$A38&amp;"")</f>
        <v>0</v>
      </c>
      <c r="K38" s="2">
        <f t="shared" si="10"/>
        <v>0</v>
      </c>
      <c r="M38" s="1" t="s">
        <v>86</v>
      </c>
      <c r="N38" s="2">
        <v>0</v>
      </c>
      <c r="O38" s="2">
        <v>0</v>
      </c>
      <c r="P38" s="2">
        <v>0</v>
      </c>
      <c r="Q38" s="2">
        <v>0</v>
      </c>
      <c r="R38" s="2">
        <v>0</v>
      </c>
      <c r="S38" s="2">
        <v>0</v>
      </c>
      <c r="T38" s="2">
        <v>0</v>
      </c>
      <c r="U38" s="2">
        <v>0</v>
      </c>
      <c r="V38" s="2">
        <f t="shared" si="8"/>
        <v>0</v>
      </c>
      <c r="X38" s="1" t="s">
        <v>86</v>
      </c>
      <c r="Y38" s="2">
        <f t="shared" si="0"/>
        <v>0</v>
      </c>
      <c r="Z38" s="2">
        <f t="shared" si="1"/>
        <v>0</v>
      </c>
      <c r="AA38" s="2">
        <f t="shared" si="2"/>
        <v>0</v>
      </c>
      <c r="AB38" s="2">
        <f t="shared" si="3"/>
        <v>0</v>
      </c>
      <c r="AC38" s="2">
        <f t="shared" si="4"/>
        <v>0</v>
      </c>
      <c r="AD38" s="2">
        <f t="shared" si="5"/>
        <v>0</v>
      </c>
      <c r="AE38" s="2">
        <f t="shared" si="6"/>
        <v>0</v>
      </c>
      <c r="AF38" s="2">
        <f t="shared" si="7"/>
        <v>0</v>
      </c>
      <c r="AG38" s="2">
        <f t="shared" si="9"/>
        <v>0</v>
      </c>
    </row>
    <row r="39" spans="1:33" x14ac:dyDescent="0.25">
      <c r="A39" t="s">
        <v>29</v>
      </c>
      <c r="B39" s="1" t="s">
        <v>29</v>
      </c>
      <c r="C39" s="2">
        <f>SUMIFS(CurrentMonthAgingData!$AN:$AN,CurrentMonthAgingData!$BC:$BC,"=1",CurrentMonthAgingData!$BA:$BA,"=Biocorrect",CurrentMonthAgingData!$AV:$AV,""&amp;$A39&amp;"")</f>
        <v>0</v>
      </c>
      <c r="D39" s="2">
        <f>SUMIFS(CurrentMonthAgingData!$AN:$AN,CurrentMonthAgingData!$BC:$BC,"=2",CurrentMonthAgingData!$BA:$BA,"=Biocorrect",CurrentMonthAgingData!$AV:$AV,""&amp;$A39&amp;"")</f>
        <v>0</v>
      </c>
      <c r="E39" s="2">
        <f>SUMIFS(CurrentMonthAgingData!$AN:$AN,CurrentMonthAgingData!$BC:$BC,"=3",CurrentMonthAgingData!$BA:$BA,"=Biocorrect",CurrentMonthAgingData!$AV:$AV,""&amp;$A39&amp;"")</f>
        <v>0</v>
      </c>
      <c r="F39" s="2">
        <f>SUMIFS(CurrentMonthAgingData!$AN:$AN,CurrentMonthAgingData!$BC:$BC,"=4",CurrentMonthAgingData!$BA:$BA,"=Biocorrect",CurrentMonthAgingData!$AV:$AV,""&amp;$A39&amp;"")</f>
        <v>0</v>
      </c>
      <c r="G39" s="2">
        <f>SUMIFS(CurrentMonthAgingData!$AN:$AN,CurrentMonthAgingData!$BC:$BC,"=5",CurrentMonthAgingData!$BA:$BA,"=Biocorrect",CurrentMonthAgingData!$AV:$AV,""&amp;$A39&amp;"")</f>
        <v>0</v>
      </c>
      <c r="H39" s="2">
        <f>SUMIFS(CurrentMonthAgingData!$AN:$AN,CurrentMonthAgingData!$BC:$BC,"=6",CurrentMonthAgingData!$BA:$BA,"=Biocorrect",CurrentMonthAgingData!$AV:$AV,""&amp;$A39&amp;"")</f>
        <v>0</v>
      </c>
      <c r="I39" s="2">
        <f>SUMIFS(CurrentMonthAgingData!$AN:$AN,CurrentMonthAgingData!$BC:$BC,"=7",CurrentMonthAgingData!$BA:$BA,"=Biocorrect",CurrentMonthAgingData!$AV:$AV,""&amp;$A39&amp;"")</f>
        <v>0</v>
      </c>
      <c r="J39" s="2">
        <f>SUMIFS(CurrentMonthAgingData!$AN:$AN,CurrentMonthAgingData!$BC:$BC,"=8",CurrentMonthAgingData!$BA:$BA,"=Biocorrect",CurrentMonthAgingData!$AV:$AV,""&amp;$A39&amp;"")</f>
        <v>0</v>
      </c>
      <c r="K39" s="2">
        <f>SUM(C39:J39)</f>
        <v>0</v>
      </c>
      <c r="M39" s="1" t="s">
        <v>29</v>
      </c>
      <c r="N39" s="2">
        <v>0</v>
      </c>
      <c r="O39" s="2">
        <v>0</v>
      </c>
      <c r="P39" s="2">
        <v>0</v>
      </c>
      <c r="Q39" s="2">
        <v>0</v>
      </c>
      <c r="R39" s="2">
        <v>0</v>
      </c>
      <c r="S39" s="2">
        <v>0</v>
      </c>
      <c r="T39" s="2">
        <v>0</v>
      </c>
      <c r="U39" s="2">
        <v>0</v>
      </c>
      <c r="V39" s="2">
        <f t="shared" si="8"/>
        <v>0</v>
      </c>
      <c r="X39" s="1" t="s">
        <v>29</v>
      </c>
      <c r="Y39" s="2">
        <f t="shared" si="0"/>
        <v>0</v>
      </c>
      <c r="Z39" s="2">
        <f t="shared" si="1"/>
        <v>0</v>
      </c>
      <c r="AA39" s="2">
        <f t="shared" si="2"/>
        <v>0</v>
      </c>
      <c r="AB39" s="2">
        <f t="shared" si="3"/>
        <v>0</v>
      </c>
      <c r="AC39" s="2">
        <f t="shared" si="4"/>
        <v>0</v>
      </c>
      <c r="AD39" s="2">
        <f t="shared" si="5"/>
        <v>0</v>
      </c>
      <c r="AE39" s="2">
        <f t="shared" si="6"/>
        <v>0</v>
      </c>
      <c r="AF39" s="2">
        <f t="shared" si="7"/>
        <v>0</v>
      </c>
      <c r="AG39" s="2">
        <f t="shared" si="9"/>
        <v>0</v>
      </c>
    </row>
    <row r="40" spans="1:33" x14ac:dyDescent="0.25">
      <c r="A40" t="s">
        <v>1182</v>
      </c>
      <c r="B40" s="1" t="s">
        <v>88</v>
      </c>
      <c r="C40" s="2">
        <f>SUMIFS(CurrentMonthAgingData!$AN:$AN,CurrentMonthAgingData!$BC:$BC,"=1",CurrentMonthAgingData!$BA:$BA,"=Biocorrect",CurrentMonthAgingData!$AV:$AV,""&amp;$A40&amp;"")</f>
        <v>0</v>
      </c>
      <c r="D40" s="2">
        <f>SUMIFS(CurrentMonthAgingData!$AN:$AN,CurrentMonthAgingData!$BC:$BC,"=2",CurrentMonthAgingData!$BA:$BA,"=Biocorrect",CurrentMonthAgingData!$AV:$AV,""&amp;$A40&amp;"")</f>
        <v>0</v>
      </c>
      <c r="E40" s="2">
        <f>SUMIFS(CurrentMonthAgingData!$AN:$AN,CurrentMonthAgingData!$BC:$BC,"=3",CurrentMonthAgingData!$BA:$BA,"=Biocorrect",CurrentMonthAgingData!$AV:$AV,""&amp;$A40&amp;"")</f>
        <v>0</v>
      </c>
      <c r="F40" s="2">
        <f>SUMIFS(CurrentMonthAgingData!$AN:$AN,CurrentMonthAgingData!$BC:$BC,"=4",CurrentMonthAgingData!$BA:$BA,"=Biocorrect",CurrentMonthAgingData!$AV:$AV,""&amp;$A40&amp;"")</f>
        <v>0</v>
      </c>
      <c r="G40" s="2">
        <f>SUMIFS(CurrentMonthAgingData!$AN:$AN,CurrentMonthAgingData!$BC:$BC,"=5",CurrentMonthAgingData!$BA:$BA,"=Biocorrect",CurrentMonthAgingData!$AV:$AV,""&amp;$A40&amp;"")</f>
        <v>0</v>
      </c>
      <c r="H40" s="2">
        <f>SUMIFS(CurrentMonthAgingData!$AN:$AN,CurrentMonthAgingData!$BC:$BC,"=6",CurrentMonthAgingData!$BA:$BA,"=Biocorrect",CurrentMonthAgingData!$AV:$AV,""&amp;$A40&amp;"")</f>
        <v>0</v>
      </c>
      <c r="I40" s="2">
        <f>SUMIFS(CurrentMonthAgingData!$AN:$AN,CurrentMonthAgingData!$BC:$BC,"=7",CurrentMonthAgingData!$BA:$BA,"=Biocorrect",CurrentMonthAgingData!$AV:$AV,""&amp;$A40&amp;"")</f>
        <v>0</v>
      </c>
      <c r="J40" s="2">
        <f>SUMIFS(CurrentMonthAgingData!$AN:$AN,CurrentMonthAgingData!$BC:$BC,"=8",CurrentMonthAgingData!$BA:$BA,"=Biocorrect",CurrentMonthAgingData!$AV:$AV,""&amp;$A40&amp;"")</f>
        <v>0</v>
      </c>
      <c r="K40" s="2">
        <f>SUM(C40:J40)</f>
        <v>0</v>
      </c>
      <c r="M40" s="1" t="s">
        <v>88</v>
      </c>
      <c r="N40" s="2">
        <v>0</v>
      </c>
      <c r="O40" s="2">
        <v>0</v>
      </c>
      <c r="P40" s="2">
        <v>0</v>
      </c>
      <c r="Q40" s="2">
        <v>0</v>
      </c>
      <c r="R40" s="2">
        <v>0</v>
      </c>
      <c r="S40" s="2">
        <v>0</v>
      </c>
      <c r="T40" s="2">
        <v>0</v>
      </c>
      <c r="U40" s="2">
        <v>0</v>
      </c>
      <c r="V40" s="2">
        <f>SUM(N40:U40)</f>
        <v>0</v>
      </c>
      <c r="X40" s="1" t="s">
        <v>88</v>
      </c>
      <c r="Y40" s="2">
        <f t="shared" si="0"/>
        <v>0</v>
      </c>
      <c r="Z40" s="2">
        <f t="shared" si="1"/>
        <v>0</v>
      </c>
      <c r="AA40" s="2">
        <f t="shared" si="2"/>
        <v>0</v>
      </c>
      <c r="AB40" s="2">
        <f t="shared" si="3"/>
        <v>0</v>
      </c>
      <c r="AC40" s="2">
        <f t="shared" si="4"/>
        <v>0</v>
      </c>
      <c r="AD40" s="2">
        <f t="shared" si="5"/>
        <v>0</v>
      </c>
      <c r="AE40" s="2">
        <f t="shared" si="6"/>
        <v>0</v>
      </c>
      <c r="AF40" s="2">
        <f t="shared" si="7"/>
        <v>0</v>
      </c>
      <c r="AG40" s="2">
        <f>SUM(Y40:AF40)</f>
        <v>0</v>
      </c>
    </row>
    <row r="41" spans="1:33" x14ac:dyDescent="0.25">
      <c r="A41" t="s">
        <v>1098</v>
      </c>
      <c r="B41" s="1" t="s">
        <v>1098</v>
      </c>
      <c r="C41" s="2">
        <f>SUMIFS(CurrentMonthAgingData!$AN:$AN,CurrentMonthAgingData!$BC:$BC,"=1",CurrentMonthAgingData!$BA:$BA,"=Biocorrect",CurrentMonthAgingData!$AV:$AV,""&amp;$A41&amp;"")</f>
        <v>0</v>
      </c>
      <c r="D41" s="2">
        <f>SUMIFS(CurrentMonthAgingData!$AN:$AN,CurrentMonthAgingData!$BC:$BC,"=2",CurrentMonthAgingData!$BA:$BA,"=Biocorrect",CurrentMonthAgingData!$AV:$AV,""&amp;$A41&amp;"")</f>
        <v>0</v>
      </c>
      <c r="E41" s="2">
        <f>SUMIFS(CurrentMonthAgingData!$AN:$AN,CurrentMonthAgingData!$BC:$BC,"=3",CurrentMonthAgingData!$BA:$BA,"=Biocorrect",CurrentMonthAgingData!$AV:$AV,""&amp;$A41&amp;"")</f>
        <v>0</v>
      </c>
      <c r="F41" s="2">
        <f>SUMIFS(CurrentMonthAgingData!$AN:$AN,CurrentMonthAgingData!$BC:$BC,"=4",CurrentMonthAgingData!$BA:$BA,"=Biocorrect",CurrentMonthAgingData!$AV:$AV,""&amp;$A41&amp;"")</f>
        <v>0</v>
      </c>
      <c r="G41" s="2">
        <f>SUMIFS(CurrentMonthAgingData!$AN:$AN,CurrentMonthAgingData!$BC:$BC,"=5",CurrentMonthAgingData!$BA:$BA,"=Biocorrect",CurrentMonthAgingData!$AV:$AV,""&amp;$A41&amp;"")</f>
        <v>0</v>
      </c>
      <c r="H41" s="2">
        <f>SUMIFS(CurrentMonthAgingData!$AN:$AN,CurrentMonthAgingData!$BC:$BC,"=6",CurrentMonthAgingData!$BA:$BA,"=Biocorrect",CurrentMonthAgingData!$AV:$AV,""&amp;$A41&amp;"")</f>
        <v>0</v>
      </c>
      <c r="I41" s="2">
        <f>SUMIFS(CurrentMonthAgingData!$AN:$AN,CurrentMonthAgingData!$BC:$BC,"=7",CurrentMonthAgingData!$BA:$BA,"=Biocorrect",CurrentMonthAgingData!$AV:$AV,""&amp;$A41&amp;"")</f>
        <v>0</v>
      </c>
      <c r="J41" s="2">
        <f>SUMIFS(CurrentMonthAgingData!$AN:$AN,CurrentMonthAgingData!$BC:$BC,"=8",CurrentMonthAgingData!$BA:$BA,"=Biocorrect",CurrentMonthAgingData!$AV:$AV,""&amp;$A41&amp;"")</f>
        <v>0</v>
      </c>
      <c r="K41" s="2">
        <f t="shared" si="10"/>
        <v>0</v>
      </c>
      <c r="M41" s="1" t="s">
        <v>1098</v>
      </c>
      <c r="N41" s="2">
        <v>0</v>
      </c>
      <c r="O41" s="2">
        <v>0</v>
      </c>
      <c r="P41" s="2">
        <v>0</v>
      </c>
      <c r="Q41" s="2">
        <v>0</v>
      </c>
      <c r="R41" s="2">
        <v>0</v>
      </c>
      <c r="S41" s="2">
        <v>0</v>
      </c>
      <c r="T41" s="2">
        <v>0</v>
      </c>
      <c r="U41" s="2">
        <v>0</v>
      </c>
      <c r="V41" s="2">
        <f t="shared" si="8"/>
        <v>0</v>
      </c>
      <c r="X41" s="1" t="s">
        <v>1098</v>
      </c>
      <c r="Y41" s="2">
        <f t="shared" si="0"/>
        <v>0</v>
      </c>
      <c r="Z41" s="2">
        <f t="shared" si="1"/>
        <v>0</v>
      </c>
      <c r="AA41" s="2">
        <f t="shared" si="2"/>
        <v>0</v>
      </c>
      <c r="AB41" s="2">
        <f t="shared" si="3"/>
        <v>0</v>
      </c>
      <c r="AC41" s="2">
        <f t="shared" si="4"/>
        <v>0</v>
      </c>
      <c r="AD41" s="2">
        <f t="shared" si="5"/>
        <v>0</v>
      </c>
      <c r="AE41" s="2">
        <f t="shared" si="6"/>
        <v>0</v>
      </c>
      <c r="AF41" s="2">
        <f t="shared" si="7"/>
        <v>0</v>
      </c>
      <c r="AG41" s="2">
        <f t="shared" si="9"/>
        <v>0</v>
      </c>
    </row>
    <row r="42" spans="1:33" x14ac:dyDescent="0.25">
      <c r="A42" t="s">
        <v>1099</v>
      </c>
      <c r="B42" s="1" t="s">
        <v>1099</v>
      </c>
      <c r="C42" s="2">
        <f>SUMIFS(CurrentMonthAgingData!$AN:$AN,CurrentMonthAgingData!$BC:$BC,"=1",CurrentMonthAgingData!$BA:$BA,"=Biocorrect",CurrentMonthAgingData!$AV:$AV,""&amp;$A42&amp;"")</f>
        <v>900</v>
      </c>
      <c r="D42" s="2">
        <f>SUMIFS(CurrentMonthAgingData!$AN:$AN,CurrentMonthAgingData!$BC:$BC,"=2",CurrentMonthAgingData!$BA:$BA,"=Biocorrect",CurrentMonthAgingData!$AV:$AV,""&amp;$A42&amp;"")</f>
        <v>0</v>
      </c>
      <c r="E42" s="2">
        <f>SUMIFS(CurrentMonthAgingData!$AN:$AN,CurrentMonthAgingData!$BC:$BC,"=3",CurrentMonthAgingData!$BA:$BA,"=Biocorrect",CurrentMonthAgingData!$AV:$AV,""&amp;$A42&amp;"")</f>
        <v>732</v>
      </c>
      <c r="F42" s="2">
        <f>SUMIFS(CurrentMonthAgingData!$AN:$AN,CurrentMonthAgingData!$BC:$BC,"=4",CurrentMonthAgingData!$BA:$BA,"=Biocorrect",CurrentMonthAgingData!$AV:$AV,""&amp;$A42&amp;"")</f>
        <v>0</v>
      </c>
      <c r="G42" s="2">
        <f>SUMIFS(CurrentMonthAgingData!$AN:$AN,CurrentMonthAgingData!$BC:$BC,"=5",CurrentMonthAgingData!$BA:$BA,"=Biocorrect",CurrentMonthAgingData!$AV:$AV,""&amp;$A42&amp;"")</f>
        <v>0</v>
      </c>
      <c r="H42" s="2">
        <f>SUMIFS(CurrentMonthAgingData!$AN:$AN,CurrentMonthAgingData!$BC:$BC,"=6",CurrentMonthAgingData!$BA:$BA,"=Biocorrect",CurrentMonthAgingData!$AV:$AV,""&amp;$A42&amp;"")</f>
        <v>0</v>
      </c>
      <c r="I42" s="2">
        <f>SUMIFS(CurrentMonthAgingData!$AN:$AN,CurrentMonthAgingData!$BC:$BC,"=7",CurrentMonthAgingData!$BA:$BA,"=Biocorrect",CurrentMonthAgingData!$AV:$AV,""&amp;$A42&amp;"")</f>
        <v>-142</v>
      </c>
      <c r="J42" s="2">
        <f>SUMIFS(CurrentMonthAgingData!$AN:$AN,CurrentMonthAgingData!$BC:$BC,"=8",CurrentMonthAgingData!$BA:$BA,"=Biocorrect",CurrentMonthAgingData!$AV:$AV,""&amp;$A42&amp;"")</f>
        <v>0</v>
      </c>
      <c r="K42" s="2">
        <f t="shared" si="10"/>
        <v>1490</v>
      </c>
      <c r="M42" s="1" t="s">
        <v>1099</v>
      </c>
      <c r="N42" s="2">
        <v>0</v>
      </c>
      <c r="O42" s="2">
        <v>732</v>
      </c>
      <c r="P42" s="2">
        <v>0</v>
      </c>
      <c r="Q42" s="2">
        <v>0</v>
      </c>
      <c r="R42" s="2">
        <v>0</v>
      </c>
      <c r="S42" s="2">
        <v>0</v>
      </c>
      <c r="T42" s="2">
        <v>-142</v>
      </c>
      <c r="U42" s="2">
        <v>0</v>
      </c>
      <c r="V42" s="2">
        <f t="shared" si="8"/>
        <v>590</v>
      </c>
      <c r="X42" s="1" t="s">
        <v>1099</v>
      </c>
      <c r="Y42" s="2">
        <f t="shared" si="0"/>
        <v>900</v>
      </c>
      <c r="Z42" s="2">
        <f t="shared" si="1"/>
        <v>-732</v>
      </c>
      <c r="AA42" s="2">
        <f t="shared" si="2"/>
        <v>732</v>
      </c>
      <c r="AB42" s="2">
        <f t="shared" si="3"/>
        <v>0</v>
      </c>
      <c r="AC42" s="2">
        <f t="shared" si="4"/>
        <v>0</v>
      </c>
      <c r="AD42" s="2">
        <f t="shared" si="5"/>
        <v>0</v>
      </c>
      <c r="AE42" s="2">
        <f t="shared" si="6"/>
        <v>0</v>
      </c>
      <c r="AF42" s="2">
        <f t="shared" si="7"/>
        <v>0</v>
      </c>
      <c r="AG42" s="2">
        <f t="shared" si="9"/>
        <v>900</v>
      </c>
    </row>
    <row r="43" spans="1:33" ht="15.75" thickBot="1" x14ac:dyDescent="0.3">
      <c r="C43" s="70">
        <f t="shared" ref="C43:K43" si="11">SUM(C23:C42)</f>
        <v>10129.32</v>
      </c>
      <c r="D43" s="70">
        <f t="shared" si="11"/>
        <v>5299.43</v>
      </c>
      <c r="E43" s="70">
        <f t="shared" si="11"/>
        <v>2942.86</v>
      </c>
      <c r="F43" s="70">
        <f t="shared" si="11"/>
        <v>540.72</v>
      </c>
      <c r="G43" s="70">
        <f t="shared" si="11"/>
        <v>548.73</v>
      </c>
      <c r="H43" s="70">
        <f t="shared" si="11"/>
        <v>1101.2</v>
      </c>
      <c r="I43" s="70">
        <f t="shared" si="11"/>
        <v>1279.04</v>
      </c>
      <c r="J43" s="70">
        <f t="shared" si="11"/>
        <v>218.96000000000015</v>
      </c>
      <c r="K43" s="70">
        <f t="shared" si="11"/>
        <v>22060.260000000002</v>
      </c>
      <c r="L43" s="31"/>
      <c r="N43" s="70">
        <f t="shared" ref="N43:V43" si="12">SUM(N23:N42)</f>
        <v>12860.68</v>
      </c>
      <c r="O43" s="70">
        <f t="shared" si="12"/>
        <v>7173.39</v>
      </c>
      <c r="P43" s="70">
        <f t="shared" si="12"/>
        <v>540.72</v>
      </c>
      <c r="Q43" s="70">
        <f t="shared" si="12"/>
        <v>1008.2900000000001</v>
      </c>
      <c r="R43" s="70">
        <f t="shared" si="12"/>
        <v>1300.94</v>
      </c>
      <c r="S43" s="70">
        <f t="shared" si="12"/>
        <v>740.6</v>
      </c>
      <c r="T43" s="70">
        <f t="shared" si="12"/>
        <v>472.44000000000005</v>
      </c>
      <c r="U43" s="70">
        <f t="shared" si="12"/>
        <v>250.96000000000004</v>
      </c>
      <c r="V43" s="70">
        <f t="shared" si="12"/>
        <v>24348.02</v>
      </c>
      <c r="Y43" s="70">
        <f t="shared" ref="Y43:AG43" si="13">SUM(Y23:Y42)</f>
        <v>-2731.3600000000006</v>
      </c>
      <c r="Z43" s="70">
        <f t="shared" si="13"/>
        <v>-1873.9600000000005</v>
      </c>
      <c r="AA43" s="70">
        <f t="shared" si="13"/>
        <v>2402.1400000000003</v>
      </c>
      <c r="AB43" s="70">
        <f t="shared" si="13"/>
        <v>-467.57000000000005</v>
      </c>
      <c r="AC43" s="70">
        <f t="shared" si="13"/>
        <v>-752.21</v>
      </c>
      <c r="AD43" s="70">
        <f t="shared" si="13"/>
        <v>360.6</v>
      </c>
      <c r="AE43" s="70">
        <f t="shared" si="13"/>
        <v>806.6</v>
      </c>
      <c r="AF43" s="70">
        <f t="shared" si="13"/>
        <v>-31.999999999999886</v>
      </c>
      <c r="AG43" s="70">
        <f t="shared" si="13"/>
        <v>-2287.7600000000016</v>
      </c>
    </row>
    <row r="44" spans="1:33" x14ac:dyDescent="0.25">
      <c r="D44" s="7"/>
      <c r="E44" s="7"/>
      <c r="F44" s="7"/>
    </row>
    <row r="45" spans="1:33" x14ac:dyDescent="0.25">
      <c r="C45" s="113"/>
      <c r="D45" s="113"/>
      <c r="E45" s="113"/>
      <c r="F45" s="113"/>
      <c r="G45" s="7"/>
    </row>
    <row r="46" spans="1:33" x14ac:dyDescent="0.25">
      <c r="B46" s="72" t="s">
        <v>96</v>
      </c>
      <c r="C46" s="187">
        <f>$C$20</f>
        <v>45199</v>
      </c>
      <c r="D46" s="175"/>
      <c r="E46" s="175"/>
      <c r="F46" s="175"/>
      <c r="G46" s="175"/>
      <c r="H46" s="175"/>
      <c r="I46" s="175"/>
      <c r="J46" s="175"/>
      <c r="K46" s="175"/>
      <c r="M46" s="72" t="s">
        <v>96</v>
      </c>
      <c r="N46" s="193">
        <f>$N$20</f>
        <v>45169</v>
      </c>
      <c r="O46" s="194"/>
      <c r="P46" s="194"/>
      <c r="Q46" s="194"/>
      <c r="R46" s="194"/>
      <c r="S46" s="194"/>
      <c r="T46" s="194"/>
      <c r="U46" s="194"/>
      <c r="V46" s="194"/>
      <c r="Y46" s="175" t="s">
        <v>97</v>
      </c>
      <c r="Z46" s="175"/>
      <c r="AA46" s="175"/>
      <c r="AB46" s="175"/>
      <c r="AC46" s="175"/>
      <c r="AD46" s="175"/>
      <c r="AE46" s="175"/>
      <c r="AF46" s="175"/>
      <c r="AG46" s="175"/>
    </row>
    <row r="47" spans="1:33" x14ac:dyDescent="0.25">
      <c r="B47" s="72" t="s">
        <v>95</v>
      </c>
      <c r="C47" s="175" t="str">
        <f>'Reimbursement Rates &lt;-INPUT'!C7</f>
        <v>Biocorrect-GP</v>
      </c>
      <c r="D47" s="175"/>
      <c r="E47" s="175"/>
      <c r="F47" s="175"/>
      <c r="G47" s="175"/>
      <c r="H47" s="175"/>
      <c r="I47" s="175"/>
      <c r="J47" s="175"/>
      <c r="K47" s="175"/>
      <c r="M47" s="72" t="s">
        <v>95</v>
      </c>
      <c r="N47" s="175" t="str">
        <f>C47</f>
        <v>Biocorrect-GP</v>
      </c>
      <c r="O47" s="175"/>
      <c r="P47" s="175"/>
      <c r="Q47" s="175"/>
      <c r="R47" s="175"/>
      <c r="S47" s="175"/>
      <c r="T47" s="175"/>
      <c r="U47" s="175"/>
      <c r="V47" s="175"/>
      <c r="X47" s="71" t="s">
        <v>95</v>
      </c>
      <c r="Y47" s="175" t="str">
        <f>C47</f>
        <v>Biocorrect-GP</v>
      </c>
      <c r="Z47" s="175"/>
      <c r="AA47" s="175"/>
      <c r="AB47" s="175"/>
      <c r="AC47" s="175"/>
      <c r="AD47" s="175"/>
      <c r="AE47" s="175"/>
      <c r="AF47" s="175"/>
      <c r="AG47" s="175"/>
    </row>
    <row r="48" spans="1:33" x14ac:dyDescent="0.25">
      <c r="B48" s="4" t="s">
        <v>16</v>
      </c>
      <c r="C48" s="5" t="s">
        <v>15</v>
      </c>
      <c r="D48" s="5" t="s">
        <v>14</v>
      </c>
      <c r="E48" s="5" t="s">
        <v>13</v>
      </c>
      <c r="F48" s="5" t="s">
        <v>12</v>
      </c>
      <c r="G48" s="5" t="s">
        <v>93</v>
      </c>
      <c r="H48" s="5" t="s">
        <v>94</v>
      </c>
      <c r="I48" s="5" t="s">
        <v>38</v>
      </c>
      <c r="J48" s="5" t="s">
        <v>9</v>
      </c>
      <c r="K48" s="5" t="s">
        <v>80</v>
      </c>
      <c r="M48" s="4" t="s">
        <v>16</v>
      </c>
      <c r="N48" s="5" t="s">
        <v>15</v>
      </c>
      <c r="O48" s="5" t="s">
        <v>14</v>
      </c>
      <c r="P48" s="5" t="s">
        <v>13</v>
      </c>
      <c r="Q48" s="5" t="s">
        <v>12</v>
      </c>
      <c r="R48" s="5" t="s">
        <v>93</v>
      </c>
      <c r="S48" s="5" t="s">
        <v>94</v>
      </c>
      <c r="T48" s="5" t="s">
        <v>38</v>
      </c>
      <c r="U48" s="5" t="s">
        <v>9</v>
      </c>
      <c r="V48" s="5" t="s">
        <v>80</v>
      </c>
      <c r="X48" s="4" t="s">
        <v>16</v>
      </c>
      <c r="Y48" s="5" t="s">
        <v>15</v>
      </c>
      <c r="Z48" s="5" t="s">
        <v>14</v>
      </c>
      <c r="AA48" s="5" t="s">
        <v>13</v>
      </c>
      <c r="AB48" s="5" t="s">
        <v>12</v>
      </c>
      <c r="AC48" s="5" t="s">
        <v>93</v>
      </c>
      <c r="AD48" s="5" t="s">
        <v>94</v>
      </c>
      <c r="AE48" s="5" t="s">
        <v>38</v>
      </c>
      <c r="AF48" s="5" t="s">
        <v>9</v>
      </c>
      <c r="AG48" s="5" t="s">
        <v>80</v>
      </c>
    </row>
    <row r="49" spans="2:33" x14ac:dyDescent="0.25">
      <c r="B49" s="1" t="s">
        <v>1094</v>
      </c>
      <c r="C49" s="2"/>
      <c r="D49" s="2"/>
      <c r="E49" s="2"/>
      <c r="F49" s="2"/>
      <c r="G49" s="2"/>
      <c r="H49" s="2"/>
      <c r="I49" s="2"/>
      <c r="J49" s="2"/>
      <c r="K49" s="2">
        <f>SUM(C49:J49)</f>
        <v>0</v>
      </c>
      <c r="M49" s="1" t="s">
        <v>1094</v>
      </c>
      <c r="N49" s="2"/>
      <c r="O49" s="2"/>
      <c r="P49" s="2"/>
      <c r="Q49" s="2"/>
      <c r="R49" s="2"/>
      <c r="S49" s="2"/>
      <c r="T49" s="2"/>
      <c r="U49" s="2"/>
      <c r="V49" s="2">
        <f>SUM(N49:U49)</f>
        <v>0</v>
      </c>
      <c r="X49" s="1" t="s">
        <v>1094</v>
      </c>
      <c r="Y49" s="2">
        <f t="shared" ref="Y49:Y68" si="14">C49-N49</f>
        <v>0</v>
      </c>
      <c r="Z49" s="2">
        <f t="shared" ref="Z49:Z68" si="15">D49-O49</f>
        <v>0</v>
      </c>
      <c r="AA49" s="2">
        <f t="shared" ref="AA49:AA68" si="16">E49-P49</f>
        <v>0</v>
      </c>
      <c r="AB49" s="2">
        <f t="shared" ref="AB49:AB68" si="17">F49-Q49</f>
        <v>0</v>
      </c>
      <c r="AC49" s="2">
        <f t="shared" ref="AC49:AC68" si="18">G49-R49</f>
        <v>0</v>
      </c>
      <c r="AD49" s="2">
        <f t="shared" ref="AD49:AD68" si="19">H49-S49</f>
        <v>0</v>
      </c>
      <c r="AE49" s="2">
        <f t="shared" ref="AE49:AE68" si="20">I49-T49</f>
        <v>0</v>
      </c>
      <c r="AF49" s="2">
        <f t="shared" ref="AF49:AF68" si="21">J49-U49</f>
        <v>0</v>
      </c>
      <c r="AG49" s="2">
        <f>SUM(Y49:AF49)</f>
        <v>0</v>
      </c>
    </row>
    <row r="50" spans="2:33" x14ac:dyDescent="0.25">
      <c r="B50" s="1" t="s">
        <v>8</v>
      </c>
      <c r="C50" s="2"/>
      <c r="D50" s="2"/>
      <c r="E50" s="2"/>
      <c r="F50" s="2"/>
      <c r="G50" s="2"/>
      <c r="H50" s="2"/>
      <c r="I50" s="2"/>
      <c r="J50" s="2"/>
      <c r="K50" s="2">
        <f t="shared" ref="K50:K68" si="22">SUM(C50:J50)</f>
        <v>0</v>
      </c>
      <c r="M50" s="1" t="s">
        <v>8</v>
      </c>
      <c r="N50" s="2"/>
      <c r="O50" s="2"/>
      <c r="P50" s="2"/>
      <c r="Q50" s="2"/>
      <c r="R50" s="2"/>
      <c r="S50" s="2"/>
      <c r="T50" s="2"/>
      <c r="U50" s="2"/>
      <c r="V50" s="2">
        <f t="shared" ref="V50:V65" si="23">SUM(N50:U50)</f>
        <v>0</v>
      </c>
      <c r="X50" s="1" t="s">
        <v>8</v>
      </c>
      <c r="Y50" s="2">
        <f t="shared" si="14"/>
        <v>0</v>
      </c>
      <c r="Z50" s="2">
        <f t="shared" si="15"/>
        <v>0</v>
      </c>
      <c r="AA50" s="2">
        <f t="shared" si="16"/>
        <v>0</v>
      </c>
      <c r="AB50" s="2">
        <f t="shared" si="17"/>
        <v>0</v>
      </c>
      <c r="AC50" s="2">
        <f t="shared" si="18"/>
        <v>0</v>
      </c>
      <c r="AD50" s="2">
        <f t="shared" si="19"/>
        <v>0</v>
      </c>
      <c r="AE50" s="2">
        <f t="shared" si="20"/>
        <v>0</v>
      </c>
      <c r="AF50" s="2">
        <f t="shared" si="21"/>
        <v>0</v>
      </c>
      <c r="AG50" s="2">
        <f t="shared" ref="AG50:AG68" si="24">SUM(Y50:AF50)</f>
        <v>0</v>
      </c>
    </row>
    <row r="51" spans="2:33" x14ac:dyDescent="0.25">
      <c r="B51" s="1" t="s">
        <v>1095</v>
      </c>
      <c r="C51" s="2"/>
      <c r="D51" s="2"/>
      <c r="E51" s="2"/>
      <c r="F51" s="2"/>
      <c r="G51" s="2"/>
      <c r="H51" s="2"/>
      <c r="I51" s="2"/>
      <c r="J51" s="2"/>
      <c r="K51" s="2">
        <f t="shared" si="22"/>
        <v>0</v>
      </c>
      <c r="M51" s="1" t="s">
        <v>1095</v>
      </c>
      <c r="N51" s="2"/>
      <c r="O51" s="2"/>
      <c r="P51" s="2"/>
      <c r="Q51" s="2"/>
      <c r="R51" s="2"/>
      <c r="S51" s="2"/>
      <c r="T51" s="2"/>
      <c r="U51" s="2"/>
      <c r="V51" s="2">
        <f t="shared" si="23"/>
        <v>0</v>
      </c>
      <c r="X51" s="1" t="s">
        <v>1095</v>
      </c>
      <c r="Y51" s="2">
        <f t="shared" si="14"/>
        <v>0</v>
      </c>
      <c r="Z51" s="2">
        <f t="shared" si="15"/>
        <v>0</v>
      </c>
      <c r="AA51" s="2">
        <f t="shared" si="16"/>
        <v>0</v>
      </c>
      <c r="AB51" s="2">
        <f t="shared" si="17"/>
        <v>0</v>
      </c>
      <c r="AC51" s="2">
        <f t="shared" si="18"/>
        <v>0</v>
      </c>
      <c r="AD51" s="2">
        <f t="shared" si="19"/>
        <v>0</v>
      </c>
      <c r="AE51" s="2">
        <f t="shared" si="20"/>
        <v>0</v>
      </c>
      <c r="AF51" s="2">
        <f t="shared" si="21"/>
        <v>0</v>
      </c>
      <c r="AG51" s="2">
        <f t="shared" si="24"/>
        <v>0</v>
      </c>
    </row>
    <row r="52" spans="2:33" x14ac:dyDescent="0.25">
      <c r="B52" s="1" t="s">
        <v>42</v>
      </c>
      <c r="C52" s="2"/>
      <c r="D52" s="2"/>
      <c r="E52" s="2"/>
      <c r="F52" s="2"/>
      <c r="G52" s="2"/>
      <c r="H52" s="2"/>
      <c r="I52" s="2"/>
      <c r="J52" s="2"/>
      <c r="K52" s="2">
        <f t="shared" si="22"/>
        <v>0</v>
      </c>
      <c r="M52" s="1" t="s">
        <v>42</v>
      </c>
      <c r="N52" s="2"/>
      <c r="O52" s="2"/>
      <c r="P52" s="2"/>
      <c r="Q52" s="2"/>
      <c r="R52" s="2"/>
      <c r="S52" s="2"/>
      <c r="T52" s="2"/>
      <c r="U52" s="2"/>
      <c r="V52" s="2">
        <f t="shared" si="23"/>
        <v>0</v>
      </c>
      <c r="X52" s="1" t="s">
        <v>42</v>
      </c>
      <c r="Y52" s="2">
        <f t="shared" si="14"/>
        <v>0</v>
      </c>
      <c r="Z52" s="2">
        <f t="shared" si="15"/>
        <v>0</v>
      </c>
      <c r="AA52" s="2">
        <f t="shared" si="16"/>
        <v>0</v>
      </c>
      <c r="AB52" s="2">
        <f t="shared" si="17"/>
        <v>0</v>
      </c>
      <c r="AC52" s="2">
        <f t="shared" si="18"/>
        <v>0</v>
      </c>
      <c r="AD52" s="2">
        <f t="shared" si="19"/>
        <v>0</v>
      </c>
      <c r="AE52" s="2">
        <f t="shared" si="20"/>
        <v>0</v>
      </c>
      <c r="AF52" s="2">
        <f t="shared" si="21"/>
        <v>0</v>
      </c>
      <c r="AG52" s="2">
        <f t="shared" si="24"/>
        <v>0</v>
      </c>
    </row>
    <row r="53" spans="2:33" x14ac:dyDescent="0.25">
      <c r="B53" s="1" t="s">
        <v>6</v>
      </c>
      <c r="C53" s="2"/>
      <c r="D53" s="2"/>
      <c r="E53" s="2"/>
      <c r="F53" s="2"/>
      <c r="G53" s="2"/>
      <c r="H53" s="2"/>
      <c r="I53" s="2"/>
      <c r="J53" s="2"/>
      <c r="K53" s="2">
        <f t="shared" si="22"/>
        <v>0</v>
      </c>
      <c r="M53" s="1" t="s">
        <v>6</v>
      </c>
      <c r="N53" s="2"/>
      <c r="O53" s="2"/>
      <c r="P53" s="2"/>
      <c r="Q53" s="2"/>
      <c r="R53" s="2"/>
      <c r="S53" s="2"/>
      <c r="T53" s="2"/>
      <c r="U53" s="2"/>
      <c r="V53" s="2">
        <f t="shared" si="23"/>
        <v>0</v>
      </c>
      <c r="X53" s="1" t="s">
        <v>6</v>
      </c>
      <c r="Y53" s="2">
        <f t="shared" si="14"/>
        <v>0</v>
      </c>
      <c r="Z53" s="2">
        <f t="shared" si="15"/>
        <v>0</v>
      </c>
      <c r="AA53" s="2">
        <f t="shared" si="16"/>
        <v>0</v>
      </c>
      <c r="AB53" s="2">
        <f t="shared" si="17"/>
        <v>0</v>
      </c>
      <c r="AC53" s="2">
        <f t="shared" si="18"/>
        <v>0</v>
      </c>
      <c r="AD53" s="2">
        <f t="shared" si="19"/>
        <v>0</v>
      </c>
      <c r="AE53" s="2">
        <f t="shared" si="20"/>
        <v>0</v>
      </c>
      <c r="AF53" s="2">
        <f t="shared" si="21"/>
        <v>0</v>
      </c>
      <c r="AG53" s="2">
        <f t="shared" si="24"/>
        <v>0</v>
      </c>
    </row>
    <row r="54" spans="2:33" x14ac:dyDescent="0.25">
      <c r="B54" s="1" t="s">
        <v>90</v>
      </c>
      <c r="C54" s="2"/>
      <c r="D54" s="2"/>
      <c r="E54" s="2"/>
      <c r="F54" s="2"/>
      <c r="G54" s="2"/>
      <c r="H54" s="2"/>
      <c r="I54" s="2"/>
      <c r="J54" s="2"/>
      <c r="K54" s="2">
        <f t="shared" si="22"/>
        <v>0</v>
      </c>
      <c r="M54" s="1" t="s">
        <v>90</v>
      </c>
      <c r="N54" s="2"/>
      <c r="O54" s="2"/>
      <c r="P54" s="2"/>
      <c r="Q54" s="2"/>
      <c r="R54" s="2"/>
      <c r="S54" s="2"/>
      <c r="T54" s="2"/>
      <c r="U54" s="2"/>
      <c r="V54" s="2">
        <f t="shared" si="23"/>
        <v>0</v>
      </c>
      <c r="X54" s="1" t="s">
        <v>90</v>
      </c>
      <c r="Y54" s="2">
        <f t="shared" si="14"/>
        <v>0</v>
      </c>
      <c r="Z54" s="2">
        <f t="shared" si="15"/>
        <v>0</v>
      </c>
      <c r="AA54" s="2">
        <f t="shared" si="16"/>
        <v>0</v>
      </c>
      <c r="AB54" s="2">
        <f t="shared" si="17"/>
        <v>0</v>
      </c>
      <c r="AC54" s="2">
        <f t="shared" si="18"/>
        <v>0</v>
      </c>
      <c r="AD54" s="2">
        <f t="shared" si="19"/>
        <v>0</v>
      </c>
      <c r="AE54" s="2">
        <f t="shared" si="20"/>
        <v>0</v>
      </c>
      <c r="AF54" s="2">
        <f t="shared" si="21"/>
        <v>0</v>
      </c>
      <c r="AG54" s="2">
        <f t="shared" si="24"/>
        <v>0</v>
      </c>
    </row>
    <row r="55" spans="2:33" x14ac:dyDescent="0.25">
      <c r="B55" s="1" t="s">
        <v>1100</v>
      </c>
      <c r="C55" s="2"/>
      <c r="D55" s="2"/>
      <c r="E55" s="2"/>
      <c r="F55" s="2"/>
      <c r="G55" s="2"/>
      <c r="H55" s="2"/>
      <c r="I55" s="2"/>
      <c r="J55" s="2"/>
      <c r="K55" s="2">
        <f t="shared" si="22"/>
        <v>0</v>
      </c>
      <c r="M55" s="1" t="s">
        <v>1100</v>
      </c>
      <c r="N55" s="2"/>
      <c r="O55" s="2"/>
      <c r="P55" s="2"/>
      <c r="Q55" s="2"/>
      <c r="R55" s="2"/>
      <c r="S55" s="2"/>
      <c r="T55" s="2"/>
      <c r="U55" s="2"/>
      <c r="V55" s="2">
        <f t="shared" si="23"/>
        <v>0</v>
      </c>
      <c r="X55" s="1" t="s">
        <v>1100</v>
      </c>
      <c r="Y55" s="2">
        <f t="shared" si="14"/>
        <v>0</v>
      </c>
      <c r="Z55" s="2">
        <f t="shared" si="15"/>
        <v>0</v>
      </c>
      <c r="AA55" s="2">
        <f t="shared" si="16"/>
        <v>0</v>
      </c>
      <c r="AB55" s="2">
        <f t="shared" si="17"/>
        <v>0</v>
      </c>
      <c r="AC55" s="2">
        <f t="shared" si="18"/>
        <v>0</v>
      </c>
      <c r="AD55" s="2">
        <f t="shared" si="19"/>
        <v>0</v>
      </c>
      <c r="AE55" s="2">
        <f t="shared" si="20"/>
        <v>0</v>
      </c>
      <c r="AF55" s="2">
        <f t="shared" si="21"/>
        <v>0</v>
      </c>
      <c r="AG55" s="2">
        <f t="shared" si="24"/>
        <v>0</v>
      </c>
    </row>
    <row r="56" spans="2:33" x14ac:dyDescent="0.25">
      <c r="B56" s="1" t="s">
        <v>89</v>
      </c>
      <c r="C56" s="2"/>
      <c r="D56" s="2"/>
      <c r="E56" s="2"/>
      <c r="F56" s="2"/>
      <c r="G56" s="2"/>
      <c r="H56" s="2"/>
      <c r="I56" s="2"/>
      <c r="J56" s="2"/>
      <c r="K56" s="2">
        <f t="shared" si="22"/>
        <v>0</v>
      </c>
      <c r="M56" s="1" t="s">
        <v>89</v>
      </c>
      <c r="N56" s="2"/>
      <c r="O56" s="2"/>
      <c r="P56" s="2"/>
      <c r="Q56" s="2"/>
      <c r="R56" s="2"/>
      <c r="S56" s="2"/>
      <c r="T56" s="2"/>
      <c r="U56" s="2"/>
      <c r="V56" s="2">
        <f t="shared" si="23"/>
        <v>0</v>
      </c>
      <c r="X56" s="1" t="s">
        <v>89</v>
      </c>
      <c r="Y56" s="2">
        <f t="shared" si="14"/>
        <v>0</v>
      </c>
      <c r="Z56" s="2">
        <f t="shared" si="15"/>
        <v>0</v>
      </c>
      <c r="AA56" s="2">
        <f t="shared" si="16"/>
        <v>0</v>
      </c>
      <c r="AB56" s="2">
        <f t="shared" si="17"/>
        <v>0</v>
      </c>
      <c r="AC56" s="2">
        <f t="shared" si="18"/>
        <v>0</v>
      </c>
      <c r="AD56" s="2">
        <f t="shared" si="19"/>
        <v>0</v>
      </c>
      <c r="AE56" s="2">
        <f t="shared" si="20"/>
        <v>0</v>
      </c>
      <c r="AF56" s="2">
        <f t="shared" si="21"/>
        <v>0</v>
      </c>
      <c r="AG56" s="2">
        <f t="shared" si="24"/>
        <v>0</v>
      </c>
    </row>
    <row r="57" spans="2:33" x14ac:dyDescent="0.25">
      <c r="B57" s="1" t="s">
        <v>5</v>
      </c>
      <c r="C57" s="2"/>
      <c r="D57" s="2"/>
      <c r="E57" s="2"/>
      <c r="F57" s="2"/>
      <c r="G57" s="2"/>
      <c r="H57" s="2"/>
      <c r="I57" s="2"/>
      <c r="J57" s="2"/>
      <c r="K57" s="2">
        <f t="shared" si="22"/>
        <v>0</v>
      </c>
      <c r="M57" s="1" t="s">
        <v>5</v>
      </c>
      <c r="N57" s="2"/>
      <c r="O57" s="2"/>
      <c r="P57" s="2"/>
      <c r="Q57" s="2"/>
      <c r="R57" s="2"/>
      <c r="S57" s="2"/>
      <c r="T57" s="2"/>
      <c r="U57" s="2"/>
      <c r="V57" s="2">
        <f t="shared" si="23"/>
        <v>0</v>
      </c>
      <c r="X57" s="1" t="s">
        <v>5</v>
      </c>
      <c r="Y57" s="2">
        <f t="shared" si="14"/>
        <v>0</v>
      </c>
      <c r="Z57" s="2">
        <f t="shared" si="15"/>
        <v>0</v>
      </c>
      <c r="AA57" s="2">
        <f t="shared" si="16"/>
        <v>0</v>
      </c>
      <c r="AB57" s="2">
        <f t="shared" si="17"/>
        <v>0</v>
      </c>
      <c r="AC57" s="2">
        <f t="shared" si="18"/>
        <v>0</v>
      </c>
      <c r="AD57" s="2">
        <f t="shared" si="19"/>
        <v>0</v>
      </c>
      <c r="AE57" s="2">
        <f t="shared" si="20"/>
        <v>0</v>
      </c>
      <c r="AF57" s="2">
        <f t="shared" si="21"/>
        <v>0</v>
      </c>
      <c r="AG57" s="2">
        <f t="shared" si="24"/>
        <v>0</v>
      </c>
    </row>
    <row r="58" spans="2:33" x14ac:dyDescent="0.25">
      <c r="B58" s="1" t="s">
        <v>84</v>
      </c>
      <c r="C58" s="2"/>
      <c r="D58" s="2"/>
      <c r="E58" s="2"/>
      <c r="F58" s="2"/>
      <c r="G58" s="2"/>
      <c r="H58" s="2"/>
      <c r="I58" s="2"/>
      <c r="J58" s="2"/>
      <c r="K58" s="2">
        <f t="shared" si="22"/>
        <v>0</v>
      </c>
      <c r="M58" s="1" t="s">
        <v>84</v>
      </c>
      <c r="N58" s="2"/>
      <c r="O58" s="2"/>
      <c r="P58" s="2"/>
      <c r="Q58" s="2"/>
      <c r="R58" s="2"/>
      <c r="S58" s="2"/>
      <c r="T58" s="2"/>
      <c r="U58" s="2"/>
      <c r="V58" s="2">
        <f t="shared" si="23"/>
        <v>0</v>
      </c>
      <c r="X58" s="1" t="s">
        <v>84</v>
      </c>
      <c r="Y58" s="2">
        <f t="shared" si="14"/>
        <v>0</v>
      </c>
      <c r="Z58" s="2">
        <f t="shared" si="15"/>
        <v>0</v>
      </c>
      <c r="AA58" s="2">
        <f t="shared" si="16"/>
        <v>0</v>
      </c>
      <c r="AB58" s="2">
        <f t="shared" si="17"/>
        <v>0</v>
      </c>
      <c r="AC58" s="2">
        <f t="shared" si="18"/>
        <v>0</v>
      </c>
      <c r="AD58" s="2">
        <f t="shared" si="19"/>
        <v>0</v>
      </c>
      <c r="AE58" s="2">
        <f t="shared" si="20"/>
        <v>0</v>
      </c>
      <c r="AF58" s="2">
        <f t="shared" si="21"/>
        <v>0</v>
      </c>
      <c r="AG58" s="2">
        <f t="shared" si="24"/>
        <v>0</v>
      </c>
    </row>
    <row r="59" spans="2:33" x14ac:dyDescent="0.25">
      <c r="B59" s="1" t="s">
        <v>4</v>
      </c>
      <c r="C59" s="2"/>
      <c r="D59" s="2"/>
      <c r="E59" s="2"/>
      <c r="F59" s="2"/>
      <c r="G59" s="2"/>
      <c r="H59" s="2"/>
      <c r="I59" s="2"/>
      <c r="J59" s="2"/>
      <c r="K59" s="2">
        <f t="shared" si="22"/>
        <v>0</v>
      </c>
      <c r="M59" s="1" t="s">
        <v>4</v>
      </c>
      <c r="N59" s="2"/>
      <c r="O59" s="2"/>
      <c r="P59" s="2"/>
      <c r="Q59" s="2"/>
      <c r="R59" s="2"/>
      <c r="S59" s="2"/>
      <c r="T59" s="2"/>
      <c r="U59" s="2"/>
      <c r="V59" s="2">
        <f t="shared" si="23"/>
        <v>0</v>
      </c>
      <c r="X59" s="1" t="s">
        <v>4</v>
      </c>
      <c r="Y59" s="2">
        <f t="shared" si="14"/>
        <v>0</v>
      </c>
      <c r="Z59" s="2">
        <f t="shared" si="15"/>
        <v>0</v>
      </c>
      <c r="AA59" s="2">
        <f t="shared" si="16"/>
        <v>0</v>
      </c>
      <c r="AB59" s="2">
        <f t="shared" si="17"/>
        <v>0</v>
      </c>
      <c r="AC59" s="2">
        <f t="shared" si="18"/>
        <v>0</v>
      </c>
      <c r="AD59" s="2">
        <f t="shared" si="19"/>
        <v>0</v>
      </c>
      <c r="AE59" s="2">
        <f t="shared" si="20"/>
        <v>0</v>
      </c>
      <c r="AF59" s="2">
        <f t="shared" si="21"/>
        <v>0</v>
      </c>
      <c r="AG59" s="2">
        <f t="shared" si="24"/>
        <v>0</v>
      </c>
    </row>
    <row r="60" spans="2:33" x14ac:dyDescent="0.25">
      <c r="B60" s="1" t="s">
        <v>51</v>
      </c>
      <c r="C60" s="2"/>
      <c r="D60" s="2"/>
      <c r="E60" s="2"/>
      <c r="F60" s="2"/>
      <c r="G60" s="2"/>
      <c r="H60" s="2"/>
      <c r="I60" s="2"/>
      <c r="J60" s="2"/>
      <c r="K60" s="2">
        <f t="shared" si="22"/>
        <v>0</v>
      </c>
      <c r="M60" s="1" t="s">
        <v>51</v>
      </c>
      <c r="N60" s="2"/>
      <c r="O60" s="2"/>
      <c r="P60" s="2"/>
      <c r="Q60" s="2"/>
      <c r="R60" s="2"/>
      <c r="S60" s="2"/>
      <c r="T60" s="2"/>
      <c r="U60" s="2"/>
      <c r="V60" s="2">
        <f t="shared" si="23"/>
        <v>0</v>
      </c>
      <c r="X60" s="1" t="s">
        <v>51</v>
      </c>
      <c r="Y60" s="2">
        <f t="shared" si="14"/>
        <v>0</v>
      </c>
      <c r="Z60" s="2">
        <f t="shared" si="15"/>
        <v>0</v>
      </c>
      <c r="AA60" s="2">
        <f t="shared" si="16"/>
        <v>0</v>
      </c>
      <c r="AB60" s="2">
        <f t="shared" si="17"/>
        <v>0</v>
      </c>
      <c r="AC60" s="2">
        <f t="shared" si="18"/>
        <v>0</v>
      </c>
      <c r="AD60" s="2">
        <f t="shared" si="19"/>
        <v>0</v>
      </c>
      <c r="AE60" s="2">
        <f t="shared" si="20"/>
        <v>0</v>
      </c>
      <c r="AF60" s="2">
        <f t="shared" si="21"/>
        <v>0</v>
      </c>
      <c r="AG60" s="2">
        <f t="shared" si="24"/>
        <v>0</v>
      </c>
    </row>
    <row r="61" spans="2:33" x14ac:dyDescent="0.25">
      <c r="B61" s="1" t="s">
        <v>87</v>
      </c>
      <c r="C61" s="2"/>
      <c r="D61" s="2"/>
      <c r="E61" s="2"/>
      <c r="F61" s="2"/>
      <c r="G61" s="2"/>
      <c r="H61" s="2"/>
      <c r="I61" s="2"/>
      <c r="J61" s="2"/>
      <c r="K61" s="2">
        <f t="shared" si="22"/>
        <v>0</v>
      </c>
      <c r="M61" s="1" t="s">
        <v>87</v>
      </c>
      <c r="N61" s="2"/>
      <c r="O61" s="2"/>
      <c r="P61" s="2"/>
      <c r="Q61" s="2"/>
      <c r="R61" s="2"/>
      <c r="S61" s="2"/>
      <c r="T61" s="2"/>
      <c r="U61" s="2"/>
      <c r="V61" s="2">
        <f t="shared" si="23"/>
        <v>0</v>
      </c>
      <c r="X61" s="1" t="s">
        <v>87</v>
      </c>
      <c r="Y61" s="2">
        <f t="shared" si="14"/>
        <v>0</v>
      </c>
      <c r="Z61" s="2">
        <f t="shared" si="15"/>
        <v>0</v>
      </c>
      <c r="AA61" s="2">
        <f t="shared" si="16"/>
        <v>0</v>
      </c>
      <c r="AB61" s="2">
        <f t="shared" si="17"/>
        <v>0</v>
      </c>
      <c r="AC61" s="2">
        <f t="shared" si="18"/>
        <v>0</v>
      </c>
      <c r="AD61" s="2">
        <f t="shared" si="19"/>
        <v>0</v>
      </c>
      <c r="AE61" s="2">
        <f t="shared" si="20"/>
        <v>0</v>
      </c>
      <c r="AF61" s="2">
        <f t="shared" si="21"/>
        <v>0</v>
      </c>
      <c r="AG61" s="2">
        <f t="shared" si="24"/>
        <v>0</v>
      </c>
    </row>
    <row r="62" spans="2:33" x14ac:dyDescent="0.25">
      <c r="B62" s="1" t="s">
        <v>85</v>
      </c>
      <c r="C62" s="2"/>
      <c r="D62" s="2"/>
      <c r="E62" s="2"/>
      <c r="F62" s="2"/>
      <c r="G62" s="2"/>
      <c r="H62" s="2"/>
      <c r="I62" s="2"/>
      <c r="J62" s="2"/>
      <c r="K62" s="2">
        <f t="shared" si="22"/>
        <v>0</v>
      </c>
      <c r="M62" s="1" t="s">
        <v>85</v>
      </c>
      <c r="N62" s="2"/>
      <c r="O62" s="2"/>
      <c r="P62" s="2"/>
      <c r="Q62" s="2"/>
      <c r="R62" s="2"/>
      <c r="S62" s="2"/>
      <c r="T62" s="2"/>
      <c r="U62" s="2"/>
      <c r="V62" s="2">
        <f t="shared" si="23"/>
        <v>0</v>
      </c>
      <c r="X62" s="1" t="s">
        <v>85</v>
      </c>
      <c r="Y62" s="2">
        <f t="shared" si="14"/>
        <v>0</v>
      </c>
      <c r="Z62" s="2">
        <f t="shared" si="15"/>
        <v>0</v>
      </c>
      <c r="AA62" s="2">
        <f t="shared" si="16"/>
        <v>0</v>
      </c>
      <c r="AB62" s="2">
        <f t="shared" si="17"/>
        <v>0</v>
      </c>
      <c r="AC62" s="2">
        <f t="shared" si="18"/>
        <v>0</v>
      </c>
      <c r="AD62" s="2">
        <f t="shared" si="19"/>
        <v>0</v>
      </c>
      <c r="AE62" s="2">
        <f t="shared" si="20"/>
        <v>0</v>
      </c>
      <c r="AF62" s="2">
        <f t="shared" si="21"/>
        <v>0</v>
      </c>
      <c r="AG62" s="2">
        <f t="shared" si="24"/>
        <v>0</v>
      </c>
    </row>
    <row r="63" spans="2:33" x14ac:dyDescent="0.25">
      <c r="B63" s="1" t="s">
        <v>2</v>
      </c>
      <c r="C63" s="2">
        <v>310.5</v>
      </c>
      <c r="D63" s="2"/>
      <c r="E63" s="2">
        <v>619</v>
      </c>
      <c r="F63" s="2">
        <v>1904.26</v>
      </c>
      <c r="G63" s="2"/>
      <c r="H63" s="2"/>
      <c r="I63" s="2"/>
      <c r="J63" s="2"/>
      <c r="K63" s="2">
        <f t="shared" si="22"/>
        <v>2833.76</v>
      </c>
      <c r="L63" s="150" t="s">
        <v>1254</v>
      </c>
      <c r="M63" s="1" t="s">
        <v>2</v>
      </c>
      <c r="N63" s="2">
        <v>126</v>
      </c>
      <c r="O63" s="2">
        <v>619</v>
      </c>
      <c r="P63" s="2">
        <v>229.34</v>
      </c>
      <c r="Q63" s="2">
        <v>1674.92</v>
      </c>
      <c r="R63" s="2"/>
      <c r="S63" s="2"/>
      <c r="T63" s="2"/>
      <c r="U63" s="2"/>
      <c r="V63" s="2">
        <f t="shared" si="23"/>
        <v>2649.26</v>
      </c>
      <c r="X63" s="1" t="s">
        <v>2</v>
      </c>
      <c r="Y63" s="2">
        <f t="shared" si="14"/>
        <v>184.5</v>
      </c>
      <c r="Z63" s="2">
        <f t="shared" si="15"/>
        <v>-619</v>
      </c>
      <c r="AA63" s="2">
        <f t="shared" si="16"/>
        <v>389.65999999999997</v>
      </c>
      <c r="AB63" s="2">
        <f t="shared" si="17"/>
        <v>229.33999999999992</v>
      </c>
      <c r="AC63" s="2">
        <f t="shared" si="18"/>
        <v>0</v>
      </c>
      <c r="AD63" s="2">
        <f t="shared" si="19"/>
        <v>0</v>
      </c>
      <c r="AE63" s="2">
        <f t="shared" si="20"/>
        <v>0</v>
      </c>
      <c r="AF63" s="2">
        <f t="shared" si="21"/>
        <v>0</v>
      </c>
      <c r="AG63" s="2">
        <f t="shared" si="24"/>
        <v>184.49999999999989</v>
      </c>
    </row>
    <row r="64" spans="2:33" x14ac:dyDescent="0.25">
      <c r="B64" s="1" t="s">
        <v>86</v>
      </c>
      <c r="C64" s="2"/>
      <c r="D64" s="2"/>
      <c r="E64" s="2"/>
      <c r="F64" s="2"/>
      <c r="G64" s="2"/>
      <c r="H64" s="2"/>
      <c r="I64" s="2"/>
      <c r="J64" s="2"/>
      <c r="K64" s="2">
        <f t="shared" si="22"/>
        <v>0</v>
      </c>
      <c r="M64" s="1" t="s">
        <v>86</v>
      </c>
      <c r="N64" s="2"/>
      <c r="O64" s="2"/>
      <c r="P64" s="2"/>
      <c r="Q64" s="2"/>
      <c r="R64" s="2"/>
      <c r="S64" s="2"/>
      <c r="T64" s="2"/>
      <c r="U64" s="2"/>
      <c r="V64" s="2">
        <f t="shared" si="23"/>
        <v>0</v>
      </c>
      <c r="X64" s="1" t="s">
        <v>86</v>
      </c>
      <c r="Y64" s="2">
        <f t="shared" si="14"/>
        <v>0</v>
      </c>
      <c r="Z64" s="2">
        <f t="shared" si="15"/>
        <v>0</v>
      </c>
      <c r="AA64" s="2">
        <f t="shared" si="16"/>
        <v>0</v>
      </c>
      <c r="AB64" s="2">
        <f t="shared" si="17"/>
        <v>0</v>
      </c>
      <c r="AC64" s="2">
        <f t="shared" si="18"/>
        <v>0</v>
      </c>
      <c r="AD64" s="2">
        <f t="shared" si="19"/>
        <v>0</v>
      </c>
      <c r="AE64" s="2">
        <f t="shared" si="20"/>
        <v>0</v>
      </c>
      <c r="AF64" s="2">
        <f t="shared" si="21"/>
        <v>0</v>
      </c>
      <c r="AG64" s="2">
        <f t="shared" si="24"/>
        <v>0</v>
      </c>
    </row>
    <row r="65" spans="2:33" x14ac:dyDescent="0.25">
      <c r="B65" s="1" t="s">
        <v>29</v>
      </c>
      <c r="C65" s="2"/>
      <c r="D65" s="2"/>
      <c r="E65" s="2"/>
      <c r="F65" s="2"/>
      <c r="G65" s="2"/>
      <c r="H65" s="2"/>
      <c r="I65" s="2"/>
      <c r="J65" s="2"/>
      <c r="K65" s="2">
        <f t="shared" si="22"/>
        <v>0</v>
      </c>
      <c r="M65" s="1" t="s">
        <v>29</v>
      </c>
      <c r="N65" s="2"/>
      <c r="O65" s="2"/>
      <c r="P65" s="2"/>
      <c r="Q65" s="2"/>
      <c r="R65" s="2"/>
      <c r="S65" s="2"/>
      <c r="T65" s="2"/>
      <c r="U65" s="2"/>
      <c r="V65" s="2">
        <f t="shared" si="23"/>
        <v>0</v>
      </c>
      <c r="X65" s="1" t="s">
        <v>29</v>
      </c>
      <c r="Y65" s="2">
        <f t="shared" si="14"/>
        <v>0</v>
      </c>
      <c r="Z65" s="2">
        <f t="shared" si="15"/>
        <v>0</v>
      </c>
      <c r="AA65" s="2">
        <f t="shared" si="16"/>
        <v>0</v>
      </c>
      <c r="AB65" s="2">
        <f t="shared" si="17"/>
        <v>0</v>
      </c>
      <c r="AC65" s="2">
        <f t="shared" si="18"/>
        <v>0</v>
      </c>
      <c r="AD65" s="2">
        <f t="shared" si="19"/>
        <v>0</v>
      </c>
      <c r="AE65" s="2">
        <f t="shared" si="20"/>
        <v>0</v>
      </c>
      <c r="AF65" s="2">
        <f t="shared" si="21"/>
        <v>0</v>
      </c>
      <c r="AG65" s="2">
        <f t="shared" si="24"/>
        <v>0</v>
      </c>
    </row>
    <row r="66" spans="2:33" x14ac:dyDescent="0.25">
      <c r="B66" s="1" t="s">
        <v>88</v>
      </c>
      <c r="C66" s="2"/>
      <c r="D66" s="2"/>
      <c r="E66" s="2"/>
      <c r="F66" s="2"/>
      <c r="G66" s="2"/>
      <c r="H66" s="2"/>
      <c r="I66" s="2"/>
      <c r="J66" s="2"/>
      <c r="K66" s="2">
        <f>SUM(C66:J66)</f>
        <v>0</v>
      </c>
      <c r="M66" s="1" t="s">
        <v>88</v>
      </c>
      <c r="N66" s="2"/>
      <c r="O66" s="2"/>
      <c r="P66" s="2"/>
      <c r="Q66" s="2"/>
      <c r="R66" s="2"/>
      <c r="S66" s="2"/>
      <c r="T66" s="2"/>
      <c r="U66" s="2"/>
      <c r="V66" s="2">
        <f>SUM(N66:U66)</f>
        <v>0</v>
      </c>
      <c r="X66" s="1" t="s">
        <v>88</v>
      </c>
      <c r="Y66" s="2">
        <f t="shared" si="14"/>
        <v>0</v>
      </c>
      <c r="Z66" s="2">
        <f t="shared" si="15"/>
        <v>0</v>
      </c>
      <c r="AA66" s="2">
        <f t="shared" si="16"/>
        <v>0</v>
      </c>
      <c r="AB66" s="2">
        <f t="shared" si="17"/>
        <v>0</v>
      </c>
      <c r="AC66" s="2">
        <f t="shared" si="18"/>
        <v>0</v>
      </c>
      <c r="AD66" s="2">
        <f t="shared" si="19"/>
        <v>0</v>
      </c>
      <c r="AE66" s="2">
        <f t="shared" si="20"/>
        <v>0</v>
      </c>
      <c r="AF66" s="2">
        <f t="shared" si="21"/>
        <v>0</v>
      </c>
      <c r="AG66" s="2">
        <f>SUM(Y66:AF66)</f>
        <v>0</v>
      </c>
    </row>
    <row r="67" spans="2:33" x14ac:dyDescent="0.25">
      <c r="B67" s="1" t="s">
        <v>1098</v>
      </c>
      <c r="C67" s="2"/>
      <c r="D67" s="2"/>
      <c r="E67" s="2"/>
      <c r="F67" s="2"/>
      <c r="G67" s="2"/>
      <c r="H67" s="2"/>
      <c r="I67" s="2"/>
      <c r="J67" s="2"/>
      <c r="K67" s="2">
        <f t="shared" si="22"/>
        <v>0</v>
      </c>
      <c r="M67" s="1" t="s">
        <v>1098</v>
      </c>
      <c r="N67" s="2"/>
      <c r="O67" s="2"/>
      <c r="P67" s="2"/>
      <c r="Q67" s="2"/>
      <c r="R67" s="2"/>
      <c r="S67" s="2"/>
      <c r="T67" s="2"/>
      <c r="U67" s="2"/>
      <c r="V67" s="2">
        <f t="shared" ref="V67:V68" si="25">SUM(N67:U67)</f>
        <v>0</v>
      </c>
      <c r="X67" s="1" t="s">
        <v>1098</v>
      </c>
      <c r="Y67" s="2">
        <f t="shared" si="14"/>
        <v>0</v>
      </c>
      <c r="Z67" s="2">
        <f t="shared" si="15"/>
        <v>0</v>
      </c>
      <c r="AA67" s="2">
        <f t="shared" si="16"/>
        <v>0</v>
      </c>
      <c r="AB67" s="2">
        <f t="shared" si="17"/>
        <v>0</v>
      </c>
      <c r="AC67" s="2">
        <f t="shared" si="18"/>
        <v>0</v>
      </c>
      <c r="AD67" s="2">
        <f t="shared" si="19"/>
        <v>0</v>
      </c>
      <c r="AE67" s="2">
        <f t="shared" si="20"/>
        <v>0</v>
      </c>
      <c r="AF67" s="2">
        <f t="shared" si="21"/>
        <v>0</v>
      </c>
      <c r="AG67" s="2">
        <f t="shared" si="24"/>
        <v>0</v>
      </c>
    </row>
    <row r="68" spans="2:33" x14ac:dyDescent="0.25">
      <c r="B68" s="1" t="s">
        <v>1099</v>
      </c>
      <c r="C68" s="2"/>
      <c r="D68" s="2"/>
      <c r="E68" s="2"/>
      <c r="F68" s="2"/>
      <c r="G68" s="2"/>
      <c r="H68" s="2"/>
      <c r="I68" s="2"/>
      <c r="J68" s="2"/>
      <c r="K68" s="2">
        <f t="shared" si="22"/>
        <v>0</v>
      </c>
      <c r="M68" s="1" t="s">
        <v>1099</v>
      </c>
      <c r="N68" s="2"/>
      <c r="O68" s="2"/>
      <c r="P68" s="2"/>
      <c r="Q68" s="2"/>
      <c r="R68" s="2"/>
      <c r="S68" s="2"/>
      <c r="T68" s="2"/>
      <c r="U68" s="2"/>
      <c r="V68" s="2">
        <f t="shared" si="25"/>
        <v>0</v>
      </c>
      <c r="X68" s="1" t="s">
        <v>1099</v>
      </c>
      <c r="Y68" s="2">
        <f t="shared" si="14"/>
        <v>0</v>
      </c>
      <c r="Z68" s="2">
        <f t="shared" si="15"/>
        <v>0</v>
      </c>
      <c r="AA68" s="2">
        <f t="shared" si="16"/>
        <v>0</v>
      </c>
      <c r="AB68" s="2">
        <f t="shared" si="17"/>
        <v>0</v>
      </c>
      <c r="AC68" s="2">
        <f t="shared" si="18"/>
        <v>0</v>
      </c>
      <c r="AD68" s="2">
        <f t="shared" si="19"/>
        <v>0</v>
      </c>
      <c r="AE68" s="2">
        <f t="shared" si="20"/>
        <v>0</v>
      </c>
      <c r="AF68" s="2">
        <f t="shared" si="21"/>
        <v>0</v>
      </c>
      <c r="AG68" s="2">
        <f t="shared" si="24"/>
        <v>0</v>
      </c>
    </row>
    <row r="69" spans="2:33" ht="15.75" thickBot="1" x14ac:dyDescent="0.3">
      <c r="C69" s="70">
        <f t="shared" ref="C69:K69" si="26">SUM(C49:C68)</f>
        <v>310.5</v>
      </c>
      <c r="D69" s="70">
        <f t="shared" si="26"/>
        <v>0</v>
      </c>
      <c r="E69" s="70">
        <f t="shared" si="26"/>
        <v>619</v>
      </c>
      <c r="F69" s="70">
        <f t="shared" si="26"/>
        <v>1904.26</v>
      </c>
      <c r="G69" s="70">
        <f t="shared" si="26"/>
        <v>0</v>
      </c>
      <c r="H69" s="70">
        <f t="shared" si="26"/>
        <v>0</v>
      </c>
      <c r="I69" s="70">
        <f t="shared" si="26"/>
        <v>0</v>
      </c>
      <c r="J69" s="70">
        <f t="shared" si="26"/>
        <v>0</v>
      </c>
      <c r="K69" s="70">
        <f t="shared" si="26"/>
        <v>2833.76</v>
      </c>
      <c r="L69" s="31"/>
      <c r="N69" s="70">
        <f t="shared" ref="N69:V69" si="27">SUM(N49:N68)</f>
        <v>126</v>
      </c>
      <c r="O69" s="70">
        <f t="shared" si="27"/>
        <v>619</v>
      </c>
      <c r="P69" s="70">
        <f t="shared" si="27"/>
        <v>229.34</v>
      </c>
      <c r="Q69" s="70">
        <f t="shared" si="27"/>
        <v>1674.92</v>
      </c>
      <c r="R69" s="70">
        <f t="shared" si="27"/>
        <v>0</v>
      </c>
      <c r="S69" s="70">
        <f t="shared" si="27"/>
        <v>0</v>
      </c>
      <c r="T69" s="70">
        <f t="shared" si="27"/>
        <v>0</v>
      </c>
      <c r="U69" s="70">
        <f t="shared" si="27"/>
        <v>0</v>
      </c>
      <c r="V69" s="70">
        <f t="shared" si="27"/>
        <v>2649.26</v>
      </c>
      <c r="Y69" s="70">
        <f t="shared" ref="Y69:AG69" si="28">SUM(Y49:Y68)</f>
        <v>184.5</v>
      </c>
      <c r="Z69" s="70">
        <f t="shared" si="28"/>
        <v>-619</v>
      </c>
      <c r="AA69" s="70">
        <f t="shared" si="28"/>
        <v>389.65999999999997</v>
      </c>
      <c r="AB69" s="70">
        <f t="shared" si="28"/>
        <v>229.33999999999992</v>
      </c>
      <c r="AC69" s="70">
        <f t="shared" si="28"/>
        <v>0</v>
      </c>
      <c r="AD69" s="70">
        <f t="shared" si="28"/>
        <v>0</v>
      </c>
      <c r="AE69" s="70">
        <f t="shared" si="28"/>
        <v>0</v>
      </c>
      <c r="AF69" s="70">
        <f t="shared" si="28"/>
        <v>0</v>
      </c>
      <c r="AG69" s="70">
        <f t="shared" si="28"/>
        <v>184.49999999999989</v>
      </c>
    </row>
    <row r="70" spans="2:33" hidden="1" x14ac:dyDescent="0.25"/>
    <row r="71" spans="2:33" hidden="1" x14ac:dyDescent="0.25"/>
    <row r="72" spans="2:33" hidden="1" x14ac:dyDescent="0.25">
      <c r="B72" s="72" t="s">
        <v>96</v>
      </c>
      <c r="C72" s="187">
        <f>$C$20</f>
        <v>45199</v>
      </c>
      <c r="D72" s="175"/>
      <c r="E72" s="175"/>
      <c r="F72" s="175"/>
      <c r="G72" s="175"/>
      <c r="H72" s="175"/>
      <c r="I72" s="175"/>
      <c r="J72" s="175"/>
      <c r="K72" s="175"/>
      <c r="M72" s="72" t="s">
        <v>96</v>
      </c>
      <c r="N72" s="193">
        <f>$N$20</f>
        <v>45169</v>
      </c>
      <c r="O72" s="194"/>
      <c r="P72" s="194"/>
      <c r="Q72" s="194"/>
      <c r="R72" s="194"/>
      <c r="S72" s="194"/>
      <c r="T72" s="194"/>
      <c r="U72" s="194"/>
      <c r="V72" s="194"/>
      <c r="Y72" s="175" t="s">
        <v>97</v>
      </c>
      <c r="Z72" s="175"/>
      <c r="AA72" s="175"/>
      <c r="AB72" s="175"/>
      <c r="AC72" s="175"/>
      <c r="AD72" s="175"/>
      <c r="AE72" s="175"/>
      <c r="AF72" s="175"/>
      <c r="AG72" s="175"/>
    </row>
    <row r="73" spans="2:33" hidden="1" x14ac:dyDescent="0.25">
      <c r="B73" s="72" t="s">
        <v>95</v>
      </c>
      <c r="C73" s="175" t="str">
        <f>'Reimbursement Rates &lt;-INPUT'!D7</f>
        <v>Clinic 3</v>
      </c>
      <c r="D73" s="175"/>
      <c r="E73" s="175"/>
      <c r="F73" s="175"/>
      <c r="G73" s="175"/>
      <c r="H73" s="175"/>
      <c r="I73" s="175"/>
      <c r="J73" s="175"/>
      <c r="K73" s="175"/>
      <c r="M73" s="72" t="s">
        <v>95</v>
      </c>
      <c r="N73" s="175" t="str">
        <f>C73</f>
        <v>Clinic 3</v>
      </c>
      <c r="O73" s="175"/>
      <c r="P73" s="175"/>
      <c r="Q73" s="175"/>
      <c r="R73" s="175"/>
      <c r="S73" s="175"/>
      <c r="T73" s="175"/>
      <c r="U73" s="175"/>
      <c r="V73" s="175"/>
      <c r="X73" s="71" t="s">
        <v>95</v>
      </c>
      <c r="Y73" s="175" t="str">
        <f>C73</f>
        <v>Clinic 3</v>
      </c>
      <c r="Z73" s="175"/>
      <c r="AA73" s="175"/>
      <c r="AB73" s="175"/>
      <c r="AC73" s="175"/>
      <c r="AD73" s="175"/>
      <c r="AE73" s="175"/>
      <c r="AF73" s="175"/>
      <c r="AG73" s="175"/>
    </row>
    <row r="74" spans="2:33" hidden="1" x14ac:dyDescent="0.25">
      <c r="B74" s="4" t="s">
        <v>16</v>
      </c>
      <c r="C74" s="5" t="s">
        <v>15</v>
      </c>
      <c r="D74" s="5" t="s">
        <v>14</v>
      </c>
      <c r="E74" s="5" t="s">
        <v>13</v>
      </c>
      <c r="F74" s="5" t="s">
        <v>12</v>
      </c>
      <c r="G74" s="5" t="s">
        <v>93</v>
      </c>
      <c r="H74" s="5" t="s">
        <v>94</v>
      </c>
      <c r="I74" s="5" t="s">
        <v>38</v>
      </c>
      <c r="J74" s="5" t="s">
        <v>9</v>
      </c>
      <c r="K74" s="5" t="s">
        <v>80</v>
      </c>
      <c r="M74" s="4" t="s">
        <v>16</v>
      </c>
      <c r="N74" s="5" t="s">
        <v>15</v>
      </c>
      <c r="O74" s="5" t="s">
        <v>14</v>
      </c>
      <c r="P74" s="5" t="s">
        <v>13</v>
      </c>
      <c r="Q74" s="5" t="s">
        <v>12</v>
      </c>
      <c r="R74" s="5" t="s">
        <v>93</v>
      </c>
      <c r="S74" s="5" t="s">
        <v>94</v>
      </c>
      <c r="T74" s="5" t="s">
        <v>38</v>
      </c>
      <c r="U74" s="5" t="s">
        <v>9</v>
      </c>
      <c r="V74" s="5" t="s">
        <v>80</v>
      </c>
      <c r="X74" s="4" t="s">
        <v>16</v>
      </c>
      <c r="Y74" s="5" t="s">
        <v>15</v>
      </c>
      <c r="Z74" s="5" t="s">
        <v>14</v>
      </c>
      <c r="AA74" s="5" t="s">
        <v>13</v>
      </c>
      <c r="AB74" s="5" t="s">
        <v>12</v>
      </c>
      <c r="AC74" s="5" t="s">
        <v>93</v>
      </c>
      <c r="AD74" s="5" t="s">
        <v>94</v>
      </c>
      <c r="AE74" s="5" t="s">
        <v>38</v>
      </c>
      <c r="AF74" s="5" t="s">
        <v>9</v>
      </c>
      <c r="AG74" s="5" t="s">
        <v>80</v>
      </c>
    </row>
    <row r="75" spans="2:33" hidden="1" x14ac:dyDescent="0.25">
      <c r="B75" s="1" t="s">
        <v>1094</v>
      </c>
      <c r="C75" s="2"/>
      <c r="D75" s="2"/>
      <c r="E75" s="2"/>
      <c r="F75" s="2"/>
      <c r="G75" s="2"/>
      <c r="H75" s="2"/>
      <c r="I75" s="2"/>
      <c r="J75" s="2"/>
      <c r="K75" s="2">
        <f>SUM(C75:J75)</f>
        <v>0</v>
      </c>
      <c r="M75" s="1" t="s">
        <v>1094</v>
      </c>
      <c r="N75" s="2"/>
      <c r="O75" s="2"/>
      <c r="P75" s="2"/>
      <c r="Q75" s="2"/>
      <c r="R75" s="2"/>
      <c r="S75" s="2"/>
      <c r="T75" s="2"/>
      <c r="U75" s="2"/>
      <c r="V75" s="2">
        <f>SUM(N75:U75)</f>
        <v>0</v>
      </c>
      <c r="X75" s="1" t="s">
        <v>49</v>
      </c>
      <c r="Y75" s="2">
        <f t="shared" ref="Y75:Y94" si="29">C75-N75</f>
        <v>0</v>
      </c>
      <c r="Z75" s="2">
        <f t="shared" ref="Z75:Z94" si="30">D75-O75</f>
        <v>0</v>
      </c>
      <c r="AA75" s="2">
        <f t="shared" ref="AA75:AA94" si="31">E75-P75</f>
        <v>0</v>
      </c>
      <c r="AB75" s="2">
        <f t="shared" ref="AB75:AB94" si="32">F75-Q75</f>
        <v>0</v>
      </c>
      <c r="AC75" s="2">
        <f t="shared" ref="AC75:AC94" si="33">G75-R75</f>
        <v>0</v>
      </c>
      <c r="AD75" s="2">
        <f t="shared" ref="AD75:AD94" si="34">H75-S75</f>
        <v>0</v>
      </c>
      <c r="AE75" s="2">
        <f t="shared" ref="AE75:AE94" si="35">I75-T75</f>
        <v>0</v>
      </c>
      <c r="AF75" s="2">
        <f t="shared" ref="AF75:AF94" si="36">J75-U75</f>
        <v>0</v>
      </c>
      <c r="AG75" s="2">
        <f>SUM(Y75:AF75)</f>
        <v>0</v>
      </c>
    </row>
    <row r="76" spans="2:33" hidden="1" x14ac:dyDescent="0.25">
      <c r="B76" s="1" t="s">
        <v>8</v>
      </c>
      <c r="C76" s="2"/>
      <c r="D76" s="2"/>
      <c r="E76" s="2"/>
      <c r="F76" s="2"/>
      <c r="G76" s="2"/>
      <c r="H76" s="2"/>
      <c r="I76" s="2"/>
      <c r="J76" s="2"/>
      <c r="K76" s="2">
        <f t="shared" ref="K76:K94" si="37">SUM(C76:J76)</f>
        <v>0</v>
      </c>
      <c r="M76" s="1" t="s">
        <v>8</v>
      </c>
      <c r="N76" s="2"/>
      <c r="O76" s="2"/>
      <c r="P76" s="2"/>
      <c r="Q76" s="2"/>
      <c r="R76" s="2"/>
      <c r="S76" s="2"/>
      <c r="T76" s="2"/>
      <c r="U76" s="2"/>
      <c r="V76" s="2">
        <f t="shared" ref="V76:V94" si="38">SUM(N76:U76)</f>
        <v>0</v>
      </c>
      <c r="X76" s="1" t="s">
        <v>8</v>
      </c>
      <c r="Y76" s="2">
        <f t="shared" si="29"/>
        <v>0</v>
      </c>
      <c r="Z76" s="2">
        <f t="shared" si="30"/>
        <v>0</v>
      </c>
      <c r="AA76" s="2">
        <f t="shared" si="31"/>
        <v>0</v>
      </c>
      <c r="AB76" s="2">
        <f t="shared" si="32"/>
        <v>0</v>
      </c>
      <c r="AC76" s="2">
        <f t="shared" si="33"/>
        <v>0</v>
      </c>
      <c r="AD76" s="2">
        <f t="shared" si="34"/>
        <v>0</v>
      </c>
      <c r="AE76" s="2">
        <f t="shared" si="35"/>
        <v>0</v>
      </c>
      <c r="AF76" s="2">
        <f t="shared" si="36"/>
        <v>0</v>
      </c>
      <c r="AG76" s="2">
        <f t="shared" ref="AG76:AG94" si="39">SUM(Y76:AF76)</f>
        <v>0</v>
      </c>
    </row>
    <row r="77" spans="2:33" hidden="1" x14ac:dyDescent="0.25">
      <c r="B77" s="1" t="s">
        <v>1095</v>
      </c>
      <c r="C77" s="2"/>
      <c r="D77" s="2"/>
      <c r="E77" s="2"/>
      <c r="F77" s="2"/>
      <c r="G77" s="2"/>
      <c r="H77" s="2"/>
      <c r="I77" s="2"/>
      <c r="J77" s="2"/>
      <c r="K77" s="2">
        <f t="shared" si="37"/>
        <v>0</v>
      </c>
      <c r="M77" s="1" t="s">
        <v>1095</v>
      </c>
      <c r="N77" s="2"/>
      <c r="O77" s="2"/>
      <c r="P77" s="2"/>
      <c r="Q77" s="2"/>
      <c r="R77" s="2"/>
      <c r="S77" s="2"/>
      <c r="T77" s="2"/>
      <c r="U77" s="2"/>
      <c r="V77" s="2">
        <f t="shared" si="38"/>
        <v>0</v>
      </c>
      <c r="X77" s="1" t="s">
        <v>7</v>
      </c>
      <c r="Y77" s="2">
        <f t="shared" si="29"/>
        <v>0</v>
      </c>
      <c r="Z77" s="2">
        <f t="shared" si="30"/>
        <v>0</v>
      </c>
      <c r="AA77" s="2">
        <f t="shared" si="31"/>
        <v>0</v>
      </c>
      <c r="AB77" s="2">
        <f t="shared" si="32"/>
        <v>0</v>
      </c>
      <c r="AC77" s="2">
        <f t="shared" si="33"/>
        <v>0</v>
      </c>
      <c r="AD77" s="2">
        <f t="shared" si="34"/>
        <v>0</v>
      </c>
      <c r="AE77" s="2">
        <f t="shared" si="35"/>
        <v>0</v>
      </c>
      <c r="AF77" s="2">
        <f t="shared" si="36"/>
        <v>0</v>
      </c>
      <c r="AG77" s="2">
        <f t="shared" si="39"/>
        <v>0</v>
      </c>
    </row>
    <row r="78" spans="2:33" hidden="1" x14ac:dyDescent="0.25">
      <c r="B78" s="1" t="s">
        <v>42</v>
      </c>
      <c r="C78" s="2"/>
      <c r="D78" s="2"/>
      <c r="E78" s="2"/>
      <c r="F78" s="2"/>
      <c r="G78" s="2"/>
      <c r="H78" s="2"/>
      <c r="I78" s="2"/>
      <c r="J78" s="2"/>
      <c r="K78" s="2">
        <f t="shared" si="37"/>
        <v>0</v>
      </c>
      <c r="M78" s="1" t="s">
        <v>42</v>
      </c>
      <c r="N78" s="2"/>
      <c r="O78" s="2"/>
      <c r="P78" s="2"/>
      <c r="Q78" s="2"/>
      <c r="R78" s="2"/>
      <c r="S78" s="2"/>
      <c r="T78" s="2"/>
      <c r="U78" s="2"/>
      <c r="V78" s="2">
        <f t="shared" si="38"/>
        <v>0</v>
      </c>
      <c r="X78" s="1" t="s">
        <v>42</v>
      </c>
      <c r="Y78" s="2">
        <f t="shared" si="29"/>
        <v>0</v>
      </c>
      <c r="Z78" s="2">
        <f t="shared" si="30"/>
        <v>0</v>
      </c>
      <c r="AA78" s="2">
        <f t="shared" si="31"/>
        <v>0</v>
      </c>
      <c r="AB78" s="2">
        <f t="shared" si="32"/>
        <v>0</v>
      </c>
      <c r="AC78" s="2">
        <f t="shared" si="33"/>
        <v>0</v>
      </c>
      <c r="AD78" s="2">
        <f t="shared" si="34"/>
        <v>0</v>
      </c>
      <c r="AE78" s="2">
        <f t="shared" si="35"/>
        <v>0</v>
      </c>
      <c r="AF78" s="2">
        <f t="shared" si="36"/>
        <v>0</v>
      </c>
      <c r="AG78" s="2">
        <f t="shared" si="39"/>
        <v>0</v>
      </c>
    </row>
    <row r="79" spans="2:33" hidden="1" x14ac:dyDescent="0.25">
      <c r="B79" s="1" t="s">
        <v>6</v>
      </c>
      <c r="C79" s="2"/>
      <c r="D79" s="2"/>
      <c r="E79" s="2"/>
      <c r="F79" s="2"/>
      <c r="G79" s="2"/>
      <c r="H79" s="2"/>
      <c r="I79" s="2"/>
      <c r="J79" s="2"/>
      <c r="K79" s="2">
        <f t="shared" si="37"/>
        <v>0</v>
      </c>
      <c r="M79" s="1" t="s">
        <v>6</v>
      </c>
      <c r="N79" s="2"/>
      <c r="O79" s="2"/>
      <c r="P79" s="2"/>
      <c r="Q79" s="2"/>
      <c r="R79" s="2"/>
      <c r="S79" s="2"/>
      <c r="T79" s="2"/>
      <c r="U79" s="2"/>
      <c r="V79" s="2">
        <f t="shared" si="38"/>
        <v>0</v>
      </c>
      <c r="X79" s="1" t="s">
        <v>6</v>
      </c>
      <c r="Y79" s="2">
        <f t="shared" si="29"/>
        <v>0</v>
      </c>
      <c r="Z79" s="2">
        <f t="shared" si="30"/>
        <v>0</v>
      </c>
      <c r="AA79" s="2">
        <f t="shared" si="31"/>
        <v>0</v>
      </c>
      <c r="AB79" s="2">
        <f t="shared" si="32"/>
        <v>0</v>
      </c>
      <c r="AC79" s="2">
        <f t="shared" si="33"/>
        <v>0</v>
      </c>
      <c r="AD79" s="2">
        <f t="shared" si="34"/>
        <v>0</v>
      </c>
      <c r="AE79" s="2">
        <f t="shared" si="35"/>
        <v>0</v>
      </c>
      <c r="AF79" s="2">
        <f t="shared" si="36"/>
        <v>0</v>
      </c>
      <c r="AG79" s="2">
        <f t="shared" si="39"/>
        <v>0</v>
      </c>
    </row>
    <row r="80" spans="2:33" hidden="1" x14ac:dyDescent="0.25">
      <c r="B80" s="1" t="s">
        <v>90</v>
      </c>
      <c r="C80" s="2"/>
      <c r="D80" s="2"/>
      <c r="E80" s="2"/>
      <c r="F80" s="2"/>
      <c r="G80" s="2"/>
      <c r="H80" s="2"/>
      <c r="I80" s="2"/>
      <c r="J80" s="2"/>
      <c r="K80" s="2">
        <f t="shared" si="37"/>
        <v>0</v>
      </c>
      <c r="M80" s="1" t="s">
        <v>90</v>
      </c>
      <c r="N80" s="2"/>
      <c r="O80" s="2"/>
      <c r="P80" s="2"/>
      <c r="Q80" s="2"/>
      <c r="R80" s="2"/>
      <c r="S80" s="2"/>
      <c r="T80" s="2"/>
      <c r="U80" s="2"/>
      <c r="V80" s="2">
        <f t="shared" si="38"/>
        <v>0</v>
      </c>
      <c r="X80" s="1" t="s">
        <v>90</v>
      </c>
      <c r="Y80" s="2">
        <f t="shared" si="29"/>
        <v>0</v>
      </c>
      <c r="Z80" s="2">
        <f t="shared" si="30"/>
        <v>0</v>
      </c>
      <c r="AA80" s="2">
        <f t="shared" si="31"/>
        <v>0</v>
      </c>
      <c r="AB80" s="2">
        <f t="shared" si="32"/>
        <v>0</v>
      </c>
      <c r="AC80" s="2">
        <f t="shared" si="33"/>
        <v>0</v>
      </c>
      <c r="AD80" s="2">
        <f t="shared" si="34"/>
        <v>0</v>
      </c>
      <c r="AE80" s="2">
        <f t="shared" si="35"/>
        <v>0</v>
      </c>
      <c r="AF80" s="2">
        <f t="shared" si="36"/>
        <v>0</v>
      </c>
      <c r="AG80" s="2">
        <f t="shared" si="39"/>
        <v>0</v>
      </c>
    </row>
    <row r="81" spans="2:33" hidden="1" x14ac:dyDescent="0.25">
      <c r="B81" s="1" t="s">
        <v>1100</v>
      </c>
      <c r="C81" s="2"/>
      <c r="D81" s="2"/>
      <c r="E81" s="2"/>
      <c r="F81" s="2"/>
      <c r="G81" s="2"/>
      <c r="H81" s="2"/>
      <c r="I81" s="2"/>
      <c r="J81" s="2"/>
      <c r="K81" s="2">
        <f t="shared" si="37"/>
        <v>0</v>
      </c>
      <c r="M81" s="1" t="s">
        <v>1100</v>
      </c>
      <c r="N81" s="2"/>
      <c r="O81" s="2"/>
      <c r="P81" s="2"/>
      <c r="Q81" s="2"/>
      <c r="R81" s="2"/>
      <c r="S81" s="2"/>
      <c r="T81" s="2"/>
      <c r="U81" s="2"/>
      <c r="V81" s="2">
        <f t="shared" si="38"/>
        <v>0</v>
      </c>
      <c r="X81" s="1" t="s">
        <v>50</v>
      </c>
      <c r="Y81" s="2">
        <f t="shared" si="29"/>
        <v>0</v>
      </c>
      <c r="Z81" s="2">
        <f t="shared" si="30"/>
        <v>0</v>
      </c>
      <c r="AA81" s="2">
        <f t="shared" si="31"/>
        <v>0</v>
      </c>
      <c r="AB81" s="2">
        <f t="shared" si="32"/>
        <v>0</v>
      </c>
      <c r="AC81" s="2">
        <f t="shared" si="33"/>
        <v>0</v>
      </c>
      <c r="AD81" s="2">
        <f t="shared" si="34"/>
        <v>0</v>
      </c>
      <c r="AE81" s="2">
        <f t="shared" si="35"/>
        <v>0</v>
      </c>
      <c r="AF81" s="2">
        <f t="shared" si="36"/>
        <v>0</v>
      </c>
      <c r="AG81" s="2">
        <f t="shared" si="39"/>
        <v>0</v>
      </c>
    </row>
    <row r="82" spans="2:33" hidden="1" x14ac:dyDescent="0.25">
      <c r="B82" s="1" t="s">
        <v>89</v>
      </c>
      <c r="C82" s="2"/>
      <c r="D82" s="2"/>
      <c r="E82" s="2"/>
      <c r="F82" s="2"/>
      <c r="G82" s="2"/>
      <c r="H82" s="2"/>
      <c r="I82" s="2"/>
      <c r="J82" s="2"/>
      <c r="K82" s="2">
        <f t="shared" si="37"/>
        <v>0</v>
      </c>
      <c r="M82" s="1" t="s">
        <v>89</v>
      </c>
      <c r="N82" s="2"/>
      <c r="O82" s="2"/>
      <c r="P82" s="2"/>
      <c r="Q82" s="2"/>
      <c r="R82" s="2"/>
      <c r="S82" s="2"/>
      <c r="T82" s="2"/>
      <c r="U82" s="2"/>
      <c r="V82" s="2">
        <f t="shared" si="38"/>
        <v>0</v>
      </c>
      <c r="X82" s="1" t="s">
        <v>89</v>
      </c>
      <c r="Y82" s="2">
        <f t="shared" si="29"/>
        <v>0</v>
      </c>
      <c r="Z82" s="2">
        <f t="shared" si="30"/>
        <v>0</v>
      </c>
      <c r="AA82" s="2">
        <f t="shared" si="31"/>
        <v>0</v>
      </c>
      <c r="AB82" s="2">
        <f t="shared" si="32"/>
        <v>0</v>
      </c>
      <c r="AC82" s="2">
        <f t="shared" si="33"/>
        <v>0</v>
      </c>
      <c r="AD82" s="2">
        <f t="shared" si="34"/>
        <v>0</v>
      </c>
      <c r="AE82" s="2">
        <f t="shared" si="35"/>
        <v>0</v>
      </c>
      <c r="AF82" s="2">
        <f t="shared" si="36"/>
        <v>0</v>
      </c>
      <c r="AG82" s="2">
        <f t="shared" si="39"/>
        <v>0</v>
      </c>
    </row>
    <row r="83" spans="2:33" hidden="1" x14ac:dyDescent="0.25">
      <c r="B83" s="1" t="s">
        <v>5</v>
      </c>
      <c r="C83" s="2"/>
      <c r="D83" s="2"/>
      <c r="E83" s="2"/>
      <c r="F83" s="2"/>
      <c r="G83" s="2"/>
      <c r="H83" s="2"/>
      <c r="I83" s="2"/>
      <c r="J83" s="2"/>
      <c r="K83" s="2">
        <f t="shared" si="37"/>
        <v>0</v>
      </c>
      <c r="M83" s="1" t="s">
        <v>5</v>
      </c>
      <c r="N83" s="2"/>
      <c r="O83" s="2"/>
      <c r="P83" s="2"/>
      <c r="Q83" s="2"/>
      <c r="R83" s="2"/>
      <c r="S83" s="2"/>
      <c r="T83" s="2"/>
      <c r="U83" s="2"/>
      <c r="V83" s="2">
        <f t="shared" si="38"/>
        <v>0</v>
      </c>
      <c r="X83" s="1" t="s">
        <v>5</v>
      </c>
      <c r="Y83" s="2">
        <f t="shared" si="29"/>
        <v>0</v>
      </c>
      <c r="Z83" s="2">
        <f t="shared" si="30"/>
        <v>0</v>
      </c>
      <c r="AA83" s="2">
        <f t="shared" si="31"/>
        <v>0</v>
      </c>
      <c r="AB83" s="2">
        <f t="shared" si="32"/>
        <v>0</v>
      </c>
      <c r="AC83" s="2">
        <f t="shared" si="33"/>
        <v>0</v>
      </c>
      <c r="AD83" s="2">
        <f t="shared" si="34"/>
        <v>0</v>
      </c>
      <c r="AE83" s="2">
        <f t="shared" si="35"/>
        <v>0</v>
      </c>
      <c r="AF83" s="2">
        <f t="shared" si="36"/>
        <v>0</v>
      </c>
      <c r="AG83" s="2">
        <f t="shared" si="39"/>
        <v>0</v>
      </c>
    </row>
    <row r="84" spans="2:33" hidden="1" x14ac:dyDescent="0.25">
      <c r="B84" s="1" t="s">
        <v>84</v>
      </c>
      <c r="C84" s="2"/>
      <c r="D84" s="2"/>
      <c r="E84" s="2"/>
      <c r="F84" s="2"/>
      <c r="G84" s="2"/>
      <c r="H84" s="2"/>
      <c r="I84" s="2"/>
      <c r="J84" s="2"/>
      <c r="K84" s="2">
        <f t="shared" si="37"/>
        <v>0</v>
      </c>
      <c r="M84" s="1" t="s">
        <v>84</v>
      </c>
      <c r="N84" s="2"/>
      <c r="O84" s="2"/>
      <c r="P84" s="2"/>
      <c r="Q84" s="2"/>
      <c r="R84" s="2"/>
      <c r="S84" s="2"/>
      <c r="T84" s="2"/>
      <c r="U84" s="2"/>
      <c r="V84" s="2">
        <f t="shared" si="38"/>
        <v>0</v>
      </c>
      <c r="X84" s="1" t="s">
        <v>84</v>
      </c>
      <c r="Y84" s="2">
        <f t="shared" si="29"/>
        <v>0</v>
      </c>
      <c r="Z84" s="2">
        <f t="shared" si="30"/>
        <v>0</v>
      </c>
      <c r="AA84" s="2">
        <f t="shared" si="31"/>
        <v>0</v>
      </c>
      <c r="AB84" s="2">
        <f t="shared" si="32"/>
        <v>0</v>
      </c>
      <c r="AC84" s="2">
        <f t="shared" si="33"/>
        <v>0</v>
      </c>
      <c r="AD84" s="2">
        <f t="shared" si="34"/>
        <v>0</v>
      </c>
      <c r="AE84" s="2">
        <f t="shared" si="35"/>
        <v>0</v>
      </c>
      <c r="AF84" s="2">
        <f t="shared" si="36"/>
        <v>0</v>
      </c>
      <c r="AG84" s="2">
        <f t="shared" si="39"/>
        <v>0</v>
      </c>
    </row>
    <row r="85" spans="2:33" hidden="1" x14ac:dyDescent="0.25">
      <c r="B85" s="1" t="s">
        <v>4</v>
      </c>
      <c r="C85" s="2"/>
      <c r="D85" s="2"/>
      <c r="E85" s="2"/>
      <c r="F85" s="2"/>
      <c r="G85" s="2"/>
      <c r="H85" s="2"/>
      <c r="I85" s="2"/>
      <c r="J85" s="2"/>
      <c r="K85" s="2">
        <f t="shared" si="37"/>
        <v>0</v>
      </c>
      <c r="M85" s="1" t="s">
        <v>4</v>
      </c>
      <c r="N85" s="2"/>
      <c r="O85" s="2"/>
      <c r="P85" s="2"/>
      <c r="Q85" s="2"/>
      <c r="R85" s="2"/>
      <c r="S85" s="2"/>
      <c r="T85" s="2"/>
      <c r="U85" s="2"/>
      <c r="V85" s="2">
        <f t="shared" si="38"/>
        <v>0</v>
      </c>
      <c r="X85" s="1" t="s">
        <v>4</v>
      </c>
      <c r="Y85" s="2">
        <f t="shared" si="29"/>
        <v>0</v>
      </c>
      <c r="Z85" s="2">
        <f t="shared" si="30"/>
        <v>0</v>
      </c>
      <c r="AA85" s="2">
        <f t="shared" si="31"/>
        <v>0</v>
      </c>
      <c r="AB85" s="2">
        <f t="shared" si="32"/>
        <v>0</v>
      </c>
      <c r="AC85" s="2">
        <f t="shared" si="33"/>
        <v>0</v>
      </c>
      <c r="AD85" s="2">
        <f t="shared" si="34"/>
        <v>0</v>
      </c>
      <c r="AE85" s="2">
        <f t="shared" si="35"/>
        <v>0</v>
      </c>
      <c r="AF85" s="2">
        <f t="shared" si="36"/>
        <v>0</v>
      </c>
      <c r="AG85" s="2">
        <f t="shared" si="39"/>
        <v>0</v>
      </c>
    </row>
    <row r="86" spans="2:33" hidden="1" x14ac:dyDescent="0.25">
      <c r="B86" s="1" t="s">
        <v>51</v>
      </c>
      <c r="C86" s="2"/>
      <c r="D86" s="2"/>
      <c r="E86" s="2"/>
      <c r="F86" s="2"/>
      <c r="G86" s="2"/>
      <c r="H86" s="2"/>
      <c r="I86" s="2"/>
      <c r="J86" s="2"/>
      <c r="K86" s="2">
        <f t="shared" si="37"/>
        <v>0</v>
      </c>
      <c r="M86" s="1" t="s">
        <v>51</v>
      </c>
      <c r="N86" s="2"/>
      <c r="O86" s="2"/>
      <c r="P86" s="2"/>
      <c r="Q86" s="2"/>
      <c r="R86" s="2"/>
      <c r="S86" s="2"/>
      <c r="T86" s="2"/>
      <c r="U86" s="2"/>
      <c r="V86" s="2">
        <f t="shared" si="38"/>
        <v>0</v>
      </c>
      <c r="X86" s="1" t="s">
        <v>51</v>
      </c>
      <c r="Y86" s="2">
        <f t="shared" si="29"/>
        <v>0</v>
      </c>
      <c r="Z86" s="2">
        <f t="shared" si="30"/>
        <v>0</v>
      </c>
      <c r="AA86" s="2">
        <f t="shared" si="31"/>
        <v>0</v>
      </c>
      <c r="AB86" s="2">
        <f t="shared" si="32"/>
        <v>0</v>
      </c>
      <c r="AC86" s="2">
        <f t="shared" si="33"/>
        <v>0</v>
      </c>
      <c r="AD86" s="2">
        <f t="shared" si="34"/>
        <v>0</v>
      </c>
      <c r="AE86" s="2">
        <f t="shared" si="35"/>
        <v>0</v>
      </c>
      <c r="AF86" s="2">
        <f t="shared" si="36"/>
        <v>0</v>
      </c>
      <c r="AG86" s="2">
        <f t="shared" si="39"/>
        <v>0</v>
      </c>
    </row>
    <row r="87" spans="2:33" hidden="1" x14ac:dyDescent="0.25">
      <c r="B87" s="1" t="s">
        <v>87</v>
      </c>
      <c r="C87" s="2"/>
      <c r="D87" s="2"/>
      <c r="E87" s="2"/>
      <c r="F87" s="2"/>
      <c r="G87" s="2"/>
      <c r="H87" s="2"/>
      <c r="I87" s="2"/>
      <c r="J87" s="2"/>
      <c r="K87" s="2">
        <f t="shared" si="37"/>
        <v>0</v>
      </c>
      <c r="M87" s="1" t="s">
        <v>87</v>
      </c>
      <c r="N87" s="2"/>
      <c r="O87" s="2"/>
      <c r="P87" s="2"/>
      <c r="Q87" s="2"/>
      <c r="R87" s="2"/>
      <c r="S87" s="2"/>
      <c r="T87" s="2"/>
      <c r="U87" s="2"/>
      <c r="V87" s="2">
        <f t="shared" si="38"/>
        <v>0</v>
      </c>
      <c r="X87" s="1" t="s">
        <v>87</v>
      </c>
      <c r="Y87" s="2">
        <f t="shared" si="29"/>
        <v>0</v>
      </c>
      <c r="Z87" s="2">
        <f t="shared" si="30"/>
        <v>0</v>
      </c>
      <c r="AA87" s="2">
        <f t="shared" si="31"/>
        <v>0</v>
      </c>
      <c r="AB87" s="2">
        <f t="shared" si="32"/>
        <v>0</v>
      </c>
      <c r="AC87" s="2">
        <f t="shared" si="33"/>
        <v>0</v>
      </c>
      <c r="AD87" s="2">
        <f t="shared" si="34"/>
        <v>0</v>
      </c>
      <c r="AE87" s="2">
        <f t="shared" si="35"/>
        <v>0</v>
      </c>
      <c r="AF87" s="2">
        <f t="shared" si="36"/>
        <v>0</v>
      </c>
      <c r="AG87" s="2">
        <f t="shared" si="39"/>
        <v>0</v>
      </c>
    </row>
    <row r="88" spans="2:33" hidden="1" x14ac:dyDescent="0.25">
      <c r="B88" s="1" t="s">
        <v>85</v>
      </c>
      <c r="C88" s="2"/>
      <c r="D88" s="2"/>
      <c r="E88" s="2"/>
      <c r="F88" s="2"/>
      <c r="G88" s="2"/>
      <c r="H88" s="2"/>
      <c r="I88" s="2"/>
      <c r="J88" s="2"/>
      <c r="K88" s="2">
        <f t="shared" si="37"/>
        <v>0</v>
      </c>
      <c r="M88" s="1" t="s">
        <v>85</v>
      </c>
      <c r="N88" s="2"/>
      <c r="O88" s="2"/>
      <c r="P88" s="2"/>
      <c r="Q88" s="2"/>
      <c r="R88" s="2"/>
      <c r="S88" s="2"/>
      <c r="T88" s="2"/>
      <c r="U88" s="2"/>
      <c r="V88" s="2">
        <f t="shared" si="38"/>
        <v>0</v>
      </c>
      <c r="X88" s="1" t="s">
        <v>85</v>
      </c>
      <c r="Y88" s="2">
        <f t="shared" si="29"/>
        <v>0</v>
      </c>
      <c r="Z88" s="2">
        <f t="shared" si="30"/>
        <v>0</v>
      </c>
      <c r="AA88" s="2">
        <f t="shared" si="31"/>
        <v>0</v>
      </c>
      <c r="AB88" s="2">
        <f t="shared" si="32"/>
        <v>0</v>
      </c>
      <c r="AC88" s="2">
        <f t="shared" si="33"/>
        <v>0</v>
      </c>
      <c r="AD88" s="2">
        <f t="shared" si="34"/>
        <v>0</v>
      </c>
      <c r="AE88" s="2">
        <f t="shared" si="35"/>
        <v>0</v>
      </c>
      <c r="AF88" s="2">
        <f t="shared" si="36"/>
        <v>0</v>
      </c>
      <c r="AG88" s="2">
        <f t="shared" si="39"/>
        <v>0</v>
      </c>
    </row>
    <row r="89" spans="2:33" hidden="1" x14ac:dyDescent="0.25">
      <c r="B89" s="1" t="s">
        <v>2</v>
      </c>
      <c r="C89" s="2"/>
      <c r="D89" s="2"/>
      <c r="E89" s="2"/>
      <c r="F89" s="2"/>
      <c r="G89" s="2"/>
      <c r="H89" s="2"/>
      <c r="I89" s="2"/>
      <c r="J89" s="2"/>
      <c r="K89" s="2">
        <f t="shared" si="37"/>
        <v>0</v>
      </c>
      <c r="M89" s="1" t="s">
        <v>2</v>
      </c>
      <c r="N89" s="2"/>
      <c r="O89" s="2"/>
      <c r="P89" s="2"/>
      <c r="Q89" s="2"/>
      <c r="R89" s="2"/>
      <c r="S89" s="2"/>
      <c r="T89" s="2"/>
      <c r="U89" s="2"/>
      <c r="V89" s="2">
        <f t="shared" si="38"/>
        <v>0</v>
      </c>
      <c r="X89" s="1" t="s">
        <v>2</v>
      </c>
      <c r="Y89" s="2">
        <f t="shared" si="29"/>
        <v>0</v>
      </c>
      <c r="Z89" s="2">
        <f t="shared" si="30"/>
        <v>0</v>
      </c>
      <c r="AA89" s="2">
        <f t="shared" si="31"/>
        <v>0</v>
      </c>
      <c r="AB89" s="2">
        <f t="shared" si="32"/>
        <v>0</v>
      </c>
      <c r="AC89" s="2">
        <f t="shared" si="33"/>
        <v>0</v>
      </c>
      <c r="AD89" s="2">
        <f t="shared" si="34"/>
        <v>0</v>
      </c>
      <c r="AE89" s="2">
        <f t="shared" si="35"/>
        <v>0</v>
      </c>
      <c r="AF89" s="2">
        <f t="shared" si="36"/>
        <v>0</v>
      </c>
      <c r="AG89" s="2">
        <f t="shared" si="39"/>
        <v>0</v>
      </c>
    </row>
    <row r="90" spans="2:33" hidden="1" x14ac:dyDescent="0.25">
      <c r="B90" s="1" t="s">
        <v>86</v>
      </c>
      <c r="C90" s="2"/>
      <c r="D90" s="2"/>
      <c r="E90" s="2"/>
      <c r="F90" s="2"/>
      <c r="G90" s="2"/>
      <c r="H90" s="2"/>
      <c r="I90" s="2"/>
      <c r="J90" s="2"/>
      <c r="K90" s="2">
        <f t="shared" si="37"/>
        <v>0</v>
      </c>
      <c r="M90" s="1" t="s">
        <v>86</v>
      </c>
      <c r="N90" s="2"/>
      <c r="O90" s="2"/>
      <c r="P90" s="2"/>
      <c r="Q90" s="2"/>
      <c r="R90" s="2"/>
      <c r="S90" s="2"/>
      <c r="T90" s="2"/>
      <c r="U90" s="2"/>
      <c r="V90" s="2">
        <f t="shared" si="38"/>
        <v>0</v>
      </c>
      <c r="X90" s="1" t="s">
        <v>86</v>
      </c>
      <c r="Y90" s="2">
        <f t="shared" si="29"/>
        <v>0</v>
      </c>
      <c r="Z90" s="2">
        <f t="shared" si="30"/>
        <v>0</v>
      </c>
      <c r="AA90" s="2">
        <f t="shared" si="31"/>
        <v>0</v>
      </c>
      <c r="AB90" s="2">
        <f t="shared" si="32"/>
        <v>0</v>
      </c>
      <c r="AC90" s="2">
        <f t="shared" si="33"/>
        <v>0</v>
      </c>
      <c r="AD90" s="2">
        <f t="shared" si="34"/>
        <v>0</v>
      </c>
      <c r="AE90" s="2">
        <f t="shared" si="35"/>
        <v>0</v>
      </c>
      <c r="AF90" s="2">
        <f t="shared" si="36"/>
        <v>0</v>
      </c>
      <c r="AG90" s="2">
        <f t="shared" si="39"/>
        <v>0</v>
      </c>
    </row>
    <row r="91" spans="2:33" hidden="1" x14ac:dyDescent="0.25">
      <c r="B91" s="1" t="s">
        <v>29</v>
      </c>
      <c r="C91" s="2"/>
      <c r="D91" s="2"/>
      <c r="E91" s="2"/>
      <c r="F91" s="2"/>
      <c r="G91" s="2"/>
      <c r="H91" s="2"/>
      <c r="I91" s="2"/>
      <c r="J91" s="2"/>
      <c r="K91" s="2">
        <f t="shared" si="37"/>
        <v>0</v>
      </c>
      <c r="M91" s="1" t="s">
        <v>29</v>
      </c>
      <c r="N91" s="2"/>
      <c r="O91" s="2"/>
      <c r="P91" s="2"/>
      <c r="Q91" s="2"/>
      <c r="R91" s="2"/>
      <c r="S91" s="2"/>
      <c r="T91" s="2"/>
      <c r="U91" s="2"/>
      <c r="V91" s="2">
        <f t="shared" si="38"/>
        <v>0</v>
      </c>
      <c r="X91" s="1" t="s">
        <v>29</v>
      </c>
      <c r="Y91" s="2">
        <f t="shared" si="29"/>
        <v>0</v>
      </c>
      <c r="Z91" s="2">
        <f t="shared" si="30"/>
        <v>0</v>
      </c>
      <c r="AA91" s="2">
        <f t="shared" si="31"/>
        <v>0</v>
      </c>
      <c r="AB91" s="2">
        <f t="shared" si="32"/>
        <v>0</v>
      </c>
      <c r="AC91" s="2">
        <f t="shared" si="33"/>
        <v>0</v>
      </c>
      <c r="AD91" s="2">
        <f t="shared" si="34"/>
        <v>0</v>
      </c>
      <c r="AE91" s="2">
        <f t="shared" si="35"/>
        <v>0</v>
      </c>
      <c r="AF91" s="2">
        <f t="shared" si="36"/>
        <v>0</v>
      </c>
      <c r="AG91" s="2">
        <f t="shared" si="39"/>
        <v>0</v>
      </c>
    </row>
    <row r="92" spans="2:33" hidden="1" x14ac:dyDescent="0.25">
      <c r="B92" s="1" t="s">
        <v>88</v>
      </c>
      <c r="C92" s="2"/>
      <c r="D92" s="2"/>
      <c r="E92" s="2"/>
      <c r="F92" s="2"/>
      <c r="G92" s="2"/>
      <c r="H92" s="2"/>
      <c r="I92" s="2"/>
      <c r="J92" s="2"/>
      <c r="K92" s="2">
        <f t="shared" si="37"/>
        <v>0</v>
      </c>
      <c r="M92" s="1" t="s">
        <v>88</v>
      </c>
      <c r="N92" s="2"/>
      <c r="O92" s="2"/>
      <c r="P92" s="2"/>
      <c r="Q92" s="2"/>
      <c r="R92" s="2"/>
      <c r="S92" s="2"/>
      <c r="T92" s="2"/>
      <c r="U92" s="2"/>
      <c r="V92" s="2">
        <f t="shared" si="38"/>
        <v>0</v>
      </c>
      <c r="X92" s="1" t="s">
        <v>52</v>
      </c>
      <c r="Y92" s="2">
        <f t="shared" si="29"/>
        <v>0</v>
      </c>
      <c r="Z92" s="2">
        <f t="shared" si="30"/>
        <v>0</v>
      </c>
      <c r="AA92" s="2">
        <f t="shared" si="31"/>
        <v>0</v>
      </c>
      <c r="AB92" s="2">
        <f t="shared" si="32"/>
        <v>0</v>
      </c>
      <c r="AC92" s="2">
        <f t="shared" si="33"/>
        <v>0</v>
      </c>
      <c r="AD92" s="2">
        <f t="shared" si="34"/>
        <v>0</v>
      </c>
      <c r="AE92" s="2">
        <f t="shared" si="35"/>
        <v>0</v>
      </c>
      <c r="AF92" s="2">
        <f t="shared" si="36"/>
        <v>0</v>
      </c>
      <c r="AG92" s="2">
        <f t="shared" si="39"/>
        <v>0</v>
      </c>
    </row>
    <row r="93" spans="2:33" hidden="1" x14ac:dyDescent="0.25">
      <c r="B93" s="1" t="s">
        <v>1098</v>
      </c>
      <c r="C93" s="2"/>
      <c r="D93" s="2"/>
      <c r="E93" s="2"/>
      <c r="F93" s="2"/>
      <c r="G93" s="2"/>
      <c r="H93" s="2"/>
      <c r="I93" s="2"/>
      <c r="J93" s="2"/>
      <c r="K93" s="2">
        <f t="shared" si="37"/>
        <v>0</v>
      </c>
      <c r="M93" s="1" t="s">
        <v>1098</v>
      </c>
      <c r="N93" s="2"/>
      <c r="O93" s="2"/>
      <c r="P93" s="2"/>
      <c r="Q93" s="2"/>
      <c r="R93" s="2"/>
      <c r="S93" s="2"/>
      <c r="T93" s="2"/>
      <c r="U93" s="2"/>
      <c r="V93" s="2">
        <f t="shared" si="38"/>
        <v>0</v>
      </c>
      <c r="X93" s="1" t="s">
        <v>88</v>
      </c>
      <c r="Y93" s="2">
        <f t="shared" si="29"/>
        <v>0</v>
      </c>
      <c r="Z93" s="2">
        <f t="shared" si="30"/>
        <v>0</v>
      </c>
      <c r="AA93" s="2">
        <f t="shared" si="31"/>
        <v>0</v>
      </c>
      <c r="AB93" s="2">
        <f t="shared" si="32"/>
        <v>0</v>
      </c>
      <c r="AC93" s="2">
        <f t="shared" si="33"/>
        <v>0</v>
      </c>
      <c r="AD93" s="2">
        <f t="shared" si="34"/>
        <v>0</v>
      </c>
      <c r="AE93" s="2">
        <f t="shared" si="35"/>
        <v>0</v>
      </c>
      <c r="AF93" s="2">
        <f t="shared" si="36"/>
        <v>0</v>
      </c>
      <c r="AG93" s="2">
        <f t="shared" si="39"/>
        <v>0</v>
      </c>
    </row>
    <row r="94" spans="2:33" hidden="1" x14ac:dyDescent="0.25">
      <c r="B94" s="1" t="s">
        <v>1099</v>
      </c>
      <c r="C94" s="2"/>
      <c r="D94" s="2"/>
      <c r="E94" s="2"/>
      <c r="F94" s="2"/>
      <c r="G94" s="2"/>
      <c r="H94" s="2"/>
      <c r="I94" s="2"/>
      <c r="J94" s="2"/>
      <c r="K94" s="2">
        <f t="shared" si="37"/>
        <v>0</v>
      </c>
      <c r="M94" s="1" t="s">
        <v>1099</v>
      </c>
      <c r="N94" s="2"/>
      <c r="O94" s="2"/>
      <c r="P94" s="2"/>
      <c r="Q94" s="2"/>
      <c r="R94" s="2"/>
      <c r="S94" s="2"/>
      <c r="T94" s="2"/>
      <c r="U94" s="2"/>
      <c r="V94" s="2">
        <f t="shared" si="38"/>
        <v>0</v>
      </c>
      <c r="X94" s="1" t="s">
        <v>1</v>
      </c>
      <c r="Y94" s="2">
        <f t="shared" si="29"/>
        <v>0</v>
      </c>
      <c r="Z94" s="2">
        <f t="shared" si="30"/>
        <v>0</v>
      </c>
      <c r="AA94" s="2">
        <f t="shared" si="31"/>
        <v>0</v>
      </c>
      <c r="AB94" s="2">
        <f t="shared" si="32"/>
        <v>0</v>
      </c>
      <c r="AC94" s="2">
        <f t="shared" si="33"/>
        <v>0</v>
      </c>
      <c r="AD94" s="2">
        <f t="shared" si="34"/>
        <v>0</v>
      </c>
      <c r="AE94" s="2">
        <f t="shared" si="35"/>
        <v>0</v>
      </c>
      <c r="AF94" s="2">
        <f t="shared" si="36"/>
        <v>0</v>
      </c>
      <c r="AG94" s="2">
        <f t="shared" si="39"/>
        <v>0</v>
      </c>
    </row>
    <row r="95" spans="2:33" ht="15.75" hidden="1" thickBot="1" x14ac:dyDescent="0.3">
      <c r="C95" s="70">
        <f>SUM(C75:C94)</f>
        <v>0</v>
      </c>
      <c r="D95" s="70">
        <f t="shared" ref="D95:J95" si="40">SUM(D75:D94)</f>
        <v>0</v>
      </c>
      <c r="E95" s="70">
        <f t="shared" si="40"/>
        <v>0</v>
      </c>
      <c r="F95" s="70">
        <f t="shared" si="40"/>
        <v>0</v>
      </c>
      <c r="G95" s="70">
        <f t="shared" si="40"/>
        <v>0</v>
      </c>
      <c r="H95" s="70">
        <f t="shared" si="40"/>
        <v>0</v>
      </c>
      <c r="I95" s="70">
        <f t="shared" si="40"/>
        <v>0</v>
      </c>
      <c r="J95" s="70">
        <f t="shared" si="40"/>
        <v>0</v>
      </c>
      <c r="K95" s="70">
        <f>SUM(K75:K94)</f>
        <v>0</v>
      </c>
      <c r="N95" s="70">
        <f>SUM(N75:N94)</f>
        <v>0</v>
      </c>
      <c r="O95" s="70">
        <f t="shared" ref="O95:U95" si="41">SUM(O75:O94)</f>
        <v>0</v>
      </c>
      <c r="P95" s="70">
        <f t="shared" si="41"/>
        <v>0</v>
      </c>
      <c r="Q95" s="70">
        <f t="shared" si="41"/>
        <v>0</v>
      </c>
      <c r="R95" s="70">
        <f t="shared" si="41"/>
        <v>0</v>
      </c>
      <c r="S95" s="70">
        <f t="shared" si="41"/>
        <v>0</v>
      </c>
      <c r="T95" s="70">
        <f t="shared" si="41"/>
        <v>0</v>
      </c>
      <c r="U95" s="70">
        <f t="shared" si="41"/>
        <v>0</v>
      </c>
      <c r="V95" s="70">
        <f>SUM(V75:V94)</f>
        <v>0</v>
      </c>
      <c r="Y95" s="70">
        <f>SUM(Y75:Y94)</f>
        <v>0</v>
      </c>
      <c r="Z95" s="70">
        <f t="shared" ref="Z95:AF95" si="42">SUM(Z75:Z94)</f>
        <v>0</v>
      </c>
      <c r="AA95" s="70">
        <f t="shared" si="42"/>
        <v>0</v>
      </c>
      <c r="AB95" s="70">
        <f t="shared" si="42"/>
        <v>0</v>
      </c>
      <c r="AC95" s="70">
        <f t="shared" si="42"/>
        <v>0</v>
      </c>
      <c r="AD95" s="70">
        <f t="shared" si="42"/>
        <v>0</v>
      </c>
      <c r="AE95" s="70">
        <f t="shared" si="42"/>
        <v>0</v>
      </c>
      <c r="AF95" s="70">
        <f t="shared" si="42"/>
        <v>0</v>
      </c>
      <c r="AG95" s="70">
        <f>SUM(AG75:AG94)</f>
        <v>0</v>
      </c>
    </row>
    <row r="96" spans="2:33" hidden="1" x14ac:dyDescent="0.25"/>
    <row r="97" spans="2:33" hidden="1" x14ac:dyDescent="0.25"/>
    <row r="98" spans="2:33" hidden="1" x14ac:dyDescent="0.25">
      <c r="B98" s="72" t="s">
        <v>96</v>
      </c>
      <c r="C98" s="187">
        <f>$C$20</f>
        <v>45199</v>
      </c>
      <c r="D98" s="175"/>
      <c r="E98" s="175"/>
      <c r="F98" s="175"/>
      <c r="G98" s="175"/>
      <c r="H98" s="175"/>
      <c r="I98" s="175"/>
      <c r="J98" s="175"/>
      <c r="K98" s="175"/>
      <c r="M98" s="72" t="s">
        <v>96</v>
      </c>
      <c r="N98" s="193">
        <f>$N$20</f>
        <v>45169</v>
      </c>
      <c r="O98" s="194"/>
      <c r="P98" s="194"/>
      <c r="Q98" s="194"/>
      <c r="R98" s="194"/>
      <c r="S98" s="194"/>
      <c r="T98" s="194"/>
      <c r="U98" s="194"/>
      <c r="V98" s="194"/>
      <c r="Y98" s="175" t="s">
        <v>97</v>
      </c>
      <c r="Z98" s="175"/>
      <c r="AA98" s="175"/>
      <c r="AB98" s="175"/>
      <c r="AC98" s="175"/>
      <c r="AD98" s="175"/>
      <c r="AE98" s="175"/>
      <c r="AF98" s="175"/>
      <c r="AG98" s="175"/>
    </row>
    <row r="99" spans="2:33" hidden="1" x14ac:dyDescent="0.25">
      <c r="B99" s="72" t="s">
        <v>95</v>
      </c>
      <c r="C99" s="175" t="str">
        <f>'Reimbursement Rates &lt;-INPUT'!E7</f>
        <v>Clinic 4</v>
      </c>
      <c r="D99" s="175"/>
      <c r="E99" s="175"/>
      <c r="F99" s="175"/>
      <c r="G99" s="175"/>
      <c r="H99" s="175"/>
      <c r="I99" s="175"/>
      <c r="J99" s="175"/>
      <c r="K99" s="175"/>
      <c r="M99" s="72" t="s">
        <v>95</v>
      </c>
      <c r="N99" s="175" t="str">
        <f>C99</f>
        <v>Clinic 4</v>
      </c>
      <c r="O99" s="175"/>
      <c r="P99" s="175"/>
      <c r="Q99" s="175"/>
      <c r="R99" s="175"/>
      <c r="S99" s="175"/>
      <c r="T99" s="175"/>
      <c r="U99" s="175"/>
      <c r="V99" s="175"/>
      <c r="X99" s="71" t="s">
        <v>95</v>
      </c>
      <c r="Y99" s="175" t="str">
        <f>C99</f>
        <v>Clinic 4</v>
      </c>
      <c r="Z99" s="175"/>
      <c r="AA99" s="175"/>
      <c r="AB99" s="175"/>
      <c r="AC99" s="175"/>
      <c r="AD99" s="175"/>
      <c r="AE99" s="175"/>
      <c r="AF99" s="175"/>
      <c r="AG99" s="175"/>
    </row>
    <row r="100" spans="2:33" hidden="1" x14ac:dyDescent="0.25">
      <c r="B100" s="4" t="s">
        <v>16</v>
      </c>
      <c r="C100" s="5" t="s">
        <v>15</v>
      </c>
      <c r="D100" s="5" t="s">
        <v>14</v>
      </c>
      <c r="E100" s="5" t="s">
        <v>13</v>
      </c>
      <c r="F100" s="5" t="s">
        <v>12</v>
      </c>
      <c r="G100" s="5" t="s">
        <v>93</v>
      </c>
      <c r="H100" s="5" t="s">
        <v>94</v>
      </c>
      <c r="I100" s="5" t="s">
        <v>38</v>
      </c>
      <c r="J100" s="5" t="s">
        <v>9</v>
      </c>
      <c r="K100" s="5" t="s">
        <v>80</v>
      </c>
      <c r="M100" s="4" t="s">
        <v>16</v>
      </c>
      <c r="N100" s="5" t="s">
        <v>15</v>
      </c>
      <c r="O100" s="5" t="s">
        <v>14</v>
      </c>
      <c r="P100" s="5" t="s">
        <v>13</v>
      </c>
      <c r="Q100" s="5" t="s">
        <v>12</v>
      </c>
      <c r="R100" s="5" t="s">
        <v>93</v>
      </c>
      <c r="S100" s="5" t="s">
        <v>94</v>
      </c>
      <c r="T100" s="5" t="s">
        <v>38</v>
      </c>
      <c r="U100" s="5" t="s">
        <v>9</v>
      </c>
      <c r="V100" s="5" t="s">
        <v>80</v>
      </c>
      <c r="X100" s="4" t="s">
        <v>16</v>
      </c>
      <c r="Y100" s="5" t="s">
        <v>15</v>
      </c>
      <c r="Z100" s="5" t="s">
        <v>14</v>
      </c>
      <c r="AA100" s="5" t="s">
        <v>13</v>
      </c>
      <c r="AB100" s="5" t="s">
        <v>12</v>
      </c>
      <c r="AC100" s="5" t="s">
        <v>93</v>
      </c>
      <c r="AD100" s="5" t="s">
        <v>94</v>
      </c>
      <c r="AE100" s="5" t="s">
        <v>38</v>
      </c>
      <c r="AF100" s="5" t="s">
        <v>9</v>
      </c>
      <c r="AG100" s="5" t="s">
        <v>80</v>
      </c>
    </row>
    <row r="101" spans="2:33" hidden="1" x14ac:dyDescent="0.25">
      <c r="B101" s="1" t="s">
        <v>1094</v>
      </c>
      <c r="C101" s="2"/>
      <c r="D101" s="2"/>
      <c r="E101" s="2"/>
      <c r="F101" s="2"/>
      <c r="G101" s="2"/>
      <c r="H101" s="2"/>
      <c r="I101" s="2"/>
      <c r="J101" s="2"/>
      <c r="K101" s="2">
        <f>SUM(C101:J101)</f>
        <v>0</v>
      </c>
      <c r="M101" s="1" t="s">
        <v>1094</v>
      </c>
      <c r="N101" s="2"/>
      <c r="O101" s="2"/>
      <c r="P101" s="2"/>
      <c r="Q101" s="2"/>
      <c r="R101" s="2"/>
      <c r="S101" s="2"/>
      <c r="T101" s="2"/>
      <c r="U101" s="2"/>
      <c r="V101" s="2">
        <f>SUM(N101:U101)</f>
        <v>0</v>
      </c>
      <c r="X101" s="1" t="s">
        <v>49</v>
      </c>
      <c r="Y101" s="2">
        <f t="shared" ref="Y101:Y120" si="43">C101-N101</f>
        <v>0</v>
      </c>
      <c r="Z101" s="2">
        <f t="shared" ref="Z101:Z120" si="44">D101-O101</f>
        <v>0</v>
      </c>
      <c r="AA101" s="2">
        <f t="shared" ref="AA101:AA120" si="45">E101-P101</f>
        <v>0</v>
      </c>
      <c r="AB101" s="2">
        <f t="shared" ref="AB101:AB120" si="46">F101-Q101</f>
        <v>0</v>
      </c>
      <c r="AC101" s="2">
        <f t="shared" ref="AC101:AC120" si="47">G101-R101</f>
        <v>0</v>
      </c>
      <c r="AD101" s="2">
        <f t="shared" ref="AD101:AD120" si="48">H101-S101</f>
        <v>0</v>
      </c>
      <c r="AE101" s="2">
        <f t="shared" ref="AE101:AE120" si="49">I101-T101</f>
        <v>0</v>
      </c>
      <c r="AF101" s="2">
        <f t="shared" ref="AF101:AF120" si="50">J101-U101</f>
        <v>0</v>
      </c>
      <c r="AG101" s="2">
        <f>SUM(Y101:AF101)</f>
        <v>0</v>
      </c>
    </row>
    <row r="102" spans="2:33" hidden="1" x14ac:dyDescent="0.25">
      <c r="B102" s="1" t="s">
        <v>8</v>
      </c>
      <c r="C102" s="2"/>
      <c r="D102" s="2"/>
      <c r="E102" s="2"/>
      <c r="F102" s="2"/>
      <c r="G102" s="2"/>
      <c r="H102" s="2"/>
      <c r="I102" s="2"/>
      <c r="J102" s="2"/>
      <c r="K102" s="2">
        <f t="shared" ref="K102:K120" si="51">SUM(C102:J102)</f>
        <v>0</v>
      </c>
      <c r="M102" s="1" t="s">
        <v>8</v>
      </c>
      <c r="N102" s="2"/>
      <c r="O102" s="2"/>
      <c r="P102" s="2"/>
      <c r="Q102" s="2"/>
      <c r="R102" s="2"/>
      <c r="S102" s="2"/>
      <c r="T102" s="2"/>
      <c r="U102" s="2"/>
      <c r="V102" s="2">
        <f t="shared" ref="V102:V120" si="52">SUM(N102:U102)</f>
        <v>0</v>
      </c>
      <c r="X102" s="1" t="s">
        <v>8</v>
      </c>
      <c r="Y102" s="2">
        <f t="shared" si="43"/>
        <v>0</v>
      </c>
      <c r="Z102" s="2">
        <f t="shared" si="44"/>
        <v>0</v>
      </c>
      <c r="AA102" s="2">
        <f t="shared" si="45"/>
        <v>0</v>
      </c>
      <c r="AB102" s="2">
        <f t="shared" si="46"/>
        <v>0</v>
      </c>
      <c r="AC102" s="2">
        <f t="shared" si="47"/>
        <v>0</v>
      </c>
      <c r="AD102" s="2">
        <f t="shared" si="48"/>
        <v>0</v>
      </c>
      <c r="AE102" s="2">
        <f t="shared" si="49"/>
        <v>0</v>
      </c>
      <c r="AF102" s="2">
        <f t="shared" si="50"/>
        <v>0</v>
      </c>
      <c r="AG102" s="2">
        <f t="shared" ref="AG102:AG120" si="53">SUM(Y102:AF102)</f>
        <v>0</v>
      </c>
    </row>
    <row r="103" spans="2:33" hidden="1" x14ac:dyDescent="0.25">
      <c r="B103" s="1" t="s">
        <v>1095</v>
      </c>
      <c r="C103" s="2"/>
      <c r="D103" s="2"/>
      <c r="E103" s="2"/>
      <c r="F103" s="2"/>
      <c r="G103" s="2"/>
      <c r="H103" s="2"/>
      <c r="I103" s="2"/>
      <c r="J103" s="2"/>
      <c r="K103" s="2">
        <f t="shared" si="51"/>
        <v>0</v>
      </c>
      <c r="M103" s="1" t="s">
        <v>1095</v>
      </c>
      <c r="N103" s="2"/>
      <c r="O103" s="2"/>
      <c r="P103" s="2"/>
      <c r="Q103" s="2"/>
      <c r="R103" s="2"/>
      <c r="S103" s="2"/>
      <c r="T103" s="2"/>
      <c r="U103" s="2"/>
      <c r="V103" s="2">
        <f t="shared" si="52"/>
        <v>0</v>
      </c>
      <c r="X103" s="1" t="s">
        <v>7</v>
      </c>
      <c r="Y103" s="2">
        <f t="shared" si="43"/>
        <v>0</v>
      </c>
      <c r="Z103" s="2">
        <f t="shared" si="44"/>
        <v>0</v>
      </c>
      <c r="AA103" s="2">
        <f t="shared" si="45"/>
        <v>0</v>
      </c>
      <c r="AB103" s="2">
        <f t="shared" si="46"/>
        <v>0</v>
      </c>
      <c r="AC103" s="2">
        <f t="shared" si="47"/>
        <v>0</v>
      </c>
      <c r="AD103" s="2">
        <f t="shared" si="48"/>
        <v>0</v>
      </c>
      <c r="AE103" s="2">
        <f t="shared" si="49"/>
        <v>0</v>
      </c>
      <c r="AF103" s="2">
        <f t="shared" si="50"/>
        <v>0</v>
      </c>
      <c r="AG103" s="2">
        <f t="shared" si="53"/>
        <v>0</v>
      </c>
    </row>
    <row r="104" spans="2:33" hidden="1" x14ac:dyDescent="0.25">
      <c r="B104" s="1" t="s">
        <v>42</v>
      </c>
      <c r="C104" s="2"/>
      <c r="D104" s="2"/>
      <c r="E104" s="2"/>
      <c r="F104" s="2"/>
      <c r="G104" s="2"/>
      <c r="H104" s="2"/>
      <c r="I104" s="2"/>
      <c r="J104" s="2"/>
      <c r="K104" s="2">
        <f t="shared" si="51"/>
        <v>0</v>
      </c>
      <c r="M104" s="1" t="s">
        <v>42</v>
      </c>
      <c r="N104" s="2"/>
      <c r="O104" s="2"/>
      <c r="P104" s="2"/>
      <c r="Q104" s="2"/>
      <c r="R104" s="2"/>
      <c r="S104" s="2"/>
      <c r="T104" s="2"/>
      <c r="U104" s="2"/>
      <c r="V104" s="2">
        <f t="shared" si="52"/>
        <v>0</v>
      </c>
      <c r="X104" s="1" t="s">
        <v>42</v>
      </c>
      <c r="Y104" s="2">
        <f t="shared" si="43"/>
        <v>0</v>
      </c>
      <c r="Z104" s="2">
        <f t="shared" si="44"/>
        <v>0</v>
      </c>
      <c r="AA104" s="2">
        <f t="shared" si="45"/>
        <v>0</v>
      </c>
      <c r="AB104" s="2">
        <f t="shared" si="46"/>
        <v>0</v>
      </c>
      <c r="AC104" s="2">
        <f t="shared" si="47"/>
        <v>0</v>
      </c>
      <c r="AD104" s="2">
        <f t="shared" si="48"/>
        <v>0</v>
      </c>
      <c r="AE104" s="2">
        <f t="shared" si="49"/>
        <v>0</v>
      </c>
      <c r="AF104" s="2">
        <f t="shared" si="50"/>
        <v>0</v>
      </c>
      <c r="AG104" s="2">
        <f t="shared" si="53"/>
        <v>0</v>
      </c>
    </row>
    <row r="105" spans="2:33" hidden="1" x14ac:dyDescent="0.25">
      <c r="B105" s="1" t="s">
        <v>6</v>
      </c>
      <c r="C105" s="2"/>
      <c r="D105" s="2"/>
      <c r="E105" s="2"/>
      <c r="F105" s="2"/>
      <c r="G105" s="2"/>
      <c r="H105" s="2"/>
      <c r="I105" s="2"/>
      <c r="J105" s="2"/>
      <c r="K105" s="2">
        <f t="shared" si="51"/>
        <v>0</v>
      </c>
      <c r="M105" s="1" t="s">
        <v>6</v>
      </c>
      <c r="N105" s="2"/>
      <c r="O105" s="2"/>
      <c r="P105" s="2"/>
      <c r="Q105" s="2"/>
      <c r="R105" s="2"/>
      <c r="S105" s="2"/>
      <c r="T105" s="2"/>
      <c r="U105" s="2"/>
      <c r="V105" s="2">
        <f t="shared" si="52"/>
        <v>0</v>
      </c>
      <c r="X105" s="1" t="s">
        <v>6</v>
      </c>
      <c r="Y105" s="2">
        <f t="shared" si="43"/>
        <v>0</v>
      </c>
      <c r="Z105" s="2">
        <f t="shared" si="44"/>
        <v>0</v>
      </c>
      <c r="AA105" s="2">
        <f t="shared" si="45"/>
        <v>0</v>
      </c>
      <c r="AB105" s="2">
        <f t="shared" si="46"/>
        <v>0</v>
      </c>
      <c r="AC105" s="2">
        <f t="shared" si="47"/>
        <v>0</v>
      </c>
      <c r="AD105" s="2">
        <f t="shared" si="48"/>
        <v>0</v>
      </c>
      <c r="AE105" s="2">
        <f t="shared" si="49"/>
        <v>0</v>
      </c>
      <c r="AF105" s="2">
        <f t="shared" si="50"/>
        <v>0</v>
      </c>
      <c r="AG105" s="2">
        <f t="shared" si="53"/>
        <v>0</v>
      </c>
    </row>
    <row r="106" spans="2:33" hidden="1" x14ac:dyDescent="0.25">
      <c r="B106" s="1" t="s">
        <v>90</v>
      </c>
      <c r="C106" s="2"/>
      <c r="D106" s="2"/>
      <c r="E106" s="2"/>
      <c r="F106" s="2"/>
      <c r="G106" s="2"/>
      <c r="H106" s="2"/>
      <c r="I106" s="2"/>
      <c r="J106" s="2"/>
      <c r="K106" s="2">
        <f t="shared" si="51"/>
        <v>0</v>
      </c>
      <c r="M106" s="1" t="s">
        <v>90</v>
      </c>
      <c r="N106" s="2"/>
      <c r="O106" s="2"/>
      <c r="P106" s="2"/>
      <c r="Q106" s="2"/>
      <c r="R106" s="2"/>
      <c r="S106" s="2"/>
      <c r="T106" s="2"/>
      <c r="U106" s="2"/>
      <c r="V106" s="2">
        <f t="shared" si="52"/>
        <v>0</v>
      </c>
      <c r="X106" s="1" t="s">
        <v>90</v>
      </c>
      <c r="Y106" s="2">
        <f t="shared" si="43"/>
        <v>0</v>
      </c>
      <c r="Z106" s="2">
        <f t="shared" si="44"/>
        <v>0</v>
      </c>
      <c r="AA106" s="2">
        <f t="shared" si="45"/>
        <v>0</v>
      </c>
      <c r="AB106" s="2">
        <f t="shared" si="46"/>
        <v>0</v>
      </c>
      <c r="AC106" s="2">
        <f t="shared" si="47"/>
        <v>0</v>
      </c>
      <c r="AD106" s="2">
        <f t="shared" si="48"/>
        <v>0</v>
      </c>
      <c r="AE106" s="2">
        <f t="shared" si="49"/>
        <v>0</v>
      </c>
      <c r="AF106" s="2">
        <f t="shared" si="50"/>
        <v>0</v>
      </c>
      <c r="AG106" s="2">
        <f t="shared" si="53"/>
        <v>0</v>
      </c>
    </row>
    <row r="107" spans="2:33" hidden="1" x14ac:dyDescent="0.25">
      <c r="B107" s="1" t="s">
        <v>1100</v>
      </c>
      <c r="C107" s="2"/>
      <c r="D107" s="2"/>
      <c r="E107" s="2"/>
      <c r="F107" s="2"/>
      <c r="G107" s="2"/>
      <c r="H107" s="2"/>
      <c r="I107" s="2"/>
      <c r="J107" s="2"/>
      <c r="K107" s="2">
        <f t="shared" si="51"/>
        <v>0</v>
      </c>
      <c r="M107" s="1" t="s">
        <v>1100</v>
      </c>
      <c r="N107" s="2"/>
      <c r="O107" s="2"/>
      <c r="P107" s="2"/>
      <c r="Q107" s="2"/>
      <c r="R107" s="2"/>
      <c r="S107" s="2"/>
      <c r="T107" s="2"/>
      <c r="U107" s="2"/>
      <c r="V107" s="2">
        <f t="shared" si="52"/>
        <v>0</v>
      </c>
      <c r="X107" s="1" t="s">
        <v>50</v>
      </c>
      <c r="Y107" s="2">
        <f t="shared" si="43"/>
        <v>0</v>
      </c>
      <c r="Z107" s="2">
        <f t="shared" si="44"/>
        <v>0</v>
      </c>
      <c r="AA107" s="2">
        <f t="shared" si="45"/>
        <v>0</v>
      </c>
      <c r="AB107" s="2">
        <f t="shared" si="46"/>
        <v>0</v>
      </c>
      <c r="AC107" s="2">
        <f t="shared" si="47"/>
        <v>0</v>
      </c>
      <c r="AD107" s="2">
        <f t="shared" si="48"/>
        <v>0</v>
      </c>
      <c r="AE107" s="2">
        <f t="shared" si="49"/>
        <v>0</v>
      </c>
      <c r="AF107" s="2">
        <f t="shared" si="50"/>
        <v>0</v>
      </c>
      <c r="AG107" s="2">
        <f t="shared" si="53"/>
        <v>0</v>
      </c>
    </row>
    <row r="108" spans="2:33" hidden="1" x14ac:dyDescent="0.25">
      <c r="B108" s="1" t="s">
        <v>89</v>
      </c>
      <c r="C108" s="2"/>
      <c r="D108" s="2"/>
      <c r="E108" s="2"/>
      <c r="F108" s="2"/>
      <c r="G108" s="2"/>
      <c r="H108" s="2"/>
      <c r="I108" s="2"/>
      <c r="J108" s="2"/>
      <c r="K108" s="2">
        <f t="shared" si="51"/>
        <v>0</v>
      </c>
      <c r="M108" s="1" t="s">
        <v>89</v>
      </c>
      <c r="N108" s="2"/>
      <c r="O108" s="2"/>
      <c r="P108" s="2"/>
      <c r="Q108" s="2"/>
      <c r="R108" s="2"/>
      <c r="S108" s="2"/>
      <c r="T108" s="2"/>
      <c r="U108" s="2"/>
      <c r="V108" s="2">
        <f t="shared" si="52"/>
        <v>0</v>
      </c>
      <c r="X108" s="1" t="s">
        <v>89</v>
      </c>
      <c r="Y108" s="2">
        <f t="shared" si="43"/>
        <v>0</v>
      </c>
      <c r="Z108" s="2">
        <f t="shared" si="44"/>
        <v>0</v>
      </c>
      <c r="AA108" s="2">
        <f t="shared" si="45"/>
        <v>0</v>
      </c>
      <c r="AB108" s="2">
        <f t="shared" si="46"/>
        <v>0</v>
      </c>
      <c r="AC108" s="2">
        <f t="shared" si="47"/>
        <v>0</v>
      </c>
      <c r="AD108" s="2">
        <f t="shared" si="48"/>
        <v>0</v>
      </c>
      <c r="AE108" s="2">
        <f t="shared" si="49"/>
        <v>0</v>
      </c>
      <c r="AF108" s="2">
        <f t="shared" si="50"/>
        <v>0</v>
      </c>
      <c r="AG108" s="2">
        <f t="shared" si="53"/>
        <v>0</v>
      </c>
    </row>
    <row r="109" spans="2:33" hidden="1" x14ac:dyDescent="0.25">
      <c r="B109" s="1" t="s">
        <v>5</v>
      </c>
      <c r="C109" s="2"/>
      <c r="D109" s="2"/>
      <c r="E109" s="2"/>
      <c r="F109" s="2"/>
      <c r="G109" s="2"/>
      <c r="H109" s="2"/>
      <c r="I109" s="2"/>
      <c r="J109" s="2"/>
      <c r="K109" s="2">
        <f t="shared" si="51"/>
        <v>0</v>
      </c>
      <c r="M109" s="1" t="s">
        <v>5</v>
      </c>
      <c r="N109" s="2"/>
      <c r="O109" s="2"/>
      <c r="P109" s="2"/>
      <c r="Q109" s="2"/>
      <c r="R109" s="2"/>
      <c r="S109" s="2"/>
      <c r="T109" s="2"/>
      <c r="U109" s="2"/>
      <c r="V109" s="2">
        <f t="shared" si="52"/>
        <v>0</v>
      </c>
      <c r="X109" s="1" t="s">
        <v>5</v>
      </c>
      <c r="Y109" s="2">
        <f t="shared" si="43"/>
        <v>0</v>
      </c>
      <c r="Z109" s="2">
        <f t="shared" si="44"/>
        <v>0</v>
      </c>
      <c r="AA109" s="2">
        <f t="shared" si="45"/>
        <v>0</v>
      </c>
      <c r="AB109" s="2">
        <f t="shared" si="46"/>
        <v>0</v>
      </c>
      <c r="AC109" s="2">
        <f t="shared" si="47"/>
        <v>0</v>
      </c>
      <c r="AD109" s="2">
        <f t="shared" si="48"/>
        <v>0</v>
      </c>
      <c r="AE109" s="2">
        <f t="shared" si="49"/>
        <v>0</v>
      </c>
      <c r="AF109" s="2">
        <f t="shared" si="50"/>
        <v>0</v>
      </c>
      <c r="AG109" s="2">
        <f t="shared" si="53"/>
        <v>0</v>
      </c>
    </row>
    <row r="110" spans="2:33" hidden="1" x14ac:dyDescent="0.25">
      <c r="B110" s="1" t="s">
        <v>84</v>
      </c>
      <c r="C110" s="2"/>
      <c r="D110" s="2"/>
      <c r="E110" s="2"/>
      <c r="F110" s="2"/>
      <c r="G110" s="2"/>
      <c r="H110" s="2"/>
      <c r="I110" s="2"/>
      <c r="J110" s="2"/>
      <c r="K110" s="2">
        <f t="shared" si="51"/>
        <v>0</v>
      </c>
      <c r="M110" s="1" t="s">
        <v>84</v>
      </c>
      <c r="N110" s="2"/>
      <c r="O110" s="2"/>
      <c r="P110" s="2"/>
      <c r="Q110" s="2"/>
      <c r="R110" s="2"/>
      <c r="S110" s="2"/>
      <c r="T110" s="2"/>
      <c r="U110" s="2"/>
      <c r="V110" s="2">
        <f t="shared" si="52"/>
        <v>0</v>
      </c>
      <c r="X110" s="1" t="s">
        <v>84</v>
      </c>
      <c r="Y110" s="2">
        <f t="shared" si="43"/>
        <v>0</v>
      </c>
      <c r="Z110" s="2">
        <f t="shared" si="44"/>
        <v>0</v>
      </c>
      <c r="AA110" s="2">
        <f t="shared" si="45"/>
        <v>0</v>
      </c>
      <c r="AB110" s="2">
        <f t="shared" si="46"/>
        <v>0</v>
      </c>
      <c r="AC110" s="2">
        <f t="shared" si="47"/>
        <v>0</v>
      </c>
      <c r="AD110" s="2">
        <f t="shared" si="48"/>
        <v>0</v>
      </c>
      <c r="AE110" s="2">
        <f t="shared" si="49"/>
        <v>0</v>
      </c>
      <c r="AF110" s="2">
        <f t="shared" si="50"/>
        <v>0</v>
      </c>
      <c r="AG110" s="2">
        <f t="shared" si="53"/>
        <v>0</v>
      </c>
    </row>
    <row r="111" spans="2:33" hidden="1" x14ac:dyDescent="0.25">
      <c r="B111" s="1" t="s">
        <v>4</v>
      </c>
      <c r="C111" s="2"/>
      <c r="D111" s="2"/>
      <c r="E111" s="2"/>
      <c r="F111" s="2"/>
      <c r="G111" s="2"/>
      <c r="H111" s="2"/>
      <c r="I111" s="2"/>
      <c r="J111" s="2"/>
      <c r="K111" s="2">
        <f t="shared" si="51"/>
        <v>0</v>
      </c>
      <c r="M111" s="1" t="s">
        <v>4</v>
      </c>
      <c r="N111" s="2"/>
      <c r="O111" s="2"/>
      <c r="P111" s="2"/>
      <c r="Q111" s="2"/>
      <c r="R111" s="2"/>
      <c r="S111" s="2"/>
      <c r="T111" s="2"/>
      <c r="U111" s="2"/>
      <c r="V111" s="2">
        <f t="shared" si="52"/>
        <v>0</v>
      </c>
      <c r="X111" s="1" t="s">
        <v>4</v>
      </c>
      <c r="Y111" s="2">
        <f t="shared" si="43"/>
        <v>0</v>
      </c>
      <c r="Z111" s="2">
        <f t="shared" si="44"/>
        <v>0</v>
      </c>
      <c r="AA111" s="2">
        <f t="shared" si="45"/>
        <v>0</v>
      </c>
      <c r="AB111" s="2">
        <f t="shared" si="46"/>
        <v>0</v>
      </c>
      <c r="AC111" s="2">
        <f t="shared" si="47"/>
        <v>0</v>
      </c>
      <c r="AD111" s="2">
        <f t="shared" si="48"/>
        <v>0</v>
      </c>
      <c r="AE111" s="2">
        <f t="shared" si="49"/>
        <v>0</v>
      </c>
      <c r="AF111" s="2">
        <f t="shared" si="50"/>
        <v>0</v>
      </c>
      <c r="AG111" s="2">
        <f t="shared" si="53"/>
        <v>0</v>
      </c>
    </row>
    <row r="112" spans="2:33" hidden="1" x14ac:dyDescent="0.25">
      <c r="B112" s="1" t="s">
        <v>51</v>
      </c>
      <c r="C112" s="2"/>
      <c r="D112" s="2"/>
      <c r="E112" s="2"/>
      <c r="F112" s="2"/>
      <c r="G112" s="2"/>
      <c r="H112" s="2"/>
      <c r="I112" s="2"/>
      <c r="J112" s="2"/>
      <c r="K112" s="2">
        <f t="shared" si="51"/>
        <v>0</v>
      </c>
      <c r="M112" s="1" t="s">
        <v>51</v>
      </c>
      <c r="N112" s="2"/>
      <c r="O112" s="2"/>
      <c r="P112" s="2"/>
      <c r="Q112" s="2"/>
      <c r="R112" s="2"/>
      <c r="S112" s="2"/>
      <c r="T112" s="2"/>
      <c r="U112" s="2"/>
      <c r="V112" s="2">
        <f t="shared" si="52"/>
        <v>0</v>
      </c>
      <c r="X112" s="1" t="s">
        <v>51</v>
      </c>
      <c r="Y112" s="2">
        <f t="shared" si="43"/>
        <v>0</v>
      </c>
      <c r="Z112" s="2">
        <f t="shared" si="44"/>
        <v>0</v>
      </c>
      <c r="AA112" s="2">
        <f t="shared" si="45"/>
        <v>0</v>
      </c>
      <c r="AB112" s="2">
        <f t="shared" si="46"/>
        <v>0</v>
      </c>
      <c r="AC112" s="2">
        <f t="shared" si="47"/>
        <v>0</v>
      </c>
      <c r="AD112" s="2">
        <f t="shared" si="48"/>
        <v>0</v>
      </c>
      <c r="AE112" s="2">
        <f t="shared" si="49"/>
        <v>0</v>
      </c>
      <c r="AF112" s="2">
        <f t="shared" si="50"/>
        <v>0</v>
      </c>
      <c r="AG112" s="2">
        <f t="shared" si="53"/>
        <v>0</v>
      </c>
    </row>
    <row r="113" spans="2:33" hidden="1" x14ac:dyDescent="0.25">
      <c r="B113" s="1" t="s">
        <v>87</v>
      </c>
      <c r="C113" s="2"/>
      <c r="D113" s="2"/>
      <c r="E113" s="2"/>
      <c r="F113" s="2"/>
      <c r="G113" s="2"/>
      <c r="H113" s="2"/>
      <c r="I113" s="2"/>
      <c r="J113" s="2"/>
      <c r="K113" s="2">
        <f t="shared" si="51"/>
        <v>0</v>
      </c>
      <c r="M113" s="1" t="s">
        <v>87</v>
      </c>
      <c r="N113" s="2"/>
      <c r="O113" s="2"/>
      <c r="P113" s="2"/>
      <c r="Q113" s="2"/>
      <c r="R113" s="2"/>
      <c r="S113" s="2"/>
      <c r="T113" s="2"/>
      <c r="U113" s="2"/>
      <c r="V113" s="2">
        <f t="shared" si="52"/>
        <v>0</v>
      </c>
      <c r="X113" s="1" t="s">
        <v>87</v>
      </c>
      <c r="Y113" s="2">
        <f t="shared" si="43"/>
        <v>0</v>
      </c>
      <c r="Z113" s="2">
        <f t="shared" si="44"/>
        <v>0</v>
      </c>
      <c r="AA113" s="2">
        <f t="shared" si="45"/>
        <v>0</v>
      </c>
      <c r="AB113" s="2">
        <f t="shared" si="46"/>
        <v>0</v>
      </c>
      <c r="AC113" s="2">
        <f t="shared" si="47"/>
        <v>0</v>
      </c>
      <c r="AD113" s="2">
        <f t="shared" si="48"/>
        <v>0</v>
      </c>
      <c r="AE113" s="2">
        <f t="shared" si="49"/>
        <v>0</v>
      </c>
      <c r="AF113" s="2">
        <f t="shared" si="50"/>
        <v>0</v>
      </c>
      <c r="AG113" s="2">
        <f t="shared" si="53"/>
        <v>0</v>
      </c>
    </row>
    <row r="114" spans="2:33" hidden="1" x14ac:dyDescent="0.25">
      <c r="B114" s="1" t="s">
        <v>85</v>
      </c>
      <c r="C114" s="2"/>
      <c r="D114" s="2"/>
      <c r="E114" s="2"/>
      <c r="F114" s="2"/>
      <c r="G114" s="2"/>
      <c r="H114" s="2"/>
      <c r="I114" s="2"/>
      <c r="J114" s="2"/>
      <c r="K114" s="2">
        <f t="shared" si="51"/>
        <v>0</v>
      </c>
      <c r="M114" s="1" t="s">
        <v>85</v>
      </c>
      <c r="N114" s="2"/>
      <c r="O114" s="2"/>
      <c r="P114" s="2"/>
      <c r="Q114" s="2"/>
      <c r="R114" s="2"/>
      <c r="S114" s="2"/>
      <c r="T114" s="2"/>
      <c r="U114" s="2"/>
      <c r="V114" s="2">
        <f t="shared" si="52"/>
        <v>0</v>
      </c>
      <c r="X114" s="1" t="s">
        <v>85</v>
      </c>
      <c r="Y114" s="2">
        <f t="shared" si="43"/>
        <v>0</v>
      </c>
      <c r="Z114" s="2">
        <f t="shared" si="44"/>
        <v>0</v>
      </c>
      <c r="AA114" s="2">
        <f t="shared" si="45"/>
        <v>0</v>
      </c>
      <c r="AB114" s="2">
        <f t="shared" si="46"/>
        <v>0</v>
      </c>
      <c r="AC114" s="2">
        <f t="shared" si="47"/>
        <v>0</v>
      </c>
      <c r="AD114" s="2">
        <f t="shared" si="48"/>
        <v>0</v>
      </c>
      <c r="AE114" s="2">
        <f t="shared" si="49"/>
        <v>0</v>
      </c>
      <c r="AF114" s="2">
        <f t="shared" si="50"/>
        <v>0</v>
      </c>
      <c r="AG114" s="2">
        <f t="shared" si="53"/>
        <v>0</v>
      </c>
    </row>
    <row r="115" spans="2:33" hidden="1" x14ac:dyDescent="0.25">
      <c r="B115" s="1" t="s">
        <v>2</v>
      </c>
      <c r="C115" s="2"/>
      <c r="D115" s="2"/>
      <c r="E115" s="2"/>
      <c r="F115" s="2"/>
      <c r="G115" s="2"/>
      <c r="H115" s="2"/>
      <c r="I115" s="2"/>
      <c r="J115" s="2"/>
      <c r="K115" s="2">
        <f t="shared" si="51"/>
        <v>0</v>
      </c>
      <c r="M115" s="1" t="s">
        <v>2</v>
      </c>
      <c r="N115" s="2"/>
      <c r="O115" s="2"/>
      <c r="P115" s="2"/>
      <c r="Q115" s="2"/>
      <c r="R115" s="2"/>
      <c r="S115" s="2"/>
      <c r="T115" s="2"/>
      <c r="U115" s="2"/>
      <c r="V115" s="2">
        <f t="shared" si="52"/>
        <v>0</v>
      </c>
      <c r="X115" s="1" t="s">
        <v>2</v>
      </c>
      <c r="Y115" s="2">
        <f t="shared" si="43"/>
        <v>0</v>
      </c>
      <c r="Z115" s="2">
        <f t="shared" si="44"/>
        <v>0</v>
      </c>
      <c r="AA115" s="2">
        <f t="shared" si="45"/>
        <v>0</v>
      </c>
      <c r="AB115" s="2">
        <f t="shared" si="46"/>
        <v>0</v>
      </c>
      <c r="AC115" s="2">
        <f t="shared" si="47"/>
        <v>0</v>
      </c>
      <c r="AD115" s="2">
        <f t="shared" si="48"/>
        <v>0</v>
      </c>
      <c r="AE115" s="2">
        <f t="shared" si="49"/>
        <v>0</v>
      </c>
      <c r="AF115" s="2">
        <f t="shared" si="50"/>
        <v>0</v>
      </c>
      <c r="AG115" s="2">
        <f t="shared" si="53"/>
        <v>0</v>
      </c>
    </row>
    <row r="116" spans="2:33" hidden="1" x14ac:dyDescent="0.25">
      <c r="B116" s="1" t="s">
        <v>86</v>
      </c>
      <c r="C116" s="2"/>
      <c r="D116" s="2"/>
      <c r="E116" s="2"/>
      <c r="F116" s="2"/>
      <c r="G116" s="2"/>
      <c r="H116" s="2"/>
      <c r="I116" s="2"/>
      <c r="J116" s="2"/>
      <c r="K116" s="2">
        <f t="shared" si="51"/>
        <v>0</v>
      </c>
      <c r="M116" s="1" t="s">
        <v>86</v>
      </c>
      <c r="N116" s="2"/>
      <c r="O116" s="2"/>
      <c r="P116" s="2"/>
      <c r="Q116" s="2"/>
      <c r="R116" s="2"/>
      <c r="S116" s="2"/>
      <c r="T116" s="2"/>
      <c r="U116" s="2"/>
      <c r="V116" s="2">
        <f t="shared" si="52"/>
        <v>0</v>
      </c>
      <c r="X116" s="1" t="s">
        <v>86</v>
      </c>
      <c r="Y116" s="2">
        <f t="shared" si="43"/>
        <v>0</v>
      </c>
      <c r="Z116" s="2">
        <f t="shared" si="44"/>
        <v>0</v>
      </c>
      <c r="AA116" s="2">
        <f t="shared" si="45"/>
        <v>0</v>
      </c>
      <c r="AB116" s="2">
        <f t="shared" si="46"/>
        <v>0</v>
      </c>
      <c r="AC116" s="2">
        <f t="shared" si="47"/>
        <v>0</v>
      </c>
      <c r="AD116" s="2">
        <f t="shared" si="48"/>
        <v>0</v>
      </c>
      <c r="AE116" s="2">
        <f t="shared" si="49"/>
        <v>0</v>
      </c>
      <c r="AF116" s="2">
        <f t="shared" si="50"/>
        <v>0</v>
      </c>
      <c r="AG116" s="2">
        <f t="shared" si="53"/>
        <v>0</v>
      </c>
    </row>
    <row r="117" spans="2:33" hidden="1" x14ac:dyDescent="0.25">
      <c r="B117" s="1" t="s">
        <v>29</v>
      </c>
      <c r="C117" s="2"/>
      <c r="D117" s="2"/>
      <c r="E117" s="2"/>
      <c r="F117" s="2"/>
      <c r="G117" s="2"/>
      <c r="H117" s="2"/>
      <c r="I117" s="2"/>
      <c r="J117" s="2"/>
      <c r="K117" s="2">
        <f t="shared" si="51"/>
        <v>0</v>
      </c>
      <c r="M117" s="1" t="s">
        <v>29</v>
      </c>
      <c r="N117" s="2"/>
      <c r="O117" s="2"/>
      <c r="P117" s="2"/>
      <c r="Q117" s="2"/>
      <c r="R117" s="2"/>
      <c r="S117" s="2"/>
      <c r="T117" s="2"/>
      <c r="U117" s="2"/>
      <c r="V117" s="2">
        <f t="shared" si="52"/>
        <v>0</v>
      </c>
      <c r="X117" s="1" t="s">
        <v>29</v>
      </c>
      <c r="Y117" s="2">
        <f t="shared" si="43"/>
        <v>0</v>
      </c>
      <c r="Z117" s="2">
        <f t="shared" si="44"/>
        <v>0</v>
      </c>
      <c r="AA117" s="2">
        <f t="shared" si="45"/>
        <v>0</v>
      </c>
      <c r="AB117" s="2">
        <f t="shared" si="46"/>
        <v>0</v>
      </c>
      <c r="AC117" s="2">
        <f t="shared" si="47"/>
        <v>0</v>
      </c>
      <c r="AD117" s="2">
        <f t="shared" si="48"/>
        <v>0</v>
      </c>
      <c r="AE117" s="2">
        <f t="shared" si="49"/>
        <v>0</v>
      </c>
      <c r="AF117" s="2">
        <f t="shared" si="50"/>
        <v>0</v>
      </c>
      <c r="AG117" s="2">
        <f t="shared" si="53"/>
        <v>0</v>
      </c>
    </row>
    <row r="118" spans="2:33" hidden="1" x14ac:dyDescent="0.25">
      <c r="B118" s="1" t="s">
        <v>88</v>
      </c>
      <c r="C118" s="2"/>
      <c r="D118" s="2"/>
      <c r="E118" s="2"/>
      <c r="F118" s="2"/>
      <c r="G118" s="2"/>
      <c r="H118" s="2"/>
      <c r="I118" s="2"/>
      <c r="J118" s="2"/>
      <c r="K118" s="2">
        <f t="shared" si="51"/>
        <v>0</v>
      </c>
      <c r="M118" s="1" t="s">
        <v>88</v>
      </c>
      <c r="N118" s="2"/>
      <c r="O118" s="2"/>
      <c r="P118" s="2"/>
      <c r="Q118" s="2"/>
      <c r="R118" s="2"/>
      <c r="S118" s="2"/>
      <c r="T118" s="2"/>
      <c r="U118" s="2"/>
      <c r="V118" s="2">
        <f t="shared" si="52"/>
        <v>0</v>
      </c>
      <c r="X118" s="1" t="s">
        <v>52</v>
      </c>
      <c r="Y118" s="2">
        <f t="shared" si="43"/>
        <v>0</v>
      </c>
      <c r="Z118" s="2">
        <f t="shared" si="44"/>
        <v>0</v>
      </c>
      <c r="AA118" s="2">
        <f t="shared" si="45"/>
        <v>0</v>
      </c>
      <c r="AB118" s="2">
        <f t="shared" si="46"/>
        <v>0</v>
      </c>
      <c r="AC118" s="2">
        <f t="shared" si="47"/>
        <v>0</v>
      </c>
      <c r="AD118" s="2">
        <f t="shared" si="48"/>
        <v>0</v>
      </c>
      <c r="AE118" s="2">
        <f t="shared" si="49"/>
        <v>0</v>
      </c>
      <c r="AF118" s="2">
        <f t="shared" si="50"/>
        <v>0</v>
      </c>
      <c r="AG118" s="2">
        <f t="shared" si="53"/>
        <v>0</v>
      </c>
    </row>
    <row r="119" spans="2:33" hidden="1" x14ac:dyDescent="0.25">
      <c r="B119" s="1" t="s">
        <v>1098</v>
      </c>
      <c r="C119" s="2"/>
      <c r="D119" s="2"/>
      <c r="E119" s="2"/>
      <c r="F119" s="2"/>
      <c r="G119" s="2"/>
      <c r="H119" s="2"/>
      <c r="I119" s="2"/>
      <c r="J119" s="2"/>
      <c r="K119" s="2">
        <f t="shared" si="51"/>
        <v>0</v>
      </c>
      <c r="M119" s="1" t="s">
        <v>1098</v>
      </c>
      <c r="N119" s="2"/>
      <c r="O119" s="2"/>
      <c r="P119" s="2"/>
      <c r="Q119" s="2"/>
      <c r="R119" s="2"/>
      <c r="S119" s="2"/>
      <c r="T119" s="2"/>
      <c r="U119" s="2"/>
      <c r="V119" s="2">
        <f t="shared" si="52"/>
        <v>0</v>
      </c>
      <c r="X119" s="1" t="s">
        <v>88</v>
      </c>
      <c r="Y119" s="2">
        <f t="shared" si="43"/>
        <v>0</v>
      </c>
      <c r="Z119" s="2">
        <f t="shared" si="44"/>
        <v>0</v>
      </c>
      <c r="AA119" s="2">
        <f t="shared" si="45"/>
        <v>0</v>
      </c>
      <c r="AB119" s="2">
        <f t="shared" si="46"/>
        <v>0</v>
      </c>
      <c r="AC119" s="2">
        <f t="shared" si="47"/>
        <v>0</v>
      </c>
      <c r="AD119" s="2">
        <f t="shared" si="48"/>
        <v>0</v>
      </c>
      <c r="AE119" s="2">
        <f t="shared" si="49"/>
        <v>0</v>
      </c>
      <c r="AF119" s="2">
        <f t="shared" si="50"/>
        <v>0</v>
      </c>
      <c r="AG119" s="2">
        <f t="shared" si="53"/>
        <v>0</v>
      </c>
    </row>
    <row r="120" spans="2:33" hidden="1" x14ac:dyDescent="0.25">
      <c r="B120" s="1" t="s">
        <v>1099</v>
      </c>
      <c r="C120" s="2"/>
      <c r="D120" s="2"/>
      <c r="E120" s="2"/>
      <c r="F120" s="2"/>
      <c r="G120" s="2"/>
      <c r="H120" s="2"/>
      <c r="I120" s="2"/>
      <c r="J120" s="2"/>
      <c r="K120" s="2">
        <f t="shared" si="51"/>
        <v>0</v>
      </c>
      <c r="M120" s="1" t="s">
        <v>1099</v>
      </c>
      <c r="N120" s="2"/>
      <c r="O120" s="2"/>
      <c r="P120" s="2"/>
      <c r="Q120" s="2"/>
      <c r="R120" s="2"/>
      <c r="S120" s="2"/>
      <c r="T120" s="2"/>
      <c r="U120" s="2"/>
      <c r="V120" s="2">
        <f t="shared" si="52"/>
        <v>0</v>
      </c>
      <c r="X120" s="1" t="s">
        <v>1</v>
      </c>
      <c r="Y120" s="2">
        <f t="shared" si="43"/>
        <v>0</v>
      </c>
      <c r="Z120" s="2">
        <f t="shared" si="44"/>
        <v>0</v>
      </c>
      <c r="AA120" s="2">
        <f t="shared" si="45"/>
        <v>0</v>
      </c>
      <c r="AB120" s="2">
        <f t="shared" si="46"/>
        <v>0</v>
      </c>
      <c r="AC120" s="2">
        <f t="shared" si="47"/>
        <v>0</v>
      </c>
      <c r="AD120" s="2">
        <f t="shared" si="48"/>
        <v>0</v>
      </c>
      <c r="AE120" s="2">
        <f t="shared" si="49"/>
        <v>0</v>
      </c>
      <c r="AF120" s="2">
        <f t="shared" si="50"/>
        <v>0</v>
      </c>
      <c r="AG120" s="2">
        <f t="shared" si="53"/>
        <v>0</v>
      </c>
    </row>
    <row r="121" spans="2:33" ht="15.75" hidden="1" thickBot="1" x14ac:dyDescent="0.3">
      <c r="C121" s="70">
        <f>SUM(C101:C120)</f>
        <v>0</v>
      </c>
      <c r="D121" s="70">
        <f t="shared" ref="D121:J121" si="54">SUM(D101:D120)</f>
        <v>0</v>
      </c>
      <c r="E121" s="70">
        <f t="shared" si="54"/>
        <v>0</v>
      </c>
      <c r="F121" s="70">
        <f t="shared" si="54"/>
        <v>0</v>
      </c>
      <c r="G121" s="70">
        <f t="shared" si="54"/>
        <v>0</v>
      </c>
      <c r="H121" s="70">
        <f t="shared" si="54"/>
        <v>0</v>
      </c>
      <c r="I121" s="70">
        <f t="shared" si="54"/>
        <v>0</v>
      </c>
      <c r="J121" s="70">
        <f t="shared" si="54"/>
        <v>0</v>
      </c>
      <c r="K121" s="70">
        <f>SUM(K101:K120)</f>
        <v>0</v>
      </c>
      <c r="N121" s="70">
        <f>SUM(N101:N120)</f>
        <v>0</v>
      </c>
      <c r="O121" s="70">
        <f t="shared" ref="O121:U121" si="55">SUM(O101:O120)</f>
        <v>0</v>
      </c>
      <c r="P121" s="70">
        <f t="shared" si="55"/>
        <v>0</v>
      </c>
      <c r="Q121" s="70">
        <f t="shared" si="55"/>
        <v>0</v>
      </c>
      <c r="R121" s="70">
        <f t="shared" si="55"/>
        <v>0</v>
      </c>
      <c r="S121" s="70">
        <f t="shared" si="55"/>
        <v>0</v>
      </c>
      <c r="T121" s="70">
        <f t="shared" si="55"/>
        <v>0</v>
      </c>
      <c r="U121" s="70">
        <f t="shared" si="55"/>
        <v>0</v>
      </c>
      <c r="V121" s="70">
        <f>SUM(V101:V120)</f>
        <v>0</v>
      </c>
      <c r="Y121" s="70">
        <f>SUM(Y101:Y120)</f>
        <v>0</v>
      </c>
      <c r="Z121" s="70">
        <f t="shared" ref="Z121:AF121" si="56">SUM(Z101:Z120)</f>
        <v>0</v>
      </c>
      <c r="AA121" s="70">
        <f t="shared" si="56"/>
        <v>0</v>
      </c>
      <c r="AB121" s="70">
        <f t="shared" si="56"/>
        <v>0</v>
      </c>
      <c r="AC121" s="70">
        <f t="shared" si="56"/>
        <v>0</v>
      </c>
      <c r="AD121" s="70">
        <f t="shared" si="56"/>
        <v>0</v>
      </c>
      <c r="AE121" s="70">
        <f t="shared" si="56"/>
        <v>0</v>
      </c>
      <c r="AF121" s="70">
        <f t="shared" si="56"/>
        <v>0</v>
      </c>
      <c r="AG121" s="70">
        <f>SUM(AG101:AG120)</f>
        <v>0</v>
      </c>
    </row>
    <row r="122" spans="2:33" hidden="1" x14ac:dyDescent="0.25"/>
    <row r="123" spans="2:33" hidden="1" x14ac:dyDescent="0.25"/>
    <row r="124" spans="2:33" hidden="1" x14ac:dyDescent="0.25">
      <c r="B124" s="72" t="s">
        <v>96</v>
      </c>
      <c r="C124" s="187">
        <f>$C$20</f>
        <v>45199</v>
      </c>
      <c r="D124" s="175"/>
      <c r="E124" s="175"/>
      <c r="F124" s="175"/>
      <c r="G124" s="175"/>
      <c r="H124" s="175"/>
      <c r="I124" s="175"/>
      <c r="J124" s="175"/>
      <c r="K124" s="175"/>
      <c r="M124" s="72" t="s">
        <v>96</v>
      </c>
      <c r="N124" s="193">
        <f>$N$20</f>
        <v>45169</v>
      </c>
      <c r="O124" s="194"/>
      <c r="P124" s="194"/>
      <c r="Q124" s="194"/>
      <c r="R124" s="194"/>
      <c r="S124" s="194"/>
      <c r="T124" s="194"/>
      <c r="U124" s="194"/>
      <c r="V124" s="194"/>
      <c r="Y124" s="175" t="s">
        <v>97</v>
      </c>
      <c r="Z124" s="175"/>
      <c r="AA124" s="175"/>
      <c r="AB124" s="175"/>
      <c r="AC124" s="175"/>
      <c r="AD124" s="175"/>
      <c r="AE124" s="175"/>
      <c r="AF124" s="175"/>
      <c r="AG124" s="175"/>
    </row>
    <row r="125" spans="2:33" hidden="1" x14ac:dyDescent="0.25">
      <c r="B125" s="72" t="s">
        <v>95</v>
      </c>
      <c r="C125" s="175" t="str">
        <f>'Reimbursement Rates &lt;-INPUT'!F7</f>
        <v>Clinic 5</v>
      </c>
      <c r="D125" s="175"/>
      <c r="E125" s="175"/>
      <c r="F125" s="175"/>
      <c r="G125" s="175"/>
      <c r="H125" s="175"/>
      <c r="I125" s="175"/>
      <c r="J125" s="175"/>
      <c r="K125" s="175"/>
      <c r="M125" s="72" t="s">
        <v>95</v>
      </c>
      <c r="N125" s="175" t="str">
        <f>C125</f>
        <v>Clinic 5</v>
      </c>
      <c r="O125" s="175"/>
      <c r="P125" s="175"/>
      <c r="Q125" s="175"/>
      <c r="R125" s="175"/>
      <c r="S125" s="175"/>
      <c r="T125" s="175"/>
      <c r="U125" s="175"/>
      <c r="V125" s="175"/>
      <c r="X125" s="71" t="s">
        <v>95</v>
      </c>
      <c r="Y125" s="175" t="str">
        <f>C125</f>
        <v>Clinic 5</v>
      </c>
      <c r="Z125" s="175"/>
      <c r="AA125" s="175"/>
      <c r="AB125" s="175"/>
      <c r="AC125" s="175"/>
      <c r="AD125" s="175"/>
      <c r="AE125" s="175"/>
      <c r="AF125" s="175"/>
      <c r="AG125" s="175"/>
    </row>
    <row r="126" spans="2:33" hidden="1" x14ac:dyDescent="0.25">
      <c r="B126" s="4" t="s">
        <v>16</v>
      </c>
      <c r="C126" s="5" t="s">
        <v>15</v>
      </c>
      <c r="D126" s="5" t="s">
        <v>14</v>
      </c>
      <c r="E126" s="5" t="s">
        <v>13</v>
      </c>
      <c r="F126" s="5" t="s">
        <v>12</v>
      </c>
      <c r="G126" s="5" t="s">
        <v>93</v>
      </c>
      <c r="H126" s="5" t="s">
        <v>94</v>
      </c>
      <c r="I126" s="5" t="s">
        <v>38</v>
      </c>
      <c r="J126" s="5" t="s">
        <v>9</v>
      </c>
      <c r="K126" s="5" t="s">
        <v>80</v>
      </c>
      <c r="M126" s="4" t="s">
        <v>16</v>
      </c>
      <c r="N126" s="5" t="s">
        <v>15</v>
      </c>
      <c r="O126" s="5" t="s">
        <v>14</v>
      </c>
      <c r="P126" s="5" t="s">
        <v>13</v>
      </c>
      <c r="Q126" s="5" t="s">
        <v>12</v>
      </c>
      <c r="R126" s="5" t="s">
        <v>93</v>
      </c>
      <c r="S126" s="5" t="s">
        <v>94</v>
      </c>
      <c r="T126" s="5" t="s">
        <v>38</v>
      </c>
      <c r="U126" s="5" t="s">
        <v>9</v>
      </c>
      <c r="V126" s="5" t="s">
        <v>80</v>
      </c>
      <c r="X126" s="4" t="s">
        <v>16</v>
      </c>
      <c r="Y126" s="5" t="s">
        <v>15</v>
      </c>
      <c r="Z126" s="5" t="s">
        <v>14</v>
      </c>
      <c r="AA126" s="5" t="s">
        <v>13</v>
      </c>
      <c r="AB126" s="5" t="s">
        <v>12</v>
      </c>
      <c r="AC126" s="5" t="s">
        <v>93</v>
      </c>
      <c r="AD126" s="5" t="s">
        <v>94</v>
      </c>
      <c r="AE126" s="5" t="s">
        <v>38</v>
      </c>
      <c r="AF126" s="5" t="s">
        <v>9</v>
      </c>
      <c r="AG126" s="5" t="s">
        <v>80</v>
      </c>
    </row>
    <row r="127" spans="2:33" hidden="1" x14ac:dyDescent="0.25">
      <c r="B127" s="1" t="s">
        <v>1094</v>
      </c>
      <c r="C127" s="2"/>
      <c r="D127" s="2"/>
      <c r="E127" s="2"/>
      <c r="F127" s="2"/>
      <c r="G127" s="2"/>
      <c r="H127" s="2"/>
      <c r="I127" s="2"/>
      <c r="J127" s="2"/>
      <c r="K127" s="2">
        <f>SUM(C127:J127)</f>
        <v>0</v>
      </c>
      <c r="M127" s="1" t="s">
        <v>1094</v>
      </c>
      <c r="N127" s="2"/>
      <c r="O127" s="2"/>
      <c r="P127" s="2"/>
      <c r="Q127" s="2"/>
      <c r="R127" s="2"/>
      <c r="S127" s="2"/>
      <c r="T127" s="2"/>
      <c r="U127" s="2"/>
      <c r="V127" s="2">
        <f>SUM(N127:U127)</f>
        <v>0</v>
      </c>
      <c r="X127" s="1" t="s">
        <v>49</v>
      </c>
      <c r="Y127" s="2">
        <f t="shared" ref="Y127:Y146" si="57">C127-N127</f>
        <v>0</v>
      </c>
      <c r="Z127" s="2">
        <f t="shared" ref="Z127:Z146" si="58">D127-O127</f>
        <v>0</v>
      </c>
      <c r="AA127" s="2">
        <f t="shared" ref="AA127:AA146" si="59">E127-P127</f>
        <v>0</v>
      </c>
      <c r="AB127" s="2">
        <f t="shared" ref="AB127:AB146" si="60">F127-Q127</f>
        <v>0</v>
      </c>
      <c r="AC127" s="2">
        <f t="shared" ref="AC127:AC146" si="61">G127-R127</f>
        <v>0</v>
      </c>
      <c r="AD127" s="2">
        <f t="shared" ref="AD127:AD146" si="62">H127-S127</f>
        <v>0</v>
      </c>
      <c r="AE127" s="2">
        <f t="shared" ref="AE127:AE146" si="63">I127-T127</f>
        <v>0</v>
      </c>
      <c r="AF127" s="2">
        <f t="shared" ref="AF127:AF146" si="64">J127-U127</f>
        <v>0</v>
      </c>
      <c r="AG127" s="2">
        <f>SUM(Y127:AF127)</f>
        <v>0</v>
      </c>
    </row>
    <row r="128" spans="2:33" hidden="1" x14ac:dyDescent="0.25">
      <c r="B128" s="1" t="s">
        <v>8</v>
      </c>
      <c r="C128" s="2"/>
      <c r="D128" s="2"/>
      <c r="E128" s="2"/>
      <c r="F128" s="2"/>
      <c r="G128" s="2"/>
      <c r="H128" s="2"/>
      <c r="I128" s="2"/>
      <c r="J128" s="2"/>
      <c r="K128" s="2">
        <f t="shared" ref="K128:K146" si="65">SUM(C128:J128)</f>
        <v>0</v>
      </c>
      <c r="M128" s="1" t="s">
        <v>8</v>
      </c>
      <c r="N128" s="2"/>
      <c r="O128" s="2"/>
      <c r="P128" s="2"/>
      <c r="Q128" s="2"/>
      <c r="R128" s="2"/>
      <c r="S128" s="2"/>
      <c r="T128" s="2"/>
      <c r="U128" s="2"/>
      <c r="V128" s="2">
        <f t="shared" ref="V128:V146" si="66">SUM(N128:U128)</f>
        <v>0</v>
      </c>
      <c r="X128" s="1" t="s">
        <v>8</v>
      </c>
      <c r="Y128" s="2">
        <f t="shared" si="57"/>
        <v>0</v>
      </c>
      <c r="Z128" s="2">
        <f t="shared" si="58"/>
        <v>0</v>
      </c>
      <c r="AA128" s="2">
        <f t="shared" si="59"/>
        <v>0</v>
      </c>
      <c r="AB128" s="2">
        <f t="shared" si="60"/>
        <v>0</v>
      </c>
      <c r="AC128" s="2">
        <f t="shared" si="61"/>
        <v>0</v>
      </c>
      <c r="AD128" s="2">
        <f t="shared" si="62"/>
        <v>0</v>
      </c>
      <c r="AE128" s="2">
        <f t="shared" si="63"/>
        <v>0</v>
      </c>
      <c r="AF128" s="2">
        <f t="shared" si="64"/>
        <v>0</v>
      </c>
      <c r="AG128" s="2">
        <f t="shared" ref="AG128:AG146" si="67">SUM(Y128:AF128)</f>
        <v>0</v>
      </c>
    </row>
    <row r="129" spans="2:33" hidden="1" x14ac:dyDescent="0.25">
      <c r="B129" s="1" t="s">
        <v>1095</v>
      </c>
      <c r="C129" s="2"/>
      <c r="D129" s="2"/>
      <c r="E129" s="2"/>
      <c r="F129" s="2"/>
      <c r="G129" s="2"/>
      <c r="H129" s="2"/>
      <c r="I129" s="2"/>
      <c r="J129" s="2"/>
      <c r="K129" s="2">
        <f t="shared" si="65"/>
        <v>0</v>
      </c>
      <c r="M129" s="1" t="s">
        <v>1095</v>
      </c>
      <c r="N129" s="2"/>
      <c r="O129" s="2"/>
      <c r="P129" s="2"/>
      <c r="Q129" s="2"/>
      <c r="R129" s="2"/>
      <c r="S129" s="2"/>
      <c r="T129" s="2"/>
      <c r="U129" s="2"/>
      <c r="V129" s="2">
        <f t="shared" si="66"/>
        <v>0</v>
      </c>
      <c r="X129" s="1" t="s">
        <v>7</v>
      </c>
      <c r="Y129" s="2">
        <f t="shared" si="57"/>
        <v>0</v>
      </c>
      <c r="Z129" s="2">
        <f t="shared" si="58"/>
        <v>0</v>
      </c>
      <c r="AA129" s="2">
        <f t="shared" si="59"/>
        <v>0</v>
      </c>
      <c r="AB129" s="2">
        <f t="shared" si="60"/>
        <v>0</v>
      </c>
      <c r="AC129" s="2">
        <f t="shared" si="61"/>
        <v>0</v>
      </c>
      <c r="AD129" s="2">
        <f t="shared" si="62"/>
        <v>0</v>
      </c>
      <c r="AE129" s="2">
        <f t="shared" si="63"/>
        <v>0</v>
      </c>
      <c r="AF129" s="2">
        <f t="shared" si="64"/>
        <v>0</v>
      </c>
      <c r="AG129" s="2">
        <f t="shared" si="67"/>
        <v>0</v>
      </c>
    </row>
    <row r="130" spans="2:33" hidden="1" x14ac:dyDescent="0.25">
      <c r="B130" s="1" t="s">
        <v>42</v>
      </c>
      <c r="C130" s="2"/>
      <c r="D130" s="2"/>
      <c r="E130" s="2"/>
      <c r="F130" s="2"/>
      <c r="G130" s="2"/>
      <c r="H130" s="2"/>
      <c r="I130" s="2"/>
      <c r="J130" s="2"/>
      <c r="K130" s="2">
        <f t="shared" si="65"/>
        <v>0</v>
      </c>
      <c r="M130" s="1" t="s">
        <v>42</v>
      </c>
      <c r="N130" s="2"/>
      <c r="O130" s="2"/>
      <c r="P130" s="2"/>
      <c r="Q130" s="2"/>
      <c r="R130" s="2"/>
      <c r="S130" s="2"/>
      <c r="T130" s="2"/>
      <c r="U130" s="2"/>
      <c r="V130" s="2">
        <f t="shared" si="66"/>
        <v>0</v>
      </c>
      <c r="X130" s="1" t="s">
        <v>42</v>
      </c>
      <c r="Y130" s="2">
        <f t="shared" si="57"/>
        <v>0</v>
      </c>
      <c r="Z130" s="2">
        <f t="shared" si="58"/>
        <v>0</v>
      </c>
      <c r="AA130" s="2">
        <f t="shared" si="59"/>
        <v>0</v>
      </c>
      <c r="AB130" s="2">
        <f t="shared" si="60"/>
        <v>0</v>
      </c>
      <c r="AC130" s="2">
        <f t="shared" si="61"/>
        <v>0</v>
      </c>
      <c r="AD130" s="2">
        <f t="shared" si="62"/>
        <v>0</v>
      </c>
      <c r="AE130" s="2">
        <f t="shared" si="63"/>
        <v>0</v>
      </c>
      <c r="AF130" s="2">
        <f t="shared" si="64"/>
        <v>0</v>
      </c>
      <c r="AG130" s="2">
        <f t="shared" si="67"/>
        <v>0</v>
      </c>
    </row>
    <row r="131" spans="2:33" hidden="1" x14ac:dyDescent="0.25">
      <c r="B131" s="1" t="s">
        <v>6</v>
      </c>
      <c r="C131" s="2"/>
      <c r="D131" s="2"/>
      <c r="E131" s="2"/>
      <c r="F131" s="2"/>
      <c r="G131" s="2"/>
      <c r="H131" s="2"/>
      <c r="I131" s="2"/>
      <c r="J131" s="2"/>
      <c r="K131" s="2">
        <f t="shared" si="65"/>
        <v>0</v>
      </c>
      <c r="M131" s="1" t="s">
        <v>6</v>
      </c>
      <c r="N131" s="2"/>
      <c r="O131" s="2"/>
      <c r="P131" s="2"/>
      <c r="Q131" s="2"/>
      <c r="R131" s="2"/>
      <c r="S131" s="2"/>
      <c r="T131" s="2"/>
      <c r="U131" s="2"/>
      <c r="V131" s="2">
        <f t="shared" si="66"/>
        <v>0</v>
      </c>
      <c r="X131" s="1" t="s">
        <v>6</v>
      </c>
      <c r="Y131" s="2">
        <f t="shared" si="57"/>
        <v>0</v>
      </c>
      <c r="Z131" s="2">
        <f t="shared" si="58"/>
        <v>0</v>
      </c>
      <c r="AA131" s="2">
        <f t="shared" si="59"/>
        <v>0</v>
      </c>
      <c r="AB131" s="2">
        <f t="shared" si="60"/>
        <v>0</v>
      </c>
      <c r="AC131" s="2">
        <f t="shared" si="61"/>
        <v>0</v>
      </c>
      <c r="AD131" s="2">
        <f t="shared" si="62"/>
        <v>0</v>
      </c>
      <c r="AE131" s="2">
        <f t="shared" si="63"/>
        <v>0</v>
      </c>
      <c r="AF131" s="2">
        <f t="shared" si="64"/>
        <v>0</v>
      </c>
      <c r="AG131" s="2">
        <f t="shared" si="67"/>
        <v>0</v>
      </c>
    </row>
    <row r="132" spans="2:33" hidden="1" x14ac:dyDescent="0.25">
      <c r="B132" s="1" t="s">
        <v>90</v>
      </c>
      <c r="C132" s="2"/>
      <c r="D132" s="2"/>
      <c r="E132" s="2"/>
      <c r="F132" s="2"/>
      <c r="G132" s="2"/>
      <c r="H132" s="2"/>
      <c r="I132" s="2"/>
      <c r="J132" s="2"/>
      <c r="K132" s="2">
        <f t="shared" si="65"/>
        <v>0</v>
      </c>
      <c r="M132" s="1" t="s">
        <v>90</v>
      </c>
      <c r="N132" s="2"/>
      <c r="O132" s="2"/>
      <c r="P132" s="2"/>
      <c r="Q132" s="2"/>
      <c r="R132" s="2"/>
      <c r="S132" s="2"/>
      <c r="T132" s="2"/>
      <c r="U132" s="2"/>
      <c r="V132" s="2">
        <f t="shared" si="66"/>
        <v>0</v>
      </c>
      <c r="X132" s="1" t="s">
        <v>90</v>
      </c>
      <c r="Y132" s="2">
        <f t="shared" si="57"/>
        <v>0</v>
      </c>
      <c r="Z132" s="2">
        <f t="shared" si="58"/>
        <v>0</v>
      </c>
      <c r="AA132" s="2">
        <f t="shared" si="59"/>
        <v>0</v>
      </c>
      <c r="AB132" s="2">
        <f t="shared" si="60"/>
        <v>0</v>
      </c>
      <c r="AC132" s="2">
        <f t="shared" si="61"/>
        <v>0</v>
      </c>
      <c r="AD132" s="2">
        <f t="shared" si="62"/>
        <v>0</v>
      </c>
      <c r="AE132" s="2">
        <f t="shared" si="63"/>
        <v>0</v>
      </c>
      <c r="AF132" s="2">
        <f t="shared" si="64"/>
        <v>0</v>
      </c>
      <c r="AG132" s="2">
        <f t="shared" si="67"/>
        <v>0</v>
      </c>
    </row>
    <row r="133" spans="2:33" hidden="1" x14ac:dyDescent="0.25">
      <c r="B133" s="1" t="s">
        <v>1100</v>
      </c>
      <c r="C133" s="2"/>
      <c r="D133" s="2"/>
      <c r="E133" s="2"/>
      <c r="F133" s="2"/>
      <c r="G133" s="2"/>
      <c r="H133" s="2"/>
      <c r="I133" s="2"/>
      <c r="J133" s="2"/>
      <c r="K133" s="2">
        <f t="shared" si="65"/>
        <v>0</v>
      </c>
      <c r="M133" s="1" t="s">
        <v>1100</v>
      </c>
      <c r="N133" s="2"/>
      <c r="O133" s="2"/>
      <c r="P133" s="2"/>
      <c r="Q133" s="2"/>
      <c r="R133" s="2"/>
      <c r="S133" s="2"/>
      <c r="T133" s="2"/>
      <c r="U133" s="2"/>
      <c r="V133" s="2">
        <f t="shared" si="66"/>
        <v>0</v>
      </c>
      <c r="X133" s="1" t="s">
        <v>50</v>
      </c>
      <c r="Y133" s="2">
        <f t="shared" si="57"/>
        <v>0</v>
      </c>
      <c r="Z133" s="2">
        <f t="shared" si="58"/>
        <v>0</v>
      </c>
      <c r="AA133" s="2">
        <f t="shared" si="59"/>
        <v>0</v>
      </c>
      <c r="AB133" s="2">
        <f t="shared" si="60"/>
        <v>0</v>
      </c>
      <c r="AC133" s="2">
        <f t="shared" si="61"/>
        <v>0</v>
      </c>
      <c r="AD133" s="2">
        <f t="shared" si="62"/>
        <v>0</v>
      </c>
      <c r="AE133" s="2">
        <f t="shared" si="63"/>
        <v>0</v>
      </c>
      <c r="AF133" s="2">
        <f t="shared" si="64"/>
        <v>0</v>
      </c>
      <c r="AG133" s="2">
        <f t="shared" si="67"/>
        <v>0</v>
      </c>
    </row>
    <row r="134" spans="2:33" hidden="1" x14ac:dyDescent="0.25">
      <c r="B134" s="1" t="s">
        <v>89</v>
      </c>
      <c r="C134" s="2"/>
      <c r="D134" s="2"/>
      <c r="E134" s="2"/>
      <c r="F134" s="2"/>
      <c r="G134" s="2"/>
      <c r="H134" s="2"/>
      <c r="I134" s="2"/>
      <c r="J134" s="2"/>
      <c r="K134" s="2">
        <f t="shared" si="65"/>
        <v>0</v>
      </c>
      <c r="M134" s="1" t="s">
        <v>89</v>
      </c>
      <c r="N134" s="2"/>
      <c r="O134" s="2"/>
      <c r="P134" s="2"/>
      <c r="Q134" s="2"/>
      <c r="R134" s="2"/>
      <c r="S134" s="2"/>
      <c r="T134" s="2"/>
      <c r="U134" s="2"/>
      <c r="V134" s="2">
        <f t="shared" si="66"/>
        <v>0</v>
      </c>
      <c r="X134" s="1" t="s">
        <v>89</v>
      </c>
      <c r="Y134" s="2">
        <f t="shared" si="57"/>
        <v>0</v>
      </c>
      <c r="Z134" s="2">
        <f t="shared" si="58"/>
        <v>0</v>
      </c>
      <c r="AA134" s="2">
        <f t="shared" si="59"/>
        <v>0</v>
      </c>
      <c r="AB134" s="2">
        <f t="shared" si="60"/>
        <v>0</v>
      </c>
      <c r="AC134" s="2">
        <f t="shared" si="61"/>
        <v>0</v>
      </c>
      <c r="AD134" s="2">
        <f t="shared" si="62"/>
        <v>0</v>
      </c>
      <c r="AE134" s="2">
        <f t="shared" si="63"/>
        <v>0</v>
      </c>
      <c r="AF134" s="2">
        <f t="shared" si="64"/>
        <v>0</v>
      </c>
      <c r="AG134" s="2">
        <f t="shared" si="67"/>
        <v>0</v>
      </c>
    </row>
    <row r="135" spans="2:33" hidden="1" x14ac:dyDescent="0.25">
      <c r="B135" s="1" t="s">
        <v>5</v>
      </c>
      <c r="C135" s="2"/>
      <c r="D135" s="2"/>
      <c r="E135" s="2"/>
      <c r="F135" s="2"/>
      <c r="G135" s="2"/>
      <c r="H135" s="2"/>
      <c r="I135" s="2"/>
      <c r="J135" s="2"/>
      <c r="K135" s="2">
        <f t="shared" si="65"/>
        <v>0</v>
      </c>
      <c r="M135" s="1" t="s">
        <v>5</v>
      </c>
      <c r="N135" s="2"/>
      <c r="O135" s="2"/>
      <c r="P135" s="2"/>
      <c r="Q135" s="2"/>
      <c r="R135" s="2"/>
      <c r="S135" s="2"/>
      <c r="T135" s="2"/>
      <c r="U135" s="2"/>
      <c r="V135" s="2">
        <f t="shared" si="66"/>
        <v>0</v>
      </c>
      <c r="X135" s="1" t="s">
        <v>5</v>
      </c>
      <c r="Y135" s="2">
        <f t="shared" si="57"/>
        <v>0</v>
      </c>
      <c r="Z135" s="2">
        <f t="shared" si="58"/>
        <v>0</v>
      </c>
      <c r="AA135" s="2">
        <f t="shared" si="59"/>
        <v>0</v>
      </c>
      <c r="AB135" s="2">
        <f t="shared" si="60"/>
        <v>0</v>
      </c>
      <c r="AC135" s="2">
        <f t="shared" si="61"/>
        <v>0</v>
      </c>
      <c r="AD135" s="2">
        <f t="shared" si="62"/>
        <v>0</v>
      </c>
      <c r="AE135" s="2">
        <f t="shared" si="63"/>
        <v>0</v>
      </c>
      <c r="AF135" s="2">
        <f t="shared" si="64"/>
        <v>0</v>
      </c>
      <c r="AG135" s="2">
        <f t="shared" si="67"/>
        <v>0</v>
      </c>
    </row>
    <row r="136" spans="2:33" hidden="1" x14ac:dyDescent="0.25">
      <c r="B136" s="1" t="s">
        <v>84</v>
      </c>
      <c r="C136" s="2"/>
      <c r="D136" s="2"/>
      <c r="E136" s="2"/>
      <c r="F136" s="2"/>
      <c r="G136" s="2"/>
      <c r="H136" s="2"/>
      <c r="I136" s="2"/>
      <c r="J136" s="2"/>
      <c r="K136" s="2">
        <f t="shared" si="65"/>
        <v>0</v>
      </c>
      <c r="M136" s="1" t="s">
        <v>84</v>
      </c>
      <c r="N136" s="2"/>
      <c r="O136" s="2"/>
      <c r="P136" s="2"/>
      <c r="Q136" s="2"/>
      <c r="R136" s="2"/>
      <c r="S136" s="2"/>
      <c r="T136" s="2"/>
      <c r="U136" s="2"/>
      <c r="V136" s="2">
        <f t="shared" si="66"/>
        <v>0</v>
      </c>
      <c r="X136" s="1" t="s">
        <v>84</v>
      </c>
      <c r="Y136" s="2">
        <f t="shared" si="57"/>
        <v>0</v>
      </c>
      <c r="Z136" s="2">
        <f t="shared" si="58"/>
        <v>0</v>
      </c>
      <c r="AA136" s="2">
        <f t="shared" si="59"/>
        <v>0</v>
      </c>
      <c r="AB136" s="2">
        <f t="shared" si="60"/>
        <v>0</v>
      </c>
      <c r="AC136" s="2">
        <f t="shared" si="61"/>
        <v>0</v>
      </c>
      <c r="AD136" s="2">
        <f t="shared" si="62"/>
        <v>0</v>
      </c>
      <c r="AE136" s="2">
        <f t="shared" si="63"/>
        <v>0</v>
      </c>
      <c r="AF136" s="2">
        <f t="shared" si="64"/>
        <v>0</v>
      </c>
      <c r="AG136" s="2">
        <f t="shared" si="67"/>
        <v>0</v>
      </c>
    </row>
    <row r="137" spans="2:33" hidden="1" x14ac:dyDescent="0.25">
      <c r="B137" s="1" t="s">
        <v>4</v>
      </c>
      <c r="C137" s="2"/>
      <c r="D137" s="2"/>
      <c r="E137" s="2"/>
      <c r="F137" s="2"/>
      <c r="G137" s="2"/>
      <c r="H137" s="2"/>
      <c r="I137" s="2"/>
      <c r="J137" s="2"/>
      <c r="K137" s="2">
        <f t="shared" si="65"/>
        <v>0</v>
      </c>
      <c r="M137" s="1" t="s">
        <v>4</v>
      </c>
      <c r="N137" s="2"/>
      <c r="O137" s="2"/>
      <c r="P137" s="2"/>
      <c r="Q137" s="2"/>
      <c r="R137" s="2"/>
      <c r="S137" s="2"/>
      <c r="T137" s="2"/>
      <c r="U137" s="2"/>
      <c r="V137" s="2">
        <f t="shared" si="66"/>
        <v>0</v>
      </c>
      <c r="X137" s="1" t="s">
        <v>4</v>
      </c>
      <c r="Y137" s="2">
        <f t="shared" si="57"/>
        <v>0</v>
      </c>
      <c r="Z137" s="2">
        <f t="shared" si="58"/>
        <v>0</v>
      </c>
      <c r="AA137" s="2">
        <f t="shared" si="59"/>
        <v>0</v>
      </c>
      <c r="AB137" s="2">
        <f t="shared" si="60"/>
        <v>0</v>
      </c>
      <c r="AC137" s="2">
        <f t="shared" si="61"/>
        <v>0</v>
      </c>
      <c r="AD137" s="2">
        <f t="shared" si="62"/>
        <v>0</v>
      </c>
      <c r="AE137" s="2">
        <f t="shared" si="63"/>
        <v>0</v>
      </c>
      <c r="AF137" s="2">
        <f t="shared" si="64"/>
        <v>0</v>
      </c>
      <c r="AG137" s="2">
        <f t="shared" si="67"/>
        <v>0</v>
      </c>
    </row>
    <row r="138" spans="2:33" hidden="1" x14ac:dyDescent="0.25">
      <c r="B138" s="1" t="s">
        <v>51</v>
      </c>
      <c r="C138" s="2"/>
      <c r="D138" s="2"/>
      <c r="E138" s="2"/>
      <c r="F138" s="2"/>
      <c r="G138" s="2"/>
      <c r="H138" s="2"/>
      <c r="I138" s="2"/>
      <c r="J138" s="2"/>
      <c r="K138" s="2">
        <f t="shared" si="65"/>
        <v>0</v>
      </c>
      <c r="M138" s="1" t="s">
        <v>51</v>
      </c>
      <c r="N138" s="2"/>
      <c r="O138" s="2"/>
      <c r="P138" s="2"/>
      <c r="Q138" s="2"/>
      <c r="R138" s="2"/>
      <c r="S138" s="2"/>
      <c r="T138" s="2"/>
      <c r="U138" s="2"/>
      <c r="V138" s="2">
        <f t="shared" si="66"/>
        <v>0</v>
      </c>
      <c r="X138" s="1" t="s">
        <v>51</v>
      </c>
      <c r="Y138" s="2">
        <f t="shared" si="57"/>
        <v>0</v>
      </c>
      <c r="Z138" s="2">
        <f t="shared" si="58"/>
        <v>0</v>
      </c>
      <c r="AA138" s="2">
        <f t="shared" si="59"/>
        <v>0</v>
      </c>
      <c r="AB138" s="2">
        <f t="shared" si="60"/>
        <v>0</v>
      </c>
      <c r="AC138" s="2">
        <f t="shared" si="61"/>
        <v>0</v>
      </c>
      <c r="AD138" s="2">
        <f t="shared" si="62"/>
        <v>0</v>
      </c>
      <c r="AE138" s="2">
        <f t="shared" si="63"/>
        <v>0</v>
      </c>
      <c r="AF138" s="2">
        <f t="shared" si="64"/>
        <v>0</v>
      </c>
      <c r="AG138" s="2">
        <f t="shared" si="67"/>
        <v>0</v>
      </c>
    </row>
    <row r="139" spans="2:33" hidden="1" x14ac:dyDescent="0.25">
      <c r="B139" s="1" t="s">
        <v>87</v>
      </c>
      <c r="C139" s="2"/>
      <c r="D139" s="2"/>
      <c r="E139" s="2"/>
      <c r="F139" s="2"/>
      <c r="G139" s="2"/>
      <c r="H139" s="2"/>
      <c r="I139" s="2"/>
      <c r="J139" s="2"/>
      <c r="K139" s="2">
        <f t="shared" si="65"/>
        <v>0</v>
      </c>
      <c r="M139" s="1" t="s">
        <v>87</v>
      </c>
      <c r="N139" s="2"/>
      <c r="O139" s="2"/>
      <c r="P139" s="2"/>
      <c r="Q139" s="2"/>
      <c r="R139" s="2"/>
      <c r="S139" s="2"/>
      <c r="T139" s="2"/>
      <c r="U139" s="2"/>
      <c r="V139" s="2">
        <f t="shared" si="66"/>
        <v>0</v>
      </c>
      <c r="X139" s="1" t="s">
        <v>87</v>
      </c>
      <c r="Y139" s="2">
        <f t="shared" si="57"/>
        <v>0</v>
      </c>
      <c r="Z139" s="2">
        <f t="shared" si="58"/>
        <v>0</v>
      </c>
      <c r="AA139" s="2">
        <f t="shared" si="59"/>
        <v>0</v>
      </c>
      <c r="AB139" s="2">
        <f t="shared" si="60"/>
        <v>0</v>
      </c>
      <c r="AC139" s="2">
        <f t="shared" si="61"/>
        <v>0</v>
      </c>
      <c r="AD139" s="2">
        <f t="shared" si="62"/>
        <v>0</v>
      </c>
      <c r="AE139" s="2">
        <f t="shared" si="63"/>
        <v>0</v>
      </c>
      <c r="AF139" s="2">
        <f t="shared" si="64"/>
        <v>0</v>
      </c>
      <c r="AG139" s="2">
        <f t="shared" si="67"/>
        <v>0</v>
      </c>
    </row>
    <row r="140" spans="2:33" hidden="1" x14ac:dyDescent="0.25">
      <c r="B140" s="1" t="s">
        <v>85</v>
      </c>
      <c r="C140" s="2"/>
      <c r="D140" s="2"/>
      <c r="E140" s="2"/>
      <c r="F140" s="2"/>
      <c r="G140" s="2"/>
      <c r="H140" s="2"/>
      <c r="I140" s="2"/>
      <c r="J140" s="2"/>
      <c r="K140" s="2">
        <f t="shared" si="65"/>
        <v>0</v>
      </c>
      <c r="M140" s="1" t="s">
        <v>85</v>
      </c>
      <c r="N140" s="2"/>
      <c r="O140" s="2"/>
      <c r="P140" s="2"/>
      <c r="Q140" s="2"/>
      <c r="R140" s="2"/>
      <c r="S140" s="2"/>
      <c r="T140" s="2"/>
      <c r="U140" s="2"/>
      <c r="V140" s="2">
        <f t="shared" si="66"/>
        <v>0</v>
      </c>
      <c r="X140" s="1" t="s">
        <v>85</v>
      </c>
      <c r="Y140" s="2">
        <f t="shared" si="57"/>
        <v>0</v>
      </c>
      <c r="Z140" s="2">
        <f t="shared" si="58"/>
        <v>0</v>
      </c>
      <c r="AA140" s="2">
        <f t="shared" si="59"/>
        <v>0</v>
      </c>
      <c r="AB140" s="2">
        <f t="shared" si="60"/>
        <v>0</v>
      </c>
      <c r="AC140" s="2">
        <f t="shared" si="61"/>
        <v>0</v>
      </c>
      <c r="AD140" s="2">
        <f t="shared" si="62"/>
        <v>0</v>
      </c>
      <c r="AE140" s="2">
        <f t="shared" si="63"/>
        <v>0</v>
      </c>
      <c r="AF140" s="2">
        <f t="shared" si="64"/>
        <v>0</v>
      </c>
      <c r="AG140" s="2">
        <f t="shared" si="67"/>
        <v>0</v>
      </c>
    </row>
    <row r="141" spans="2:33" hidden="1" x14ac:dyDescent="0.25">
      <c r="B141" s="1" t="s">
        <v>2</v>
      </c>
      <c r="C141" s="2"/>
      <c r="D141" s="2"/>
      <c r="E141" s="2"/>
      <c r="F141" s="2"/>
      <c r="G141" s="2"/>
      <c r="H141" s="2"/>
      <c r="I141" s="2"/>
      <c r="J141" s="2"/>
      <c r="K141" s="2">
        <f t="shared" si="65"/>
        <v>0</v>
      </c>
      <c r="M141" s="1" t="s">
        <v>2</v>
      </c>
      <c r="N141" s="2"/>
      <c r="O141" s="2"/>
      <c r="P141" s="2"/>
      <c r="Q141" s="2"/>
      <c r="R141" s="2"/>
      <c r="S141" s="2"/>
      <c r="T141" s="2"/>
      <c r="U141" s="2"/>
      <c r="V141" s="2">
        <f t="shared" si="66"/>
        <v>0</v>
      </c>
      <c r="X141" s="1" t="s">
        <v>2</v>
      </c>
      <c r="Y141" s="2">
        <f t="shared" si="57"/>
        <v>0</v>
      </c>
      <c r="Z141" s="2">
        <f t="shared" si="58"/>
        <v>0</v>
      </c>
      <c r="AA141" s="2">
        <f t="shared" si="59"/>
        <v>0</v>
      </c>
      <c r="AB141" s="2">
        <f t="shared" si="60"/>
        <v>0</v>
      </c>
      <c r="AC141" s="2">
        <f t="shared" si="61"/>
        <v>0</v>
      </c>
      <c r="AD141" s="2">
        <f t="shared" si="62"/>
        <v>0</v>
      </c>
      <c r="AE141" s="2">
        <f t="shared" si="63"/>
        <v>0</v>
      </c>
      <c r="AF141" s="2">
        <f t="shared" si="64"/>
        <v>0</v>
      </c>
      <c r="AG141" s="2">
        <f t="shared" si="67"/>
        <v>0</v>
      </c>
    </row>
    <row r="142" spans="2:33" hidden="1" x14ac:dyDescent="0.25">
      <c r="B142" s="1" t="s">
        <v>86</v>
      </c>
      <c r="C142" s="2"/>
      <c r="D142" s="2"/>
      <c r="E142" s="2"/>
      <c r="F142" s="2"/>
      <c r="G142" s="2"/>
      <c r="H142" s="2"/>
      <c r="I142" s="2"/>
      <c r="J142" s="2"/>
      <c r="K142" s="2">
        <f t="shared" si="65"/>
        <v>0</v>
      </c>
      <c r="M142" s="1" t="s">
        <v>86</v>
      </c>
      <c r="N142" s="2"/>
      <c r="O142" s="2"/>
      <c r="P142" s="2"/>
      <c r="Q142" s="2"/>
      <c r="R142" s="2"/>
      <c r="S142" s="2"/>
      <c r="T142" s="2"/>
      <c r="U142" s="2"/>
      <c r="V142" s="2">
        <f t="shared" si="66"/>
        <v>0</v>
      </c>
      <c r="X142" s="1" t="s">
        <v>86</v>
      </c>
      <c r="Y142" s="2">
        <f t="shared" si="57"/>
        <v>0</v>
      </c>
      <c r="Z142" s="2">
        <f t="shared" si="58"/>
        <v>0</v>
      </c>
      <c r="AA142" s="2">
        <f t="shared" si="59"/>
        <v>0</v>
      </c>
      <c r="AB142" s="2">
        <f t="shared" si="60"/>
        <v>0</v>
      </c>
      <c r="AC142" s="2">
        <f t="shared" si="61"/>
        <v>0</v>
      </c>
      <c r="AD142" s="2">
        <f t="shared" si="62"/>
        <v>0</v>
      </c>
      <c r="AE142" s="2">
        <f t="shared" si="63"/>
        <v>0</v>
      </c>
      <c r="AF142" s="2">
        <f t="shared" si="64"/>
        <v>0</v>
      </c>
      <c r="AG142" s="2">
        <f t="shared" si="67"/>
        <v>0</v>
      </c>
    </row>
    <row r="143" spans="2:33" hidden="1" x14ac:dyDescent="0.25">
      <c r="B143" s="1" t="s">
        <v>29</v>
      </c>
      <c r="C143" s="2"/>
      <c r="D143" s="2"/>
      <c r="E143" s="2"/>
      <c r="F143" s="2"/>
      <c r="G143" s="2"/>
      <c r="H143" s="2"/>
      <c r="I143" s="2"/>
      <c r="J143" s="2"/>
      <c r="K143" s="2">
        <f t="shared" si="65"/>
        <v>0</v>
      </c>
      <c r="M143" s="1" t="s">
        <v>29</v>
      </c>
      <c r="N143" s="2"/>
      <c r="O143" s="2"/>
      <c r="P143" s="2"/>
      <c r="Q143" s="2"/>
      <c r="R143" s="2"/>
      <c r="S143" s="2"/>
      <c r="T143" s="2"/>
      <c r="U143" s="2"/>
      <c r="V143" s="2">
        <f t="shared" si="66"/>
        <v>0</v>
      </c>
      <c r="X143" s="1" t="s">
        <v>29</v>
      </c>
      <c r="Y143" s="2">
        <f t="shared" si="57"/>
        <v>0</v>
      </c>
      <c r="Z143" s="2">
        <f t="shared" si="58"/>
        <v>0</v>
      </c>
      <c r="AA143" s="2">
        <f t="shared" si="59"/>
        <v>0</v>
      </c>
      <c r="AB143" s="2">
        <f t="shared" si="60"/>
        <v>0</v>
      </c>
      <c r="AC143" s="2">
        <f t="shared" si="61"/>
        <v>0</v>
      </c>
      <c r="AD143" s="2">
        <f t="shared" si="62"/>
        <v>0</v>
      </c>
      <c r="AE143" s="2">
        <f t="shared" si="63"/>
        <v>0</v>
      </c>
      <c r="AF143" s="2">
        <f t="shared" si="64"/>
        <v>0</v>
      </c>
      <c r="AG143" s="2">
        <f t="shared" si="67"/>
        <v>0</v>
      </c>
    </row>
    <row r="144" spans="2:33" hidden="1" x14ac:dyDescent="0.25">
      <c r="B144" s="1" t="s">
        <v>88</v>
      </c>
      <c r="C144" s="2"/>
      <c r="D144" s="2"/>
      <c r="E144" s="2"/>
      <c r="F144" s="2"/>
      <c r="G144" s="2"/>
      <c r="H144" s="2"/>
      <c r="I144" s="2"/>
      <c r="J144" s="2"/>
      <c r="K144" s="2">
        <f t="shared" si="65"/>
        <v>0</v>
      </c>
      <c r="M144" s="1" t="s">
        <v>88</v>
      </c>
      <c r="N144" s="2"/>
      <c r="O144" s="2"/>
      <c r="P144" s="2"/>
      <c r="Q144" s="2"/>
      <c r="R144" s="2"/>
      <c r="S144" s="2"/>
      <c r="T144" s="2"/>
      <c r="U144" s="2"/>
      <c r="V144" s="2">
        <f t="shared" si="66"/>
        <v>0</v>
      </c>
      <c r="X144" s="1" t="s">
        <v>52</v>
      </c>
      <c r="Y144" s="2">
        <f t="shared" si="57"/>
        <v>0</v>
      </c>
      <c r="Z144" s="2">
        <f t="shared" si="58"/>
        <v>0</v>
      </c>
      <c r="AA144" s="2">
        <f t="shared" si="59"/>
        <v>0</v>
      </c>
      <c r="AB144" s="2">
        <f t="shared" si="60"/>
        <v>0</v>
      </c>
      <c r="AC144" s="2">
        <f t="shared" si="61"/>
        <v>0</v>
      </c>
      <c r="AD144" s="2">
        <f t="shared" si="62"/>
        <v>0</v>
      </c>
      <c r="AE144" s="2">
        <f t="shared" si="63"/>
        <v>0</v>
      </c>
      <c r="AF144" s="2">
        <f t="shared" si="64"/>
        <v>0</v>
      </c>
      <c r="AG144" s="2">
        <f t="shared" si="67"/>
        <v>0</v>
      </c>
    </row>
    <row r="145" spans="2:33" hidden="1" x14ac:dyDescent="0.25">
      <c r="B145" s="1" t="s">
        <v>1098</v>
      </c>
      <c r="C145" s="2"/>
      <c r="D145" s="2"/>
      <c r="E145" s="2"/>
      <c r="F145" s="2"/>
      <c r="G145" s="2"/>
      <c r="H145" s="2"/>
      <c r="I145" s="2"/>
      <c r="J145" s="2"/>
      <c r="K145" s="2">
        <f t="shared" si="65"/>
        <v>0</v>
      </c>
      <c r="M145" s="1" t="s">
        <v>1098</v>
      </c>
      <c r="N145" s="2"/>
      <c r="O145" s="2"/>
      <c r="P145" s="2"/>
      <c r="Q145" s="2"/>
      <c r="R145" s="2"/>
      <c r="S145" s="2"/>
      <c r="T145" s="2"/>
      <c r="U145" s="2"/>
      <c r="V145" s="2">
        <f t="shared" si="66"/>
        <v>0</v>
      </c>
      <c r="X145" s="1" t="s">
        <v>88</v>
      </c>
      <c r="Y145" s="2">
        <f t="shared" si="57"/>
        <v>0</v>
      </c>
      <c r="Z145" s="2">
        <f t="shared" si="58"/>
        <v>0</v>
      </c>
      <c r="AA145" s="2">
        <f t="shared" si="59"/>
        <v>0</v>
      </c>
      <c r="AB145" s="2">
        <f t="shared" si="60"/>
        <v>0</v>
      </c>
      <c r="AC145" s="2">
        <f t="shared" si="61"/>
        <v>0</v>
      </c>
      <c r="AD145" s="2">
        <f t="shared" si="62"/>
        <v>0</v>
      </c>
      <c r="AE145" s="2">
        <f t="shared" si="63"/>
        <v>0</v>
      </c>
      <c r="AF145" s="2">
        <f t="shared" si="64"/>
        <v>0</v>
      </c>
      <c r="AG145" s="2">
        <f t="shared" si="67"/>
        <v>0</v>
      </c>
    </row>
    <row r="146" spans="2:33" hidden="1" x14ac:dyDescent="0.25">
      <c r="B146" s="1" t="s">
        <v>1099</v>
      </c>
      <c r="C146" s="2"/>
      <c r="D146" s="2"/>
      <c r="E146" s="2"/>
      <c r="F146" s="2"/>
      <c r="G146" s="2"/>
      <c r="H146" s="2"/>
      <c r="I146" s="2"/>
      <c r="J146" s="2"/>
      <c r="K146" s="2">
        <f t="shared" si="65"/>
        <v>0</v>
      </c>
      <c r="M146" s="1" t="s">
        <v>1099</v>
      </c>
      <c r="N146" s="2"/>
      <c r="O146" s="2"/>
      <c r="P146" s="2"/>
      <c r="Q146" s="2"/>
      <c r="R146" s="2"/>
      <c r="S146" s="2"/>
      <c r="T146" s="2"/>
      <c r="U146" s="2"/>
      <c r="V146" s="2">
        <f t="shared" si="66"/>
        <v>0</v>
      </c>
      <c r="X146" s="1" t="s">
        <v>1</v>
      </c>
      <c r="Y146" s="2">
        <f t="shared" si="57"/>
        <v>0</v>
      </c>
      <c r="Z146" s="2">
        <f t="shared" si="58"/>
        <v>0</v>
      </c>
      <c r="AA146" s="2">
        <f t="shared" si="59"/>
        <v>0</v>
      </c>
      <c r="AB146" s="2">
        <f t="shared" si="60"/>
        <v>0</v>
      </c>
      <c r="AC146" s="2">
        <f t="shared" si="61"/>
        <v>0</v>
      </c>
      <c r="AD146" s="2">
        <f t="shared" si="62"/>
        <v>0</v>
      </c>
      <c r="AE146" s="2">
        <f t="shared" si="63"/>
        <v>0</v>
      </c>
      <c r="AF146" s="2">
        <f t="shared" si="64"/>
        <v>0</v>
      </c>
      <c r="AG146" s="2">
        <f t="shared" si="67"/>
        <v>0</v>
      </c>
    </row>
    <row r="147" spans="2:33" ht="15.75" hidden="1" thickBot="1" x14ac:dyDescent="0.3">
      <c r="C147" s="70">
        <f>SUM(C127:C146)</f>
        <v>0</v>
      </c>
      <c r="D147" s="70">
        <f t="shared" ref="D147:J147" si="68">SUM(D127:D146)</f>
        <v>0</v>
      </c>
      <c r="E147" s="70">
        <f t="shared" si="68"/>
        <v>0</v>
      </c>
      <c r="F147" s="70">
        <f t="shared" si="68"/>
        <v>0</v>
      </c>
      <c r="G147" s="70">
        <f t="shared" si="68"/>
        <v>0</v>
      </c>
      <c r="H147" s="70">
        <f t="shared" si="68"/>
        <v>0</v>
      </c>
      <c r="I147" s="70">
        <f t="shared" si="68"/>
        <v>0</v>
      </c>
      <c r="J147" s="70">
        <f t="shared" si="68"/>
        <v>0</v>
      </c>
      <c r="K147" s="70">
        <f>SUM(K127:K146)</f>
        <v>0</v>
      </c>
      <c r="N147" s="70">
        <f>SUM(N127:N146)</f>
        <v>0</v>
      </c>
      <c r="O147" s="70">
        <f t="shared" ref="O147:U147" si="69">SUM(O127:O146)</f>
        <v>0</v>
      </c>
      <c r="P147" s="70">
        <f t="shared" si="69"/>
        <v>0</v>
      </c>
      <c r="Q147" s="70">
        <f t="shared" si="69"/>
        <v>0</v>
      </c>
      <c r="R147" s="70">
        <f t="shared" si="69"/>
        <v>0</v>
      </c>
      <c r="S147" s="70">
        <f t="shared" si="69"/>
        <v>0</v>
      </c>
      <c r="T147" s="70">
        <f t="shared" si="69"/>
        <v>0</v>
      </c>
      <c r="U147" s="70">
        <f t="shared" si="69"/>
        <v>0</v>
      </c>
      <c r="V147" s="70">
        <f>SUM(V127:V146)</f>
        <v>0</v>
      </c>
      <c r="Y147" s="70">
        <f>SUM(Y127:Y146)</f>
        <v>0</v>
      </c>
      <c r="Z147" s="70">
        <f t="shared" ref="Z147:AF147" si="70">SUM(Z127:Z146)</f>
        <v>0</v>
      </c>
      <c r="AA147" s="70">
        <f t="shared" si="70"/>
        <v>0</v>
      </c>
      <c r="AB147" s="70">
        <f t="shared" si="70"/>
        <v>0</v>
      </c>
      <c r="AC147" s="70">
        <f t="shared" si="70"/>
        <v>0</v>
      </c>
      <c r="AD147" s="70">
        <f t="shared" si="70"/>
        <v>0</v>
      </c>
      <c r="AE147" s="70">
        <f t="shared" si="70"/>
        <v>0</v>
      </c>
      <c r="AF147" s="70">
        <f t="shared" si="70"/>
        <v>0</v>
      </c>
      <c r="AG147" s="70">
        <f>SUM(AG127:AG146)</f>
        <v>0</v>
      </c>
    </row>
    <row r="148" spans="2:33" hidden="1" x14ac:dyDescent="0.25"/>
    <row r="149" spans="2:33" hidden="1" x14ac:dyDescent="0.25"/>
    <row r="150" spans="2:33" hidden="1" x14ac:dyDescent="0.25">
      <c r="B150" s="72" t="s">
        <v>96</v>
      </c>
      <c r="C150" s="187">
        <f>$C$20</f>
        <v>45199</v>
      </c>
      <c r="D150" s="175"/>
      <c r="E150" s="175"/>
      <c r="F150" s="175"/>
      <c r="G150" s="175"/>
      <c r="H150" s="175"/>
      <c r="I150" s="175"/>
      <c r="J150" s="175"/>
      <c r="K150" s="175"/>
      <c r="M150" s="72" t="s">
        <v>96</v>
      </c>
      <c r="N150" s="193">
        <f>$N$20</f>
        <v>45169</v>
      </c>
      <c r="O150" s="194"/>
      <c r="P150" s="194"/>
      <c r="Q150" s="194"/>
      <c r="R150" s="194"/>
      <c r="S150" s="194"/>
      <c r="T150" s="194"/>
      <c r="U150" s="194"/>
      <c r="V150" s="194"/>
      <c r="Y150" s="175" t="s">
        <v>97</v>
      </c>
      <c r="Z150" s="175"/>
      <c r="AA150" s="175"/>
      <c r="AB150" s="175"/>
      <c r="AC150" s="175"/>
      <c r="AD150" s="175"/>
      <c r="AE150" s="175"/>
      <c r="AF150" s="175"/>
      <c r="AG150" s="175"/>
    </row>
    <row r="151" spans="2:33" hidden="1" x14ac:dyDescent="0.25">
      <c r="B151" s="72" t="s">
        <v>95</v>
      </c>
      <c r="C151" s="175" t="str">
        <f>'Reimbursement Rates &lt;-INPUT'!G7</f>
        <v>Clinic 6</v>
      </c>
      <c r="D151" s="175"/>
      <c r="E151" s="175"/>
      <c r="F151" s="175"/>
      <c r="G151" s="175"/>
      <c r="H151" s="175"/>
      <c r="I151" s="175"/>
      <c r="J151" s="175"/>
      <c r="K151" s="175"/>
      <c r="M151" s="72" t="s">
        <v>95</v>
      </c>
      <c r="N151" s="175" t="str">
        <f>C151</f>
        <v>Clinic 6</v>
      </c>
      <c r="O151" s="175"/>
      <c r="P151" s="175"/>
      <c r="Q151" s="175"/>
      <c r="R151" s="175"/>
      <c r="S151" s="175"/>
      <c r="T151" s="175"/>
      <c r="U151" s="175"/>
      <c r="V151" s="175"/>
      <c r="X151" s="71" t="s">
        <v>95</v>
      </c>
      <c r="Y151" s="175" t="str">
        <f>C151</f>
        <v>Clinic 6</v>
      </c>
      <c r="Z151" s="175"/>
      <c r="AA151" s="175"/>
      <c r="AB151" s="175"/>
      <c r="AC151" s="175"/>
      <c r="AD151" s="175"/>
      <c r="AE151" s="175"/>
      <c r="AF151" s="175"/>
      <c r="AG151" s="175"/>
    </row>
    <row r="152" spans="2:33" hidden="1" x14ac:dyDescent="0.25">
      <c r="B152" s="4" t="s">
        <v>16</v>
      </c>
      <c r="C152" s="5" t="s">
        <v>15</v>
      </c>
      <c r="D152" s="5" t="s">
        <v>14</v>
      </c>
      <c r="E152" s="5" t="s">
        <v>13</v>
      </c>
      <c r="F152" s="5" t="s">
        <v>12</v>
      </c>
      <c r="G152" s="5" t="s">
        <v>93</v>
      </c>
      <c r="H152" s="5" t="s">
        <v>94</v>
      </c>
      <c r="I152" s="5" t="s">
        <v>38</v>
      </c>
      <c r="J152" s="5" t="s">
        <v>9</v>
      </c>
      <c r="K152" s="5" t="s">
        <v>80</v>
      </c>
      <c r="M152" s="4" t="s">
        <v>16</v>
      </c>
      <c r="N152" s="5" t="s">
        <v>15</v>
      </c>
      <c r="O152" s="5" t="s">
        <v>14</v>
      </c>
      <c r="P152" s="5" t="s">
        <v>13</v>
      </c>
      <c r="Q152" s="5" t="s">
        <v>12</v>
      </c>
      <c r="R152" s="5" t="s">
        <v>93</v>
      </c>
      <c r="S152" s="5" t="s">
        <v>94</v>
      </c>
      <c r="T152" s="5" t="s">
        <v>38</v>
      </c>
      <c r="U152" s="5" t="s">
        <v>9</v>
      </c>
      <c r="V152" s="5" t="s">
        <v>80</v>
      </c>
      <c r="X152" s="4" t="s">
        <v>16</v>
      </c>
      <c r="Y152" s="5" t="s">
        <v>15</v>
      </c>
      <c r="Z152" s="5" t="s">
        <v>14</v>
      </c>
      <c r="AA152" s="5" t="s">
        <v>13</v>
      </c>
      <c r="AB152" s="5" t="s">
        <v>12</v>
      </c>
      <c r="AC152" s="5" t="s">
        <v>93</v>
      </c>
      <c r="AD152" s="5" t="s">
        <v>94</v>
      </c>
      <c r="AE152" s="5" t="s">
        <v>38</v>
      </c>
      <c r="AF152" s="5" t="s">
        <v>9</v>
      </c>
      <c r="AG152" s="5" t="s">
        <v>80</v>
      </c>
    </row>
    <row r="153" spans="2:33" hidden="1" x14ac:dyDescent="0.25">
      <c r="B153" s="1" t="s">
        <v>1094</v>
      </c>
      <c r="C153" s="2"/>
      <c r="D153" s="2"/>
      <c r="E153" s="2"/>
      <c r="F153" s="2"/>
      <c r="G153" s="2"/>
      <c r="H153" s="2"/>
      <c r="I153" s="2"/>
      <c r="J153" s="2"/>
      <c r="K153" s="2">
        <f>SUM(C153:J153)</f>
        <v>0</v>
      </c>
      <c r="M153" s="1" t="s">
        <v>1094</v>
      </c>
      <c r="N153" s="2"/>
      <c r="O153" s="2"/>
      <c r="P153" s="2"/>
      <c r="Q153" s="2"/>
      <c r="R153" s="2"/>
      <c r="S153" s="2"/>
      <c r="T153" s="2"/>
      <c r="U153" s="2"/>
      <c r="V153" s="2">
        <f>SUM(N153:U153)</f>
        <v>0</v>
      </c>
      <c r="X153" s="1" t="s">
        <v>49</v>
      </c>
      <c r="Y153" s="2">
        <f t="shared" ref="Y153:Y172" si="71">C153-N153</f>
        <v>0</v>
      </c>
      <c r="Z153" s="2">
        <f t="shared" ref="Z153:Z172" si="72">D153-O153</f>
        <v>0</v>
      </c>
      <c r="AA153" s="2">
        <f t="shared" ref="AA153:AA172" si="73">E153-P153</f>
        <v>0</v>
      </c>
      <c r="AB153" s="2">
        <f t="shared" ref="AB153:AB172" si="74">F153-Q153</f>
        <v>0</v>
      </c>
      <c r="AC153" s="2">
        <f t="shared" ref="AC153:AC172" si="75">G153-R153</f>
        <v>0</v>
      </c>
      <c r="AD153" s="2">
        <f t="shared" ref="AD153:AD172" si="76">H153-S153</f>
        <v>0</v>
      </c>
      <c r="AE153" s="2">
        <f t="shared" ref="AE153:AE172" si="77">I153-T153</f>
        <v>0</v>
      </c>
      <c r="AF153" s="2">
        <f t="shared" ref="AF153:AF172" si="78">J153-U153</f>
        <v>0</v>
      </c>
      <c r="AG153" s="2">
        <f>SUM(Y153:AF153)</f>
        <v>0</v>
      </c>
    </row>
    <row r="154" spans="2:33" hidden="1" x14ac:dyDescent="0.25">
      <c r="B154" s="1" t="s">
        <v>8</v>
      </c>
      <c r="C154" s="2"/>
      <c r="D154" s="2"/>
      <c r="E154" s="2"/>
      <c r="F154" s="2"/>
      <c r="G154" s="2"/>
      <c r="H154" s="2"/>
      <c r="I154" s="2"/>
      <c r="J154" s="2"/>
      <c r="K154" s="2">
        <f t="shared" ref="K154:K172" si="79">SUM(C154:J154)</f>
        <v>0</v>
      </c>
      <c r="M154" s="1" t="s">
        <v>8</v>
      </c>
      <c r="N154" s="2"/>
      <c r="O154" s="2"/>
      <c r="P154" s="2"/>
      <c r="Q154" s="2"/>
      <c r="R154" s="2"/>
      <c r="S154" s="2"/>
      <c r="T154" s="2"/>
      <c r="U154" s="2"/>
      <c r="V154" s="2">
        <f t="shared" ref="V154:V172" si="80">SUM(N154:U154)</f>
        <v>0</v>
      </c>
      <c r="X154" s="1" t="s">
        <v>8</v>
      </c>
      <c r="Y154" s="2">
        <f t="shared" si="71"/>
        <v>0</v>
      </c>
      <c r="Z154" s="2">
        <f t="shared" si="72"/>
        <v>0</v>
      </c>
      <c r="AA154" s="2">
        <f t="shared" si="73"/>
        <v>0</v>
      </c>
      <c r="AB154" s="2">
        <f t="shared" si="74"/>
        <v>0</v>
      </c>
      <c r="AC154" s="2">
        <f t="shared" si="75"/>
        <v>0</v>
      </c>
      <c r="AD154" s="2">
        <f t="shared" si="76"/>
        <v>0</v>
      </c>
      <c r="AE154" s="2">
        <f t="shared" si="77"/>
        <v>0</v>
      </c>
      <c r="AF154" s="2">
        <f t="shared" si="78"/>
        <v>0</v>
      </c>
      <c r="AG154" s="2">
        <f t="shared" ref="AG154:AG172" si="81">SUM(Y154:AF154)</f>
        <v>0</v>
      </c>
    </row>
    <row r="155" spans="2:33" hidden="1" x14ac:dyDescent="0.25">
      <c r="B155" s="1" t="s">
        <v>1095</v>
      </c>
      <c r="C155" s="2"/>
      <c r="D155" s="2"/>
      <c r="E155" s="2"/>
      <c r="F155" s="2"/>
      <c r="G155" s="2"/>
      <c r="H155" s="2"/>
      <c r="I155" s="2"/>
      <c r="J155" s="2"/>
      <c r="K155" s="2">
        <f t="shared" si="79"/>
        <v>0</v>
      </c>
      <c r="M155" s="1" t="s">
        <v>1095</v>
      </c>
      <c r="N155" s="2"/>
      <c r="O155" s="2"/>
      <c r="P155" s="2"/>
      <c r="Q155" s="2"/>
      <c r="R155" s="2"/>
      <c r="S155" s="2"/>
      <c r="T155" s="2"/>
      <c r="U155" s="2"/>
      <c r="V155" s="2">
        <f t="shared" si="80"/>
        <v>0</v>
      </c>
      <c r="X155" s="1" t="s">
        <v>7</v>
      </c>
      <c r="Y155" s="2">
        <f t="shared" si="71"/>
        <v>0</v>
      </c>
      <c r="Z155" s="2">
        <f t="shared" si="72"/>
        <v>0</v>
      </c>
      <c r="AA155" s="2">
        <f t="shared" si="73"/>
        <v>0</v>
      </c>
      <c r="AB155" s="2">
        <f t="shared" si="74"/>
        <v>0</v>
      </c>
      <c r="AC155" s="2">
        <f t="shared" si="75"/>
        <v>0</v>
      </c>
      <c r="AD155" s="2">
        <f t="shared" si="76"/>
        <v>0</v>
      </c>
      <c r="AE155" s="2">
        <f t="shared" si="77"/>
        <v>0</v>
      </c>
      <c r="AF155" s="2">
        <f t="shared" si="78"/>
        <v>0</v>
      </c>
      <c r="AG155" s="2">
        <f t="shared" si="81"/>
        <v>0</v>
      </c>
    </row>
    <row r="156" spans="2:33" hidden="1" x14ac:dyDescent="0.25">
      <c r="B156" s="1" t="s">
        <v>42</v>
      </c>
      <c r="C156" s="2"/>
      <c r="D156" s="2"/>
      <c r="E156" s="2"/>
      <c r="F156" s="2"/>
      <c r="G156" s="2"/>
      <c r="H156" s="2"/>
      <c r="I156" s="2"/>
      <c r="J156" s="2"/>
      <c r="K156" s="2">
        <f t="shared" si="79"/>
        <v>0</v>
      </c>
      <c r="M156" s="1" t="s">
        <v>42</v>
      </c>
      <c r="N156" s="2"/>
      <c r="O156" s="2"/>
      <c r="P156" s="2"/>
      <c r="Q156" s="2"/>
      <c r="R156" s="2"/>
      <c r="S156" s="2"/>
      <c r="T156" s="2"/>
      <c r="U156" s="2"/>
      <c r="V156" s="2">
        <f t="shared" si="80"/>
        <v>0</v>
      </c>
      <c r="X156" s="1" t="s">
        <v>42</v>
      </c>
      <c r="Y156" s="2">
        <f t="shared" si="71"/>
        <v>0</v>
      </c>
      <c r="Z156" s="2">
        <f t="shared" si="72"/>
        <v>0</v>
      </c>
      <c r="AA156" s="2">
        <f t="shared" si="73"/>
        <v>0</v>
      </c>
      <c r="AB156" s="2">
        <f t="shared" si="74"/>
        <v>0</v>
      </c>
      <c r="AC156" s="2">
        <f t="shared" si="75"/>
        <v>0</v>
      </c>
      <c r="AD156" s="2">
        <f t="shared" si="76"/>
        <v>0</v>
      </c>
      <c r="AE156" s="2">
        <f t="shared" si="77"/>
        <v>0</v>
      </c>
      <c r="AF156" s="2">
        <f t="shared" si="78"/>
        <v>0</v>
      </c>
      <c r="AG156" s="2">
        <f t="shared" si="81"/>
        <v>0</v>
      </c>
    </row>
    <row r="157" spans="2:33" hidden="1" x14ac:dyDescent="0.25">
      <c r="B157" s="1" t="s">
        <v>6</v>
      </c>
      <c r="C157" s="2"/>
      <c r="D157" s="2"/>
      <c r="E157" s="2"/>
      <c r="F157" s="2"/>
      <c r="G157" s="2"/>
      <c r="H157" s="2"/>
      <c r="I157" s="2"/>
      <c r="J157" s="2"/>
      <c r="K157" s="2">
        <f t="shared" si="79"/>
        <v>0</v>
      </c>
      <c r="M157" s="1" t="s">
        <v>6</v>
      </c>
      <c r="N157" s="2"/>
      <c r="O157" s="2"/>
      <c r="P157" s="2"/>
      <c r="Q157" s="2"/>
      <c r="R157" s="2"/>
      <c r="S157" s="2"/>
      <c r="T157" s="2"/>
      <c r="U157" s="2"/>
      <c r="V157" s="2">
        <f t="shared" si="80"/>
        <v>0</v>
      </c>
      <c r="X157" s="1" t="s">
        <v>6</v>
      </c>
      <c r="Y157" s="2">
        <f t="shared" si="71"/>
        <v>0</v>
      </c>
      <c r="Z157" s="2">
        <f t="shared" si="72"/>
        <v>0</v>
      </c>
      <c r="AA157" s="2">
        <f t="shared" si="73"/>
        <v>0</v>
      </c>
      <c r="AB157" s="2">
        <f t="shared" si="74"/>
        <v>0</v>
      </c>
      <c r="AC157" s="2">
        <f t="shared" si="75"/>
        <v>0</v>
      </c>
      <c r="AD157" s="2">
        <f t="shared" si="76"/>
        <v>0</v>
      </c>
      <c r="AE157" s="2">
        <f t="shared" si="77"/>
        <v>0</v>
      </c>
      <c r="AF157" s="2">
        <f t="shared" si="78"/>
        <v>0</v>
      </c>
      <c r="AG157" s="2">
        <f t="shared" si="81"/>
        <v>0</v>
      </c>
    </row>
    <row r="158" spans="2:33" hidden="1" x14ac:dyDescent="0.25">
      <c r="B158" s="1" t="s">
        <v>90</v>
      </c>
      <c r="C158" s="2"/>
      <c r="D158" s="2"/>
      <c r="E158" s="2"/>
      <c r="F158" s="2"/>
      <c r="G158" s="2"/>
      <c r="H158" s="2"/>
      <c r="I158" s="2"/>
      <c r="J158" s="2"/>
      <c r="K158" s="2">
        <f t="shared" si="79"/>
        <v>0</v>
      </c>
      <c r="M158" s="1" t="s">
        <v>90</v>
      </c>
      <c r="N158" s="2"/>
      <c r="O158" s="2"/>
      <c r="P158" s="2"/>
      <c r="Q158" s="2"/>
      <c r="R158" s="2"/>
      <c r="S158" s="2"/>
      <c r="T158" s="2"/>
      <c r="U158" s="2"/>
      <c r="V158" s="2">
        <f t="shared" si="80"/>
        <v>0</v>
      </c>
      <c r="X158" s="1" t="s">
        <v>90</v>
      </c>
      <c r="Y158" s="2">
        <f t="shared" si="71"/>
        <v>0</v>
      </c>
      <c r="Z158" s="2">
        <f t="shared" si="72"/>
        <v>0</v>
      </c>
      <c r="AA158" s="2">
        <f t="shared" si="73"/>
        <v>0</v>
      </c>
      <c r="AB158" s="2">
        <f t="shared" si="74"/>
        <v>0</v>
      </c>
      <c r="AC158" s="2">
        <f t="shared" si="75"/>
        <v>0</v>
      </c>
      <c r="AD158" s="2">
        <f t="shared" si="76"/>
        <v>0</v>
      </c>
      <c r="AE158" s="2">
        <f t="shared" si="77"/>
        <v>0</v>
      </c>
      <c r="AF158" s="2">
        <f t="shared" si="78"/>
        <v>0</v>
      </c>
      <c r="AG158" s="2">
        <f t="shared" si="81"/>
        <v>0</v>
      </c>
    </row>
    <row r="159" spans="2:33" hidden="1" x14ac:dyDescent="0.25">
      <c r="B159" s="1" t="s">
        <v>1100</v>
      </c>
      <c r="C159" s="2"/>
      <c r="D159" s="2"/>
      <c r="E159" s="2"/>
      <c r="F159" s="2"/>
      <c r="G159" s="2"/>
      <c r="H159" s="2"/>
      <c r="I159" s="2"/>
      <c r="J159" s="2"/>
      <c r="K159" s="2">
        <f t="shared" si="79"/>
        <v>0</v>
      </c>
      <c r="M159" s="1" t="s">
        <v>1100</v>
      </c>
      <c r="N159" s="2"/>
      <c r="O159" s="2"/>
      <c r="P159" s="2"/>
      <c r="Q159" s="2"/>
      <c r="R159" s="2"/>
      <c r="S159" s="2"/>
      <c r="T159" s="2"/>
      <c r="U159" s="2"/>
      <c r="V159" s="2">
        <f t="shared" si="80"/>
        <v>0</v>
      </c>
      <c r="X159" s="1" t="s">
        <v>50</v>
      </c>
      <c r="Y159" s="2">
        <f t="shared" si="71"/>
        <v>0</v>
      </c>
      <c r="Z159" s="2">
        <f t="shared" si="72"/>
        <v>0</v>
      </c>
      <c r="AA159" s="2">
        <f t="shared" si="73"/>
        <v>0</v>
      </c>
      <c r="AB159" s="2">
        <f t="shared" si="74"/>
        <v>0</v>
      </c>
      <c r="AC159" s="2">
        <f t="shared" si="75"/>
        <v>0</v>
      </c>
      <c r="AD159" s="2">
        <f t="shared" si="76"/>
        <v>0</v>
      </c>
      <c r="AE159" s="2">
        <f t="shared" si="77"/>
        <v>0</v>
      </c>
      <c r="AF159" s="2">
        <f t="shared" si="78"/>
        <v>0</v>
      </c>
      <c r="AG159" s="2">
        <f t="shared" si="81"/>
        <v>0</v>
      </c>
    </row>
    <row r="160" spans="2:33" hidden="1" x14ac:dyDescent="0.25">
      <c r="B160" s="1" t="s">
        <v>89</v>
      </c>
      <c r="C160" s="2"/>
      <c r="D160" s="2"/>
      <c r="E160" s="2"/>
      <c r="F160" s="2"/>
      <c r="G160" s="2"/>
      <c r="H160" s="2"/>
      <c r="I160" s="2"/>
      <c r="J160" s="2"/>
      <c r="K160" s="2">
        <f t="shared" si="79"/>
        <v>0</v>
      </c>
      <c r="M160" s="1" t="s">
        <v>89</v>
      </c>
      <c r="N160" s="2"/>
      <c r="O160" s="2"/>
      <c r="P160" s="2"/>
      <c r="Q160" s="2"/>
      <c r="R160" s="2"/>
      <c r="S160" s="2"/>
      <c r="T160" s="2"/>
      <c r="U160" s="2"/>
      <c r="V160" s="2">
        <f t="shared" si="80"/>
        <v>0</v>
      </c>
      <c r="X160" s="1" t="s">
        <v>89</v>
      </c>
      <c r="Y160" s="2">
        <f t="shared" si="71"/>
        <v>0</v>
      </c>
      <c r="Z160" s="2">
        <f t="shared" si="72"/>
        <v>0</v>
      </c>
      <c r="AA160" s="2">
        <f t="shared" si="73"/>
        <v>0</v>
      </c>
      <c r="AB160" s="2">
        <f t="shared" si="74"/>
        <v>0</v>
      </c>
      <c r="AC160" s="2">
        <f t="shared" si="75"/>
        <v>0</v>
      </c>
      <c r="AD160" s="2">
        <f t="shared" si="76"/>
        <v>0</v>
      </c>
      <c r="AE160" s="2">
        <f t="shared" si="77"/>
        <v>0</v>
      </c>
      <c r="AF160" s="2">
        <f t="shared" si="78"/>
        <v>0</v>
      </c>
      <c r="AG160" s="2">
        <f t="shared" si="81"/>
        <v>0</v>
      </c>
    </row>
    <row r="161" spans="2:33" hidden="1" x14ac:dyDescent="0.25">
      <c r="B161" s="1" t="s">
        <v>5</v>
      </c>
      <c r="C161" s="2"/>
      <c r="D161" s="2"/>
      <c r="E161" s="2"/>
      <c r="F161" s="2"/>
      <c r="G161" s="2"/>
      <c r="H161" s="2"/>
      <c r="I161" s="2"/>
      <c r="J161" s="2"/>
      <c r="K161" s="2">
        <f t="shared" si="79"/>
        <v>0</v>
      </c>
      <c r="M161" s="1" t="s">
        <v>5</v>
      </c>
      <c r="N161" s="2"/>
      <c r="O161" s="2"/>
      <c r="P161" s="2"/>
      <c r="Q161" s="2"/>
      <c r="R161" s="2"/>
      <c r="S161" s="2"/>
      <c r="T161" s="2"/>
      <c r="U161" s="2"/>
      <c r="V161" s="2">
        <f t="shared" si="80"/>
        <v>0</v>
      </c>
      <c r="X161" s="1" t="s">
        <v>5</v>
      </c>
      <c r="Y161" s="2">
        <f t="shared" si="71"/>
        <v>0</v>
      </c>
      <c r="Z161" s="2">
        <f t="shared" si="72"/>
        <v>0</v>
      </c>
      <c r="AA161" s="2">
        <f t="shared" si="73"/>
        <v>0</v>
      </c>
      <c r="AB161" s="2">
        <f t="shared" si="74"/>
        <v>0</v>
      </c>
      <c r="AC161" s="2">
        <f t="shared" si="75"/>
        <v>0</v>
      </c>
      <c r="AD161" s="2">
        <f t="shared" si="76"/>
        <v>0</v>
      </c>
      <c r="AE161" s="2">
        <f t="shared" si="77"/>
        <v>0</v>
      </c>
      <c r="AF161" s="2">
        <f t="shared" si="78"/>
        <v>0</v>
      </c>
      <c r="AG161" s="2">
        <f t="shared" si="81"/>
        <v>0</v>
      </c>
    </row>
    <row r="162" spans="2:33" hidden="1" x14ac:dyDescent="0.25">
      <c r="B162" s="1" t="s">
        <v>84</v>
      </c>
      <c r="C162" s="2"/>
      <c r="D162" s="2"/>
      <c r="E162" s="2"/>
      <c r="F162" s="2"/>
      <c r="G162" s="2"/>
      <c r="H162" s="2"/>
      <c r="I162" s="2"/>
      <c r="J162" s="2"/>
      <c r="K162" s="2">
        <f t="shared" si="79"/>
        <v>0</v>
      </c>
      <c r="M162" s="1" t="s">
        <v>84</v>
      </c>
      <c r="N162" s="2"/>
      <c r="O162" s="2"/>
      <c r="P162" s="2"/>
      <c r="Q162" s="2"/>
      <c r="R162" s="2"/>
      <c r="S162" s="2"/>
      <c r="T162" s="2"/>
      <c r="U162" s="2"/>
      <c r="V162" s="2">
        <f t="shared" si="80"/>
        <v>0</v>
      </c>
      <c r="X162" s="1" t="s">
        <v>84</v>
      </c>
      <c r="Y162" s="2">
        <f t="shared" si="71"/>
        <v>0</v>
      </c>
      <c r="Z162" s="2">
        <f t="shared" si="72"/>
        <v>0</v>
      </c>
      <c r="AA162" s="2">
        <f t="shared" si="73"/>
        <v>0</v>
      </c>
      <c r="AB162" s="2">
        <f t="shared" si="74"/>
        <v>0</v>
      </c>
      <c r="AC162" s="2">
        <f t="shared" si="75"/>
        <v>0</v>
      </c>
      <c r="AD162" s="2">
        <f t="shared" si="76"/>
        <v>0</v>
      </c>
      <c r="AE162" s="2">
        <f t="shared" si="77"/>
        <v>0</v>
      </c>
      <c r="AF162" s="2">
        <f t="shared" si="78"/>
        <v>0</v>
      </c>
      <c r="AG162" s="2">
        <f t="shared" si="81"/>
        <v>0</v>
      </c>
    </row>
    <row r="163" spans="2:33" hidden="1" x14ac:dyDescent="0.25">
      <c r="B163" s="1" t="s">
        <v>4</v>
      </c>
      <c r="C163" s="2"/>
      <c r="D163" s="2"/>
      <c r="E163" s="2"/>
      <c r="F163" s="2"/>
      <c r="G163" s="2"/>
      <c r="H163" s="2"/>
      <c r="I163" s="2"/>
      <c r="J163" s="2"/>
      <c r="K163" s="2">
        <f t="shared" si="79"/>
        <v>0</v>
      </c>
      <c r="M163" s="1" t="s">
        <v>4</v>
      </c>
      <c r="N163" s="2"/>
      <c r="O163" s="2"/>
      <c r="P163" s="2"/>
      <c r="Q163" s="2"/>
      <c r="R163" s="2"/>
      <c r="S163" s="2"/>
      <c r="T163" s="2"/>
      <c r="U163" s="2"/>
      <c r="V163" s="2">
        <f t="shared" si="80"/>
        <v>0</v>
      </c>
      <c r="X163" s="1" t="s">
        <v>4</v>
      </c>
      <c r="Y163" s="2">
        <f t="shared" si="71"/>
        <v>0</v>
      </c>
      <c r="Z163" s="2">
        <f t="shared" si="72"/>
        <v>0</v>
      </c>
      <c r="AA163" s="2">
        <f t="shared" si="73"/>
        <v>0</v>
      </c>
      <c r="AB163" s="2">
        <f t="shared" si="74"/>
        <v>0</v>
      </c>
      <c r="AC163" s="2">
        <f t="shared" si="75"/>
        <v>0</v>
      </c>
      <c r="AD163" s="2">
        <f t="shared" si="76"/>
        <v>0</v>
      </c>
      <c r="AE163" s="2">
        <f t="shared" si="77"/>
        <v>0</v>
      </c>
      <c r="AF163" s="2">
        <f t="shared" si="78"/>
        <v>0</v>
      </c>
      <c r="AG163" s="2">
        <f t="shared" si="81"/>
        <v>0</v>
      </c>
    </row>
    <row r="164" spans="2:33" hidden="1" x14ac:dyDescent="0.25">
      <c r="B164" s="1" t="s">
        <v>51</v>
      </c>
      <c r="C164" s="2"/>
      <c r="D164" s="2"/>
      <c r="E164" s="2"/>
      <c r="F164" s="2"/>
      <c r="G164" s="2"/>
      <c r="H164" s="2"/>
      <c r="I164" s="2"/>
      <c r="J164" s="2"/>
      <c r="K164" s="2">
        <f t="shared" si="79"/>
        <v>0</v>
      </c>
      <c r="M164" s="1" t="s">
        <v>51</v>
      </c>
      <c r="N164" s="2"/>
      <c r="O164" s="2"/>
      <c r="P164" s="2"/>
      <c r="Q164" s="2"/>
      <c r="R164" s="2"/>
      <c r="S164" s="2"/>
      <c r="T164" s="2"/>
      <c r="U164" s="2"/>
      <c r="V164" s="2">
        <f t="shared" si="80"/>
        <v>0</v>
      </c>
      <c r="X164" s="1" t="s">
        <v>51</v>
      </c>
      <c r="Y164" s="2">
        <f t="shared" si="71"/>
        <v>0</v>
      </c>
      <c r="Z164" s="2">
        <f t="shared" si="72"/>
        <v>0</v>
      </c>
      <c r="AA164" s="2">
        <f t="shared" si="73"/>
        <v>0</v>
      </c>
      <c r="AB164" s="2">
        <f t="shared" si="74"/>
        <v>0</v>
      </c>
      <c r="AC164" s="2">
        <f t="shared" si="75"/>
        <v>0</v>
      </c>
      <c r="AD164" s="2">
        <f t="shared" si="76"/>
        <v>0</v>
      </c>
      <c r="AE164" s="2">
        <f t="shared" si="77"/>
        <v>0</v>
      </c>
      <c r="AF164" s="2">
        <f t="shared" si="78"/>
        <v>0</v>
      </c>
      <c r="AG164" s="2">
        <f t="shared" si="81"/>
        <v>0</v>
      </c>
    </row>
    <row r="165" spans="2:33" hidden="1" x14ac:dyDescent="0.25">
      <c r="B165" s="1" t="s">
        <v>87</v>
      </c>
      <c r="C165" s="2"/>
      <c r="D165" s="2"/>
      <c r="E165" s="2"/>
      <c r="F165" s="2"/>
      <c r="G165" s="2"/>
      <c r="H165" s="2"/>
      <c r="I165" s="2"/>
      <c r="J165" s="2"/>
      <c r="K165" s="2">
        <f t="shared" si="79"/>
        <v>0</v>
      </c>
      <c r="M165" s="1" t="s">
        <v>87</v>
      </c>
      <c r="N165" s="2"/>
      <c r="O165" s="2"/>
      <c r="P165" s="2"/>
      <c r="Q165" s="2"/>
      <c r="R165" s="2"/>
      <c r="S165" s="2"/>
      <c r="T165" s="2"/>
      <c r="U165" s="2"/>
      <c r="V165" s="2">
        <f t="shared" si="80"/>
        <v>0</v>
      </c>
      <c r="X165" s="1" t="s">
        <v>87</v>
      </c>
      <c r="Y165" s="2">
        <f t="shared" si="71"/>
        <v>0</v>
      </c>
      <c r="Z165" s="2">
        <f t="shared" si="72"/>
        <v>0</v>
      </c>
      <c r="AA165" s="2">
        <f t="shared" si="73"/>
        <v>0</v>
      </c>
      <c r="AB165" s="2">
        <f t="shared" si="74"/>
        <v>0</v>
      </c>
      <c r="AC165" s="2">
        <f t="shared" si="75"/>
        <v>0</v>
      </c>
      <c r="AD165" s="2">
        <f t="shared" si="76"/>
        <v>0</v>
      </c>
      <c r="AE165" s="2">
        <f t="shared" si="77"/>
        <v>0</v>
      </c>
      <c r="AF165" s="2">
        <f t="shared" si="78"/>
        <v>0</v>
      </c>
      <c r="AG165" s="2">
        <f t="shared" si="81"/>
        <v>0</v>
      </c>
    </row>
    <row r="166" spans="2:33" hidden="1" x14ac:dyDescent="0.25">
      <c r="B166" s="1" t="s">
        <v>85</v>
      </c>
      <c r="C166" s="2"/>
      <c r="D166" s="2"/>
      <c r="E166" s="2"/>
      <c r="F166" s="2"/>
      <c r="G166" s="2"/>
      <c r="H166" s="2"/>
      <c r="I166" s="2"/>
      <c r="J166" s="2"/>
      <c r="K166" s="2">
        <f t="shared" si="79"/>
        <v>0</v>
      </c>
      <c r="M166" s="1" t="s">
        <v>85</v>
      </c>
      <c r="N166" s="2"/>
      <c r="O166" s="2"/>
      <c r="P166" s="2"/>
      <c r="Q166" s="2"/>
      <c r="R166" s="2"/>
      <c r="S166" s="2"/>
      <c r="T166" s="2"/>
      <c r="U166" s="2"/>
      <c r="V166" s="2">
        <f t="shared" si="80"/>
        <v>0</v>
      </c>
      <c r="X166" s="1" t="s">
        <v>85</v>
      </c>
      <c r="Y166" s="2">
        <f t="shared" si="71"/>
        <v>0</v>
      </c>
      <c r="Z166" s="2">
        <f t="shared" si="72"/>
        <v>0</v>
      </c>
      <c r="AA166" s="2">
        <f t="shared" si="73"/>
        <v>0</v>
      </c>
      <c r="AB166" s="2">
        <f t="shared" si="74"/>
        <v>0</v>
      </c>
      <c r="AC166" s="2">
        <f t="shared" si="75"/>
        <v>0</v>
      </c>
      <c r="AD166" s="2">
        <f t="shared" si="76"/>
        <v>0</v>
      </c>
      <c r="AE166" s="2">
        <f t="shared" si="77"/>
        <v>0</v>
      </c>
      <c r="AF166" s="2">
        <f t="shared" si="78"/>
        <v>0</v>
      </c>
      <c r="AG166" s="2">
        <f t="shared" si="81"/>
        <v>0</v>
      </c>
    </row>
    <row r="167" spans="2:33" hidden="1" x14ac:dyDescent="0.25">
      <c r="B167" s="1" t="s">
        <v>2</v>
      </c>
      <c r="C167" s="2"/>
      <c r="D167" s="2"/>
      <c r="E167" s="2"/>
      <c r="F167" s="2"/>
      <c r="G167" s="2"/>
      <c r="H167" s="2"/>
      <c r="I167" s="2"/>
      <c r="J167" s="2"/>
      <c r="K167" s="2">
        <f t="shared" si="79"/>
        <v>0</v>
      </c>
      <c r="M167" s="1" t="s">
        <v>2</v>
      </c>
      <c r="N167" s="2"/>
      <c r="O167" s="2"/>
      <c r="P167" s="2"/>
      <c r="Q167" s="2"/>
      <c r="R167" s="2"/>
      <c r="S167" s="2"/>
      <c r="T167" s="2"/>
      <c r="U167" s="2"/>
      <c r="V167" s="2">
        <f t="shared" si="80"/>
        <v>0</v>
      </c>
      <c r="X167" s="1" t="s">
        <v>2</v>
      </c>
      <c r="Y167" s="2">
        <f t="shared" si="71"/>
        <v>0</v>
      </c>
      <c r="Z167" s="2">
        <f t="shared" si="72"/>
        <v>0</v>
      </c>
      <c r="AA167" s="2">
        <f t="shared" si="73"/>
        <v>0</v>
      </c>
      <c r="AB167" s="2">
        <f t="shared" si="74"/>
        <v>0</v>
      </c>
      <c r="AC167" s="2">
        <f t="shared" si="75"/>
        <v>0</v>
      </c>
      <c r="AD167" s="2">
        <f t="shared" si="76"/>
        <v>0</v>
      </c>
      <c r="AE167" s="2">
        <f t="shared" si="77"/>
        <v>0</v>
      </c>
      <c r="AF167" s="2">
        <f t="shared" si="78"/>
        <v>0</v>
      </c>
      <c r="AG167" s="2">
        <f t="shared" si="81"/>
        <v>0</v>
      </c>
    </row>
    <row r="168" spans="2:33" hidden="1" x14ac:dyDescent="0.25">
      <c r="B168" s="1" t="s">
        <v>86</v>
      </c>
      <c r="C168" s="2"/>
      <c r="D168" s="2"/>
      <c r="E168" s="2"/>
      <c r="F168" s="2"/>
      <c r="G168" s="2"/>
      <c r="H168" s="2"/>
      <c r="I168" s="2"/>
      <c r="J168" s="2"/>
      <c r="K168" s="2">
        <f t="shared" si="79"/>
        <v>0</v>
      </c>
      <c r="M168" s="1" t="s">
        <v>86</v>
      </c>
      <c r="N168" s="2"/>
      <c r="O168" s="2"/>
      <c r="P168" s="2"/>
      <c r="Q168" s="2"/>
      <c r="R168" s="2"/>
      <c r="S168" s="2"/>
      <c r="T168" s="2"/>
      <c r="U168" s="2"/>
      <c r="V168" s="2">
        <f t="shared" si="80"/>
        <v>0</v>
      </c>
      <c r="X168" s="1" t="s">
        <v>86</v>
      </c>
      <c r="Y168" s="2">
        <f t="shared" si="71"/>
        <v>0</v>
      </c>
      <c r="Z168" s="2">
        <f t="shared" si="72"/>
        <v>0</v>
      </c>
      <c r="AA168" s="2">
        <f t="shared" si="73"/>
        <v>0</v>
      </c>
      <c r="AB168" s="2">
        <f t="shared" si="74"/>
        <v>0</v>
      </c>
      <c r="AC168" s="2">
        <f t="shared" si="75"/>
        <v>0</v>
      </c>
      <c r="AD168" s="2">
        <f t="shared" si="76"/>
        <v>0</v>
      </c>
      <c r="AE168" s="2">
        <f t="shared" si="77"/>
        <v>0</v>
      </c>
      <c r="AF168" s="2">
        <f t="shared" si="78"/>
        <v>0</v>
      </c>
      <c r="AG168" s="2">
        <f t="shared" si="81"/>
        <v>0</v>
      </c>
    </row>
    <row r="169" spans="2:33" hidden="1" x14ac:dyDescent="0.25">
      <c r="B169" s="1" t="s">
        <v>29</v>
      </c>
      <c r="C169" s="2"/>
      <c r="D169" s="2"/>
      <c r="E169" s="2"/>
      <c r="F169" s="2"/>
      <c r="G169" s="2"/>
      <c r="H169" s="2"/>
      <c r="I169" s="2"/>
      <c r="J169" s="2"/>
      <c r="K169" s="2">
        <f t="shared" si="79"/>
        <v>0</v>
      </c>
      <c r="M169" s="1" t="s">
        <v>29</v>
      </c>
      <c r="N169" s="2"/>
      <c r="O169" s="2"/>
      <c r="P169" s="2"/>
      <c r="Q169" s="2"/>
      <c r="R169" s="2"/>
      <c r="S169" s="2"/>
      <c r="T169" s="2"/>
      <c r="U169" s="2"/>
      <c r="V169" s="2">
        <f t="shared" si="80"/>
        <v>0</v>
      </c>
      <c r="X169" s="1" t="s">
        <v>29</v>
      </c>
      <c r="Y169" s="2">
        <f t="shared" si="71"/>
        <v>0</v>
      </c>
      <c r="Z169" s="2">
        <f t="shared" si="72"/>
        <v>0</v>
      </c>
      <c r="AA169" s="2">
        <f t="shared" si="73"/>
        <v>0</v>
      </c>
      <c r="AB169" s="2">
        <f t="shared" si="74"/>
        <v>0</v>
      </c>
      <c r="AC169" s="2">
        <f t="shared" si="75"/>
        <v>0</v>
      </c>
      <c r="AD169" s="2">
        <f t="shared" si="76"/>
        <v>0</v>
      </c>
      <c r="AE169" s="2">
        <f t="shared" si="77"/>
        <v>0</v>
      </c>
      <c r="AF169" s="2">
        <f t="shared" si="78"/>
        <v>0</v>
      </c>
      <c r="AG169" s="2">
        <f t="shared" si="81"/>
        <v>0</v>
      </c>
    </row>
    <row r="170" spans="2:33" hidden="1" x14ac:dyDescent="0.25">
      <c r="B170" s="1" t="s">
        <v>88</v>
      </c>
      <c r="C170" s="2"/>
      <c r="D170" s="2"/>
      <c r="E170" s="2"/>
      <c r="F170" s="2"/>
      <c r="G170" s="2"/>
      <c r="H170" s="2"/>
      <c r="I170" s="2"/>
      <c r="J170" s="2"/>
      <c r="K170" s="2">
        <f t="shared" si="79"/>
        <v>0</v>
      </c>
      <c r="M170" s="1" t="s">
        <v>88</v>
      </c>
      <c r="N170" s="2"/>
      <c r="O170" s="2"/>
      <c r="P170" s="2"/>
      <c r="Q170" s="2"/>
      <c r="R170" s="2"/>
      <c r="S170" s="2"/>
      <c r="T170" s="2"/>
      <c r="U170" s="2"/>
      <c r="V170" s="2">
        <f t="shared" si="80"/>
        <v>0</v>
      </c>
      <c r="X170" s="1" t="s">
        <v>52</v>
      </c>
      <c r="Y170" s="2">
        <f t="shared" si="71"/>
        <v>0</v>
      </c>
      <c r="Z170" s="2">
        <f t="shared" si="72"/>
        <v>0</v>
      </c>
      <c r="AA170" s="2">
        <f t="shared" si="73"/>
        <v>0</v>
      </c>
      <c r="AB170" s="2">
        <f t="shared" si="74"/>
        <v>0</v>
      </c>
      <c r="AC170" s="2">
        <f t="shared" si="75"/>
        <v>0</v>
      </c>
      <c r="AD170" s="2">
        <f t="shared" si="76"/>
        <v>0</v>
      </c>
      <c r="AE170" s="2">
        <f t="shared" si="77"/>
        <v>0</v>
      </c>
      <c r="AF170" s="2">
        <f t="shared" si="78"/>
        <v>0</v>
      </c>
      <c r="AG170" s="2">
        <f t="shared" si="81"/>
        <v>0</v>
      </c>
    </row>
    <row r="171" spans="2:33" hidden="1" x14ac:dyDescent="0.25">
      <c r="B171" s="1" t="s">
        <v>1098</v>
      </c>
      <c r="C171" s="2"/>
      <c r="D171" s="2"/>
      <c r="E171" s="2"/>
      <c r="F171" s="2"/>
      <c r="G171" s="2"/>
      <c r="H171" s="2"/>
      <c r="I171" s="2"/>
      <c r="J171" s="2"/>
      <c r="K171" s="2">
        <f t="shared" si="79"/>
        <v>0</v>
      </c>
      <c r="M171" s="1" t="s">
        <v>1098</v>
      </c>
      <c r="N171" s="2"/>
      <c r="O171" s="2"/>
      <c r="P171" s="2"/>
      <c r="Q171" s="2"/>
      <c r="R171" s="2"/>
      <c r="S171" s="2"/>
      <c r="T171" s="2"/>
      <c r="U171" s="2"/>
      <c r="V171" s="2">
        <f t="shared" si="80"/>
        <v>0</v>
      </c>
      <c r="X171" s="1" t="s">
        <v>88</v>
      </c>
      <c r="Y171" s="2">
        <f t="shared" si="71"/>
        <v>0</v>
      </c>
      <c r="Z171" s="2">
        <f t="shared" si="72"/>
        <v>0</v>
      </c>
      <c r="AA171" s="2">
        <f t="shared" si="73"/>
        <v>0</v>
      </c>
      <c r="AB171" s="2">
        <f t="shared" si="74"/>
        <v>0</v>
      </c>
      <c r="AC171" s="2">
        <f t="shared" si="75"/>
        <v>0</v>
      </c>
      <c r="AD171" s="2">
        <f t="shared" si="76"/>
        <v>0</v>
      </c>
      <c r="AE171" s="2">
        <f t="shared" si="77"/>
        <v>0</v>
      </c>
      <c r="AF171" s="2">
        <f t="shared" si="78"/>
        <v>0</v>
      </c>
      <c r="AG171" s="2">
        <f t="shared" si="81"/>
        <v>0</v>
      </c>
    </row>
    <row r="172" spans="2:33" hidden="1" x14ac:dyDescent="0.25">
      <c r="B172" s="1" t="s">
        <v>1099</v>
      </c>
      <c r="C172" s="2"/>
      <c r="D172" s="2"/>
      <c r="E172" s="2"/>
      <c r="F172" s="2"/>
      <c r="G172" s="2"/>
      <c r="H172" s="2"/>
      <c r="I172" s="2"/>
      <c r="J172" s="2"/>
      <c r="K172" s="2">
        <f t="shared" si="79"/>
        <v>0</v>
      </c>
      <c r="M172" s="1" t="s">
        <v>1099</v>
      </c>
      <c r="N172" s="2"/>
      <c r="O172" s="2"/>
      <c r="P172" s="2"/>
      <c r="Q172" s="2"/>
      <c r="R172" s="2"/>
      <c r="S172" s="2"/>
      <c r="T172" s="2"/>
      <c r="U172" s="2"/>
      <c r="V172" s="2">
        <f t="shared" si="80"/>
        <v>0</v>
      </c>
      <c r="X172" s="1" t="s">
        <v>1</v>
      </c>
      <c r="Y172" s="2">
        <f t="shared" si="71"/>
        <v>0</v>
      </c>
      <c r="Z172" s="2">
        <f t="shared" si="72"/>
        <v>0</v>
      </c>
      <c r="AA172" s="2">
        <f t="shared" si="73"/>
        <v>0</v>
      </c>
      <c r="AB172" s="2">
        <f t="shared" si="74"/>
        <v>0</v>
      </c>
      <c r="AC172" s="2">
        <f t="shared" si="75"/>
        <v>0</v>
      </c>
      <c r="AD172" s="2">
        <f t="shared" si="76"/>
        <v>0</v>
      </c>
      <c r="AE172" s="2">
        <f t="shared" si="77"/>
        <v>0</v>
      </c>
      <c r="AF172" s="2">
        <f t="shared" si="78"/>
        <v>0</v>
      </c>
      <c r="AG172" s="2">
        <f t="shared" si="81"/>
        <v>0</v>
      </c>
    </row>
    <row r="173" spans="2:33" ht="15.75" hidden="1" thickBot="1" x14ac:dyDescent="0.3">
      <c r="C173" s="70">
        <f>SUM(C153:C172)</f>
        <v>0</v>
      </c>
      <c r="D173" s="70">
        <f t="shared" ref="D173:J173" si="82">SUM(D153:D172)</f>
        <v>0</v>
      </c>
      <c r="E173" s="70">
        <f t="shared" si="82"/>
        <v>0</v>
      </c>
      <c r="F173" s="70">
        <f t="shared" si="82"/>
        <v>0</v>
      </c>
      <c r="G173" s="70">
        <f t="shared" si="82"/>
        <v>0</v>
      </c>
      <c r="H173" s="70">
        <f t="shared" si="82"/>
        <v>0</v>
      </c>
      <c r="I173" s="70">
        <f t="shared" si="82"/>
        <v>0</v>
      </c>
      <c r="J173" s="70">
        <f t="shared" si="82"/>
        <v>0</v>
      </c>
      <c r="K173" s="70">
        <f>SUM(K153:K172)</f>
        <v>0</v>
      </c>
      <c r="N173" s="70">
        <f>SUM(N153:N172)</f>
        <v>0</v>
      </c>
      <c r="O173" s="70">
        <f t="shared" ref="O173:U173" si="83">SUM(O153:O172)</f>
        <v>0</v>
      </c>
      <c r="P173" s="70">
        <f t="shared" si="83"/>
        <v>0</v>
      </c>
      <c r="Q173" s="70">
        <f t="shared" si="83"/>
        <v>0</v>
      </c>
      <c r="R173" s="70">
        <f t="shared" si="83"/>
        <v>0</v>
      </c>
      <c r="S173" s="70">
        <f t="shared" si="83"/>
        <v>0</v>
      </c>
      <c r="T173" s="70">
        <f t="shared" si="83"/>
        <v>0</v>
      </c>
      <c r="U173" s="70">
        <f t="shared" si="83"/>
        <v>0</v>
      </c>
      <c r="V173" s="70">
        <f>SUM(V153:V172)</f>
        <v>0</v>
      </c>
      <c r="Y173" s="70">
        <f>SUM(Y153:Y172)</f>
        <v>0</v>
      </c>
      <c r="Z173" s="70">
        <f t="shared" ref="Z173:AF173" si="84">SUM(Z153:Z172)</f>
        <v>0</v>
      </c>
      <c r="AA173" s="70">
        <f t="shared" si="84"/>
        <v>0</v>
      </c>
      <c r="AB173" s="70">
        <f t="shared" si="84"/>
        <v>0</v>
      </c>
      <c r="AC173" s="70">
        <f t="shared" si="84"/>
        <v>0</v>
      </c>
      <c r="AD173" s="70">
        <f t="shared" si="84"/>
        <v>0</v>
      </c>
      <c r="AE173" s="70">
        <f t="shared" si="84"/>
        <v>0</v>
      </c>
      <c r="AF173" s="70">
        <f t="shared" si="84"/>
        <v>0</v>
      </c>
      <c r="AG173" s="70">
        <f>SUM(AG153:AG172)</f>
        <v>0</v>
      </c>
    </row>
    <row r="174" spans="2:33" hidden="1" x14ac:dyDescent="0.25"/>
    <row r="175" spans="2:33" hidden="1" x14ac:dyDescent="0.25"/>
    <row r="176" spans="2:33" hidden="1" x14ac:dyDescent="0.25">
      <c r="B176" s="72" t="s">
        <v>96</v>
      </c>
      <c r="C176" s="187">
        <f>$C$20</f>
        <v>45199</v>
      </c>
      <c r="D176" s="175"/>
      <c r="E176" s="175"/>
      <c r="F176" s="175"/>
      <c r="G176" s="175"/>
      <c r="H176" s="175"/>
      <c r="I176" s="175"/>
      <c r="J176" s="175"/>
      <c r="K176" s="175"/>
      <c r="M176" s="72" t="s">
        <v>96</v>
      </c>
      <c r="N176" s="193">
        <f>$N$20</f>
        <v>45169</v>
      </c>
      <c r="O176" s="194"/>
      <c r="P176" s="194"/>
      <c r="Q176" s="194"/>
      <c r="R176" s="194"/>
      <c r="S176" s="194"/>
      <c r="T176" s="194"/>
      <c r="U176" s="194"/>
      <c r="V176" s="194"/>
      <c r="Y176" s="175" t="s">
        <v>97</v>
      </c>
      <c r="Z176" s="175"/>
      <c r="AA176" s="175"/>
      <c r="AB176" s="175"/>
      <c r="AC176" s="175"/>
      <c r="AD176" s="175"/>
      <c r="AE176" s="175"/>
      <c r="AF176" s="175"/>
      <c r="AG176" s="175"/>
    </row>
    <row r="177" spans="2:33" hidden="1" x14ac:dyDescent="0.25">
      <c r="B177" s="72" t="s">
        <v>95</v>
      </c>
      <c r="C177" s="175" t="str">
        <f>'Reimbursement Rates &lt;-INPUT'!H7</f>
        <v>Clinic 7</v>
      </c>
      <c r="D177" s="175"/>
      <c r="E177" s="175"/>
      <c r="F177" s="175"/>
      <c r="G177" s="175"/>
      <c r="H177" s="175"/>
      <c r="I177" s="175"/>
      <c r="J177" s="175"/>
      <c r="K177" s="175"/>
      <c r="M177" s="72" t="s">
        <v>95</v>
      </c>
      <c r="N177" s="175" t="str">
        <f>C177</f>
        <v>Clinic 7</v>
      </c>
      <c r="O177" s="175"/>
      <c r="P177" s="175"/>
      <c r="Q177" s="175"/>
      <c r="R177" s="175"/>
      <c r="S177" s="175"/>
      <c r="T177" s="175"/>
      <c r="U177" s="175"/>
      <c r="V177" s="175"/>
      <c r="X177" s="71" t="s">
        <v>95</v>
      </c>
      <c r="Y177" s="175" t="str">
        <f>C177</f>
        <v>Clinic 7</v>
      </c>
      <c r="Z177" s="175"/>
      <c r="AA177" s="175"/>
      <c r="AB177" s="175"/>
      <c r="AC177" s="175"/>
      <c r="AD177" s="175"/>
      <c r="AE177" s="175"/>
      <c r="AF177" s="175"/>
      <c r="AG177" s="175"/>
    </row>
    <row r="178" spans="2:33" hidden="1" x14ac:dyDescent="0.25">
      <c r="B178" s="4" t="s">
        <v>16</v>
      </c>
      <c r="C178" s="5" t="s">
        <v>15</v>
      </c>
      <c r="D178" s="5" t="s">
        <v>14</v>
      </c>
      <c r="E178" s="5" t="s">
        <v>13</v>
      </c>
      <c r="F178" s="5" t="s">
        <v>12</v>
      </c>
      <c r="G178" s="5" t="s">
        <v>93</v>
      </c>
      <c r="H178" s="5" t="s">
        <v>94</v>
      </c>
      <c r="I178" s="5" t="s">
        <v>38</v>
      </c>
      <c r="J178" s="5" t="s">
        <v>9</v>
      </c>
      <c r="K178" s="5" t="s">
        <v>80</v>
      </c>
      <c r="M178" s="4" t="s">
        <v>16</v>
      </c>
      <c r="N178" s="5" t="s">
        <v>15</v>
      </c>
      <c r="O178" s="5" t="s">
        <v>14</v>
      </c>
      <c r="P178" s="5" t="s">
        <v>13</v>
      </c>
      <c r="Q178" s="5" t="s">
        <v>12</v>
      </c>
      <c r="R178" s="5" t="s">
        <v>93</v>
      </c>
      <c r="S178" s="5" t="s">
        <v>94</v>
      </c>
      <c r="T178" s="5" t="s">
        <v>38</v>
      </c>
      <c r="U178" s="5" t="s">
        <v>9</v>
      </c>
      <c r="V178" s="5" t="s">
        <v>80</v>
      </c>
      <c r="X178" s="4" t="s">
        <v>16</v>
      </c>
      <c r="Y178" s="5" t="s">
        <v>15</v>
      </c>
      <c r="Z178" s="5" t="s">
        <v>14</v>
      </c>
      <c r="AA178" s="5" t="s">
        <v>13</v>
      </c>
      <c r="AB178" s="5" t="s">
        <v>12</v>
      </c>
      <c r="AC178" s="5" t="s">
        <v>93</v>
      </c>
      <c r="AD178" s="5" t="s">
        <v>94</v>
      </c>
      <c r="AE178" s="5" t="s">
        <v>38</v>
      </c>
      <c r="AF178" s="5" t="s">
        <v>9</v>
      </c>
      <c r="AG178" s="5" t="s">
        <v>80</v>
      </c>
    </row>
    <row r="179" spans="2:33" hidden="1" x14ac:dyDescent="0.25">
      <c r="B179" s="1" t="s">
        <v>1094</v>
      </c>
      <c r="C179" s="2"/>
      <c r="D179" s="2"/>
      <c r="E179" s="2"/>
      <c r="F179" s="2"/>
      <c r="G179" s="2"/>
      <c r="H179" s="2"/>
      <c r="I179" s="2"/>
      <c r="J179" s="2"/>
      <c r="K179" s="2">
        <f>SUM(C179:J179)</f>
        <v>0</v>
      </c>
      <c r="M179" s="1" t="s">
        <v>1094</v>
      </c>
      <c r="N179" s="2"/>
      <c r="O179" s="2"/>
      <c r="P179" s="2"/>
      <c r="Q179" s="2"/>
      <c r="R179" s="2"/>
      <c r="S179" s="2"/>
      <c r="T179" s="2"/>
      <c r="U179" s="2"/>
      <c r="V179" s="2">
        <f>SUM(N179:U179)</f>
        <v>0</v>
      </c>
      <c r="X179" s="1" t="s">
        <v>49</v>
      </c>
      <c r="Y179" s="2">
        <f t="shared" ref="Y179:Y198" si="85">C179-N179</f>
        <v>0</v>
      </c>
      <c r="Z179" s="2">
        <f t="shared" ref="Z179:Z198" si="86">D179-O179</f>
        <v>0</v>
      </c>
      <c r="AA179" s="2">
        <f t="shared" ref="AA179:AA198" si="87">E179-P179</f>
        <v>0</v>
      </c>
      <c r="AB179" s="2">
        <f t="shared" ref="AB179:AB198" si="88">F179-Q179</f>
        <v>0</v>
      </c>
      <c r="AC179" s="2">
        <f t="shared" ref="AC179:AC198" si="89">G179-R179</f>
        <v>0</v>
      </c>
      <c r="AD179" s="2">
        <f t="shared" ref="AD179:AD198" si="90">H179-S179</f>
        <v>0</v>
      </c>
      <c r="AE179" s="2">
        <f t="shared" ref="AE179:AE198" si="91">I179-T179</f>
        <v>0</v>
      </c>
      <c r="AF179" s="2">
        <f t="shared" ref="AF179:AF198" si="92">J179-U179</f>
        <v>0</v>
      </c>
      <c r="AG179" s="2">
        <f>SUM(Y179:AF179)</f>
        <v>0</v>
      </c>
    </row>
    <row r="180" spans="2:33" hidden="1" x14ac:dyDescent="0.25">
      <c r="B180" s="1" t="s">
        <v>8</v>
      </c>
      <c r="C180" s="2"/>
      <c r="D180" s="2"/>
      <c r="E180" s="2"/>
      <c r="F180" s="2"/>
      <c r="G180" s="2"/>
      <c r="H180" s="2"/>
      <c r="I180" s="2"/>
      <c r="J180" s="2"/>
      <c r="K180" s="2">
        <f t="shared" ref="K180:K198" si="93">SUM(C180:J180)</f>
        <v>0</v>
      </c>
      <c r="M180" s="1" t="s">
        <v>8</v>
      </c>
      <c r="N180" s="2"/>
      <c r="O180" s="2"/>
      <c r="P180" s="2"/>
      <c r="Q180" s="2"/>
      <c r="R180" s="2"/>
      <c r="S180" s="2"/>
      <c r="T180" s="2"/>
      <c r="U180" s="2"/>
      <c r="V180" s="2">
        <f t="shared" ref="V180:V198" si="94">SUM(N180:U180)</f>
        <v>0</v>
      </c>
      <c r="X180" s="1" t="s">
        <v>8</v>
      </c>
      <c r="Y180" s="2">
        <f t="shared" si="85"/>
        <v>0</v>
      </c>
      <c r="Z180" s="2">
        <f t="shared" si="86"/>
        <v>0</v>
      </c>
      <c r="AA180" s="2">
        <f t="shared" si="87"/>
        <v>0</v>
      </c>
      <c r="AB180" s="2">
        <f t="shared" si="88"/>
        <v>0</v>
      </c>
      <c r="AC180" s="2">
        <f t="shared" si="89"/>
        <v>0</v>
      </c>
      <c r="AD180" s="2">
        <f t="shared" si="90"/>
        <v>0</v>
      </c>
      <c r="AE180" s="2">
        <f t="shared" si="91"/>
        <v>0</v>
      </c>
      <c r="AF180" s="2">
        <f t="shared" si="92"/>
        <v>0</v>
      </c>
      <c r="AG180" s="2">
        <f t="shared" ref="AG180:AG198" si="95">SUM(Y180:AF180)</f>
        <v>0</v>
      </c>
    </row>
    <row r="181" spans="2:33" hidden="1" x14ac:dyDescent="0.25">
      <c r="B181" s="1" t="s">
        <v>1095</v>
      </c>
      <c r="C181" s="2"/>
      <c r="D181" s="2"/>
      <c r="E181" s="2"/>
      <c r="F181" s="2"/>
      <c r="G181" s="2"/>
      <c r="H181" s="2"/>
      <c r="I181" s="2"/>
      <c r="J181" s="2"/>
      <c r="K181" s="2">
        <f t="shared" si="93"/>
        <v>0</v>
      </c>
      <c r="M181" s="1" t="s">
        <v>1095</v>
      </c>
      <c r="N181" s="2"/>
      <c r="O181" s="2"/>
      <c r="P181" s="2"/>
      <c r="Q181" s="2"/>
      <c r="R181" s="2"/>
      <c r="S181" s="2"/>
      <c r="T181" s="2"/>
      <c r="U181" s="2"/>
      <c r="V181" s="2">
        <f t="shared" si="94"/>
        <v>0</v>
      </c>
      <c r="X181" s="1" t="s">
        <v>7</v>
      </c>
      <c r="Y181" s="2">
        <f t="shared" si="85"/>
        <v>0</v>
      </c>
      <c r="Z181" s="2">
        <f t="shared" si="86"/>
        <v>0</v>
      </c>
      <c r="AA181" s="2">
        <f t="shared" si="87"/>
        <v>0</v>
      </c>
      <c r="AB181" s="2">
        <f t="shared" si="88"/>
        <v>0</v>
      </c>
      <c r="AC181" s="2">
        <f t="shared" si="89"/>
        <v>0</v>
      </c>
      <c r="AD181" s="2">
        <f t="shared" si="90"/>
        <v>0</v>
      </c>
      <c r="AE181" s="2">
        <f t="shared" si="91"/>
        <v>0</v>
      </c>
      <c r="AF181" s="2">
        <f t="shared" si="92"/>
        <v>0</v>
      </c>
      <c r="AG181" s="2">
        <f t="shared" si="95"/>
        <v>0</v>
      </c>
    </row>
    <row r="182" spans="2:33" hidden="1" x14ac:dyDescent="0.25">
      <c r="B182" s="1" t="s">
        <v>42</v>
      </c>
      <c r="C182" s="2"/>
      <c r="D182" s="2"/>
      <c r="E182" s="2"/>
      <c r="F182" s="2"/>
      <c r="G182" s="2"/>
      <c r="H182" s="2"/>
      <c r="I182" s="2"/>
      <c r="J182" s="2"/>
      <c r="K182" s="2">
        <f t="shared" si="93"/>
        <v>0</v>
      </c>
      <c r="M182" s="1" t="s">
        <v>42</v>
      </c>
      <c r="N182" s="2"/>
      <c r="O182" s="2"/>
      <c r="P182" s="2"/>
      <c r="Q182" s="2"/>
      <c r="R182" s="2"/>
      <c r="S182" s="2"/>
      <c r="T182" s="2"/>
      <c r="U182" s="2"/>
      <c r="V182" s="2">
        <f t="shared" si="94"/>
        <v>0</v>
      </c>
      <c r="X182" s="1" t="s">
        <v>42</v>
      </c>
      <c r="Y182" s="2">
        <f t="shared" si="85"/>
        <v>0</v>
      </c>
      <c r="Z182" s="2">
        <f t="shared" si="86"/>
        <v>0</v>
      </c>
      <c r="AA182" s="2">
        <f t="shared" si="87"/>
        <v>0</v>
      </c>
      <c r="AB182" s="2">
        <f t="shared" si="88"/>
        <v>0</v>
      </c>
      <c r="AC182" s="2">
        <f t="shared" si="89"/>
        <v>0</v>
      </c>
      <c r="AD182" s="2">
        <f t="shared" si="90"/>
        <v>0</v>
      </c>
      <c r="AE182" s="2">
        <f t="shared" si="91"/>
        <v>0</v>
      </c>
      <c r="AF182" s="2">
        <f t="shared" si="92"/>
        <v>0</v>
      </c>
      <c r="AG182" s="2">
        <f t="shared" si="95"/>
        <v>0</v>
      </c>
    </row>
    <row r="183" spans="2:33" hidden="1" x14ac:dyDescent="0.25">
      <c r="B183" s="1" t="s">
        <v>6</v>
      </c>
      <c r="C183" s="2"/>
      <c r="D183" s="2"/>
      <c r="E183" s="2"/>
      <c r="F183" s="2"/>
      <c r="G183" s="2"/>
      <c r="H183" s="2"/>
      <c r="I183" s="2"/>
      <c r="J183" s="2"/>
      <c r="K183" s="2">
        <f t="shared" si="93"/>
        <v>0</v>
      </c>
      <c r="M183" s="1" t="s">
        <v>6</v>
      </c>
      <c r="N183" s="2"/>
      <c r="O183" s="2"/>
      <c r="P183" s="2"/>
      <c r="Q183" s="2"/>
      <c r="R183" s="2"/>
      <c r="S183" s="2"/>
      <c r="T183" s="2"/>
      <c r="U183" s="2"/>
      <c r="V183" s="2">
        <f t="shared" si="94"/>
        <v>0</v>
      </c>
      <c r="X183" s="1" t="s">
        <v>6</v>
      </c>
      <c r="Y183" s="2">
        <f t="shared" si="85"/>
        <v>0</v>
      </c>
      <c r="Z183" s="2">
        <f t="shared" si="86"/>
        <v>0</v>
      </c>
      <c r="AA183" s="2">
        <f t="shared" si="87"/>
        <v>0</v>
      </c>
      <c r="AB183" s="2">
        <f t="shared" si="88"/>
        <v>0</v>
      </c>
      <c r="AC183" s="2">
        <f t="shared" si="89"/>
        <v>0</v>
      </c>
      <c r="AD183" s="2">
        <f t="shared" si="90"/>
        <v>0</v>
      </c>
      <c r="AE183" s="2">
        <f t="shared" si="91"/>
        <v>0</v>
      </c>
      <c r="AF183" s="2">
        <f t="shared" si="92"/>
        <v>0</v>
      </c>
      <c r="AG183" s="2">
        <f t="shared" si="95"/>
        <v>0</v>
      </c>
    </row>
    <row r="184" spans="2:33" hidden="1" x14ac:dyDescent="0.25">
      <c r="B184" s="1" t="s">
        <v>90</v>
      </c>
      <c r="C184" s="2"/>
      <c r="D184" s="2"/>
      <c r="E184" s="2"/>
      <c r="F184" s="2"/>
      <c r="G184" s="2"/>
      <c r="H184" s="2"/>
      <c r="I184" s="2"/>
      <c r="J184" s="2"/>
      <c r="K184" s="2">
        <f t="shared" si="93"/>
        <v>0</v>
      </c>
      <c r="M184" s="1" t="s">
        <v>90</v>
      </c>
      <c r="N184" s="2"/>
      <c r="O184" s="2"/>
      <c r="P184" s="2"/>
      <c r="Q184" s="2"/>
      <c r="R184" s="2"/>
      <c r="S184" s="2"/>
      <c r="T184" s="2"/>
      <c r="U184" s="2"/>
      <c r="V184" s="2">
        <f t="shared" si="94"/>
        <v>0</v>
      </c>
      <c r="X184" s="1" t="s">
        <v>90</v>
      </c>
      <c r="Y184" s="2">
        <f t="shared" si="85"/>
        <v>0</v>
      </c>
      <c r="Z184" s="2">
        <f t="shared" si="86"/>
        <v>0</v>
      </c>
      <c r="AA184" s="2">
        <f t="shared" si="87"/>
        <v>0</v>
      </c>
      <c r="AB184" s="2">
        <f t="shared" si="88"/>
        <v>0</v>
      </c>
      <c r="AC184" s="2">
        <f t="shared" si="89"/>
        <v>0</v>
      </c>
      <c r="AD184" s="2">
        <f t="shared" si="90"/>
        <v>0</v>
      </c>
      <c r="AE184" s="2">
        <f t="shared" si="91"/>
        <v>0</v>
      </c>
      <c r="AF184" s="2">
        <f t="shared" si="92"/>
        <v>0</v>
      </c>
      <c r="AG184" s="2">
        <f t="shared" si="95"/>
        <v>0</v>
      </c>
    </row>
    <row r="185" spans="2:33" hidden="1" x14ac:dyDescent="0.25">
      <c r="B185" s="1" t="s">
        <v>1100</v>
      </c>
      <c r="C185" s="2"/>
      <c r="D185" s="2"/>
      <c r="E185" s="2"/>
      <c r="F185" s="2"/>
      <c r="G185" s="2"/>
      <c r="H185" s="2"/>
      <c r="I185" s="2"/>
      <c r="J185" s="2"/>
      <c r="K185" s="2">
        <f t="shared" si="93"/>
        <v>0</v>
      </c>
      <c r="M185" s="1" t="s">
        <v>1100</v>
      </c>
      <c r="N185" s="2"/>
      <c r="O185" s="2"/>
      <c r="P185" s="2"/>
      <c r="Q185" s="2"/>
      <c r="R185" s="2"/>
      <c r="S185" s="2"/>
      <c r="T185" s="2"/>
      <c r="U185" s="2"/>
      <c r="V185" s="2">
        <f t="shared" si="94"/>
        <v>0</v>
      </c>
      <c r="X185" s="1" t="s">
        <v>50</v>
      </c>
      <c r="Y185" s="2">
        <f t="shared" si="85"/>
        <v>0</v>
      </c>
      <c r="Z185" s="2">
        <f t="shared" si="86"/>
        <v>0</v>
      </c>
      <c r="AA185" s="2">
        <f t="shared" si="87"/>
        <v>0</v>
      </c>
      <c r="AB185" s="2">
        <f t="shared" si="88"/>
        <v>0</v>
      </c>
      <c r="AC185" s="2">
        <f t="shared" si="89"/>
        <v>0</v>
      </c>
      <c r="AD185" s="2">
        <f t="shared" si="90"/>
        <v>0</v>
      </c>
      <c r="AE185" s="2">
        <f t="shared" si="91"/>
        <v>0</v>
      </c>
      <c r="AF185" s="2">
        <f t="shared" si="92"/>
        <v>0</v>
      </c>
      <c r="AG185" s="2">
        <f t="shared" si="95"/>
        <v>0</v>
      </c>
    </row>
    <row r="186" spans="2:33" hidden="1" x14ac:dyDescent="0.25">
      <c r="B186" s="1" t="s">
        <v>89</v>
      </c>
      <c r="C186" s="2"/>
      <c r="D186" s="2"/>
      <c r="E186" s="2"/>
      <c r="F186" s="2"/>
      <c r="G186" s="2"/>
      <c r="H186" s="2"/>
      <c r="I186" s="2"/>
      <c r="J186" s="2"/>
      <c r="K186" s="2">
        <f t="shared" si="93"/>
        <v>0</v>
      </c>
      <c r="M186" s="1" t="s">
        <v>89</v>
      </c>
      <c r="N186" s="2"/>
      <c r="O186" s="2"/>
      <c r="P186" s="2"/>
      <c r="Q186" s="2"/>
      <c r="R186" s="2"/>
      <c r="S186" s="2"/>
      <c r="T186" s="2"/>
      <c r="U186" s="2"/>
      <c r="V186" s="2">
        <f t="shared" si="94"/>
        <v>0</v>
      </c>
      <c r="X186" s="1" t="s">
        <v>89</v>
      </c>
      <c r="Y186" s="2">
        <f t="shared" si="85"/>
        <v>0</v>
      </c>
      <c r="Z186" s="2">
        <f t="shared" si="86"/>
        <v>0</v>
      </c>
      <c r="AA186" s="2">
        <f t="shared" si="87"/>
        <v>0</v>
      </c>
      <c r="AB186" s="2">
        <f t="shared" si="88"/>
        <v>0</v>
      </c>
      <c r="AC186" s="2">
        <f t="shared" si="89"/>
        <v>0</v>
      </c>
      <c r="AD186" s="2">
        <f t="shared" si="90"/>
        <v>0</v>
      </c>
      <c r="AE186" s="2">
        <f t="shared" si="91"/>
        <v>0</v>
      </c>
      <c r="AF186" s="2">
        <f t="shared" si="92"/>
        <v>0</v>
      </c>
      <c r="AG186" s="2">
        <f t="shared" si="95"/>
        <v>0</v>
      </c>
    </row>
    <row r="187" spans="2:33" hidden="1" x14ac:dyDescent="0.25">
      <c r="B187" s="1" t="s">
        <v>5</v>
      </c>
      <c r="C187" s="2"/>
      <c r="D187" s="2"/>
      <c r="E187" s="2"/>
      <c r="F187" s="2"/>
      <c r="G187" s="2"/>
      <c r="H187" s="2"/>
      <c r="I187" s="2"/>
      <c r="J187" s="2"/>
      <c r="K187" s="2">
        <f t="shared" si="93"/>
        <v>0</v>
      </c>
      <c r="M187" s="1" t="s">
        <v>5</v>
      </c>
      <c r="N187" s="2"/>
      <c r="O187" s="2"/>
      <c r="P187" s="2"/>
      <c r="Q187" s="2"/>
      <c r="R187" s="2"/>
      <c r="S187" s="2"/>
      <c r="T187" s="2"/>
      <c r="U187" s="2"/>
      <c r="V187" s="2">
        <f t="shared" si="94"/>
        <v>0</v>
      </c>
      <c r="X187" s="1" t="s">
        <v>5</v>
      </c>
      <c r="Y187" s="2">
        <f t="shared" si="85"/>
        <v>0</v>
      </c>
      <c r="Z187" s="2">
        <f t="shared" si="86"/>
        <v>0</v>
      </c>
      <c r="AA187" s="2">
        <f t="shared" si="87"/>
        <v>0</v>
      </c>
      <c r="AB187" s="2">
        <f t="shared" si="88"/>
        <v>0</v>
      </c>
      <c r="AC187" s="2">
        <f t="shared" si="89"/>
        <v>0</v>
      </c>
      <c r="AD187" s="2">
        <f t="shared" si="90"/>
        <v>0</v>
      </c>
      <c r="AE187" s="2">
        <f t="shared" si="91"/>
        <v>0</v>
      </c>
      <c r="AF187" s="2">
        <f t="shared" si="92"/>
        <v>0</v>
      </c>
      <c r="AG187" s="2">
        <f t="shared" si="95"/>
        <v>0</v>
      </c>
    </row>
    <row r="188" spans="2:33" hidden="1" x14ac:dyDescent="0.25">
      <c r="B188" s="1" t="s">
        <v>84</v>
      </c>
      <c r="C188" s="2"/>
      <c r="D188" s="2"/>
      <c r="E188" s="2"/>
      <c r="F188" s="2"/>
      <c r="G188" s="2"/>
      <c r="H188" s="2"/>
      <c r="I188" s="2"/>
      <c r="J188" s="2"/>
      <c r="K188" s="2">
        <f t="shared" si="93"/>
        <v>0</v>
      </c>
      <c r="M188" s="1" t="s">
        <v>84</v>
      </c>
      <c r="N188" s="2"/>
      <c r="O188" s="2"/>
      <c r="P188" s="2"/>
      <c r="Q188" s="2"/>
      <c r="R188" s="2"/>
      <c r="S188" s="2"/>
      <c r="T188" s="2"/>
      <c r="U188" s="2"/>
      <c r="V188" s="2">
        <f t="shared" si="94"/>
        <v>0</v>
      </c>
      <c r="X188" s="1" t="s">
        <v>84</v>
      </c>
      <c r="Y188" s="2">
        <f t="shared" si="85"/>
        <v>0</v>
      </c>
      <c r="Z188" s="2">
        <f t="shared" si="86"/>
        <v>0</v>
      </c>
      <c r="AA188" s="2">
        <f t="shared" si="87"/>
        <v>0</v>
      </c>
      <c r="AB188" s="2">
        <f t="shared" si="88"/>
        <v>0</v>
      </c>
      <c r="AC188" s="2">
        <f t="shared" si="89"/>
        <v>0</v>
      </c>
      <c r="AD188" s="2">
        <f t="shared" si="90"/>
        <v>0</v>
      </c>
      <c r="AE188" s="2">
        <f t="shared" si="91"/>
        <v>0</v>
      </c>
      <c r="AF188" s="2">
        <f t="shared" si="92"/>
        <v>0</v>
      </c>
      <c r="AG188" s="2">
        <f t="shared" si="95"/>
        <v>0</v>
      </c>
    </row>
    <row r="189" spans="2:33" hidden="1" x14ac:dyDescent="0.25">
      <c r="B189" s="1" t="s">
        <v>4</v>
      </c>
      <c r="C189" s="2"/>
      <c r="D189" s="2"/>
      <c r="E189" s="2"/>
      <c r="F189" s="2"/>
      <c r="G189" s="2"/>
      <c r="H189" s="2"/>
      <c r="I189" s="2"/>
      <c r="J189" s="2"/>
      <c r="K189" s="2">
        <f t="shared" si="93"/>
        <v>0</v>
      </c>
      <c r="M189" s="1" t="s">
        <v>4</v>
      </c>
      <c r="N189" s="2"/>
      <c r="O189" s="2"/>
      <c r="P189" s="2"/>
      <c r="Q189" s="2"/>
      <c r="R189" s="2"/>
      <c r="S189" s="2"/>
      <c r="T189" s="2"/>
      <c r="U189" s="2"/>
      <c r="V189" s="2">
        <f t="shared" si="94"/>
        <v>0</v>
      </c>
      <c r="X189" s="1" t="s">
        <v>4</v>
      </c>
      <c r="Y189" s="2">
        <f t="shared" si="85"/>
        <v>0</v>
      </c>
      <c r="Z189" s="2">
        <f t="shared" si="86"/>
        <v>0</v>
      </c>
      <c r="AA189" s="2">
        <f t="shared" si="87"/>
        <v>0</v>
      </c>
      <c r="AB189" s="2">
        <f t="shared" si="88"/>
        <v>0</v>
      </c>
      <c r="AC189" s="2">
        <f t="shared" si="89"/>
        <v>0</v>
      </c>
      <c r="AD189" s="2">
        <f t="shared" si="90"/>
        <v>0</v>
      </c>
      <c r="AE189" s="2">
        <f t="shared" si="91"/>
        <v>0</v>
      </c>
      <c r="AF189" s="2">
        <f t="shared" si="92"/>
        <v>0</v>
      </c>
      <c r="AG189" s="2">
        <f t="shared" si="95"/>
        <v>0</v>
      </c>
    </row>
    <row r="190" spans="2:33" hidden="1" x14ac:dyDescent="0.25">
      <c r="B190" s="1" t="s">
        <v>51</v>
      </c>
      <c r="C190" s="2"/>
      <c r="D190" s="2"/>
      <c r="E190" s="2"/>
      <c r="F190" s="2"/>
      <c r="G190" s="2"/>
      <c r="H190" s="2"/>
      <c r="I190" s="2"/>
      <c r="J190" s="2"/>
      <c r="K190" s="2">
        <f t="shared" si="93"/>
        <v>0</v>
      </c>
      <c r="M190" s="1" t="s">
        <v>51</v>
      </c>
      <c r="N190" s="2"/>
      <c r="O190" s="2"/>
      <c r="P190" s="2"/>
      <c r="Q190" s="2"/>
      <c r="R190" s="2"/>
      <c r="S190" s="2"/>
      <c r="T190" s="2"/>
      <c r="U190" s="2"/>
      <c r="V190" s="2">
        <f t="shared" si="94"/>
        <v>0</v>
      </c>
      <c r="X190" s="1" t="s">
        <v>51</v>
      </c>
      <c r="Y190" s="2">
        <f t="shared" si="85"/>
        <v>0</v>
      </c>
      <c r="Z190" s="2">
        <f t="shared" si="86"/>
        <v>0</v>
      </c>
      <c r="AA190" s="2">
        <f t="shared" si="87"/>
        <v>0</v>
      </c>
      <c r="AB190" s="2">
        <f t="shared" si="88"/>
        <v>0</v>
      </c>
      <c r="AC190" s="2">
        <f t="shared" si="89"/>
        <v>0</v>
      </c>
      <c r="AD190" s="2">
        <f t="shared" si="90"/>
        <v>0</v>
      </c>
      <c r="AE190" s="2">
        <f t="shared" si="91"/>
        <v>0</v>
      </c>
      <c r="AF190" s="2">
        <f t="shared" si="92"/>
        <v>0</v>
      </c>
      <c r="AG190" s="2">
        <f t="shared" si="95"/>
        <v>0</v>
      </c>
    </row>
    <row r="191" spans="2:33" hidden="1" x14ac:dyDescent="0.25">
      <c r="B191" s="1" t="s">
        <v>87</v>
      </c>
      <c r="C191" s="2"/>
      <c r="D191" s="2"/>
      <c r="E191" s="2"/>
      <c r="F191" s="2"/>
      <c r="G191" s="2"/>
      <c r="H191" s="2"/>
      <c r="I191" s="2"/>
      <c r="J191" s="2"/>
      <c r="K191" s="2">
        <f t="shared" si="93"/>
        <v>0</v>
      </c>
      <c r="M191" s="1" t="s">
        <v>87</v>
      </c>
      <c r="N191" s="2"/>
      <c r="O191" s="2"/>
      <c r="P191" s="2"/>
      <c r="Q191" s="2"/>
      <c r="R191" s="2"/>
      <c r="S191" s="2"/>
      <c r="T191" s="2"/>
      <c r="U191" s="2"/>
      <c r="V191" s="2">
        <f t="shared" si="94"/>
        <v>0</v>
      </c>
      <c r="X191" s="1" t="s">
        <v>87</v>
      </c>
      <c r="Y191" s="2">
        <f t="shared" si="85"/>
        <v>0</v>
      </c>
      <c r="Z191" s="2">
        <f t="shared" si="86"/>
        <v>0</v>
      </c>
      <c r="AA191" s="2">
        <f t="shared" si="87"/>
        <v>0</v>
      </c>
      <c r="AB191" s="2">
        <f t="shared" si="88"/>
        <v>0</v>
      </c>
      <c r="AC191" s="2">
        <f t="shared" si="89"/>
        <v>0</v>
      </c>
      <c r="AD191" s="2">
        <f t="shared" si="90"/>
        <v>0</v>
      </c>
      <c r="AE191" s="2">
        <f t="shared" si="91"/>
        <v>0</v>
      </c>
      <c r="AF191" s="2">
        <f t="shared" si="92"/>
        <v>0</v>
      </c>
      <c r="AG191" s="2">
        <f t="shared" si="95"/>
        <v>0</v>
      </c>
    </row>
    <row r="192" spans="2:33" hidden="1" x14ac:dyDescent="0.25">
      <c r="B192" s="1" t="s">
        <v>85</v>
      </c>
      <c r="C192" s="2"/>
      <c r="D192" s="2"/>
      <c r="E192" s="2"/>
      <c r="F192" s="2"/>
      <c r="G192" s="2"/>
      <c r="H192" s="2"/>
      <c r="I192" s="2"/>
      <c r="J192" s="2"/>
      <c r="K192" s="2">
        <f t="shared" si="93"/>
        <v>0</v>
      </c>
      <c r="M192" s="1" t="s">
        <v>85</v>
      </c>
      <c r="N192" s="2"/>
      <c r="O192" s="2"/>
      <c r="P192" s="2"/>
      <c r="Q192" s="2"/>
      <c r="R192" s="2"/>
      <c r="S192" s="2"/>
      <c r="T192" s="2"/>
      <c r="U192" s="2"/>
      <c r="V192" s="2">
        <f t="shared" si="94"/>
        <v>0</v>
      </c>
      <c r="X192" s="1" t="s">
        <v>85</v>
      </c>
      <c r="Y192" s="2">
        <f t="shared" si="85"/>
        <v>0</v>
      </c>
      <c r="Z192" s="2">
        <f t="shared" si="86"/>
        <v>0</v>
      </c>
      <c r="AA192" s="2">
        <f t="shared" si="87"/>
        <v>0</v>
      </c>
      <c r="AB192" s="2">
        <f t="shared" si="88"/>
        <v>0</v>
      </c>
      <c r="AC192" s="2">
        <f t="shared" si="89"/>
        <v>0</v>
      </c>
      <c r="AD192" s="2">
        <f t="shared" si="90"/>
        <v>0</v>
      </c>
      <c r="AE192" s="2">
        <f t="shared" si="91"/>
        <v>0</v>
      </c>
      <c r="AF192" s="2">
        <f t="shared" si="92"/>
        <v>0</v>
      </c>
      <c r="AG192" s="2">
        <f t="shared" si="95"/>
        <v>0</v>
      </c>
    </row>
    <row r="193" spans="2:33" hidden="1" x14ac:dyDescent="0.25">
      <c r="B193" s="1" t="s">
        <v>2</v>
      </c>
      <c r="C193" s="2"/>
      <c r="D193" s="2"/>
      <c r="E193" s="2"/>
      <c r="F193" s="2"/>
      <c r="G193" s="2"/>
      <c r="H193" s="2"/>
      <c r="I193" s="2"/>
      <c r="J193" s="2"/>
      <c r="K193" s="2">
        <f t="shared" si="93"/>
        <v>0</v>
      </c>
      <c r="M193" s="1" t="s">
        <v>2</v>
      </c>
      <c r="N193" s="2"/>
      <c r="O193" s="2"/>
      <c r="P193" s="2"/>
      <c r="Q193" s="2"/>
      <c r="R193" s="2"/>
      <c r="S193" s="2"/>
      <c r="T193" s="2"/>
      <c r="U193" s="2"/>
      <c r="V193" s="2">
        <f t="shared" si="94"/>
        <v>0</v>
      </c>
      <c r="X193" s="1" t="s">
        <v>2</v>
      </c>
      <c r="Y193" s="2">
        <f t="shared" si="85"/>
        <v>0</v>
      </c>
      <c r="Z193" s="2">
        <f t="shared" si="86"/>
        <v>0</v>
      </c>
      <c r="AA193" s="2">
        <f t="shared" si="87"/>
        <v>0</v>
      </c>
      <c r="AB193" s="2">
        <f t="shared" si="88"/>
        <v>0</v>
      </c>
      <c r="AC193" s="2">
        <f t="shared" si="89"/>
        <v>0</v>
      </c>
      <c r="AD193" s="2">
        <f t="shared" si="90"/>
        <v>0</v>
      </c>
      <c r="AE193" s="2">
        <f t="shared" si="91"/>
        <v>0</v>
      </c>
      <c r="AF193" s="2">
        <f t="shared" si="92"/>
        <v>0</v>
      </c>
      <c r="AG193" s="2">
        <f t="shared" si="95"/>
        <v>0</v>
      </c>
    </row>
    <row r="194" spans="2:33" hidden="1" x14ac:dyDescent="0.25">
      <c r="B194" s="1" t="s">
        <v>86</v>
      </c>
      <c r="C194" s="2"/>
      <c r="D194" s="2"/>
      <c r="E194" s="2"/>
      <c r="F194" s="2"/>
      <c r="G194" s="2"/>
      <c r="H194" s="2"/>
      <c r="I194" s="2"/>
      <c r="J194" s="2"/>
      <c r="K194" s="2">
        <f t="shared" si="93"/>
        <v>0</v>
      </c>
      <c r="M194" s="1" t="s">
        <v>86</v>
      </c>
      <c r="N194" s="2"/>
      <c r="O194" s="2"/>
      <c r="P194" s="2"/>
      <c r="Q194" s="2"/>
      <c r="R194" s="2"/>
      <c r="S194" s="2"/>
      <c r="T194" s="2"/>
      <c r="U194" s="2"/>
      <c r="V194" s="2">
        <f t="shared" si="94"/>
        <v>0</v>
      </c>
      <c r="X194" s="1" t="s">
        <v>86</v>
      </c>
      <c r="Y194" s="2">
        <f t="shared" si="85"/>
        <v>0</v>
      </c>
      <c r="Z194" s="2">
        <f t="shared" si="86"/>
        <v>0</v>
      </c>
      <c r="AA194" s="2">
        <f t="shared" si="87"/>
        <v>0</v>
      </c>
      <c r="AB194" s="2">
        <f t="shared" si="88"/>
        <v>0</v>
      </c>
      <c r="AC194" s="2">
        <f t="shared" si="89"/>
        <v>0</v>
      </c>
      <c r="AD194" s="2">
        <f t="shared" si="90"/>
        <v>0</v>
      </c>
      <c r="AE194" s="2">
        <f t="shared" si="91"/>
        <v>0</v>
      </c>
      <c r="AF194" s="2">
        <f t="shared" si="92"/>
        <v>0</v>
      </c>
      <c r="AG194" s="2">
        <f t="shared" si="95"/>
        <v>0</v>
      </c>
    </row>
    <row r="195" spans="2:33" hidden="1" x14ac:dyDescent="0.25">
      <c r="B195" s="1" t="s">
        <v>29</v>
      </c>
      <c r="C195" s="2"/>
      <c r="D195" s="2"/>
      <c r="E195" s="2"/>
      <c r="F195" s="2"/>
      <c r="G195" s="2"/>
      <c r="H195" s="2"/>
      <c r="I195" s="2"/>
      <c r="J195" s="2"/>
      <c r="K195" s="2">
        <f t="shared" si="93"/>
        <v>0</v>
      </c>
      <c r="M195" s="1" t="s">
        <v>29</v>
      </c>
      <c r="N195" s="2"/>
      <c r="O195" s="2"/>
      <c r="P195" s="2"/>
      <c r="Q195" s="2"/>
      <c r="R195" s="2"/>
      <c r="S195" s="2"/>
      <c r="T195" s="2"/>
      <c r="U195" s="2"/>
      <c r="V195" s="2">
        <f t="shared" si="94"/>
        <v>0</v>
      </c>
      <c r="X195" s="1" t="s">
        <v>29</v>
      </c>
      <c r="Y195" s="2">
        <f t="shared" si="85"/>
        <v>0</v>
      </c>
      <c r="Z195" s="2">
        <f t="shared" si="86"/>
        <v>0</v>
      </c>
      <c r="AA195" s="2">
        <f t="shared" si="87"/>
        <v>0</v>
      </c>
      <c r="AB195" s="2">
        <f t="shared" si="88"/>
        <v>0</v>
      </c>
      <c r="AC195" s="2">
        <f t="shared" si="89"/>
        <v>0</v>
      </c>
      <c r="AD195" s="2">
        <f t="shared" si="90"/>
        <v>0</v>
      </c>
      <c r="AE195" s="2">
        <f t="shared" si="91"/>
        <v>0</v>
      </c>
      <c r="AF195" s="2">
        <f t="shared" si="92"/>
        <v>0</v>
      </c>
      <c r="AG195" s="2">
        <f t="shared" si="95"/>
        <v>0</v>
      </c>
    </row>
    <row r="196" spans="2:33" hidden="1" x14ac:dyDescent="0.25">
      <c r="B196" s="1" t="s">
        <v>88</v>
      </c>
      <c r="C196" s="2"/>
      <c r="D196" s="2"/>
      <c r="E196" s="2"/>
      <c r="F196" s="2"/>
      <c r="G196" s="2"/>
      <c r="H196" s="2"/>
      <c r="I196" s="2"/>
      <c r="J196" s="2"/>
      <c r="K196" s="2">
        <f t="shared" si="93"/>
        <v>0</v>
      </c>
      <c r="M196" s="1" t="s">
        <v>88</v>
      </c>
      <c r="N196" s="2"/>
      <c r="O196" s="2"/>
      <c r="P196" s="2"/>
      <c r="Q196" s="2"/>
      <c r="R196" s="2"/>
      <c r="S196" s="2"/>
      <c r="T196" s="2"/>
      <c r="U196" s="2"/>
      <c r="V196" s="2">
        <f t="shared" si="94"/>
        <v>0</v>
      </c>
      <c r="X196" s="1" t="s">
        <v>52</v>
      </c>
      <c r="Y196" s="2">
        <f t="shared" si="85"/>
        <v>0</v>
      </c>
      <c r="Z196" s="2">
        <f t="shared" si="86"/>
        <v>0</v>
      </c>
      <c r="AA196" s="2">
        <f t="shared" si="87"/>
        <v>0</v>
      </c>
      <c r="AB196" s="2">
        <f t="shared" si="88"/>
        <v>0</v>
      </c>
      <c r="AC196" s="2">
        <f t="shared" si="89"/>
        <v>0</v>
      </c>
      <c r="AD196" s="2">
        <f t="shared" si="90"/>
        <v>0</v>
      </c>
      <c r="AE196" s="2">
        <f t="shared" si="91"/>
        <v>0</v>
      </c>
      <c r="AF196" s="2">
        <f t="shared" si="92"/>
        <v>0</v>
      </c>
      <c r="AG196" s="2">
        <f t="shared" si="95"/>
        <v>0</v>
      </c>
    </row>
    <row r="197" spans="2:33" hidden="1" x14ac:dyDescent="0.25">
      <c r="B197" s="1" t="s">
        <v>1098</v>
      </c>
      <c r="C197" s="2"/>
      <c r="D197" s="2"/>
      <c r="E197" s="2"/>
      <c r="F197" s="2"/>
      <c r="G197" s="2"/>
      <c r="H197" s="2"/>
      <c r="I197" s="2"/>
      <c r="J197" s="2"/>
      <c r="K197" s="2">
        <f t="shared" si="93"/>
        <v>0</v>
      </c>
      <c r="M197" s="1" t="s">
        <v>1098</v>
      </c>
      <c r="N197" s="2"/>
      <c r="O197" s="2"/>
      <c r="P197" s="2"/>
      <c r="Q197" s="2"/>
      <c r="R197" s="2"/>
      <c r="S197" s="2"/>
      <c r="T197" s="2"/>
      <c r="U197" s="2"/>
      <c r="V197" s="2">
        <f t="shared" si="94"/>
        <v>0</v>
      </c>
      <c r="X197" s="1" t="s">
        <v>88</v>
      </c>
      <c r="Y197" s="2">
        <f t="shared" si="85"/>
        <v>0</v>
      </c>
      <c r="Z197" s="2">
        <f t="shared" si="86"/>
        <v>0</v>
      </c>
      <c r="AA197" s="2">
        <f t="shared" si="87"/>
        <v>0</v>
      </c>
      <c r="AB197" s="2">
        <f t="shared" si="88"/>
        <v>0</v>
      </c>
      <c r="AC197" s="2">
        <f t="shared" si="89"/>
        <v>0</v>
      </c>
      <c r="AD197" s="2">
        <f t="shared" si="90"/>
        <v>0</v>
      </c>
      <c r="AE197" s="2">
        <f t="shared" si="91"/>
        <v>0</v>
      </c>
      <c r="AF197" s="2">
        <f t="shared" si="92"/>
        <v>0</v>
      </c>
      <c r="AG197" s="2">
        <f t="shared" si="95"/>
        <v>0</v>
      </c>
    </row>
    <row r="198" spans="2:33" hidden="1" x14ac:dyDescent="0.25">
      <c r="B198" s="1" t="s">
        <v>1099</v>
      </c>
      <c r="C198" s="2"/>
      <c r="D198" s="2"/>
      <c r="E198" s="2"/>
      <c r="F198" s="2"/>
      <c r="G198" s="2"/>
      <c r="H198" s="2"/>
      <c r="I198" s="2"/>
      <c r="J198" s="2"/>
      <c r="K198" s="2">
        <f t="shared" si="93"/>
        <v>0</v>
      </c>
      <c r="M198" s="1" t="s">
        <v>1099</v>
      </c>
      <c r="N198" s="2"/>
      <c r="O198" s="2"/>
      <c r="P198" s="2"/>
      <c r="Q198" s="2"/>
      <c r="R198" s="2"/>
      <c r="S198" s="2"/>
      <c r="T198" s="2"/>
      <c r="U198" s="2"/>
      <c r="V198" s="2">
        <f t="shared" si="94"/>
        <v>0</v>
      </c>
      <c r="X198" s="1" t="s">
        <v>1</v>
      </c>
      <c r="Y198" s="2">
        <f t="shared" si="85"/>
        <v>0</v>
      </c>
      <c r="Z198" s="2">
        <f t="shared" si="86"/>
        <v>0</v>
      </c>
      <c r="AA198" s="2">
        <f t="shared" si="87"/>
        <v>0</v>
      </c>
      <c r="AB198" s="2">
        <f t="shared" si="88"/>
        <v>0</v>
      </c>
      <c r="AC198" s="2">
        <f t="shared" si="89"/>
        <v>0</v>
      </c>
      <c r="AD198" s="2">
        <f t="shared" si="90"/>
        <v>0</v>
      </c>
      <c r="AE198" s="2">
        <f t="shared" si="91"/>
        <v>0</v>
      </c>
      <c r="AF198" s="2">
        <f t="shared" si="92"/>
        <v>0</v>
      </c>
      <c r="AG198" s="2">
        <f t="shared" si="95"/>
        <v>0</v>
      </c>
    </row>
    <row r="199" spans="2:33" ht="15.75" hidden="1" thickBot="1" x14ac:dyDescent="0.3">
      <c r="C199" s="70">
        <f>SUM(C179:C198)</f>
        <v>0</v>
      </c>
      <c r="D199" s="70">
        <f t="shared" ref="D199:J199" si="96">SUM(D179:D198)</f>
        <v>0</v>
      </c>
      <c r="E199" s="70">
        <f t="shared" si="96"/>
        <v>0</v>
      </c>
      <c r="F199" s="70">
        <f t="shared" si="96"/>
        <v>0</v>
      </c>
      <c r="G199" s="70">
        <f t="shared" si="96"/>
        <v>0</v>
      </c>
      <c r="H199" s="70">
        <f t="shared" si="96"/>
        <v>0</v>
      </c>
      <c r="I199" s="70">
        <f t="shared" si="96"/>
        <v>0</v>
      </c>
      <c r="J199" s="70">
        <f t="shared" si="96"/>
        <v>0</v>
      </c>
      <c r="K199" s="70">
        <f>SUM(K179:K198)</f>
        <v>0</v>
      </c>
      <c r="N199" s="70">
        <f>SUM(N179:N198)</f>
        <v>0</v>
      </c>
      <c r="O199" s="70">
        <f t="shared" ref="O199:U199" si="97">SUM(O179:O198)</f>
        <v>0</v>
      </c>
      <c r="P199" s="70">
        <f t="shared" si="97"/>
        <v>0</v>
      </c>
      <c r="Q199" s="70">
        <f t="shared" si="97"/>
        <v>0</v>
      </c>
      <c r="R199" s="70">
        <f t="shared" si="97"/>
        <v>0</v>
      </c>
      <c r="S199" s="70">
        <f t="shared" si="97"/>
        <v>0</v>
      </c>
      <c r="T199" s="70">
        <f t="shared" si="97"/>
        <v>0</v>
      </c>
      <c r="U199" s="70">
        <f t="shared" si="97"/>
        <v>0</v>
      </c>
      <c r="V199" s="70">
        <f>SUM(V179:V198)</f>
        <v>0</v>
      </c>
      <c r="Y199" s="70">
        <f>SUM(Y179:Y198)</f>
        <v>0</v>
      </c>
      <c r="Z199" s="70">
        <f t="shared" ref="Z199:AF199" si="98">SUM(Z179:Z198)</f>
        <v>0</v>
      </c>
      <c r="AA199" s="70">
        <f t="shared" si="98"/>
        <v>0</v>
      </c>
      <c r="AB199" s="70">
        <f t="shared" si="98"/>
        <v>0</v>
      </c>
      <c r="AC199" s="70">
        <f t="shared" si="98"/>
        <v>0</v>
      </c>
      <c r="AD199" s="70">
        <f t="shared" si="98"/>
        <v>0</v>
      </c>
      <c r="AE199" s="70">
        <f t="shared" si="98"/>
        <v>0</v>
      </c>
      <c r="AF199" s="70">
        <f t="shared" si="98"/>
        <v>0</v>
      </c>
      <c r="AG199" s="70">
        <f>SUM(AG179:AG198)</f>
        <v>0</v>
      </c>
    </row>
    <row r="200" spans="2:33" hidden="1" x14ac:dyDescent="0.25"/>
    <row r="201" spans="2:33" hidden="1" x14ac:dyDescent="0.25"/>
    <row r="202" spans="2:33" hidden="1" x14ac:dyDescent="0.25">
      <c r="B202" s="72" t="s">
        <v>96</v>
      </c>
      <c r="C202" s="187">
        <f>$C$20</f>
        <v>45199</v>
      </c>
      <c r="D202" s="175"/>
      <c r="E202" s="175"/>
      <c r="F202" s="175"/>
      <c r="G202" s="175"/>
      <c r="H202" s="175"/>
      <c r="I202" s="175"/>
      <c r="J202" s="175"/>
      <c r="K202" s="175"/>
      <c r="M202" s="72" t="s">
        <v>96</v>
      </c>
      <c r="N202" s="193">
        <f>$N$20</f>
        <v>45169</v>
      </c>
      <c r="O202" s="194"/>
      <c r="P202" s="194"/>
      <c r="Q202" s="194"/>
      <c r="R202" s="194"/>
      <c r="S202" s="194"/>
      <c r="T202" s="194"/>
      <c r="U202" s="194"/>
      <c r="V202" s="194"/>
      <c r="Y202" s="175" t="s">
        <v>97</v>
      </c>
      <c r="Z202" s="175"/>
      <c r="AA202" s="175"/>
      <c r="AB202" s="175"/>
      <c r="AC202" s="175"/>
      <c r="AD202" s="175"/>
      <c r="AE202" s="175"/>
      <c r="AF202" s="175"/>
      <c r="AG202" s="175"/>
    </row>
    <row r="203" spans="2:33" hidden="1" x14ac:dyDescent="0.25">
      <c r="B203" s="72" t="s">
        <v>95</v>
      </c>
      <c r="C203" s="175" t="str">
        <f>'Reimbursement Rates &lt;-INPUT'!I7</f>
        <v>Clinic 8</v>
      </c>
      <c r="D203" s="175"/>
      <c r="E203" s="175"/>
      <c r="F203" s="175"/>
      <c r="G203" s="175"/>
      <c r="H203" s="175"/>
      <c r="I203" s="175"/>
      <c r="J203" s="175"/>
      <c r="K203" s="175"/>
      <c r="M203" s="72" t="s">
        <v>95</v>
      </c>
      <c r="N203" s="175" t="str">
        <f>C203</f>
        <v>Clinic 8</v>
      </c>
      <c r="O203" s="175"/>
      <c r="P203" s="175"/>
      <c r="Q203" s="175"/>
      <c r="R203" s="175"/>
      <c r="S203" s="175"/>
      <c r="T203" s="175"/>
      <c r="U203" s="175"/>
      <c r="V203" s="175"/>
      <c r="X203" s="71" t="s">
        <v>95</v>
      </c>
      <c r="Y203" s="175" t="str">
        <f>C203</f>
        <v>Clinic 8</v>
      </c>
      <c r="Z203" s="175"/>
      <c r="AA203" s="175"/>
      <c r="AB203" s="175"/>
      <c r="AC203" s="175"/>
      <c r="AD203" s="175"/>
      <c r="AE203" s="175"/>
      <c r="AF203" s="175"/>
      <c r="AG203" s="175"/>
    </row>
    <row r="204" spans="2:33" hidden="1" x14ac:dyDescent="0.25">
      <c r="B204" s="4" t="s">
        <v>16</v>
      </c>
      <c r="C204" s="5" t="s">
        <v>15</v>
      </c>
      <c r="D204" s="5" t="s">
        <v>14</v>
      </c>
      <c r="E204" s="5" t="s">
        <v>13</v>
      </c>
      <c r="F204" s="5" t="s">
        <v>12</v>
      </c>
      <c r="G204" s="5" t="s">
        <v>93</v>
      </c>
      <c r="H204" s="5" t="s">
        <v>94</v>
      </c>
      <c r="I204" s="5" t="s">
        <v>38</v>
      </c>
      <c r="J204" s="5" t="s">
        <v>9</v>
      </c>
      <c r="K204" s="5" t="s">
        <v>80</v>
      </c>
      <c r="M204" s="4" t="s">
        <v>16</v>
      </c>
      <c r="N204" s="5" t="s">
        <v>15</v>
      </c>
      <c r="O204" s="5" t="s">
        <v>14</v>
      </c>
      <c r="P204" s="5" t="s">
        <v>13</v>
      </c>
      <c r="Q204" s="5" t="s">
        <v>12</v>
      </c>
      <c r="R204" s="5" t="s">
        <v>93</v>
      </c>
      <c r="S204" s="5" t="s">
        <v>94</v>
      </c>
      <c r="T204" s="5" t="s">
        <v>38</v>
      </c>
      <c r="U204" s="5" t="s">
        <v>9</v>
      </c>
      <c r="V204" s="5" t="s">
        <v>80</v>
      </c>
      <c r="X204" s="4" t="s">
        <v>16</v>
      </c>
      <c r="Y204" s="5" t="s">
        <v>15</v>
      </c>
      <c r="Z204" s="5" t="s">
        <v>14</v>
      </c>
      <c r="AA204" s="5" t="s">
        <v>13</v>
      </c>
      <c r="AB204" s="5" t="s">
        <v>12</v>
      </c>
      <c r="AC204" s="5" t="s">
        <v>93</v>
      </c>
      <c r="AD204" s="5" t="s">
        <v>94</v>
      </c>
      <c r="AE204" s="5" t="s">
        <v>38</v>
      </c>
      <c r="AF204" s="5" t="s">
        <v>9</v>
      </c>
      <c r="AG204" s="5" t="s">
        <v>80</v>
      </c>
    </row>
    <row r="205" spans="2:33" hidden="1" x14ac:dyDescent="0.25">
      <c r="B205" s="1" t="s">
        <v>1094</v>
      </c>
      <c r="C205" s="2"/>
      <c r="D205" s="2"/>
      <c r="E205" s="2"/>
      <c r="F205" s="2"/>
      <c r="G205" s="2"/>
      <c r="H205" s="2"/>
      <c r="I205" s="2"/>
      <c r="J205" s="2"/>
      <c r="K205" s="2">
        <f>SUM(C205:J205)</f>
        <v>0</v>
      </c>
      <c r="M205" s="1" t="s">
        <v>1094</v>
      </c>
      <c r="N205" s="2"/>
      <c r="O205" s="2"/>
      <c r="P205" s="2"/>
      <c r="Q205" s="2"/>
      <c r="R205" s="2"/>
      <c r="S205" s="2"/>
      <c r="T205" s="2"/>
      <c r="U205" s="2"/>
      <c r="V205" s="2">
        <f>SUM(N205:U205)</f>
        <v>0</v>
      </c>
      <c r="X205" s="1" t="s">
        <v>49</v>
      </c>
      <c r="Y205" s="2">
        <f t="shared" ref="Y205:Y224" si="99">C205-N205</f>
        <v>0</v>
      </c>
      <c r="Z205" s="2">
        <f t="shared" ref="Z205:Z224" si="100">D205-O205</f>
        <v>0</v>
      </c>
      <c r="AA205" s="2">
        <f t="shared" ref="AA205:AA224" si="101">E205-P205</f>
        <v>0</v>
      </c>
      <c r="AB205" s="2">
        <f t="shared" ref="AB205:AB224" si="102">F205-Q205</f>
        <v>0</v>
      </c>
      <c r="AC205" s="2">
        <f t="shared" ref="AC205:AC224" si="103">G205-R205</f>
        <v>0</v>
      </c>
      <c r="AD205" s="2">
        <f t="shared" ref="AD205:AD224" si="104">H205-S205</f>
        <v>0</v>
      </c>
      <c r="AE205" s="2">
        <f t="shared" ref="AE205:AE224" si="105">I205-T205</f>
        <v>0</v>
      </c>
      <c r="AF205" s="2">
        <f t="shared" ref="AF205:AF224" si="106">J205-U205</f>
        <v>0</v>
      </c>
      <c r="AG205" s="2">
        <f>SUM(Y205:AF205)</f>
        <v>0</v>
      </c>
    </row>
    <row r="206" spans="2:33" hidden="1" x14ac:dyDescent="0.25">
      <c r="B206" s="1" t="s">
        <v>8</v>
      </c>
      <c r="C206" s="2"/>
      <c r="D206" s="2"/>
      <c r="E206" s="2"/>
      <c r="F206" s="2"/>
      <c r="G206" s="2"/>
      <c r="H206" s="2"/>
      <c r="I206" s="2"/>
      <c r="J206" s="2"/>
      <c r="K206" s="2">
        <f t="shared" ref="K206:K224" si="107">SUM(C206:J206)</f>
        <v>0</v>
      </c>
      <c r="M206" s="1" t="s">
        <v>8</v>
      </c>
      <c r="N206" s="2"/>
      <c r="O206" s="2"/>
      <c r="P206" s="2"/>
      <c r="Q206" s="2"/>
      <c r="R206" s="2"/>
      <c r="S206" s="2"/>
      <c r="T206" s="2"/>
      <c r="U206" s="2"/>
      <c r="V206" s="2">
        <f t="shared" ref="V206:V224" si="108">SUM(N206:U206)</f>
        <v>0</v>
      </c>
      <c r="X206" s="1" t="s">
        <v>8</v>
      </c>
      <c r="Y206" s="2">
        <f t="shared" si="99"/>
        <v>0</v>
      </c>
      <c r="Z206" s="2">
        <f t="shared" si="100"/>
        <v>0</v>
      </c>
      <c r="AA206" s="2">
        <f t="shared" si="101"/>
        <v>0</v>
      </c>
      <c r="AB206" s="2">
        <f t="shared" si="102"/>
        <v>0</v>
      </c>
      <c r="AC206" s="2">
        <f t="shared" si="103"/>
        <v>0</v>
      </c>
      <c r="AD206" s="2">
        <f t="shared" si="104"/>
        <v>0</v>
      </c>
      <c r="AE206" s="2">
        <f t="shared" si="105"/>
        <v>0</v>
      </c>
      <c r="AF206" s="2">
        <f t="shared" si="106"/>
        <v>0</v>
      </c>
      <c r="AG206" s="2">
        <f t="shared" ref="AG206:AG224" si="109">SUM(Y206:AF206)</f>
        <v>0</v>
      </c>
    </row>
    <row r="207" spans="2:33" hidden="1" x14ac:dyDescent="0.25">
      <c r="B207" s="1" t="s">
        <v>1095</v>
      </c>
      <c r="C207" s="2"/>
      <c r="D207" s="2"/>
      <c r="E207" s="2"/>
      <c r="F207" s="2"/>
      <c r="G207" s="2"/>
      <c r="H207" s="2"/>
      <c r="I207" s="2"/>
      <c r="J207" s="2"/>
      <c r="K207" s="2">
        <f t="shared" si="107"/>
        <v>0</v>
      </c>
      <c r="M207" s="1" t="s">
        <v>1095</v>
      </c>
      <c r="N207" s="2"/>
      <c r="O207" s="2"/>
      <c r="P207" s="2"/>
      <c r="Q207" s="2"/>
      <c r="R207" s="2"/>
      <c r="S207" s="2"/>
      <c r="T207" s="2"/>
      <c r="U207" s="2"/>
      <c r="V207" s="2">
        <f t="shared" si="108"/>
        <v>0</v>
      </c>
      <c r="X207" s="1" t="s">
        <v>7</v>
      </c>
      <c r="Y207" s="2">
        <f t="shared" si="99"/>
        <v>0</v>
      </c>
      <c r="Z207" s="2">
        <f t="shared" si="100"/>
        <v>0</v>
      </c>
      <c r="AA207" s="2">
        <f t="shared" si="101"/>
        <v>0</v>
      </c>
      <c r="AB207" s="2">
        <f t="shared" si="102"/>
        <v>0</v>
      </c>
      <c r="AC207" s="2">
        <f t="shared" si="103"/>
        <v>0</v>
      </c>
      <c r="AD207" s="2">
        <f t="shared" si="104"/>
        <v>0</v>
      </c>
      <c r="AE207" s="2">
        <f t="shared" si="105"/>
        <v>0</v>
      </c>
      <c r="AF207" s="2">
        <f t="shared" si="106"/>
        <v>0</v>
      </c>
      <c r="AG207" s="2">
        <f t="shared" si="109"/>
        <v>0</v>
      </c>
    </row>
    <row r="208" spans="2:33" hidden="1" x14ac:dyDescent="0.25">
      <c r="B208" s="1" t="s">
        <v>42</v>
      </c>
      <c r="C208" s="2"/>
      <c r="D208" s="2"/>
      <c r="E208" s="2"/>
      <c r="F208" s="2"/>
      <c r="G208" s="2"/>
      <c r="H208" s="2"/>
      <c r="I208" s="2"/>
      <c r="J208" s="2"/>
      <c r="K208" s="2">
        <f t="shared" si="107"/>
        <v>0</v>
      </c>
      <c r="M208" s="1" t="s">
        <v>42</v>
      </c>
      <c r="N208" s="2"/>
      <c r="O208" s="2"/>
      <c r="P208" s="2"/>
      <c r="Q208" s="2"/>
      <c r="R208" s="2"/>
      <c r="S208" s="2"/>
      <c r="T208" s="2"/>
      <c r="U208" s="2"/>
      <c r="V208" s="2">
        <f t="shared" si="108"/>
        <v>0</v>
      </c>
      <c r="X208" s="1" t="s">
        <v>42</v>
      </c>
      <c r="Y208" s="2">
        <f t="shared" si="99"/>
        <v>0</v>
      </c>
      <c r="Z208" s="2">
        <f t="shared" si="100"/>
        <v>0</v>
      </c>
      <c r="AA208" s="2">
        <f t="shared" si="101"/>
        <v>0</v>
      </c>
      <c r="AB208" s="2">
        <f t="shared" si="102"/>
        <v>0</v>
      </c>
      <c r="AC208" s="2">
        <f t="shared" si="103"/>
        <v>0</v>
      </c>
      <c r="AD208" s="2">
        <f t="shared" si="104"/>
        <v>0</v>
      </c>
      <c r="AE208" s="2">
        <f t="shared" si="105"/>
        <v>0</v>
      </c>
      <c r="AF208" s="2">
        <f t="shared" si="106"/>
        <v>0</v>
      </c>
      <c r="AG208" s="2">
        <f t="shared" si="109"/>
        <v>0</v>
      </c>
    </row>
    <row r="209" spans="2:33" hidden="1" x14ac:dyDescent="0.25">
      <c r="B209" s="1" t="s">
        <v>6</v>
      </c>
      <c r="C209" s="2"/>
      <c r="D209" s="2"/>
      <c r="E209" s="2"/>
      <c r="F209" s="2"/>
      <c r="G209" s="2"/>
      <c r="H209" s="2"/>
      <c r="I209" s="2"/>
      <c r="J209" s="2"/>
      <c r="K209" s="2">
        <f t="shared" si="107"/>
        <v>0</v>
      </c>
      <c r="M209" s="1" t="s">
        <v>6</v>
      </c>
      <c r="N209" s="2"/>
      <c r="O209" s="2"/>
      <c r="P209" s="2"/>
      <c r="Q209" s="2"/>
      <c r="R209" s="2"/>
      <c r="S209" s="2"/>
      <c r="T209" s="2"/>
      <c r="U209" s="2"/>
      <c r="V209" s="2">
        <f t="shared" si="108"/>
        <v>0</v>
      </c>
      <c r="X209" s="1" t="s">
        <v>6</v>
      </c>
      <c r="Y209" s="2">
        <f t="shared" si="99"/>
        <v>0</v>
      </c>
      <c r="Z209" s="2">
        <f t="shared" si="100"/>
        <v>0</v>
      </c>
      <c r="AA209" s="2">
        <f t="shared" si="101"/>
        <v>0</v>
      </c>
      <c r="AB209" s="2">
        <f t="shared" si="102"/>
        <v>0</v>
      </c>
      <c r="AC209" s="2">
        <f t="shared" si="103"/>
        <v>0</v>
      </c>
      <c r="AD209" s="2">
        <f t="shared" si="104"/>
        <v>0</v>
      </c>
      <c r="AE209" s="2">
        <f t="shared" si="105"/>
        <v>0</v>
      </c>
      <c r="AF209" s="2">
        <f t="shared" si="106"/>
        <v>0</v>
      </c>
      <c r="AG209" s="2">
        <f t="shared" si="109"/>
        <v>0</v>
      </c>
    </row>
    <row r="210" spans="2:33" hidden="1" x14ac:dyDescent="0.25">
      <c r="B210" s="1" t="s">
        <v>90</v>
      </c>
      <c r="C210" s="2"/>
      <c r="D210" s="2"/>
      <c r="E210" s="2"/>
      <c r="F210" s="2"/>
      <c r="G210" s="2"/>
      <c r="H210" s="2"/>
      <c r="I210" s="2"/>
      <c r="J210" s="2"/>
      <c r="K210" s="2">
        <f t="shared" si="107"/>
        <v>0</v>
      </c>
      <c r="M210" s="1" t="s">
        <v>90</v>
      </c>
      <c r="N210" s="2"/>
      <c r="O210" s="2"/>
      <c r="P210" s="2"/>
      <c r="Q210" s="2"/>
      <c r="R210" s="2"/>
      <c r="S210" s="2"/>
      <c r="T210" s="2"/>
      <c r="U210" s="2"/>
      <c r="V210" s="2">
        <f t="shared" si="108"/>
        <v>0</v>
      </c>
      <c r="X210" s="1" t="s">
        <v>90</v>
      </c>
      <c r="Y210" s="2">
        <f t="shared" si="99"/>
        <v>0</v>
      </c>
      <c r="Z210" s="2">
        <f t="shared" si="100"/>
        <v>0</v>
      </c>
      <c r="AA210" s="2">
        <f t="shared" si="101"/>
        <v>0</v>
      </c>
      <c r="AB210" s="2">
        <f t="shared" si="102"/>
        <v>0</v>
      </c>
      <c r="AC210" s="2">
        <f t="shared" si="103"/>
        <v>0</v>
      </c>
      <c r="AD210" s="2">
        <f t="shared" si="104"/>
        <v>0</v>
      </c>
      <c r="AE210" s="2">
        <f t="shared" si="105"/>
        <v>0</v>
      </c>
      <c r="AF210" s="2">
        <f t="shared" si="106"/>
        <v>0</v>
      </c>
      <c r="AG210" s="2">
        <f t="shared" si="109"/>
        <v>0</v>
      </c>
    </row>
    <row r="211" spans="2:33" hidden="1" x14ac:dyDescent="0.25">
      <c r="B211" s="1" t="s">
        <v>1100</v>
      </c>
      <c r="C211" s="2"/>
      <c r="D211" s="2"/>
      <c r="E211" s="2"/>
      <c r="F211" s="2"/>
      <c r="G211" s="2"/>
      <c r="H211" s="2"/>
      <c r="I211" s="2"/>
      <c r="J211" s="2"/>
      <c r="K211" s="2">
        <f t="shared" si="107"/>
        <v>0</v>
      </c>
      <c r="M211" s="1" t="s">
        <v>1100</v>
      </c>
      <c r="N211" s="2"/>
      <c r="O211" s="2"/>
      <c r="P211" s="2"/>
      <c r="Q211" s="2"/>
      <c r="R211" s="2"/>
      <c r="S211" s="2"/>
      <c r="T211" s="2"/>
      <c r="U211" s="2"/>
      <c r="V211" s="2">
        <f t="shared" si="108"/>
        <v>0</v>
      </c>
      <c r="X211" s="1" t="s">
        <v>50</v>
      </c>
      <c r="Y211" s="2">
        <f t="shared" si="99"/>
        <v>0</v>
      </c>
      <c r="Z211" s="2">
        <f t="shared" si="100"/>
        <v>0</v>
      </c>
      <c r="AA211" s="2">
        <f t="shared" si="101"/>
        <v>0</v>
      </c>
      <c r="AB211" s="2">
        <f t="shared" si="102"/>
        <v>0</v>
      </c>
      <c r="AC211" s="2">
        <f t="shared" si="103"/>
        <v>0</v>
      </c>
      <c r="AD211" s="2">
        <f t="shared" si="104"/>
        <v>0</v>
      </c>
      <c r="AE211" s="2">
        <f t="shared" si="105"/>
        <v>0</v>
      </c>
      <c r="AF211" s="2">
        <f t="shared" si="106"/>
        <v>0</v>
      </c>
      <c r="AG211" s="2">
        <f t="shared" si="109"/>
        <v>0</v>
      </c>
    </row>
    <row r="212" spans="2:33" hidden="1" x14ac:dyDescent="0.25">
      <c r="B212" s="1" t="s">
        <v>89</v>
      </c>
      <c r="C212" s="2"/>
      <c r="D212" s="2"/>
      <c r="E212" s="2"/>
      <c r="F212" s="2"/>
      <c r="G212" s="2"/>
      <c r="H212" s="2"/>
      <c r="I212" s="2"/>
      <c r="J212" s="2"/>
      <c r="K212" s="2">
        <f t="shared" si="107"/>
        <v>0</v>
      </c>
      <c r="M212" s="1" t="s">
        <v>89</v>
      </c>
      <c r="N212" s="2"/>
      <c r="O212" s="2"/>
      <c r="P212" s="2"/>
      <c r="Q212" s="2"/>
      <c r="R212" s="2"/>
      <c r="S212" s="2"/>
      <c r="T212" s="2"/>
      <c r="U212" s="2"/>
      <c r="V212" s="2">
        <f t="shared" si="108"/>
        <v>0</v>
      </c>
      <c r="X212" s="1" t="s">
        <v>89</v>
      </c>
      <c r="Y212" s="2">
        <f t="shared" si="99"/>
        <v>0</v>
      </c>
      <c r="Z212" s="2">
        <f t="shared" si="100"/>
        <v>0</v>
      </c>
      <c r="AA212" s="2">
        <f t="shared" si="101"/>
        <v>0</v>
      </c>
      <c r="AB212" s="2">
        <f t="shared" si="102"/>
        <v>0</v>
      </c>
      <c r="AC212" s="2">
        <f t="shared" si="103"/>
        <v>0</v>
      </c>
      <c r="AD212" s="2">
        <f t="shared" si="104"/>
        <v>0</v>
      </c>
      <c r="AE212" s="2">
        <f t="shared" si="105"/>
        <v>0</v>
      </c>
      <c r="AF212" s="2">
        <f t="shared" si="106"/>
        <v>0</v>
      </c>
      <c r="AG212" s="2">
        <f t="shared" si="109"/>
        <v>0</v>
      </c>
    </row>
    <row r="213" spans="2:33" hidden="1" x14ac:dyDescent="0.25">
      <c r="B213" s="1" t="s">
        <v>5</v>
      </c>
      <c r="C213" s="2"/>
      <c r="D213" s="2"/>
      <c r="E213" s="2"/>
      <c r="F213" s="2"/>
      <c r="G213" s="2"/>
      <c r="H213" s="2"/>
      <c r="I213" s="2"/>
      <c r="J213" s="2"/>
      <c r="K213" s="2">
        <f t="shared" si="107"/>
        <v>0</v>
      </c>
      <c r="M213" s="1" t="s">
        <v>5</v>
      </c>
      <c r="N213" s="2"/>
      <c r="O213" s="2"/>
      <c r="P213" s="2"/>
      <c r="Q213" s="2"/>
      <c r="R213" s="2"/>
      <c r="S213" s="2"/>
      <c r="T213" s="2"/>
      <c r="U213" s="2"/>
      <c r="V213" s="2">
        <f t="shared" si="108"/>
        <v>0</v>
      </c>
      <c r="X213" s="1" t="s">
        <v>5</v>
      </c>
      <c r="Y213" s="2">
        <f t="shared" si="99"/>
        <v>0</v>
      </c>
      <c r="Z213" s="2">
        <f t="shared" si="100"/>
        <v>0</v>
      </c>
      <c r="AA213" s="2">
        <f t="shared" si="101"/>
        <v>0</v>
      </c>
      <c r="AB213" s="2">
        <f t="shared" si="102"/>
        <v>0</v>
      </c>
      <c r="AC213" s="2">
        <f t="shared" si="103"/>
        <v>0</v>
      </c>
      <c r="AD213" s="2">
        <f t="shared" si="104"/>
        <v>0</v>
      </c>
      <c r="AE213" s="2">
        <f t="shared" si="105"/>
        <v>0</v>
      </c>
      <c r="AF213" s="2">
        <f t="shared" si="106"/>
        <v>0</v>
      </c>
      <c r="AG213" s="2">
        <f t="shared" si="109"/>
        <v>0</v>
      </c>
    </row>
    <row r="214" spans="2:33" hidden="1" x14ac:dyDescent="0.25">
      <c r="B214" s="1" t="s">
        <v>84</v>
      </c>
      <c r="C214" s="2"/>
      <c r="D214" s="2"/>
      <c r="E214" s="2"/>
      <c r="F214" s="2"/>
      <c r="G214" s="2"/>
      <c r="H214" s="2"/>
      <c r="I214" s="2"/>
      <c r="J214" s="2"/>
      <c r="K214" s="2">
        <f t="shared" si="107"/>
        <v>0</v>
      </c>
      <c r="M214" s="1" t="s">
        <v>84</v>
      </c>
      <c r="N214" s="2"/>
      <c r="O214" s="2"/>
      <c r="P214" s="2"/>
      <c r="Q214" s="2"/>
      <c r="R214" s="2"/>
      <c r="S214" s="2"/>
      <c r="T214" s="2"/>
      <c r="U214" s="2"/>
      <c r="V214" s="2">
        <f t="shared" si="108"/>
        <v>0</v>
      </c>
      <c r="X214" s="1" t="s">
        <v>84</v>
      </c>
      <c r="Y214" s="2">
        <f t="shared" si="99"/>
        <v>0</v>
      </c>
      <c r="Z214" s="2">
        <f t="shared" si="100"/>
        <v>0</v>
      </c>
      <c r="AA214" s="2">
        <f t="shared" si="101"/>
        <v>0</v>
      </c>
      <c r="AB214" s="2">
        <f t="shared" si="102"/>
        <v>0</v>
      </c>
      <c r="AC214" s="2">
        <f t="shared" si="103"/>
        <v>0</v>
      </c>
      <c r="AD214" s="2">
        <f t="shared" si="104"/>
        <v>0</v>
      </c>
      <c r="AE214" s="2">
        <f t="shared" si="105"/>
        <v>0</v>
      </c>
      <c r="AF214" s="2">
        <f t="shared" si="106"/>
        <v>0</v>
      </c>
      <c r="AG214" s="2">
        <f t="shared" si="109"/>
        <v>0</v>
      </c>
    </row>
    <row r="215" spans="2:33" hidden="1" x14ac:dyDescent="0.25">
      <c r="B215" s="1" t="s">
        <v>4</v>
      </c>
      <c r="C215" s="2"/>
      <c r="D215" s="2"/>
      <c r="E215" s="2"/>
      <c r="F215" s="2"/>
      <c r="G215" s="2"/>
      <c r="H215" s="2"/>
      <c r="I215" s="2"/>
      <c r="J215" s="2"/>
      <c r="K215" s="2">
        <f t="shared" si="107"/>
        <v>0</v>
      </c>
      <c r="M215" s="1" t="s">
        <v>4</v>
      </c>
      <c r="N215" s="2"/>
      <c r="O215" s="2"/>
      <c r="P215" s="2"/>
      <c r="Q215" s="2"/>
      <c r="R215" s="2"/>
      <c r="S215" s="2"/>
      <c r="T215" s="2"/>
      <c r="U215" s="2"/>
      <c r="V215" s="2">
        <f t="shared" si="108"/>
        <v>0</v>
      </c>
      <c r="X215" s="1" t="s">
        <v>4</v>
      </c>
      <c r="Y215" s="2">
        <f t="shared" si="99"/>
        <v>0</v>
      </c>
      <c r="Z215" s="2">
        <f t="shared" si="100"/>
        <v>0</v>
      </c>
      <c r="AA215" s="2">
        <f t="shared" si="101"/>
        <v>0</v>
      </c>
      <c r="AB215" s="2">
        <f t="shared" si="102"/>
        <v>0</v>
      </c>
      <c r="AC215" s="2">
        <f t="shared" si="103"/>
        <v>0</v>
      </c>
      <c r="AD215" s="2">
        <f t="shared" si="104"/>
        <v>0</v>
      </c>
      <c r="AE215" s="2">
        <f t="shared" si="105"/>
        <v>0</v>
      </c>
      <c r="AF215" s="2">
        <f t="shared" si="106"/>
        <v>0</v>
      </c>
      <c r="AG215" s="2">
        <f t="shared" si="109"/>
        <v>0</v>
      </c>
    </row>
    <row r="216" spans="2:33" hidden="1" x14ac:dyDescent="0.25">
      <c r="B216" s="1" t="s">
        <v>51</v>
      </c>
      <c r="C216" s="2"/>
      <c r="D216" s="2"/>
      <c r="E216" s="2"/>
      <c r="F216" s="2"/>
      <c r="G216" s="2"/>
      <c r="H216" s="2"/>
      <c r="I216" s="2"/>
      <c r="J216" s="2"/>
      <c r="K216" s="2">
        <f t="shared" si="107"/>
        <v>0</v>
      </c>
      <c r="M216" s="1" t="s">
        <v>51</v>
      </c>
      <c r="N216" s="2"/>
      <c r="O216" s="2"/>
      <c r="P216" s="2"/>
      <c r="Q216" s="2"/>
      <c r="R216" s="2"/>
      <c r="S216" s="2"/>
      <c r="T216" s="2"/>
      <c r="U216" s="2"/>
      <c r="V216" s="2">
        <f t="shared" si="108"/>
        <v>0</v>
      </c>
      <c r="X216" s="1" t="s">
        <v>51</v>
      </c>
      <c r="Y216" s="2">
        <f t="shared" si="99"/>
        <v>0</v>
      </c>
      <c r="Z216" s="2">
        <f t="shared" si="100"/>
        <v>0</v>
      </c>
      <c r="AA216" s="2">
        <f t="shared" si="101"/>
        <v>0</v>
      </c>
      <c r="AB216" s="2">
        <f t="shared" si="102"/>
        <v>0</v>
      </c>
      <c r="AC216" s="2">
        <f t="shared" si="103"/>
        <v>0</v>
      </c>
      <c r="AD216" s="2">
        <f t="shared" si="104"/>
        <v>0</v>
      </c>
      <c r="AE216" s="2">
        <f t="shared" si="105"/>
        <v>0</v>
      </c>
      <c r="AF216" s="2">
        <f t="shared" si="106"/>
        <v>0</v>
      </c>
      <c r="AG216" s="2">
        <f t="shared" si="109"/>
        <v>0</v>
      </c>
    </row>
    <row r="217" spans="2:33" hidden="1" x14ac:dyDescent="0.25">
      <c r="B217" s="1" t="s">
        <v>87</v>
      </c>
      <c r="C217" s="2"/>
      <c r="D217" s="2"/>
      <c r="E217" s="2"/>
      <c r="F217" s="2"/>
      <c r="G217" s="2"/>
      <c r="H217" s="2"/>
      <c r="I217" s="2"/>
      <c r="J217" s="2"/>
      <c r="K217" s="2">
        <f t="shared" si="107"/>
        <v>0</v>
      </c>
      <c r="M217" s="1" t="s">
        <v>87</v>
      </c>
      <c r="N217" s="2"/>
      <c r="O217" s="2"/>
      <c r="P217" s="2"/>
      <c r="Q217" s="2"/>
      <c r="R217" s="2"/>
      <c r="S217" s="2"/>
      <c r="T217" s="2"/>
      <c r="U217" s="2"/>
      <c r="V217" s="2">
        <f t="shared" si="108"/>
        <v>0</v>
      </c>
      <c r="X217" s="1" t="s">
        <v>87</v>
      </c>
      <c r="Y217" s="2">
        <f t="shared" si="99"/>
        <v>0</v>
      </c>
      <c r="Z217" s="2">
        <f t="shared" si="100"/>
        <v>0</v>
      </c>
      <c r="AA217" s="2">
        <f t="shared" si="101"/>
        <v>0</v>
      </c>
      <c r="AB217" s="2">
        <f t="shared" si="102"/>
        <v>0</v>
      </c>
      <c r="AC217" s="2">
        <f t="shared" si="103"/>
        <v>0</v>
      </c>
      <c r="AD217" s="2">
        <f t="shared" si="104"/>
        <v>0</v>
      </c>
      <c r="AE217" s="2">
        <f t="shared" si="105"/>
        <v>0</v>
      </c>
      <c r="AF217" s="2">
        <f t="shared" si="106"/>
        <v>0</v>
      </c>
      <c r="AG217" s="2">
        <f t="shared" si="109"/>
        <v>0</v>
      </c>
    </row>
    <row r="218" spans="2:33" hidden="1" x14ac:dyDescent="0.25">
      <c r="B218" s="1" t="s">
        <v>85</v>
      </c>
      <c r="C218" s="2"/>
      <c r="D218" s="2"/>
      <c r="E218" s="2"/>
      <c r="F218" s="2"/>
      <c r="G218" s="2"/>
      <c r="H218" s="2"/>
      <c r="I218" s="2"/>
      <c r="J218" s="2"/>
      <c r="K218" s="2">
        <f t="shared" si="107"/>
        <v>0</v>
      </c>
      <c r="M218" s="1" t="s">
        <v>85</v>
      </c>
      <c r="N218" s="2"/>
      <c r="O218" s="2"/>
      <c r="P218" s="2"/>
      <c r="Q218" s="2"/>
      <c r="R218" s="2"/>
      <c r="S218" s="2"/>
      <c r="T218" s="2"/>
      <c r="U218" s="2"/>
      <c r="V218" s="2">
        <f t="shared" si="108"/>
        <v>0</v>
      </c>
      <c r="X218" s="1" t="s">
        <v>85</v>
      </c>
      <c r="Y218" s="2">
        <f t="shared" si="99"/>
        <v>0</v>
      </c>
      <c r="Z218" s="2">
        <f t="shared" si="100"/>
        <v>0</v>
      </c>
      <c r="AA218" s="2">
        <f t="shared" si="101"/>
        <v>0</v>
      </c>
      <c r="AB218" s="2">
        <f t="shared" si="102"/>
        <v>0</v>
      </c>
      <c r="AC218" s="2">
        <f t="shared" si="103"/>
        <v>0</v>
      </c>
      <c r="AD218" s="2">
        <f t="shared" si="104"/>
        <v>0</v>
      </c>
      <c r="AE218" s="2">
        <f t="shared" si="105"/>
        <v>0</v>
      </c>
      <c r="AF218" s="2">
        <f t="shared" si="106"/>
        <v>0</v>
      </c>
      <c r="AG218" s="2">
        <f t="shared" si="109"/>
        <v>0</v>
      </c>
    </row>
    <row r="219" spans="2:33" hidden="1" x14ac:dyDescent="0.25">
      <c r="B219" s="1" t="s">
        <v>2</v>
      </c>
      <c r="C219" s="2"/>
      <c r="D219" s="2"/>
      <c r="E219" s="2"/>
      <c r="F219" s="2"/>
      <c r="G219" s="2"/>
      <c r="H219" s="2"/>
      <c r="I219" s="2"/>
      <c r="J219" s="2"/>
      <c r="K219" s="2">
        <f t="shared" si="107"/>
        <v>0</v>
      </c>
      <c r="M219" s="1" t="s">
        <v>2</v>
      </c>
      <c r="N219" s="2"/>
      <c r="O219" s="2"/>
      <c r="P219" s="2"/>
      <c r="Q219" s="2"/>
      <c r="R219" s="2"/>
      <c r="S219" s="2"/>
      <c r="T219" s="2"/>
      <c r="U219" s="2"/>
      <c r="V219" s="2">
        <f t="shared" si="108"/>
        <v>0</v>
      </c>
      <c r="X219" s="1" t="s">
        <v>2</v>
      </c>
      <c r="Y219" s="2">
        <f t="shared" si="99"/>
        <v>0</v>
      </c>
      <c r="Z219" s="2">
        <f t="shared" si="100"/>
        <v>0</v>
      </c>
      <c r="AA219" s="2">
        <f t="shared" si="101"/>
        <v>0</v>
      </c>
      <c r="AB219" s="2">
        <f t="shared" si="102"/>
        <v>0</v>
      </c>
      <c r="AC219" s="2">
        <f t="shared" si="103"/>
        <v>0</v>
      </c>
      <c r="AD219" s="2">
        <f t="shared" si="104"/>
        <v>0</v>
      </c>
      <c r="AE219" s="2">
        <f t="shared" si="105"/>
        <v>0</v>
      </c>
      <c r="AF219" s="2">
        <f t="shared" si="106"/>
        <v>0</v>
      </c>
      <c r="AG219" s="2">
        <f t="shared" si="109"/>
        <v>0</v>
      </c>
    </row>
    <row r="220" spans="2:33" hidden="1" x14ac:dyDescent="0.25">
      <c r="B220" s="1" t="s">
        <v>86</v>
      </c>
      <c r="C220" s="2"/>
      <c r="D220" s="2"/>
      <c r="E220" s="2"/>
      <c r="F220" s="2"/>
      <c r="G220" s="2"/>
      <c r="H220" s="2"/>
      <c r="I220" s="2"/>
      <c r="J220" s="2"/>
      <c r="K220" s="2">
        <f t="shared" si="107"/>
        <v>0</v>
      </c>
      <c r="M220" s="1" t="s">
        <v>86</v>
      </c>
      <c r="N220" s="2"/>
      <c r="O220" s="2"/>
      <c r="P220" s="2"/>
      <c r="Q220" s="2"/>
      <c r="R220" s="2"/>
      <c r="S220" s="2"/>
      <c r="T220" s="2"/>
      <c r="U220" s="2"/>
      <c r="V220" s="2">
        <f t="shared" si="108"/>
        <v>0</v>
      </c>
      <c r="X220" s="1" t="s">
        <v>86</v>
      </c>
      <c r="Y220" s="2">
        <f t="shared" si="99"/>
        <v>0</v>
      </c>
      <c r="Z220" s="2">
        <f t="shared" si="100"/>
        <v>0</v>
      </c>
      <c r="AA220" s="2">
        <f t="shared" si="101"/>
        <v>0</v>
      </c>
      <c r="AB220" s="2">
        <f t="shared" si="102"/>
        <v>0</v>
      </c>
      <c r="AC220" s="2">
        <f t="shared" si="103"/>
        <v>0</v>
      </c>
      <c r="AD220" s="2">
        <f t="shared" si="104"/>
        <v>0</v>
      </c>
      <c r="AE220" s="2">
        <f t="shared" si="105"/>
        <v>0</v>
      </c>
      <c r="AF220" s="2">
        <f t="shared" si="106"/>
        <v>0</v>
      </c>
      <c r="AG220" s="2">
        <f t="shared" si="109"/>
        <v>0</v>
      </c>
    </row>
    <row r="221" spans="2:33" hidden="1" x14ac:dyDescent="0.25">
      <c r="B221" s="1" t="s">
        <v>29</v>
      </c>
      <c r="C221" s="2"/>
      <c r="D221" s="2"/>
      <c r="E221" s="2"/>
      <c r="F221" s="2"/>
      <c r="G221" s="2"/>
      <c r="H221" s="2"/>
      <c r="I221" s="2"/>
      <c r="J221" s="2"/>
      <c r="K221" s="2">
        <f t="shared" si="107"/>
        <v>0</v>
      </c>
      <c r="M221" s="1" t="s">
        <v>29</v>
      </c>
      <c r="N221" s="2"/>
      <c r="O221" s="2"/>
      <c r="P221" s="2"/>
      <c r="Q221" s="2"/>
      <c r="R221" s="2"/>
      <c r="S221" s="2"/>
      <c r="T221" s="2"/>
      <c r="U221" s="2"/>
      <c r="V221" s="2">
        <f t="shared" si="108"/>
        <v>0</v>
      </c>
      <c r="X221" s="1" t="s">
        <v>29</v>
      </c>
      <c r="Y221" s="2">
        <f t="shared" si="99"/>
        <v>0</v>
      </c>
      <c r="Z221" s="2">
        <f t="shared" si="100"/>
        <v>0</v>
      </c>
      <c r="AA221" s="2">
        <f t="shared" si="101"/>
        <v>0</v>
      </c>
      <c r="AB221" s="2">
        <f t="shared" si="102"/>
        <v>0</v>
      </c>
      <c r="AC221" s="2">
        <f t="shared" si="103"/>
        <v>0</v>
      </c>
      <c r="AD221" s="2">
        <f t="shared" si="104"/>
        <v>0</v>
      </c>
      <c r="AE221" s="2">
        <f t="shared" si="105"/>
        <v>0</v>
      </c>
      <c r="AF221" s="2">
        <f t="shared" si="106"/>
        <v>0</v>
      </c>
      <c r="AG221" s="2">
        <f t="shared" si="109"/>
        <v>0</v>
      </c>
    </row>
    <row r="222" spans="2:33" hidden="1" x14ac:dyDescent="0.25">
      <c r="B222" s="1" t="s">
        <v>88</v>
      </c>
      <c r="C222" s="2"/>
      <c r="D222" s="2"/>
      <c r="E222" s="2"/>
      <c r="F222" s="2"/>
      <c r="G222" s="2"/>
      <c r="H222" s="2"/>
      <c r="I222" s="2"/>
      <c r="J222" s="2"/>
      <c r="K222" s="2">
        <f t="shared" si="107"/>
        <v>0</v>
      </c>
      <c r="M222" s="1" t="s">
        <v>88</v>
      </c>
      <c r="N222" s="2"/>
      <c r="O222" s="2"/>
      <c r="P222" s="2"/>
      <c r="Q222" s="2"/>
      <c r="R222" s="2"/>
      <c r="S222" s="2"/>
      <c r="T222" s="2"/>
      <c r="U222" s="2"/>
      <c r="V222" s="2">
        <f t="shared" si="108"/>
        <v>0</v>
      </c>
      <c r="X222" s="1" t="s">
        <v>52</v>
      </c>
      <c r="Y222" s="2">
        <f t="shared" si="99"/>
        <v>0</v>
      </c>
      <c r="Z222" s="2">
        <f t="shared" si="100"/>
        <v>0</v>
      </c>
      <c r="AA222" s="2">
        <f t="shared" si="101"/>
        <v>0</v>
      </c>
      <c r="AB222" s="2">
        <f t="shared" si="102"/>
        <v>0</v>
      </c>
      <c r="AC222" s="2">
        <f t="shared" si="103"/>
        <v>0</v>
      </c>
      <c r="AD222" s="2">
        <f t="shared" si="104"/>
        <v>0</v>
      </c>
      <c r="AE222" s="2">
        <f t="shared" si="105"/>
        <v>0</v>
      </c>
      <c r="AF222" s="2">
        <f t="shared" si="106"/>
        <v>0</v>
      </c>
      <c r="AG222" s="2">
        <f t="shared" si="109"/>
        <v>0</v>
      </c>
    </row>
    <row r="223" spans="2:33" hidden="1" x14ac:dyDescent="0.25">
      <c r="B223" s="1" t="s">
        <v>1098</v>
      </c>
      <c r="C223" s="2"/>
      <c r="D223" s="2"/>
      <c r="E223" s="2"/>
      <c r="F223" s="2"/>
      <c r="G223" s="2"/>
      <c r="H223" s="2"/>
      <c r="I223" s="2"/>
      <c r="J223" s="2"/>
      <c r="K223" s="2">
        <f t="shared" si="107"/>
        <v>0</v>
      </c>
      <c r="M223" s="1" t="s">
        <v>1098</v>
      </c>
      <c r="N223" s="2"/>
      <c r="O223" s="2"/>
      <c r="P223" s="2"/>
      <c r="Q223" s="2"/>
      <c r="R223" s="2"/>
      <c r="S223" s="2"/>
      <c r="T223" s="2"/>
      <c r="U223" s="2"/>
      <c r="V223" s="2">
        <f t="shared" si="108"/>
        <v>0</v>
      </c>
      <c r="X223" s="1" t="s">
        <v>88</v>
      </c>
      <c r="Y223" s="2">
        <f t="shared" si="99"/>
        <v>0</v>
      </c>
      <c r="Z223" s="2">
        <f t="shared" si="100"/>
        <v>0</v>
      </c>
      <c r="AA223" s="2">
        <f t="shared" si="101"/>
        <v>0</v>
      </c>
      <c r="AB223" s="2">
        <f t="shared" si="102"/>
        <v>0</v>
      </c>
      <c r="AC223" s="2">
        <f t="shared" si="103"/>
        <v>0</v>
      </c>
      <c r="AD223" s="2">
        <f t="shared" si="104"/>
        <v>0</v>
      </c>
      <c r="AE223" s="2">
        <f t="shared" si="105"/>
        <v>0</v>
      </c>
      <c r="AF223" s="2">
        <f t="shared" si="106"/>
        <v>0</v>
      </c>
      <c r="AG223" s="2">
        <f t="shared" si="109"/>
        <v>0</v>
      </c>
    </row>
    <row r="224" spans="2:33" hidden="1" x14ac:dyDescent="0.25">
      <c r="B224" s="1" t="s">
        <v>1099</v>
      </c>
      <c r="C224" s="2"/>
      <c r="D224" s="2"/>
      <c r="E224" s="2"/>
      <c r="F224" s="2"/>
      <c r="G224" s="2"/>
      <c r="H224" s="2"/>
      <c r="I224" s="2"/>
      <c r="J224" s="2"/>
      <c r="K224" s="2">
        <f t="shared" si="107"/>
        <v>0</v>
      </c>
      <c r="M224" s="1" t="s">
        <v>1099</v>
      </c>
      <c r="N224" s="2"/>
      <c r="O224" s="2"/>
      <c r="P224" s="2"/>
      <c r="Q224" s="2"/>
      <c r="R224" s="2"/>
      <c r="S224" s="2"/>
      <c r="T224" s="2"/>
      <c r="U224" s="2"/>
      <c r="V224" s="2">
        <f t="shared" si="108"/>
        <v>0</v>
      </c>
      <c r="X224" s="1" t="s">
        <v>1</v>
      </c>
      <c r="Y224" s="2">
        <f t="shared" si="99"/>
        <v>0</v>
      </c>
      <c r="Z224" s="2">
        <f t="shared" si="100"/>
        <v>0</v>
      </c>
      <c r="AA224" s="2">
        <f t="shared" si="101"/>
        <v>0</v>
      </c>
      <c r="AB224" s="2">
        <f t="shared" si="102"/>
        <v>0</v>
      </c>
      <c r="AC224" s="2">
        <f t="shared" si="103"/>
        <v>0</v>
      </c>
      <c r="AD224" s="2">
        <f t="shared" si="104"/>
        <v>0</v>
      </c>
      <c r="AE224" s="2">
        <f t="shared" si="105"/>
        <v>0</v>
      </c>
      <c r="AF224" s="2">
        <f t="shared" si="106"/>
        <v>0</v>
      </c>
      <c r="AG224" s="2">
        <f t="shared" si="109"/>
        <v>0</v>
      </c>
    </row>
    <row r="225" spans="2:33" ht="15.75" hidden="1" thickBot="1" x14ac:dyDescent="0.3">
      <c r="C225" s="70">
        <f>SUM(C205:C224)</f>
        <v>0</v>
      </c>
      <c r="D225" s="70">
        <f t="shared" ref="D225:J225" si="110">SUM(D205:D224)</f>
        <v>0</v>
      </c>
      <c r="E225" s="70">
        <f t="shared" si="110"/>
        <v>0</v>
      </c>
      <c r="F225" s="70">
        <f t="shared" si="110"/>
        <v>0</v>
      </c>
      <c r="G225" s="70">
        <f t="shared" si="110"/>
        <v>0</v>
      </c>
      <c r="H225" s="70">
        <f t="shared" si="110"/>
        <v>0</v>
      </c>
      <c r="I225" s="70">
        <f t="shared" si="110"/>
        <v>0</v>
      </c>
      <c r="J225" s="70">
        <f t="shared" si="110"/>
        <v>0</v>
      </c>
      <c r="K225" s="70">
        <f>SUM(K205:K224)</f>
        <v>0</v>
      </c>
      <c r="N225" s="70">
        <f>SUM(N205:N224)</f>
        <v>0</v>
      </c>
      <c r="O225" s="70">
        <f t="shared" ref="O225:U225" si="111">SUM(O205:O224)</f>
        <v>0</v>
      </c>
      <c r="P225" s="70">
        <f t="shared" si="111"/>
        <v>0</v>
      </c>
      <c r="Q225" s="70">
        <f t="shared" si="111"/>
        <v>0</v>
      </c>
      <c r="R225" s="70">
        <f t="shared" si="111"/>
        <v>0</v>
      </c>
      <c r="S225" s="70">
        <f t="shared" si="111"/>
        <v>0</v>
      </c>
      <c r="T225" s="70">
        <f t="shared" si="111"/>
        <v>0</v>
      </c>
      <c r="U225" s="70">
        <f t="shared" si="111"/>
        <v>0</v>
      </c>
      <c r="V225" s="70">
        <f>SUM(V205:V224)</f>
        <v>0</v>
      </c>
      <c r="Y225" s="70">
        <f>SUM(Y205:Y224)</f>
        <v>0</v>
      </c>
      <c r="Z225" s="70">
        <f t="shared" ref="Z225:AF225" si="112">SUM(Z205:Z224)</f>
        <v>0</v>
      </c>
      <c r="AA225" s="70">
        <f t="shared" si="112"/>
        <v>0</v>
      </c>
      <c r="AB225" s="70">
        <f t="shared" si="112"/>
        <v>0</v>
      </c>
      <c r="AC225" s="70">
        <f t="shared" si="112"/>
        <v>0</v>
      </c>
      <c r="AD225" s="70">
        <f t="shared" si="112"/>
        <v>0</v>
      </c>
      <c r="AE225" s="70">
        <f t="shared" si="112"/>
        <v>0</v>
      </c>
      <c r="AF225" s="70">
        <f t="shared" si="112"/>
        <v>0</v>
      </c>
      <c r="AG225" s="70">
        <f>SUM(AG205:AG224)</f>
        <v>0</v>
      </c>
    </row>
    <row r="226" spans="2:33" hidden="1" x14ac:dyDescent="0.25"/>
    <row r="227" spans="2:33" hidden="1" x14ac:dyDescent="0.25"/>
    <row r="228" spans="2:33" hidden="1" x14ac:dyDescent="0.25">
      <c r="B228" s="72" t="s">
        <v>96</v>
      </c>
      <c r="C228" s="187">
        <f>$C$20</f>
        <v>45199</v>
      </c>
      <c r="D228" s="175"/>
      <c r="E228" s="175"/>
      <c r="F228" s="175"/>
      <c r="G228" s="175"/>
      <c r="H228" s="175"/>
      <c r="I228" s="175"/>
      <c r="J228" s="175"/>
      <c r="K228" s="175"/>
      <c r="M228" s="72" t="s">
        <v>96</v>
      </c>
      <c r="N228" s="193">
        <f>$N$20</f>
        <v>45169</v>
      </c>
      <c r="O228" s="194"/>
      <c r="P228" s="194"/>
      <c r="Q228" s="194"/>
      <c r="R228" s="194"/>
      <c r="S228" s="194"/>
      <c r="T228" s="194"/>
      <c r="U228" s="194"/>
      <c r="V228" s="194"/>
      <c r="Y228" s="175" t="s">
        <v>97</v>
      </c>
      <c r="Z228" s="175"/>
      <c r="AA228" s="175"/>
      <c r="AB228" s="175"/>
      <c r="AC228" s="175"/>
      <c r="AD228" s="175"/>
      <c r="AE228" s="175"/>
      <c r="AF228" s="175"/>
      <c r="AG228" s="175"/>
    </row>
    <row r="229" spans="2:33" hidden="1" x14ac:dyDescent="0.25">
      <c r="B229" s="72" t="s">
        <v>95</v>
      </c>
      <c r="C229" s="175" t="str">
        <f>'Reimbursement Rates &lt;-INPUT'!J7</f>
        <v>Clinic 9</v>
      </c>
      <c r="D229" s="175"/>
      <c r="E229" s="175"/>
      <c r="F229" s="175"/>
      <c r="G229" s="175"/>
      <c r="H229" s="175"/>
      <c r="I229" s="175"/>
      <c r="J229" s="175"/>
      <c r="K229" s="175"/>
      <c r="M229" s="72" t="s">
        <v>95</v>
      </c>
      <c r="N229" s="175" t="str">
        <f>C229</f>
        <v>Clinic 9</v>
      </c>
      <c r="O229" s="175"/>
      <c r="P229" s="175"/>
      <c r="Q229" s="175"/>
      <c r="R229" s="175"/>
      <c r="S229" s="175"/>
      <c r="T229" s="175"/>
      <c r="U229" s="175"/>
      <c r="V229" s="175"/>
      <c r="X229" s="71" t="s">
        <v>95</v>
      </c>
      <c r="Y229" s="175" t="str">
        <f>C229</f>
        <v>Clinic 9</v>
      </c>
      <c r="Z229" s="175"/>
      <c r="AA229" s="175"/>
      <c r="AB229" s="175"/>
      <c r="AC229" s="175"/>
      <c r="AD229" s="175"/>
      <c r="AE229" s="175"/>
      <c r="AF229" s="175"/>
      <c r="AG229" s="175"/>
    </row>
    <row r="230" spans="2:33" hidden="1" x14ac:dyDescent="0.25">
      <c r="B230" s="4" t="s">
        <v>16</v>
      </c>
      <c r="C230" s="5" t="s">
        <v>15</v>
      </c>
      <c r="D230" s="5" t="s">
        <v>14</v>
      </c>
      <c r="E230" s="5" t="s">
        <v>13</v>
      </c>
      <c r="F230" s="5" t="s">
        <v>12</v>
      </c>
      <c r="G230" s="5" t="s">
        <v>93</v>
      </c>
      <c r="H230" s="5" t="s">
        <v>94</v>
      </c>
      <c r="I230" s="5" t="s">
        <v>38</v>
      </c>
      <c r="J230" s="5" t="s">
        <v>9</v>
      </c>
      <c r="K230" s="5" t="s">
        <v>80</v>
      </c>
      <c r="M230" s="4" t="s">
        <v>16</v>
      </c>
      <c r="N230" s="5" t="s">
        <v>15</v>
      </c>
      <c r="O230" s="5" t="s">
        <v>14</v>
      </c>
      <c r="P230" s="5" t="s">
        <v>13</v>
      </c>
      <c r="Q230" s="5" t="s">
        <v>12</v>
      </c>
      <c r="R230" s="5" t="s">
        <v>93</v>
      </c>
      <c r="S230" s="5" t="s">
        <v>94</v>
      </c>
      <c r="T230" s="5" t="s">
        <v>38</v>
      </c>
      <c r="U230" s="5" t="s">
        <v>9</v>
      </c>
      <c r="V230" s="5" t="s">
        <v>80</v>
      </c>
      <c r="X230" s="4" t="s">
        <v>16</v>
      </c>
      <c r="Y230" s="5" t="s">
        <v>15</v>
      </c>
      <c r="Z230" s="5" t="s">
        <v>14</v>
      </c>
      <c r="AA230" s="5" t="s">
        <v>13</v>
      </c>
      <c r="AB230" s="5" t="s">
        <v>12</v>
      </c>
      <c r="AC230" s="5" t="s">
        <v>93</v>
      </c>
      <c r="AD230" s="5" t="s">
        <v>94</v>
      </c>
      <c r="AE230" s="5" t="s">
        <v>38</v>
      </c>
      <c r="AF230" s="5" t="s">
        <v>9</v>
      </c>
      <c r="AG230" s="5" t="s">
        <v>80</v>
      </c>
    </row>
    <row r="231" spans="2:33" hidden="1" x14ac:dyDescent="0.25">
      <c r="B231" s="1" t="s">
        <v>1094</v>
      </c>
      <c r="C231" s="2"/>
      <c r="D231" s="2"/>
      <c r="E231" s="2"/>
      <c r="F231" s="2"/>
      <c r="G231" s="2"/>
      <c r="H231" s="2"/>
      <c r="I231" s="2"/>
      <c r="J231" s="2"/>
      <c r="K231" s="2">
        <f>SUM(C231:J231)</f>
        <v>0</v>
      </c>
      <c r="M231" s="1" t="s">
        <v>1094</v>
      </c>
      <c r="N231" s="2"/>
      <c r="O231" s="2"/>
      <c r="P231" s="2"/>
      <c r="Q231" s="2"/>
      <c r="R231" s="2"/>
      <c r="S231" s="2"/>
      <c r="T231" s="2"/>
      <c r="U231" s="2"/>
      <c r="V231" s="2">
        <f>SUM(N231:U231)</f>
        <v>0</v>
      </c>
      <c r="X231" s="1" t="s">
        <v>49</v>
      </c>
      <c r="Y231" s="2">
        <f t="shared" ref="Y231:Y250" si="113">C231-N231</f>
        <v>0</v>
      </c>
      <c r="Z231" s="2">
        <f t="shared" ref="Z231:Z250" si="114">D231-O231</f>
        <v>0</v>
      </c>
      <c r="AA231" s="2">
        <f t="shared" ref="AA231:AA250" si="115">E231-P231</f>
        <v>0</v>
      </c>
      <c r="AB231" s="2">
        <f t="shared" ref="AB231:AB250" si="116">F231-Q231</f>
        <v>0</v>
      </c>
      <c r="AC231" s="2">
        <f t="shared" ref="AC231:AC250" si="117">G231-R231</f>
        <v>0</v>
      </c>
      <c r="AD231" s="2">
        <f t="shared" ref="AD231:AD250" si="118">H231-S231</f>
        <v>0</v>
      </c>
      <c r="AE231" s="2">
        <f t="shared" ref="AE231:AE250" si="119">I231-T231</f>
        <v>0</v>
      </c>
      <c r="AF231" s="2">
        <f t="shared" ref="AF231:AF250" si="120">J231-U231</f>
        <v>0</v>
      </c>
      <c r="AG231" s="2">
        <f>SUM(Y231:AF231)</f>
        <v>0</v>
      </c>
    </row>
    <row r="232" spans="2:33" hidden="1" x14ac:dyDescent="0.25">
      <c r="B232" s="1" t="s">
        <v>8</v>
      </c>
      <c r="C232" s="2"/>
      <c r="D232" s="2"/>
      <c r="E232" s="2"/>
      <c r="F232" s="2"/>
      <c r="G232" s="2"/>
      <c r="H232" s="2"/>
      <c r="I232" s="2"/>
      <c r="J232" s="2"/>
      <c r="K232" s="2">
        <f t="shared" ref="K232:K250" si="121">SUM(C232:J232)</f>
        <v>0</v>
      </c>
      <c r="M232" s="1" t="s">
        <v>8</v>
      </c>
      <c r="N232" s="2"/>
      <c r="O232" s="2"/>
      <c r="P232" s="2"/>
      <c r="Q232" s="2"/>
      <c r="R232" s="2"/>
      <c r="S232" s="2"/>
      <c r="T232" s="2"/>
      <c r="U232" s="2"/>
      <c r="V232" s="2">
        <f t="shared" ref="V232:V250" si="122">SUM(N232:U232)</f>
        <v>0</v>
      </c>
      <c r="X232" s="1" t="s">
        <v>8</v>
      </c>
      <c r="Y232" s="2">
        <f t="shared" si="113"/>
        <v>0</v>
      </c>
      <c r="Z232" s="2">
        <f t="shared" si="114"/>
        <v>0</v>
      </c>
      <c r="AA232" s="2">
        <f t="shared" si="115"/>
        <v>0</v>
      </c>
      <c r="AB232" s="2">
        <f t="shared" si="116"/>
        <v>0</v>
      </c>
      <c r="AC232" s="2">
        <f t="shared" si="117"/>
        <v>0</v>
      </c>
      <c r="AD232" s="2">
        <f t="shared" si="118"/>
        <v>0</v>
      </c>
      <c r="AE232" s="2">
        <f t="shared" si="119"/>
        <v>0</v>
      </c>
      <c r="AF232" s="2">
        <f t="shared" si="120"/>
        <v>0</v>
      </c>
      <c r="AG232" s="2">
        <f t="shared" ref="AG232:AG250" si="123">SUM(Y232:AF232)</f>
        <v>0</v>
      </c>
    </row>
    <row r="233" spans="2:33" hidden="1" x14ac:dyDescent="0.25">
      <c r="B233" s="1" t="s">
        <v>1095</v>
      </c>
      <c r="C233" s="2"/>
      <c r="D233" s="2"/>
      <c r="E233" s="2"/>
      <c r="F233" s="2"/>
      <c r="G233" s="2"/>
      <c r="H233" s="2"/>
      <c r="I233" s="2"/>
      <c r="J233" s="2"/>
      <c r="K233" s="2">
        <f t="shared" si="121"/>
        <v>0</v>
      </c>
      <c r="M233" s="1" t="s">
        <v>1095</v>
      </c>
      <c r="N233" s="2"/>
      <c r="O233" s="2"/>
      <c r="P233" s="2"/>
      <c r="Q233" s="2"/>
      <c r="R233" s="2"/>
      <c r="S233" s="2"/>
      <c r="T233" s="2"/>
      <c r="U233" s="2"/>
      <c r="V233" s="2">
        <f t="shared" si="122"/>
        <v>0</v>
      </c>
      <c r="X233" s="1" t="s">
        <v>7</v>
      </c>
      <c r="Y233" s="2">
        <f t="shared" si="113"/>
        <v>0</v>
      </c>
      <c r="Z233" s="2">
        <f t="shared" si="114"/>
        <v>0</v>
      </c>
      <c r="AA233" s="2">
        <f t="shared" si="115"/>
        <v>0</v>
      </c>
      <c r="AB233" s="2">
        <f t="shared" si="116"/>
        <v>0</v>
      </c>
      <c r="AC233" s="2">
        <f t="shared" si="117"/>
        <v>0</v>
      </c>
      <c r="AD233" s="2">
        <f t="shared" si="118"/>
        <v>0</v>
      </c>
      <c r="AE233" s="2">
        <f t="shared" si="119"/>
        <v>0</v>
      </c>
      <c r="AF233" s="2">
        <f t="shared" si="120"/>
        <v>0</v>
      </c>
      <c r="AG233" s="2">
        <f t="shared" si="123"/>
        <v>0</v>
      </c>
    </row>
    <row r="234" spans="2:33" hidden="1" x14ac:dyDescent="0.25">
      <c r="B234" s="1" t="s">
        <v>42</v>
      </c>
      <c r="C234" s="2"/>
      <c r="D234" s="2"/>
      <c r="E234" s="2"/>
      <c r="F234" s="2"/>
      <c r="G234" s="2"/>
      <c r="H234" s="2"/>
      <c r="I234" s="2"/>
      <c r="J234" s="2"/>
      <c r="K234" s="2">
        <f t="shared" si="121"/>
        <v>0</v>
      </c>
      <c r="M234" s="1" t="s">
        <v>42</v>
      </c>
      <c r="N234" s="2"/>
      <c r="O234" s="2"/>
      <c r="P234" s="2"/>
      <c r="Q234" s="2"/>
      <c r="R234" s="2"/>
      <c r="S234" s="2"/>
      <c r="T234" s="2"/>
      <c r="U234" s="2"/>
      <c r="V234" s="2">
        <f t="shared" si="122"/>
        <v>0</v>
      </c>
      <c r="X234" s="1" t="s">
        <v>42</v>
      </c>
      <c r="Y234" s="2">
        <f t="shared" si="113"/>
        <v>0</v>
      </c>
      <c r="Z234" s="2">
        <f t="shared" si="114"/>
        <v>0</v>
      </c>
      <c r="AA234" s="2">
        <f t="shared" si="115"/>
        <v>0</v>
      </c>
      <c r="AB234" s="2">
        <f t="shared" si="116"/>
        <v>0</v>
      </c>
      <c r="AC234" s="2">
        <f t="shared" si="117"/>
        <v>0</v>
      </c>
      <c r="AD234" s="2">
        <f t="shared" si="118"/>
        <v>0</v>
      </c>
      <c r="AE234" s="2">
        <f t="shared" si="119"/>
        <v>0</v>
      </c>
      <c r="AF234" s="2">
        <f t="shared" si="120"/>
        <v>0</v>
      </c>
      <c r="AG234" s="2">
        <f t="shared" si="123"/>
        <v>0</v>
      </c>
    </row>
    <row r="235" spans="2:33" hidden="1" x14ac:dyDescent="0.25">
      <c r="B235" s="1" t="s">
        <v>6</v>
      </c>
      <c r="C235" s="2"/>
      <c r="D235" s="2"/>
      <c r="E235" s="2"/>
      <c r="F235" s="2"/>
      <c r="G235" s="2"/>
      <c r="H235" s="2"/>
      <c r="I235" s="2"/>
      <c r="J235" s="2"/>
      <c r="K235" s="2">
        <f t="shared" si="121"/>
        <v>0</v>
      </c>
      <c r="M235" s="1" t="s">
        <v>6</v>
      </c>
      <c r="N235" s="2"/>
      <c r="O235" s="2"/>
      <c r="P235" s="2"/>
      <c r="Q235" s="2"/>
      <c r="R235" s="2"/>
      <c r="S235" s="2"/>
      <c r="T235" s="2"/>
      <c r="U235" s="2"/>
      <c r="V235" s="2">
        <f t="shared" si="122"/>
        <v>0</v>
      </c>
      <c r="X235" s="1" t="s">
        <v>6</v>
      </c>
      <c r="Y235" s="2">
        <f t="shared" si="113"/>
        <v>0</v>
      </c>
      <c r="Z235" s="2">
        <f t="shared" si="114"/>
        <v>0</v>
      </c>
      <c r="AA235" s="2">
        <f t="shared" si="115"/>
        <v>0</v>
      </c>
      <c r="AB235" s="2">
        <f t="shared" si="116"/>
        <v>0</v>
      </c>
      <c r="AC235" s="2">
        <f t="shared" si="117"/>
        <v>0</v>
      </c>
      <c r="AD235" s="2">
        <f t="shared" si="118"/>
        <v>0</v>
      </c>
      <c r="AE235" s="2">
        <f t="shared" si="119"/>
        <v>0</v>
      </c>
      <c r="AF235" s="2">
        <f t="shared" si="120"/>
        <v>0</v>
      </c>
      <c r="AG235" s="2">
        <f t="shared" si="123"/>
        <v>0</v>
      </c>
    </row>
    <row r="236" spans="2:33" hidden="1" x14ac:dyDescent="0.25">
      <c r="B236" s="1" t="s">
        <v>90</v>
      </c>
      <c r="C236" s="2"/>
      <c r="D236" s="2"/>
      <c r="E236" s="2"/>
      <c r="F236" s="2"/>
      <c r="G236" s="2"/>
      <c r="H236" s="2"/>
      <c r="I236" s="2"/>
      <c r="J236" s="2"/>
      <c r="K236" s="2">
        <f t="shared" si="121"/>
        <v>0</v>
      </c>
      <c r="M236" s="1" t="s">
        <v>90</v>
      </c>
      <c r="N236" s="2"/>
      <c r="O236" s="2"/>
      <c r="P236" s="2"/>
      <c r="Q236" s="2"/>
      <c r="R236" s="2"/>
      <c r="S236" s="2"/>
      <c r="T236" s="2"/>
      <c r="U236" s="2"/>
      <c r="V236" s="2">
        <f t="shared" si="122"/>
        <v>0</v>
      </c>
      <c r="X236" s="1" t="s">
        <v>90</v>
      </c>
      <c r="Y236" s="2">
        <f t="shared" si="113"/>
        <v>0</v>
      </c>
      <c r="Z236" s="2">
        <f t="shared" si="114"/>
        <v>0</v>
      </c>
      <c r="AA236" s="2">
        <f t="shared" si="115"/>
        <v>0</v>
      </c>
      <c r="AB236" s="2">
        <f t="shared" si="116"/>
        <v>0</v>
      </c>
      <c r="AC236" s="2">
        <f t="shared" si="117"/>
        <v>0</v>
      </c>
      <c r="AD236" s="2">
        <f t="shared" si="118"/>
        <v>0</v>
      </c>
      <c r="AE236" s="2">
        <f t="shared" si="119"/>
        <v>0</v>
      </c>
      <c r="AF236" s="2">
        <f t="shared" si="120"/>
        <v>0</v>
      </c>
      <c r="AG236" s="2">
        <f t="shared" si="123"/>
        <v>0</v>
      </c>
    </row>
    <row r="237" spans="2:33" hidden="1" x14ac:dyDescent="0.25">
      <c r="B237" s="1" t="s">
        <v>1100</v>
      </c>
      <c r="C237" s="2"/>
      <c r="D237" s="2"/>
      <c r="E237" s="2"/>
      <c r="F237" s="2"/>
      <c r="G237" s="2"/>
      <c r="H237" s="2"/>
      <c r="I237" s="2"/>
      <c r="J237" s="2"/>
      <c r="K237" s="2">
        <f t="shared" si="121"/>
        <v>0</v>
      </c>
      <c r="M237" s="1" t="s">
        <v>1100</v>
      </c>
      <c r="N237" s="2"/>
      <c r="O237" s="2"/>
      <c r="P237" s="2"/>
      <c r="Q237" s="2"/>
      <c r="R237" s="2"/>
      <c r="S237" s="2"/>
      <c r="T237" s="2"/>
      <c r="U237" s="2"/>
      <c r="V237" s="2">
        <f t="shared" si="122"/>
        <v>0</v>
      </c>
      <c r="X237" s="1" t="s">
        <v>50</v>
      </c>
      <c r="Y237" s="2">
        <f t="shared" si="113"/>
        <v>0</v>
      </c>
      <c r="Z237" s="2">
        <f t="shared" si="114"/>
        <v>0</v>
      </c>
      <c r="AA237" s="2">
        <f t="shared" si="115"/>
        <v>0</v>
      </c>
      <c r="AB237" s="2">
        <f t="shared" si="116"/>
        <v>0</v>
      </c>
      <c r="AC237" s="2">
        <f t="shared" si="117"/>
        <v>0</v>
      </c>
      <c r="AD237" s="2">
        <f t="shared" si="118"/>
        <v>0</v>
      </c>
      <c r="AE237" s="2">
        <f t="shared" si="119"/>
        <v>0</v>
      </c>
      <c r="AF237" s="2">
        <f t="shared" si="120"/>
        <v>0</v>
      </c>
      <c r="AG237" s="2">
        <f t="shared" si="123"/>
        <v>0</v>
      </c>
    </row>
    <row r="238" spans="2:33" hidden="1" x14ac:dyDescent="0.25">
      <c r="B238" s="1" t="s">
        <v>89</v>
      </c>
      <c r="C238" s="2"/>
      <c r="D238" s="2"/>
      <c r="E238" s="2"/>
      <c r="F238" s="2"/>
      <c r="G238" s="2"/>
      <c r="H238" s="2"/>
      <c r="I238" s="2"/>
      <c r="J238" s="2"/>
      <c r="K238" s="2">
        <f t="shared" si="121"/>
        <v>0</v>
      </c>
      <c r="M238" s="1" t="s">
        <v>89</v>
      </c>
      <c r="N238" s="2"/>
      <c r="O238" s="2"/>
      <c r="P238" s="2"/>
      <c r="Q238" s="2"/>
      <c r="R238" s="2"/>
      <c r="S238" s="2"/>
      <c r="T238" s="2"/>
      <c r="U238" s="2"/>
      <c r="V238" s="2">
        <f t="shared" si="122"/>
        <v>0</v>
      </c>
      <c r="X238" s="1" t="s">
        <v>89</v>
      </c>
      <c r="Y238" s="2">
        <f t="shared" si="113"/>
        <v>0</v>
      </c>
      <c r="Z238" s="2">
        <f t="shared" si="114"/>
        <v>0</v>
      </c>
      <c r="AA238" s="2">
        <f t="shared" si="115"/>
        <v>0</v>
      </c>
      <c r="AB238" s="2">
        <f t="shared" si="116"/>
        <v>0</v>
      </c>
      <c r="AC238" s="2">
        <f t="shared" si="117"/>
        <v>0</v>
      </c>
      <c r="AD238" s="2">
        <f t="shared" si="118"/>
        <v>0</v>
      </c>
      <c r="AE238" s="2">
        <f t="shared" si="119"/>
        <v>0</v>
      </c>
      <c r="AF238" s="2">
        <f t="shared" si="120"/>
        <v>0</v>
      </c>
      <c r="AG238" s="2">
        <f t="shared" si="123"/>
        <v>0</v>
      </c>
    </row>
    <row r="239" spans="2:33" hidden="1" x14ac:dyDescent="0.25">
      <c r="B239" s="1" t="s">
        <v>5</v>
      </c>
      <c r="C239" s="2"/>
      <c r="D239" s="2"/>
      <c r="E239" s="2"/>
      <c r="F239" s="2"/>
      <c r="G239" s="2"/>
      <c r="H239" s="2"/>
      <c r="I239" s="2"/>
      <c r="J239" s="2"/>
      <c r="K239" s="2">
        <f t="shared" si="121"/>
        <v>0</v>
      </c>
      <c r="M239" s="1" t="s">
        <v>5</v>
      </c>
      <c r="N239" s="2"/>
      <c r="O239" s="2"/>
      <c r="P239" s="2"/>
      <c r="Q239" s="2"/>
      <c r="R239" s="2"/>
      <c r="S239" s="2"/>
      <c r="T239" s="2"/>
      <c r="U239" s="2"/>
      <c r="V239" s="2">
        <f t="shared" si="122"/>
        <v>0</v>
      </c>
      <c r="X239" s="1" t="s">
        <v>5</v>
      </c>
      <c r="Y239" s="2">
        <f t="shared" si="113"/>
        <v>0</v>
      </c>
      <c r="Z239" s="2">
        <f t="shared" si="114"/>
        <v>0</v>
      </c>
      <c r="AA239" s="2">
        <f t="shared" si="115"/>
        <v>0</v>
      </c>
      <c r="AB239" s="2">
        <f t="shared" si="116"/>
        <v>0</v>
      </c>
      <c r="AC239" s="2">
        <f t="shared" si="117"/>
        <v>0</v>
      </c>
      <c r="AD239" s="2">
        <f t="shared" si="118"/>
        <v>0</v>
      </c>
      <c r="AE239" s="2">
        <f t="shared" si="119"/>
        <v>0</v>
      </c>
      <c r="AF239" s="2">
        <f t="shared" si="120"/>
        <v>0</v>
      </c>
      <c r="AG239" s="2">
        <f t="shared" si="123"/>
        <v>0</v>
      </c>
    </row>
    <row r="240" spans="2:33" hidden="1" x14ac:dyDescent="0.25">
      <c r="B240" s="1" t="s">
        <v>84</v>
      </c>
      <c r="C240" s="2"/>
      <c r="D240" s="2"/>
      <c r="E240" s="2"/>
      <c r="F240" s="2"/>
      <c r="G240" s="2"/>
      <c r="H240" s="2"/>
      <c r="I240" s="2"/>
      <c r="J240" s="2"/>
      <c r="K240" s="2">
        <f t="shared" si="121"/>
        <v>0</v>
      </c>
      <c r="M240" s="1" t="s">
        <v>84</v>
      </c>
      <c r="N240" s="2"/>
      <c r="O240" s="2"/>
      <c r="P240" s="2"/>
      <c r="Q240" s="2"/>
      <c r="R240" s="2"/>
      <c r="S240" s="2"/>
      <c r="T240" s="2"/>
      <c r="U240" s="2"/>
      <c r="V240" s="2">
        <f t="shared" si="122"/>
        <v>0</v>
      </c>
      <c r="X240" s="1" t="s">
        <v>84</v>
      </c>
      <c r="Y240" s="2">
        <f t="shared" si="113"/>
        <v>0</v>
      </c>
      <c r="Z240" s="2">
        <f t="shared" si="114"/>
        <v>0</v>
      </c>
      <c r="AA240" s="2">
        <f t="shared" si="115"/>
        <v>0</v>
      </c>
      <c r="AB240" s="2">
        <f t="shared" si="116"/>
        <v>0</v>
      </c>
      <c r="AC240" s="2">
        <f t="shared" si="117"/>
        <v>0</v>
      </c>
      <c r="AD240" s="2">
        <f t="shared" si="118"/>
        <v>0</v>
      </c>
      <c r="AE240" s="2">
        <f t="shared" si="119"/>
        <v>0</v>
      </c>
      <c r="AF240" s="2">
        <f t="shared" si="120"/>
        <v>0</v>
      </c>
      <c r="AG240" s="2">
        <f t="shared" si="123"/>
        <v>0</v>
      </c>
    </row>
    <row r="241" spans="2:33" hidden="1" x14ac:dyDescent="0.25">
      <c r="B241" s="1" t="s">
        <v>4</v>
      </c>
      <c r="C241" s="2"/>
      <c r="D241" s="2"/>
      <c r="E241" s="2"/>
      <c r="F241" s="2"/>
      <c r="G241" s="2"/>
      <c r="H241" s="2"/>
      <c r="I241" s="2"/>
      <c r="J241" s="2"/>
      <c r="K241" s="2">
        <f t="shared" si="121"/>
        <v>0</v>
      </c>
      <c r="M241" s="1" t="s">
        <v>4</v>
      </c>
      <c r="N241" s="2"/>
      <c r="O241" s="2"/>
      <c r="P241" s="2"/>
      <c r="Q241" s="2"/>
      <c r="R241" s="2"/>
      <c r="S241" s="2"/>
      <c r="T241" s="2"/>
      <c r="U241" s="2"/>
      <c r="V241" s="2">
        <f t="shared" si="122"/>
        <v>0</v>
      </c>
      <c r="X241" s="1" t="s">
        <v>4</v>
      </c>
      <c r="Y241" s="2">
        <f t="shared" si="113"/>
        <v>0</v>
      </c>
      <c r="Z241" s="2">
        <f t="shared" si="114"/>
        <v>0</v>
      </c>
      <c r="AA241" s="2">
        <f t="shared" si="115"/>
        <v>0</v>
      </c>
      <c r="AB241" s="2">
        <f t="shared" si="116"/>
        <v>0</v>
      </c>
      <c r="AC241" s="2">
        <f t="shared" si="117"/>
        <v>0</v>
      </c>
      <c r="AD241" s="2">
        <f t="shared" si="118"/>
        <v>0</v>
      </c>
      <c r="AE241" s="2">
        <f t="shared" si="119"/>
        <v>0</v>
      </c>
      <c r="AF241" s="2">
        <f t="shared" si="120"/>
        <v>0</v>
      </c>
      <c r="AG241" s="2">
        <f t="shared" si="123"/>
        <v>0</v>
      </c>
    </row>
    <row r="242" spans="2:33" hidden="1" x14ac:dyDescent="0.25">
      <c r="B242" s="1" t="s">
        <v>51</v>
      </c>
      <c r="C242" s="2"/>
      <c r="D242" s="2"/>
      <c r="E242" s="2"/>
      <c r="F242" s="2"/>
      <c r="G242" s="2"/>
      <c r="H242" s="2"/>
      <c r="I242" s="2"/>
      <c r="J242" s="2"/>
      <c r="K242" s="2">
        <f t="shared" si="121"/>
        <v>0</v>
      </c>
      <c r="M242" s="1" t="s">
        <v>51</v>
      </c>
      <c r="N242" s="2"/>
      <c r="O242" s="2"/>
      <c r="P242" s="2"/>
      <c r="Q242" s="2"/>
      <c r="R242" s="2"/>
      <c r="S242" s="2"/>
      <c r="T242" s="2"/>
      <c r="U242" s="2"/>
      <c r="V242" s="2">
        <f t="shared" si="122"/>
        <v>0</v>
      </c>
      <c r="X242" s="1" t="s">
        <v>51</v>
      </c>
      <c r="Y242" s="2">
        <f t="shared" si="113"/>
        <v>0</v>
      </c>
      <c r="Z242" s="2">
        <f t="shared" si="114"/>
        <v>0</v>
      </c>
      <c r="AA242" s="2">
        <f t="shared" si="115"/>
        <v>0</v>
      </c>
      <c r="AB242" s="2">
        <f t="shared" si="116"/>
        <v>0</v>
      </c>
      <c r="AC242" s="2">
        <f t="shared" si="117"/>
        <v>0</v>
      </c>
      <c r="AD242" s="2">
        <f t="shared" si="118"/>
        <v>0</v>
      </c>
      <c r="AE242" s="2">
        <f t="shared" si="119"/>
        <v>0</v>
      </c>
      <c r="AF242" s="2">
        <f t="shared" si="120"/>
        <v>0</v>
      </c>
      <c r="AG242" s="2">
        <f t="shared" si="123"/>
        <v>0</v>
      </c>
    </row>
    <row r="243" spans="2:33" hidden="1" x14ac:dyDescent="0.25">
      <c r="B243" s="1" t="s">
        <v>87</v>
      </c>
      <c r="C243" s="2"/>
      <c r="D243" s="2"/>
      <c r="E243" s="2"/>
      <c r="F243" s="2"/>
      <c r="G243" s="2"/>
      <c r="H243" s="2"/>
      <c r="I243" s="2"/>
      <c r="J243" s="2"/>
      <c r="K243" s="2">
        <f t="shared" si="121"/>
        <v>0</v>
      </c>
      <c r="M243" s="1" t="s">
        <v>87</v>
      </c>
      <c r="N243" s="2"/>
      <c r="O243" s="2"/>
      <c r="P243" s="2"/>
      <c r="Q243" s="2"/>
      <c r="R243" s="2"/>
      <c r="S243" s="2"/>
      <c r="T243" s="2"/>
      <c r="U243" s="2"/>
      <c r="V243" s="2">
        <f t="shared" si="122"/>
        <v>0</v>
      </c>
      <c r="X243" s="1" t="s">
        <v>87</v>
      </c>
      <c r="Y243" s="2">
        <f t="shared" si="113"/>
        <v>0</v>
      </c>
      <c r="Z243" s="2">
        <f t="shared" si="114"/>
        <v>0</v>
      </c>
      <c r="AA243" s="2">
        <f t="shared" si="115"/>
        <v>0</v>
      </c>
      <c r="AB243" s="2">
        <f t="shared" si="116"/>
        <v>0</v>
      </c>
      <c r="AC243" s="2">
        <f t="shared" si="117"/>
        <v>0</v>
      </c>
      <c r="AD243" s="2">
        <f t="shared" si="118"/>
        <v>0</v>
      </c>
      <c r="AE243" s="2">
        <f t="shared" si="119"/>
        <v>0</v>
      </c>
      <c r="AF243" s="2">
        <f t="shared" si="120"/>
        <v>0</v>
      </c>
      <c r="AG243" s="2">
        <f t="shared" si="123"/>
        <v>0</v>
      </c>
    </row>
    <row r="244" spans="2:33" hidden="1" x14ac:dyDescent="0.25">
      <c r="B244" s="1" t="s">
        <v>85</v>
      </c>
      <c r="C244" s="2"/>
      <c r="D244" s="2"/>
      <c r="E244" s="2"/>
      <c r="F244" s="2"/>
      <c r="G244" s="2"/>
      <c r="H244" s="2"/>
      <c r="I244" s="2"/>
      <c r="J244" s="2"/>
      <c r="K244" s="2">
        <f t="shared" si="121"/>
        <v>0</v>
      </c>
      <c r="M244" s="1" t="s">
        <v>85</v>
      </c>
      <c r="N244" s="2"/>
      <c r="O244" s="2"/>
      <c r="P244" s="2"/>
      <c r="Q244" s="2"/>
      <c r="R244" s="2"/>
      <c r="S244" s="2"/>
      <c r="T244" s="2"/>
      <c r="U244" s="2"/>
      <c r="V244" s="2">
        <f t="shared" si="122"/>
        <v>0</v>
      </c>
      <c r="X244" s="1" t="s">
        <v>85</v>
      </c>
      <c r="Y244" s="2">
        <f t="shared" si="113"/>
        <v>0</v>
      </c>
      <c r="Z244" s="2">
        <f t="shared" si="114"/>
        <v>0</v>
      </c>
      <c r="AA244" s="2">
        <f t="shared" si="115"/>
        <v>0</v>
      </c>
      <c r="AB244" s="2">
        <f t="shared" si="116"/>
        <v>0</v>
      </c>
      <c r="AC244" s="2">
        <f t="shared" si="117"/>
        <v>0</v>
      </c>
      <c r="AD244" s="2">
        <f t="shared" si="118"/>
        <v>0</v>
      </c>
      <c r="AE244" s="2">
        <f t="shared" si="119"/>
        <v>0</v>
      </c>
      <c r="AF244" s="2">
        <f t="shared" si="120"/>
        <v>0</v>
      </c>
      <c r="AG244" s="2">
        <f t="shared" si="123"/>
        <v>0</v>
      </c>
    </row>
    <row r="245" spans="2:33" hidden="1" x14ac:dyDescent="0.25">
      <c r="B245" s="1" t="s">
        <v>2</v>
      </c>
      <c r="C245" s="2"/>
      <c r="D245" s="2"/>
      <c r="E245" s="2"/>
      <c r="F245" s="2"/>
      <c r="G245" s="2"/>
      <c r="H245" s="2"/>
      <c r="I245" s="2"/>
      <c r="J245" s="2"/>
      <c r="K245" s="2">
        <f t="shared" si="121"/>
        <v>0</v>
      </c>
      <c r="M245" s="1" t="s">
        <v>2</v>
      </c>
      <c r="N245" s="2"/>
      <c r="O245" s="2"/>
      <c r="P245" s="2"/>
      <c r="Q245" s="2"/>
      <c r="R245" s="2"/>
      <c r="S245" s="2"/>
      <c r="T245" s="2"/>
      <c r="U245" s="2"/>
      <c r="V245" s="2">
        <f t="shared" si="122"/>
        <v>0</v>
      </c>
      <c r="X245" s="1" t="s">
        <v>2</v>
      </c>
      <c r="Y245" s="2">
        <f t="shared" si="113"/>
        <v>0</v>
      </c>
      <c r="Z245" s="2">
        <f t="shared" si="114"/>
        <v>0</v>
      </c>
      <c r="AA245" s="2">
        <f t="shared" si="115"/>
        <v>0</v>
      </c>
      <c r="AB245" s="2">
        <f t="shared" si="116"/>
        <v>0</v>
      </c>
      <c r="AC245" s="2">
        <f t="shared" si="117"/>
        <v>0</v>
      </c>
      <c r="AD245" s="2">
        <f t="shared" si="118"/>
        <v>0</v>
      </c>
      <c r="AE245" s="2">
        <f t="shared" si="119"/>
        <v>0</v>
      </c>
      <c r="AF245" s="2">
        <f t="shared" si="120"/>
        <v>0</v>
      </c>
      <c r="AG245" s="2">
        <f t="shared" si="123"/>
        <v>0</v>
      </c>
    </row>
    <row r="246" spans="2:33" hidden="1" x14ac:dyDescent="0.25">
      <c r="B246" s="1" t="s">
        <v>86</v>
      </c>
      <c r="C246" s="2"/>
      <c r="D246" s="2"/>
      <c r="E246" s="2"/>
      <c r="F246" s="2"/>
      <c r="G246" s="2"/>
      <c r="H246" s="2"/>
      <c r="I246" s="2"/>
      <c r="J246" s="2"/>
      <c r="K246" s="2">
        <f t="shared" si="121"/>
        <v>0</v>
      </c>
      <c r="M246" s="1" t="s">
        <v>86</v>
      </c>
      <c r="N246" s="2"/>
      <c r="O246" s="2"/>
      <c r="P246" s="2"/>
      <c r="Q246" s="2"/>
      <c r="R246" s="2"/>
      <c r="S246" s="2"/>
      <c r="T246" s="2"/>
      <c r="U246" s="2"/>
      <c r="V246" s="2">
        <f t="shared" si="122"/>
        <v>0</v>
      </c>
      <c r="X246" s="1" t="s">
        <v>86</v>
      </c>
      <c r="Y246" s="2">
        <f t="shared" si="113"/>
        <v>0</v>
      </c>
      <c r="Z246" s="2">
        <f t="shared" si="114"/>
        <v>0</v>
      </c>
      <c r="AA246" s="2">
        <f t="shared" si="115"/>
        <v>0</v>
      </c>
      <c r="AB246" s="2">
        <f t="shared" si="116"/>
        <v>0</v>
      </c>
      <c r="AC246" s="2">
        <f t="shared" si="117"/>
        <v>0</v>
      </c>
      <c r="AD246" s="2">
        <f t="shared" si="118"/>
        <v>0</v>
      </c>
      <c r="AE246" s="2">
        <f t="shared" si="119"/>
        <v>0</v>
      </c>
      <c r="AF246" s="2">
        <f t="shared" si="120"/>
        <v>0</v>
      </c>
      <c r="AG246" s="2">
        <f t="shared" si="123"/>
        <v>0</v>
      </c>
    </row>
    <row r="247" spans="2:33" hidden="1" x14ac:dyDescent="0.25">
      <c r="B247" s="1" t="s">
        <v>29</v>
      </c>
      <c r="C247" s="2"/>
      <c r="D247" s="2"/>
      <c r="E247" s="2"/>
      <c r="F247" s="2"/>
      <c r="G247" s="2"/>
      <c r="H247" s="2"/>
      <c r="I247" s="2"/>
      <c r="J247" s="2"/>
      <c r="K247" s="2">
        <f t="shared" si="121"/>
        <v>0</v>
      </c>
      <c r="M247" s="1" t="s">
        <v>29</v>
      </c>
      <c r="N247" s="2"/>
      <c r="O247" s="2"/>
      <c r="P247" s="2"/>
      <c r="Q247" s="2"/>
      <c r="R247" s="2"/>
      <c r="S247" s="2"/>
      <c r="T247" s="2"/>
      <c r="U247" s="2"/>
      <c r="V247" s="2">
        <f t="shared" si="122"/>
        <v>0</v>
      </c>
      <c r="X247" s="1" t="s">
        <v>29</v>
      </c>
      <c r="Y247" s="2">
        <f t="shared" si="113"/>
        <v>0</v>
      </c>
      <c r="Z247" s="2">
        <f t="shared" si="114"/>
        <v>0</v>
      </c>
      <c r="AA247" s="2">
        <f t="shared" si="115"/>
        <v>0</v>
      </c>
      <c r="AB247" s="2">
        <f t="shared" si="116"/>
        <v>0</v>
      </c>
      <c r="AC247" s="2">
        <f t="shared" si="117"/>
        <v>0</v>
      </c>
      <c r="AD247" s="2">
        <f t="shared" si="118"/>
        <v>0</v>
      </c>
      <c r="AE247" s="2">
        <f t="shared" si="119"/>
        <v>0</v>
      </c>
      <c r="AF247" s="2">
        <f t="shared" si="120"/>
        <v>0</v>
      </c>
      <c r="AG247" s="2">
        <f t="shared" si="123"/>
        <v>0</v>
      </c>
    </row>
    <row r="248" spans="2:33" hidden="1" x14ac:dyDescent="0.25">
      <c r="B248" s="1" t="s">
        <v>88</v>
      </c>
      <c r="C248" s="2"/>
      <c r="D248" s="2"/>
      <c r="E248" s="2"/>
      <c r="F248" s="2"/>
      <c r="G248" s="2"/>
      <c r="H248" s="2"/>
      <c r="I248" s="2"/>
      <c r="J248" s="2"/>
      <c r="K248" s="2">
        <f t="shared" si="121"/>
        <v>0</v>
      </c>
      <c r="M248" s="1" t="s">
        <v>88</v>
      </c>
      <c r="N248" s="2"/>
      <c r="O248" s="2"/>
      <c r="P248" s="2"/>
      <c r="Q248" s="2"/>
      <c r="R248" s="2"/>
      <c r="S248" s="2"/>
      <c r="T248" s="2"/>
      <c r="U248" s="2"/>
      <c r="V248" s="2">
        <f t="shared" si="122"/>
        <v>0</v>
      </c>
      <c r="X248" s="1" t="s">
        <v>52</v>
      </c>
      <c r="Y248" s="2">
        <f t="shared" si="113"/>
        <v>0</v>
      </c>
      <c r="Z248" s="2">
        <f t="shared" si="114"/>
        <v>0</v>
      </c>
      <c r="AA248" s="2">
        <f t="shared" si="115"/>
        <v>0</v>
      </c>
      <c r="AB248" s="2">
        <f t="shared" si="116"/>
        <v>0</v>
      </c>
      <c r="AC248" s="2">
        <f t="shared" si="117"/>
        <v>0</v>
      </c>
      <c r="AD248" s="2">
        <f t="shared" si="118"/>
        <v>0</v>
      </c>
      <c r="AE248" s="2">
        <f t="shared" si="119"/>
        <v>0</v>
      </c>
      <c r="AF248" s="2">
        <f t="shared" si="120"/>
        <v>0</v>
      </c>
      <c r="AG248" s="2">
        <f t="shared" si="123"/>
        <v>0</v>
      </c>
    </row>
    <row r="249" spans="2:33" hidden="1" x14ac:dyDescent="0.25">
      <c r="B249" s="1" t="s">
        <v>1098</v>
      </c>
      <c r="C249" s="2"/>
      <c r="D249" s="2"/>
      <c r="E249" s="2"/>
      <c r="F249" s="2"/>
      <c r="G249" s="2"/>
      <c r="H249" s="2"/>
      <c r="I249" s="2"/>
      <c r="J249" s="2"/>
      <c r="K249" s="2">
        <f t="shared" si="121"/>
        <v>0</v>
      </c>
      <c r="M249" s="1" t="s">
        <v>1098</v>
      </c>
      <c r="N249" s="2"/>
      <c r="O249" s="2"/>
      <c r="P249" s="2"/>
      <c r="Q249" s="2"/>
      <c r="R249" s="2"/>
      <c r="S249" s="2"/>
      <c r="T249" s="2"/>
      <c r="U249" s="2"/>
      <c r="V249" s="2">
        <f t="shared" si="122"/>
        <v>0</v>
      </c>
      <c r="X249" s="1" t="s">
        <v>88</v>
      </c>
      <c r="Y249" s="2">
        <f t="shared" si="113"/>
        <v>0</v>
      </c>
      <c r="Z249" s="2">
        <f t="shared" si="114"/>
        <v>0</v>
      </c>
      <c r="AA249" s="2">
        <f t="shared" si="115"/>
        <v>0</v>
      </c>
      <c r="AB249" s="2">
        <f t="shared" si="116"/>
        <v>0</v>
      </c>
      <c r="AC249" s="2">
        <f t="shared" si="117"/>
        <v>0</v>
      </c>
      <c r="AD249" s="2">
        <f t="shared" si="118"/>
        <v>0</v>
      </c>
      <c r="AE249" s="2">
        <f t="shared" si="119"/>
        <v>0</v>
      </c>
      <c r="AF249" s="2">
        <f t="shared" si="120"/>
        <v>0</v>
      </c>
      <c r="AG249" s="2">
        <f t="shared" si="123"/>
        <v>0</v>
      </c>
    </row>
    <row r="250" spans="2:33" hidden="1" x14ac:dyDescent="0.25">
      <c r="B250" s="1" t="s">
        <v>1099</v>
      </c>
      <c r="C250" s="2"/>
      <c r="D250" s="2"/>
      <c r="E250" s="2"/>
      <c r="F250" s="2"/>
      <c r="G250" s="2"/>
      <c r="H250" s="2"/>
      <c r="I250" s="2"/>
      <c r="J250" s="2"/>
      <c r="K250" s="2">
        <f t="shared" si="121"/>
        <v>0</v>
      </c>
      <c r="M250" s="1" t="s">
        <v>1099</v>
      </c>
      <c r="N250" s="2"/>
      <c r="O250" s="2"/>
      <c r="P250" s="2"/>
      <c r="Q250" s="2"/>
      <c r="R250" s="2"/>
      <c r="S250" s="2"/>
      <c r="T250" s="2"/>
      <c r="U250" s="2"/>
      <c r="V250" s="2">
        <f t="shared" si="122"/>
        <v>0</v>
      </c>
      <c r="X250" s="1" t="s">
        <v>1</v>
      </c>
      <c r="Y250" s="2">
        <f t="shared" si="113"/>
        <v>0</v>
      </c>
      <c r="Z250" s="2">
        <f t="shared" si="114"/>
        <v>0</v>
      </c>
      <c r="AA250" s="2">
        <f t="shared" si="115"/>
        <v>0</v>
      </c>
      <c r="AB250" s="2">
        <f t="shared" si="116"/>
        <v>0</v>
      </c>
      <c r="AC250" s="2">
        <f t="shared" si="117"/>
        <v>0</v>
      </c>
      <c r="AD250" s="2">
        <f t="shared" si="118"/>
        <v>0</v>
      </c>
      <c r="AE250" s="2">
        <f t="shared" si="119"/>
        <v>0</v>
      </c>
      <c r="AF250" s="2">
        <f t="shared" si="120"/>
        <v>0</v>
      </c>
      <c r="AG250" s="2">
        <f t="shared" si="123"/>
        <v>0</v>
      </c>
    </row>
    <row r="251" spans="2:33" ht="15.75" hidden="1" thickBot="1" x14ac:dyDescent="0.3">
      <c r="C251" s="70">
        <f>SUM(C231:C250)</f>
        <v>0</v>
      </c>
      <c r="D251" s="70">
        <f t="shared" ref="D251:J251" si="124">SUM(D231:D250)</f>
        <v>0</v>
      </c>
      <c r="E251" s="70">
        <f t="shared" si="124"/>
        <v>0</v>
      </c>
      <c r="F251" s="70">
        <f t="shared" si="124"/>
        <v>0</v>
      </c>
      <c r="G251" s="70">
        <f t="shared" si="124"/>
        <v>0</v>
      </c>
      <c r="H251" s="70">
        <f t="shared" si="124"/>
        <v>0</v>
      </c>
      <c r="I251" s="70">
        <f t="shared" si="124"/>
        <v>0</v>
      </c>
      <c r="J251" s="70">
        <f t="shared" si="124"/>
        <v>0</v>
      </c>
      <c r="K251" s="70">
        <f>SUM(K231:K250)</f>
        <v>0</v>
      </c>
      <c r="N251" s="70">
        <f>SUM(N231:N250)</f>
        <v>0</v>
      </c>
      <c r="O251" s="70">
        <f t="shared" ref="O251:U251" si="125">SUM(O231:O250)</f>
        <v>0</v>
      </c>
      <c r="P251" s="70">
        <f t="shared" si="125"/>
        <v>0</v>
      </c>
      <c r="Q251" s="70">
        <f t="shared" si="125"/>
        <v>0</v>
      </c>
      <c r="R251" s="70">
        <f t="shared" si="125"/>
        <v>0</v>
      </c>
      <c r="S251" s="70">
        <f t="shared" si="125"/>
        <v>0</v>
      </c>
      <c r="T251" s="70">
        <f t="shared" si="125"/>
        <v>0</v>
      </c>
      <c r="U251" s="70">
        <f t="shared" si="125"/>
        <v>0</v>
      </c>
      <c r="V251" s="70">
        <f>SUM(V231:V250)</f>
        <v>0</v>
      </c>
      <c r="Y251" s="70">
        <f>SUM(Y231:Y250)</f>
        <v>0</v>
      </c>
      <c r="Z251" s="70">
        <f t="shared" ref="Z251:AF251" si="126">SUM(Z231:Z250)</f>
        <v>0</v>
      </c>
      <c r="AA251" s="70">
        <f t="shared" si="126"/>
        <v>0</v>
      </c>
      <c r="AB251" s="70">
        <f t="shared" si="126"/>
        <v>0</v>
      </c>
      <c r="AC251" s="70">
        <f t="shared" si="126"/>
        <v>0</v>
      </c>
      <c r="AD251" s="70">
        <f t="shared" si="126"/>
        <v>0</v>
      </c>
      <c r="AE251" s="70">
        <f t="shared" si="126"/>
        <v>0</v>
      </c>
      <c r="AF251" s="70">
        <f t="shared" si="126"/>
        <v>0</v>
      </c>
      <c r="AG251" s="70">
        <f>SUM(AG231:AG250)</f>
        <v>0</v>
      </c>
    </row>
    <row r="252" spans="2:33" hidden="1" x14ac:dyDescent="0.25"/>
    <row r="253" spans="2:33" hidden="1" x14ac:dyDescent="0.25"/>
    <row r="254" spans="2:33" hidden="1" x14ac:dyDescent="0.25">
      <c r="B254" s="72" t="s">
        <v>96</v>
      </c>
      <c r="C254" s="187">
        <f>$C$20</f>
        <v>45199</v>
      </c>
      <c r="D254" s="175"/>
      <c r="E254" s="175"/>
      <c r="F254" s="175"/>
      <c r="G254" s="175"/>
      <c r="H254" s="175"/>
      <c r="I254" s="175"/>
      <c r="J254" s="175"/>
      <c r="K254" s="175"/>
      <c r="M254" s="72" t="s">
        <v>96</v>
      </c>
      <c r="N254" s="193">
        <f>$N$20</f>
        <v>45169</v>
      </c>
      <c r="O254" s="194"/>
      <c r="P254" s="194"/>
      <c r="Q254" s="194"/>
      <c r="R254" s="194"/>
      <c r="S254" s="194"/>
      <c r="T254" s="194"/>
      <c r="U254" s="194"/>
      <c r="V254" s="194"/>
      <c r="Y254" s="175" t="s">
        <v>97</v>
      </c>
      <c r="Z254" s="175"/>
      <c r="AA254" s="175"/>
      <c r="AB254" s="175"/>
      <c r="AC254" s="175"/>
      <c r="AD254" s="175"/>
      <c r="AE254" s="175"/>
      <c r="AF254" s="175"/>
      <c r="AG254" s="175"/>
    </row>
    <row r="255" spans="2:33" hidden="1" x14ac:dyDescent="0.25">
      <c r="B255" s="72" t="s">
        <v>95</v>
      </c>
      <c r="C255" s="175" t="str">
        <f>'Reimbursement Rates &lt;-INPUT'!K7</f>
        <v>Clinic 10</v>
      </c>
      <c r="D255" s="175"/>
      <c r="E255" s="175"/>
      <c r="F255" s="175"/>
      <c r="G255" s="175"/>
      <c r="H255" s="175"/>
      <c r="I255" s="175"/>
      <c r="J255" s="175"/>
      <c r="K255" s="175"/>
      <c r="M255" s="72" t="s">
        <v>95</v>
      </c>
      <c r="N255" s="175" t="str">
        <f>C255</f>
        <v>Clinic 10</v>
      </c>
      <c r="O255" s="175"/>
      <c r="P255" s="175"/>
      <c r="Q255" s="175"/>
      <c r="R255" s="175"/>
      <c r="S255" s="175"/>
      <c r="T255" s="175"/>
      <c r="U255" s="175"/>
      <c r="V255" s="175"/>
      <c r="X255" s="71" t="s">
        <v>95</v>
      </c>
      <c r="Y255" s="175" t="str">
        <f>C255</f>
        <v>Clinic 10</v>
      </c>
      <c r="Z255" s="175"/>
      <c r="AA255" s="175"/>
      <c r="AB255" s="175"/>
      <c r="AC255" s="175"/>
      <c r="AD255" s="175"/>
      <c r="AE255" s="175"/>
      <c r="AF255" s="175"/>
      <c r="AG255" s="175"/>
    </row>
    <row r="256" spans="2:33" hidden="1" x14ac:dyDescent="0.25">
      <c r="B256" s="4" t="s">
        <v>16</v>
      </c>
      <c r="C256" s="5" t="s">
        <v>15</v>
      </c>
      <c r="D256" s="5" t="s">
        <v>14</v>
      </c>
      <c r="E256" s="5" t="s">
        <v>13</v>
      </c>
      <c r="F256" s="5" t="s">
        <v>12</v>
      </c>
      <c r="G256" s="5" t="s">
        <v>93</v>
      </c>
      <c r="H256" s="5" t="s">
        <v>94</v>
      </c>
      <c r="I256" s="5" t="s">
        <v>38</v>
      </c>
      <c r="J256" s="5" t="s">
        <v>9</v>
      </c>
      <c r="K256" s="5" t="s">
        <v>80</v>
      </c>
      <c r="M256" s="4" t="s">
        <v>16</v>
      </c>
      <c r="N256" s="5" t="s">
        <v>15</v>
      </c>
      <c r="O256" s="5" t="s">
        <v>14</v>
      </c>
      <c r="P256" s="5" t="s">
        <v>13</v>
      </c>
      <c r="Q256" s="5" t="s">
        <v>12</v>
      </c>
      <c r="R256" s="5" t="s">
        <v>93</v>
      </c>
      <c r="S256" s="5" t="s">
        <v>94</v>
      </c>
      <c r="T256" s="5" t="s">
        <v>38</v>
      </c>
      <c r="U256" s="5" t="s">
        <v>9</v>
      </c>
      <c r="V256" s="5" t="s">
        <v>80</v>
      </c>
      <c r="X256" s="4" t="s">
        <v>16</v>
      </c>
      <c r="Y256" s="5" t="s">
        <v>15</v>
      </c>
      <c r="Z256" s="5" t="s">
        <v>14</v>
      </c>
      <c r="AA256" s="5" t="s">
        <v>13</v>
      </c>
      <c r="AB256" s="5" t="s">
        <v>12</v>
      </c>
      <c r="AC256" s="5" t="s">
        <v>93</v>
      </c>
      <c r="AD256" s="5" t="s">
        <v>94</v>
      </c>
      <c r="AE256" s="5" t="s">
        <v>38</v>
      </c>
      <c r="AF256" s="5" t="s">
        <v>9</v>
      </c>
      <c r="AG256" s="5" t="s">
        <v>80</v>
      </c>
    </row>
    <row r="257" spans="2:33" hidden="1" x14ac:dyDescent="0.25">
      <c r="B257" s="1" t="s">
        <v>1094</v>
      </c>
      <c r="C257" s="2"/>
      <c r="D257" s="2"/>
      <c r="E257" s="2"/>
      <c r="F257" s="2"/>
      <c r="G257" s="2"/>
      <c r="H257" s="2"/>
      <c r="I257" s="2"/>
      <c r="J257" s="2"/>
      <c r="K257" s="2">
        <f>SUM(C257:J257)</f>
        <v>0</v>
      </c>
      <c r="M257" s="1" t="s">
        <v>1094</v>
      </c>
      <c r="N257" s="2"/>
      <c r="O257" s="2"/>
      <c r="P257" s="2"/>
      <c r="Q257" s="2"/>
      <c r="R257" s="2"/>
      <c r="S257" s="2"/>
      <c r="T257" s="2"/>
      <c r="U257" s="2"/>
      <c r="V257" s="2">
        <f>SUM(N257:U257)</f>
        <v>0</v>
      </c>
      <c r="X257" s="1" t="s">
        <v>49</v>
      </c>
      <c r="Y257" s="2">
        <f t="shared" ref="Y257:Y276" si="127">C257-N257</f>
        <v>0</v>
      </c>
      <c r="Z257" s="2">
        <f t="shared" ref="Z257:Z276" si="128">D257-O257</f>
        <v>0</v>
      </c>
      <c r="AA257" s="2">
        <f t="shared" ref="AA257:AA276" si="129">E257-P257</f>
        <v>0</v>
      </c>
      <c r="AB257" s="2">
        <f t="shared" ref="AB257:AB276" si="130">F257-Q257</f>
        <v>0</v>
      </c>
      <c r="AC257" s="2">
        <f t="shared" ref="AC257:AC276" si="131">G257-R257</f>
        <v>0</v>
      </c>
      <c r="AD257" s="2">
        <f t="shared" ref="AD257:AD276" si="132">H257-S257</f>
        <v>0</v>
      </c>
      <c r="AE257" s="2">
        <f t="shared" ref="AE257:AE276" si="133">I257-T257</f>
        <v>0</v>
      </c>
      <c r="AF257" s="2">
        <f t="shared" ref="AF257:AF276" si="134">J257-U257</f>
        <v>0</v>
      </c>
      <c r="AG257" s="2">
        <f>SUM(Y257:AF257)</f>
        <v>0</v>
      </c>
    </row>
    <row r="258" spans="2:33" hidden="1" x14ac:dyDescent="0.25">
      <c r="B258" s="1" t="s">
        <v>8</v>
      </c>
      <c r="C258" s="2"/>
      <c r="D258" s="2"/>
      <c r="E258" s="2"/>
      <c r="F258" s="2"/>
      <c r="G258" s="2"/>
      <c r="H258" s="2"/>
      <c r="I258" s="2"/>
      <c r="J258" s="2"/>
      <c r="K258" s="2">
        <f t="shared" ref="K258:K276" si="135">SUM(C258:J258)</f>
        <v>0</v>
      </c>
      <c r="M258" s="1" t="s">
        <v>8</v>
      </c>
      <c r="N258" s="2"/>
      <c r="O258" s="2"/>
      <c r="P258" s="2"/>
      <c r="Q258" s="2"/>
      <c r="R258" s="2"/>
      <c r="S258" s="2"/>
      <c r="T258" s="2"/>
      <c r="U258" s="2"/>
      <c r="V258" s="2">
        <f t="shared" ref="V258:V276" si="136">SUM(N258:U258)</f>
        <v>0</v>
      </c>
      <c r="X258" s="1" t="s">
        <v>8</v>
      </c>
      <c r="Y258" s="2">
        <f t="shared" si="127"/>
        <v>0</v>
      </c>
      <c r="Z258" s="2">
        <f t="shared" si="128"/>
        <v>0</v>
      </c>
      <c r="AA258" s="2">
        <f t="shared" si="129"/>
        <v>0</v>
      </c>
      <c r="AB258" s="2">
        <f t="shared" si="130"/>
        <v>0</v>
      </c>
      <c r="AC258" s="2">
        <f t="shared" si="131"/>
        <v>0</v>
      </c>
      <c r="AD258" s="2">
        <f t="shared" si="132"/>
        <v>0</v>
      </c>
      <c r="AE258" s="2">
        <f t="shared" si="133"/>
        <v>0</v>
      </c>
      <c r="AF258" s="2">
        <f t="shared" si="134"/>
        <v>0</v>
      </c>
      <c r="AG258" s="2">
        <f t="shared" ref="AG258:AG276" si="137">SUM(Y258:AF258)</f>
        <v>0</v>
      </c>
    </row>
    <row r="259" spans="2:33" hidden="1" x14ac:dyDescent="0.25">
      <c r="B259" s="1" t="s">
        <v>1095</v>
      </c>
      <c r="C259" s="2"/>
      <c r="D259" s="2"/>
      <c r="E259" s="2"/>
      <c r="F259" s="2"/>
      <c r="G259" s="2"/>
      <c r="H259" s="2"/>
      <c r="I259" s="2"/>
      <c r="J259" s="2"/>
      <c r="K259" s="2">
        <f t="shared" si="135"/>
        <v>0</v>
      </c>
      <c r="M259" s="1" t="s">
        <v>1095</v>
      </c>
      <c r="N259" s="2"/>
      <c r="O259" s="2"/>
      <c r="P259" s="2"/>
      <c r="Q259" s="2"/>
      <c r="R259" s="2"/>
      <c r="S259" s="2"/>
      <c r="T259" s="2"/>
      <c r="U259" s="2"/>
      <c r="V259" s="2">
        <f t="shared" si="136"/>
        <v>0</v>
      </c>
      <c r="X259" s="1" t="s">
        <v>7</v>
      </c>
      <c r="Y259" s="2">
        <f t="shared" si="127"/>
        <v>0</v>
      </c>
      <c r="Z259" s="2">
        <f t="shared" si="128"/>
        <v>0</v>
      </c>
      <c r="AA259" s="2">
        <f t="shared" si="129"/>
        <v>0</v>
      </c>
      <c r="AB259" s="2">
        <f t="shared" si="130"/>
        <v>0</v>
      </c>
      <c r="AC259" s="2">
        <f t="shared" si="131"/>
        <v>0</v>
      </c>
      <c r="AD259" s="2">
        <f t="shared" si="132"/>
        <v>0</v>
      </c>
      <c r="AE259" s="2">
        <f t="shared" si="133"/>
        <v>0</v>
      </c>
      <c r="AF259" s="2">
        <f t="shared" si="134"/>
        <v>0</v>
      </c>
      <c r="AG259" s="2">
        <f t="shared" si="137"/>
        <v>0</v>
      </c>
    </row>
    <row r="260" spans="2:33" hidden="1" x14ac:dyDescent="0.25">
      <c r="B260" s="1" t="s">
        <v>42</v>
      </c>
      <c r="C260" s="2"/>
      <c r="D260" s="2"/>
      <c r="E260" s="2"/>
      <c r="F260" s="2"/>
      <c r="G260" s="2"/>
      <c r="H260" s="2"/>
      <c r="I260" s="2"/>
      <c r="J260" s="2"/>
      <c r="K260" s="2">
        <f t="shared" si="135"/>
        <v>0</v>
      </c>
      <c r="M260" s="1" t="s">
        <v>42</v>
      </c>
      <c r="N260" s="2"/>
      <c r="O260" s="2"/>
      <c r="P260" s="2"/>
      <c r="Q260" s="2"/>
      <c r="R260" s="2"/>
      <c r="S260" s="2"/>
      <c r="T260" s="2"/>
      <c r="U260" s="2"/>
      <c r="V260" s="2">
        <f t="shared" si="136"/>
        <v>0</v>
      </c>
      <c r="X260" s="1" t="s">
        <v>42</v>
      </c>
      <c r="Y260" s="2">
        <f t="shared" si="127"/>
        <v>0</v>
      </c>
      <c r="Z260" s="2">
        <f t="shared" si="128"/>
        <v>0</v>
      </c>
      <c r="AA260" s="2">
        <f t="shared" si="129"/>
        <v>0</v>
      </c>
      <c r="AB260" s="2">
        <f t="shared" si="130"/>
        <v>0</v>
      </c>
      <c r="AC260" s="2">
        <f t="shared" si="131"/>
        <v>0</v>
      </c>
      <c r="AD260" s="2">
        <f t="shared" si="132"/>
        <v>0</v>
      </c>
      <c r="AE260" s="2">
        <f t="shared" si="133"/>
        <v>0</v>
      </c>
      <c r="AF260" s="2">
        <f t="shared" si="134"/>
        <v>0</v>
      </c>
      <c r="AG260" s="2">
        <f t="shared" si="137"/>
        <v>0</v>
      </c>
    </row>
    <row r="261" spans="2:33" hidden="1" x14ac:dyDescent="0.25">
      <c r="B261" s="1" t="s">
        <v>6</v>
      </c>
      <c r="C261" s="2"/>
      <c r="D261" s="2"/>
      <c r="E261" s="2"/>
      <c r="F261" s="2"/>
      <c r="G261" s="2"/>
      <c r="H261" s="2"/>
      <c r="I261" s="2"/>
      <c r="J261" s="2"/>
      <c r="K261" s="2">
        <f t="shared" si="135"/>
        <v>0</v>
      </c>
      <c r="M261" s="1" t="s">
        <v>6</v>
      </c>
      <c r="N261" s="2"/>
      <c r="O261" s="2"/>
      <c r="P261" s="2"/>
      <c r="Q261" s="2"/>
      <c r="R261" s="2"/>
      <c r="S261" s="2"/>
      <c r="T261" s="2"/>
      <c r="U261" s="2"/>
      <c r="V261" s="2">
        <f t="shared" si="136"/>
        <v>0</v>
      </c>
      <c r="X261" s="1" t="s">
        <v>6</v>
      </c>
      <c r="Y261" s="2">
        <f t="shared" si="127"/>
        <v>0</v>
      </c>
      <c r="Z261" s="2">
        <f t="shared" si="128"/>
        <v>0</v>
      </c>
      <c r="AA261" s="2">
        <f t="shared" si="129"/>
        <v>0</v>
      </c>
      <c r="AB261" s="2">
        <f t="shared" si="130"/>
        <v>0</v>
      </c>
      <c r="AC261" s="2">
        <f t="shared" si="131"/>
        <v>0</v>
      </c>
      <c r="AD261" s="2">
        <f t="shared" si="132"/>
        <v>0</v>
      </c>
      <c r="AE261" s="2">
        <f t="shared" si="133"/>
        <v>0</v>
      </c>
      <c r="AF261" s="2">
        <f t="shared" si="134"/>
        <v>0</v>
      </c>
      <c r="AG261" s="2">
        <f t="shared" si="137"/>
        <v>0</v>
      </c>
    </row>
    <row r="262" spans="2:33" hidden="1" x14ac:dyDescent="0.25">
      <c r="B262" s="1" t="s">
        <v>90</v>
      </c>
      <c r="C262" s="2"/>
      <c r="D262" s="2"/>
      <c r="E262" s="2"/>
      <c r="F262" s="2"/>
      <c r="G262" s="2"/>
      <c r="H262" s="2"/>
      <c r="I262" s="2"/>
      <c r="J262" s="2"/>
      <c r="K262" s="2">
        <f t="shared" si="135"/>
        <v>0</v>
      </c>
      <c r="M262" s="1" t="s">
        <v>90</v>
      </c>
      <c r="N262" s="2"/>
      <c r="O262" s="2"/>
      <c r="P262" s="2"/>
      <c r="Q262" s="2"/>
      <c r="R262" s="2"/>
      <c r="S262" s="2"/>
      <c r="T262" s="2"/>
      <c r="U262" s="2"/>
      <c r="V262" s="2">
        <f t="shared" si="136"/>
        <v>0</v>
      </c>
      <c r="X262" s="1" t="s">
        <v>90</v>
      </c>
      <c r="Y262" s="2">
        <f t="shared" si="127"/>
        <v>0</v>
      </c>
      <c r="Z262" s="2">
        <f t="shared" si="128"/>
        <v>0</v>
      </c>
      <c r="AA262" s="2">
        <f t="shared" si="129"/>
        <v>0</v>
      </c>
      <c r="AB262" s="2">
        <f t="shared" si="130"/>
        <v>0</v>
      </c>
      <c r="AC262" s="2">
        <f t="shared" si="131"/>
        <v>0</v>
      </c>
      <c r="AD262" s="2">
        <f t="shared" si="132"/>
        <v>0</v>
      </c>
      <c r="AE262" s="2">
        <f t="shared" si="133"/>
        <v>0</v>
      </c>
      <c r="AF262" s="2">
        <f t="shared" si="134"/>
        <v>0</v>
      </c>
      <c r="AG262" s="2">
        <f t="shared" si="137"/>
        <v>0</v>
      </c>
    </row>
    <row r="263" spans="2:33" hidden="1" x14ac:dyDescent="0.25">
      <c r="B263" s="1" t="s">
        <v>1100</v>
      </c>
      <c r="C263" s="2"/>
      <c r="D263" s="2"/>
      <c r="E263" s="2"/>
      <c r="F263" s="2"/>
      <c r="G263" s="2"/>
      <c r="H263" s="2"/>
      <c r="I263" s="2"/>
      <c r="J263" s="2"/>
      <c r="K263" s="2">
        <f t="shared" si="135"/>
        <v>0</v>
      </c>
      <c r="M263" s="1" t="s">
        <v>1100</v>
      </c>
      <c r="N263" s="2"/>
      <c r="O263" s="2"/>
      <c r="P263" s="2"/>
      <c r="Q263" s="2"/>
      <c r="R263" s="2"/>
      <c r="S263" s="2"/>
      <c r="T263" s="2"/>
      <c r="U263" s="2"/>
      <c r="V263" s="2">
        <f t="shared" si="136"/>
        <v>0</v>
      </c>
      <c r="X263" s="1" t="s">
        <v>50</v>
      </c>
      <c r="Y263" s="2">
        <f t="shared" si="127"/>
        <v>0</v>
      </c>
      <c r="Z263" s="2">
        <f t="shared" si="128"/>
        <v>0</v>
      </c>
      <c r="AA263" s="2">
        <f t="shared" si="129"/>
        <v>0</v>
      </c>
      <c r="AB263" s="2">
        <f t="shared" si="130"/>
        <v>0</v>
      </c>
      <c r="AC263" s="2">
        <f t="shared" si="131"/>
        <v>0</v>
      </c>
      <c r="AD263" s="2">
        <f t="shared" si="132"/>
        <v>0</v>
      </c>
      <c r="AE263" s="2">
        <f t="shared" si="133"/>
        <v>0</v>
      </c>
      <c r="AF263" s="2">
        <f t="shared" si="134"/>
        <v>0</v>
      </c>
      <c r="AG263" s="2">
        <f t="shared" si="137"/>
        <v>0</v>
      </c>
    </row>
    <row r="264" spans="2:33" hidden="1" x14ac:dyDescent="0.25">
      <c r="B264" s="1" t="s">
        <v>89</v>
      </c>
      <c r="C264" s="2"/>
      <c r="D264" s="2"/>
      <c r="E264" s="2"/>
      <c r="F264" s="2"/>
      <c r="G264" s="2"/>
      <c r="H264" s="2"/>
      <c r="I264" s="2"/>
      <c r="J264" s="2"/>
      <c r="K264" s="2">
        <f t="shared" si="135"/>
        <v>0</v>
      </c>
      <c r="M264" s="1" t="s">
        <v>89</v>
      </c>
      <c r="N264" s="2"/>
      <c r="O264" s="2"/>
      <c r="P264" s="2"/>
      <c r="Q264" s="2"/>
      <c r="R264" s="2"/>
      <c r="S264" s="2"/>
      <c r="T264" s="2"/>
      <c r="U264" s="2"/>
      <c r="V264" s="2">
        <f t="shared" si="136"/>
        <v>0</v>
      </c>
      <c r="X264" s="1" t="s">
        <v>89</v>
      </c>
      <c r="Y264" s="2">
        <f t="shared" si="127"/>
        <v>0</v>
      </c>
      <c r="Z264" s="2">
        <f t="shared" si="128"/>
        <v>0</v>
      </c>
      <c r="AA264" s="2">
        <f t="shared" si="129"/>
        <v>0</v>
      </c>
      <c r="AB264" s="2">
        <f t="shared" si="130"/>
        <v>0</v>
      </c>
      <c r="AC264" s="2">
        <f t="shared" si="131"/>
        <v>0</v>
      </c>
      <c r="AD264" s="2">
        <f t="shared" si="132"/>
        <v>0</v>
      </c>
      <c r="AE264" s="2">
        <f t="shared" si="133"/>
        <v>0</v>
      </c>
      <c r="AF264" s="2">
        <f t="shared" si="134"/>
        <v>0</v>
      </c>
      <c r="AG264" s="2">
        <f t="shared" si="137"/>
        <v>0</v>
      </c>
    </row>
    <row r="265" spans="2:33" hidden="1" x14ac:dyDescent="0.25">
      <c r="B265" s="1" t="s">
        <v>5</v>
      </c>
      <c r="C265" s="2"/>
      <c r="D265" s="2"/>
      <c r="E265" s="2"/>
      <c r="F265" s="2"/>
      <c r="G265" s="2"/>
      <c r="H265" s="2"/>
      <c r="I265" s="2"/>
      <c r="J265" s="2"/>
      <c r="K265" s="2">
        <f t="shared" si="135"/>
        <v>0</v>
      </c>
      <c r="M265" s="1" t="s">
        <v>5</v>
      </c>
      <c r="N265" s="2"/>
      <c r="O265" s="2"/>
      <c r="P265" s="2"/>
      <c r="Q265" s="2"/>
      <c r="R265" s="2"/>
      <c r="S265" s="2"/>
      <c r="T265" s="2"/>
      <c r="U265" s="2"/>
      <c r="V265" s="2">
        <f t="shared" si="136"/>
        <v>0</v>
      </c>
      <c r="X265" s="1" t="s">
        <v>5</v>
      </c>
      <c r="Y265" s="2">
        <f t="shared" si="127"/>
        <v>0</v>
      </c>
      <c r="Z265" s="2">
        <f t="shared" si="128"/>
        <v>0</v>
      </c>
      <c r="AA265" s="2">
        <f t="shared" si="129"/>
        <v>0</v>
      </c>
      <c r="AB265" s="2">
        <f t="shared" si="130"/>
        <v>0</v>
      </c>
      <c r="AC265" s="2">
        <f t="shared" si="131"/>
        <v>0</v>
      </c>
      <c r="AD265" s="2">
        <f t="shared" si="132"/>
        <v>0</v>
      </c>
      <c r="AE265" s="2">
        <f t="shared" si="133"/>
        <v>0</v>
      </c>
      <c r="AF265" s="2">
        <f t="shared" si="134"/>
        <v>0</v>
      </c>
      <c r="AG265" s="2">
        <f t="shared" si="137"/>
        <v>0</v>
      </c>
    </row>
    <row r="266" spans="2:33" hidden="1" x14ac:dyDescent="0.25">
      <c r="B266" s="1" t="s">
        <v>84</v>
      </c>
      <c r="C266" s="2"/>
      <c r="D266" s="2"/>
      <c r="E266" s="2"/>
      <c r="F266" s="2"/>
      <c r="G266" s="2"/>
      <c r="H266" s="2"/>
      <c r="I266" s="2"/>
      <c r="J266" s="2"/>
      <c r="K266" s="2">
        <f t="shared" si="135"/>
        <v>0</v>
      </c>
      <c r="M266" s="1" t="s">
        <v>84</v>
      </c>
      <c r="N266" s="2"/>
      <c r="O266" s="2"/>
      <c r="P266" s="2"/>
      <c r="Q266" s="2"/>
      <c r="R266" s="2"/>
      <c r="S266" s="2"/>
      <c r="T266" s="2"/>
      <c r="U266" s="2"/>
      <c r="V266" s="2">
        <f t="shared" si="136"/>
        <v>0</v>
      </c>
      <c r="X266" s="1" t="s">
        <v>84</v>
      </c>
      <c r="Y266" s="2">
        <f t="shared" si="127"/>
        <v>0</v>
      </c>
      <c r="Z266" s="2">
        <f t="shared" si="128"/>
        <v>0</v>
      </c>
      <c r="AA266" s="2">
        <f t="shared" si="129"/>
        <v>0</v>
      </c>
      <c r="AB266" s="2">
        <f t="shared" si="130"/>
        <v>0</v>
      </c>
      <c r="AC266" s="2">
        <f t="shared" si="131"/>
        <v>0</v>
      </c>
      <c r="AD266" s="2">
        <f t="shared" si="132"/>
        <v>0</v>
      </c>
      <c r="AE266" s="2">
        <f t="shared" si="133"/>
        <v>0</v>
      </c>
      <c r="AF266" s="2">
        <f t="shared" si="134"/>
        <v>0</v>
      </c>
      <c r="AG266" s="2">
        <f t="shared" si="137"/>
        <v>0</v>
      </c>
    </row>
    <row r="267" spans="2:33" hidden="1" x14ac:dyDescent="0.25">
      <c r="B267" s="1" t="s">
        <v>4</v>
      </c>
      <c r="C267" s="2"/>
      <c r="D267" s="2"/>
      <c r="E267" s="2"/>
      <c r="F267" s="2"/>
      <c r="G267" s="2"/>
      <c r="H267" s="2"/>
      <c r="I267" s="2"/>
      <c r="J267" s="2"/>
      <c r="K267" s="2">
        <f t="shared" si="135"/>
        <v>0</v>
      </c>
      <c r="M267" s="1" t="s">
        <v>4</v>
      </c>
      <c r="N267" s="2"/>
      <c r="O267" s="2"/>
      <c r="P267" s="2"/>
      <c r="Q267" s="2"/>
      <c r="R267" s="2"/>
      <c r="S267" s="2"/>
      <c r="T267" s="2"/>
      <c r="U267" s="2"/>
      <c r="V267" s="2">
        <f t="shared" si="136"/>
        <v>0</v>
      </c>
      <c r="X267" s="1" t="s">
        <v>4</v>
      </c>
      <c r="Y267" s="2">
        <f t="shared" si="127"/>
        <v>0</v>
      </c>
      <c r="Z267" s="2">
        <f t="shared" si="128"/>
        <v>0</v>
      </c>
      <c r="AA267" s="2">
        <f t="shared" si="129"/>
        <v>0</v>
      </c>
      <c r="AB267" s="2">
        <f t="shared" si="130"/>
        <v>0</v>
      </c>
      <c r="AC267" s="2">
        <f t="shared" si="131"/>
        <v>0</v>
      </c>
      <c r="AD267" s="2">
        <f t="shared" si="132"/>
        <v>0</v>
      </c>
      <c r="AE267" s="2">
        <f t="shared" si="133"/>
        <v>0</v>
      </c>
      <c r="AF267" s="2">
        <f t="shared" si="134"/>
        <v>0</v>
      </c>
      <c r="AG267" s="2">
        <f t="shared" si="137"/>
        <v>0</v>
      </c>
    </row>
    <row r="268" spans="2:33" hidden="1" x14ac:dyDescent="0.25">
      <c r="B268" s="1" t="s">
        <v>51</v>
      </c>
      <c r="C268" s="2"/>
      <c r="D268" s="2"/>
      <c r="E268" s="2"/>
      <c r="F268" s="2"/>
      <c r="G268" s="2"/>
      <c r="H268" s="2"/>
      <c r="I268" s="2"/>
      <c r="J268" s="2"/>
      <c r="K268" s="2">
        <f t="shared" si="135"/>
        <v>0</v>
      </c>
      <c r="M268" s="1" t="s">
        <v>51</v>
      </c>
      <c r="N268" s="2"/>
      <c r="O268" s="2"/>
      <c r="P268" s="2"/>
      <c r="Q268" s="2"/>
      <c r="R268" s="2"/>
      <c r="S268" s="2"/>
      <c r="T268" s="2"/>
      <c r="U268" s="2"/>
      <c r="V268" s="2">
        <f t="shared" si="136"/>
        <v>0</v>
      </c>
      <c r="X268" s="1" t="s">
        <v>51</v>
      </c>
      <c r="Y268" s="2">
        <f t="shared" si="127"/>
        <v>0</v>
      </c>
      <c r="Z268" s="2">
        <f t="shared" si="128"/>
        <v>0</v>
      </c>
      <c r="AA268" s="2">
        <f t="shared" si="129"/>
        <v>0</v>
      </c>
      <c r="AB268" s="2">
        <f t="shared" si="130"/>
        <v>0</v>
      </c>
      <c r="AC268" s="2">
        <f t="shared" si="131"/>
        <v>0</v>
      </c>
      <c r="AD268" s="2">
        <f t="shared" si="132"/>
        <v>0</v>
      </c>
      <c r="AE268" s="2">
        <f t="shared" si="133"/>
        <v>0</v>
      </c>
      <c r="AF268" s="2">
        <f t="shared" si="134"/>
        <v>0</v>
      </c>
      <c r="AG268" s="2">
        <f t="shared" si="137"/>
        <v>0</v>
      </c>
    </row>
    <row r="269" spans="2:33" hidden="1" x14ac:dyDescent="0.25">
      <c r="B269" s="1" t="s">
        <v>87</v>
      </c>
      <c r="C269" s="2"/>
      <c r="D269" s="2"/>
      <c r="E269" s="2"/>
      <c r="F269" s="2"/>
      <c r="G269" s="2"/>
      <c r="H269" s="2"/>
      <c r="I269" s="2"/>
      <c r="J269" s="2"/>
      <c r="K269" s="2">
        <f t="shared" si="135"/>
        <v>0</v>
      </c>
      <c r="M269" s="1" t="s">
        <v>87</v>
      </c>
      <c r="N269" s="2"/>
      <c r="O269" s="2"/>
      <c r="P269" s="2"/>
      <c r="Q269" s="2"/>
      <c r="R269" s="2"/>
      <c r="S269" s="2"/>
      <c r="T269" s="2"/>
      <c r="U269" s="2"/>
      <c r="V269" s="2">
        <f t="shared" si="136"/>
        <v>0</v>
      </c>
      <c r="X269" s="1" t="s">
        <v>87</v>
      </c>
      <c r="Y269" s="2">
        <f t="shared" si="127"/>
        <v>0</v>
      </c>
      <c r="Z269" s="2">
        <f t="shared" si="128"/>
        <v>0</v>
      </c>
      <c r="AA269" s="2">
        <f t="shared" si="129"/>
        <v>0</v>
      </c>
      <c r="AB269" s="2">
        <f t="shared" si="130"/>
        <v>0</v>
      </c>
      <c r="AC269" s="2">
        <f t="shared" si="131"/>
        <v>0</v>
      </c>
      <c r="AD269" s="2">
        <f t="shared" si="132"/>
        <v>0</v>
      </c>
      <c r="AE269" s="2">
        <f t="shared" si="133"/>
        <v>0</v>
      </c>
      <c r="AF269" s="2">
        <f t="shared" si="134"/>
        <v>0</v>
      </c>
      <c r="AG269" s="2">
        <f t="shared" si="137"/>
        <v>0</v>
      </c>
    </row>
    <row r="270" spans="2:33" hidden="1" x14ac:dyDescent="0.25">
      <c r="B270" s="1" t="s">
        <v>85</v>
      </c>
      <c r="C270" s="2"/>
      <c r="D270" s="2"/>
      <c r="E270" s="2"/>
      <c r="F270" s="2"/>
      <c r="G270" s="2"/>
      <c r="H270" s="2"/>
      <c r="I270" s="2"/>
      <c r="J270" s="2"/>
      <c r="K270" s="2">
        <f t="shared" si="135"/>
        <v>0</v>
      </c>
      <c r="M270" s="1" t="s">
        <v>85</v>
      </c>
      <c r="N270" s="2"/>
      <c r="O270" s="2"/>
      <c r="P270" s="2"/>
      <c r="Q270" s="2"/>
      <c r="R270" s="2"/>
      <c r="S270" s="2"/>
      <c r="T270" s="2"/>
      <c r="U270" s="2"/>
      <c r="V270" s="2">
        <f t="shared" si="136"/>
        <v>0</v>
      </c>
      <c r="X270" s="1" t="s">
        <v>85</v>
      </c>
      <c r="Y270" s="2">
        <f t="shared" si="127"/>
        <v>0</v>
      </c>
      <c r="Z270" s="2">
        <f t="shared" si="128"/>
        <v>0</v>
      </c>
      <c r="AA270" s="2">
        <f t="shared" si="129"/>
        <v>0</v>
      </c>
      <c r="AB270" s="2">
        <f t="shared" si="130"/>
        <v>0</v>
      </c>
      <c r="AC270" s="2">
        <f t="shared" si="131"/>
        <v>0</v>
      </c>
      <c r="AD270" s="2">
        <f t="shared" si="132"/>
        <v>0</v>
      </c>
      <c r="AE270" s="2">
        <f t="shared" si="133"/>
        <v>0</v>
      </c>
      <c r="AF270" s="2">
        <f t="shared" si="134"/>
        <v>0</v>
      </c>
      <c r="AG270" s="2">
        <f t="shared" si="137"/>
        <v>0</v>
      </c>
    </row>
    <row r="271" spans="2:33" hidden="1" x14ac:dyDescent="0.25">
      <c r="B271" s="1" t="s">
        <v>2</v>
      </c>
      <c r="C271" s="2"/>
      <c r="D271" s="2"/>
      <c r="E271" s="2"/>
      <c r="F271" s="2"/>
      <c r="G271" s="2"/>
      <c r="H271" s="2"/>
      <c r="I271" s="2"/>
      <c r="J271" s="2"/>
      <c r="K271" s="2">
        <f t="shared" si="135"/>
        <v>0</v>
      </c>
      <c r="M271" s="1" t="s">
        <v>2</v>
      </c>
      <c r="N271" s="2"/>
      <c r="O271" s="2"/>
      <c r="P271" s="2"/>
      <c r="Q271" s="2"/>
      <c r="R271" s="2"/>
      <c r="S271" s="2"/>
      <c r="T271" s="2"/>
      <c r="U271" s="2"/>
      <c r="V271" s="2">
        <f t="shared" si="136"/>
        <v>0</v>
      </c>
      <c r="X271" s="1" t="s">
        <v>2</v>
      </c>
      <c r="Y271" s="2">
        <f t="shared" si="127"/>
        <v>0</v>
      </c>
      <c r="Z271" s="2">
        <f t="shared" si="128"/>
        <v>0</v>
      </c>
      <c r="AA271" s="2">
        <f t="shared" si="129"/>
        <v>0</v>
      </c>
      <c r="AB271" s="2">
        <f t="shared" si="130"/>
        <v>0</v>
      </c>
      <c r="AC271" s="2">
        <f t="shared" si="131"/>
        <v>0</v>
      </c>
      <c r="AD271" s="2">
        <f t="shared" si="132"/>
        <v>0</v>
      </c>
      <c r="AE271" s="2">
        <f t="shared" si="133"/>
        <v>0</v>
      </c>
      <c r="AF271" s="2">
        <f t="shared" si="134"/>
        <v>0</v>
      </c>
      <c r="AG271" s="2">
        <f t="shared" si="137"/>
        <v>0</v>
      </c>
    </row>
    <row r="272" spans="2:33" hidden="1" x14ac:dyDescent="0.25">
      <c r="B272" s="1" t="s">
        <v>86</v>
      </c>
      <c r="C272" s="2"/>
      <c r="D272" s="2"/>
      <c r="E272" s="2"/>
      <c r="F272" s="2"/>
      <c r="G272" s="2"/>
      <c r="H272" s="2"/>
      <c r="I272" s="2"/>
      <c r="J272" s="2"/>
      <c r="K272" s="2">
        <f t="shared" si="135"/>
        <v>0</v>
      </c>
      <c r="M272" s="1" t="s">
        <v>86</v>
      </c>
      <c r="N272" s="2"/>
      <c r="O272" s="2"/>
      <c r="P272" s="2"/>
      <c r="Q272" s="2"/>
      <c r="R272" s="2"/>
      <c r="S272" s="2"/>
      <c r="T272" s="2"/>
      <c r="U272" s="2"/>
      <c r="V272" s="2">
        <f t="shared" si="136"/>
        <v>0</v>
      </c>
      <c r="X272" s="1" t="s">
        <v>86</v>
      </c>
      <c r="Y272" s="2">
        <f t="shared" si="127"/>
        <v>0</v>
      </c>
      <c r="Z272" s="2">
        <f t="shared" si="128"/>
        <v>0</v>
      </c>
      <c r="AA272" s="2">
        <f t="shared" si="129"/>
        <v>0</v>
      </c>
      <c r="AB272" s="2">
        <f t="shared" si="130"/>
        <v>0</v>
      </c>
      <c r="AC272" s="2">
        <f t="shared" si="131"/>
        <v>0</v>
      </c>
      <c r="AD272" s="2">
        <f t="shared" si="132"/>
        <v>0</v>
      </c>
      <c r="AE272" s="2">
        <f t="shared" si="133"/>
        <v>0</v>
      </c>
      <c r="AF272" s="2">
        <f t="shared" si="134"/>
        <v>0</v>
      </c>
      <c r="AG272" s="2">
        <f t="shared" si="137"/>
        <v>0</v>
      </c>
    </row>
    <row r="273" spans="2:33" hidden="1" x14ac:dyDescent="0.25">
      <c r="B273" s="1" t="s">
        <v>29</v>
      </c>
      <c r="C273" s="2"/>
      <c r="D273" s="2"/>
      <c r="E273" s="2"/>
      <c r="F273" s="2"/>
      <c r="G273" s="2"/>
      <c r="H273" s="2"/>
      <c r="I273" s="2"/>
      <c r="J273" s="2"/>
      <c r="K273" s="2">
        <f t="shared" si="135"/>
        <v>0</v>
      </c>
      <c r="M273" s="1" t="s">
        <v>29</v>
      </c>
      <c r="N273" s="2"/>
      <c r="O273" s="2"/>
      <c r="P273" s="2"/>
      <c r="Q273" s="2"/>
      <c r="R273" s="2"/>
      <c r="S273" s="2"/>
      <c r="T273" s="2"/>
      <c r="U273" s="2"/>
      <c r="V273" s="2">
        <f t="shared" si="136"/>
        <v>0</v>
      </c>
      <c r="X273" s="1" t="s">
        <v>29</v>
      </c>
      <c r="Y273" s="2">
        <f t="shared" si="127"/>
        <v>0</v>
      </c>
      <c r="Z273" s="2">
        <f t="shared" si="128"/>
        <v>0</v>
      </c>
      <c r="AA273" s="2">
        <f t="shared" si="129"/>
        <v>0</v>
      </c>
      <c r="AB273" s="2">
        <f t="shared" si="130"/>
        <v>0</v>
      </c>
      <c r="AC273" s="2">
        <f t="shared" si="131"/>
        <v>0</v>
      </c>
      <c r="AD273" s="2">
        <f t="shared" si="132"/>
        <v>0</v>
      </c>
      <c r="AE273" s="2">
        <f t="shared" si="133"/>
        <v>0</v>
      </c>
      <c r="AF273" s="2">
        <f t="shared" si="134"/>
        <v>0</v>
      </c>
      <c r="AG273" s="2">
        <f t="shared" si="137"/>
        <v>0</v>
      </c>
    </row>
    <row r="274" spans="2:33" hidden="1" x14ac:dyDescent="0.25">
      <c r="B274" s="1" t="s">
        <v>88</v>
      </c>
      <c r="C274" s="2"/>
      <c r="D274" s="2"/>
      <c r="E274" s="2"/>
      <c r="F274" s="2"/>
      <c r="G274" s="2"/>
      <c r="H274" s="2"/>
      <c r="I274" s="2"/>
      <c r="J274" s="2"/>
      <c r="K274" s="2">
        <f t="shared" si="135"/>
        <v>0</v>
      </c>
      <c r="M274" s="1" t="s">
        <v>88</v>
      </c>
      <c r="N274" s="2"/>
      <c r="O274" s="2"/>
      <c r="P274" s="2"/>
      <c r="Q274" s="2"/>
      <c r="R274" s="2"/>
      <c r="S274" s="2"/>
      <c r="T274" s="2"/>
      <c r="U274" s="2"/>
      <c r="V274" s="2">
        <f t="shared" si="136"/>
        <v>0</v>
      </c>
      <c r="X274" s="1" t="s">
        <v>52</v>
      </c>
      <c r="Y274" s="2">
        <f t="shared" si="127"/>
        <v>0</v>
      </c>
      <c r="Z274" s="2">
        <f t="shared" si="128"/>
        <v>0</v>
      </c>
      <c r="AA274" s="2">
        <f t="shared" si="129"/>
        <v>0</v>
      </c>
      <c r="AB274" s="2">
        <f t="shared" si="130"/>
        <v>0</v>
      </c>
      <c r="AC274" s="2">
        <f t="shared" si="131"/>
        <v>0</v>
      </c>
      <c r="AD274" s="2">
        <f t="shared" si="132"/>
        <v>0</v>
      </c>
      <c r="AE274" s="2">
        <f t="shared" si="133"/>
        <v>0</v>
      </c>
      <c r="AF274" s="2">
        <f t="shared" si="134"/>
        <v>0</v>
      </c>
      <c r="AG274" s="2">
        <f t="shared" si="137"/>
        <v>0</v>
      </c>
    </row>
    <row r="275" spans="2:33" hidden="1" x14ac:dyDescent="0.25">
      <c r="B275" s="1" t="s">
        <v>1098</v>
      </c>
      <c r="C275" s="2"/>
      <c r="D275" s="2"/>
      <c r="E275" s="2"/>
      <c r="F275" s="2"/>
      <c r="G275" s="2"/>
      <c r="H275" s="2"/>
      <c r="I275" s="2"/>
      <c r="J275" s="2"/>
      <c r="K275" s="2">
        <f t="shared" si="135"/>
        <v>0</v>
      </c>
      <c r="M275" s="1" t="s">
        <v>1098</v>
      </c>
      <c r="N275" s="2"/>
      <c r="O275" s="2"/>
      <c r="P275" s="2"/>
      <c r="Q275" s="2"/>
      <c r="R275" s="2"/>
      <c r="S275" s="2"/>
      <c r="T275" s="2"/>
      <c r="U275" s="2"/>
      <c r="V275" s="2">
        <f t="shared" si="136"/>
        <v>0</v>
      </c>
      <c r="X275" s="1" t="s">
        <v>88</v>
      </c>
      <c r="Y275" s="2">
        <f t="shared" si="127"/>
        <v>0</v>
      </c>
      <c r="Z275" s="2">
        <f t="shared" si="128"/>
        <v>0</v>
      </c>
      <c r="AA275" s="2">
        <f t="shared" si="129"/>
        <v>0</v>
      </c>
      <c r="AB275" s="2">
        <f t="shared" si="130"/>
        <v>0</v>
      </c>
      <c r="AC275" s="2">
        <f t="shared" si="131"/>
        <v>0</v>
      </c>
      <c r="AD275" s="2">
        <f t="shared" si="132"/>
        <v>0</v>
      </c>
      <c r="AE275" s="2">
        <f t="shared" si="133"/>
        <v>0</v>
      </c>
      <c r="AF275" s="2">
        <f t="shared" si="134"/>
        <v>0</v>
      </c>
      <c r="AG275" s="2">
        <f t="shared" si="137"/>
        <v>0</v>
      </c>
    </row>
    <row r="276" spans="2:33" hidden="1" x14ac:dyDescent="0.25">
      <c r="B276" s="1" t="s">
        <v>1099</v>
      </c>
      <c r="C276" s="2"/>
      <c r="D276" s="2"/>
      <c r="E276" s="2"/>
      <c r="F276" s="2"/>
      <c r="G276" s="2"/>
      <c r="H276" s="2"/>
      <c r="I276" s="2"/>
      <c r="J276" s="2"/>
      <c r="K276" s="2">
        <f t="shared" si="135"/>
        <v>0</v>
      </c>
      <c r="M276" s="1" t="s">
        <v>1099</v>
      </c>
      <c r="N276" s="2"/>
      <c r="O276" s="2"/>
      <c r="P276" s="2"/>
      <c r="Q276" s="2"/>
      <c r="R276" s="2"/>
      <c r="S276" s="2"/>
      <c r="T276" s="2"/>
      <c r="U276" s="2"/>
      <c r="V276" s="2">
        <f t="shared" si="136"/>
        <v>0</v>
      </c>
      <c r="X276" s="1" t="s">
        <v>1</v>
      </c>
      <c r="Y276" s="2">
        <f t="shared" si="127"/>
        <v>0</v>
      </c>
      <c r="Z276" s="2">
        <f t="shared" si="128"/>
        <v>0</v>
      </c>
      <c r="AA276" s="2">
        <f t="shared" si="129"/>
        <v>0</v>
      </c>
      <c r="AB276" s="2">
        <f t="shared" si="130"/>
        <v>0</v>
      </c>
      <c r="AC276" s="2">
        <f t="shared" si="131"/>
        <v>0</v>
      </c>
      <c r="AD276" s="2">
        <f t="shared" si="132"/>
        <v>0</v>
      </c>
      <c r="AE276" s="2">
        <f t="shared" si="133"/>
        <v>0</v>
      </c>
      <c r="AF276" s="2">
        <f t="shared" si="134"/>
        <v>0</v>
      </c>
      <c r="AG276" s="2">
        <f t="shared" si="137"/>
        <v>0</v>
      </c>
    </row>
    <row r="277" spans="2:33" ht="15.75" hidden="1" thickBot="1" x14ac:dyDescent="0.3">
      <c r="C277" s="70">
        <f>SUM(C257:C276)</f>
        <v>0</v>
      </c>
      <c r="D277" s="70">
        <f t="shared" ref="D277:J277" si="138">SUM(D257:D276)</f>
        <v>0</v>
      </c>
      <c r="E277" s="70">
        <f t="shared" si="138"/>
        <v>0</v>
      </c>
      <c r="F277" s="70">
        <f t="shared" si="138"/>
        <v>0</v>
      </c>
      <c r="G277" s="70">
        <f t="shared" si="138"/>
        <v>0</v>
      </c>
      <c r="H277" s="70">
        <f t="shared" si="138"/>
        <v>0</v>
      </c>
      <c r="I277" s="70">
        <f t="shared" si="138"/>
        <v>0</v>
      </c>
      <c r="J277" s="70">
        <f t="shared" si="138"/>
        <v>0</v>
      </c>
      <c r="K277" s="70">
        <f>SUM(K257:K276)</f>
        <v>0</v>
      </c>
      <c r="N277" s="70">
        <f>SUM(N257:N276)</f>
        <v>0</v>
      </c>
      <c r="O277" s="70">
        <f t="shared" ref="O277:U277" si="139">SUM(O257:O276)</f>
        <v>0</v>
      </c>
      <c r="P277" s="70">
        <f t="shared" si="139"/>
        <v>0</v>
      </c>
      <c r="Q277" s="70">
        <f t="shared" si="139"/>
        <v>0</v>
      </c>
      <c r="R277" s="70">
        <f t="shared" si="139"/>
        <v>0</v>
      </c>
      <c r="S277" s="70">
        <f t="shared" si="139"/>
        <v>0</v>
      </c>
      <c r="T277" s="70">
        <f t="shared" si="139"/>
        <v>0</v>
      </c>
      <c r="U277" s="70">
        <f t="shared" si="139"/>
        <v>0</v>
      </c>
      <c r="V277" s="70">
        <f>SUM(V257:V276)</f>
        <v>0</v>
      </c>
      <c r="Y277" s="70">
        <f>SUM(Y257:Y276)</f>
        <v>0</v>
      </c>
      <c r="Z277" s="70">
        <f t="shared" ref="Z277:AF277" si="140">SUM(Z257:Z276)</f>
        <v>0</v>
      </c>
      <c r="AA277" s="70">
        <f t="shared" si="140"/>
        <v>0</v>
      </c>
      <c r="AB277" s="70">
        <f t="shared" si="140"/>
        <v>0</v>
      </c>
      <c r="AC277" s="70">
        <f t="shared" si="140"/>
        <v>0</v>
      </c>
      <c r="AD277" s="70">
        <f t="shared" si="140"/>
        <v>0</v>
      </c>
      <c r="AE277" s="70">
        <f t="shared" si="140"/>
        <v>0</v>
      </c>
      <c r="AF277" s="70">
        <f t="shared" si="140"/>
        <v>0</v>
      </c>
      <c r="AG277" s="70">
        <f>SUM(AG257:AG276)</f>
        <v>0</v>
      </c>
    </row>
    <row r="278" spans="2:33" hidden="1" x14ac:dyDescent="0.25"/>
    <row r="279" spans="2:33" hidden="1" x14ac:dyDescent="0.25"/>
    <row r="280" spans="2:33" hidden="1" x14ac:dyDescent="0.25">
      <c r="B280" s="72" t="s">
        <v>96</v>
      </c>
      <c r="C280" s="187">
        <f>$C$20</f>
        <v>45199</v>
      </c>
      <c r="D280" s="175"/>
      <c r="E280" s="175"/>
      <c r="F280" s="175"/>
      <c r="G280" s="175"/>
      <c r="H280" s="175"/>
      <c r="I280" s="175"/>
      <c r="J280" s="175"/>
      <c r="K280" s="175"/>
      <c r="M280" s="72" t="s">
        <v>96</v>
      </c>
      <c r="N280" s="193">
        <f>$N$20</f>
        <v>45169</v>
      </c>
      <c r="O280" s="194"/>
      <c r="P280" s="194"/>
      <c r="Q280" s="194"/>
      <c r="R280" s="194"/>
      <c r="S280" s="194"/>
      <c r="T280" s="194"/>
      <c r="U280" s="194"/>
      <c r="V280" s="194"/>
      <c r="Y280" s="175" t="s">
        <v>97</v>
      </c>
      <c r="Z280" s="175"/>
      <c r="AA280" s="175"/>
      <c r="AB280" s="175"/>
      <c r="AC280" s="175"/>
      <c r="AD280" s="175"/>
      <c r="AE280" s="175"/>
      <c r="AF280" s="175"/>
      <c r="AG280" s="175"/>
    </row>
    <row r="281" spans="2:33" hidden="1" x14ac:dyDescent="0.25">
      <c r="B281" s="72" t="s">
        <v>95</v>
      </c>
      <c r="C281" s="175" t="str">
        <f>'Reimbursement Rates &lt;-INPUT'!L7</f>
        <v>Clinic 11</v>
      </c>
      <c r="D281" s="175"/>
      <c r="E281" s="175"/>
      <c r="F281" s="175"/>
      <c r="G281" s="175"/>
      <c r="H281" s="175"/>
      <c r="I281" s="175"/>
      <c r="J281" s="175"/>
      <c r="K281" s="175"/>
      <c r="M281" s="72" t="s">
        <v>95</v>
      </c>
      <c r="N281" s="175" t="str">
        <f>C281</f>
        <v>Clinic 11</v>
      </c>
      <c r="O281" s="175"/>
      <c r="P281" s="175"/>
      <c r="Q281" s="175"/>
      <c r="R281" s="175"/>
      <c r="S281" s="175"/>
      <c r="T281" s="175"/>
      <c r="U281" s="175"/>
      <c r="V281" s="175"/>
      <c r="X281" s="71" t="s">
        <v>95</v>
      </c>
      <c r="Y281" s="175" t="str">
        <f>C281</f>
        <v>Clinic 11</v>
      </c>
      <c r="Z281" s="175"/>
      <c r="AA281" s="175"/>
      <c r="AB281" s="175"/>
      <c r="AC281" s="175"/>
      <c r="AD281" s="175"/>
      <c r="AE281" s="175"/>
      <c r="AF281" s="175"/>
      <c r="AG281" s="175"/>
    </row>
    <row r="282" spans="2:33" hidden="1" x14ac:dyDescent="0.25">
      <c r="B282" s="4" t="s">
        <v>16</v>
      </c>
      <c r="C282" s="5" t="s">
        <v>15</v>
      </c>
      <c r="D282" s="5" t="s">
        <v>14</v>
      </c>
      <c r="E282" s="5" t="s">
        <v>13</v>
      </c>
      <c r="F282" s="5" t="s">
        <v>12</v>
      </c>
      <c r="G282" s="5" t="s">
        <v>93</v>
      </c>
      <c r="H282" s="5" t="s">
        <v>94</v>
      </c>
      <c r="I282" s="5" t="s">
        <v>38</v>
      </c>
      <c r="J282" s="5" t="s">
        <v>9</v>
      </c>
      <c r="K282" s="5" t="s">
        <v>80</v>
      </c>
      <c r="M282" s="4" t="s">
        <v>16</v>
      </c>
      <c r="N282" s="5" t="s">
        <v>15</v>
      </c>
      <c r="O282" s="5" t="s">
        <v>14</v>
      </c>
      <c r="P282" s="5" t="s">
        <v>13</v>
      </c>
      <c r="Q282" s="5" t="s">
        <v>12</v>
      </c>
      <c r="R282" s="5" t="s">
        <v>93</v>
      </c>
      <c r="S282" s="5" t="s">
        <v>94</v>
      </c>
      <c r="T282" s="5" t="s">
        <v>38</v>
      </c>
      <c r="U282" s="5" t="s">
        <v>9</v>
      </c>
      <c r="V282" s="5" t="s">
        <v>80</v>
      </c>
      <c r="X282" s="4" t="s">
        <v>16</v>
      </c>
      <c r="Y282" s="5" t="s">
        <v>15</v>
      </c>
      <c r="Z282" s="5" t="s">
        <v>14</v>
      </c>
      <c r="AA282" s="5" t="s">
        <v>13</v>
      </c>
      <c r="AB282" s="5" t="s">
        <v>12</v>
      </c>
      <c r="AC282" s="5" t="s">
        <v>93</v>
      </c>
      <c r="AD282" s="5" t="s">
        <v>94</v>
      </c>
      <c r="AE282" s="5" t="s">
        <v>38</v>
      </c>
      <c r="AF282" s="5" t="s">
        <v>9</v>
      </c>
      <c r="AG282" s="5" t="s">
        <v>80</v>
      </c>
    </row>
    <row r="283" spans="2:33" hidden="1" x14ac:dyDescent="0.25">
      <c r="B283" s="1" t="s">
        <v>1094</v>
      </c>
      <c r="C283" s="2"/>
      <c r="D283" s="2"/>
      <c r="E283" s="2"/>
      <c r="F283" s="2"/>
      <c r="G283" s="2"/>
      <c r="H283" s="2"/>
      <c r="I283" s="2"/>
      <c r="J283" s="2"/>
      <c r="K283" s="2">
        <f>SUM(C283:J283)</f>
        <v>0</v>
      </c>
      <c r="M283" s="1" t="s">
        <v>1094</v>
      </c>
      <c r="N283" s="2"/>
      <c r="O283" s="2"/>
      <c r="P283" s="2"/>
      <c r="Q283" s="2"/>
      <c r="R283" s="2"/>
      <c r="S283" s="2"/>
      <c r="T283" s="2"/>
      <c r="U283" s="2"/>
      <c r="V283" s="2">
        <f>SUM(N283:U283)</f>
        <v>0</v>
      </c>
      <c r="X283" s="1" t="s">
        <v>49</v>
      </c>
      <c r="Y283" s="2">
        <f t="shared" ref="Y283:Y302" si="141">C283-N283</f>
        <v>0</v>
      </c>
      <c r="Z283" s="2">
        <f t="shared" ref="Z283:Z302" si="142">D283-O283</f>
        <v>0</v>
      </c>
      <c r="AA283" s="2">
        <f t="shared" ref="AA283:AA302" si="143">E283-P283</f>
        <v>0</v>
      </c>
      <c r="AB283" s="2">
        <f t="shared" ref="AB283:AB302" si="144">F283-Q283</f>
        <v>0</v>
      </c>
      <c r="AC283" s="2">
        <f t="shared" ref="AC283:AC302" si="145">G283-R283</f>
        <v>0</v>
      </c>
      <c r="AD283" s="2">
        <f t="shared" ref="AD283:AD302" si="146">H283-S283</f>
        <v>0</v>
      </c>
      <c r="AE283" s="2">
        <f t="shared" ref="AE283:AE302" si="147">I283-T283</f>
        <v>0</v>
      </c>
      <c r="AF283" s="2">
        <f t="shared" ref="AF283:AF302" si="148">J283-U283</f>
        <v>0</v>
      </c>
      <c r="AG283" s="2">
        <f>SUM(Y283:AF283)</f>
        <v>0</v>
      </c>
    </row>
    <row r="284" spans="2:33" hidden="1" x14ac:dyDescent="0.25">
      <c r="B284" s="1" t="s">
        <v>8</v>
      </c>
      <c r="C284" s="2"/>
      <c r="D284" s="2"/>
      <c r="E284" s="2"/>
      <c r="F284" s="2"/>
      <c r="G284" s="2"/>
      <c r="H284" s="2"/>
      <c r="I284" s="2"/>
      <c r="J284" s="2"/>
      <c r="K284" s="2">
        <f t="shared" ref="K284:K302" si="149">SUM(C284:J284)</f>
        <v>0</v>
      </c>
      <c r="M284" s="1" t="s">
        <v>8</v>
      </c>
      <c r="N284" s="2"/>
      <c r="O284" s="2"/>
      <c r="P284" s="2"/>
      <c r="Q284" s="2"/>
      <c r="R284" s="2"/>
      <c r="S284" s="2"/>
      <c r="T284" s="2"/>
      <c r="U284" s="2"/>
      <c r="V284" s="2">
        <f t="shared" ref="V284:V302" si="150">SUM(N284:U284)</f>
        <v>0</v>
      </c>
      <c r="X284" s="1" t="s">
        <v>8</v>
      </c>
      <c r="Y284" s="2">
        <f t="shared" si="141"/>
        <v>0</v>
      </c>
      <c r="Z284" s="2">
        <f t="shared" si="142"/>
        <v>0</v>
      </c>
      <c r="AA284" s="2">
        <f t="shared" si="143"/>
        <v>0</v>
      </c>
      <c r="AB284" s="2">
        <f t="shared" si="144"/>
        <v>0</v>
      </c>
      <c r="AC284" s="2">
        <f t="shared" si="145"/>
        <v>0</v>
      </c>
      <c r="AD284" s="2">
        <f t="shared" si="146"/>
        <v>0</v>
      </c>
      <c r="AE284" s="2">
        <f t="shared" si="147"/>
        <v>0</v>
      </c>
      <c r="AF284" s="2">
        <f t="shared" si="148"/>
        <v>0</v>
      </c>
      <c r="AG284" s="2">
        <f t="shared" ref="AG284:AG302" si="151">SUM(Y284:AF284)</f>
        <v>0</v>
      </c>
    </row>
    <row r="285" spans="2:33" hidden="1" x14ac:dyDescent="0.25">
      <c r="B285" s="1" t="s">
        <v>1095</v>
      </c>
      <c r="C285" s="2"/>
      <c r="D285" s="2"/>
      <c r="E285" s="2"/>
      <c r="F285" s="2"/>
      <c r="G285" s="2"/>
      <c r="H285" s="2"/>
      <c r="I285" s="2"/>
      <c r="J285" s="2"/>
      <c r="K285" s="2">
        <f t="shared" si="149"/>
        <v>0</v>
      </c>
      <c r="M285" s="1" t="s">
        <v>1095</v>
      </c>
      <c r="N285" s="2"/>
      <c r="O285" s="2"/>
      <c r="P285" s="2"/>
      <c r="Q285" s="2"/>
      <c r="R285" s="2"/>
      <c r="S285" s="2"/>
      <c r="T285" s="2"/>
      <c r="U285" s="2"/>
      <c r="V285" s="2">
        <f t="shared" si="150"/>
        <v>0</v>
      </c>
      <c r="X285" s="1" t="s">
        <v>7</v>
      </c>
      <c r="Y285" s="2">
        <f t="shared" si="141"/>
        <v>0</v>
      </c>
      <c r="Z285" s="2">
        <f t="shared" si="142"/>
        <v>0</v>
      </c>
      <c r="AA285" s="2">
        <f t="shared" si="143"/>
        <v>0</v>
      </c>
      <c r="AB285" s="2">
        <f t="shared" si="144"/>
        <v>0</v>
      </c>
      <c r="AC285" s="2">
        <f t="shared" si="145"/>
        <v>0</v>
      </c>
      <c r="AD285" s="2">
        <f t="shared" si="146"/>
        <v>0</v>
      </c>
      <c r="AE285" s="2">
        <f t="shared" si="147"/>
        <v>0</v>
      </c>
      <c r="AF285" s="2">
        <f t="shared" si="148"/>
        <v>0</v>
      </c>
      <c r="AG285" s="2">
        <f t="shared" si="151"/>
        <v>0</v>
      </c>
    </row>
    <row r="286" spans="2:33" hidden="1" x14ac:dyDescent="0.25">
      <c r="B286" s="1" t="s">
        <v>42</v>
      </c>
      <c r="C286" s="2"/>
      <c r="D286" s="2"/>
      <c r="E286" s="2"/>
      <c r="F286" s="2"/>
      <c r="G286" s="2"/>
      <c r="H286" s="2"/>
      <c r="I286" s="2"/>
      <c r="J286" s="2"/>
      <c r="K286" s="2">
        <f t="shared" si="149"/>
        <v>0</v>
      </c>
      <c r="M286" s="1" t="s">
        <v>42</v>
      </c>
      <c r="N286" s="2"/>
      <c r="O286" s="2"/>
      <c r="P286" s="2"/>
      <c r="Q286" s="2"/>
      <c r="R286" s="2"/>
      <c r="S286" s="2"/>
      <c r="T286" s="2"/>
      <c r="U286" s="2"/>
      <c r="V286" s="2">
        <f t="shared" si="150"/>
        <v>0</v>
      </c>
      <c r="X286" s="1" t="s">
        <v>42</v>
      </c>
      <c r="Y286" s="2">
        <f t="shared" si="141"/>
        <v>0</v>
      </c>
      <c r="Z286" s="2">
        <f t="shared" si="142"/>
        <v>0</v>
      </c>
      <c r="AA286" s="2">
        <f t="shared" si="143"/>
        <v>0</v>
      </c>
      <c r="AB286" s="2">
        <f t="shared" si="144"/>
        <v>0</v>
      </c>
      <c r="AC286" s="2">
        <f t="shared" si="145"/>
        <v>0</v>
      </c>
      <c r="AD286" s="2">
        <f t="shared" si="146"/>
        <v>0</v>
      </c>
      <c r="AE286" s="2">
        <f t="shared" si="147"/>
        <v>0</v>
      </c>
      <c r="AF286" s="2">
        <f t="shared" si="148"/>
        <v>0</v>
      </c>
      <c r="AG286" s="2">
        <f t="shared" si="151"/>
        <v>0</v>
      </c>
    </row>
    <row r="287" spans="2:33" hidden="1" x14ac:dyDescent="0.25">
      <c r="B287" s="1" t="s">
        <v>6</v>
      </c>
      <c r="C287" s="2"/>
      <c r="D287" s="2"/>
      <c r="E287" s="2"/>
      <c r="F287" s="2"/>
      <c r="G287" s="2"/>
      <c r="H287" s="2"/>
      <c r="I287" s="2"/>
      <c r="J287" s="2"/>
      <c r="K287" s="2">
        <f t="shared" si="149"/>
        <v>0</v>
      </c>
      <c r="M287" s="1" t="s">
        <v>6</v>
      </c>
      <c r="N287" s="2"/>
      <c r="O287" s="2"/>
      <c r="P287" s="2"/>
      <c r="Q287" s="2"/>
      <c r="R287" s="2"/>
      <c r="S287" s="2"/>
      <c r="T287" s="2"/>
      <c r="U287" s="2"/>
      <c r="V287" s="2">
        <f t="shared" si="150"/>
        <v>0</v>
      </c>
      <c r="X287" s="1" t="s">
        <v>6</v>
      </c>
      <c r="Y287" s="2">
        <f t="shared" si="141"/>
        <v>0</v>
      </c>
      <c r="Z287" s="2">
        <f t="shared" si="142"/>
        <v>0</v>
      </c>
      <c r="AA287" s="2">
        <f t="shared" si="143"/>
        <v>0</v>
      </c>
      <c r="AB287" s="2">
        <f t="shared" si="144"/>
        <v>0</v>
      </c>
      <c r="AC287" s="2">
        <f t="shared" si="145"/>
        <v>0</v>
      </c>
      <c r="AD287" s="2">
        <f t="shared" si="146"/>
        <v>0</v>
      </c>
      <c r="AE287" s="2">
        <f t="shared" si="147"/>
        <v>0</v>
      </c>
      <c r="AF287" s="2">
        <f t="shared" si="148"/>
        <v>0</v>
      </c>
      <c r="AG287" s="2">
        <f t="shared" si="151"/>
        <v>0</v>
      </c>
    </row>
    <row r="288" spans="2:33" hidden="1" x14ac:dyDescent="0.25">
      <c r="B288" s="1" t="s">
        <v>90</v>
      </c>
      <c r="C288" s="2"/>
      <c r="D288" s="2"/>
      <c r="E288" s="2"/>
      <c r="F288" s="2"/>
      <c r="G288" s="2"/>
      <c r="H288" s="2"/>
      <c r="I288" s="2"/>
      <c r="J288" s="2"/>
      <c r="K288" s="2">
        <f t="shared" si="149"/>
        <v>0</v>
      </c>
      <c r="M288" s="1" t="s">
        <v>90</v>
      </c>
      <c r="N288" s="2"/>
      <c r="O288" s="2"/>
      <c r="P288" s="2"/>
      <c r="Q288" s="2"/>
      <c r="R288" s="2"/>
      <c r="S288" s="2"/>
      <c r="T288" s="2"/>
      <c r="U288" s="2"/>
      <c r="V288" s="2">
        <f t="shared" si="150"/>
        <v>0</v>
      </c>
      <c r="X288" s="1" t="s">
        <v>90</v>
      </c>
      <c r="Y288" s="2">
        <f t="shared" si="141"/>
        <v>0</v>
      </c>
      <c r="Z288" s="2">
        <f t="shared" si="142"/>
        <v>0</v>
      </c>
      <c r="AA288" s="2">
        <f t="shared" si="143"/>
        <v>0</v>
      </c>
      <c r="AB288" s="2">
        <f t="shared" si="144"/>
        <v>0</v>
      </c>
      <c r="AC288" s="2">
        <f t="shared" si="145"/>
        <v>0</v>
      </c>
      <c r="AD288" s="2">
        <f t="shared" si="146"/>
        <v>0</v>
      </c>
      <c r="AE288" s="2">
        <f t="shared" si="147"/>
        <v>0</v>
      </c>
      <c r="AF288" s="2">
        <f t="shared" si="148"/>
        <v>0</v>
      </c>
      <c r="AG288" s="2">
        <f t="shared" si="151"/>
        <v>0</v>
      </c>
    </row>
    <row r="289" spans="2:33" hidden="1" x14ac:dyDescent="0.25">
      <c r="B289" s="1" t="s">
        <v>1100</v>
      </c>
      <c r="C289" s="2"/>
      <c r="D289" s="2"/>
      <c r="E289" s="2"/>
      <c r="F289" s="2"/>
      <c r="G289" s="2"/>
      <c r="H289" s="2"/>
      <c r="I289" s="2"/>
      <c r="J289" s="2"/>
      <c r="K289" s="2">
        <f t="shared" si="149"/>
        <v>0</v>
      </c>
      <c r="M289" s="1" t="s">
        <v>1100</v>
      </c>
      <c r="N289" s="2"/>
      <c r="O289" s="2"/>
      <c r="P289" s="2"/>
      <c r="Q289" s="2"/>
      <c r="R289" s="2"/>
      <c r="S289" s="2"/>
      <c r="T289" s="2"/>
      <c r="U289" s="2"/>
      <c r="V289" s="2">
        <f t="shared" si="150"/>
        <v>0</v>
      </c>
      <c r="X289" s="1" t="s">
        <v>50</v>
      </c>
      <c r="Y289" s="2">
        <f t="shared" si="141"/>
        <v>0</v>
      </c>
      <c r="Z289" s="2">
        <f t="shared" si="142"/>
        <v>0</v>
      </c>
      <c r="AA289" s="2">
        <f t="shared" si="143"/>
        <v>0</v>
      </c>
      <c r="AB289" s="2">
        <f t="shared" si="144"/>
        <v>0</v>
      </c>
      <c r="AC289" s="2">
        <f t="shared" si="145"/>
        <v>0</v>
      </c>
      <c r="AD289" s="2">
        <f t="shared" si="146"/>
        <v>0</v>
      </c>
      <c r="AE289" s="2">
        <f t="shared" si="147"/>
        <v>0</v>
      </c>
      <c r="AF289" s="2">
        <f t="shared" si="148"/>
        <v>0</v>
      </c>
      <c r="AG289" s="2">
        <f t="shared" si="151"/>
        <v>0</v>
      </c>
    </row>
    <row r="290" spans="2:33" hidden="1" x14ac:dyDescent="0.25">
      <c r="B290" s="1" t="s">
        <v>89</v>
      </c>
      <c r="C290" s="2"/>
      <c r="D290" s="2"/>
      <c r="E290" s="2"/>
      <c r="F290" s="2"/>
      <c r="G290" s="2"/>
      <c r="H290" s="2"/>
      <c r="I290" s="2"/>
      <c r="J290" s="2"/>
      <c r="K290" s="2">
        <f t="shared" si="149"/>
        <v>0</v>
      </c>
      <c r="M290" s="1" t="s">
        <v>89</v>
      </c>
      <c r="N290" s="2"/>
      <c r="O290" s="2"/>
      <c r="P290" s="2"/>
      <c r="Q290" s="2"/>
      <c r="R290" s="2"/>
      <c r="S290" s="2"/>
      <c r="T290" s="2"/>
      <c r="U290" s="2"/>
      <c r="V290" s="2">
        <f t="shared" si="150"/>
        <v>0</v>
      </c>
      <c r="X290" s="1" t="s">
        <v>89</v>
      </c>
      <c r="Y290" s="2">
        <f t="shared" si="141"/>
        <v>0</v>
      </c>
      <c r="Z290" s="2">
        <f t="shared" si="142"/>
        <v>0</v>
      </c>
      <c r="AA290" s="2">
        <f t="shared" si="143"/>
        <v>0</v>
      </c>
      <c r="AB290" s="2">
        <f t="shared" si="144"/>
        <v>0</v>
      </c>
      <c r="AC290" s="2">
        <f t="shared" si="145"/>
        <v>0</v>
      </c>
      <c r="AD290" s="2">
        <f t="shared" si="146"/>
        <v>0</v>
      </c>
      <c r="AE290" s="2">
        <f t="shared" si="147"/>
        <v>0</v>
      </c>
      <c r="AF290" s="2">
        <f t="shared" si="148"/>
        <v>0</v>
      </c>
      <c r="AG290" s="2">
        <f t="shared" si="151"/>
        <v>0</v>
      </c>
    </row>
    <row r="291" spans="2:33" hidden="1" x14ac:dyDescent="0.25">
      <c r="B291" s="1" t="s">
        <v>5</v>
      </c>
      <c r="C291" s="2"/>
      <c r="D291" s="2"/>
      <c r="E291" s="2"/>
      <c r="F291" s="2"/>
      <c r="G291" s="2"/>
      <c r="H291" s="2"/>
      <c r="I291" s="2"/>
      <c r="J291" s="2"/>
      <c r="K291" s="2">
        <f t="shared" si="149"/>
        <v>0</v>
      </c>
      <c r="M291" s="1" t="s">
        <v>5</v>
      </c>
      <c r="N291" s="2"/>
      <c r="O291" s="2"/>
      <c r="P291" s="2"/>
      <c r="Q291" s="2"/>
      <c r="R291" s="2"/>
      <c r="S291" s="2"/>
      <c r="T291" s="2"/>
      <c r="U291" s="2"/>
      <c r="V291" s="2">
        <f t="shared" si="150"/>
        <v>0</v>
      </c>
      <c r="X291" s="1" t="s">
        <v>5</v>
      </c>
      <c r="Y291" s="2">
        <f t="shared" si="141"/>
        <v>0</v>
      </c>
      <c r="Z291" s="2">
        <f t="shared" si="142"/>
        <v>0</v>
      </c>
      <c r="AA291" s="2">
        <f t="shared" si="143"/>
        <v>0</v>
      </c>
      <c r="AB291" s="2">
        <f t="shared" si="144"/>
        <v>0</v>
      </c>
      <c r="AC291" s="2">
        <f t="shared" si="145"/>
        <v>0</v>
      </c>
      <c r="AD291" s="2">
        <f t="shared" si="146"/>
        <v>0</v>
      </c>
      <c r="AE291" s="2">
        <f t="shared" si="147"/>
        <v>0</v>
      </c>
      <c r="AF291" s="2">
        <f t="shared" si="148"/>
        <v>0</v>
      </c>
      <c r="AG291" s="2">
        <f t="shared" si="151"/>
        <v>0</v>
      </c>
    </row>
    <row r="292" spans="2:33" hidden="1" x14ac:dyDescent="0.25">
      <c r="B292" s="1" t="s">
        <v>84</v>
      </c>
      <c r="C292" s="2"/>
      <c r="D292" s="2"/>
      <c r="E292" s="2"/>
      <c r="F292" s="2"/>
      <c r="G292" s="2"/>
      <c r="H292" s="2"/>
      <c r="I292" s="2"/>
      <c r="J292" s="2"/>
      <c r="K292" s="2">
        <f t="shared" si="149"/>
        <v>0</v>
      </c>
      <c r="M292" s="1" t="s">
        <v>84</v>
      </c>
      <c r="N292" s="2"/>
      <c r="O292" s="2"/>
      <c r="P292" s="2"/>
      <c r="Q292" s="2"/>
      <c r="R292" s="2"/>
      <c r="S292" s="2"/>
      <c r="T292" s="2"/>
      <c r="U292" s="2"/>
      <c r="V292" s="2">
        <f t="shared" si="150"/>
        <v>0</v>
      </c>
      <c r="X292" s="1" t="s">
        <v>84</v>
      </c>
      <c r="Y292" s="2">
        <f t="shared" si="141"/>
        <v>0</v>
      </c>
      <c r="Z292" s="2">
        <f t="shared" si="142"/>
        <v>0</v>
      </c>
      <c r="AA292" s="2">
        <f t="shared" si="143"/>
        <v>0</v>
      </c>
      <c r="AB292" s="2">
        <f t="shared" si="144"/>
        <v>0</v>
      </c>
      <c r="AC292" s="2">
        <f t="shared" si="145"/>
        <v>0</v>
      </c>
      <c r="AD292" s="2">
        <f t="shared" si="146"/>
        <v>0</v>
      </c>
      <c r="AE292" s="2">
        <f t="shared" si="147"/>
        <v>0</v>
      </c>
      <c r="AF292" s="2">
        <f t="shared" si="148"/>
        <v>0</v>
      </c>
      <c r="AG292" s="2">
        <f t="shared" si="151"/>
        <v>0</v>
      </c>
    </row>
    <row r="293" spans="2:33" hidden="1" x14ac:dyDescent="0.25">
      <c r="B293" s="1" t="s">
        <v>4</v>
      </c>
      <c r="C293" s="2"/>
      <c r="D293" s="2"/>
      <c r="E293" s="2"/>
      <c r="F293" s="2"/>
      <c r="G293" s="2"/>
      <c r="H293" s="2"/>
      <c r="I293" s="2"/>
      <c r="J293" s="2"/>
      <c r="K293" s="2">
        <f t="shared" si="149"/>
        <v>0</v>
      </c>
      <c r="M293" s="1" t="s">
        <v>4</v>
      </c>
      <c r="N293" s="2"/>
      <c r="O293" s="2"/>
      <c r="P293" s="2"/>
      <c r="Q293" s="2"/>
      <c r="R293" s="2"/>
      <c r="S293" s="2"/>
      <c r="T293" s="2"/>
      <c r="U293" s="2"/>
      <c r="V293" s="2">
        <f t="shared" si="150"/>
        <v>0</v>
      </c>
      <c r="X293" s="1" t="s">
        <v>4</v>
      </c>
      <c r="Y293" s="2">
        <f t="shared" si="141"/>
        <v>0</v>
      </c>
      <c r="Z293" s="2">
        <f t="shared" si="142"/>
        <v>0</v>
      </c>
      <c r="AA293" s="2">
        <f t="shared" si="143"/>
        <v>0</v>
      </c>
      <c r="AB293" s="2">
        <f t="shared" si="144"/>
        <v>0</v>
      </c>
      <c r="AC293" s="2">
        <f t="shared" si="145"/>
        <v>0</v>
      </c>
      <c r="AD293" s="2">
        <f t="shared" si="146"/>
        <v>0</v>
      </c>
      <c r="AE293" s="2">
        <f t="shared" si="147"/>
        <v>0</v>
      </c>
      <c r="AF293" s="2">
        <f t="shared" si="148"/>
        <v>0</v>
      </c>
      <c r="AG293" s="2">
        <f t="shared" si="151"/>
        <v>0</v>
      </c>
    </row>
    <row r="294" spans="2:33" hidden="1" x14ac:dyDescent="0.25">
      <c r="B294" s="1" t="s">
        <v>51</v>
      </c>
      <c r="C294" s="2"/>
      <c r="D294" s="2"/>
      <c r="E294" s="2"/>
      <c r="F294" s="2"/>
      <c r="G294" s="2"/>
      <c r="H294" s="2"/>
      <c r="I294" s="2"/>
      <c r="J294" s="2"/>
      <c r="K294" s="2">
        <f t="shared" si="149"/>
        <v>0</v>
      </c>
      <c r="M294" s="1" t="s">
        <v>51</v>
      </c>
      <c r="N294" s="2"/>
      <c r="O294" s="2"/>
      <c r="P294" s="2"/>
      <c r="Q294" s="2"/>
      <c r="R294" s="2"/>
      <c r="S294" s="2"/>
      <c r="T294" s="2"/>
      <c r="U294" s="2"/>
      <c r="V294" s="2">
        <f t="shared" si="150"/>
        <v>0</v>
      </c>
      <c r="X294" s="1" t="s">
        <v>51</v>
      </c>
      <c r="Y294" s="2">
        <f t="shared" si="141"/>
        <v>0</v>
      </c>
      <c r="Z294" s="2">
        <f t="shared" si="142"/>
        <v>0</v>
      </c>
      <c r="AA294" s="2">
        <f t="shared" si="143"/>
        <v>0</v>
      </c>
      <c r="AB294" s="2">
        <f t="shared" si="144"/>
        <v>0</v>
      </c>
      <c r="AC294" s="2">
        <f t="shared" si="145"/>
        <v>0</v>
      </c>
      <c r="AD294" s="2">
        <f t="shared" si="146"/>
        <v>0</v>
      </c>
      <c r="AE294" s="2">
        <f t="shared" si="147"/>
        <v>0</v>
      </c>
      <c r="AF294" s="2">
        <f t="shared" si="148"/>
        <v>0</v>
      </c>
      <c r="AG294" s="2">
        <f t="shared" si="151"/>
        <v>0</v>
      </c>
    </row>
    <row r="295" spans="2:33" hidden="1" x14ac:dyDescent="0.25">
      <c r="B295" s="1" t="s">
        <v>87</v>
      </c>
      <c r="C295" s="2"/>
      <c r="D295" s="2"/>
      <c r="E295" s="2"/>
      <c r="F295" s="2"/>
      <c r="G295" s="2"/>
      <c r="H295" s="2"/>
      <c r="I295" s="2"/>
      <c r="J295" s="2"/>
      <c r="K295" s="2">
        <f t="shared" si="149"/>
        <v>0</v>
      </c>
      <c r="M295" s="1" t="s">
        <v>87</v>
      </c>
      <c r="N295" s="2"/>
      <c r="O295" s="2"/>
      <c r="P295" s="2"/>
      <c r="Q295" s="2"/>
      <c r="R295" s="2"/>
      <c r="S295" s="2"/>
      <c r="T295" s="2"/>
      <c r="U295" s="2"/>
      <c r="V295" s="2">
        <f t="shared" si="150"/>
        <v>0</v>
      </c>
      <c r="X295" s="1" t="s">
        <v>87</v>
      </c>
      <c r="Y295" s="2">
        <f t="shared" si="141"/>
        <v>0</v>
      </c>
      <c r="Z295" s="2">
        <f t="shared" si="142"/>
        <v>0</v>
      </c>
      <c r="AA295" s="2">
        <f t="shared" si="143"/>
        <v>0</v>
      </c>
      <c r="AB295" s="2">
        <f t="shared" si="144"/>
        <v>0</v>
      </c>
      <c r="AC295" s="2">
        <f t="shared" si="145"/>
        <v>0</v>
      </c>
      <c r="AD295" s="2">
        <f t="shared" si="146"/>
        <v>0</v>
      </c>
      <c r="AE295" s="2">
        <f t="shared" si="147"/>
        <v>0</v>
      </c>
      <c r="AF295" s="2">
        <f t="shared" si="148"/>
        <v>0</v>
      </c>
      <c r="AG295" s="2">
        <f t="shared" si="151"/>
        <v>0</v>
      </c>
    </row>
    <row r="296" spans="2:33" hidden="1" x14ac:dyDescent="0.25">
      <c r="B296" s="1" t="s">
        <v>85</v>
      </c>
      <c r="C296" s="2"/>
      <c r="D296" s="2"/>
      <c r="E296" s="2"/>
      <c r="F296" s="2"/>
      <c r="G296" s="2"/>
      <c r="H296" s="2"/>
      <c r="I296" s="2"/>
      <c r="J296" s="2"/>
      <c r="K296" s="2">
        <f t="shared" si="149"/>
        <v>0</v>
      </c>
      <c r="M296" s="1" t="s">
        <v>85</v>
      </c>
      <c r="N296" s="2"/>
      <c r="O296" s="2"/>
      <c r="P296" s="2"/>
      <c r="Q296" s="2"/>
      <c r="R296" s="2"/>
      <c r="S296" s="2"/>
      <c r="T296" s="2"/>
      <c r="U296" s="2"/>
      <c r="V296" s="2">
        <f t="shared" si="150"/>
        <v>0</v>
      </c>
      <c r="X296" s="1" t="s">
        <v>85</v>
      </c>
      <c r="Y296" s="2">
        <f t="shared" si="141"/>
        <v>0</v>
      </c>
      <c r="Z296" s="2">
        <f t="shared" si="142"/>
        <v>0</v>
      </c>
      <c r="AA296" s="2">
        <f t="shared" si="143"/>
        <v>0</v>
      </c>
      <c r="AB296" s="2">
        <f t="shared" si="144"/>
        <v>0</v>
      </c>
      <c r="AC296" s="2">
        <f t="shared" si="145"/>
        <v>0</v>
      </c>
      <c r="AD296" s="2">
        <f t="shared" si="146"/>
        <v>0</v>
      </c>
      <c r="AE296" s="2">
        <f t="shared" si="147"/>
        <v>0</v>
      </c>
      <c r="AF296" s="2">
        <f t="shared" si="148"/>
        <v>0</v>
      </c>
      <c r="AG296" s="2">
        <f t="shared" si="151"/>
        <v>0</v>
      </c>
    </row>
    <row r="297" spans="2:33" hidden="1" x14ac:dyDescent="0.25">
      <c r="B297" s="1" t="s">
        <v>2</v>
      </c>
      <c r="C297" s="2"/>
      <c r="D297" s="2"/>
      <c r="E297" s="2"/>
      <c r="F297" s="2"/>
      <c r="G297" s="2"/>
      <c r="H297" s="2"/>
      <c r="I297" s="2"/>
      <c r="J297" s="2"/>
      <c r="K297" s="2">
        <f t="shared" si="149"/>
        <v>0</v>
      </c>
      <c r="M297" s="1" t="s">
        <v>2</v>
      </c>
      <c r="N297" s="2"/>
      <c r="O297" s="2"/>
      <c r="P297" s="2"/>
      <c r="Q297" s="2"/>
      <c r="R297" s="2"/>
      <c r="S297" s="2"/>
      <c r="T297" s="2"/>
      <c r="U297" s="2"/>
      <c r="V297" s="2">
        <f t="shared" si="150"/>
        <v>0</v>
      </c>
      <c r="X297" s="1" t="s">
        <v>2</v>
      </c>
      <c r="Y297" s="2">
        <f t="shared" si="141"/>
        <v>0</v>
      </c>
      <c r="Z297" s="2">
        <f t="shared" si="142"/>
        <v>0</v>
      </c>
      <c r="AA297" s="2">
        <f t="shared" si="143"/>
        <v>0</v>
      </c>
      <c r="AB297" s="2">
        <f t="shared" si="144"/>
        <v>0</v>
      </c>
      <c r="AC297" s="2">
        <f t="shared" si="145"/>
        <v>0</v>
      </c>
      <c r="AD297" s="2">
        <f t="shared" si="146"/>
        <v>0</v>
      </c>
      <c r="AE297" s="2">
        <f t="shared" si="147"/>
        <v>0</v>
      </c>
      <c r="AF297" s="2">
        <f t="shared" si="148"/>
        <v>0</v>
      </c>
      <c r="AG297" s="2">
        <f t="shared" si="151"/>
        <v>0</v>
      </c>
    </row>
    <row r="298" spans="2:33" hidden="1" x14ac:dyDescent="0.25">
      <c r="B298" s="1" t="s">
        <v>86</v>
      </c>
      <c r="C298" s="2"/>
      <c r="D298" s="2"/>
      <c r="E298" s="2"/>
      <c r="F298" s="2"/>
      <c r="G298" s="2"/>
      <c r="H298" s="2"/>
      <c r="I298" s="2"/>
      <c r="J298" s="2"/>
      <c r="K298" s="2">
        <f t="shared" si="149"/>
        <v>0</v>
      </c>
      <c r="M298" s="1" t="s">
        <v>86</v>
      </c>
      <c r="N298" s="2"/>
      <c r="O298" s="2"/>
      <c r="P298" s="2"/>
      <c r="Q298" s="2"/>
      <c r="R298" s="2"/>
      <c r="S298" s="2"/>
      <c r="T298" s="2"/>
      <c r="U298" s="2"/>
      <c r="V298" s="2">
        <f t="shared" si="150"/>
        <v>0</v>
      </c>
      <c r="X298" s="1" t="s">
        <v>86</v>
      </c>
      <c r="Y298" s="2">
        <f t="shared" si="141"/>
        <v>0</v>
      </c>
      <c r="Z298" s="2">
        <f t="shared" si="142"/>
        <v>0</v>
      </c>
      <c r="AA298" s="2">
        <f t="shared" si="143"/>
        <v>0</v>
      </c>
      <c r="AB298" s="2">
        <f t="shared" si="144"/>
        <v>0</v>
      </c>
      <c r="AC298" s="2">
        <f t="shared" si="145"/>
        <v>0</v>
      </c>
      <c r="AD298" s="2">
        <f t="shared" si="146"/>
        <v>0</v>
      </c>
      <c r="AE298" s="2">
        <f t="shared" si="147"/>
        <v>0</v>
      </c>
      <c r="AF298" s="2">
        <f t="shared" si="148"/>
        <v>0</v>
      </c>
      <c r="AG298" s="2">
        <f t="shared" si="151"/>
        <v>0</v>
      </c>
    </row>
    <row r="299" spans="2:33" hidden="1" x14ac:dyDescent="0.25">
      <c r="B299" s="1" t="s">
        <v>29</v>
      </c>
      <c r="C299" s="2"/>
      <c r="D299" s="2"/>
      <c r="E299" s="2"/>
      <c r="F299" s="2"/>
      <c r="G299" s="2"/>
      <c r="H299" s="2"/>
      <c r="I299" s="2"/>
      <c r="J299" s="2"/>
      <c r="K299" s="2">
        <f t="shared" si="149"/>
        <v>0</v>
      </c>
      <c r="M299" s="1" t="s">
        <v>29</v>
      </c>
      <c r="N299" s="2"/>
      <c r="O299" s="2"/>
      <c r="P299" s="2"/>
      <c r="Q299" s="2"/>
      <c r="R299" s="2"/>
      <c r="S299" s="2"/>
      <c r="T299" s="2"/>
      <c r="U299" s="2"/>
      <c r="V299" s="2">
        <f t="shared" si="150"/>
        <v>0</v>
      </c>
      <c r="X299" s="1" t="s">
        <v>29</v>
      </c>
      <c r="Y299" s="2">
        <f t="shared" si="141"/>
        <v>0</v>
      </c>
      <c r="Z299" s="2">
        <f t="shared" si="142"/>
        <v>0</v>
      </c>
      <c r="AA299" s="2">
        <f t="shared" si="143"/>
        <v>0</v>
      </c>
      <c r="AB299" s="2">
        <f t="shared" si="144"/>
        <v>0</v>
      </c>
      <c r="AC299" s="2">
        <f t="shared" si="145"/>
        <v>0</v>
      </c>
      <c r="AD299" s="2">
        <f t="shared" si="146"/>
        <v>0</v>
      </c>
      <c r="AE299" s="2">
        <f t="shared" si="147"/>
        <v>0</v>
      </c>
      <c r="AF299" s="2">
        <f t="shared" si="148"/>
        <v>0</v>
      </c>
      <c r="AG299" s="2">
        <f t="shared" si="151"/>
        <v>0</v>
      </c>
    </row>
    <row r="300" spans="2:33" hidden="1" x14ac:dyDescent="0.25">
      <c r="B300" s="1" t="s">
        <v>88</v>
      </c>
      <c r="C300" s="2"/>
      <c r="D300" s="2"/>
      <c r="E300" s="2"/>
      <c r="F300" s="2"/>
      <c r="G300" s="2"/>
      <c r="H300" s="2"/>
      <c r="I300" s="2"/>
      <c r="J300" s="2"/>
      <c r="K300" s="2">
        <f t="shared" si="149"/>
        <v>0</v>
      </c>
      <c r="M300" s="1" t="s">
        <v>88</v>
      </c>
      <c r="N300" s="2"/>
      <c r="O300" s="2"/>
      <c r="P300" s="2"/>
      <c r="Q300" s="2"/>
      <c r="R300" s="2"/>
      <c r="S300" s="2"/>
      <c r="T300" s="2"/>
      <c r="U300" s="2"/>
      <c r="V300" s="2">
        <f t="shared" si="150"/>
        <v>0</v>
      </c>
      <c r="X300" s="1" t="s">
        <v>52</v>
      </c>
      <c r="Y300" s="2">
        <f t="shared" si="141"/>
        <v>0</v>
      </c>
      <c r="Z300" s="2">
        <f t="shared" si="142"/>
        <v>0</v>
      </c>
      <c r="AA300" s="2">
        <f t="shared" si="143"/>
        <v>0</v>
      </c>
      <c r="AB300" s="2">
        <f t="shared" si="144"/>
        <v>0</v>
      </c>
      <c r="AC300" s="2">
        <f t="shared" si="145"/>
        <v>0</v>
      </c>
      <c r="AD300" s="2">
        <f t="shared" si="146"/>
        <v>0</v>
      </c>
      <c r="AE300" s="2">
        <f t="shared" si="147"/>
        <v>0</v>
      </c>
      <c r="AF300" s="2">
        <f t="shared" si="148"/>
        <v>0</v>
      </c>
      <c r="AG300" s="2">
        <f t="shared" si="151"/>
        <v>0</v>
      </c>
    </row>
    <row r="301" spans="2:33" hidden="1" x14ac:dyDescent="0.25">
      <c r="B301" s="1" t="s">
        <v>1098</v>
      </c>
      <c r="C301" s="2"/>
      <c r="D301" s="2"/>
      <c r="E301" s="2"/>
      <c r="F301" s="2"/>
      <c r="G301" s="2"/>
      <c r="H301" s="2"/>
      <c r="I301" s="2"/>
      <c r="J301" s="2"/>
      <c r="K301" s="2">
        <f t="shared" si="149"/>
        <v>0</v>
      </c>
      <c r="M301" s="1" t="s">
        <v>1098</v>
      </c>
      <c r="N301" s="2"/>
      <c r="O301" s="2"/>
      <c r="P301" s="2"/>
      <c r="Q301" s="2"/>
      <c r="R301" s="2"/>
      <c r="S301" s="2"/>
      <c r="T301" s="2"/>
      <c r="U301" s="2"/>
      <c r="V301" s="2">
        <f t="shared" si="150"/>
        <v>0</v>
      </c>
      <c r="X301" s="1" t="s">
        <v>88</v>
      </c>
      <c r="Y301" s="2">
        <f t="shared" si="141"/>
        <v>0</v>
      </c>
      <c r="Z301" s="2">
        <f t="shared" si="142"/>
        <v>0</v>
      </c>
      <c r="AA301" s="2">
        <f t="shared" si="143"/>
        <v>0</v>
      </c>
      <c r="AB301" s="2">
        <f t="shared" si="144"/>
        <v>0</v>
      </c>
      <c r="AC301" s="2">
        <f t="shared" si="145"/>
        <v>0</v>
      </c>
      <c r="AD301" s="2">
        <f t="shared" si="146"/>
        <v>0</v>
      </c>
      <c r="AE301" s="2">
        <f t="shared" si="147"/>
        <v>0</v>
      </c>
      <c r="AF301" s="2">
        <f t="shared" si="148"/>
        <v>0</v>
      </c>
      <c r="AG301" s="2">
        <f t="shared" si="151"/>
        <v>0</v>
      </c>
    </row>
    <row r="302" spans="2:33" hidden="1" x14ac:dyDescent="0.25">
      <c r="B302" s="1" t="s">
        <v>1099</v>
      </c>
      <c r="C302" s="2"/>
      <c r="D302" s="2"/>
      <c r="E302" s="2"/>
      <c r="F302" s="2"/>
      <c r="G302" s="2"/>
      <c r="H302" s="2"/>
      <c r="I302" s="2"/>
      <c r="J302" s="2"/>
      <c r="K302" s="2">
        <f t="shared" si="149"/>
        <v>0</v>
      </c>
      <c r="M302" s="1" t="s">
        <v>1099</v>
      </c>
      <c r="N302" s="2"/>
      <c r="O302" s="2"/>
      <c r="P302" s="2"/>
      <c r="Q302" s="2"/>
      <c r="R302" s="2"/>
      <c r="S302" s="2"/>
      <c r="T302" s="2"/>
      <c r="U302" s="2"/>
      <c r="V302" s="2">
        <f t="shared" si="150"/>
        <v>0</v>
      </c>
      <c r="X302" s="1" t="s">
        <v>1</v>
      </c>
      <c r="Y302" s="2">
        <f t="shared" si="141"/>
        <v>0</v>
      </c>
      <c r="Z302" s="2">
        <f t="shared" si="142"/>
        <v>0</v>
      </c>
      <c r="AA302" s="2">
        <f t="shared" si="143"/>
        <v>0</v>
      </c>
      <c r="AB302" s="2">
        <f t="shared" si="144"/>
        <v>0</v>
      </c>
      <c r="AC302" s="2">
        <f t="shared" si="145"/>
        <v>0</v>
      </c>
      <c r="AD302" s="2">
        <f t="shared" si="146"/>
        <v>0</v>
      </c>
      <c r="AE302" s="2">
        <f t="shared" si="147"/>
        <v>0</v>
      </c>
      <c r="AF302" s="2">
        <f t="shared" si="148"/>
        <v>0</v>
      </c>
      <c r="AG302" s="2">
        <f t="shared" si="151"/>
        <v>0</v>
      </c>
    </row>
    <row r="303" spans="2:33" ht="15.75" hidden="1" thickBot="1" x14ac:dyDescent="0.3">
      <c r="C303" s="70">
        <f>SUM(C283:C302)</f>
        <v>0</v>
      </c>
      <c r="D303" s="70">
        <f t="shared" ref="D303:J303" si="152">SUM(D283:D302)</f>
        <v>0</v>
      </c>
      <c r="E303" s="70">
        <f t="shared" si="152"/>
        <v>0</v>
      </c>
      <c r="F303" s="70">
        <f t="shared" si="152"/>
        <v>0</v>
      </c>
      <c r="G303" s="70">
        <f t="shared" si="152"/>
        <v>0</v>
      </c>
      <c r="H303" s="70">
        <f t="shared" si="152"/>
        <v>0</v>
      </c>
      <c r="I303" s="70">
        <f t="shared" si="152"/>
        <v>0</v>
      </c>
      <c r="J303" s="70">
        <f t="shared" si="152"/>
        <v>0</v>
      </c>
      <c r="K303" s="70">
        <f>SUM(K283:K302)</f>
        <v>0</v>
      </c>
      <c r="N303" s="70">
        <f>SUM(N283:N302)</f>
        <v>0</v>
      </c>
      <c r="O303" s="70">
        <f t="shared" ref="O303:U303" si="153">SUM(O283:O302)</f>
        <v>0</v>
      </c>
      <c r="P303" s="70">
        <f t="shared" si="153"/>
        <v>0</v>
      </c>
      <c r="Q303" s="70">
        <f t="shared" si="153"/>
        <v>0</v>
      </c>
      <c r="R303" s="70">
        <f t="shared" si="153"/>
        <v>0</v>
      </c>
      <c r="S303" s="70">
        <f t="shared" si="153"/>
        <v>0</v>
      </c>
      <c r="T303" s="70">
        <f t="shared" si="153"/>
        <v>0</v>
      </c>
      <c r="U303" s="70">
        <f t="shared" si="153"/>
        <v>0</v>
      </c>
      <c r="V303" s="70">
        <f>SUM(V283:V302)</f>
        <v>0</v>
      </c>
      <c r="Y303" s="70">
        <f>SUM(Y283:Y302)</f>
        <v>0</v>
      </c>
      <c r="Z303" s="70">
        <f t="shared" ref="Z303:AF303" si="154">SUM(Z283:Z302)</f>
        <v>0</v>
      </c>
      <c r="AA303" s="70">
        <f t="shared" si="154"/>
        <v>0</v>
      </c>
      <c r="AB303" s="70">
        <f t="shared" si="154"/>
        <v>0</v>
      </c>
      <c r="AC303" s="70">
        <f t="shared" si="154"/>
        <v>0</v>
      </c>
      <c r="AD303" s="70">
        <f t="shared" si="154"/>
        <v>0</v>
      </c>
      <c r="AE303" s="70">
        <f t="shared" si="154"/>
        <v>0</v>
      </c>
      <c r="AF303" s="70">
        <f t="shared" si="154"/>
        <v>0</v>
      </c>
      <c r="AG303" s="70">
        <f>SUM(AG283:AG302)</f>
        <v>0</v>
      </c>
    </row>
    <row r="304" spans="2:33" hidden="1" x14ac:dyDescent="0.25"/>
    <row r="305" spans="2:33" hidden="1" x14ac:dyDescent="0.25"/>
    <row r="306" spans="2:33" hidden="1" x14ac:dyDescent="0.25">
      <c r="B306" s="72" t="s">
        <v>96</v>
      </c>
      <c r="C306" s="187">
        <f>$C$20</f>
        <v>45199</v>
      </c>
      <c r="D306" s="175"/>
      <c r="E306" s="175"/>
      <c r="F306" s="175"/>
      <c r="G306" s="175"/>
      <c r="H306" s="175"/>
      <c r="I306" s="175"/>
      <c r="J306" s="175"/>
      <c r="K306" s="175"/>
      <c r="M306" s="72" t="s">
        <v>96</v>
      </c>
      <c r="N306" s="193">
        <f>$N$20</f>
        <v>45169</v>
      </c>
      <c r="O306" s="194"/>
      <c r="P306" s="194"/>
      <c r="Q306" s="194"/>
      <c r="R306" s="194"/>
      <c r="S306" s="194"/>
      <c r="T306" s="194"/>
      <c r="U306" s="194"/>
      <c r="V306" s="194"/>
      <c r="Y306" s="175" t="s">
        <v>97</v>
      </c>
      <c r="Z306" s="175"/>
      <c r="AA306" s="175"/>
      <c r="AB306" s="175"/>
      <c r="AC306" s="175"/>
      <c r="AD306" s="175"/>
      <c r="AE306" s="175"/>
      <c r="AF306" s="175"/>
      <c r="AG306" s="175"/>
    </row>
    <row r="307" spans="2:33" hidden="1" x14ac:dyDescent="0.25">
      <c r="B307" s="72" t="s">
        <v>95</v>
      </c>
      <c r="C307" s="175" t="str">
        <f>'Reimbursement Rates &lt;-INPUT'!M7</f>
        <v>Clinic 12</v>
      </c>
      <c r="D307" s="175"/>
      <c r="E307" s="175"/>
      <c r="F307" s="175"/>
      <c r="G307" s="175"/>
      <c r="H307" s="175"/>
      <c r="I307" s="175"/>
      <c r="J307" s="175"/>
      <c r="K307" s="175"/>
      <c r="M307" s="72" t="s">
        <v>95</v>
      </c>
      <c r="N307" s="175" t="str">
        <f>C307</f>
        <v>Clinic 12</v>
      </c>
      <c r="O307" s="175"/>
      <c r="P307" s="175"/>
      <c r="Q307" s="175"/>
      <c r="R307" s="175"/>
      <c r="S307" s="175"/>
      <c r="T307" s="175"/>
      <c r="U307" s="175"/>
      <c r="V307" s="175"/>
      <c r="X307" s="71" t="s">
        <v>95</v>
      </c>
      <c r="Y307" s="175" t="str">
        <f>C307</f>
        <v>Clinic 12</v>
      </c>
      <c r="Z307" s="175"/>
      <c r="AA307" s="175"/>
      <c r="AB307" s="175"/>
      <c r="AC307" s="175"/>
      <c r="AD307" s="175"/>
      <c r="AE307" s="175"/>
      <c r="AF307" s="175"/>
      <c r="AG307" s="175"/>
    </row>
    <row r="308" spans="2:33" hidden="1" x14ac:dyDescent="0.25">
      <c r="B308" s="4" t="s">
        <v>16</v>
      </c>
      <c r="C308" s="5" t="s">
        <v>15</v>
      </c>
      <c r="D308" s="5" t="s">
        <v>14</v>
      </c>
      <c r="E308" s="5" t="s">
        <v>13</v>
      </c>
      <c r="F308" s="5" t="s">
        <v>12</v>
      </c>
      <c r="G308" s="5" t="s">
        <v>93</v>
      </c>
      <c r="H308" s="5" t="s">
        <v>94</v>
      </c>
      <c r="I308" s="5" t="s">
        <v>38</v>
      </c>
      <c r="J308" s="5" t="s">
        <v>9</v>
      </c>
      <c r="K308" s="5" t="s">
        <v>80</v>
      </c>
      <c r="M308" s="4" t="s">
        <v>16</v>
      </c>
      <c r="N308" s="5" t="s">
        <v>15</v>
      </c>
      <c r="O308" s="5" t="s">
        <v>14</v>
      </c>
      <c r="P308" s="5" t="s">
        <v>13</v>
      </c>
      <c r="Q308" s="5" t="s">
        <v>12</v>
      </c>
      <c r="R308" s="5" t="s">
        <v>93</v>
      </c>
      <c r="S308" s="5" t="s">
        <v>94</v>
      </c>
      <c r="T308" s="5" t="s">
        <v>38</v>
      </c>
      <c r="U308" s="5" t="s">
        <v>9</v>
      </c>
      <c r="V308" s="5" t="s">
        <v>80</v>
      </c>
      <c r="X308" s="4" t="s">
        <v>16</v>
      </c>
      <c r="Y308" s="5" t="s">
        <v>15</v>
      </c>
      <c r="Z308" s="5" t="s">
        <v>14</v>
      </c>
      <c r="AA308" s="5" t="s">
        <v>13</v>
      </c>
      <c r="AB308" s="5" t="s">
        <v>12</v>
      </c>
      <c r="AC308" s="5" t="s">
        <v>93</v>
      </c>
      <c r="AD308" s="5" t="s">
        <v>94</v>
      </c>
      <c r="AE308" s="5" t="s">
        <v>38</v>
      </c>
      <c r="AF308" s="5" t="s">
        <v>9</v>
      </c>
      <c r="AG308" s="5" t="s">
        <v>80</v>
      </c>
    </row>
    <row r="309" spans="2:33" hidden="1" x14ac:dyDescent="0.25">
      <c r="B309" s="1" t="s">
        <v>1094</v>
      </c>
      <c r="C309" s="2"/>
      <c r="D309" s="2"/>
      <c r="E309" s="2"/>
      <c r="F309" s="2"/>
      <c r="G309" s="2"/>
      <c r="H309" s="2"/>
      <c r="I309" s="2"/>
      <c r="J309" s="2"/>
      <c r="K309" s="2">
        <f>SUM(C309:J309)</f>
        <v>0</v>
      </c>
      <c r="M309" s="1" t="s">
        <v>1094</v>
      </c>
      <c r="N309" s="2"/>
      <c r="O309" s="2"/>
      <c r="P309" s="2"/>
      <c r="Q309" s="2"/>
      <c r="R309" s="2"/>
      <c r="S309" s="2"/>
      <c r="T309" s="2"/>
      <c r="U309" s="2"/>
      <c r="V309" s="2">
        <f>SUM(N309:U309)</f>
        <v>0</v>
      </c>
      <c r="X309" s="1" t="s">
        <v>49</v>
      </c>
      <c r="Y309" s="2">
        <f t="shared" ref="Y309:Y328" si="155">C309-N309</f>
        <v>0</v>
      </c>
      <c r="Z309" s="2">
        <f t="shared" ref="Z309:Z328" si="156">D309-O309</f>
        <v>0</v>
      </c>
      <c r="AA309" s="2">
        <f t="shared" ref="AA309:AA328" si="157">E309-P309</f>
        <v>0</v>
      </c>
      <c r="AB309" s="2">
        <f t="shared" ref="AB309:AB328" si="158">F309-Q309</f>
        <v>0</v>
      </c>
      <c r="AC309" s="2">
        <f t="shared" ref="AC309:AC328" si="159">G309-R309</f>
        <v>0</v>
      </c>
      <c r="AD309" s="2">
        <f t="shared" ref="AD309:AD328" si="160">H309-S309</f>
        <v>0</v>
      </c>
      <c r="AE309" s="2">
        <f t="shared" ref="AE309:AE328" si="161">I309-T309</f>
        <v>0</v>
      </c>
      <c r="AF309" s="2">
        <f t="shared" ref="AF309:AF328" si="162">J309-U309</f>
        <v>0</v>
      </c>
      <c r="AG309" s="2">
        <f>SUM(Y309:AF309)</f>
        <v>0</v>
      </c>
    </row>
    <row r="310" spans="2:33" hidden="1" x14ac:dyDescent="0.25">
      <c r="B310" s="1" t="s">
        <v>8</v>
      </c>
      <c r="C310" s="2"/>
      <c r="D310" s="2"/>
      <c r="E310" s="2"/>
      <c r="F310" s="2"/>
      <c r="G310" s="2"/>
      <c r="H310" s="2"/>
      <c r="I310" s="2"/>
      <c r="J310" s="2"/>
      <c r="K310" s="2">
        <f t="shared" ref="K310:K328" si="163">SUM(C310:J310)</f>
        <v>0</v>
      </c>
      <c r="M310" s="1" t="s">
        <v>8</v>
      </c>
      <c r="N310" s="2"/>
      <c r="O310" s="2"/>
      <c r="P310" s="2"/>
      <c r="Q310" s="2"/>
      <c r="R310" s="2"/>
      <c r="S310" s="2"/>
      <c r="T310" s="2"/>
      <c r="U310" s="2"/>
      <c r="V310" s="2">
        <f t="shared" ref="V310:V328" si="164">SUM(N310:U310)</f>
        <v>0</v>
      </c>
      <c r="X310" s="1" t="s">
        <v>8</v>
      </c>
      <c r="Y310" s="2">
        <f t="shared" si="155"/>
        <v>0</v>
      </c>
      <c r="Z310" s="2">
        <f t="shared" si="156"/>
        <v>0</v>
      </c>
      <c r="AA310" s="2">
        <f t="shared" si="157"/>
        <v>0</v>
      </c>
      <c r="AB310" s="2">
        <f t="shared" si="158"/>
        <v>0</v>
      </c>
      <c r="AC310" s="2">
        <f t="shared" si="159"/>
        <v>0</v>
      </c>
      <c r="AD310" s="2">
        <f t="shared" si="160"/>
        <v>0</v>
      </c>
      <c r="AE310" s="2">
        <f t="shared" si="161"/>
        <v>0</v>
      </c>
      <c r="AF310" s="2">
        <f t="shared" si="162"/>
        <v>0</v>
      </c>
      <c r="AG310" s="2">
        <f t="shared" ref="AG310:AG328" si="165">SUM(Y310:AF310)</f>
        <v>0</v>
      </c>
    </row>
    <row r="311" spans="2:33" hidden="1" x14ac:dyDescent="0.25">
      <c r="B311" s="1" t="s">
        <v>1095</v>
      </c>
      <c r="C311" s="2"/>
      <c r="D311" s="2"/>
      <c r="E311" s="2"/>
      <c r="F311" s="2"/>
      <c r="G311" s="2"/>
      <c r="H311" s="2"/>
      <c r="I311" s="2"/>
      <c r="J311" s="2"/>
      <c r="K311" s="2">
        <f t="shared" si="163"/>
        <v>0</v>
      </c>
      <c r="M311" s="1" t="s">
        <v>1095</v>
      </c>
      <c r="N311" s="2"/>
      <c r="O311" s="2"/>
      <c r="P311" s="2"/>
      <c r="Q311" s="2"/>
      <c r="R311" s="2"/>
      <c r="S311" s="2"/>
      <c r="T311" s="2"/>
      <c r="U311" s="2"/>
      <c r="V311" s="2">
        <f t="shared" si="164"/>
        <v>0</v>
      </c>
      <c r="X311" s="1" t="s">
        <v>7</v>
      </c>
      <c r="Y311" s="2">
        <f t="shared" si="155"/>
        <v>0</v>
      </c>
      <c r="Z311" s="2">
        <f t="shared" si="156"/>
        <v>0</v>
      </c>
      <c r="AA311" s="2">
        <f t="shared" si="157"/>
        <v>0</v>
      </c>
      <c r="AB311" s="2">
        <f t="shared" si="158"/>
        <v>0</v>
      </c>
      <c r="AC311" s="2">
        <f t="shared" si="159"/>
        <v>0</v>
      </c>
      <c r="AD311" s="2">
        <f t="shared" si="160"/>
        <v>0</v>
      </c>
      <c r="AE311" s="2">
        <f t="shared" si="161"/>
        <v>0</v>
      </c>
      <c r="AF311" s="2">
        <f t="shared" si="162"/>
        <v>0</v>
      </c>
      <c r="AG311" s="2">
        <f t="shared" si="165"/>
        <v>0</v>
      </c>
    </row>
    <row r="312" spans="2:33" hidden="1" x14ac:dyDescent="0.25">
      <c r="B312" s="1" t="s">
        <v>42</v>
      </c>
      <c r="C312" s="2"/>
      <c r="D312" s="2"/>
      <c r="E312" s="2"/>
      <c r="F312" s="2"/>
      <c r="G312" s="2"/>
      <c r="H312" s="2"/>
      <c r="I312" s="2"/>
      <c r="J312" s="2"/>
      <c r="K312" s="2">
        <f t="shared" si="163"/>
        <v>0</v>
      </c>
      <c r="M312" s="1" t="s">
        <v>42</v>
      </c>
      <c r="N312" s="2"/>
      <c r="O312" s="2"/>
      <c r="P312" s="2"/>
      <c r="Q312" s="2"/>
      <c r="R312" s="2"/>
      <c r="S312" s="2"/>
      <c r="T312" s="2"/>
      <c r="U312" s="2"/>
      <c r="V312" s="2">
        <f t="shared" si="164"/>
        <v>0</v>
      </c>
      <c r="X312" s="1" t="s">
        <v>42</v>
      </c>
      <c r="Y312" s="2">
        <f t="shared" si="155"/>
        <v>0</v>
      </c>
      <c r="Z312" s="2">
        <f t="shared" si="156"/>
        <v>0</v>
      </c>
      <c r="AA312" s="2">
        <f t="shared" si="157"/>
        <v>0</v>
      </c>
      <c r="AB312" s="2">
        <f t="shared" si="158"/>
        <v>0</v>
      </c>
      <c r="AC312" s="2">
        <f t="shared" si="159"/>
        <v>0</v>
      </c>
      <c r="AD312" s="2">
        <f t="shared" si="160"/>
        <v>0</v>
      </c>
      <c r="AE312" s="2">
        <f t="shared" si="161"/>
        <v>0</v>
      </c>
      <c r="AF312" s="2">
        <f t="shared" si="162"/>
        <v>0</v>
      </c>
      <c r="AG312" s="2">
        <f t="shared" si="165"/>
        <v>0</v>
      </c>
    </row>
    <row r="313" spans="2:33" hidden="1" x14ac:dyDescent="0.25">
      <c r="B313" s="1" t="s">
        <v>6</v>
      </c>
      <c r="C313" s="2"/>
      <c r="D313" s="2"/>
      <c r="E313" s="2"/>
      <c r="F313" s="2"/>
      <c r="G313" s="2"/>
      <c r="H313" s="2"/>
      <c r="I313" s="2"/>
      <c r="J313" s="2"/>
      <c r="K313" s="2">
        <f t="shared" si="163"/>
        <v>0</v>
      </c>
      <c r="M313" s="1" t="s">
        <v>6</v>
      </c>
      <c r="N313" s="2"/>
      <c r="O313" s="2"/>
      <c r="P313" s="2"/>
      <c r="Q313" s="2"/>
      <c r="R313" s="2"/>
      <c r="S313" s="2"/>
      <c r="T313" s="2"/>
      <c r="U313" s="2"/>
      <c r="V313" s="2">
        <f t="shared" si="164"/>
        <v>0</v>
      </c>
      <c r="X313" s="1" t="s">
        <v>6</v>
      </c>
      <c r="Y313" s="2">
        <f t="shared" si="155"/>
        <v>0</v>
      </c>
      <c r="Z313" s="2">
        <f t="shared" si="156"/>
        <v>0</v>
      </c>
      <c r="AA313" s="2">
        <f t="shared" si="157"/>
        <v>0</v>
      </c>
      <c r="AB313" s="2">
        <f t="shared" si="158"/>
        <v>0</v>
      </c>
      <c r="AC313" s="2">
        <f t="shared" si="159"/>
        <v>0</v>
      </c>
      <c r="AD313" s="2">
        <f t="shared" si="160"/>
        <v>0</v>
      </c>
      <c r="AE313" s="2">
        <f t="shared" si="161"/>
        <v>0</v>
      </c>
      <c r="AF313" s="2">
        <f t="shared" si="162"/>
        <v>0</v>
      </c>
      <c r="AG313" s="2">
        <f t="shared" si="165"/>
        <v>0</v>
      </c>
    </row>
    <row r="314" spans="2:33" hidden="1" x14ac:dyDescent="0.25">
      <c r="B314" s="1" t="s">
        <v>90</v>
      </c>
      <c r="C314" s="2"/>
      <c r="D314" s="2"/>
      <c r="E314" s="2"/>
      <c r="F314" s="2"/>
      <c r="G314" s="2"/>
      <c r="H314" s="2"/>
      <c r="I314" s="2"/>
      <c r="J314" s="2"/>
      <c r="K314" s="2">
        <f t="shared" si="163"/>
        <v>0</v>
      </c>
      <c r="M314" s="1" t="s">
        <v>90</v>
      </c>
      <c r="N314" s="2"/>
      <c r="O314" s="2"/>
      <c r="P314" s="2"/>
      <c r="Q314" s="2"/>
      <c r="R314" s="2"/>
      <c r="S314" s="2"/>
      <c r="T314" s="2"/>
      <c r="U314" s="2"/>
      <c r="V314" s="2">
        <f t="shared" si="164"/>
        <v>0</v>
      </c>
      <c r="X314" s="1" t="s">
        <v>90</v>
      </c>
      <c r="Y314" s="2">
        <f t="shared" si="155"/>
        <v>0</v>
      </c>
      <c r="Z314" s="2">
        <f t="shared" si="156"/>
        <v>0</v>
      </c>
      <c r="AA314" s="2">
        <f t="shared" si="157"/>
        <v>0</v>
      </c>
      <c r="AB314" s="2">
        <f t="shared" si="158"/>
        <v>0</v>
      </c>
      <c r="AC314" s="2">
        <f t="shared" si="159"/>
        <v>0</v>
      </c>
      <c r="AD314" s="2">
        <f t="shared" si="160"/>
        <v>0</v>
      </c>
      <c r="AE314" s="2">
        <f t="shared" si="161"/>
        <v>0</v>
      </c>
      <c r="AF314" s="2">
        <f t="shared" si="162"/>
        <v>0</v>
      </c>
      <c r="AG314" s="2">
        <f t="shared" si="165"/>
        <v>0</v>
      </c>
    </row>
    <row r="315" spans="2:33" hidden="1" x14ac:dyDescent="0.25">
      <c r="B315" s="1" t="s">
        <v>1100</v>
      </c>
      <c r="C315" s="2"/>
      <c r="D315" s="2"/>
      <c r="E315" s="2"/>
      <c r="F315" s="2"/>
      <c r="G315" s="2"/>
      <c r="H315" s="2"/>
      <c r="I315" s="2"/>
      <c r="J315" s="2"/>
      <c r="K315" s="2">
        <f t="shared" si="163"/>
        <v>0</v>
      </c>
      <c r="M315" s="1" t="s">
        <v>1100</v>
      </c>
      <c r="N315" s="2"/>
      <c r="O315" s="2"/>
      <c r="P315" s="2"/>
      <c r="Q315" s="2"/>
      <c r="R315" s="2"/>
      <c r="S315" s="2"/>
      <c r="T315" s="2"/>
      <c r="U315" s="2"/>
      <c r="V315" s="2">
        <f t="shared" si="164"/>
        <v>0</v>
      </c>
      <c r="X315" s="1" t="s">
        <v>50</v>
      </c>
      <c r="Y315" s="2">
        <f t="shared" si="155"/>
        <v>0</v>
      </c>
      <c r="Z315" s="2">
        <f t="shared" si="156"/>
        <v>0</v>
      </c>
      <c r="AA315" s="2">
        <f t="shared" si="157"/>
        <v>0</v>
      </c>
      <c r="AB315" s="2">
        <f t="shared" si="158"/>
        <v>0</v>
      </c>
      <c r="AC315" s="2">
        <f t="shared" si="159"/>
        <v>0</v>
      </c>
      <c r="AD315" s="2">
        <f t="shared" si="160"/>
        <v>0</v>
      </c>
      <c r="AE315" s="2">
        <f t="shared" si="161"/>
        <v>0</v>
      </c>
      <c r="AF315" s="2">
        <f t="shared" si="162"/>
        <v>0</v>
      </c>
      <c r="AG315" s="2">
        <f t="shared" si="165"/>
        <v>0</v>
      </c>
    </row>
    <row r="316" spans="2:33" hidden="1" x14ac:dyDescent="0.25">
      <c r="B316" s="1" t="s">
        <v>89</v>
      </c>
      <c r="C316" s="2"/>
      <c r="D316" s="2"/>
      <c r="E316" s="2"/>
      <c r="F316" s="2"/>
      <c r="G316" s="2"/>
      <c r="H316" s="2"/>
      <c r="I316" s="2"/>
      <c r="J316" s="2"/>
      <c r="K316" s="2">
        <f t="shared" si="163"/>
        <v>0</v>
      </c>
      <c r="M316" s="1" t="s">
        <v>89</v>
      </c>
      <c r="N316" s="2"/>
      <c r="O316" s="2"/>
      <c r="P316" s="2"/>
      <c r="Q316" s="2"/>
      <c r="R316" s="2"/>
      <c r="S316" s="2"/>
      <c r="T316" s="2"/>
      <c r="U316" s="2"/>
      <c r="V316" s="2">
        <f t="shared" si="164"/>
        <v>0</v>
      </c>
      <c r="X316" s="1" t="s">
        <v>89</v>
      </c>
      <c r="Y316" s="2">
        <f t="shared" si="155"/>
        <v>0</v>
      </c>
      <c r="Z316" s="2">
        <f t="shared" si="156"/>
        <v>0</v>
      </c>
      <c r="AA316" s="2">
        <f t="shared" si="157"/>
        <v>0</v>
      </c>
      <c r="AB316" s="2">
        <f t="shared" si="158"/>
        <v>0</v>
      </c>
      <c r="AC316" s="2">
        <f t="shared" si="159"/>
        <v>0</v>
      </c>
      <c r="AD316" s="2">
        <f t="shared" si="160"/>
        <v>0</v>
      </c>
      <c r="AE316" s="2">
        <f t="shared" si="161"/>
        <v>0</v>
      </c>
      <c r="AF316" s="2">
        <f t="shared" si="162"/>
        <v>0</v>
      </c>
      <c r="AG316" s="2">
        <f t="shared" si="165"/>
        <v>0</v>
      </c>
    </row>
    <row r="317" spans="2:33" hidden="1" x14ac:dyDescent="0.25">
      <c r="B317" s="1" t="s">
        <v>5</v>
      </c>
      <c r="C317" s="2"/>
      <c r="D317" s="2"/>
      <c r="E317" s="2"/>
      <c r="F317" s="2"/>
      <c r="G317" s="2"/>
      <c r="H317" s="2"/>
      <c r="I317" s="2"/>
      <c r="J317" s="2"/>
      <c r="K317" s="2">
        <f t="shared" si="163"/>
        <v>0</v>
      </c>
      <c r="M317" s="1" t="s">
        <v>5</v>
      </c>
      <c r="N317" s="2"/>
      <c r="O317" s="2"/>
      <c r="P317" s="2"/>
      <c r="Q317" s="2"/>
      <c r="R317" s="2"/>
      <c r="S317" s="2"/>
      <c r="T317" s="2"/>
      <c r="U317" s="2"/>
      <c r="V317" s="2">
        <f t="shared" si="164"/>
        <v>0</v>
      </c>
      <c r="X317" s="1" t="s">
        <v>5</v>
      </c>
      <c r="Y317" s="2">
        <f t="shared" si="155"/>
        <v>0</v>
      </c>
      <c r="Z317" s="2">
        <f t="shared" si="156"/>
        <v>0</v>
      </c>
      <c r="AA317" s="2">
        <f t="shared" si="157"/>
        <v>0</v>
      </c>
      <c r="AB317" s="2">
        <f t="shared" si="158"/>
        <v>0</v>
      </c>
      <c r="AC317" s="2">
        <f t="shared" si="159"/>
        <v>0</v>
      </c>
      <c r="AD317" s="2">
        <f t="shared" si="160"/>
        <v>0</v>
      </c>
      <c r="AE317" s="2">
        <f t="shared" si="161"/>
        <v>0</v>
      </c>
      <c r="AF317" s="2">
        <f t="shared" si="162"/>
        <v>0</v>
      </c>
      <c r="AG317" s="2">
        <f t="shared" si="165"/>
        <v>0</v>
      </c>
    </row>
    <row r="318" spans="2:33" hidden="1" x14ac:dyDescent="0.25">
      <c r="B318" s="1" t="s">
        <v>84</v>
      </c>
      <c r="C318" s="2"/>
      <c r="D318" s="2"/>
      <c r="E318" s="2"/>
      <c r="F318" s="2"/>
      <c r="G318" s="2"/>
      <c r="H318" s="2"/>
      <c r="I318" s="2"/>
      <c r="J318" s="2"/>
      <c r="K318" s="2">
        <f t="shared" si="163"/>
        <v>0</v>
      </c>
      <c r="M318" s="1" t="s">
        <v>84</v>
      </c>
      <c r="N318" s="2"/>
      <c r="O318" s="2"/>
      <c r="P318" s="2"/>
      <c r="Q318" s="2"/>
      <c r="R318" s="2"/>
      <c r="S318" s="2"/>
      <c r="T318" s="2"/>
      <c r="U318" s="2"/>
      <c r="V318" s="2">
        <f t="shared" si="164"/>
        <v>0</v>
      </c>
      <c r="X318" s="1" t="s">
        <v>84</v>
      </c>
      <c r="Y318" s="2">
        <f t="shared" si="155"/>
        <v>0</v>
      </c>
      <c r="Z318" s="2">
        <f t="shared" si="156"/>
        <v>0</v>
      </c>
      <c r="AA318" s="2">
        <f t="shared" si="157"/>
        <v>0</v>
      </c>
      <c r="AB318" s="2">
        <f t="shared" si="158"/>
        <v>0</v>
      </c>
      <c r="AC318" s="2">
        <f t="shared" si="159"/>
        <v>0</v>
      </c>
      <c r="AD318" s="2">
        <f t="shared" si="160"/>
        <v>0</v>
      </c>
      <c r="AE318" s="2">
        <f t="shared" si="161"/>
        <v>0</v>
      </c>
      <c r="AF318" s="2">
        <f t="shared" si="162"/>
        <v>0</v>
      </c>
      <c r="AG318" s="2">
        <f t="shared" si="165"/>
        <v>0</v>
      </c>
    </row>
    <row r="319" spans="2:33" hidden="1" x14ac:dyDescent="0.25">
      <c r="B319" s="1" t="s">
        <v>4</v>
      </c>
      <c r="C319" s="2"/>
      <c r="D319" s="2"/>
      <c r="E319" s="2"/>
      <c r="F319" s="2"/>
      <c r="G319" s="2"/>
      <c r="H319" s="2"/>
      <c r="I319" s="2"/>
      <c r="J319" s="2"/>
      <c r="K319" s="2">
        <f t="shared" si="163"/>
        <v>0</v>
      </c>
      <c r="M319" s="1" t="s">
        <v>4</v>
      </c>
      <c r="N319" s="2"/>
      <c r="O319" s="2"/>
      <c r="P319" s="2"/>
      <c r="Q319" s="2"/>
      <c r="R319" s="2"/>
      <c r="S319" s="2"/>
      <c r="T319" s="2"/>
      <c r="U319" s="2"/>
      <c r="V319" s="2">
        <f t="shared" si="164"/>
        <v>0</v>
      </c>
      <c r="X319" s="1" t="s">
        <v>4</v>
      </c>
      <c r="Y319" s="2">
        <f t="shared" si="155"/>
        <v>0</v>
      </c>
      <c r="Z319" s="2">
        <f t="shared" si="156"/>
        <v>0</v>
      </c>
      <c r="AA319" s="2">
        <f t="shared" si="157"/>
        <v>0</v>
      </c>
      <c r="AB319" s="2">
        <f t="shared" si="158"/>
        <v>0</v>
      </c>
      <c r="AC319" s="2">
        <f t="shared" si="159"/>
        <v>0</v>
      </c>
      <c r="AD319" s="2">
        <f t="shared" si="160"/>
        <v>0</v>
      </c>
      <c r="AE319" s="2">
        <f t="shared" si="161"/>
        <v>0</v>
      </c>
      <c r="AF319" s="2">
        <f t="shared" si="162"/>
        <v>0</v>
      </c>
      <c r="AG319" s="2">
        <f t="shared" si="165"/>
        <v>0</v>
      </c>
    </row>
    <row r="320" spans="2:33" hidden="1" x14ac:dyDescent="0.25">
      <c r="B320" s="1" t="s">
        <v>51</v>
      </c>
      <c r="C320" s="2"/>
      <c r="D320" s="2"/>
      <c r="E320" s="2"/>
      <c r="F320" s="2"/>
      <c r="G320" s="2"/>
      <c r="H320" s="2"/>
      <c r="I320" s="2"/>
      <c r="J320" s="2"/>
      <c r="K320" s="2">
        <f t="shared" si="163"/>
        <v>0</v>
      </c>
      <c r="M320" s="1" t="s">
        <v>51</v>
      </c>
      <c r="N320" s="2"/>
      <c r="O320" s="2"/>
      <c r="P320" s="2"/>
      <c r="Q320" s="2"/>
      <c r="R320" s="2"/>
      <c r="S320" s="2"/>
      <c r="T320" s="2"/>
      <c r="U320" s="2"/>
      <c r="V320" s="2">
        <f t="shared" si="164"/>
        <v>0</v>
      </c>
      <c r="X320" s="1" t="s">
        <v>51</v>
      </c>
      <c r="Y320" s="2">
        <f t="shared" si="155"/>
        <v>0</v>
      </c>
      <c r="Z320" s="2">
        <f t="shared" si="156"/>
        <v>0</v>
      </c>
      <c r="AA320" s="2">
        <f t="shared" si="157"/>
        <v>0</v>
      </c>
      <c r="AB320" s="2">
        <f t="shared" si="158"/>
        <v>0</v>
      </c>
      <c r="AC320" s="2">
        <f t="shared" si="159"/>
        <v>0</v>
      </c>
      <c r="AD320" s="2">
        <f t="shared" si="160"/>
        <v>0</v>
      </c>
      <c r="AE320" s="2">
        <f t="shared" si="161"/>
        <v>0</v>
      </c>
      <c r="AF320" s="2">
        <f t="shared" si="162"/>
        <v>0</v>
      </c>
      <c r="AG320" s="2">
        <f t="shared" si="165"/>
        <v>0</v>
      </c>
    </row>
    <row r="321" spans="2:33" hidden="1" x14ac:dyDescent="0.25">
      <c r="B321" s="1" t="s">
        <v>87</v>
      </c>
      <c r="C321" s="2"/>
      <c r="D321" s="2"/>
      <c r="E321" s="2"/>
      <c r="F321" s="2"/>
      <c r="G321" s="2"/>
      <c r="H321" s="2"/>
      <c r="I321" s="2"/>
      <c r="J321" s="2"/>
      <c r="K321" s="2">
        <f t="shared" si="163"/>
        <v>0</v>
      </c>
      <c r="M321" s="1" t="s">
        <v>87</v>
      </c>
      <c r="N321" s="2"/>
      <c r="O321" s="2"/>
      <c r="P321" s="2"/>
      <c r="Q321" s="2"/>
      <c r="R321" s="2"/>
      <c r="S321" s="2"/>
      <c r="T321" s="2"/>
      <c r="U321" s="2"/>
      <c r="V321" s="2">
        <f t="shared" si="164"/>
        <v>0</v>
      </c>
      <c r="X321" s="1" t="s">
        <v>87</v>
      </c>
      <c r="Y321" s="2">
        <f t="shared" si="155"/>
        <v>0</v>
      </c>
      <c r="Z321" s="2">
        <f t="shared" si="156"/>
        <v>0</v>
      </c>
      <c r="AA321" s="2">
        <f t="shared" si="157"/>
        <v>0</v>
      </c>
      <c r="AB321" s="2">
        <f t="shared" si="158"/>
        <v>0</v>
      </c>
      <c r="AC321" s="2">
        <f t="shared" si="159"/>
        <v>0</v>
      </c>
      <c r="AD321" s="2">
        <f t="shared" si="160"/>
        <v>0</v>
      </c>
      <c r="AE321" s="2">
        <f t="shared" si="161"/>
        <v>0</v>
      </c>
      <c r="AF321" s="2">
        <f t="shared" si="162"/>
        <v>0</v>
      </c>
      <c r="AG321" s="2">
        <f t="shared" si="165"/>
        <v>0</v>
      </c>
    </row>
    <row r="322" spans="2:33" hidden="1" x14ac:dyDescent="0.25">
      <c r="B322" s="1" t="s">
        <v>85</v>
      </c>
      <c r="C322" s="2"/>
      <c r="D322" s="2"/>
      <c r="E322" s="2"/>
      <c r="F322" s="2"/>
      <c r="G322" s="2"/>
      <c r="H322" s="2"/>
      <c r="I322" s="2"/>
      <c r="J322" s="2"/>
      <c r="K322" s="2">
        <f t="shared" si="163"/>
        <v>0</v>
      </c>
      <c r="M322" s="1" t="s">
        <v>85</v>
      </c>
      <c r="N322" s="2"/>
      <c r="O322" s="2"/>
      <c r="P322" s="2"/>
      <c r="Q322" s="2"/>
      <c r="R322" s="2"/>
      <c r="S322" s="2"/>
      <c r="T322" s="2"/>
      <c r="U322" s="2"/>
      <c r="V322" s="2">
        <f t="shared" si="164"/>
        <v>0</v>
      </c>
      <c r="X322" s="1" t="s">
        <v>85</v>
      </c>
      <c r="Y322" s="2">
        <f t="shared" si="155"/>
        <v>0</v>
      </c>
      <c r="Z322" s="2">
        <f t="shared" si="156"/>
        <v>0</v>
      </c>
      <c r="AA322" s="2">
        <f t="shared" si="157"/>
        <v>0</v>
      </c>
      <c r="AB322" s="2">
        <f t="shared" si="158"/>
        <v>0</v>
      </c>
      <c r="AC322" s="2">
        <f t="shared" si="159"/>
        <v>0</v>
      </c>
      <c r="AD322" s="2">
        <f t="shared" si="160"/>
        <v>0</v>
      </c>
      <c r="AE322" s="2">
        <f t="shared" si="161"/>
        <v>0</v>
      </c>
      <c r="AF322" s="2">
        <f t="shared" si="162"/>
        <v>0</v>
      </c>
      <c r="AG322" s="2">
        <f t="shared" si="165"/>
        <v>0</v>
      </c>
    </row>
    <row r="323" spans="2:33" hidden="1" x14ac:dyDescent="0.25">
      <c r="B323" s="1" t="s">
        <v>2</v>
      </c>
      <c r="C323" s="2"/>
      <c r="D323" s="2"/>
      <c r="E323" s="2"/>
      <c r="F323" s="2"/>
      <c r="G323" s="2"/>
      <c r="H323" s="2"/>
      <c r="I323" s="2"/>
      <c r="J323" s="2"/>
      <c r="K323" s="2">
        <f t="shared" si="163"/>
        <v>0</v>
      </c>
      <c r="M323" s="1" t="s">
        <v>2</v>
      </c>
      <c r="N323" s="2"/>
      <c r="O323" s="2"/>
      <c r="P323" s="2"/>
      <c r="Q323" s="2"/>
      <c r="R323" s="2"/>
      <c r="S323" s="2"/>
      <c r="T323" s="2"/>
      <c r="U323" s="2"/>
      <c r="V323" s="2">
        <f t="shared" si="164"/>
        <v>0</v>
      </c>
      <c r="X323" s="1" t="s">
        <v>2</v>
      </c>
      <c r="Y323" s="2">
        <f t="shared" si="155"/>
        <v>0</v>
      </c>
      <c r="Z323" s="2">
        <f t="shared" si="156"/>
        <v>0</v>
      </c>
      <c r="AA323" s="2">
        <f t="shared" si="157"/>
        <v>0</v>
      </c>
      <c r="AB323" s="2">
        <f t="shared" si="158"/>
        <v>0</v>
      </c>
      <c r="AC323" s="2">
        <f t="shared" si="159"/>
        <v>0</v>
      </c>
      <c r="AD323" s="2">
        <f t="shared" si="160"/>
        <v>0</v>
      </c>
      <c r="AE323" s="2">
        <f t="shared" si="161"/>
        <v>0</v>
      </c>
      <c r="AF323" s="2">
        <f t="shared" si="162"/>
        <v>0</v>
      </c>
      <c r="AG323" s="2">
        <f t="shared" si="165"/>
        <v>0</v>
      </c>
    </row>
    <row r="324" spans="2:33" hidden="1" x14ac:dyDescent="0.25">
      <c r="B324" s="1" t="s">
        <v>86</v>
      </c>
      <c r="C324" s="2"/>
      <c r="D324" s="2"/>
      <c r="E324" s="2"/>
      <c r="F324" s="2"/>
      <c r="G324" s="2"/>
      <c r="H324" s="2"/>
      <c r="I324" s="2"/>
      <c r="J324" s="2"/>
      <c r="K324" s="2">
        <f t="shared" si="163"/>
        <v>0</v>
      </c>
      <c r="M324" s="1" t="s">
        <v>86</v>
      </c>
      <c r="N324" s="2"/>
      <c r="O324" s="2"/>
      <c r="P324" s="2"/>
      <c r="Q324" s="2"/>
      <c r="R324" s="2"/>
      <c r="S324" s="2"/>
      <c r="T324" s="2"/>
      <c r="U324" s="2"/>
      <c r="V324" s="2">
        <f t="shared" si="164"/>
        <v>0</v>
      </c>
      <c r="X324" s="1" t="s">
        <v>86</v>
      </c>
      <c r="Y324" s="2">
        <f t="shared" si="155"/>
        <v>0</v>
      </c>
      <c r="Z324" s="2">
        <f t="shared" si="156"/>
        <v>0</v>
      </c>
      <c r="AA324" s="2">
        <f t="shared" si="157"/>
        <v>0</v>
      </c>
      <c r="AB324" s="2">
        <f t="shared" si="158"/>
        <v>0</v>
      </c>
      <c r="AC324" s="2">
        <f t="shared" si="159"/>
        <v>0</v>
      </c>
      <c r="AD324" s="2">
        <f t="shared" si="160"/>
        <v>0</v>
      </c>
      <c r="AE324" s="2">
        <f t="shared" si="161"/>
        <v>0</v>
      </c>
      <c r="AF324" s="2">
        <f t="shared" si="162"/>
        <v>0</v>
      </c>
      <c r="AG324" s="2">
        <f t="shared" si="165"/>
        <v>0</v>
      </c>
    </row>
    <row r="325" spans="2:33" hidden="1" x14ac:dyDescent="0.25">
      <c r="B325" s="1" t="s">
        <v>29</v>
      </c>
      <c r="C325" s="2"/>
      <c r="D325" s="2"/>
      <c r="E325" s="2"/>
      <c r="F325" s="2"/>
      <c r="G325" s="2"/>
      <c r="H325" s="2"/>
      <c r="I325" s="2"/>
      <c r="J325" s="2"/>
      <c r="K325" s="2">
        <f t="shared" si="163"/>
        <v>0</v>
      </c>
      <c r="M325" s="1" t="s">
        <v>29</v>
      </c>
      <c r="N325" s="2"/>
      <c r="O325" s="2"/>
      <c r="P325" s="2"/>
      <c r="Q325" s="2"/>
      <c r="R325" s="2"/>
      <c r="S325" s="2"/>
      <c r="T325" s="2"/>
      <c r="U325" s="2"/>
      <c r="V325" s="2">
        <f t="shared" si="164"/>
        <v>0</v>
      </c>
      <c r="X325" s="1" t="s">
        <v>29</v>
      </c>
      <c r="Y325" s="2">
        <f t="shared" si="155"/>
        <v>0</v>
      </c>
      <c r="Z325" s="2">
        <f t="shared" si="156"/>
        <v>0</v>
      </c>
      <c r="AA325" s="2">
        <f t="shared" si="157"/>
        <v>0</v>
      </c>
      <c r="AB325" s="2">
        <f t="shared" si="158"/>
        <v>0</v>
      </c>
      <c r="AC325" s="2">
        <f t="shared" si="159"/>
        <v>0</v>
      </c>
      <c r="AD325" s="2">
        <f t="shared" si="160"/>
        <v>0</v>
      </c>
      <c r="AE325" s="2">
        <f t="shared" si="161"/>
        <v>0</v>
      </c>
      <c r="AF325" s="2">
        <f t="shared" si="162"/>
        <v>0</v>
      </c>
      <c r="AG325" s="2">
        <f t="shared" si="165"/>
        <v>0</v>
      </c>
    </row>
    <row r="326" spans="2:33" hidden="1" x14ac:dyDescent="0.25">
      <c r="B326" s="1" t="s">
        <v>88</v>
      </c>
      <c r="C326" s="2"/>
      <c r="D326" s="2"/>
      <c r="E326" s="2"/>
      <c r="F326" s="2"/>
      <c r="G326" s="2"/>
      <c r="H326" s="2"/>
      <c r="I326" s="2"/>
      <c r="J326" s="2"/>
      <c r="K326" s="2">
        <f t="shared" si="163"/>
        <v>0</v>
      </c>
      <c r="M326" s="1" t="s">
        <v>88</v>
      </c>
      <c r="N326" s="2"/>
      <c r="O326" s="2"/>
      <c r="P326" s="2"/>
      <c r="Q326" s="2"/>
      <c r="R326" s="2"/>
      <c r="S326" s="2"/>
      <c r="T326" s="2"/>
      <c r="U326" s="2"/>
      <c r="V326" s="2">
        <f t="shared" si="164"/>
        <v>0</v>
      </c>
      <c r="X326" s="1" t="s">
        <v>52</v>
      </c>
      <c r="Y326" s="2">
        <f t="shared" si="155"/>
        <v>0</v>
      </c>
      <c r="Z326" s="2">
        <f t="shared" si="156"/>
        <v>0</v>
      </c>
      <c r="AA326" s="2">
        <f t="shared" si="157"/>
        <v>0</v>
      </c>
      <c r="AB326" s="2">
        <f t="shared" si="158"/>
        <v>0</v>
      </c>
      <c r="AC326" s="2">
        <f t="shared" si="159"/>
        <v>0</v>
      </c>
      <c r="AD326" s="2">
        <f t="shared" si="160"/>
        <v>0</v>
      </c>
      <c r="AE326" s="2">
        <f t="shared" si="161"/>
        <v>0</v>
      </c>
      <c r="AF326" s="2">
        <f t="shared" si="162"/>
        <v>0</v>
      </c>
      <c r="AG326" s="2">
        <f t="shared" si="165"/>
        <v>0</v>
      </c>
    </row>
    <row r="327" spans="2:33" hidden="1" x14ac:dyDescent="0.25">
      <c r="B327" s="1" t="s">
        <v>1098</v>
      </c>
      <c r="C327" s="2"/>
      <c r="D327" s="2"/>
      <c r="E327" s="2"/>
      <c r="F327" s="2"/>
      <c r="G327" s="2"/>
      <c r="H327" s="2"/>
      <c r="I327" s="2"/>
      <c r="J327" s="2"/>
      <c r="K327" s="2">
        <f t="shared" si="163"/>
        <v>0</v>
      </c>
      <c r="M327" s="1" t="s">
        <v>1098</v>
      </c>
      <c r="N327" s="2"/>
      <c r="O327" s="2"/>
      <c r="P327" s="2"/>
      <c r="Q327" s="2"/>
      <c r="R327" s="2"/>
      <c r="S327" s="2"/>
      <c r="T327" s="2"/>
      <c r="U327" s="2"/>
      <c r="V327" s="2">
        <f t="shared" si="164"/>
        <v>0</v>
      </c>
      <c r="X327" s="1" t="s">
        <v>88</v>
      </c>
      <c r="Y327" s="2">
        <f t="shared" si="155"/>
        <v>0</v>
      </c>
      <c r="Z327" s="2">
        <f t="shared" si="156"/>
        <v>0</v>
      </c>
      <c r="AA327" s="2">
        <f t="shared" si="157"/>
        <v>0</v>
      </c>
      <c r="AB327" s="2">
        <f t="shared" si="158"/>
        <v>0</v>
      </c>
      <c r="AC327" s="2">
        <f t="shared" si="159"/>
        <v>0</v>
      </c>
      <c r="AD327" s="2">
        <f t="shared" si="160"/>
        <v>0</v>
      </c>
      <c r="AE327" s="2">
        <f t="shared" si="161"/>
        <v>0</v>
      </c>
      <c r="AF327" s="2">
        <f t="shared" si="162"/>
        <v>0</v>
      </c>
      <c r="AG327" s="2">
        <f t="shared" si="165"/>
        <v>0</v>
      </c>
    </row>
    <row r="328" spans="2:33" hidden="1" x14ac:dyDescent="0.25">
      <c r="B328" s="1" t="s">
        <v>1099</v>
      </c>
      <c r="C328" s="2"/>
      <c r="D328" s="2"/>
      <c r="E328" s="2"/>
      <c r="F328" s="2"/>
      <c r="G328" s="2"/>
      <c r="H328" s="2"/>
      <c r="I328" s="2"/>
      <c r="J328" s="2"/>
      <c r="K328" s="2">
        <f t="shared" si="163"/>
        <v>0</v>
      </c>
      <c r="M328" s="1" t="s">
        <v>1099</v>
      </c>
      <c r="N328" s="2"/>
      <c r="O328" s="2"/>
      <c r="P328" s="2"/>
      <c r="Q328" s="2"/>
      <c r="R328" s="2"/>
      <c r="S328" s="2"/>
      <c r="T328" s="2"/>
      <c r="U328" s="2"/>
      <c r="V328" s="2">
        <f t="shared" si="164"/>
        <v>0</v>
      </c>
      <c r="X328" s="1" t="s">
        <v>1</v>
      </c>
      <c r="Y328" s="2">
        <f t="shared" si="155"/>
        <v>0</v>
      </c>
      <c r="Z328" s="2">
        <f t="shared" si="156"/>
        <v>0</v>
      </c>
      <c r="AA328" s="2">
        <f t="shared" si="157"/>
        <v>0</v>
      </c>
      <c r="AB328" s="2">
        <f t="shared" si="158"/>
        <v>0</v>
      </c>
      <c r="AC328" s="2">
        <f t="shared" si="159"/>
        <v>0</v>
      </c>
      <c r="AD328" s="2">
        <f t="shared" si="160"/>
        <v>0</v>
      </c>
      <c r="AE328" s="2">
        <f t="shared" si="161"/>
        <v>0</v>
      </c>
      <c r="AF328" s="2">
        <f t="shared" si="162"/>
        <v>0</v>
      </c>
      <c r="AG328" s="2">
        <f t="shared" si="165"/>
        <v>0</v>
      </c>
    </row>
    <row r="329" spans="2:33" ht="15.75" hidden="1" thickBot="1" x14ac:dyDescent="0.3">
      <c r="C329" s="70">
        <f>SUM(C309:C328)</f>
        <v>0</v>
      </c>
      <c r="D329" s="70">
        <f t="shared" ref="D329:J329" si="166">SUM(D309:D328)</f>
        <v>0</v>
      </c>
      <c r="E329" s="70">
        <f t="shared" si="166"/>
        <v>0</v>
      </c>
      <c r="F329" s="70">
        <f t="shared" si="166"/>
        <v>0</v>
      </c>
      <c r="G329" s="70">
        <f t="shared" si="166"/>
        <v>0</v>
      </c>
      <c r="H329" s="70">
        <f t="shared" si="166"/>
        <v>0</v>
      </c>
      <c r="I329" s="70">
        <f t="shared" si="166"/>
        <v>0</v>
      </c>
      <c r="J329" s="70">
        <f t="shared" si="166"/>
        <v>0</v>
      </c>
      <c r="K329" s="70">
        <f>SUM(K309:K328)</f>
        <v>0</v>
      </c>
      <c r="N329" s="70">
        <f>SUM(N309:N328)</f>
        <v>0</v>
      </c>
      <c r="O329" s="70">
        <f t="shared" ref="O329:U329" si="167">SUM(O309:O328)</f>
        <v>0</v>
      </c>
      <c r="P329" s="70">
        <f t="shared" si="167"/>
        <v>0</v>
      </c>
      <c r="Q329" s="70">
        <f t="shared" si="167"/>
        <v>0</v>
      </c>
      <c r="R329" s="70">
        <f t="shared" si="167"/>
        <v>0</v>
      </c>
      <c r="S329" s="70">
        <f t="shared" si="167"/>
        <v>0</v>
      </c>
      <c r="T329" s="70">
        <f t="shared" si="167"/>
        <v>0</v>
      </c>
      <c r="U329" s="70">
        <f t="shared" si="167"/>
        <v>0</v>
      </c>
      <c r="V329" s="70">
        <f>SUM(V309:V328)</f>
        <v>0</v>
      </c>
      <c r="Y329" s="70">
        <f>SUM(Y309:Y328)</f>
        <v>0</v>
      </c>
      <c r="Z329" s="70">
        <f t="shared" ref="Z329:AF329" si="168">SUM(Z309:Z328)</f>
        <v>0</v>
      </c>
      <c r="AA329" s="70">
        <f t="shared" si="168"/>
        <v>0</v>
      </c>
      <c r="AB329" s="70">
        <f t="shared" si="168"/>
        <v>0</v>
      </c>
      <c r="AC329" s="70">
        <f t="shared" si="168"/>
        <v>0</v>
      </c>
      <c r="AD329" s="70">
        <f t="shared" si="168"/>
        <v>0</v>
      </c>
      <c r="AE329" s="70">
        <f t="shared" si="168"/>
        <v>0</v>
      </c>
      <c r="AF329" s="70">
        <f t="shared" si="168"/>
        <v>0</v>
      </c>
      <c r="AG329" s="70">
        <f>SUM(AG309:AG328)</f>
        <v>0</v>
      </c>
    </row>
    <row r="330" spans="2:33" hidden="1" x14ac:dyDescent="0.25"/>
    <row r="331" spans="2:33" hidden="1" x14ac:dyDescent="0.25"/>
    <row r="332" spans="2:33" hidden="1" x14ac:dyDescent="0.25">
      <c r="B332" s="72" t="s">
        <v>96</v>
      </c>
      <c r="C332" s="187">
        <f>$C$20</f>
        <v>45199</v>
      </c>
      <c r="D332" s="175"/>
      <c r="E332" s="175"/>
      <c r="F332" s="175"/>
      <c r="G332" s="175"/>
      <c r="H332" s="175"/>
      <c r="I332" s="175"/>
      <c r="J332" s="175"/>
      <c r="K332" s="175"/>
      <c r="M332" s="72" t="s">
        <v>96</v>
      </c>
      <c r="N332" s="193">
        <f>$N$20</f>
        <v>45169</v>
      </c>
      <c r="O332" s="194"/>
      <c r="P332" s="194"/>
      <c r="Q332" s="194"/>
      <c r="R332" s="194"/>
      <c r="S332" s="194"/>
      <c r="T332" s="194"/>
      <c r="U332" s="194"/>
      <c r="V332" s="194"/>
      <c r="Y332" s="175" t="s">
        <v>97</v>
      </c>
      <c r="Z332" s="175"/>
      <c r="AA332" s="175"/>
      <c r="AB332" s="175"/>
      <c r="AC332" s="175"/>
      <c r="AD332" s="175"/>
      <c r="AE332" s="175"/>
      <c r="AF332" s="175"/>
      <c r="AG332" s="175"/>
    </row>
    <row r="333" spans="2:33" hidden="1" x14ac:dyDescent="0.25">
      <c r="B333" s="72" t="s">
        <v>95</v>
      </c>
      <c r="C333" s="175" t="str">
        <f>'Reimbursement Rates &lt;-INPUT'!N7</f>
        <v>Clinic 13</v>
      </c>
      <c r="D333" s="175"/>
      <c r="E333" s="175"/>
      <c r="F333" s="175"/>
      <c r="G333" s="175"/>
      <c r="H333" s="175"/>
      <c r="I333" s="175"/>
      <c r="J333" s="175"/>
      <c r="K333" s="175"/>
      <c r="M333" s="72" t="s">
        <v>95</v>
      </c>
      <c r="N333" s="175" t="str">
        <f>C333</f>
        <v>Clinic 13</v>
      </c>
      <c r="O333" s="175"/>
      <c r="P333" s="175"/>
      <c r="Q333" s="175"/>
      <c r="R333" s="175"/>
      <c r="S333" s="175"/>
      <c r="T333" s="175"/>
      <c r="U333" s="175"/>
      <c r="V333" s="175"/>
      <c r="X333" s="71" t="s">
        <v>95</v>
      </c>
      <c r="Y333" s="175" t="str">
        <f>C333</f>
        <v>Clinic 13</v>
      </c>
      <c r="Z333" s="175"/>
      <c r="AA333" s="175"/>
      <c r="AB333" s="175"/>
      <c r="AC333" s="175"/>
      <c r="AD333" s="175"/>
      <c r="AE333" s="175"/>
      <c r="AF333" s="175"/>
      <c r="AG333" s="175"/>
    </row>
    <row r="334" spans="2:33" hidden="1" x14ac:dyDescent="0.25">
      <c r="B334" s="4" t="s">
        <v>16</v>
      </c>
      <c r="C334" s="5" t="s">
        <v>15</v>
      </c>
      <c r="D334" s="5" t="s">
        <v>14</v>
      </c>
      <c r="E334" s="5" t="s">
        <v>13</v>
      </c>
      <c r="F334" s="5" t="s">
        <v>12</v>
      </c>
      <c r="G334" s="5" t="s">
        <v>93</v>
      </c>
      <c r="H334" s="5" t="s">
        <v>94</v>
      </c>
      <c r="I334" s="5" t="s">
        <v>38</v>
      </c>
      <c r="J334" s="5" t="s">
        <v>9</v>
      </c>
      <c r="K334" s="5" t="s">
        <v>80</v>
      </c>
      <c r="M334" s="4" t="s">
        <v>16</v>
      </c>
      <c r="N334" s="5" t="s">
        <v>15</v>
      </c>
      <c r="O334" s="5" t="s">
        <v>14</v>
      </c>
      <c r="P334" s="5" t="s">
        <v>13</v>
      </c>
      <c r="Q334" s="5" t="s">
        <v>12</v>
      </c>
      <c r="R334" s="5" t="s">
        <v>93</v>
      </c>
      <c r="S334" s="5" t="s">
        <v>94</v>
      </c>
      <c r="T334" s="5" t="s">
        <v>38</v>
      </c>
      <c r="U334" s="5" t="s">
        <v>9</v>
      </c>
      <c r="V334" s="5" t="s">
        <v>80</v>
      </c>
      <c r="X334" s="4" t="s">
        <v>16</v>
      </c>
      <c r="Y334" s="5" t="s">
        <v>15</v>
      </c>
      <c r="Z334" s="5" t="s">
        <v>14</v>
      </c>
      <c r="AA334" s="5" t="s">
        <v>13</v>
      </c>
      <c r="AB334" s="5" t="s">
        <v>12</v>
      </c>
      <c r="AC334" s="5" t="s">
        <v>93</v>
      </c>
      <c r="AD334" s="5" t="s">
        <v>94</v>
      </c>
      <c r="AE334" s="5" t="s">
        <v>38</v>
      </c>
      <c r="AF334" s="5" t="s">
        <v>9</v>
      </c>
      <c r="AG334" s="5" t="s">
        <v>80</v>
      </c>
    </row>
    <row r="335" spans="2:33" hidden="1" x14ac:dyDescent="0.25">
      <c r="B335" s="1" t="s">
        <v>1094</v>
      </c>
      <c r="C335" s="2"/>
      <c r="D335" s="2"/>
      <c r="E335" s="2"/>
      <c r="F335" s="2"/>
      <c r="G335" s="2"/>
      <c r="H335" s="2"/>
      <c r="I335" s="2"/>
      <c r="J335" s="2"/>
      <c r="K335" s="2">
        <f>SUM(C335:J335)</f>
        <v>0</v>
      </c>
      <c r="M335" s="1" t="s">
        <v>1094</v>
      </c>
      <c r="N335" s="2"/>
      <c r="O335" s="2"/>
      <c r="P335" s="2"/>
      <c r="Q335" s="2"/>
      <c r="R335" s="2"/>
      <c r="S335" s="2"/>
      <c r="T335" s="2"/>
      <c r="U335" s="2"/>
      <c r="V335" s="2">
        <f>SUM(N335:U335)</f>
        <v>0</v>
      </c>
      <c r="X335" s="1" t="s">
        <v>49</v>
      </c>
      <c r="Y335" s="2">
        <f t="shared" ref="Y335:Y354" si="169">C335-N335</f>
        <v>0</v>
      </c>
      <c r="Z335" s="2">
        <f t="shared" ref="Z335:Z354" si="170">D335-O335</f>
        <v>0</v>
      </c>
      <c r="AA335" s="2">
        <f t="shared" ref="AA335:AA354" si="171">E335-P335</f>
        <v>0</v>
      </c>
      <c r="AB335" s="2">
        <f t="shared" ref="AB335:AB354" si="172">F335-Q335</f>
        <v>0</v>
      </c>
      <c r="AC335" s="2">
        <f t="shared" ref="AC335:AC354" si="173">G335-R335</f>
        <v>0</v>
      </c>
      <c r="AD335" s="2">
        <f t="shared" ref="AD335:AD354" si="174">H335-S335</f>
        <v>0</v>
      </c>
      <c r="AE335" s="2">
        <f t="shared" ref="AE335:AE354" si="175">I335-T335</f>
        <v>0</v>
      </c>
      <c r="AF335" s="2">
        <f t="shared" ref="AF335:AF354" si="176">J335-U335</f>
        <v>0</v>
      </c>
      <c r="AG335" s="2">
        <f>SUM(Y335:AF335)</f>
        <v>0</v>
      </c>
    </row>
    <row r="336" spans="2:33" hidden="1" x14ac:dyDescent="0.25">
      <c r="B336" s="1" t="s">
        <v>8</v>
      </c>
      <c r="C336" s="2"/>
      <c r="D336" s="2"/>
      <c r="E336" s="2"/>
      <c r="F336" s="2"/>
      <c r="G336" s="2"/>
      <c r="H336" s="2"/>
      <c r="I336" s="2"/>
      <c r="J336" s="2"/>
      <c r="K336" s="2">
        <f t="shared" ref="K336:K354" si="177">SUM(C336:J336)</f>
        <v>0</v>
      </c>
      <c r="M336" s="1" t="s">
        <v>8</v>
      </c>
      <c r="N336" s="2"/>
      <c r="O336" s="2"/>
      <c r="P336" s="2"/>
      <c r="Q336" s="2"/>
      <c r="R336" s="2"/>
      <c r="S336" s="2"/>
      <c r="T336" s="2"/>
      <c r="U336" s="2"/>
      <c r="V336" s="2">
        <f t="shared" ref="V336:V354" si="178">SUM(N336:U336)</f>
        <v>0</v>
      </c>
      <c r="X336" s="1" t="s">
        <v>8</v>
      </c>
      <c r="Y336" s="2">
        <f t="shared" si="169"/>
        <v>0</v>
      </c>
      <c r="Z336" s="2">
        <f t="shared" si="170"/>
        <v>0</v>
      </c>
      <c r="AA336" s="2">
        <f t="shared" si="171"/>
        <v>0</v>
      </c>
      <c r="AB336" s="2">
        <f t="shared" si="172"/>
        <v>0</v>
      </c>
      <c r="AC336" s="2">
        <f t="shared" si="173"/>
        <v>0</v>
      </c>
      <c r="AD336" s="2">
        <f t="shared" si="174"/>
        <v>0</v>
      </c>
      <c r="AE336" s="2">
        <f t="shared" si="175"/>
        <v>0</v>
      </c>
      <c r="AF336" s="2">
        <f t="shared" si="176"/>
        <v>0</v>
      </c>
      <c r="AG336" s="2">
        <f t="shared" ref="AG336:AG354" si="179">SUM(Y336:AF336)</f>
        <v>0</v>
      </c>
    </row>
    <row r="337" spans="2:33" hidden="1" x14ac:dyDescent="0.25">
      <c r="B337" s="1" t="s">
        <v>1095</v>
      </c>
      <c r="C337" s="2"/>
      <c r="D337" s="2"/>
      <c r="E337" s="2"/>
      <c r="F337" s="2"/>
      <c r="G337" s="2"/>
      <c r="H337" s="2"/>
      <c r="I337" s="2"/>
      <c r="J337" s="2"/>
      <c r="K337" s="2">
        <f t="shared" si="177"/>
        <v>0</v>
      </c>
      <c r="M337" s="1" t="s">
        <v>1095</v>
      </c>
      <c r="N337" s="2"/>
      <c r="O337" s="2"/>
      <c r="P337" s="2"/>
      <c r="Q337" s="2"/>
      <c r="R337" s="2"/>
      <c r="S337" s="2"/>
      <c r="T337" s="2"/>
      <c r="U337" s="2"/>
      <c r="V337" s="2">
        <f t="shared" si="178"/>
        <v>0</v>
      </c>
      <c r="X337" s="1" t="s">
        <v>7</v>
      </c>
      <c r="Y337" s="2">
        <f t="shared" si="169"/>
        <v>0</v>
      </c>
      <c r="Z337" s="2">
        <f t="shared" si="170"/>
        <v>0</v>
      </c>
      <c r="AA337" s="2">
        <f t="shared" si="171"/>
        <v>0</v>
      </c>
      <c r="AB337" s="2">
        <f t="shared" si="172"/>
        <v>0</v>
      </c>
      <c r="AC337" s="2">
        <f t="shared" si="173"/>
        <v>0</v>
      </c>
      <c r="AD337" s="2">
        <f t="shared" si="174"/>
        <v>0</v>
      </c>
      <c r="AE337" s="2">
        <f t="shared" si="175"/>
        <v>0</v>
      </c>
      <c r="AF337" s="2">
        <f t="shared" si="176"/>
        <v>0</v>
      </c>
      <c r="AG337" s="2">
        <f t="shared" si="179"/>
        <v>0</v>
      </c>
    </row>
    <row r="338" spans="2:33" hidden="1" x14ac:dyDescent="0.25">
      <c r="B338" s="1" t="s">
        <v>42</v>
      </c>
      <c r="C338" s="2"/>
      <c r="D338" s="2"/>
      <c r="E338" s="2"/>
      <c r="F338" s="2"/>
      <c r="G338" s="2"/>
      <c r="H338" s="2"/>
      <c r="I338" s="2"/>
      <c r="J338" s="2"/>
      <c r="K338" s="2">
        <f t="shared" si="177"/>
        <v>0</v>
      </c>
      <c r="M338" s="1" t="s">
        <v>42</v>
      </c>
      <c r="N338" s="2"/>
      <c r="O338" s="2"/>
      <c r="P338" s="2"/>
      <c r="Q338" s="2"/>
      <c r="R338" s="2"/>
      <c r="S338" s="2"/>
      <c r="T338" s="2"/>
      <c r="U338" s="2"/>
      <c r="V338" s="2">
        <f t="shared" si="178"/>
        <v>0</v>
      </c>
      <c r="X338" s="1" t="s">
        <v>42</v>
      </c>
      <c r="Y338" s="2">
        <f t="shared" si="169"/>
        <v>0</v>
      </c>
      <c r="Z338" s="2">
        <f t="shared" si="170"/>
        <v>0</v>
      </c>
      <c r="AA338" s="2">
        <f t="shared" si="171"/>
        <v>0</v>
      </c>
      <c r="AB338" s="2">
        <f t="shared" si="172"/>
        <v>0</v>
      </c>
      <c r="AC338" s="2">
        <f t="shared" si="173"/>
        <v>0</v>
      </c>
      <c r="AD338" s="2">
        <f t="shared" si="174"/>
        <v>0</v>
      </c>
      <c r="AE338" s="2">
        <f t="shared" si="175"/>
        <v>0</v>
      </c>
      <c r="AF338" s="2">
        <f t="shared" si="176"/>
        <v>0</v>
      </c>
      <c r="AG338" s="2">
        <f t="shared" si="179"/>
        <v>0</v>
      </c>
    </row>
    <row r="339" spans="2:33" hidden="1" x14ac:dyDescent="0.25">
      <c r="B339" s="1" t="s">
        <v>6</v>
      </c>
      <c r="C339" s="2"/>
      <c r="D339" s="2"/>
      <c r="E339" s="2"/>
      <c r="F339" s="2"/>
      <c r="G339" s="2"/>
      <c r="H339" s="2"/>
      <c r="I339" s="2"/>
      <c r="J339" s="2"/>
      <c r="K339" s="2">
        <f t="shared" si="177"/>
        <v>0</v>
      </c>
      <c r="M339" s="1" t="s">
        <v>6</v>
      </c>
      <c r="N339" s="2"/>
      <c r="O339" s="2"/>
      <c r="P339" s="2"/>
      <c r="Q339" s="2"/>
      <c r="R339" s="2"/>
      <c r="S339" s="2"/>
      <c r="T339" s="2"/>
      <c r="U339" s="2"/>
      <c r="V339" s="2">
        <f t="shared" si="178"/>
        <v>0</v>
      </c>
      <c r="X339" s="1" t="s">
        <v>6</v>
      </c>
      <c r="Y339" s="2">
        <f t="shared" si="169"/>
        <v>0</v>
      </c>
      <c r="Z339" s="2">
        <f t="shared" si="170"/>
        <v>0</v>
      </c>
      <c r="AA339" s="2">
        <f t="shared" si="171"/>
        <v>0</v>
      </c>
      <c r="AB339" s="2">
        <f t="shared" si="172"/>
        <v>0</v>
      </c>
      <c r="AC339" s="2">
        <f t="shared" si="173"/>
        <v>0</v>
      </c>
      <c r="AD339" s="2">
        <f t="shared" si="174"/>
        <v>0</v>
      </c>
      <c r="AE339" s="2">
        <f t="shared" si="175"/>
        <v>0</v>
      </c>
      <c r="AF339" s="2">
        <f t="shared" si="176"/>
        <v>0</v>
      </c>
      <c r="AG339" s="2">
        <f t="shared" si="179"/>
        <v>0</v>
      </c>
    </row>
    <row r="340" spans="2:33" hidden="1" x14ac:dyDescent="0.25">
      <c r="B340" s="1" t="s">
        <v>90</v>
      </c>
      <c r="C340" s="2"/>
      <c r="D340" s="2"/>
      <c r="E340" s="2"/>
      <c r="F340" s="2"/>
      <c r="G340" s="2"/>
      <c r="H340" s="2"/>
      <c r="I340" s="2"/>
      <c r="J340" s="2"/>
      <c r="K340" s="2">
        <f t="shared" si="177"/>
        <v>0</v>
      </c>
      <c r="M340" s="1" t="s">
        <v>90</v>
      </c>
      <c r="N340" s="2"/>
      <c r="O340" s="2"/>
      <c r="P340" s="2"/>
      <c r="Q340" s="2"/>
      <c r="R340" s="2"/>
      <c r="S340" s="2"/>
      <c r="T340" s="2"/>
      <c r="U340" s="2"/>
      <c r="V340" s="2">
        <f t="shared" si="178"/>
        <v>0</v>
      </c>
      <c r="X340" s="1" t="s">
        <v>90</v>
      </c>
      <c r="Y340" s="2">
        <f t="shared" si="169"/>
        <v>0</v>
      </c>
      <c r="Z340" s="2">
        <f t="shared" si="170"/>
        <v>0</v>
      </c>
      <c r="AA340" s="2">
        <f t="shared" si="171"/>
        <v>0</v>
      </c>
      <c r="AB340" s="2">
        <f t="shared" si="172"/>
        <v>0</v>
      </c>
      <c r="AC340" s="2">
        <f t="shared" si="173"/>
        <v>0</v>
      </c>
      <c r="AD340" s="2">
        <f t="shared" si="174"/>
        <v>0</v>
      </c>
      <c r="AE340" s="2">
        <f t="shared" si="175"/>
        <v>0</v>
      </c>
      <c r="AF340" s="2">
        <f t="shared" si="176"/>
        <v>0</v>
      </c>
      <c r="AG340" s="2">
        <f t="shared" si="179"/>
        <v>0</v>
      </c>
    </row>
    <row r="341" spans="2:33" hidden="1" x14ac:dyDescent="0.25">
      <c r="B341" s="1" t="s">
        <v>1100</v>
      </c>
      <c r="C341" s="2"/>
      <c r="D341" s="2"/>
      <c r="E341" s="2"/>
      <c r="F341" s="2"/>
      <c r="G341" s="2"/>
      <c r="H341" s="2"/>
      <c r="I341" s="2"/>
      <c r="J341" s="2"/>
      <c r="K341" s="2">
        <f t="shared" si="177"/>
        <v>0</v>
      </c>
      <c r="M341" s="1" t="s">
        <v>1100</v>
      </c>
      <c r="N341" s="2"/>
      <c r="O341" s="2"/>
      <c r="P341" s="2"/>
      <c r="Q341" s="2"/>
      <c r="R341" s="2"/>
      <c r="S341" s="2"/>
      <c r="T341" s="2"/>
      <c r="U341" s="2"/>
      <c r="V341" s="2">
        <f t="shared" si="178"/>
        <v>0</v>
      </c>
      <c r="X341" s="1" t="s">
        <v>50</v>
      </c>
      <c r="Y341" s="2">
        <f t="shared" si="169"/>
        <v>0</v>
      </c>
      <c r="Z341" s="2">
        <f t="shared" si="170"/>
        <v>0</v>
      </c>
      <c r="AA341" s="2">
        <f t="shared" si="171"/>
        <v>0</v>
      </c>
      <c r="AB341" s="2">
        <f t="shared" si="172"/>
        <v>0</v>
      </c>
      <c r="AC341" s="2">
        <f t="shared" si="173"/>
        <v>0</v>
      </c>
      <c r="AD341" s="2">
        <f t="shared" si="174"/>
        <v>0</v>
      </c>
      <c r="AE341" s="2">
        <f t="shared" si="175"/>
        <v>0</v>
      </c>
      <c r="AF341" s="2">
        <f t="shared" si="176"/>
        <v>0</v>
      </c>
      <c r="AG341" s="2">
        <f t="shared" si="179"/>
        <v>0</v>
      </c>
    </row>
    <row r="342" spans="2:33" hidden="1" x14ac:dyDescent="0.25">
      <c r="B342" s="1" t="s">
        <v>89</v>
      </c>
      <c r="C342" s="2"/>
      <c r="D342" s="2"/>
      <c r="E342" s="2"/>
      <c r="F342" s="2"/>
      <c r="G342" s="2"/>
      <c r="H342" s="2"/>
      <c r="I342" s="2"/>
      <c r="J342" s="2"/>
      <c r="K342" s="2">
        <f t="shared" si="177"/>
        <v>0</v>
      </c>
      <c r="M342" s="1" t="s">
        <v>89</v>
      </c>
      <c r="N342" s="2"/>
      <c r="O342" s="2"/>
      <c r="P342" s="2"/>
      <c r="Q342" s="2"/>
      <c r="R342" s="2"/>
      <c r="S342" s="2"/>
      <c r="T342" s="2"/>
      <c r="U342" s="2"/>
      <c r="V342" s="2">
        <f t="shared" si="178"/>
        <v>0</v>
      </c>
      <c r="X342" s="1" t="s">
        <v>89</v>
      </c>
      <c r="Y342" s="2">
        <f t="shared" si="169"/>
        <v>0</v>
      </c>
      <c r="Z342" s="2">
        <f t="shared" si="170"/>
        <v>0</v>
      </c>
      <c r="AA342" s="2">
        <f t="shared" si="171"/>
        <v>0</v>
      </c>
      <c r="AB342" s="2">
        <f t="shared" si="172"/>
        <v>0</v>
      </c>
      <c r="AC342" s="2">
        <f t="shared" si="173"/>
        <v>0</v>
      </c>
      <c r="AD342" s="2">
        <f t="shared" si="174"/>
        <v>0</v>
      </c>
      <c r="AE342" s="2">
        <f t="shared" si="175"/>
        <v>0</v>
      </c>
      <c r="AF342" s="2">
        <f t="shared" si="176"/>
        <v>0</v>
      </c>
      <c r="AG342" s="2">
        <f t="shared" si="179"/>
        <v>0</v>
      </c>
    </row>
    <row r="343" spans="2:33" hidden="1" x14ac:dyDescent="0.25">
      <c r="B343" s="1" t="s">
        <v>5</v>
      </c>
      <c r="C343" s="2"/>
      <c r="D343" s="2"/>
      <c r="E343" s="2"/>
      <c r="F343" s="2"/>
      <c r="G343" s="2"/>
      <c r="H343" s="2"/>
      <c r="I343" s="2"/>
      <c r="J343" s="2"/>
      <c r="K343" s="2">
        <f t="shared" si="177"/>
        <v>0</v>
      </c>
      <c r="M343" s="1" t="s">
        <v>5</v>
      </c>
      <c r="N343" s="2"/>
      <c r="O343" s="2"/>
      <c r="P343" s="2"/>
      <c r="Q343" s="2"/>
      <c r="R343" s="2"/>
      <c r="S343" s="2"/>
      <c r="T343" s="2"/>
      <c r="U343" s="2"/>
      <c r="V343" s="2">
        <f t="shared" si="178"/>
        <v>0</v>
      </c>
      <c r="X343" s="1" t="s">
        <v>5</v>
      </c>
      <c r="Y343" s="2">
        <f t="shared" si="169"/>
        <v>0</v>
      </c>
      <c r="Z343" s="2">
        <f t="shared" si="170"/>
        <v>0</v>
      </c>
      <c r="AA343" s="2">
        <f t="shared" si="171"/>
        <v>0</v>
      </c>
      <c r="AB343" s="2">
        <f t="shared" si="172"/>
        <v>0</v>
      </c>
      <c r="AC343" s="2">
        <f t="shared" si="173"/>
        <v>0</v>
      </c>
      <c r="AD343" s="2">
        <f t="shared" si="174"/>
        <v>0</v>
      </c>
      <c r="AE343" s="2">
        <f t="shared" si="175"/>
        <v>0</v>
      </c>
      <c r="AF343" s="2">
        <f t="shared" si="176"/>
        <v>0</v>
      </c>
      <c r="AG343" s="2">
        <f t="shared" si="179"/>
        <v>0</v>
      </c>
    </row>
    <row r="344" spans="2:33" hidden="1" x14ac:dyDescent="0.25">
      <c r="B344" s="1" t="s">
        <v>84</v>
      </c>
      <c r="C344" s="2"/>
      <c r="D344" s="2"/>
      <c r="E344" s="2"/>
      <c r="F344" s="2"/>
      <c r="G344" s="2"/>
      <c r="H344" s="2"/>
      <c r="I344" s="2"/>
      <c r="J344" s="2"/>
      <c r="K344" s="2">
        <f t="shared" si="177"/>
        <v>0</v>
      </c>
      <c r="M344" s="1" t="s">
        <v>84</v>
      </c>
      <c r="N344" s="2"/>
      <c r="O344" s="2"/>
      <c r="P344" s="2"/>
      <c r="Q344" s="2"/>
      <c r="R344" s="2"/>
      <c r="S344" s="2"/>
      <c r="T344" s="2"/>
      <c r="U344" s="2"/>
      <c r="V344" s="2">
        <f t="shared" si="178"/>
        <v>0</v>
      </c>
      <c r="X344" s="1" t="s">
        <v>84</v>
      </c>
      <c r="Y344" s="2">
        <f t="shared" si="169"/>
        <v>0</v>
      </c>
      <c r="Z344" s="2">
        <f t="shared" si="170"/>
        <v>0</v>
      </c>
      <c r="AA344" s="2">
        <f t="shared" si="171"/>
        <v>0</v>
      </c>
      <c r="AB344" s="2">
        <f t="shared" si="172"/>
        <v>0</v>
      </c>
      <c r="AC344" s="2">
        <f t="shared" si="173"/>
        <v>0</v>
      </c>
      <c r="AD344" s="2">
        <f t="shared" si="174"/>
        <v>0</v>
      </c>
      <c r="AE344" s="2">
        <f t="shared" si="175"/>
        <v>0</v>
      </c>
      <c r="AF344" s="2">
        <f t="shared" si="176"/>
        <v>0</v>
      </c>
      <c r="AG344" s="2">
        <f t="shared" si="179"/>
        <v>0</v>
      </c>
    </row>
    <row r="345" spans="2:33" hidden="1" x14ac:dyDescent="0.25">
      <c r="B345" s="1" t="s">
        <v>4</v>
      </c>
      <c r="C345" s="2"/>
      <c r="D345" s="2"/>
      <c r="E345" s="2"/>
      <c r="F345" s="2"/>
      <c r="G345" s="2"/>
      <c r="H345" s="2"/>
      <c r="I345" s="2"/>
      <c r="J345" s="2"/>
      <c r="K345" s="2">
        <f t="shared" si="177"/>
        <v>0</v>
      </c>
      <c r="M345" s="1" t="s">
        <v>4</v>
      </c>
      <c r="N345" s="2"/>
      <c r="O345" s="2"/>
      <c r="P345" s="2"/>
      <c r="Q345" s="2"/>
      <c r="R345" s="2"/>
      <c r="S345" s="2"/>
      <c r="T345" s="2"/>
      <c r="U345" s="2"/>
      <c r="V345" s="2">
        <f t="shared" si="178"/>
        <v>0</v>
      </c>
      <c r="X345" s="1" t="s">
        <v>4</v>
      </c>
      <c r="Y345" s="2">
        <f t="shared" si="169"/>
        <v>0</v>
      </c>
      <c r="Z345" s="2">
        <f t="shared" si="170"/>
        <v>0</v>
      </c>
      <c r="AA345" s="2">
        <f t="shared" si="171"/>
        <v>0</v>
      </c>
      <c r="AB345" s="2">
        <f t="shared" si="172"/>
        <v>0</v>
      </c>
      <c r="AC345" s="2">
        <f t="shared" si="173"/>
        <v>0</v>
      </c>
      <c r="AD345" s="2">
        <f t="shared" si="174"/>
        <v>0</v>
      </c>
      <c r="AE345" s="2">
        <f t="shared" si="175"/>
        <v>0</v>
      </c>
      <c r="AF345" s="2">
        <f t="shared" si="176"/>
        <v>0</v>
      </c>
      <c r="AG345" s="2">
        <f t="shared" si="179"/>
        <v>0</v>
      </c>
    </row>
    <row r="346" spans="2:33" hidden="1" x14ac:dyDescent="0.25">
      <c r="B346" s="1" t="s">
        <v>51</v>
      </c>
      <c r="C346" s="2"/>
      <c r="D346" s="2"/>
      <c r="E346" s="2"/>
      <c r="F346" s="2"/>
      <c r="G346" s="2"/>
      <c r="H346" s="2"/>
      <c r="I346" s="2"/>
      <c r="J346" s="2"/>
      <c r="K346" s="2">
        <f t="shared" si="177"/>
        <v>0</v>
      </c>
      <c r="M346" s="1" t="s">
        <v>51</v>
      </c>
      <c r="N346" s="2"/>
      <c r="O346" s="2"/>
      <c r="P346" s="2"/>
      <c r="Q346" s="2"/>
      <c r="R346" s="2"/>
      <c r="S346" s="2"/>
      <c r="T346" s="2"/>
      <c r="U346" s="2"/>
      <c r="V346" s="2">
        <f t="shared" si="178"/>
        <v>0</v>
      </c>
      <c r="X346" s="1" t="s">
        <v>51</v>
      </c>
      <c r="Y346" s="2">
        <f t="shared" si="169"/>
        <v>0</v>
      </c>
      <c r="Z346" s="2">
        <f t="shared" si="170"/>
        <v>0</v>
      </c>
      <c r="AA346" s="2">
        <f t="shared" si="171"/>
        <v>0</v>
      </c>
      <c r="AB346" s="2">
        <f t="shared" si="172"/>
        <v>0</v>
      </c>
      <c r="AC346" s="2">
        <f t="shared" si="173"/>
        <v>0</v>
      </c>
      <c r="AD346" s="2">
        <f t="shared" si="174"/>
        <v>0</v>
      </c>
      <c r="AE346" s="2">
        <f t="shared" si="175"/>
        <v>0</v>
      </c>
      <c r="AF346" s="2">
        <f t="shared" si="176"/>
        <v>0</v>
      </c>
      <c r="AG346" s="2">
        <f t="shared" si="179"/>
        <v>0</v>
      </c>
    </row>
    <row r="347" spans="2:33" hidden="1" x14ac:dyDescent="0.25">
      <c r="B347" s="1" t="s">
        <v>87</v>
      </c>
      <c r="C347" s="2"/>
      <c r="D347" s="2"/>
      <c r="E347" s="2"/>
      <c r="F347" s="2"/>
      <c r="G347" s="2"/>
      <c r="H347" s="2"/>
      <c r="I347" s="2"/>
      <c r="J347" s="2"/>
      <c r="K347" s="2">
        <f t="shared" si="177"/>
        <v>0</v>
      </c>
      <c r="M347" s="1" t="s">
        <v>87</v>
      </c>
      <c r="N347" s="2"/>
      <c r="O347" s="2"/>
      <c r="P347" s="2"/>
      <c r="Q347" s="2"/>
      <c r="R347" s="2"/>
      <c r="S347" s="2"/>
      <c r="T347" s="2"/>
      <c r="U347" s="2"/>
      <c r="V347" s="2">
        <f t="shared" si="178"/>
        <v>0</v>
      </c>
      <c r="X347" s="1" t="s">
        <v>87</v>
      </c>
      <c r="Y347" s="2">
        <f t="shared" si="169"/>
        <v>0</v>
      </c>
      <c r="Z347" s="2">
        <f t="shared" si="170"/>
        <v>0</v>
      </c>
      <c r="AA347" s="2">
        <f t="shared" si="171"/>
        <v>0</v>
      </c>
      <c r="AB347" s="2">
        <f t="shared" si="172"/>
        <v>0</v>
      </c>
      <c r="AC347" s="2">
        <f t="shared" si="173"/>
        <v>0</v>
      </c>
      <c r="AD347" s="2">
        <f t="shared" si="174"/>
        <v>0</v>
      </c>
      <c r="AE347" s="2">
        <f t="shared" si="175"/>
        <v>0</v>
      </c>
      <c r="AF347" s="2">
        <f t="shared" si="176"/>
        <v>0</v>
      </c>
      <c r="AG347" s="2">
        <f t="shared" si="179"/>
        <v>0</v>
      </c>
    </row>
    <row r="348" spans="2:33" hidden="1" x14ac:dyDescent="0.25">
      <c r="B348" s="1" t="s">
        <v>85</v>
      </c>
      <c r="C348" s="2"/>
      <c r="D348" s="2"/>
      <c r="E348" s="2"/>
      <c r="F348" s="2"/>
      <c r="G348" s="2"/>
      <c r="H348" s="2"/>
      <c r="I348" s="2"/>
      <c r="J348" s="2"/>
      <c r="K348" s="2">
        <f t="shared" si="177"/>
        <v>0</v>
      </c>
      <c r="M348" s="1" t="s">
        <v>85</v>
      </c>
      <c r="N348" s="2"/>
      <c r="O348" s="2"/>
      <c r="P348" s="2"/>
      <c r="Q348" s="2"/>
      <c r="R348" s="2"/>
      <c r="S348" s="2"/>
      <c r="T348" s="2"/>
      <c r="U348" s="2"/>
      <c r="V348" s="2">
        <f t="shared" si="178"/>
        <v>0</v>
      </c>
      <c r="X348" s="1" t="s">
        <v>85</v>
      </c>
      <c r="Y348" s="2">
        <f t="shared" si="169"/>
        <v>0</v>
      </c>
      <c r="Z348" s="2">
        <f t="shared" si="170"/>
        <v>0</v>
      </c>
      <c r="AA348" s="2">
        <f t="shared" si="171"/>
        <v>0</v>
      </c>
      <c r="AB348" s="2">
        <f t="shared" si="172"/>
        <v>0</v>
      </c>
      <c r="AC348" s="2">
        <f t="shared" si="173"/>
        <v>0</v>
      </c>
      <c r="AD348" s="2">
        <f t="shared" si="174"/>
        <v>0</v>
      </c>
      <c r="AE348" s="2">
        <f t="shared" si="175"/>
        <v>0</v>
      </c>
      <c r="AF348" s="2">
        <f t="shared" si="176"/>
        <v>0</v>
      </c>
      <c r="AG348" s="2">
        <f t="shared" si="179"/>
        <v>0</v>
      </c>
    </row>
    <row r="349" spans="2:33" hidden="1" x14ac:dyDescent="0.25">
      <c r="B349" s="1" t="s">
        <v>2</v>
      </c>
      <c r="C349" s="2"/>
      <c r="D349" s="2"/>
      <c r="E349" s="2"/>
      <c r="F349" s="2"/>
      <c r="G349" s="2"/>
      <c r="H349" s="2"/>
      <c r="I349" s="2"/>
      <c r="J349" s="2"/>
      <c r="K349" s="2">
        <f t="shared" si="177"/>
        <v>0</v>
      </c>
      <c r="M349" s="1" t="s">
        <v>2</v>
      </c>
      <c r="N349" s="2"/>
      <c r="O349" s="2"/>
      <c r="P349" s="2"/>
      <c r="Q349" s="2"/>
      <c r="R349" s="2"/>
      <c r="S349" s="2"/>
      <c r="T349" s="2"/>
      <c r="U349" s="2"/>
      <c r="V349" s="2">
        <f t="shared" si="178"/>
        <v>0</v>
      </c>
      <c r="X349" s="1" t="s">
        <v>2</v>
      </c>
      <c r="Y349" s="2">
        <f t="shared" si="169"/>
        <v>0</v>
      </c>
      <c r="Z349" s="2">
        <f t="shared" si="170"/>
        <v>0</v>
      </c>
      <c r="AA349" s="2">
        <f t="shared" si="171"/>
        <v>0</v>
      </c>
      <c r="AB349" s="2">
        <f t="shared" si="172"/>
        <v>0</v>
      </c>
      <c r="AC349" s="2">
        <f t="shared" si="173"/>
        <v>0</v>
      </c>
      <c r="AD349" s="2">
        <f t="shared" si="174"/>
        <v>0</v>
      </c>
      <c r="AE349" s="2">
        <f t="shared" si="175"/>
        <v>0</v>
      </c>
      <c r="AF349" s="2">
        <f t="shared" si="176"/>
        <v>0</v>
      </c>
      <c r="AG349" s="2">
        <f t="shared" si="179"/>
        <v>0</v>
      </c>
    </row>
    <row r="350" spans="2:33" hidden="1" x14ac:dyDescent="0.25">
      <c r="B350" s="1" t="s">
        <v>86</v>
      </c>
      <c r="C350" s="2"/>
      <c r="D350" s="2"/>
      <c r="E350" s="2"/>
      <c r="F350" s="2"/>
      <c r="G350" s="2"/>
      <c r="H350" s="2"/>
      <c r="I350" s="2"/>
      <c r="J350" s="2"/>
      <c r="K350" s="2">
        <f t="shared" si="177"/>
        <v>0</v>
      </c>
      <c r="M350" s="1" t="s">
        <v>86</v>
      </c>
      <c r="N350" s="2"/>
      <c r="O350" s="2"/>
      <c r="P350" s="2"/>
      <c r="Q350" s="2"/>
      <c r="R350" s="2"/>
      <c r="S350" s="2"/>
      <c r="T350" s="2"/>
      <c r="U350" s="2"/>
      <c r="V350" s="2">
        <f t="shared" si="178"/>
        <v>0</v>
      </c>
      <c r="X350" s="1" t="s">
        <v>86</v>
      </c>
      <c r="Y350" s="2">
        <f t="shared" si="169"/>
        <v>0</v>
      </c>
      <c r="Z350" s="2">
        <f t="shared" si="170"/>
        <v>0</v>
      </c>
      <c r="AA350" s="2">
        <f t="shared" si="171"/>
        <v>0</v>
      </c>
      <c r="AB350" s="2">
        <f t="shared" si="172"/>
        <v>0</v>
      </c>
      <c r="AC350" s="2">
        <f t="shared" si="173"/>
        <v>0</v>
      </c>
      <c r="AD350" s="2">
        <f t="shared" si="174"/>
        <v>0</v>
      </c>
      <c r="AE350" s="2">
        <f t="shared" si="175"/>
        <v>0</v>
      </c>
      <c r="AF350" s="2">
        <f t="shared" si="176"/>
        <v>0</v>
      </c>
      <c r="AG350" s="2">
        <f t="shared" si="179"/>
        <v>0</v>
      </c>
    </row>
    <row r="351" spans="2:33" hidden="1" x14ac:dyDescent="0.25">
      <c r="B351" s="1" t="s">
        <v>29</v>
      </c>
      <c r="C351" s="2"/>
      <c r="D351" s="2"/>
      <c r="E351" s="2"/>
      <c r="F351" s="2"/>
      <c r="G351" s="2"/>
      <c r="H351" s="2"/>
      <c r="I351" s="2"/>
      <c r="J351" s="2"/>
      <c r="K351" s="2">
        <f t="shared" si="177"/>
        <v>0</v>
      </c>
      <c r="M351" s="1" t="s">
        <v>29</v>
      </c>
      <c r="N351" s="2"/>
      <c r="O351" s="2"/>
      <c r="P351" s="2"/>
      <c r="Q351" s="2"/>
      <c r="R351" s="2"/>
      <c r="S351" s="2"/>
      <c r="T351" s="2"/>
      <c r="U351" s="2"/>
      <c r="V351" s="2">
        <f t="shared" si="178"/>
        <v>0</v>
      </c>
      <c r="X351" s="1" t="s">
        <v>29</v>
      </c>
      <c r="Y351" s="2">
        <f t="shared" si="169"/>
        <v>0</v>
      </c>
      <c r="Z351" s="2">
        <f t="shared" si="170"/>
        <v>0</v>
      </c>
      <c r="AA351" s="2">
        <f t="shared" si="171"/>
        <v>0</v>
      </c>
      <c r="AB351" s="2">
        <f t="shared" si="172"/>
        <v>0</v>
      </c>
      <c r="AC351" s="2">
        <f t="shared" si="173"/>
        <v>0</v>
      </c>
      <c r="AD351" s="2">
        <f t="shared" si="174"/>
        <v>0</v>
      </c>
      <c r="AE351" s="2">
        <f t="shared" si="175"/>
        <v>0</v>
      </c>
      <c r="AF351" s="2">
        <f t="shared" si="176"/>
        <v>0</v>
      </c>
      <c r="AG351" s="2">
        <f t="shared" si="179"/>
        <v>0</v>
      </c>
    </row>
    <row r="352" spans="2:33" hidden="1" x14ac:dyDescent="0.25">
      <c r="B352" s="1" t="s">
        <v>88</v>
      </c>
      <c r="C352" s="2"/>
      <c r="D352" s="2"/>
      <c r="E352" s="2"/>
      <c r="F352" s="2"/>
      <c r="G352" s="2"/>
      <c r="H352" s="2"/>
      <c r="I352" s="2"/>
      <c r="J352" s="2"/>
      <c r="K352" s="2">
        <f t="shared" si="177"/>
        <v>0</v>
      </c>
      <c r="M352" s="1" t="s">
        <v>88</v>
      </c>
      <c r="N352" s="2"/>
      <c r="O352" s="2"/>
      <c r="P352" s="2"/>
      <c r="Q352" s="2"/>
      <c r="R352" s="2"/>
      <c r="S352" s="2"/>
      <c r="T352" s="2"/>
      <c r="U352" s="2"/>
      <c r="V352" s="2">
        <f t="shared" si="178"/>
        <v>0</v>
      </c>
      <c r="X352" s="1" t="s">
        <v>52</v>
      </c>
      <c r="Y352" s="2">
        <f t="shared" si="169"/>
        <v>0</v>
      </c>
      <c r="Z352" s="2">
        <f t="shared" si="170"/>
        <v>0</v>
      </c>
      <c r="AA352" s="2">
        <f t="shared" si="171"/>
        <v>0</v>
      </c>
      <c r="AB352" s="2">
        <f t="shared" si="172"/>
        <v>0</v>
      </c>
      <c r="AC352" s="2">
        <f t="shared" si="173"/>
        <v>0</v>
      </c>
      <c r="AD352" s="2">
        <f t="shared" si="174"/>
        <v>0</v>
      </c>
      <c r="AE352" s="2">
        <f t="shared" si="175"/>
        <v>0</v>
      </c>
      <c r="AF352" s="2">
        <f t="shared" si="176"/>
        <v>0</v>
      </c>
      <c r="AG352" s="2">
        <f t="shared" si="179"/>
        <v>0</v>
      </c>
    </row>
    <row r="353" spans="2:33" hidden="1" x14ac:dyDescent="0.25">
      <c r="B353" s="1" t="s">
        <v>1098</v>
      </c>
      <c r="C353" s="2"/>
      <c r="D353" s="2"/>
      <c r="E353" s="2"/>
      <c r="F353" s="2"/>
      <c r="G353" s="2"/>
      <c r="H353" s="2"/>
      <c r="I353" s="2"/>
      <c r="J353" s="2"/>
      <c r="K353" s="2">
        <f t="shared" si="177"/>
        <v>0</v>
      </c>
      <c r="M353" s="1" t="s">
        <v>1098</v>
      </c>
      <c r="N353" s="2"/>
      <c r="O353" s="2"/>
      <c r="P353" s="2"/>
      <c r="Q353" s="2"/>
      <c r="R353" s="2"/>
      <c r="S353" s="2"/>
      <c r="T353" s="2"/>
      <c r="U353" s="2"/>
      <c r="V353" s="2">
        <f t="shared" si="178"/>
        <v>0</v>
      </c>
      <c r="X353" s="1" t="s">
        <v>88</v>
      </c>
      <c r="Y353" s="2">
        <f t="shared" si="169"/>
        <v>0</v>
      </c>
      <c r="Z353" s="2">
        <f t="shared" si="170"/>
        <v>0</v>
      </c>
      <c r="AA353" s="2">
        <f t="shared" si="171"/>
        <v>0</v>
      </c>
      <c r="AB353" s="2">
        <f t="shared" si="172"/>
        <v>0</v>
      </c>
      <c r="AC353" s="2">
        <f t="shared" si="173"/>
        <v>0</v>
      </c>
      <c r="AD353" s="2">
        <f t="shared" si="174"/>
        <v>0</v>
      </c>
      <c r="AE353" s="2">
        <f t="shared" si="175"/>
        <v>0</v>
      </c>
      <c r="AF353" s="2">
        <f t="shared" si="176"/>
        <v>0</v>
      </c>
      <c r="AG353" s="2">
        <f t="shared" si="179"/>
        <v>0</v>
      </c>
    </row>
    <row r="354" spans="2:33" hidden="1" x14ac:dyDescent="0.25">
      <c r="B354" s="1" t="s">
        <v>1099</v>
      </c>
      <c r="C354" s="2"/>
      <c r="D354" s="2"/>
      <c r="E354" s="2"/>
      <c r="F354" s="2"/>
      <c r="G354" s="2"/>
      <c r="H354" s="2"/>
      <c r="I354" s="2"/>
      <c r="J354" s="2"/>
      <c r="K354" s="2">
        <f t="shared" si="177"/>
        <v>0</v>
      </c>
      <c r="M354" s="1" t="s">
        <v>1099</v>
      </c>
      <c r="N354" s="2"/>
      <c r="O354" s="2"/>
      <c r="P354" s="2"/>
      <c r="Q354" s="2"/>
      <c r="R354" s="2"/>
      <c r="S354" s="2"/>
      <c r="T354" s="2"/>
      <c r="U354" s="2"/>
      <c r="V354" s="2">
        <f t="shared" si="178"/>
        <v>0</v>
      </c>
      <c r="X354" s="1" t="s">
        <v>1</v>
      </c>
      <c r="Y354" s="2">
        <f t="shared" si="169"/>
        <v>0</v>
      </c>
      <c r="Z354" s="2">
        <f t="shared" si="170"/>
        <v>0</v>
      </c>
      <c r="AA354" s="2">
        <f t="shared" si="171"/>
        <v>0</v>
      </c>
      <c r="AB354" s="2">
        <f t="shared" si="172"/>
        <v>0</v>
      </c>
      <c r="AC354" s="2">
        <f t="shared" si="173"/>
        <v>0</v>
      </c>
      <c r="AD354" s="2">
        <f t="shared" si="174"/>
        <v>0</v>
      </c>
      <c r="AE354" s="2">
        <f t="shared" si="175"/>
        <v>0</v>
      </c>
      <c r="AF354" s="2">
        <f t="shared" si="176"/>
        <v>0</v>
      </c>
      <c r="AG354" s="2">
        <f t="shared" si="179"/>
        <v>0</v>
      </c>
    </row>
    <row r="355" spans="2:33" ht="15.75" hidden="1" thickBot="1" x14ac:dyDescent="0.3">
      <c r="C355" s="70">
        <f>SUM(C335:C354)</f>
        <v>0</v>
      </c>
      <c r="D355" s="70">
        <f t="shared" ref="D355:J355" si="180">SUM(D335:D354)</f>
        <v>0</v>
      </c>
      <c r="E355" s="70">
        <f t="shared" si="180"/>
        <v>0</v>
      </c>
      <c r="F355" s="70">
        <f t="shared" si="180"/>
        <v>0</v>
      </c>
      <c r="G355" s="70">
        <f t="shared" si="180"/>
        <v>0</v>
      </c>
      <c r="H355" s="70">
        <f t="shared" si="180"/>
        <v>0</v>
      </c>
      <c r="I355" s="70">
        <f t="shared" si="180"/>
        <v>0</v>
      </c>
      <c r="J355" s="70">
        <f t="shared" si="180"/>
        <v>0</v>
      </c>
      <c r="K355" s="70">
        <f>SUM(K335:K354)</f>
        <v>0</v>
      </c>
      <c r="N355" s="70">
        <f>SUM(N335:N354)</f>
        <v>0</v>
      </c>
      <c r="O355" s="70">
        <f t="shared" ref="O355:U355" si="181">SUM(O335:O354)</f>
        <v>0</v>
      </c>
      <c r="P355" s="70">
        <f t="shared" si="181"/>
        <v>0</v>
      </c>
      <c r="Q355" s="70">
        <f t="shared" si="181"/>
        <v>0</v>
      </c>
      <c r="R355" s="70">
        <f t="shared" si="181"/>
        <v>0</v>
      </c>
      <c r="S355" s="70">
        <f t="shared" si="181"/>
        <v>0</v>
      </c>
      <c r="T355" s="70">
        <f t="shared" si="181"/>
        <v>0</v>
      </c>
      <c r="U355" s="70">
        <f t="shared" si="181"/>
        <v>0</v>
      </c>
      <c r="V355" s="70">
        <f>SUM(V335:V354)</f>
        <v>0</v>
      </c>
      <c r="Y355" s="70">
        <f>SUM(Y335:Y354)</f>
        <v>0</v>
      </c>
      <c r="Z355" s="70">
        <f t="shared" ref="Z355:AF355" si="182">SUM(Z335:Z354)</f>
        <v>0</v>
      </c>
      <c r="AA355" s="70">
        <f t="shared" si="182"/>
        <v>0</v>
      </c>
      <c r="AB355" s="70">
        <f t="shared" si="182"/>
        <v>0</v>
      </c>
      <c r="AC355" s="70">
        <f t="shared" si="182"/>
        <v>0</v>
      </c>
      <c r="AD355" s="70">
        <f t="shared" si="182"/>
        <v>0</v>
      </c>
      <c r="AE355" s="70">
        <f t="shared" si="182"/>
        <v>0</v>
      </c>
      <c r="AF355" s="70">
        <f t="shared" si="182"/>
        <v>0</v>
      </c>
      <c r="AG355" s="70">
        <f>SUM(AG335:AG354)</f>
        <v>0</v>
      </c>
    </row>
    <row r="356" spans="2:33" hidden="1" x14ac:dyDescent="0.25"/>
    <row r="357" spans="2:33" hidden="1" x14ac:dyDescent="0.25"/>
    <row r="358" spans="2:33" hidden="1" x14ac:dyDescent="0.25">
      <c r="B358" s="72" t="s">
        <v>96</v>
      </c>
      <c r="C358" s="187">
        <f>$C$20</f>
        <v>45199</v>
      </c>
      <c r="D358" s="175"/>
      <c r="E358" s="175"/>
      <c r="F358" s="175"/>
      <c r="G358" s="175"/>
      <c r="H358" s="175"/>
      <c r="I358" s="175"/>
      <c r="J358" s="175"/>
      <c r="K358" s="175"/>
      <c r="M358" s="72" t="s">
        <v>96</v>
      </c>
      <c r="N358" s="193">
        <f>$N$20</f>
        <v>45169</v>
      </c>
      <c r="O358" s="194"/>
      <c r="P358" s="194"/>
      <c r="Q358" s="194"/>
      <c r="R358" s="194"/>
      <c r="S358" s="194"/>
      <c r="T358" s="194"/>
      <c r="U358" s="194"/>
      <c r="V358" s="194"/>
      <c r="Y358" s="175" t="s">
        <v>97</v>
      </c>
      <c r="Z358" s="175"/>
      <c r="AA358" s="175"/>
      <c r="AB358" s="175"/>
      <c r="AC358" s="175"/>
      <c r="AD358" s="175"/>
      <c r="AE358" s="175"/>
      <c r="AF358" s="175"/>
      <c r="AG358" s="175"/>
    </row>
    <row r="359" spans="2:33" hidden="1" x14ac:dyDescent="0.25">
      <c r="B359" s="72" t="s">
        <v>95</v>
      </c>
      <c r="C359" s="175" t="str">
        <f>'Reimbursement Rates &lt;-INPUT'!O7</f>
        <v>Clinic 14</v>
      </c>
      <c r="D359" s="175"/>
      <c r="E359" s="175"/>
      <c r="F359" s="175"/>
      <c r="G359" s="175"/>
      <c r="H359" s="175"/>
      <c r="I359" s="175"/>
      <c r="J359" s="175"/>
      <c r="K359" s="175"/>
      <c r="M359" s="72" t="s">
        <v>95</v>
      </c>
      <c r="N359" s="175" t="str">
        <f>C359</f>
        <v>Clinic 14</v>
      </c>
      <c r="O359" s="175"/>
      <c r="P359" s="175"/>
      <c r="Q359" s="175"/>
      <c r="R359" s="175"/>
      <c r="S359" s="175"/>
      <c r="T359" s="175"/>
      <c r="U359" s="175"/>
      <c r="V359" s="175"/>
      <c r="X359" s="71" t="s">
        <v>95</v>
      </c>
      <c r="Y359" s="175" t="str">
        <f>C359</f>
        <v>Clinic 14</v>
      </c>
      <c r="Z359" s="175"/>
      <c r="AA359" s="175"/>
      <c r="AB359" s="175"/>
      <c r="AC359" s="175"/>
      <c r="AD359" s="175"/>
      <c r="AE359" s="175"/>
      <c r="AF359" s="175"/>
      <c r="AG359" s="175"/>
    </row>
    <row r="360" spans="2:33" hidden="1" x14ac:dyDescent="0.25">
      <c r="B360" s="4" t="s">
        <v>16</v>
      </c>
      <c r="C360" s="5" t="s">
        <v>15</v>
      </c>
      <c r="D360" s="5" t="s">
        <v>14</v>
      </c>
      <c r="E360" s="5" t="s">
        <v>13</v>
      </c>
      <c r="F360" s="5" t="s">
        <v>12</v>
      </c>
      <c r="G360" s="5" t="s">
        <v>93</v>
      </c>
      <c r="H360" s="5" t="s">
        <v>94</v>
      </c>
      <c r="I360" s="5" t="s">
        <v>38</v>
      </c>
      <c r="J360" s="5" t="s">
        <v>9</v>
      </c>
      <c r="K360" s="5" t="s">
        <v>80</v>
      </c>
      <c r="M360" s="4" t="s">
        <v>16</v>
      </c>
      <c r="N360" s="5" t="s">
        <v>15</v>
      </c>
      <c r="O360" s="5" t="s">
        <v>14</v>
      </c>
      <c r="P360" s="5" t="s">
        <v>13</v>
      </c>
      <c r="Q360" s="5" t="s">
        <v>12</v>
      </c>
      <c r="R360" s="5" t="s">
        <v>93</v>
      </c>
      <c r="S360" s="5" t="s">
        <v>94</v>
      </c>
      <c r="T360" s="5" t="s">
        <v>38</v>
      </c>
      <c r="U360" s="5" t="s">
        <v>9</v>
      </c>
      <c r="V360" s="5" t="s">
        <v>80</v>
      </c>
      <c r="X360" s="4" t="s">
        <v>16</v>
      </c>
      <c r="Y360" s="5" t="s">
        <v>15</v>
      </c>
      <c r="Z360" s="5" t="s">
        <v>14</v>
      </c>
      <c r="AA360" s="5" t="s">
        <v>13</v>
      </c>
      <c r="AB360" s="5" t="s">
        <v>12</v>
      </c>
      <c r="AC360" s="5" t="s">
        <v>93</v>
      </c>
      <c r="AD360" s="5" t="s">
        <v>94</v>
      </c>
      <c r="AE360" s="5" t="s">
        <v>38</v>
      </c>
      <c r="AF360" s="5" t="s">
        <v>9</v>
      </c>
      <c r="AG360" s="5" t="s">
        <v>80</v>
      </c>
    </row>
    <row r="361" spans="2:33" hidden="1" x14ac:dyDescent="0.25">
      <c r="B361" s="1" t="s">
        <v>1094</v>
      </c>
      <c r="C361" s="2"/>
      <c r="D361" s="2"/>
      <c r="E361" s="2"/>
      <c r="F361" s="2"/>
      <c r="G361" s="2"/>
      <c r="H361" s="2"/>
      <c r="I361" s="2"/>
      <c r="J361" s="2"/>
      <c r="K361" s="2">
        <f>SUM(C361:J361)</f>
        <v>0</v>
      </c>
      <c r="M361" s="1" t="s">
        <v>1094</v>
      </c>
      <c r="N361" s="2"/>
      <c r="O361" s="2"/>
      <c r="P361" s="2"/>
      <c r="Q361" s="2"/>
      <c r="R361" s="2"/>
      <c r="S361" s="2"/>
      <c r="T361" s="2"/>
      <c r="U361" s="2"/>
      <c r="V361" s="2">
        <f>SUM(N361:U361)</f>
        <v>0</v>
      </c>
      <c r="X361" s="1" t="s">
        <v>49</v>
      </c>
      <c r="Y361" s="2">
        <f t="shared" ref="Y361:Y380" si="183">C361-N361</f>
        <v>0</v>
      </c>
      <c r="Z361" s="2">
        <f t="shared" ref="Z361:Z380" si="184">D361-O361</f>
        <v>0</v>
      </c>
      <c r="AA361" s="2">
        <f t="shared" ref="AA361:AA380" si="185">E361-P361</f>
        <v>0</v>
      </c>
      <c r="AB361" s="2">
        <f t="shared" ref="AB361:AB380" si="186">F361-Q361</f>
        <v>0</v>
      </c>
      <c r="AC361" s="2">
        <f t="shared" ref="AC361:AC380" si="187">G361-R361</f>
        <v>0</v>
      </c>
      <c r="AD361" s="2">
        <f t="shared" ref="AD361:AD380" si="188">H361-S361</f>
        <v>0</v>
      </c>
      <c r="AE361" s="2">
        <f t="shared" ref="AE361:AE380" si="189">I361-T361</f>
        <v>0</v>
      </c>
      <c r="AF361" s="2">
        <f t="shared" ref="AF361:AF380" si="190">J361-U361</f>
        <v>0</v>
      </c>
      <c r="AG361" s="2">
        <f>SUM(Y361:AF361)</f>
        <v>0</v>
      </c>
    </row>
    <row r="362" spans="2:33" hidden="1" x14ac:dyDescent="0.25">
      <c r="B362" s="1" t="s">
        <v>8</v>
      </c>
      <c r="C362" s="2"/>
      <c r="D362" s="2"/>
      <c r="E362" s="2"/>
      <c r="F362" s="2"/>
      <c r="G362" s="2"/>
      <c r="H362" s="2"/>
      <c r="I362" s="2"/>
      <c r="J362" s="2"/>
      <c r="K362" s="2">
        <f t="shared" ref="K362:K380" si="191">SUM(C362:J362)</f>
        <v>0</v>
      </c>
      <c r="M362" s="1" t="s">
        <v>8</v>
      </c>
      <c r="N362" s="2"/>
      <c r="O362" s="2"/>
      <c r="P362" s="2"/>
      <c r="Q362" s="2"/>
      <c r="R362" s="2"/>
      <c r="S362" s="2"/>
      <c r="T362" s="2"/>
      <c r="U362" s="2"/>
      <c r="V362" s="2">
        <f t="shared" ref="V362:V380" si="192">SUM(N362:U362)</f>
        <v>0</v>
      </c>
      <c r="X362" s="1" t="s">
        <v>8</v>
      </c>
      <c r="Y362" s="2">
        <f t="shared" si="183"/>
        <v>0</v>
      </c>
      <c r="Z362" s="2">
        <f t="shared" si="184"/>
        <v>0</v>
      </c>
      <c r="AA362" s="2">
        <f t="shared" si="185"/>
        <v>0</v>
      </c>
      <c r="AB362" s="2">
        <f t="shared" si="186"/>
        <v>0</v>
      </c>
      <c r="AC362" s="2">
        <f t="shared" si="187"/>
        <v>0</v>
      </c>
      <c r="AD362" s="2">
        <f t="shared" si="188"/>
        <v>0</v>
      </c>
      <c r="AE362" s="2">
        <f t="shared" si="189"/>
        <v>0</v>
      </c>
      <c r="AF362" s="2">
        <f t="shared" si="190"/>
        <v>0</v>
      </c>
      <c r="AG362" s="2">
        <f t="shared" ref="AG362:AG380" si="193">SUM(Y362:AF362)</f>
        <v>0</v>
      </c>
    </row>
    <row r="363" spans="2:33" hidden="1" x14ac:dyDescent="0.25">
      <c r="B363" s="1" t="s">
        <v>1095</v>
      </c>
      <c r="C363" s="2"/>
      <c r="D363" s="2"/>
      <c r="E363" s="2"/>
      <c r="F363" s="2"/>
      <c r="G363" s="2"/>
      <c r="H363" s="2"/>
      <c r="I363" s="2"/>
      <c r="J363" s="2"/>
      <c r="K363" s="2">
        <f t="shared" si="191"/>
        <v>0</v>
      </c>
      <c r="M363" s="1" t="s">
        <v>1095</v>
      </c>
      <c r="N363" s="2"/>
      <c r="O363" s="2"/>
      <c r="P363" s="2"/>
      <c r="Q363" s="2"/>
      <c r="R363" s="2"/>
      <c r="S363" s="2"/>
      <c r="T363" s="2"/>
      <c r="U363" s="2"/>
      <c r="V363" s="2">
        <f t="shared" si="192"/>
        <v>0</v>
      </c>
      <c r="X363" s="1" t="s">
        <v>7</v>
      </c>
      <c r="Y363" s="2">
        <f t="shared" si="183"/>
        <v>0</v>
      </c>
      <c r="Z363" s="2">
        <f t="shared" si="184"/>
        <v>0</v>
      </c>
      <c r="AA363" s="2">
        <f t="shared" si="185"/>
        <v>0</v>
      </c>
      <c r="AB363" s="2">
        <f t="shared" si="186"/>
        <v>0</v>
      </c>
      <c r="AC363" s="2">
        <f t="shared" si="187"/>
        <v>0</v>
      </c>
      <c r="AD363" s="2">
        <f t="shared" si="188"/>
        <v>0</v>
      </c>
      <c r="AE363" s="2">
        <f t="shared" si="189"/>
        <v>0</v>
      </c>
      <c r="AF363" s="2">
        <f t="shared" si="190"/>
        <v>0</v>
      </c>
      <c r="AG363" s="2">
        <f t="shared" si="193"/>
        <v>0</v>
      </c>
    </row>
    <row r="364" spans="2:33" hidden="1" x14ac:dyDescent="0.25">
      <c r="B364" s="1" t="s">
        <v>42</v>
      </c>
      <c r="C364" s="2"/>
      <c r="D364" s="2"/>
      <c r="E364" s="2"/>
      <c r="F364" s="2"/>
      <c r="G364" s="2"/>
      <c r="H364" s="2"/>
      <c r="I364" s="2"/>
      <c r="J364" s="2"/>
      <c r="K364" s="2">
        <f t="shared" si="191"/>
        <v>0</v>
      </c>
      <c r="M364" s="1" t="s">
        <v>42</v>
      </c>
      <c r="N364" s="2"/>
      <c r="O364" s="2"/>
      <c r="P364" s="2"/>
      <c r="Q364" s="2"/>
      <c r="R364" s="2"/>
      <c r="S364" s="2"/>
      <c r="T364" s="2"/>
      <c r="U364" s="2"/>
      <c r="V364" s="2">
        <f t="shared" si="192"/>
        <v>0</v>
      </c>
      <c r="X364" s="1" t="s">
        <v>42</v>
      </c>
      <c r="Y364" s="2">
        <f t="shared" si="183"/>
        <v>0</v>
      </c>
      <c r="Z364" s="2">
        <f t="shared" si="184"/>
        <v>0</v>
      </c>
      <c r="AA364" s="2">
        <f t="shared" si="185"/>
        <v>0</v>
      </c>
      <c r="AB364" s="2">
        <f t="shared" si="186"/>
        <v>0</v>
      </c>
      <c r="AC364" s="2">
        <f t="shared" si="187"/>
        <v>0</v>
      </c>
      <c r="AD364" s="2">
        <f t="shared" si="188"/>
        <v>0</v>
      </c>
      <c r="AE364" s="2">
        <f t="shared" si="189"/>
        <v>0</v>
      </c>
      <c r="AF364" s="2">
        <f t="shared" si="190"/>
        <v>0</v>
      </c>
      <c r="AG364" s="2">
        <f t="shared" si="193"/>
        <v>0</v>
      </c>
    </row>
    <row r="365" spans="2:33" hidden="1" x14ac:dyDescent="0.25">
      <c r="B365" s="1" t="s">
        <v>6</v>
      </c>
      <c r="C365" s="2"/>
      <c r="D365" s="2"/>
      <c r="E365" s="2"/>
      <c r="F365" s="2"/>
      <c r="G365" s="2"/>
      <c r="H365" s="2"/>
      <c r="I365" s="2"/>
      <c r="J365" s="2"/>
      <c r="K365" s="2">
        <f t="shared" si="191"/>
        <v>0</v>
      </c>
      <c r="M365" s="1" t="s">
        <v>6</v>
      </c>
      <c r="N365" s="2"/>
      <c r="O365" s="2"/>
      <c r="P365" s="2"/>
      <c r="Q365" s="2"/>
      <c r="R365" s="2"/>
      <c r="S365" s="2"/>
      <c r="T365" s="2"/>
      <c r="U365" s="2"/>
      <c r="V365" s="2">
        <f t="shared" si="192"/>
        <v>0</v>
      </c>
      <c r="X365" s="1" t="s">
        <v>6</v>
      </c>
      <c r="Y365" s="2">
        <f t="shared" si="183"/>
        <v>0</v>
      </c>
      <c r="Z365" s="2">
        <f t="shared" si="184"/>
        <v>0</v>
      </c>
      <c r="AA365" s="2">
        <f t="shared" si="185"/>
        <v>0</v>
      </c>
      <c r="AB365" s="2">
        <f t="shared" si="186"/>
        <v>0</v>
      </c>
      <c r="AC365" s="2">
        <f t="shared" si="187"/>
        <v>0</v>
      </c>
      <c r="AD365" s="2">
        <f t="shared" si="188"/>
        <v>0</v>
      </c>
      <c r="AE365" s="2">
        <f t="shared" si="189"/>
        <v>0</v>
      </c>
      <c r="AF365" s="2">
        <f t="shared" si="190"/>
        <v>0</v>
      </c>
      <c r="AG365" s="2">
        <f t="shared" si="193"/>
        <v>0</v>
      </c>
    </row>
    <row r="366" spans="2:33" hidden="1" x14ac:dyDescent="0.25">
      <c r="B366" s="1" t="s">
        <v>90</v>
      </c>
      <c r="C366" s="2"/>
      <c r="D366" s="2"/>
      <c r="E366" s="2"/>
      <c r="F366" s="2"/>
      <c r="G366" s="2"/>
      <c r="H366" s="2"/>
      <c r="I366" s="2"/>
      <c r="J366" s="2"/>
      <c r="K366" s="2">
        <f t="shared" si="191"/>
        <v>0</v>
      </c>
      <c r="M366" s="1" t="s">
        <v>90</v>
      </c>
      <c r="N366" s="2"/>
      <c r="O366" s="2"/>
      <c r="P366" s="2"/>
      <c r="Q366" s="2"/>
      <c r="R366" s="2"/>
      <c r="S366" s="2"/>
      <c r="T366" s="2"/>
      <c r="U366" s="2"/>
      <c r="V366" s="2">
        <f t="shared" si="192"/>
        <v>0</v>
      </c>
      <c r="X366" s="1" t="s">
        <v>90</v>
      </c>
      <c r="Y366" s="2">
        <f t="shared" si="183"/>
        <v>0</v>
      </c>
      <c r="Z366" s="2">
        <f t="shared" si="184"/>
        <v>0</v>
      </c>
      <c r="AA366" s="2">
        <f t="shared" si="185"/>
        <v>0</v>
      </c>
      <c r="AB366" s="2">
        <f t="shared" si="186"/>
        <v>0</v>
      </c>
      <c r="AC366" s="2">
        <f t="shared" si="187"/>
        <v>0</v>
      </c>
      <c r="AD366" s="2">
        <f t="shared" si="188"/>
        <v>0</v>
      </c>
      <c r="AE366" s="2">
        <f t="shared" si="189"/>
        <v>0</v>
      </c>
      <c r="AF366" s="2">
        <f t="shared" si="190"/>
        <v>0</v>
      </c>
      <c r="AG366" s="2">
        <f t="shared" si="193"/>
        <v>0</v>
      </c>
    </row>
    <row r="367" spans="2:33" hidden="1" x14ac:dyDescent="0.25">
      <c r="B367" s="1" t="s">
        <v>1100</v>
      </c>
      <c r="C367" s="2"/>
      <c r="D367" s="2"/>
      <c r="E367" s="2"/>
      <c r="F367" s="2"/>
      <c r="G367" s="2"/>
      <c r="H367" s="2"/>
      <c r="I367" s="2"/>
      <c r="J367" s="2"/>
      <c r="K367" s="2">
        <f t="shared" si="191"/>
        <v>0</v>
      </c>
      <c r="M367" s="1" t="s">
        <v>1100</v>
      </c>
      <c r="N367" s="2"/>
      <c r="O367" s="2"/>
      <c r="P367" s="2"/>
      <c r="Q367" s="2"/>
      <c r="R367" s="2"/>
      <c r="S367" s="2"/>
      <c r="T367" s="2"/>
      <c r="U367" s="2"/>
      <c r="V367" s="2">
        <f t="shared" si="192"/>
        <v>0</v>
      </c>
      <c r="X367" s="1" t="s">
        <v>50</v>
      </c>
      <c r="Y367" s="2">
        <f t="shared" si="183"/>
        <v>0</v>
      </c>
      <c r="Z367" s="2">
        <f t="shared" si="184"/>
        <v>0</v>
      </c>
      <c r="AA367" s="2">
        <f t="shared" si="185"/>
        <v>0</v>
      </c>
      <c r="AB367" s="2">
        <f t="shared" si="186"/>
        <v>0</v>
      </c>
      <c r="AC367" s="2">
        <f t="shared" si="187"/>
        <v>0</v>
      </c>
      <c r="AD367" s="2">
        <f t="shared" si="188"/>
        <v>0</v>
      </c>
      <c r="AE367" s="2">
        <f t="shared" si="189"/>
        <v>0</v>
      </c>
      <c r="AF367" s="2">
        <f t="shared" si="190"/>
        <v>0</v>
      </c>
      <c r="AG367" s="2">
        <f t="shared" si="193"/>
        <v>0</v>
      </c>
    </row>
    <row r="368" spans="2:33" hidden="1" x14ac:dyDescent="0.25">
      <c r="B368" s="1" t="s">
        <v>89</v>
      </c>
      <c r="C368" s="2"/>
      <c r="D368" s="2"/>
      <c r="E368" s="2"/>
      <c r="F368" s="2"/>
      <c r="G368" s="2"/>
      <c r="H368" s="2"/>
      <c r="I368" s="2"/>
      <c r="J368" s="2"/>
      <c r="K368" s="2">
        <f t="shared" si="191"/>
        <v>0</v>
      </c>
      <c r="M368" s="1" t="s">
        <v>89</v>
      </c>
      <c r="N368" s="2"/>
      <c r="O368" s="2"/>
      <c r="P368" s="2"/>
      <c r="Q368" s="2"/>
      <c r="R368" s="2"/>
      <c r="S368" s="2"/>
      <c r="T368" s="2"/>
      <c r="U368" s="2"/>
      <c r="V368" s="2">
        <f t="shared" si="192"/>
        <v>0</v>
      </c>
      <c r="X368" s="1" t="s">
        <v>89</v>
      </c>
      <c r="Y368" s="2">
        <f t="shared" si="183"/>
        <v>0</v>
      </c>
      <c r="Z368" s="2">
        <f t="shared" si="184"/>
        <v>0</v>
      </c>
      <c r="AA368" s="2">
        <f t="shared" si="185"/>
        <v>0</v>
      </c>
      <c r="AB368" s="2">
        <f t="shared" si="186"/>
        <v>0</v>
      </c>
      <c r="AC368" s="2">
        <f t="shared" si="187"/>
        <v>0</v>
      </c>
      <c r="AD368" s="2">
        <f t="shared" si="188"/>
        <v>0</v>
      </c>
      <c r="AE368" s="2">
        <f t="shared" si="189"/>
        <v>0</v>
      </c>
      <c r="AF368" s="2">
        <f t="shared" si="190"/>
        <v>0</v>
      </c>
      <c r="AG368" s="2">
        <f t="shared" si="193"/>
        <v>0</v>
      </c>
    </row>
    <row r="369" spans="2:33" hidden="1" x14ac:dyDescent="0.25">
      <c r="B369" s="1" t="s">
        <v>5</v>
      </c>
      <c r="C369" s="2"/>
      <c r="D369" s="2"/>
      <c r="E369" s="2"/>
      <c r="F369" s="2"/>
      <c r="G369" s="2"/>
      <c r="H369" s="2"/>
      <c r="I369" s="2"/>
      <c r="J369" s="2"/>
      <c r="K369" s="2">
        <f t="shared" si="191"/>
        <v>0</v>
      </c>
      <c r="M369" s="1" t="s">
        <v>5</v>
      </c>
      <c r="N369" s="2"/>
      <c r="O369" s="2"/>
      <c r="P369" s="2"/>
      <c r="Q369" s="2"/>
      <c r="R369" s="2"/>
      <c r="S369" s="2"/>
      <c r="T369" s="2"/>
      <c r="U369" s="2"/>
      <c r="V369" s="2">
        <f t="shared" si="192"/>
        <v>0</v>
      </c>
      <c r="X369" s="1" t="s">
        <v>5</v>
      </c>
      <c r="Y369" s="2">
        <f t="shared" si="183"/>
        <v>0</v>
      </c>
      <c r="Z369" s="2">
        <f t="shared" si="184"/>
        <v>0</v>
      </c>
      <c r="AA369" s="2">
        <f t="shared" si="185"/>
        <v>0</v>
      </c>
      <c r="AB369" s="2">
        <f t="shared" si="186"/>
        <v>0</v>
      </c>
      <c r="AC369" s="2">
        <f t="shared" si="187"/>
        <v>0</v>
      </c>
      <c r="AD369" s="2">
        <f t="shared" si="188"/>
        <v>0</v>
      </c>
      <c r="AE369" s="2">
        <f t="shared" si="189"/>
        <v>0</v>
      </c>
      <c r="AF369" s="2">
        <f t="shared" si="190"/>
        <v>0</v>
      </c>
      <c r="AG369" s="2">
        <f t="shared" si="193"/>
        <v>0</v>
      </c>
    </row>
    <row r="370" spans="2:33" hidden="1" x14ac:dyDescent="0.25">
      <c r="B370" s="1" t="s">
        <v>84</v>
      </c>
      <c r="C370" s="2"/>
      <c r="D370" s="2"/>
      <c r="E370" s="2"/>
      <c r="F370" s="2"/>
      <c r="G370" s="2"/>
      <c r="H370" s="2"/>
      <c r="I370" s="2"/>
      <c r="J370" s="2"/>
      <c r="K370" s="2">
        <f t="shared" si="191"/>
        <v>0</v>
      </c>
      <c r="M370" s="1" t="s">
        <v>84</v>
      </c>
      <c r="N370" s="2"/>
      <c r="O370" s="2"/>
      <c r="P370" s="2"/>
      <c r="Q370" s="2"/>
      <c r="R370" s="2"/>
      <c r="S370" s="2"/>
      <c r="T370" s="2"/>
      <c r="U370" s="2"/>
      <c r="V370" s="2">
        <f t="shared" si="192"/>
        <v>0</v>
      </c>
      <c r="X370" s="1" t="s">
        <v>84</v>
      </c>
      <c r="Y370" s="2">
        <f t="shared" si="183"/>
        <v>0</v>
      </c>
      <c r="Z370" s="2">
        <f t="shared" si="184"/>
        <v>0</v>
      </c>
      <c r="AA370" s="2">
        <f t="shared" si="185"/>
        <v>0</v>
      </c>
      <c r="AB370" s="2">
        <f t="shared" si="186"/>
        <v>0</v>
      </c>
      <c r="AC370" s="2">
        <f t="shared" si="187"/>
        <v>0</v>
      </c>
      <c r="AD370" s="2">
        <f t="shared" si="188"/>
        <v>0</v>
      </c>
      <c r="AE370" s="2">
        <f t="shared" si="189"/>
        <v>0</v>
      </c>
      <c r="AF370" s="2">
        <f t="shared" si="190"/>
        <v>0</v>
      </c>
      <c r="AG370" s="2">
        <f t="shared" si="193"/>
        <v>0</v>
      </c>
    </row>
    <row r="371" spans="2:33" hidden="1" x14ac:dyDescent="0.25">
      <c r="B371" s="1" t="s">
        <v>4</v>
      </c>
      <c r="C371" s="2"/>
      <c r="D371" s="2"/>
      <c r="E371" s="2"/>
      <c r="F371" s="2"/>
      <c r="G371" s="2"/>
      <c r="H371" s="2"/>
      <c r="I371" s="2"/>
      <c r="J371" s="2"/>
      <c r="K371" s="2">
        <f t="shared" si="191"/>
        <v>0</v>
      </c>
      <c r="M371" s="1" t="s">
        <v>4</v>
      </c>
      <c r="N371" s="2"/>
      <c r="O371" s="2"/>
      <c r="P371" s="2"/>
      <c r="Q371" s="2"/>
      <c r="R371" s="2"/>
      <c r="S371" s="2"/>
      <c r="T371" s="2"/>
      <c r="U371" s="2"/>
      <c r="V371" s="2">
        <f t="shared" si="192"/>
        <v>0</v>
      </c>
      <c r="X371" s="1" t="s">
        <v>4</v>
      </c>
      <c r="Y371" s="2">
        <f t="shared" si="183"/>
        <v>0</v>
      </c>
      <c r="Z371" s="2">
        <f t="shared" si="184"/>
        <v>0</v>
      </c>
      <c r="AA371" s="2">
        <f t="shared" si="185"/>
        <v>0</v>
      </c>
      <c r="AB371" s="2">
        <f t="shared" si="186"/>
        <v>0</v>
      </c>
      <c r="AC371" s="2">
        <f t="shared" si="187"/>
        <v>0</v>
      </c>
      <c r="AD371" s="2">
        <f t="shared" si="188"/>
        <v>0</v>
      </c>
      <c r="AE371" s="2">
        <f t="shared" si="189"/>
        <v>0</v>
      </c>
      <c r="AF371" s="2">
        <f t="shared" si="190"/>
        <v>0</v>
      </c>
      <c r="AG371" s="2">
        <f t="shared" si="193"/>
        <v>0</v>
      </c>
    </row>
    <row r="372" spans="2:33" hidden="1" x14ac:dyDescent="0.25">
      <c r="B372" s="1" t="s">
        <v>51</v>
      </c>
      <c r="C372" s="2"/>
      <c r="D372" s="2"/>
      <c r="E372" s="2"/>
      <c r="F372" s="2"/>
      <c r="G372" s="2"/>
      <c r="H372" s="2"/>
      <c r="I372" s="2"/>
      <c r="J372" s="2"/>
      <c r="K372" s="2">
        <f t="shared" si="191"/>
        <v>0</v>
      </c>
      <c r="M372" s="1" t="s">
        <v>51</v>
      </c>
      <c r="N372" s="2"/>
      <c r="O372" s="2"/>
      <c r="P372" s="2"/>
      <c r="Q372" s="2"/>
      <c r="R372" s="2"/>
      <c r="S372" s="2"/>
      <c r="T372" s="2"/>
      <c r="U372" s="2"/>
      <c r="V372" s="2">
        <f t="shared" si="192"/>
        <v>0</v>
      </c>
      <c r="X372" s="1" t="s">
        <v>51</v>
      </c>
      <c r="Y372" s="2">
        <f t="shared" si="183"/>
        <v>0</v>
      </c>
      <c r="Z372" s="2">
        <f t="shared" si="184"/>
        <v>0</v>
      </c>
      <c r="AA372" s="2">
        <f t="shared" si="185"/>
        <v>0</v>
      </c>
      <c r="AB372" s="2">
        <f t="shared" si="186"/>
        <v>0</v>
      </c>
      <c r="AC372" s="2">
        <f t="shared" si="187"/>
        <v>0</v>
      </c>
      <c r="AD372" s="2">
        <f t="shared" si="188"/>
        <v>0</v>
      </c>
      <c r="AE372" s="2">
        <f t="shared" si="189"/>
        <v>0</v>
      </c>
      <c r="AF372" s="2">
        <f t="shared" si="190"/>
        <v>0</v>
      </c>
      <c r="AG372" s="2">
        <f t="shared" si="193"/>
        <v>0</v>
      </c>
    </row>
    <row r="373" spans="2:33" hidden="1" x14ac:dyDescent="0.25">
      <c r="B373" s="1" t="s">
        <v>87</v>
      </c>
      <c r="C373" s="2"/>
      <c r="D373" s="2"/>
      <c r="E373" s="2"/>
      <c r="F373" s="2"/>
      <c r="G373" s="2"/>
      <c r="H373" s="2"/>
      <c r="I373" s="2"/>
      <c r="J373" s="2"/>
      <c r="K373" s="2">
        <f t="shared" si="191"/>
        <v>0</v>
      </c>
      <c r="M373" s="1" t="s">
        <v>87</v>
      </c>
      <c r="N373" s="2"/>
      <c r="O373" s="2"/>
      <c r="P373" s="2"/>
      <c r="Q373" s="2"/>
      <c r="R373" s="2"/>
      <c r="S373" s="2"/>
      <c r="T373" s="2"/>
      <c r="U373" s="2"/>
      <c r="V373" s="2">
        <f t="shared" si="192"/>
        <v>0</v>
      </c>
      <c r="X373" s="1" t="s">
        <v>87</v>
      </c>
      <c r="Y373" s="2">
        <f t="shared" si="183"/>
        <v>0</v>
      </c>
      <c r="Z373" s="2">
        <f t="shared" si="184"/>
        <v>0</v>
      </c>
      <c r="AA373" s="2">
        <f t="shared" si="185"/>
        <v>0</v>
      </c>
      <c r="AB373" s="2">
        <f t="shared" si="186"/>
        <v>0</v>
      </c>
      <c r="AC373" s="2">
        <f t="shared" si="187"/>
        <v>0</v>
      </c>
      <c r="AD373" s="2">
        <f t="shared" si="188"/>
        <v>0</v>
      </c>
      <c r="AE373" s="2">
        <f t="shared" si="189"/>
        <v>0</v>
      </c>
      <c r="AF373" s="2">
        <f t="shared" si="190"/>
        <v>0</v>
      </c>
      <c r="AG373" s="2">
        <f t="shared" si="193"/>
        <v>0</v>
      </c>
    </row>
    <row r="374" spans="2:33" hidden="1" x14ac:dyDescent="0.25">
      <c r="B374" s="1" t="s">
        <v>85</v>
      </c>
      <c r="C374" s="2"/>
      <c r="D374" s="2"/>
      <c r="E374" s="2"/>
      <c r="F374" s="2"/>
      <c r="G374" s="2"/>
      <c r="H374" s="2"/>
      <c r="I374" s="2"/>
      <c r="J374" s="2"/>
      <c r="K374" s="2">
        <f t="shared" si="191"/>
        <v>0</v>
      </c>
      <c r="M374" s="1" t="s">
        <v>85</v>
      </c>
      <c r="N374" s="2"/>
      <c r="O374" s="2"/>
      <c r="P374" s="2"/>
      <c r="Q374" s="2"/>
      <c r="R374" s="2"/>
      <c r="S374" s="2"/>
      <c r="T374" s="2"/>
      <c r="U374" s="2"/>
      <c r="V374" s="2">
        <f t="shared" si="192"/>
        <v>0</v>
      </c>
      <c r="X374" s="1" t="s">
        <v>85</v>
      </c>
      <c r="Y374" s="2">
        <f t="shared" si="183"/>
        <v>0</v>
      </c>
      <c r="Z374" s="2">
        <f t="shared" si="184"/>
        <v>0</v>
      </c>
      <c r="AA374" s="2">
        <f t="shared" si="185"/>
        <v>0</v>
      </c>
      <c r="AB374" s="2">
        <f t="shared" si="186"/>
        <v>0</v>
      </c>
      <c r="AC374" s="2">
        <f t="shared" si="187"/>
        <v>0</v>
      </c>
      <c r="AD374" s="2">
        <f t="shared" si="188"/>
        <v>0</v>
      </c>
      <c r="AE374" s="2">
        <f t="shared" si="189"/>
        <v>0</v>
      </c>
      <c r="AF374" s="2">
        <f t="shared" si="190"/>
        <v>0</v>
      </c>
      <c r="AG374" s="2">
        <f t="shared" si="193"/>
        <v>0</v>
      </c>
    </row>
    <row r="375" spans="2:33" hidden="1" x14ac:dyDescent="0.25">
      <c r="B375" s="1" t="s">
        <v>2</v>
      </c>
      <c r="C375" s="2"/>
      <c r="D375" s="2"/>
      <c r="E375" s="2"/>
      <c r="F375" s="2"/>
      <c r="G375" s="2"/>
      <c r="H375" s="2"/>
      <c r="I375" s="2"/>
      <c r="J375" s="2"/>
      <c r="K375" s="2">
        <f t="shared" si="191"/>
        <v>0</v>
      </c>
      <c r="M375" s="1" t="s">
        <v>2</v>
      </c>
      <c r="N375" s="2"/>
      <c r="O375" s="2"/>
      <c r="P375" s="2"/>
      <c r="Q375" s="2"/>
      <c r="R375" s="2"/>
      <c r="S375" s="2"/>
      <c r="T375" s="2"/>
      <c r="U375" s="2"/>
      <c r="V375" s="2">
        <f t="shared" si="192"/>
        <v>0</v>
      </c>
      <c r="X375" s="1" t="s">
        <v>2</v>
      </c>
      <c r="Y375" s="2">
        <f t="shared" si="183"/>
        <v>0</v>
      </c>
      <c r="Z375" s="2">
        <f t="shared" si="184"/>
        <v>0</v>
      </c>
      <c r="AA375" s="2">
        <f t="shared" si="185"/>
        <v>0</v>
      </c>
      <c r="AB375" s="2">
        <f t="shared" si="186"/>
        <v>0</v>
      </c>
      <c r="AC375" s="2">
        <f t="shared" si="187"/>
        <v>0</v>
      </c>
      <c r="AD375" s="2">
        <f t="shared" si="188"/>
        <v>0</v>
      </c>
      <c r="AE375" s="2">
        <f t="shared" si="189"/>
        <v>0</v>
      </c>
      <c r="AF375" s="2">
        <f t="shared" si="190"/>
        <v>0</v>
      </c>
      <c r="AG375" s="2">
        <f t="shared" si="193"/>
        <v>0</v>
      </c>
    </row>
    <row r="376" spans="2:33" hidden="1" x14ac:dyDescent="0.25">
      <c r="B376" s="1" t="s">
        <v>86</v>
      </c>
      <c r="C376" s="2"/>
      <c r="D376" s="2"/>
      <c r="E376" s="2"/>
      <c r="F376" s="2"/>
      <c r="G376" s="2"/>
      <c r="H376" s="2"/>
      <c r="I376" s="2"/>
      <c r="J376" s="2"/>
      <c r="K376" s="2">
        <f t="shared" si="191"/>
        <v>0</v>
      </c>
      <c r="M376" s="1" t="s">
        <v>86</v>
      </c>
      <c r="N376" s="2"/>
      <c r="O376" s="2"/>
      <c r="P376" s="2"/>
      <c r="Q376" s="2"/>
      <c r="R376" s="2"/>
      <c r="S376" s="2"/>
      <c r="T376" s="2"/>
      <c r="U376" s="2"/>
      <c r="V376" s="2">
        <f t="shared" si="192"/>
        <v>0</v>
      </c>
      <c r="X376" s="1" t="s">
        <v>86</v>
      </c>
      <c r="Y376" s="2">
        <f t="shared" si="183"/>
        <v>0</v>
      </c>
      <c r="Z376" s="2">
        <f t="shared" si="184"/>
        <v>0</v>
      </c>
      <c r="AA376" s="2">
        <f t="shared" si="185"/>
        <v>0</v>
      </c>
      <c r="AB376" s="2">
        <f t="shared" si="186"/>
        <v>0</v>
      </c>
      <c r="AC376" s="2">
        <f t="shared" si="187"/>
        <v>0</v>
      </c>
      <c r="AD376" s="2">
        <f t="shared" si="188"/>
        <v>0</v>
      </c>
      <c r="AE376" s="2">
        <f t="shared" si="189"/>
        <v>0</v>
      </c>
      <c r="AF376" s="2">
        <f t="shared" si="190"/>
        <v>0</v>
      </c>
      <c r="AG376" s="2">
        <f t="shared" si="193"/>
        <v>0</v>
      </c>
    </row>
    <row r="377" spans="2:33" hidden="1" x14ac:dyDescent="0.25">
      <c r="B377" s="1" t="s">
        <v>29</v>
      </c>
      <c r="C377" s="2"/>
      <c r="D377" s="2"/>
      <c r="E377" s="2"/>
      <c r="F377" s="2"/>
      <c r="G377" s="2"/>
      <c r="H377" s="2"/>
      <c r="I377" s="2"/>
      <c r="J377" s="2"/>
      <c r="K377" s="2">
        <f t="shared" si="191"/>
        <v>0</v>
      </c>
      <c r="M377" s="1" t="s">
        <v>29</v>
      </c>
      <c r="N377" s="2"/>
      <c r="O377" s="2"/>
      <c r="P377" s="2"/>
      <c r="Q377" s="2"/>
      <c r="R377" s="2"/>
      <c r="S377" s="2"/>
      <c r="T377" s="2"/>
      <c r="U377" s="2"/>
      <c r="V377" s="2">
        <f t="shared" si="192"/>
        <v>0</v>
      </c>
      <c r="X377" s="1" t="s">
        <v>29</v>
      </c>
      <c r="Y377" s="2">
        <f t="shared" si="183"/>
        <v>0</v>
      </c>
      <c r="Z377" s="2">
        <f t="shared" si="184"/>
        <v>0</v>
      </c>
      <c r="AA377" s="2">
        <f t="shared" si="185"/>
        <v>0</v>
      </c>
      <c r="AB377" s="2">
        <f t="shared" si="186"/>
        <v>0</v>
      </c>
      <c r="AC377" s="2">
        <f t="shared" si="187"/>
        <v>0</v>
      </c>
      <c r="AD377" s="2">
        <f t="shared" si="188"/>
        <v>0</v>
      </c>
      <c r="AE377" s="2">
        <f t="shared" si="189"/>
        <v>0</v>
      </c>
      <c r="AF377" s="2">
        <f t="shared" si="190"/>
        <v>0</v>
      </c>
      <c r="AG377" s="2">
        <f t="shared" si="193"/>
        <v>0</v>
      </c>
    </row>
    <row r="378" spans="2:33" hidden="1" x14ac:dyDescent="0.25">
      <c r="B378" s="1" t="s">
        <v>88</v>
      </c>
      <c r="C378" s="2"/>
      <c r="D378" s="2"/>
      <c r="E378" s="2"/>
      <c r="F378" s="2"/>
      <c r="G378" s="2"/>
      <c r="H378" s="2"/>
      <c r="I378" s="2"/>
      <c r="J378" s="2"/>
      <c r="K378" s="2">
        <f t="shared" si="191"/>
        <v>0</v>
      </c>
      <c r="M378" s="1" t="s">
        <v>88</v>
      </c>
      <c r="N378" s="2"/>
      <c r="O378" s="2"/>
      <c r="P378" s="2"/>
      <c r="Q378" s="2"/>
      <c r="R378" s="2"/>
      <c r="S378" s="2"/>
      <c r="T378" s="2"/>
      <c r="U378" s="2"/>
      <c r="V378" s="2">
        <f t="shared" si="192"/>
        <v>0</v>
      </c>
      <c r="X378" s="1" t="s">
        <v>52</v>
      </c>
      <c r="Y378" s="2">
        <f t="shared" si="183"/>
        <v>0</v>
      </c>
      <c r="Z378" s="2">
        <f t="shared" si="184"/>
        <v>0</v>
      </c>
      <c r="AA378" s="2">
        <f t="shared" si="185"/>
        <v>0</v>
      </c>
      <c r="AB378" s="2">
        <f t="shared" si="186"/>
        <v>0</v>
      </c>
      <c r="AC378" s="2">
        <f t="shared" si="187"/>
        <v>0</v>
      </c>
      <c r="AD378" s="2">
        <f t="shared" si="188"/>
        <v>0</v>
      </c>
      <c r="AE378" s="2">
        <f t="shared" si="189"/>
        <v>0</v>
      </c>
      <c r="AF378" s="2">
        <f t="shared" si="190"/>
        <v>0</v>
      </c>
      <c r="AG378" s="2">
        <f t="shared" si="193"/>
        <v>0</v>
      </c>
    </row>
    <row r="379" spans="2:33" hidden="1" x14ac:dyDescent="0.25">
      <c r="B379" s="1" t="s">
        <v>1098</v>
      </c>
      <c r="C379" s="2"/>
      <c r="D379" s="2"/>
      <c r="E379" s="2"/>
      <c r="F379" s="2"/>
      <c r="G379" s="2"/>
      <c r="H379" s="2"/>
      <c r="I379" s="2"/>
      <c r="J379" s="2"/>
      <c r="K379" s="2">
        <f t="shared" si="191"/>
        <v>0</v>
      </c>
      <c r="M379" s="1" t="s">
        <v>1098</v>
      </c>
      <c r="N379" s="2"/>
      <c r="O379" s="2"/>
      <c r="P379" s="2"/>
      <c r="Q379" s="2"/>
      <c r="R379" s="2"/>
      <c r="S379" s="2"/>
      <c r="T379" s="2"/>
      <c r="U379" s="2"/>
      <c r="V379" s="2">
        <f t="shared" si="192"/>
        <v>0</v>
      </c>
      <c r="X379" s="1" t="s">
        <v>88</v>
      </c>
      <c r="Y379" s="2">
        <f t="shared" si="183"/>
        <v>0</v>
      </c>
      <c r="Z379" s="2">
        <f t="shared" si="184"/>
        <v>0</v>
      </c>
      <c r="AA379" s="2">
        <f t="shared" si="185"/>
        <v>0</v>
      </c>
      <c r="AB379" s="2">
        <f t="shared" si="186"/>
        <v>0</v>
      </c>
      <c r="AC379" s="2">
        <f t="shared" si="187"/>
        <v>0</v>
      </c>
      <c r="AD379" s="2">
        <f t="shared" si="188"/>
        <v>0</v>
      </c>
      <c r="AE379" s="2">
        <f t="shared" si="189"/>
        <v>0</v>
      </c>
      <c r="AF379" s="2">
        <f t="shared" si="190"/>
        <v>0</v>
      </c>
      <c r="AG379" s="2">
        <f t="shared" si="193"/>
        <v>0</v>
      </c>
    </row>
    <row r="380" spans="2:33" hidden="1" x14ac:dyDescent="0.25">
      <c r="B380" s="1" t="s">
        <v>1099</v>
      </c>
      <c r="C380" s="2"/>
      <c r="D380" s="2"/>
      <c r="E380" s="2"/>
      <c r="F380" s="2"/>
      <c r="G380" s="2"/>
      <c r="H380" s="2"/>
      <c r="I380" s="2"/>
      <c r="J380" s="2"/>
      <c r="K380" s="2">
        <f t="shared" si="191"/>
        <v>0</v>
      </c>
      <c r="M380" s="1" t="s">
        <v>1099</v>
      </c>
      <c r="N380" s="2"/>
      <c r="O380" s="2"/>
      <c r="P380" s="2"/>
      <c r="Q380" s="2"/>
      <c r="R380" s="2"/>
      <c r="S380" s="2"/>
      <c r="T380" s="2"/>
      <c r="U380" s="2"/>
      <c r="V380" s="2">
        <f t="shared" si="192"/>
        <v>0</v>
      </c>
      <c r="X380" s="1" t="s">
        <v>1</v>
      </c>
      <c r="Y380" s="2">
        <f t="shared" si="183"/>
        <v>0</v>
      </c>
      <c r="Z380" s="2">
        <f t="shared" si="184"/>
        <v>0</v>
      </c>
      <c r="AA380" s="2">
        <f t="shared" si="185"/>
        <v>0</v>
      </c>
      <c r="AB380" s="2">
        <f t="shared" si="186"/>
        <v>0</v>
      </c>
      <c r="AC380" s="2">
        <f t="shared" si="187"/>
        <v>0</v>
      </c>
      <c r="AD380" s="2">
        <f t="shared" si="188"/>
        <v>0</v>
      </c>
      <c r="AE380" s="2">
        <f t="shared" si="189"/>
        <v>0</v>
      </c>
      <c r="AF380" s="2">
        <f t="shared" si="190"/>
        <v>0</v>
      </c>
      <c r="AG380" s="2">
        <f t="shared" si="193"/>
        <v>0</v>
      </c>
    </row>
    <row r="381" spans="2:33" ht="15.75" hidden="1" thickBot="1" x14ac:dyDescent="0.3">
      <c r="C381" s="70">
        <f>SUM(C361:C380)</f>
        <v>0</v>
      </c>
      <c r="D381" s="70">
        <f t="shared" ref="D381:J381" si="194">SUM(D361:D380)</f>
        <v>0</v>
      </c>
      <c r="E381" s="70">
        <f t="shared" si="194"/>
        <v>0</v>
      </c>
      <c r="F381" s="70">
        <f t="shared" si="194"/>
        <v>0</v>
      </c>
      <c r="G381" s="70">
        <f t="shared" si="194"/>
        <v>0</v>
      </c>
      <c r="H381" s="70">
        <f t="shared" si="194"/>
        <v>0</v>
      </c>
      <c r="I381" s="70">
        <f t="shared" si="194"/>
        <v>0</v>
      </c>
      <c r="J381" s="70">
        <f t="shared" si="194"/>
        <v>0</v>
      </c>
      <c r="K381" s="70">
        <f>SUM(K361:K380)</f>
        <v>0</v>
      </c>
      <c r="N381" s="70">
        <f>SUM(N361:N380)</f>
        <v>0</v>
      </c>
      <c r="O381" s="70">
        <f t="shared" ref="O381:U381" si="195">SUM(O361:O380)</f>
        <v>0</v>
      </c>
      <c r="P381" s="70">
        <f t="shared" si="195"/>
        <v>0</v>
      </c>
      <c r="Q381" s="70">
        <f t="shared" si="195"/>
        <v>0</v>
      </c>
      <c r="R381" s="70">
        <f t="shared" si="195"/>
        <v>0</v>
      </c>
      <c r="S381" s="70">
        <f t="shared" si="195"/>
        <v>0</v>
      </c>
      <c r="T381" s="70">
        <f t="shared" si="195"/>
        <v>0</v>
      </c>
      <c r="U381" s="70">
        <f t="shared" si="195"/>
        <v>0</v>
      </c>
      <c r="V381" s="70">
        <f>SUM(V361:V380)</f>
        <v>0</v>
      </c>
      <c r="Y381" s="70">
        <f>SUM(Y361:Y380)</f>
        <v>0</v>
      </c>
      <c r="Z381" s="70">
        <f t="shared" ref="Z381:AF381" si="196">SUM(Z361:Z380)</f>
        <v>0</v>
      </c>
      <c r="AA381" s="70">
        <f t="shared" si="196"/>
        <v>0</v>
      </c>
      <c r="AB381" s="70">
        <f t="shared" si="196"/>
        <v>0</v>
      </c>
      <c r="AC381" s="70">
        <f t="shared" si="196"/>
        <v>0</v>
      </c>
      <c r="AD381" s="70">
        <f t="shared" si="196"/>
        <v>0</v>
      </c>
      <c r="AE381" s="70">
        <f t="shared" si="196"/>
        <v>0</v>
      </c>
      <c r="AF381" s="70">
        <f t="shared" si="196"/>
        <v>0</v>
      </c>
      <c r="AG381" s="70">
        <f>SUM(AG361:AG380)</f>
        <v>0</v>
      </c>
    </row>
    <row r="382" spans="2:33" hidden="1" x14ac:dyDescent="0.25"/>
    <row r="383" spans="2:33" hidden="1" x14ac:dyDescent="0.25"/>
    <row r="384" spans="2:33" hidden="1" x14ac:dyDescent="0.25">
      <c r="B384" s="72" t="s">
        <v>96</v>
      </c>
      <c r="C384" s="187">
        <f>$C$20</f>
        <v>45199</v>
      </c>
      <c r="D384" s="175"/>
      <c r="E384" s="175"/>
      <c r="F384" s="175"/>
      <c r="G384" s="175"/>
      <c r="H384" s="175"/>
      <c r="I384" s="175"/>
      <c r="J384" s="175"/>
      <c r="K384" s="175"/>
      <c r="M384" s="72" t="s">
        <v>96</v>
      </c>
      <c r="N384" s="193">
        <f>$N$20</f>
        <v>45169</v>
      </c>
      <c r="O384" s="194"/>
      <c r="P384" s="194"/>
      <c r="Q384" s="194"/>
      <c r="R384" s="194"/>
      <c r="S384" s="194"/>
      <c r="T384" s="194"/>
      <c r="U384" s="194"/>
      <c r="V384" s="194"/>
      <c r="Y384" s="175" t="s">
        <v>97</v>
      </c>
      <c r="Z384" s="175"/>
      <c r="AA384" s="175"/>
      <c r="AB384" s="175"/>
      <c r="AC384" s="175"/>
      <c r="AD384" s="175"/>
      <c r="AE384" s="175"/>
      <c r="AF384" s="175"/>
      <c r="AG384" s="175"/>
    </row>
    <row r="385" spans="2:33" hidden="1" x14ac:dyDescent="0.25">
      <c r="B385" s="72" t="s">
        <v>95</v>
      </c>
      <c r="C385" s="175" t="str">
        <f>'Reimbursement Rates &lt;-INPUT'!P7</f>
        <v>Clinic 15</v>
      </c>
      <c r="D385" s="175"/>
      <c r="E385" s="175"/>
      <c r="F385" s="175"/>
      <c r="G385" s="175"/>
      <c r="H385" s="175"/>
      <c r="I385" s="175"/>
      <c r="J385" s="175"/>
      <c r="K385" s="175"/>
      <c r="M385" s="72" t="s">
        <v>95</v>
      </c>
      <c r="N385" s="175" t="str">
        <f>C385</f>
        <v>Clinic 15</v>
      </c>
      <c r="O385" s="175"/>
      <c r="P385" s="175"/>
      <c r="Q385" s="175"/>
      <c r="R385" s="175"/>
      <c r="S385" s="175"/>
      <c r="T385" s="175"/>
      <c r="U385" s="175"/>
      <c r="V385" s="175"/>
      <c r="X385" s="71" t="s">
        <v>95</v>
      </c>
      <c r="Y385" s="175" t="str">
        <f>C385</f>
        <v>Clinic 15</v>
      </c>
      <c r="Z385" s="175"/>
      <c r="AA385" s="175"/>
      <c r="AB385" s="175"/>
      <c r="AC385" s="175"/>
      <c r="AD385" s="175"/>
      <c r="AE385" s="175"/>
      <c r="AF385" s="175"/>
      <c r="AG385" s="175"/>
    </row>
    <row r="386" spans="2:33" hidden="1" x14ac:dyDescent="0.25">
      <c r="B386" s="4" t="s">
        <v>16</v>
      </c>
      <c r="C386" s="5" t="s">
        <v>15</v>
      </c>
      <c r="D386" s="5" t="s">
        <v>14</v>
      </c>
      <c r="E386" s="5" t="s">
        <v>13</v>
      </c>
      <c r="F386" s="5" t="s">
        <v>12</v>
      </c>
      <c r="G386" s="5" t="s">
        <v>93</v>
      </c>
      <c r="H386" s="5" t="s">
        <v>94</v>
      </c>
      <c r="I386" s="5" t="s">
        <v>38</v>
      </c>
      <c r="J386" s="5" t="s">
        <v>9</v>
      </c>
      <c r="K386" s="5" t="s">
        <v>80</v>
      </c>
      <c r="M386" s="4" t="s">
        <v>16</v>
      </c>
      <c r="N386" s="5" t="s">
        <v>15</v>
      </c>
      <c r="O386" s="5" t="s">
        <v>14</v>
      </c>
      <c r="P386" s="5" t="s">
        <v>13</v>
      </c>
      <c r="Q386" s="5" t="s">
        <v>12</v>
      </c>
      <c r="R386" s="5" t="s">
        <v>93</v>
      </c>
      <c r="S386" s="5" t="s">
        <v>94</v>
      </c>
      <c r="T386" s="5" t="s">
        <v>38</v>
      </c>
      <c r="U386" s="5" t="s">
        <v>9</v>
      </c>
      <c r="V386" s="5" t="s">
        <v>80</v>
      </c>
      <c r="X386" s="4" t="s">
        <v>16</v>
      </c>
      <c r="Y386" s="5" t="s">
        <v>15</v>
      </c>
      <c r="Z386" s="5" t="s">
        <v>14</v>
      </c>
      <c r="AA386" s="5" t="s">
        <v>13</v>
      </c>
      <c r="AB386" s="5" t="s">
        <v>12</v>
      </c>
      <c r="AC386" s="5" t="s">
        <v>93</v>
      </c>
      <c r="AD386" s="5" t="s">
        <v>94</v>
      </c>
      <c r="AE386" s="5" t="s">
        <v>38</v>
      </c>
      <c r="AF386" s="5" t="s">
        <v>9</v>
      </c>
      <c r="AG386" s="5" t="s">
        <v>80</v>
      </c>
    </row>
    <row r="387" spans="2:33" hidden="1" x14ac:dyDescent="0.25">
      <c r="B387" s="1" t="s">
        <v>1094</v>
      </c>
      <c r="C387" s="2"/>
      <c r="D387" s="2"/>
      <c r="E387" s="2"/>
      <c r="F387" s="2"/>
      <c r="G387" s="2"/>
      <c r="H387" s="2"/>
      <c r="I387" s="2"/>
      <c r="J387" s="2"/>
      <c r="K387" s="2">
        <f>SUM(C387:J387)</f>
        <v>0</v>
      </c>
      <c r="M387" s="1" t="s">
        <v>1094</v>
      </c>
      <c r="N387" s="2"/>
      <c r="O387" s="2"/>
      <c r="P387" s="2"/>
      <c r="Q387" s="2"/>
      <c r="R387" s="2"/>
      <c r="S387" s="2"/>
      <c r="T387" s="2"/>
      <c r="U387" s="2"/>
      <c r="V387" s="2">
        <f>SUM(N387:U387)</f>
        <v>0</v>
      </c>
      <c r="X387" s="1" t="s">
        <v>49</v>
      </c>
      <c r="Y387" s="2">
        <f t="shared" ref="Y387:Y406" si="197">C387-N387</f>
        <v>0</v>
      </c>
      <c r="Z387" s="2">
        <f t="shared" ref="Z387:Z406" si="198">D387-O387</f>
        <v>0</v>
      </c>
      <c r="AA387" s="2">
        <f t="shared" ref="AA387:AA406" si="199">E387-P387</f>
        <v>0</v>
      </c>
      <c r="AB387" s="2">
        <f t="shared" ref="AB387:AB406" si="200">F387-Q387</f>
        <v>0</v>
      </c>
      <c r="AC387" s="2">
        <f t="shared" ref="AC387:AC406" si="201">G387-R387</f>
        <v>0</v>
      </c>
      <c r="AD387" s="2">
        <f t="shared" ref="AD387:AD406" si="202">H387-S387</f>
        <v>0</v>
      </c>
      <c r="AE387" s="2">
        <f t="shared" ref="AE387:AE406" si="203">I387-T387</f>
        <v>0</v>
      </c>
      <c r="AF387" s="2">
        <f t="shared" ref="AF387:AF406" si="204">J387-U387</f>
        <v>0</v>
      </c>
      <c r="AG387" s="2">
        <f>SUM(Y387:AF387)</f>
        <v>0</v>
      </c>
    </row>
    <row r="388" spans="2:33" hidden="1" x14ac:dyDescent="0.25">
      <c r="B388" s="1" t="s">
        <v>8</v>
      </c>
      <c r="C388" s="2"/>
      <c r="D388" s="2"/>
      <c r="E388" s="2"/>
      <c r="F388" s="2"/>
      <c r="G388" s="2"/>
      <c r="H388" s="2"/>
      <c r="I388" s="2"/>
      <c r="J388" s="2"/>
      <c r="K388" s="2">
        <f t="shared" ref="K388:K406" si="205">SUM(C388:J388)</f>
        <v>0</v>
      </c>
      <c r="M388" s="1" t="s">
        <v>8</v>
      </c>
      <c r="N388" s="2"/>
      <c r="O388" s="2"/>
      <c r="P388" s="2"/>
      <c r="Q388" s="2"/>
      <c r="R388" s="2"/>
      <c r="S388" s="2"/>
      <c r="T388" s="2"/>
      <c r="U388" s="2"/>
      <c r="V388" s="2">
        <f t="shared" ref="V388:V406" si="206">SUM(N388:U388)</f>
        <v>0</v>
      </c>
      <c r="X388" s="1" t="s">
        <v>8</v>
      </c>
      <c r="Y388" s="2">
        <f t="shared" si="197"/>
        <v>0</v>
      </c>
      <c r="Z388" s="2">
        <f t="shared" si="198"/>
        <v>0</v>
      </c>
      <c r="AA388" s="2">
        <f t="shared" si="199"/>
        <v>0</v>
      </c>
      <c r="AB388" s="2">
        <f t="shared" si="200"/>
        <v>0</v>
      </c>
      <c r="AC388" s="2">
        <f t="shared" si="201"/>
        <v>0</v>
      </c>
      <c r="AD388" s="2">
        <f t="shared" si="202"/>
        <v>0</v>
      </c>
      <c r="AE388" s="2">
        <f t="shared" si="203"/>
        <v>0</v>
      </c>
      <c r="AF388" s="2">
        <f t="shared" si="204"/>
        <v>0</v>
      </c>
      <c r="AG388" s="2">
        <f t="shared" ref="AG388:AG406" si="207">SUM(Y388:AF388)</f>
        <v>0</v>
      </c>
    </row>
    <row r="389" spans="2:33" hidden="1" x14ac:dyDescent="0.25">
      <c r="B389" s="1" t="s">
        <v>1095</v>
      </c>
      <c r="C389" s="2"/>
      <c r="D389" s="2"/>
      <c r="E389" s="2"/>
      <c r="F389" s="2"/>
      <c r="G389" s="2"/>
      <c r="H389" s="2"/>
      <c r="I389" s="2"/>
      <c r="J389" s="2"/>
      <c r="K389" s="2">
        <f t="shared" si="205"/>
        <v>0</v>
      </c>
      <c r="M389" s="1" t="s">
        <v>1095</v>
      </c>
      <c r="N389" s="2"/>
      <c r="O389" s="2"/>
      <c r="P389" s="2"/>
      <c r="Q389" s="2"/>
      <c r="R389" s="2"/>
      <c r="S389" s="2"/>
      <c r="T389" s="2"/>
      <c r="U389" s="2"/>
      <c r="V389" s="2">
        <f t="shared" si="206"/>
        <v>0</v>
      </c>
      <c r="X389" s="1" t="s">
        <v>7</v>
      </c>
      <c r="Y389" s="2">
        <f t="shared" si="197"/>
        <v>0</v>
      </c>
      <c r="Z389" s="2">
        <f t="shared" si="198"/>
        <v>0</v>
      </c>
      <c r="AA389" s="2">
        <f t="shared" si="199"/>
        <v>0</v>
      </c>
      <c r="AB389" s="2">
        <f t="shared" si="200"/>
        <v>0</v>
      </c>
      <c r="AC389" s="2">
        <f t="shared" si="201"/>
        <v>0</v>
      </c>
      <c r="AD389" s="2">
        <f t="shared" si="202"/>
        <v>0</v>
      </c>
      <c r="AE389" s="2">
        <f t="shared" si="203"/>
        <v>0</v>
      </c>
      <c r="AF389" s="2">
        <f t="shared" si="204"/>
        <v>0</v>
      </c>
      <c r="AG389" s="2">
        <f t="shared" si="207"/>
        <v>0</v>
      </c>
    </row>
    <row r="390" spans="2:33" hidden="1" x14ac:dyDescent="0.25">
      <c r="B390" s="1" t="s">
        <v>42</v>
      </c>
      <c r="C390" s="2"/>
      <c r="D390" s="2"/>
      <c r="E390" s="2"/>
      <c r="F390" s="2"/>
      <c r="G390" s="2"/>
      <c r="H390" s="2"/>
      <c r="I390" s="2"/>
      <c r="J390" s="2"/>
      <c r="K390" s="2">
        <f t="shared" si="205"/>
        <v>0</v>
      </c>
      <c r="M390" s="1" t="s">
        <v>42</v>
      </c>
      <c r="N390" s="2"/>
      <c r="O390" s="2"/>
      <c r="P390" s="2"/>
      <c r="Q390" s="2"/>
      <c r="R390" s="2"/>
      <c r="S390" s="2"/>
      <c r="T390" s="2"/>
      <c r="U390" s="2"/>
      <c r="V390" s="2">
        <f t="shared" si="206"/>
        <v>0</v>
      </c>
      <c r="X390" s="1" t="s">
        <v>42</v>
      </c>
      <c r="Y390" s="2">
        <f t="shared" si="197"/>
        <v>0</v>
      </c>
      <c r="Z390" s="2">
        <f t="shared" si="198"/>
        <v>0</v>
      </c>
      <c r="AA390" s="2">
        <f t="shared" si="199"/>
        <v>0</v>
      </c>
      <c r="AB390" s="2">
        <f t="shared" si="200"/>
        <v>0</v>
      </c>
      <c r="AC390" s="2">
        <f t="shared" si="201"/>
        <v>0</v>
      </c>
      <c r="AD390" s="2">
        <f t="shared" si="202"/>
        <v>0</v>
      </c>
      <c r="AE390" s="2">
        <f t="shared" si="203"/>
        <v>0</v>
      </c>
      <c r="AF390" s="2">
        <f t="shared" si="204"/>
        <v>0</v>
      </c>
      <c r="AG390" s="2">
        <f t="shared" si="207"/>
        <v>0</v>
      </c>
    </row>
    <row r="391" spans="2:33" hidden="1" x14ac:dyDescent="0.25">
      <c r="B391" s="1" t="s">
        <v>6</v>
      </c>
      <c r="C391" s="2"/>
      <c r="D391" s="2"/>
      <c r="E391" s="2"/>
      <c r="F391" s="2"/>
      <c r="G391" s="2"/>
      <c r="H391" s="2"/>
      <c r="I391" s="2"/>
      <c r="J391" s="2"/>
      <c r="K391" s="2">
        <f t="shared" si="205"/>
        <v>0</v>
      </c>
      <c r="M391" s="1" t="s">
        <v>6</v>
      </c>
      <c r="N391" s="2"/>
      <c r="O391" s="2"/>
      <c r="P391" s="2"/>
      <c r="Q391" s="2"/>
      <c r="R391" s="2"/>
      <c r="S391" s="2"/>
      <c r="T391" s="2"/>
      <c r="U391" s="2"/>
      <c r="V391" s="2">
        <f t="shared" si="206"/>
        <v>0</v>
      </c>
      <c r="X391" s="1" t="s">
        <v>6</v>
      </c>
      <c r="Y391" s="2">
        <f t="shared" si="197"/>
        <v>0</v>
      </c>
      <c r="Z391" s="2">
        <f t="shared" si="198"/>
        <v>0</v>
      </c>
      <c r="AA391" s="2">
        <f t="shared" si="199"/>
        <v>0</v>
      </c>
      <c r="AB391" s="2">
        <f t="shared" si="200"/>
        <v>0</v>
      </c>
      <c r="AC391" s="2">
        <f t="shared" si="201"/>
        <v>0</v>
      </c>
      <c r="AD391" s="2">
        <f t="shared" si="202"/>
        <v>0</v>
      </c>
      <c r="AE391" s="2">
        <f t="shared" si="203"/>
        <v>0</v>
      </c>
      <c r="AF391" s="2">
        <f t="shared" si="204"/>
        <v>0</v>
      </c>
      <c r="AG391" s="2">
        <f t="shared" si="207"/>
        <v>0</v>
      </c>
    </row>
    <row r="392" spans="2:33" hidden="1" x14ac:dyDescent="0.25">
      <c r="B392" s="1" t="s">
        <v>90</v>
      </c>
      <c r="C392" s="2"/>
      <c r="D392" s="2"/>
      <c r="E392" s="2"/>
      <c r="F392" s="2"/>
      <c r="G392" s="2"/>
      <c r="H392" s="2"/>
      <c r="I392" s="2"/>
      <c r="J392" s="2"/>
      <c r="K392" s="2">
        <f t="shared" si="205"/>
        <v>0</v>
      </c>
      <c r="M392" s="1" t="s">
        <v>90</v>
      </c>
      <c r="N392" s="2"/>
      <c r="O392" s="2"/>
      <c r="P392" s="2"/>
      <c r="Q392" s="2"/>
      <c r="R392" s="2"/>
      <c r="S392" s="2"/>
      <c r="T392" s="2"/>
      <c r="U392" s="2"/>
      <c r="V392" s="2">
        <f t="shared" si="206"/>
        <v>0</v>
      </c>
      <c r="X392" s="1" t="s">
        <v>90</v>
      </c>
      <c r="Y392" s="2">
        <f t="shared" si="197"/>
        <v>0</v>
      </c>
      <c r="Z392" s="2">
        <f t="shared" si="198"/>
        <v>0</v>
      </c>
      <c r="AA392" s="2">
        <f t="shared" si="199"/>
        <v>0</v>
      </c>
      <c r="AB392" s="2">
        <f t="shared" si="200"/>
        <v>0</v>
      </c>
      <c r="AC392" s="2">
        <f t="shared" si="201"/>
        <v>0</v>
      </c>
      <c r="AD392" s="2">
        <f t="shared" si="202"/>
        <v>0</v>
      </c>
      <c r="AE392" s="2">
        <f t="shared" si="203"/>
        <v>0</v>
      </c>
      <c r="AF392" s="2">
        <f t="shared" si="204"/>
        <v>0</v>
      </c>
      <c r="AG392" s="2">
        <f t="shared" si="207"/>
        <v>0</v>
      </c>
    </row>
    <row r="393" spans="2:33" hidden="1" x14ac:dyDescent="0.25">
      <c r="B393" s="1" t="s">
        <v>1100</v>
      </c>
      <c r="C393" s="2"/>
      <c r="D393" s="2"/>
      <c r="E393" s="2"/>
      <c r="F393" s="2"/>
      <c r="G393" s="2"/>
      <c r="H393" s="2"/>
      <c r="I393" s="2"/>
      <c r="J393" s="2"/>
      <c r="K393" s="2">
        <f t="shared" si="205"/>
        <v>0</v>
      </c>
      <c r="M393" s="1" t="s">
        <v>1100</v>
      </c>
      <c r="N393" s="2"/>
      <c r="O393" s="2"/>
      <c r="P393" s="2"/>
      <c r="Q393" s="2"/>
      <c r="R393" s="2"/>
      <c r="S393" s="2"/>
      <c r="T393" s="2"/>
      <c r="U393" s="2"/>
      <c r="V393" s="2">
        <f t="shared" si="206"/>
        <v>0</v>
      </c>
      <c r="X393" s="1" t="s">
        <v>50</v>
      </c>
      <c r="Y393" s="2">
        <f t="shared" si="197"/>
        <v>0</v>
      </c>
      <c r="Z393" s="2">
        <f t="shared" si="198"/>
        <v>0</v>
      </c>
      <c r="AA393" s="2">
        <f t="shared" si="199"/>
        <v>0</v>
      </c>
      <c r="AB393" s="2">
        <f t="shared" si="200"/>
        <v>0</v>
      </c>
      <c r="AC393" s="2">
        <f t="shared" si="201"/>
        <v>0</v>
      </c>
      <c r="AD393" s="2">
        <f t="shared" si="202"/>
        <v>0</v>
      </c>
      <c r="AE393" s="2">
        <f t="shared" si="203"/>
        <v>0</v>
      </c>
      <c r="AF393" s="2">
        <f t="shared" si="204"/>
        <v>0</v>
      </c>
      <c r="AG393" s="2">
        <f t="shared" si="207"/>
        <v>0</v>
      </c>
    </row>
    <row r="394" spans="2:33" hidden="1" x14ac:dyDescent="0.25">
      <c r="B394" s="1" t="s">
        <v>89</v>
      </c>
      <c r="C394" s="2"/>
      <c r="D394" s="2"/>
      <c r="E394" s="2"/>
      <c r="F394" s="2"/>
      <c r="G394" s="2"/>
      <c r="H394" s="2"/>
      <c r="I394" s="2"/>
      <c r="J394" s="2"/>
      <c r="K394" s="2">
        <f t="shared" si="205"/>
        <v>0</v>
      </c>
      <c r="M394" s="1" t="s">
        <v>89</v>
      </c>
      <c r="N394" s="2"/>
      <c r="O394" s="2"/>
      <c r="P394" s="2"/>
      <c r="Q394" s="2"/>
      <c r="R394" s="2"/>
      <c r="S394" s="2"/>
      <c r="T394" s="2"/>
      <c r="U394" s="2"/>
      <c r="V394" s="2">
        <f t="shared" si="206"/>
        <v>0</v>
      </c>
      <c r="X394" s="1" t="s">
        <v>89</v>
      </c>
      <c r="Y394" s="2">
        <f t="shared" si="197"/>
        <v>0</v>
      </c>
      <c r="Z394" s="2">
        <f t="shared" si="198"/>
        <v>0</v>
      </c>
      <c r="AA394" s="2">
        <f t="shared" si="199"/>
        <v>0</v>
      </c>
      <c r="AB394" s="2">
        <f t="shared" si="200"/>
        <v>0</v>
      </c>
      <c r="AC394" s="2">
        <f t="shared" si="201"/>
        <v>0</v>
      </c>
      <c r="AD394" s="2">
        <f t="shared" si="202"/>
        <v>0</v>
      </c>
      <c r="AE394" s="2">
        <f t="shared" si="203"/>
        <v>0</v>
      </c>
      <c r="AF394" s="2">
        <f t="shared" si="204"/>
        <v>0</v>
      </c>
      <c r="AG394" s="2">
        <f t="shared" si="207"/>
        <v>0</v>
      </c>
    </row>
    <row r="395" spans="2:33" hidden="1" x14ac:dyDescent="0.25">
      <c r="B395" s="1" t="s">
        <v>5</v>
      </c>
      <c r="C395" s="2"/>
      <c r="D395" s="2"/>
      <c r="E395" s="2"/>
      <c r="F395" s="2"/>
      <c r="G395" s="2"/>
      <c r="H395" s="2"/>
      <c r="I395" s="2"/>
      <c r="J395" s="2"/>
      <c r="K395" s="2">
        <f t="shared" si="205"/>
        <v>0</v>
      </c>
      <c r="M395" s="1" t="s">
        <v>5</v>
      </c>
      <c r="N395" s="2"/>
      <c r="O395" s="2"/>
      <c r="P395" s="2"/>
      <c r="Q395" s="2"/>
      <c r="R395" s="2"/>
      <c r="S395" s="2"/>
      <c r="T395" s="2"/>
      <c r="U395" s="2"/>
      <c r="V395" s="2">
        <f t="shared" si="206"/>
        <v>0</v>
      </c>
      <c r="X395" s="1" t="s">
        <v>5</v>
      </c>
      <c r="Y395" s="2">
        <f t="shared" si="197"/>
        <v>0</v>
      </c>
      <c r="Z395" s="2">
        <f t="shared" si="198"/>
        <v>0</v>
      </c>
      <c r="AA395" s="2">
        <f t="shared" si="199"/>
        <v>0</v>
      </c>
      <c r="AB395" s="2">
        <f t="shared" si="200"/>
        <v>0</v>
      </c>
      <c r="AC395" s="2">
        <f t="shared" si="201"/>
        <v>0</v>
      </c>
      <c r="AD395" s="2">
        <f t="shared" si="202"/>
        <v>0</v>
      </c>
      <c r="AE395" s="2">
        <f t="shared" si="203"/>
        <v>0</v>
      </c>
      <c r="AF395" s="2">
        <f t="shared" si="204"/>
        <v>0</v>
      </c>
      <c r="AG395" s="2">
        <f t="shared" si="207"/>
        <v>0</v>
      </c>
    </row>
    <row r="396" spans="2:33" hidden="1" x14ac:dyDescent="0.25">
      <c r="B396" s="1" t="s">
        <v>84</v>
      </c>
      <c r="C396" s="2"/>
      <c r="D396" s="2"/>
      <c r="E396" s="2"/>
      <c r="F396" s="2"/>
      <c r="G396" s="2"/>
      <c r="H396" s="2"/>
      <c r="I396" s="2"/>
      <c r="J396" s="2"/>
      <c r="K396" s="2">
        <f t="shared" si="205"/>
        <v>0</v>
      </c>
      <c r="M396" s="1" t="s">
        <v>84</v>
      </c>
      <c r="N396" s="2"/>
      <c r="O396" s="2"/>
      <c r="P396" s="2"/>
      <c r="Q396" s="2"/>
      <c r="R396" s="2"/>
      <c r="S396" s="2"/>
      <c r="T396" s="2"/>
      <c r="U396" s="2"/>
      <c r="V396" s="2">
        <f t="shared" si="206"/>
        <v>0</v>
      </c>
      <c r="X396" s="1" t="s">
        <v>84</v>
      </c>
      <c r="Y396" s="2">
        <f t="shared" si="197"/>
        <v>0</v>
      </c>
      <c r="Z396" s="2">
        <f t="shared" si="198"/>
        <v>0</v>
      </c>
      <c r="AA396" s="2">
        <f t="shared" si="199"/>
        <v>0</v>
      </c>
      <c r="AB396" s="2">
        <f t="shared" si="200"/>
        <v>0</v>
      </c>
      <c r="AC396" s="2">
        <f t="shared" si="201"/>
        <v>0</v>
      </c>
      <c r="AD396" s="2">
        <f t="shared" si="202"/>
        <v>0</v>
      </c>
      <c r="AE396" s="2">
        <f t="shared" si="203"/>
        <v>0</v>
      </c>
      <c r="AF396" s="2">
        <f t="shared" si="204"/>
        <v>0</v>
      </c>
      <c r="AG396" s="2">
        <f t="shared" si="207"/>
        <v>0</v>
      </c>
    </row>
    <row r="397" spans="2:33" hidden="1" x14ac:dyDescent="0.25">
      <c r="B397" s="1" t="s">
        <v>4</v>
      </c>
      <c r="C397" s="2"/>
      <c r="D397" s="2"/>
      <c r="E397" s="2"/>
      <c r="F397" s="2"/>
      <c r="G397" s="2"/>
      <c r="H397" s="2"/>
      <c r="I397" s="2"/>
      <c r="J397" s="2"/>
      <c r="K397" s="2">
        <f t="shared" si="205"/>
        <v>0</v>
      </c>
      <c r="M397" s="1" t="s">
        <v>4</v>
      </c>
      <c r="N397" s="2"/>
      <c r="O397" s="2"/>
      <c r="P397" s="2"/>
      <c r="Q397" s="2"/>
      <c r="R397" s="2"/>
      <c r="S397" s="2"/>
      <c r="T397" s="2"/>
      <c r="U397" s="2"/>
      <c r="V397" s="2">
        <f t="shared" si="206"/>
        <v>0</v>
      </c>
      <c r="X397" s="1" t="s">
        <v>4</v>
      </c>
      <c r="Y397" s="2">
        <f t="shared" si="197"/>
        <v>0</v>
      </c>
      <c r="Z397" s="2">
        <f t="shared" si="198"/>
        <v>0</v>
      </c>
      <c r="AA397" s="2">
        <f t="shared" si="199"/>
        <v>0</v>
      </c>
      <c r="AB397" s="2">
        <f t="shared" si="200"/>
        <v>0</v>
      </c>
      <c r="AC397" s="2">
        <f t="shared" si="201"/>
        <v>0</v>
      </c>
      <c r="AD397" s="2">
        <f t="shared" si="202"/>
        <v>0</v>
      </c>
      <c r="AE397" s="2">
        <f t="shared" si="203"/>
        <v>0</v>
      </c>
      <c r="AF397" s="2">
        <f t="shared" si="204"/>
        <v>0</v>
      </c>
      <c r="AG397" s="2">
        <f t="shared" si="207"/>
        <v>0</v>
      </c>
    </row>
    <row r="398" spans="2:33" hidden="1" x14ac:dyDescent="0.25">
      <c r="B398" s="1" t="s">
        <v>51</v>
      </c>
      <c r="C398" s="2"/>
      <c r="D398" s="2"/>
      <c r="E398" s="2"/>
      <c r="F398" s="2"/>
      <c r="G398" s="2"/>
      <c r="H398" s="2"/>
      <c r="I398" s="2"/>
      <c r="J398" s="2"/>
      <c r="K398" s="2">
        <f t="shared" si="205"/>
        <v>0</v>
      </c>
      <c r="M398" s="1" t="s">
        <v>51</v>
      </c>
      <c r="N398" s="2"/>
      <c r="O398" s="2"/>
      <c r="P398" s="2"/>
      <c r="Q398" s="2"/>
      <c r="R398" s="2"/>
      <c r="S398" s="2"/>
      <c r="T398" s="2"/>
      <c r="U398" s="2"/>
      <c r="V398" s="2">
        <f t="shared" si="206"/>
        <v>0</v>
      </c>
      <c r="X398" s="1" t="s">
        <v>51</v>
      </c>
      <c r="Y398" s="2">
        <f t="shared" si="197"/>
        <v>0</v>
      </c>
      <c r="Z398" s="2">
        <f t="shared" si="198"/>
        <v>0</v>
      </c>
      <c r="AA398" s="2">
        <f t="shared" si="199"/>
        <v>0</v>
      </c>
      <c r="AB398" s="2">
        <f t="shared" si="200"/>
        <v>0</v>
      </c>
      <c r="AC398" s="2">
        <f t="shared" si="201"/>
        <v>0</v>
      </c>
      <c r="AD398" s="2">
        <f t="shared" si="202"/>
        <v>0</v>
      </c>
      <c r="AE398" s="2">
        <f t="shared" si="203"/>
        <v>0</v>
      </c>
      <c r="AF398" s="2">
        <f t="shared" si="204"/>
        <v>0</v>
      </c>
      <c r="AG398" s="2">
        <f t="shared" si="207"/>
        <v>0</v>
      </c>
    </row>
    <row r="399" spans="2:33" hidden="1" x14ac:dyDescent="0.25">
      <c r="B399" s="1" t="s">
        <v>87</v>
      </c>
      <c r="C399" s="2"/>
      <c r="D399" s="2"/>
      <c r="E399" s="2"/>
      <c r="F399" s="2"/>
      <c r="G399" s="2"/>
      <c r="H399" s="2"/>
      <c r="I399" s="2"/>
      <c r="J399" s="2"/>
      <c r="K399" s="2">
        <f t="shared" si="205"/>
        <v>0</v>
      </c>
      <c r="M399" s="1" t="s">
        <v>87</v>
      </c>
      <c r="N399" s="2"/>
      <c r="O399" s="2"/>
      <c r="P399" s="2"/>
      <c r="Q399" s="2"/>
      <c r="R399" s="2"/>
      <c r="S399" s="2"/>
      <c r="T399" s="2"/>
      <c r="U399" s="2"/>
      <c r="V399" s="2">
        <f t="shared" si="206"/>
        <v>0</v>
      </c>
      <c r="X399" s="1" t="s">
        <v>87</v>
      </c>
      <c r="Y399" s="2">
        <f t="shared" si="197"/>
        <v>0</v>
      </c>
      <c r="Z399" s="2">
        <f t="shared" si="198"/>
        <v>0</v>
      </c>
      <c r="AA399" s="2">
        <f t="shared" si="199"/>
        <v>0</v>
      </c>
      <c r="AB399" s="2">
        <f t="shared" si="200"/>
        <v>0</v>
      </c>
      <c r="AC399" s="2">
        <f t="shared" si="201"/>
        <v>0</v>
      </c>
      <c r="AD399" s="2">
        <f t="shared" si="202"/>
        <v>0</v>
      </c>
      <c r="AE399" s="2">
        <f t="shared" si="203"/>
        <v>0</v>
      </c>
      <c r="AF399" s="2">
        <f t="shared" si="204"/>
        <v>0</v>
      </c>
      <c r="AG399" s="2">
        <f t="shared" si="207"/>
        <v>0</v>
      </c>
    </row>
    <row r="400" spans="2:33" hidden="1" x14ac:dyDescent="0.25">
      <c r="B400" s="1" t="s">
        <v>85</v>
      </c>
      <c r="C400" s="2"/>
      <c r="D400" s="2"/>
      <c r="E400" s="2"/>
      <c r="F400" s="2"/>
      <c r="G400" s="2"/>
      <c r="H400" s="2"/>
      <c r="I400" s="2"/>
      <c r="J400" s="2"/>
      <c r="K400" s="2">
        <f t="shared" si="205"/>
        <v>0</v>
      </c>
      <c r="M400" s="1" t="s">
        <v>85</v>
      </c>
      <c r="N400" s="2"/>
      <c r="O400" s="2"/>
      <c r="P400" s="2"/>
      <c r="Q400" s="2"/>
      <c r="R400" s="2"/>
      <c r="S400" s="2"/>
      <c r="T400" s="2"/>
      <c r="U400" s="2"/>
      <c r="V400" s="2">
        <f t="shared" si="206"/>
        <v>0</v>
      </c>
      <c r="X400" s="1" t="s">
        <v>85</v>
      </c>
      <c r="Y400" s="2">
        <f t="shared" si="197"/>
        <v>0</v>
      </c>
      <c r="Z400" s="2">
        <f t="shared" si="198"/>
        <v>0</v>
      </c>
      <c r="AA400" s="2">
        <f t="shared" si="199"/>
        <v>0</v>
      </c>
      <c r="AB400" s="2">
        <f t="shared" si="200"/>
        <v>0</v>
      </c>
      <c r="AC400" s="2">
        <f t="shared" si="201"/>
        <v>0</v>
      </c>
      <c r="AD400" s="2">
        <f t="shared" si="202"/>
        <v>0</v>
      </c>
      <c r="AE400" s="2">
        <f t="shared" si="203"/>
        <v>0</v>
      </c>
      <c r="AF400" s="2">
        <f t="shared" si="204"/>
        <v>0</v>
      </c>
      <c r="AG400" s="2">
        <f t="shared" si="207"/>
        <v>0</v>
      </c>
    </row>
    <row r="401" spans="2:33" hidden="1" x14ac:dyDescent="0.25">
      <c r="B401" s="1" t="s">
        <v>2</v>
      </c>
      <c r="C401" s="2"/>
      <c r="D401" s="2"/>
      <c r="E401" s="2"/>
      <c r="F401" s="2"/>
      <c r="G401" s="2"/>
      <c r="H401" s="2"/>
      <c r="I401" s="2"/>
      <c r="J401" s="2"/>
      <c r="K401" s="2">
        <f t="shared" si="205"/>
        <v>0</v>
      </c>
      <c r="M401" s="1" t="s">
        <v>2</v>
      </c>
      <c r="N401" s="2"/>
      <c r="O401" s="2"/>
      <c r="P401" s="2"/>
      <c r="Q401" s="2"/>
      <c r="R401" s="2"/>
      <c r="S401" s="2"/>
      <c r="T401" s="2"/>
      <c r="U401" s="2"/>
      <c r="V401" s="2">
        <f t="shared" si="206"/>
        <v>0</v>
      </c>
      <c r="X401" s="1" t="s">
        <v>2</v>
      </c>
      <c r="Y401" s="2">
        <f t="shared" si="197"/>
        <v>0</v>
      </c>
      <c r="Z401" s="2">
        <f t="shared" si="198"/>
        <v>0</v>
      </c>
      <c r="AA401" s="2">
        <f t="shared" si="199"/>
        <v>0</v>
      </c>
      <c r="AB401" s="2">
        <f t="shared" si="200"/>
        <v>0</v>
      </c>
      <c r="AC401" s="2">
        <f t="shared" si="201"/>
        <v>0</v>
      </c>
      <c r="AD401" s="2">
        <f t="shared" si="202"/>
        <v>0</v>
      </c>
      <c r="AE401" s="2">
        <f t="shared" si="203"/>
        <v>0</v>
      </c>
      <c r="AF401" s="2">
        <f t="shared" si="204"/>
        <v>0</v>
      </c>
      <c r="AG401" s="2">
        <f t="shared" si="207"/>
        <v>0</v>
      </c>
    </row>
    <row r="402" spans="2:33" hidden="1" x14ac:dyDescent="0.25">
      <c r="B402" s="1" t="s">
        <v>86</v>
      </c>
      <c r="C402" s="2"/>
      <c r="D402" s="2"/>
      <c r="E402" s="2"/>
      <c r="F402" s="2"/>
      <c r="G402" s="2"/>
      <c r="H402" s="2"/>
      <c r="I402" s="2"/>
      <c r="J402" s="2"/>
      <c r="K402" s="2">
        <f t="shared" si="205"/>
        <v>0</v>
      </c>
      <c r="M402" s="1" t="s">
        <v>86</v>
      </c>
      <c r="N402" s="2"/>
      <c r="O402" s="2"/>
      <c r="P402" s="2"/>
      <c r="Q402" s="2"/>
      <c r="R402" s="2"/>
      <c r="S402" s="2"/>
      <c r="T402" s="2"/>
      <c r="U402" s="2"/>
      <c r="V402" s="2">
        <f t="shared" si="206"/>
        <v>0</v>
      </c>
      <c r="X402" s="1" t="s">
        <v>86</v>
      </c>
      <c r="Y402" s="2">
        <f t="shared" si="197"/>
        <v>0</v>
      </c>
      <c r="Z402" s="2">
        <f t="shared" si="198"/>
        <v>0</v>
      </c>
      <c r="AA402" s="2">
        <f t="shared" si="199"/>
        <v>0</v>
      </c>
      <c r="AB402" s="2">
        <f t="shared" si="200"/>
        <v>0</v>
      </c>
      <c r="AC402" s="2">
        <f t="shared" si="201"/>
        <v>0</v>
      </c>
      <c r="AD402" s="2">
        <f t="shared" si="202"/>
        <v>0</v>
      </c>
      <c r="AE402" s="2">
        <f t="shared" si="203"/>
        <v>0</v>
      </c>
      <c r="AF402" s="2">
        <f t="shared" si="204"/>
        <v>0</v>
      </c>
      <c r="AG402" s="2">
        <f t="shared" si="207"/>
        <v>0</v>
      </c>
    </row>
    <row r="403" spans="2:33" hidden="1" x14ac:dyDescent="0.25">
      <c r="B403" s="1" t="s">
        <v>29</v>
      </c>
      <c r="C403" s="2"/>
      <c r="D403" s="2"/>
      <c r="E403" s="2"/>
      <c r="F403" s="2"/>
      <c r="G403" s="2"/>
      <c r="H403" s="2"/>
      <c r="I403" s="2"/>
      <c r="J403" s="2"/>
      <c r="K403" s="2">
        <f t="shared" si="205"/>
        <v>0</v>
      </c>
      <c r="M403" s="1" t="s">
        <v>29</v>
      </c>
      <c r="N403" s="2"/>
      <c r="O403" s="2"/>
      <c r="P403" s="2"/>
      <c r="Q403" s="2"/>
      <c r="R403" s="2"/>
      <c r="S403" s="2"/>
      <c r="T403" s="2"/>
      <c r="U403" s="2"/>
      <c r="V403" s="2">
        <f t="shared" si="206"/>
        <v>0</v>
      </c>
      <c r="X403" s="1" t="s">
        <v>29</v>
      </c>
      <c r="Y403" s="2">
        <f t="shared" si="197"/>
        <v>0</v>
      </c>
      <c r="Z403" s="2">
        <f t="shared" si="198"/>
        <v>0</v>
      </c>
      <c r="AA403" s="2">
        <f t="shared" si="199"/>
        <v>0</v>
      </c>
      <c r="AB403" s="2">
        <f t="shared" si="200"/>
        <v>0</v>
      </c>
      <c r="AC403" s="2">
        <f t="shared" si="201"/>
        <v>0</v>
      </c>
      <c r="AD403" s="2">
        <f t="shared" si="202"/>
        <v>0</v>
      </c>
      <c r="AE403" s="2">
        <f t="shared" si="203"/>
        <v>0</v>
      </c>
      <c r="AF403" s="2">
        <f t="shared" si="204"/>
        <v>0</v>
      </c>
      <c r="AG403" s="2">
        <f t="shared" si="207"/>
        <v>0</v>
      </c>
    </row>
    <row r="404" spans="2:33" hidden="1" x14ac:dyDescent="0.25">
      <c r="B404" s="1" t="s">
        <v>88</v>
      </c>
      <c r="C404" s="2"/>
      <c r="D404" s="2"/>
      <c r="E404" s="2"/>
      <c r="F404" s="2"/>
      <c r="G404" s="2"/>
      <c r="H404" s="2"/>
      <c r="I404" s="2"/>
      <c r="J404" s="2"/>
      <c r="K404" s="2">
        <f t="shared" si="205"/>
        <v>0</v>
      </c>
      <c r="M404" s="1" t="s">
        <v>88</v>
      </c>
      <c r="N404" s="2"/>
      <c r="O404" s="2"/>
      <c r="P404" s="2"/>
      <c r="Q404" s="2"/>
      <c r="R404" s="2"/>
      <c r="S404" s="2"/>
      <c r="T404" s="2"/>
      <c r="U404" s="2"/>
      <c r="V404" s="2">
        <f t="shared" si="206"/>
        <v>0</v>
      </c>
      <c r="X404" s="1" t="s">
        <v>52</v>
      </c>
      <c r="Y404" s="2">
        <f t="shared" si="197"/>
        <v>0</v>
      </c>
      <c r="Z404" s="2">
        <f t="shared" si="198"/>
        <v>0</v>
      </c>
      <c r="AA404" s="2">
        <f t="shared" si="199"/>
        <v>0</v>
      </c>
      <c r="AB404" s="2">
        <f t="shared" si="200"/>
        <v>0</v>
      </c>
      <c r="AC404" s="2">
        <f t="shared" si="201"/>
        <v>0</v>
      </c>
      <c r="AD404" s="2">
        <f t="shared" si="202"/>
        <v>0</v>
      </c>
      <c r="AE404" s="2">
        <f t="shared" si="203"/>
        <v>0</v>
      </c>
      <c r="AF404" s="2">
        <f t="shared" si="204"/>
        <v>0</v>
      </c>
      <c r="AG404" s="2">
        <f t="shared" si="207"/>
        <v>0</v>
      </c>
    </row>
    <row r="405" spans="2:33" hidden="1" x14ac:dyDescent="0.25">
      <c r="B405" s="1" t="s">
        <v>1098</v>
      </c>
      <c r="C405" s="2"/>
      <c r="D405" s="2"/>
      <c r="E405" s="2"/>
      <c r="F405" s="2"/>
      <c r="G405" s="2"/>
      <c r="H405" s="2"/>
      <c r="I405" s="2"/>
      <c r="J405" s="2"/>
      <c r="K405" s="2">
        <f t="shared" si="205"/>
        <v>0</v>
      </c>
      <c r="M405" s="1" t="s">
        <v>1098</v>
      </c>
      <c r="N405" s="2"/>
      <c r="O405" s="2"/>
      <c r="P405" s="2"/>
      <c r="Q405" s="2"/>
      <c r="R405" s="2"/>
      <c r="S405" s="2"/>
      <c r="T405" s="2"/>
      <c r="U405" s="2"/>
      <c r="V405" s="2">
        <f t="shared" si="206"/>
        <v>0</v>
      </c>
      <c r="X405" s="1" t="s">
        <v>88</v>
      </c>
      <c r="Y405" s="2">
        <f t="shared" si="197"/>
        <v>0</v>
      </c>
      <c r="Z405" s="2">
        <f t="shared" si="198"/>
        <v>0</v>
      </c>
      <c r="AA405" s="2">
        <f t="shared" si="199"/>
        <v>0</v>
      </c>
      <c r="AB405" s="2">
        <f t="shared" si="200"/>
        <v>0</v>
      </c>
      <c r="AC405" s="2">
        <f t="shared" si="201"/>
        <v>0</v>
      </c>
      <c r="AD405" s="2">
        <f t="shared" si="202"/>
        <v>0</v>
      </c>
      <c r="AE405" s="2">
        <f t="shared" si="203"/>
        <v>0</v>
      </c>
      <c r="AF405" s="2">
        <f t="shared" si="204"/>
        <v>0</v>
      </c>
      <c r="AG405" s="2">
        <f t="shared" si="207"/>
        <v>0</v>
      </c>
    </row>
    <row r="406" spans="2:33" hidden="1" x14ac:dyDescent="0.25">
      <c r="B406" s="1" t="s">
        <v>1099</v>
      </c>
      <c r="C406" s="2"/>
      <c r="D406" s="2"/>
      <c r="E406" s="2"/>
      <c r="F406" s="2"/>
      <c r="G406" s="2"/>
      <c r="H406" s="2"/>
      <c r="I406" s="2"/>
      <c r="J406" s="2"/>
      <c r="K406" s="2">
        <f t="shared" si="205"/>
        <v>0</v>
      </c>
      <c r="M406" s="1" t="s">
        <v>1099</v>
      </c>
      <c r="N406" s="2"/>
      <c r="O406" s="2"/>
      <c r="P406" s="2"/>
      <c r="Q406" s="2"/>
      <c r="R406" s="2"/>
      <c r="S406" s="2"/>
      <c r="T406" s="2"/>
      <c r="U406" s="2"/>
      <c r="V406" s="2">
        <f t="shared" si="206"/>
        <v>0</v>
      </c>
      <c r="X406" s="1" t="s">
        <v>1</v>
      </c>
      <c r="Y406" s="2">
        <f t="shared" si="197"/>
        <v>0</v>
      </c>
      <c r="Z406" s="2">
        <f t="shared" si="198"/>
        <v>0</v>
      </c>
      <c r="AA406" s="2">
        <f t="shared" si="199"/>
        <v>0</v>
      </c>
      <c r="AB406" s="2">
        <f t="shared" si="200"/>
        <v>0</v>
      </c>
      <c r="AC406" s="2">
        <f t="shared" si="201"/>
        <v>0</v>
      </c>
      <c r="AD406" s="2">
        <f t="shared" si="202"/>
        <v>0</v>
      </c>
      <c r="AE406" s="2">
        <f t="shared" si="203"/>
        <v>0</v>
      </c>
      <c r="AF406" s="2">
        <f t="shared" si="204"/>
        <v>0</v>
      </c>
      <c r="AG406" s="2">
        <f t="shared" si="207"/>
        <v>0</v>
      </c>
    </row>
    <row r="407" spans="2:33" ht="15.75" hidden="1" thickBot="1" x14ac:dyDescent="0.3">
      <c r="C407" s="70">
        <f>SUM(C387:C406)</f>
        <v>0</v>
      </c>
      <c r="D407" s="70">
        <f t="shared" ref="D407:J407" si="208">SUM(D387:D406)</f>
        <v>0</v>
      </c>
      <c r="E407" s="70">
        <f t="shared" si="208"/>
        <v>0</v>
      </c>
      <c r="F407" s="70">
        <f t="shared" si="208"/>
        <v>0</v>
      </c>
      <c r="G407" s="70">
        <f t="shared" si="208"/>
        <v>0</v>
      </c>
      <c r="H407" s="70">
        <f t="shared" si="208"/>
        <v>0</v>
      </c>
      <c r="I407" s="70">
        <f t="shared" si="208"/>
        <v>0</v>
      </c>
      <c r="J407" s="70">
        <f t="shared" si="208"/>
        <v>0</v>
      </c>
      <c r="K407" s="70">
        <f>SUM(K387:K406)</f>
        <v>0</v>
      </c>
      <c r="N407" s="70">
        <f>SUM(N387:N406)</f>
        <v>0</v>
      </c>
      <c r="O407" s="70">
        <f t="shared" ref="O407:U407" si="209">SUM(O387:O406)</f>
        <v>0</v>
      </c>
      <c r="P407" s="70">
        <f t="shared" si="209"/>
        <v>0</v>
      </c>
      <c r="Q407" s="70">
        <f t="shared" si="209"/>
        <v>0</v>
      </c>
      <c r="R407" s="70">
        <f t="shared" si="209"/>
        <v>0</v>
      </c>
      <c r="S407" s="70">
        <f t="shared" si="209"/>
        <v>0</v>
      </c>
      <c r="T407" s="70">
        <f t="shared" si="209"/>
        <v>0</v>
      </c>
      <c r="U407" s="70">
        <f t="shared" si="209"/>
        <v>0</v>
      </c>
      <c r="V407" s="70">
        <f>SUM(V387:V406)</f>
        <v>0</v>
      </c>
      <c r="Y407" s="70">
        <f>SUM(Y387:Y406)</f>
        <v>0</v>
      </c>
      <c r="Z407" s="70">
        <f t="shared" ref="Z407:AF407" si="210">SUM(Z387:Z406)</f>
        <v>0</v>
      </c>
      <c r="AA407" s="70">
        <f t="shared" si="210"/>
        <v>0</v>
      </c>
      <c r="AB407" s="70">
        <f t="shared" si="210"/>
        <v>0</v>
      </c>
      <c r="AC407" s="70">
        <f t="shared" si="210"/>
        <v>0</v>
      </c>
      <c r="AD407" s="70">
        <f t="shared" si="210"/>
        <v>0</v>
      </c>
      <c r="AE407" s="70">
        <f t="shared" si="210"/>
        <v>0</v>
      </c>
      <c r="AF407" s="70">
        <f t="shared" si="210"/>
        <v>0</v>
      </c>
      <c r="AG407" s="70">
        <f>SUM(AG387:AG406)</f>
        <v>0</v>
      </c>
    </row>
    <row r="410" spans="2:33" x14ac:dyDescent="0.25">
      <c r="B410" s="72" t="s">
        <v>96</v>
      </c>
      <c r="C410" s="187">
        <f>$C$20</f>
        <v>45199</v>
      </c>
      <c r="D410" s="175"/>
      <c r="E410" s="175"/>
      <c r="F410" s="175"/>
      <c r="G410" s="175"/>
      <c r="H410" s="175"/>
      <c r="I410" s="175"/>
      <c r="J410" s="175"/>
      <c r="K410" s="175"/>
      <c r="M410" s="72" t="s">
        <v>96</v>
      </c>
      <c r="N410" s="193">
        <f>$N$20</f>
        <v>45169</v>
      </c>
      <c r="O410" s="194"/>
      <c r="P410" s="194"/>
      <c r="Q410" s="194"/>
      <c r="R410" s="194"/>
      <c r="S410" s="194"/>
      <c r="T410" s="194"/>
      <c r="U410" s="194"/>
      <c r="V410" s="194"/>
      <c r="Y410" s="175" t="s">
        <v>97</v>
      </c>
      <c r="Z410" s="175"/>
      <c r="AA410" s="175"/>
      <c r="AB410" s="175"/>
      <c r="AC410" s="175"/>
      <c r="AD410" s="175"/>
      <c r="AE410" s="175"/>
      <c r="AF410" s="175"/>
      <c r="AG410" s="175"/>
    </row>
    <row r="411" spans="2:33" x14ac:dyDescent="0.25">
      <c r="B411" s="72" t="s">
        <v>95</v>
      </c>
      <c r="C411" s="175" t="s">
        <v>56</v>
      </c>
      <c r="D411" s="175"/>
      <c r="E411" s="175"/>
      <c r="F411" s="175"/>
      <c r="G411" s="175"/>
      <c r="H411" s="175"/>
      <c r="I411" s="175"/>
      <c r="J411" s="175"/>
      <c r="K411" s="175"/>
      <c r="M411" s="72" t="s">
        <v>95</v>
      </c>
      <c r="N411" s="175" t="str">
        <f>C411</f>
        <v>Aggregate</v>
      </c>
      <c r="O411" s="175"/>
      <c r="P411" s="175"/>
      <c r="Q411" s="175"/>
      <c r="R411" s="175"/>
      <c r="S411" s="175"/>
      <c r="T411" s="175"/>
      <c r="U411" s="175"/>
      <c r="V411" s="175"/>
      <c r="X411" s="71" t="s">
        <v>95</v>
      </c>
      <c r="Y411" s="175" t="str">
        <f>C411</f>
        <v>Aggregate</v>
      </c>
      <c r="Z411" s="175"/>
      <c r="AA411" s="175"/>
      <c r="AB411" s="175"/>
      <c r="AC411" s="175"/>
      <c r="AD411" s="175"/>
      <c r="AE411" s="175"/>
      <c r="AF411" s="175"/>
      <c r="AG411" s="175"/>
    </row>
    <row r="412" spans="2:33" x14ac:dyDescent="0.25">
      <c r="B412" s="4" t="s">
        <v>16</v>
      </c>
      <c r="C412" s="5" t="s">
        <v>15</v>
      </c>
      <c r="D412" s="5" t="s">
        <v>14</v>
      </c>
      <c r="E412" s="5" t="s">
        <v>13</v>
      </c>
      <c r="F412" s="5" t="s">
        <v>12</v>
      </c>
      <c r="G412" s="5" t="s">
        <v>93</v>
      </c>
      <c r="H412" s="5" t="s">
        <v>94</v>
      </c>
      <c r="I412" s="5" t="s">
        <v>38</v>
      </c>
      <c r="J412" s="5" t="s">
        <v>9</v>
      </c>
      <c r="K412" s="5" t="s">
        <v>80</v>
      </c>
      <c r="M412" s="4" t="s">
        <v>16</v>
      </c>
      <c r="N412" s="5" t="s">
        <v>15</v>
      </c>
      <c r="O412" s="5" t="s">
        <v>14</v>
      </c>
      <c r="P412" s="5" t="s">
        <v>13</v>
      </c>
      <c r="Q412" s="5" t="s">
        <v>12</v>
      </c>
      <c r="R412" s="5" t="s">
        <v>93</v>
      </c>
      <c r="S412" s="5" t="s">
        <v>94</v>
      </c>
      <c r="T412" s="5" t="s">
        <v>38</v>
      </c>
      <c r="U412" s="5" t="s">
        <v>9</v>
      </c>
      <c r="V412" s="5" t="s">
        <v>80</v>
      </c>
      <c r="X412" s="4" t="s">
        <v>16</v>
      </c>
      <c r="Y412" s="5" t="s">
        <v>15</v>
      </c>
      <c r="Z412" s="5" t="s">
        <v>14</v>
      </c>
      <c r="AA412" s="5" t="s">
        <v>13</v>
      </c>
      <c r="AB412" s="5" t="s">
        <v>12</v>
      </c>
      <c r="AC412" s="5" t="s">
        <v>93</v>
      </c>
      <c r="AD412" s="5" t="s">
        <v>94</v>
      </c>
      <c r="AE412" s="5" t="s">
        <v>38</v>
      </c>
      <c r="AF412" s="5" t="s">
        <v>9</v>
      </c>
      <c r="AG412" s="5" t="s">
        <v>80</v>
      </c>
    </row>
    <row r="413" spans="2:33" x14ac:dyDescent="0.25">
      <c r="B413" s="1" t="s">
        <v>1094</v>
      </c>
      <c r="C413" s="2">
        <f t="shared" ref="C413:J422" si="211">C387+C361+C335+C309+C283+C257+C231+C205+C179+C153+C127+C101+C75+C49+C23</f>
        <v>0</v>
      </c>
      <c r="D413" s="2">
        <f t="shared" si="211"/>
        <v>0</v>
      </c>
      <c r="E413" s="2">
        <f t="shared" si="211"/>
        <v>0</v>
      </c>
      <c r="F413" s="2">
        <f t="shared" si="211"/>
        <v>0</v>
      </c>
      <c r="G413" s="2">
        <f t="shared" si="211"/>
        <v>0</v>
      </c>
      <c r="H413" s="2">
        <f t="shared" si="211"/>
        <v>0</v>
      </c>
      <c r="I413" s="2">
        <f t="shared" si="211"/>
        <v>0</v>
      </c>
      <c r="J413" s="2">
        <f t="shared" si="211"/>
        <v>0</v>
      </c>
      <c r="K413" s="2">
        <f>SUM(C413:J413)</f>
        <v>0</v>
      </c>
      <c r="M413" s="1" t="s">
        <v>1094</v>
      </c>
      <c r="N413" s="2">
        <f t="shared" ref="N413:U422" si="212">N387+N361+N335+N309+N283+N257+N231+N205+N179+N153+N127+N101+N75+N49+N23</f>
        <v>0</v>
      </c>
      <c r="O413" s="2">
        <f t="shared" si="212"/>
        <v>0</v>
      </c>
      <c r="P413" s="2">
        <f t="shared" si="212"/>
        <v>0</v>
      </c>
      <c r="Q413" s="2">
        <f t="shared" si="212"/>
        <v>0</v>
      </c>
      <c r="R413" s="2">
        <f t="shared" si="212"/>
        <v>0</v>
      </c>
      <c r="S413" s="2">
        <f t="shared" si="212"/>
        <v>0</v>
      </c>
      <c r="T413" s="2">
        <f t="shared" si="212"/>
        <v>0</v>
      </c>
      <c r="U413" s="2">
        <f t="shared" si="212"/>
        <v>0</v>
      </c>
      <c r="V413" s="2">
        <f>SUM(N413:U413)</f>
        <v>0</v>
      </c>
      <c r="X413" s="1" t="s">
        <v>1094</v>
      </c>
      <c r="Y413" s="2">
        <f t="shared" ref="Y413:Y432" si="213">C413-N413</f>
        <v>0</v>
      </c>
      <c r="Z413" s="2">
        <f t="shared" ref="Z413:Z432" si="214">D413-O413</f>
        <v>0</v>
      </c>
      <c r="AA413" s="2">
        <f t="shared" ref="AA413:AA432" si="215">E413-P413</f>
        <v>0</v>
      </c>
      <c r="AB413" s="2">
        <f t="shared" ref="AB413:AB432" si="216">F413-Q413</f>
        <v>0</v>
      </c>
      <c r="AC413" s="2">
        <f t="shared" ref="AC413:AC432" si="217">G413-R413</f>
        <v>0</v>
      </c>
      <c r="AD413" s="2">
        <f t="shared" ref="AD413:AD432" si="218">H413-S413</f>
        <v>0</v>
      </c>
      <c r="AE413" s="2">
        <f t="shared" ref="AE413:AE432" si="219">I413-T413</f>
        <v>0</v>
      </c>
      <c r="AF413" s="2">
        <f t="shared" ref="AF413:AF432" si="220">J413-U413</f>
        <v>0</v>
      </c>
      <c r="AG413" s="2">
        <f>SUM(Y413:AF413)</f>
        <v>0</v>
      </c>
    </row>
    <row r="414" spans="2:33" x14ac:dyDescent="0.25">
      <c r="B414" s="1" t="s">
        <v>8</v>
      </c>
      <c r="C414" s="2">
        <f t="shared" si="211"/>
        <v>432</v>
      </c>
      <c r="D414" s="2">
        <f t="shared" si="211"/>
        <v>864</v>
      </c>
      <c r="E414" s="2">
        <f t="shared" si="211"/>
        <v>0</v>
      </c>
      <c r="F414" s="2">
        <f t="shared" si="211"/>
        <v>0</v>
      </c>
      <c r="G414" s="2">
        <f t="shared" si="211"/>
        <v>0</v>
      </c>
      <c r="H414" s="2">
        <f t="shared" si="211"/>
        <v>0</v>
      </c>
      <c r="I414" s="2">
        <f t="shared" si="211"/>
        <v>0</v>
      </c>
      <c r="J414" s="2">
        <f t="shared" si="211"/>
        <v>0</v>
      </c>
      <c r="K414" s="2">
        <f t="shared" ref="K414:K432" si="221">SUM(C414:J414)</f>
        <v>1296</v>
      </c>
      <c r="M414" s="1" t="s">
        <v>8</v>
      </c>
      <c r="N414" s="2">
        <f t="shared" si="212"/>
        <v>864</v>
      </c>
      <c r="O414" s="2">
        <f t="shared" si="212"/>
        <v>0</v>
      </c>
      <c r="P414" s="2">
        <f t="shared" si="212"/>
        <v>0</v>
      </c>
      <c r="Q414" s="2">
        <f t="shared" si="212"/>
        <v>0</v>
      </c>
      <c r="R414" s="2">
        <f t="shared" si="212"/>
        <v>0</v>
      </c>
      <c r="S414" s="2">
        <f t="shared" si="212"/>
        <v>0</v>
      </c>
      <c r="T414" s="2">
        <f t="shared" si="212"/>
        <v>0</v>
      </c>
      <c r="U414" s="2">
        <f t="shared" si="212"/>
        <v>0</v>
      </c>
      <c r="V414" s="2">
        <f t="shared" ref="V414:V432" si="222">SUM(N414:U414)</f>
        <v>864</v>
      </c>
      <c r="X414" s="1" t="s">
        <v>8</v>
      </c>
      <c r="Y414" s="2">
        <f t="shared" si="213"/>
        <v>-432</v>
      </c>
      <c r="Z414" s="2">
        <f t="shared" si="214"/>
        <v>864</v>
      </c>
      <c r="AA414" s="2">
        <f t="shared" si="215"/>
        <v>0</v>
      </c>
      <c r="AB414" s="2">
        <f t="shared" si="216"/>
        <v>0</v>
      </c>
      <c r="AC414" s="2">
        <f t="shared" si="217"/>
        <v>0</v>
      </c>
      <c r="AD414" s="2">
        <f t="shared" si="218"/>
        <v>0</v>
      </c>
      <c r="AE414" s="2">
        <f t="shared" si="219"/>
        <v>0</v>
      </c>
      <c r="AF414" s="2">
        <f t="shared" si="220"/>
        <v>0</v>
      </c>
      <c r="AG414" s="2">
        <f t="shared" ref="AG414:AG432" si="223">SUM(Y414:AF414)</f>
        <v>432</v>
      </c>
    </row>
    <row r="415" spans="2:33" x14ac:dyDescent="0.25">
      <c r="B415" s="1" t="s">
        <v>1095</v>
      </c>
      <c r="C415" s="2">
        <f t="shared" si="211"/>
        <v>6780</v>
      </c>
      <c r="D415" s="2">
        <f t="shared" si="211"/>
        <v>1080</v>
      </c>
      <c r="E415" s="2">
        <f t="shared" si="211"/>
        <v>0</v>
      </c>
      <c r="F415" s="2">
        <f t="shared" si="211"/>
        <v>0</v>
      </c>
      <c r="G415" s="2">
        <f t="shared" si="211"/>
        <v>0</v>
      </c>
      <c r="H415" s="2">
        <f t="shared" si="211"/>
        <v>0</v>
      </c>
      <c r="I415" s="2">
        <f t="shared" si="211"/>
        <v>-28.44</v>
      </c>
      <c r="J415" s="2">
        <f t="shared" si="211"/>
        <v>0</v>
      </c>
      <c r="K415" s="2">
        <f t="shared" si="221"/>
        <v>7831.56</v>
      </c>
      <c r="M415" s="1" t="s">
        <v>1095</v>
      </c>
      <c r="N415" s="2">
        <f t="shared" si="212"/>
        <v>8208</v>
      </c>
      <c r="O415" s="2">
        <f t="shared" si="212"/>
        <v>0</v>
      </c>
      <c r="P415" s="2">
        <f t="shared" si="212"/>
        <v>0</v>
      </c>
      <c r="Q415" s="2">
        <f t="shared" si="212"/>
        <v>0</v>
      </c>
      <c r="R415" s="2">
        <f t="shared" si="212"/>
        <v>0</v>
      </c>
      <c r="S415" s="2">
        <f t="shared" si="212"/>
        <v>0</v>
      </c>
      <c r="T415" s="2">
        <f t="shared" si="212"/>
        <v>-28.44</v>
      </c>
      <c r="U415" s="2">
        <f t="shared" si="212"/>
        <v>0</v>
      </c>
      <c r="V415" s="2">
        <f t="shared" si="222"/>
        <v>8179.56</v>
      </c>
      <c r="X415" s="1" t="s">
        <v>1095</v>
      </c>
      <c r="Y415" s="2">
        <f t="shared" si="213"/>
        <v>-1428</v>
      </c>
      <c r="Z415" s="2">
        <f t="shared" si="214"/>
        <v>1080</v>
      </c>
      <c r="AA415" s="2">
        <f t="shared" si="215"/>
        <v>0</v>
      </c>
      <c r="AB415" s="2">
        <f t="shared" si="216"/>
        <v>0</v>
      </c>
      <c r="AC415" s="2">
        <f t="shared" si="217"/>
        <v>0</v>
      </c>
      <c r="AD415" s="2">
        <f t="shared" si="218"/>
        <v>0</v>
      </c>
      <c r="AE415" s="2">
        <f t="shared" si="219"/>
        <v>0</v>
      </c>
      <c r="AF415" s="2">
        <f t="shared" si="220"/>
        <v>0</v>
      </c>
      <c r="AG415" s="2">
        <f t="shared" si="223"/>
        <v>-348</v>
      </c>
    </row>
    <row r="416" spans="2:33" x14ac:dyDescent="0.25">
      <c r="B416" s="1" t="s">
        <v>42</v>
      </c>
      <c r="C416" s="2">
        <f t="shared" si="211"/>
        <v>0</v>
      </c>
      <c r="D416" s="2">
        <f t="shared" si="211"/>
        <v>0</v>
      </c>
      <c r="E416" s="2">
        <f t="shared" si="211"/>
        <v>0</v>
      </c>
      <c r="F416" s="2">
        <f t="shared" si="211"/>
        <v>0</v>
      </c>
      <c r="G416" s="2">
        <f t="shared" si="211"/>
        <v>0</v>
      </c>
      <c r="H416" s="2">
        <f t="shared" si="211"/>
        <v>0</v>
      </c>
      <c r="I416" s="2">
        <f t="shared" si="211"/>
        <v>0</v>
      </c>
      <c r="J416" s="2">
        <f t="shared" si="211"/>
        <v>0</v>
      </c>
      <c r="K416" s="2">
        <f t="shared" si="221"/>
        <v>0</v>
      </c>
      <c r="M416" s="1" t="s">
        <v>42</v>
      </c>
      <c r="N416" s="2">
        <f t="shared" si="212"/>
        <v>0</v>
      </c>
      <c r="O416" s="2">
        <f t="shared" si="212"/>
        <v>0</v>
      </c>
      <c r="P416" s="2">
        <f t="shared" si="212"/>
        <v>0</v>
      </c>
      <c r="Q416" s="2">
        <f t="shared" si="212"/>
        <v>0</v>
      </c>
      <c r="R416" s="2">
        <f t="shared" si="212"/>
        <v>0</v>
      </c>
      <c r="S416" s="2">
        <f t="shared" si="212"/>
        <v>0</v>
      </c>
      <c r="T416" s="2">
        <f t="shared" si="212"/>
        <v>0</v>
      </c>
      <c r="U416" s="2">
        <f t="shared" si="212"/>
        <v>0</v>
      </c>
      <c r="V416" s="2">
        <f t="shared" si="222"/>
        <v>0</v>
      </c>
      <c r="X416" s="1" t="s">
        <v>42</v>
      </c>
      <c r="Y416" s="2">
        <f t="shared" si="213"/>
        <v>0</v>
      </c>
      <c r="Z416" s="2">
        <f t="shared" si="214"/>
        <v>0</v>
      </c>
      <c r="AA416" s="2">
        <f t="shared" si="215"/>
        <v>0</v>
      </c>
      <c r="AB416" s="2">
        <f t="shared" si="216"/>
        <v>0</v>
      </c>
      <c r="AC416" s="2">
        <f t="shared" si="217"/>
        <v>0</v>
      </c>
      <c r="AD416" s="2">
        <f t="shared" si="218"/>
        <v>0</v>
      </c>
      <c r="AE416" s="2">
        <f t="shared" si="219"/>
        <v>0</v>
      </c>
      <c r="AF416" s="2">
        <f t="shared" si="220"/>
        <v>0</v>
      </c>
      <c r="AG416" s="2">
        <f t="shared" si="223"/>
        <v>0</v>
      </c>
    </row>
    <row r="417" spans="2:33" x14ac:dyDescent="0.25">
      <c r="B417" s="1" t="s">
        <v>6</v>
      </c>
      <c r="C417" s="2">
        <f t="shared" si="211"/>
        <v>432</v>
      </c>
      <c r="D417" s="2">
        <f t="shared" si="211"/>
        <v>0</v>
      </c>
      <c r="E417" s="2">
        <f t="shared" si="211"/>
        <v>0</v>
      </c>
      <c r="F417" s="2">
        <f t="shared" si="211"/>
        <v>0</v>
      </c>
      <c r="G417" s="2">
        <f t="shared" si="211"/>
        <v>0</v>
      </c>
      <c r="H417" s="2">
        <f t="shared" si="211"/>
        <v>0</v>
      </c>
      <c r="I417" s="2">
        <f t="shared" si="211"/>
        <v>0</v>
      </c>
      <c r="J417" s="2">
        <f t="shared" si="211"/>
        <v>0</v>
      </c>
      <c r="K417" s="2">
        <f t="shared" si="221"/>
        <v>432</v>
      </c>
      <c r="M417" s="1" t="s">
        <v>6</v>
      </c>
      <c r="N417" s="2">
        <f t="shared" si="212"/>
        <v>0</v>
      </c>
      <c r="O417" s="2">
        <f t="shared" si="212"/>
        <v>432</v>
      </c>
      <c r="P417" s="2">
        <f t="shared" si="212"/>
        <v>0</v>
      </c>
      <c r="Q417" s="2">
        <f t="shared" si="212"/>
        <v>0</v>
      </c>
      <c r="R417" s="2">
        <f t="shared" si="212"/>
        <v>0</v>
      </c>
      <c r="S417" s="2">
        <f t="shared" si="212"/>
        <v>0</v>
      </c>
      <c r="T417" s="2">
        <f t="shared" si="212"/>
        <v>0</v>
      </c>
      <c r="U417" s="2">
        <f t="shared" si="212"/>
        <v>0</v>
      </c>
      <c r="V417" s="2">
        <f t="shared" si="222"/>
        <v>432</v>
      </c>
      <c r="X417" s="1" t="s">
        <v>6</v>
      </c>
      <c r="Y417" s="2">
        <f t="shared" si="213"/>
        <v>432</v>
      </c>
      <c r="Z417" s="2">
        <f t="shared" si="214"/>
        <v>-432</v>
      </c>
      <c r="AA417" s="2">
        <f t="shared" si="215"/>
        <v>0</v>
      </c>
      <c r="AB417" s="2">
        <f t="shared" si="216"/>
        <v>0</v>
      </c>
      <c r="AC417" s="2">
        <f t="shared" si="217"/>
        <v>0</v>
      </c>
      <c r="AD417" s="2">
        <f t="shared" si="218"/>
        <v>0</v>
      </c>
      <c r="AE417" s="2">
        <f t="shared" si="219"/>
        <v>0</v>
      </c>
      <c r="AF417" s="2">
        <f t="shared" si="220"/>
        <v>0</v>
      </c>
      <c r="AG417" s="2">
        <f t="shared" si="223"/>
        <v>0</v>
      </c>
    </row>
    <row r="418" spans="2:33" x14ac:dyDescent="0.25">
      <c r="B418" s="1" t="s">
        <v>90</v>
      </c>
      <c r="C418" s="2">
        <f t="shared" si="211"/>
        <v>0</v>
      </c>
      <c r="D418" s="2">
        <f t="shared" si="211"/>
        <v>0</v>
      </c>
      <c r="E418" s="2">
        <f t="shared" si="211"/>
        <v>0</v>
      </c>
      <c r="F418" s="2">
        <f t="shared" si="211"/>
        <v>0</v>
      </c>
      <c r="G418" s="2">
        <f t="shared" si="211"/>
        <v>0</v>
      </c>
      <c r="H418" s="2">
        <f t="shared" si="211"/>
        <v>0</v>
      </c>
      <c r="I418" s="2">
        <f t="shared" si="211"/>
        <v>0</v>
      </c>
      <c r="J418" s="2">
        <f t="shared" si="211"/>
        <v>-35</v>
      </c>
      <c r="K418" s="2">
        <f t="shared" si="221"/>
        <v>-35</v>
      </c>
      <c r="M418" s="1" t="s">
        <v>90</v>
      </c>
      <c r="N418" s="2">
        <f t="shared" si="212"/>
        <v>0</v>
      </c>
      <c r="O418" s="2">
        <f t="shared" si="212"/>
        <v>0</v>
      </c>
      <c r="P418" s="2">
        <f t="shared" si="212"/>
        <v>0</v>
      </c>
      <c r="Q418" s="2">
        <f t="shared" si="212"/>
        <v>0</v>
      </c>
      <c r="R418" s="2">
        <f t="shared" si="212"/>
        <v>0</v>
      </c>
      <c r="S418" s="2">
        <f t="shared" si="212"/>
        <v>0</v>
      </c>
      <c r="T418" s="2">
        <f t="shared" si="212"/>
        <v>0</v>
      </c>
      <c r="U418" s="2">
        <f t="shared" si="212"/>
        <v>-35</v>
      </c>
      <c r="V418" s="2">
        <f t="shared" si="222"/>
        <v>-35</v>
      </c>
      <c r="X418" s="1" t="s">
        <v>90</v>
      </c>
      <c r="Y418" s="2">
        <f t="shared" si="213"/>
        <v>0</v>
      </c>
      <c r="Z418" s="2">
        <f t="shared" si="214"/>
        <v>0</v>
      </c>
      <c r="AA418" s="2">
        <f t="shared" si="215"/>
        <v>0</v>
      </c>
      <c r="AB418" s="2">
        <f t="shared" si="216"/>
        <v>0</v>
      </c>
      <c r="AC418" s="2">
        <f t="shared" si="217"/>
        <v>0</v>
      </c>
      <c r="AD418" s="2">
        <f t="shared" si="218"/>
        <v>0</v>
      </c>
      <c r="AE418" s="2">
        <f t="shared" si="219"/>
        <v>0</v>
      </c>
      <c r="AF418" s="2">
        <f t="shared" si="220"/>
        <v>0</v>
      </c>
      <c r="AG418" s="2">
        <f t="shared" si="223"/>
        <v>0</v>
      </c>
    </row>
    <row r="419" spans="2:33" x14ac:dyDescent="0.25">
      <c r="B419" s="1" t="s">
        <v>1100</v>
      </c>
      <c r="C419" s="2">
        <f t="shared" si="211"/>
        <v>0</v>
      </c>
      <c r="D419" s="2">
        <f t="shared" si="211"/>
        <v>0</v>
      </c>
      <c r="E419" s="2">
        <f t="shared" si="211"/>
        <v>0</v>
      </c>
      <c r="F419" s="2">
        <f t="shared" si="211"/>
        <v>0</v>
      </c>
      <c r="G419" s="2">
        <f t="shared" si="211"/>
        <v>0</v>
      </c>
      <c r="H419" s="2">
        <f t="shared" si="211"/>
        <v>0</v>
      </c>
      <c r="I419" s="2">
        <f t="shared" si="211"/>
        <v>0</v>
      </c>
      <c r="J419" s="2">
        <f t="shared" si="211"/>
        <v>0</v>
      </c>
      <c r="K419" s="2">
        <f t="shared" si="221"/>
        <v>0</v>
      </c>
      <c r="M419" s="1" t="s">
        <v>1100</v>
      </c>
      <c r="N419" s="2">
        <f t="shared" si="212"/>
        <v>864</v>
      </c>
      <c r="O419" s="2">
        <f t="shared" si="212"/>
        <v>0</v>
      </c>
      <c r="P419" s="2">
        <f t="shared" si="212"/>
        <v>0</v>
      </c>
      <c r="Q419" s="2">
        <f t="shared" si="212"/>
        <v>0</v>
      </c>
      <c r="R419" s="2">
        <f t="shared" si="212"/>
        <v>0</v>
      </c>
      <c r="S419" s="2">
        <f t="shared" si="212"/>
        <v>0</v>
      </c>
      <c r="T419" s="2">
        <f t="shared" si="212"/>
        <v>0</v>
      </c>
      <c r="U419" s="2">
        <f t="shared" si="212"/>
        <v>0</v>
      </c>
      <c r="V419" s="2">
        <f t="shared" si="222"/>
        <v>864</v>
      </c>
      <c r="X419" s="1" t="s">
        <v>1100</v>
      </c>
      <c r="Y419" s="2">
        <f t="shared" si="213"/>
        <v>-864</v>
      </c>
      <c r="Z419" s="2">
        <f t="shared" si="214"/>
        <v>0</v>
      </c>
      <c r="AA419" s="2">
        <f t="shared" si="215"/>
        <v>0</v>
      </c>
      <c r="AB419" s="2">
        <f t="shared" si="216"/>
        <v>0</v>
      </c>
      <c r="AC419" s="2">
        <f t="shared" si="217"/>
        <v>0</v>
      </c>
      <c r="AD419" s="2">
        <f t="shared" si="218"/>
        <v>0</v>
      </c>
      <c r="AE419" s="2">
        <f t="shared" si="219"/>
        <v>0</v>
      </c>
      <c r="AF419" s="2">
        <f t="shared" si="220"/>
        <v>0</v>
      </c>
      <c r="AG419" s="2">
        <f t="shared" si="223"/>
        <v>-864</v>
      </c>
    </row>
    <row r="420" spans="2:33" x14ac:dyDescent="0.25">
      <c r="B420" s="1" t="s">
        <v>89</v>
      </c>
      <c r="C420" s="2">
        <f t="shared" si="211"/>
        <v>0</v>
      </c>
      <c r="D420" s="2">
        <f t="shared" si="211"/>
        <v>0</v>
      </c>
      <c r="E420" s="2">
        <f t="shared" si="211"/>
        <v>0</v>
      </c>
      <c r="F420" s="2">
        <f t="shared" si="211"/>
        <v>0</v>
      </c>
      <c r="G420" s="2">
        <f t="shared" si="211"/>
        <v>0</v>
      </c>
      <c r="H420" s="2">
        <f t="shared" si="211"/>
        <v>0</v>
      </c>
      <c r="I420" s="2">
        <f t="shared" si="211"/>
        <v>0</v>
      </c>
      <c r="J420" s="2">
        <f t="shared" si="211"/>
        <v>0</v>
      </c>
      <c r="K420" s="2">
        <f t="shared" si="221"/>
        <v>0</v>
      </c>
      <c r="M420" s="1" t="s">
        <v>89</v>
      </c>
      <c r="N420" s="2">
        <f t="shared" si="212"/>
        <v>0</v>
      </c>
      <c r="O420" s="2">
        <f t="shared" si="212"/>
        <v>0</v>
      </c>
      <c r="P420" s="2">
        <f t="shared" si="212"/>
        <v>0</v>
      </c>
      <c r="Q420" s="2">
        <f t="shared" si="212"/>
        <v>0</v>
      </c>
      <c r="R420" s="2">
        <f t="shared" si="212"/>
        <v>0</v>
      </c>
      <c r="S420" s="2">
        <f t="shared" si="212"/>
        <v>0</v>
      </c>
      <c r="T420" s="2">
        <f t="shared" si="212"/>
        <v>0</v>
      </c>
      <c r="U420" s="2">
        <f t="shared" si="212"/>
        <v>0</v>
      </c>
      <c r="V420" s="2">
        <f t="shared" si="222"/>
        <v>0</v>
      </c>
      <c r="X420" s="1" t="s">
        <v>89</v>
      </c>
      <c r="Y420" s="2">
        <f t="shared" si="213"/>
        <v>0</v>
      </c>
      <c r="Z420" s="2">
        <f t="shared" si="214"/>
        <v>0</v>
      </c>
      <c r="AA420" s="2">
        <f t="shared" si="215"/>
        <v>0</v>
      </c>
      <c r="AB420" s="2">
        <f t="shared" si="216"/>
        <v>0</v>
      </c>
      <c r="AC420" s="2">
        <f t="shared" si="217"/>
        <v>0</v>
      </c>
      <c r="AD420" s="2">
        <f t="shared" si="218"/>
        <v>0</v>
      </c>
      <c r="AE420" s="2">
        <f t="shared" si="219"/>
        <v>0</v>
      </c>
      <c r="AF420" s="2">
        <f t="shared" si="220"/>
        <v>0</v>
      </c>
      <c r="AG420" s="2">
        <f t="shared" si="223"/>
        <v>0</v>
      </c>
    </row>
    <row r="421" spans="2:33" x14ac:dyDescent="0.25">
      <c r="B421" s="1" t="s">
        <v>5</v>
      </c>
      <c r="C421" s="2">
        <f t="shared" si="211"/>
        <v>0</v>
      </c>
      <c r="D421" s="2">
        <f t="shared" si="211"/>
        <v>0</v>
      </c>
      <c r="E421" s="2">
        <f t="shared" si="211"/>
        <v>0</v>
      </c>
      <c r="F421" s="2">
        <f t="shared" si="211"/>
        <v>0</v>
      </c>
      <c r="G421" s="2">
        <f t="shared" si="211"/>
        <v>0</v>
      </c>
      <c r="H421" s="2">
        <f t="shared" si="211"/>
        <v>0</v>
      </c>
      <c r="I421" s="2">
        <f t="shared" si="211"/>
        <v>0</v>
      </c>
      <c r="J421" s="2">
        <f t="shared" si="211"/>
        <v>0</v>
      </c>
      <c r="K421" s="2">
        <f t="shared" si="221"/>
        <v>0</v>
      </c>
      <c r="M421" s="1" t="s">
        <v>5</v>
      </c>
      <c r="N421" s="2">
        <f t="shared" si="212"/>
        <v>0</v>
      </c>
      <c r="O421" s="2">
        <f t="shared" si="212"/>
        <v>0</v>
      </c>
      <c r="P421" s="2">
        <f t="shared" si="212"/>
        <v>0</v>
      </c>
      <c r="Q421" s="2">
        <f t="shared" si="212"/>
        <v>0</v>
      </c>
      <c r="R421" s="2">
        <f t="shared" si="212"/>
        <v>0</v>
      </c>
      <c r="S421" s="2">
        <f t="shared" si="212"/>
        <v>0</v>
      </c>
      <c r="T421" s="2">
        <f t="shared" si="212"/>
        <v>0</v>
      </c>
      <c r="U421" s="2">
        <f t="shared" si="212"/>
        <v>0</v>
      </c>
      <c r="V421" s="2">
        <f t="shared" si="222"/>
        <v>0</v>
      </c>
      <c r="X421" s="1" t="s">
        <v>5</v>
      </c>
      <c r="Y421" s="2">
        <f t="shared" si="213"/>
        <v>0</v>
      </c>
      <c r="Z421" s="2">
        <f t="shared" si="214"/>
        <v>0</v>
      </c>
      <c r="AA421" s="2">
        <f t="shared" si="215"/>
        <v>0</v>
      </c>
      <c r="AB421" s="2">
        <f t="shared" si="216"/>
        <v>0</v>
      </c>
      <c r="AC421" s="2">
        <f t="shared" si="217"/>
        <v>0</v>
      </c>
      <c r="AD421" s="2">
        <f t="shared" si="218"/>
        <v>0</v>
      </c>
      <c r="AE421" s="2">
        <f t="shared" si="219"/>
        <v>0</v>
      </c>
      <c r="AF421" s="2">
        <f t="shared" si="220"/>
        <v>0</v>
      </c>
      <c r="AG421" s="2">
        <f t="shared" si="223"/>
        <v>0</v>
      </c>
    </row>
    <row r="422" spans="2:33" x14ac:dyDescent="0.25">
      <c r="B422" s="1" t="s">
        <v>84</v>
      </c>
      <c r="C422" s="2">
        <f t="shared" si="211"/>
        <v>0</v>
      </c>
      <c r="D422" s="2">
        <f t="shared" si="211"/>
        <v>0</v>
      </c>
      <c r="E422" s="2">
        <f t="shared" si="211"/>
        <v>0</v>
      </c>
      <c r="F422" s="2">
        <f t="shared" si="211"/>
        <v>0</v>
      </c>
      <c r="G422" s="2">
        <f t="shared" si="211"/>
        <v>0</v>
      </c>
      <c r="H422" s="2">
        <f t="shared" si="211"/>
        <v>0</v>
      </c>
      <c r="I422" s="2">
        <f t="shared" si="211"/>
        <v>0</v>
      </c>
      <c r="J422" s="2">
        <f t="shared" si="211"/>
        <v>0</v>
      </c>
      <c r="K422" s="2">
        <f t="shared" si="221"/>
        <v>0</v>
      </c>
      <c r="M422" s="1" t="s">
        <v>84</v>
      </c>
      <c r="N422" s="2">
        <f t="shared" si="212"/>
        <v>0</v>
      </c>
      <c r="O422" s="2">
        <f t="shared" si="212"/>
        <v>0</v>
      </c>
      <c r="P422" s="2">
        <f t="shared" si="212"/>
        <v>0</v>
      </c>
      <c r="Q422" s="2">
        <f t="shared" si="212"/>
        <v>0</v>
      </c>
      <c r="R422" s="2">
        <f t="shared" si="212"/>
        <v>0</v>
      </c>
      <c r="S422" s="2">
        <f t="shared" si="212"/>
        <v>0</v>
      </c>
      <c r="T422" s="2">
        <f t="shared" si="212"/>
        <v>0</v>
      </c>
      <c r="U422" s="2">
        <f t="shared" si="212"/>
        <v>0</v>
      </c>
      <c r="V422" s="2">
        <f t="shared" si="222"/>
        <v>0</v>
      </c>
      <c r="X422" s="1" t="s">
        <v>84</v>
      </c>
      <c r="Y422" s="2">
        <f t="shared" si="213"/>
        <v>0</v>
      </c>
      <c r="Z422" s="2">
        <f t="shared" si="214"/>
        <v>0</v>
      </c>
      <c r="AA422" s="2">
        <f t="shared" si="215"/>
        <v>0</v>
      </c>
      <c r="AB422" s="2">
        <f t="shared" si="216"/>
        <v>0</v>
      </c>
      <c r="AC422" s="2">
        <f t="shared" si="217"/>
        <v>0</v>
      </c>
      <c r="AD422" s="2">
        <f t="shared" si="218"/>
        <v>0</v>
      </c>
      <c r="AE422" s="2">
        <f t="shared" si="219"/>
        <v>0</v>
      </c>
      <c r="AF422" s="2">
        <f t="shared" si="220"/>
        <v>0</v>
      </c>
      <c r="AG422" s="2">
        <f t="shared" si="223"/>
        <v>0</v>
      </c>
    </row>
    <row r="423" spans="2:33" x14ac:dyDescent="0.25">
      <c r="B423" s="1" t="s">
        <v>4</v>
      </c>
      <c r="C423" s="2">
        <f t="shared" ref="C423:J429" si="224">C397+C371+C345+C319+C293+C267+C241+C215+C189+C163+C137+C111+C85+C59+C33</f>
        <v>432</v>
      </c>
      <c r="D423" s="2">
        <f t="shared" si="224"/>
        <v>0</v>
      </c>
      <c r="E423" s="2">
        <f t="shared" si="224"/>
        <v>0</v>
      </c>
      <c r="F423" s="2">
        <f t="shared" si="224"/>
        <v>0</v>
      </c>
      <c r="G423" s="2">
        <f t="shared" si="224"/>
        <v>0</v>
      </c>
      <c r="H423" s="2">
        <f t="shared" si="224"/>
        <v>0</v>
      </c>
      <c r="I423" s="2">
        <f t="shared" si="224"/>
        <v>0</v>
      </c>
      <c r="J423" s="2">
        <f t="shared" si="224"/>
        <v>0</v>
      </c>
      <c r="K423" s="2">
        <f t="shared" si="221"/>
        <v>432</v>
      </c>
      <c r="M423" s="1" t="s">
        <v>4</v>
      </c>
      <c r="N423" s="2">
        <f t="shared" ref="N423:U429" si="225">N397+N371+N345+N319+N293+N267+N241+N215+N189+N163+N137+N111+N85+N59+N33</f>
        <v>0</v>
      </c>
      <c r="O423" s="2">
        <f t="shared" si="225"/>
        <v>0</v>
      </c>
      <c r="P423" s="2">
        <f t="shared" si="225"/>
        <v>0</v>
      </c>
      <c r="Q423" s="2">
        <f t="shared" si="225"/>
        <v>0</v>
      </c>
      <c r="R423" s="2">
        <f t="shared" si="225"/>
        <v>0</v>
      </c>
      <c r="S423" s="2">
        <f t="shared" si="225"/>
        <v>0</v>
      </c>
      <c r="T423" s="2">
        <f t="shared" si="225"/>
        <v>0</v>
      </c>
      <c r="U423" s="2">
        <f t="shared" si="225"/>
        <v>0</v>
      </c>
      <c r="V423" s="2">
        <f t="shared" si="222"/>
        <v>0</v>
      </c>
      <c r="X423" s="1" t="s">
        <v>4</v>
      </c>
      <c r="Y423" s="2">
        <f t="shared" si="213"/>
        <v>432</v>
      </c>
      <c r="Z423" s="2">
        <f t="shared" si="214"/>
        <v>0</v>
      </c>
      <c r="AA423" s="2">
        <f t="shared" si="215"/>
        <v>0</v>
      </c>
      <c r="AB423" s="2">
        <f t="shared" si="216"/>
        <v>0</v>
      </c>
      <c r="AC423" s="2">
        <f t="shared" si="217"/>
        <v>0</v>
      </c>
      <c r="AD423" s="2">
        <f t="shared" si="218"/>
        <v>0</v>
      </c>
      <c r="AE423" s="2">
        <f t="shared" si="219"/>
        <v>0</v>
      </c>
      <c r="AF423" s="2">
        <f t="shared" si="220"/>
        <v>0</v>
      </c>
      <c r="AG423" s="2">
        <f t="shared" si="223"/>
        <v>432</v>
      </c>
    </row>
    <row r="424" spans="2:33" x14ac:dyDescent="0.25">
      <c r="B424" s="1" t="s">
        <v>51</v>
      </c>
      <c r="C424" s="2">
        <f t="shared" si="224"/>
        <v>432</v>
      </c>
      <c r="D424" s="2">
        <f t="shared" si="224"/>
        <v>0</v>
      </c>
      <c r="E424" s="2">
        <f t="shared" si="224"/>
        <v>0</v>
      </c>
      <c r="F424" s="2">
        <f t="shared" si="224"/>
        <v>0</v>
      </c>
      <c r="G424" s="2">
        <f t="shared" si="224"/>
        <v>0</v>
      </c>
      <c r="H424" s="2">
        <f t="shared" si="224"/>
        <v>0</v>
      </c>
      <c r="I424" s="2">
        <f t="shared" si="224"/>
        <v>0</v>
      </c>
      <c r="J424" s="2">
        <f t="shared" si="224"/>
        <v>0</v>
      </c>
      <c r="K424" s="2">
        <f t="shared" si="221"/>
        <v>432</v>
      </c>
      <c r="M424" s="1" t="s">
        <v>51</v>
      </c>
      <c r="N424" s="2">
        <f t="shared" si="225"/>
        <v>432</v>
      </c>
      <c r="O424" s="2">
        <f t="shared" si="225"/>
        <v>0</v>
      </c>
      <c r="P424" s="2">
        <f t="shared" si="225"/>
        <v>0</v>
      </c>
      <c r="Q424" s="2">
        <f t="shared" si="225"/>
        <v>0</v>
      </c>
      <c r="R424" s="2">
        <f t="shared" si="225"/>
        <v>0</v>
      </c>
      <c r="S424" s="2">
        <f t="shared" si="225"/>
        <v>0</v>
      </c>
      <c r="T424" s="2">
        <f t="shared" si="225"/>
        <v>0</v>
      </c>
      <c r="U424" s="2">
        <f t="shared" si="225"/>
        <v>0</v>
      </c>
      <c r="V424" s="2">
        <f t="shared" si="222"/>
        <v>432</v>
      </c>
      <c r="X424" s="1" t="s">
        <v>51</v>
      </c>
      <c r="Y424" s="2">
        <f t="shared" si="213"/>
        <v>0</v>
      </c>
      <c r="Z424" s="2">
        <f t="shared" si="214"/>
        <v>0</v>
      </c>
      <c r="AA424" s="2">
        <f t="shared" si="215"/>
        <v>0</v>
      </c>
      <c r="AB424" s="2">
        <f t="shared" si="216"/>
        <v>0</v>
      </c>
      <c r="AC424" s="2">
        <f t="shared" si="217"/>
        <v>0</v>
      </c>
      <c r="AD424" s="2">
        <f t="shared" si="218"/>
        <v>0</v>
      </c>
      <c r="AE424" s="2">
        <f t="shared" si="219"/>
        <v>0</v>
      </c>
      <c r="AF424" s="2">
        <f t="shared" si="220"/>
        <v>0</v>
      </c>
      <c r="AG424" s="2">
        <f t="shared" si="223"/>
        <v>0</v>
      </c>
    </row>
    <row r="425" spans="2:33" x14ac:dyDescent="0.25">
      <c r="B425" s="1" t="s">
        <v>87</v>
      </c>
      <c r="C425" s="2">
        <f t="shared" si="224"/>
        <v>0</v>
      </c>
      <c r="D425" s="2">
        <f t="shared" si="224"/>
        <v>0</v>
      </c>
      <c r="E425" s="2">
        <f t="shared" si="224"/>
        <v>0</v>
      </c>
      <c r="F425" s="2">
        <f t="shared" si="224"/>
        <v>0</v>
      </c>
      <c r="G425" s="2">
        <f t="shared" si="224"/>
        <v>0</v>
      </c>
      <c r="H425" s="2">
        <f t="shared" si="224"/>
        <v>0</v>
      </c>
      <c r="I425" s="2">
        <f t="shared" si="224"/>
        <v>0</v>
      </c>
      <c r="J425" s="2">
        <f t="shared" si="224"/>
        <v>0</v>
      </c>
      <c r="K425" s="2">
        <f t="shared" si="221"/>
        <v>0</v>
      </c>
      <c r="M425" s="1" t="s">
        <v>87</v>
      </c>
      <c r="N425" s="2">
        <f t="shared" si="225"/>
        <v>0</v>
      </c>
      <c r="O425" s="2">
        <f t="shared" si="225"/>
        <v>0</v>
      </c>
      <c r="P425" s="2">
        <f t="shared" si="225"/>
        <v>0</v>
      </c>
      <c r="Q425" s="2">
        <f t="shared" si="225"/>
        <v>0</v>
      </c>
      <c r="R425" s="2">
        <f t="shared" si="225"/>
        <v>0</v>
      </c>
      <c r="S425" s="2">
        <f t="shared" si="225"/>
        <v>0</v>
      </c>
      <c r="T425" s="2">
        <f t="shared" si="225"/>
        <v>0</v>
      </c>
      <c r="U425" s="2">
        <f t="shared" si="225"/>
        <v>0</v>
      </c>
      <c r="V425" s="2">
        <f t="shared" si="222"/>
        <v>0</v>
      </c>
      <c r="X425" s="1" t="s">
        <v>87</v>
      </c>
      <c r="Y425" s="2">
        <f t="shared" si="213"/>
        <v>0</v>
      </c>
      <c r="Z425" s="2">
        <f t="shared" si="214"/>
        <v>0</v>
      </c>
      <c r="AA425" s="2">
        <f t="shared" si="215"/>
        <v>0</v>
      </c>
      <c r="AB425" s="2">
        <f t="shared" si="216"/>
        <v>0</v>
      </c>
      <c r="AC425" s="2">
        <f t="shared" si="217"/>
        <v>0</v>
      </c>
      <c r="AD425" s="2">
        <f t="shared" si="218"/>
        <v>0</v>
      </c>
      <c r="AE425" s="2">
        <f t="shared" si="219"/>
        <v>0</v>
      </c>
      <c r="AF425" s="2">
        <f t="shared" si="220"/>
        <v>0</v>
      </c>
      <c r="AG425" s="2">
        <f t="shared" si="223"/>
        <v>0</v>
      </c>
    </row>
    <row r="426" spans="2:33" x14ac:dyDescent="0.25">
      <c r="B426" s="1" t="s">
        <v>85</v>
      </c>
      <c r="C426" s="2">
        <f t="shared" si="224"/>
        <v>0</v>
      </c>
      <c r="D426" s="2">
        <f t="shared" si="224"/>
        <v>0</v>
      </c>
      <c r="E426" s="2">
        <f t="shared" si="224"/>
        <v>0</v>
      </c>
      <c r="F426" s="2">
        <f t="shared" si="224"/>
        <v>0</v>
      </c>
      <c r="G426" s="2">
        <f t="shared" si="224"/>
        <v>0</v>
      </c>
      <c r="H426" s="2">
        <f t="shared" si="224"/>
        <v>0</v>
      </c>
      <c r="I426" s="2">
        <f t="shared" si="224"/>
        <v>432</v>
      </c>
      <c r="J426" s="2">
        <f t="shared" si="224"/>
        <v>0</v>
      </c>
      <c r="K426" s="2">
        <f t="shared" si="221"/>
        <v>432</v>
      </c>
      <c r="M426" s="1" t="s">
        <v>85</v>
      </c>
      <c r="N426" s="2">
        <f t="shared" si="225"/>
        <v>0</v>
      </c>
      <c r="O426" s="2">
        <f t="shared" si="225"/>
        <v>0</v>
      </c>
      <c r="P426" s="2">
        <f t="shared" si="225"/>
        <v>0</v>
      </c>
      <c r="Q426" s="2">
        <f t="shared" si="225"/>
        <v>0</v>
      </c>
      <c r="R426" s="2">
        <f t="shared" si="225"/>
        <v>0</v>
      </c>
      <c r="S426" s="2">
        <f t="shared" si="225"/>
        <v>0</v>
      </c>
      <c r="T426" s="2">
        <f t="shared" si="225"/>
        <v>432</v>
      </c>
      <c r="U426" s="2">
        <f t="shared" si="225"/>
        <v>0</v>
      </c>
      <c r="V426" s="2">
        <f t="shared" si="222"/>
        <v>432</v>
      </c>
      <c r="X426" s="1" t="s">
        <v>85</v>
      </c>
      <c r="Y426" s="2">
        <f t="shared" si="213"/>
        <v>0</v>
      </c>
      <c r="Z426" s="2">
        <f t="shared" si="214"/>
        <v>0</v>
      </c>
      <c r="AA426" s="2">
        <f t="shared" si="215"/>
        <v>0</v>
      </c>
      <c r="AB426" s="2">
        <f t="shared" si="216"/>
        <v>0</v>
      </c>
      <c r="AC426" s="2">
        <f t="shared" si="217"/>
        <v>0</v>
      </c>
      <c r="AD426" s="2">
        <f t="shared" si="218"/>
        <v>0</v>
      </c>
      <c r="AE426" s="2">
        <f t="shared" si="219"/>
        <v>0</v>
      </c>
      <c r="AF426" s="2">
        <f t="shared" si="220"/>
        <v>0</v>
      </c>
      <c r="AG426" s="2">
        <f t="shared" si="223"/>
        <v>0</v>
      </c>
    </row>
    <row r="427" spans="2:33" x14ac:dyDescent="0.25">
      <c r="B427" s="1" t="s">
        <v>2</v>
      </c>
      <c r="C427" s="2">
        <f t="shared" si="224"/>
        <v>1031.8199999999997</v>
      </c>
      <c r="D427" s="2">
        <f t="shared" si="224"/>
        <v>3355.43</v>
      </c>
      <c r="E427" s="2">
        <f t="shared" si="224"/>
        <v>2829.86</v>
      </c>
      <c r="F427" s="2">
        <f t="shared" si="224"/>
        <v>2444.98</v>
      </c>
      <c r="G427" s="2">
        <f t="shared" si="224"/>
        <v>548.73</v>
      </c>
      <c r="H427" s="2">
        <f t="shared" si="224"/>
        <v>1101.2</v>
      </c>
      <c r="I427" s="2">
        <f t="shared" si="224"/>
        <v>1017.48</v>
      </c>
      <c r="J427" s="2">
        <f t="shared" si="224"/>
        <v>253.96000000000015</v>
      </c>
      <c r="K427" s="2">
        <f t="shared" si="221"/>
        <v>12583.460000000001</v>
      </c>
      <c r="M427" s="1" t="s">
        <v>2</v>
      </c>
      <c r="N427" s="2">
        <f t="shared" si="225"/>
        <v>2618.6800000000003</v>
      </c>
      <c r="O427" s="2">
        <f t="shared" si="225"/>
        <v>6628.39</v>
      </c>
      <c r="P427" s="2">
        <f t="shared" si="225"/>
        <v>770.06000000000006</v>
      </c>
      <c r="Q427" s="2">
        <f t="shared" si="225"/>
        <v>2683.21</v>
      </c>
      <c r="R427" s="2">
        <f t="shared" si="225"/>
        <v>1300.94</v>
      </c>
      <c r="S427" s="2">
        <f t="shared" si="225"/>
        <v>740.6</v>
      </c>
      <c r="T427" s="2">
        <f t="shared" si="225"/>
        <v>210.88</v>
      </c>
      <c r="U427" s="2">
        <f t="shared" si="225"/>
        <v>285.96000000000004</v>
      </c>
      <c r="V427" s="2">
        <f t="shared" si="222"/>
        <v>15238.720000000001</v>
      </c>
      <c r="X427" s="1" t="s">
        <v>2</v>
      </c>
      <c r="Y427" s="2">
        <f t="shared" si="213"/>
        <v>-1586.8600000000006</v>
      </c>
      <c r="Z427" s="2">
        <f t="shared" si="214"/>
        <v>-3272.9600000000005</v>
      </c>
      <c r="AA427" s="2">
        <f t="shared" si="215"/>
        <v>2059.8000000000002</v>
      </c>
      <c r="AB427" s="2">
        <f t="shared" si="216"/>
        <v>-238.23000000000002</v>
      </c>
      <c r="AC427" s="2">
        <f t="shared" si="217"/>
        <v>-752.21</v>
      </c>
      <c r="AD427" s="2">
        <f t="shared" si="218"/>
        <v>360.6</v>
      </c>
      <c r="AE427" s="2">
        <f t="shared" si="219"/>
        <v>806.6</v>
      </c>
      <c r="AF427" s="2">
        <f t="shared" si="220"/>
        <v>-31.999999999999886</v>
      </c>
      <c r="AG427" s="2">
        <f t="shared" si="223"/>
        <v>-2655.2600000000016</v>
      </c>
    </row>
    <row r="428" spans="2:33" x14ac:dyDescent="0.25">
      <c r="B428" s="1" t="s">
        <v>86</v>
      </c>
      <c r="C428" s="2">
        <f t="shared" si="224"/>
        <v>0</v>
      </c>
      <c r="D428" s="2">
        <f t="shared" si="224"/>
        <v>0</v>
      </c>
      <c r="E428" s="2">
        <f t="shared" si="224"/>
        <v>0</v>
      </c>
      <c r="F428" s="2">
        <f t="shared" si="224"/>
        <v>0</v>
      </c>
      <c r="G428" s="2">
        <f t="shared" si="224"/>
        <v>0</v>
      </c>
      <c r="H428" s="2">
        <f t="shared" si="224"/>
        <v>0</v>
      </c>
      <c r="I428" s="2">
        <f t="shared" si="224"/>
        <v>0</v>
      </c>
      <c r="J428" s="2">
        <f t="shared" si="224"/>
        <v>0</v>
      </c>
      <c r="K428" s="2">
        <f t="shared" si="221"/>
        <v>0</v>
      </c>
      <c r="M428" s="1" t="s">
        <v>86</v>
      </c>
      <c r="N428" s="2">
        <f t="shared" si="225"/>
        <v>0</v>
      </c>
      <c r="O428" s="2">
        <f t="shared" si="225"/>
        <v>0</v>
      </c>
      <c r="P428" s="2">
        <f t="shared" si="225"/>
        <v>0</v>
      </c>
      <c r="Q428" s="2">
        <f t="shared" si="225"/>
        <v>0</v>
      </c>
      <c r="R428" s="2">
        <f t="shared" si="225"/>
        <v>0</v>
      </c>
      <c r="S428" s="2">
        <f t="shared" si="225"/>
        <v>0</v>
      </c>
      <c r="T428" s="2">
        <f t="shared" si="225"/>
        <v>0</v>
      </c>
      <c r="U428" s="2">
        <f t="shared" si="225"/>
        <v>0</v>
      </c>
      <c r="V428" s="2">
        <f t="shared" si="222"/>
        <v>0</v>
      </c>
      <c r="X428" s="1" t="s">
        <v>86</v>
      </c>
      <c r="Y428" s="2">
        <f t="shared" si="213"/>
        <v>0</v>
      </c>
      <c r="Z428" s="2">
        <f t="shared" si="214"/>
        <v>0</v>
      </c>
      <c r="AA428" s="2">
        <f t="shared" si="215"/>
        <v>0</v>
      </c>
      <c r="AB428" s="2">
        <f t="shared" si="216"/>
        <v>0</v>
      </c>
      <c r="AC428" s="2">
        <f t="shared" si="217"/>
        <v>0</v>
      </c>
      <c r="AD428" s="2">
        <f t="shared" si="218"/>
        <v>0</v>
      </c>
      <c r="AE428" s="2">
        <f t="shared" si="219"/>
        <v>0</v>
      </c>
      <c r="AF428" s="2">
        <f t="shared" si="220"/>
        <v>0</v>
      </c>
      <c r="AG428" s="2">
        <f t="shared" si="223"/>
        <v>0</v>
      </c>
    </row>
    <row r="429" spans="2:33" x14ac:dyDescent="0.25">
      <c r="B429" s="1" t="s">
        <v>29</v>
      </c>
      <c r="C429" s="2">
        <f t="shared" si="224"/>
        <v>0</v>
      </c>
      <c r="D429" s="2">
        <f t="shared" si="224"/>
        <v>0</v>
      </c>
      <c r="E429" s="2">
        <f t="shared" si="224"/>
        <v>0</v>
      </c>
      <c r="F429" s="2">
        <f t="shared" si="224"/>
        <v>0</v>
      </c>
      <c r="G429" s="2">
        <f t="shared" si="224"/>
        <v>0</v>
      </c>
      <c r="H429" s="2">
        <f t="shared" si="224"/>
        <v>0</v>
      </c>
      <c r="I429" s="2">
        <f t="shared" si="224"/>
        <v>0</v>
      </c>
      <c r="J429" s="2">
        <f t="shared" si="224"/>
        <v>0</v>
      </c>
      <c r="K429" s="2">
        <f t="shared" si="221"/>
        <v>0</v>
      </c>
      <c r="M429" s="1" t="s">
        <v>29</v>
      </c>
      <c r="N429" s="2">
        <f t="shared" si="225"/>
        <v>0</v>
      </c>
      <c r="O429" s="2">
        <f t="shared" si="225"/>
        <v>0</v>
      </c>
      <c r="P429" s="2">
        <f t="shared" si="225"/>
        <v>0</v>
      </c>
      <c r="Q429" s="2">
        <f t="shared" si="225"/>
        <v>0</v>
      </c>
      <c r="R429" s="2">
        <f t="shared" si="225"/>
        <v>0</v>
      </c>
      <c r="S429" s="2">
        <f t="shared" si="225"/>
        <v>0</v>
      </c>
      <c r="T429" s="2">
        <f t="shared" si="225"/>
        <v>0</v>
      </c>
      <c r="U429" s="2">
        <f t="shared" si="225"/>
        <v>0</v>
      </c>
      <c r="V429" s="2">
        <f t="shared" si="222"/>
        <v>0</v>
      </c>
      <c r="X429" s="1" t="s">
        <v>29</v>
      </c>
      <c r="Y429" s="2">
        <f t="shared" si="213"/>
        <v>0</v>
      </c>
      <c r="Z429" s="2">
        <f t="shared" si="214"/>
        <v>0</v>
      </c>
      <c r="AA429" s="2">
        <f t="shared" si="215"/>
        <v>0</v>
      </c>
      <c r="AB429" s="2">
        <f t="shared" si="216"/>
        <v>0</v>
      </c>
      <c r="AC429" s="2">
        <f t="shared" si="217"/>
        <v>0</v>
      </c>
      <c r="AD429" s="2">
        <f t="shared" si="218"/>
        <v>0</v>
      </c>
      <c r="AE429" s="2">
        <f t="shared" si="219"/>
        <v>0</v>
      </c>
      <c r="AF429" s="2">
        <f t="shared" si="220"/>
        <v>0</v>
      </c>
      <c r="AG429" s="2">
        <f t="shared" si="223"/>
        <v>0</v>
      </c>
    </row>
    <row r="430" spans="2:33" x14ac:dyDescent="0.25">
      <c r="B430" s="1" t="s">
        <v>88</v>
      </c>
      <c r="C430" s="2">
        <f t="shared" ref="C430:J430" si="226">C405+C379+C353+C327+C301+C275+C249+C223+C197+C171+C145+C119+C93+C66+C40</f>
        <v>0</v>
      </c>
      <c r="D430" s="2">
        <f t="shared" si="226"/>
        <v>0</v>
      </c>
      <c r="E430" s="2">
        <f t="shared" si="226"/>
        <v>0</v>
      </c>
      <c r="F430" s="2">
        <f t="shared" si="226"/>
        <v>0</v>
      </c>
      <c r="G430" s="2">
        <f t="shared" si="226"/>
        <v>0</v>
      </c>
      <c r="H430" s="2">
        <f t="shared" si="226"/>
        <v>0</v>
      </c>
      <c r="I430" s="2">
        <f t="shared" si="226"/>
        <v>0</v>
      </c>
      <c r="J430" s="2">
        <f t="shared" si="226"/>
        <v>0</v>
      </c>
      <c r="K430" s="2">
        <f>SUM(C430:J430)</f>
        <v>0</v>
      </c>
      <c r="M430" s="1" t="s">
        <v>88</v>
      </c>
      <c r="N430" s="2">
        <f t="shared" ref="N430:U430" si="227">N405+N379+N353+N327+N301+N275+N249+N223+N197+N171+N145+N119+N93+N66+N40</f>
        <v>0</v>
      </c>
      <c r="O430" s="2">
        <f t="shared" si="227"/>
        <v>0</v>
      </c>
      <c r="P430" s="2">
        <f t="shared" si="227"/>
        <v>0</v>
      </c>
      <c r="Q430" s="2">
        <f t="shared" si="227"/>
        <v>0</v>
      </c>
      <c r="R430" s="2">
        <f t="shared" si="227"/>
        <v>0</v>
      </c>
      <c r="S430" s="2">
        <f t="shared" si="227"/>
        <v>0</v>
      </c>
      <c r="T430" s="2">
        <f t="shared" si="227"/>
        <v>0</v>
      </c>
      <c r="U430" s="2">
        <f t="shared" si="227"/>
        <v>0</v>
      </c>
      <c r="V430" s="2">
        <f>SUM(N430:U430)</f>
        <v>0</v>
      </c>
      <c r="X430" s="1" t="s">
        <v>88</v>
      </c>
      <c r="Y430" s="2">
        <f t="shared" si="213"/>
        <v>0</v>
      </c>
      <c r="Z430" s="2">
        <f t="shared" si="214"/>
        <v>0</v>
      </c>
      <c r="AA430" s="2">
        <f t="shared" si="215"/>
        <v>0</v>
      </c>
      <c r="AB430" s="2">
        <f t="shared" si="216"/>
        <v>0</v>
      </c>
      <c r="AC430" s="2">
        <f t="shared" si="217"/>
        <v>0</v>
      </c>
      <c r="AD430" s="2">
        <f t="shared" si="218"/>
        <v>0</v>
      </c>
      <c r="AE430" s="2">
        <f t="shared" si="219"/>
        <v>0</v>
      </c>
      <c r="AF430" s="2">
        <f t="shared" si="220"/>
        <v>0</v>
      </c>
      <c r="AG430" s="2">
        <f>SUM(Y430:AF430)</f>
        <v>0</v>
      </c>
    </row>
    <row r="431" spans="2:33" x14ac:dyDescent="0.25">
      <c r="B431" s="1" t="s">
        <v>1098</v>
      </c>
      <c r="C431" s="2">
        <f t="shared" ref="C431:J431" si="228">C404+C378+C352+C326+C300+C274+C248+C222+C196+C170+C144+C118+C92+C67+C41</f>
        <v>0</v>
      </c>
      <c r="D431" s="2">
        <f t="shared" si="228"/>
        <v>0</v>
      </c>
      <c r="E431" s="2">
        <f t="shared" si="228"/>
        <v>0</v>
      </c>
      <c r="F431" s="2">
        <f t="shared" si="228"/>
        <v>0</v>
      </c>
      <c r="G431" s="2">
        <f t="shared" si="228"/>
        <v>0</v>
      </c>
      <c r="H431" s="2">
        <f t="shared" si="228"/>
        <v>0</v>
      </c>
      <c r="I431" s="2">
        <f t="shared" si="228"/>
        <v>0</v>
      </c>
      <c r="J431" s="2">
        <f t="shared" si="228"/>
        <v>0</v>
      </c>
      <c r="K431" s="2">
        <f t="shared" si="221"/>
        <v>0</v>
      </c>
      <c r="M431" s="1" t="s">
        <v>1098</v>
      </c>
      <c r="N431" s="2">
        <f t="shared" ref="N431:U431" si="229">N404+N378+N352+N326+N300+N274+N248+N222+N196+N170+N144+N118+N92+N67+N41</f>
        <v>0</v>
      </c>
      <c r="O431" s="2">
        <f t="shared" si="229"/>
        <v>0</v>
      </c>
      <c r="P431" s="2">
        <f t="shared" si="229"/>
        <v>0</v>
      </c>
      <c r="Q431" s="2">
        <f t="shared" si="229"/>
        <v>0</v>
      </c>
      <c r="R431" s="2">
        <f t="shared" si="229"/>
        <v>0</v>
      </c>
      <c r="S431" s="2">
        <f t="shared" si="229"/>
        <v>0</v>
      </c>
      <c r="T431" s="2">
        <f t="shared" si="229"/>
        <v>0</v>
      </c>
      <c r="U431" s="2">
        <f t="shared" si="229"/>
        <v>0</v>
      </c>
      <c r="V431" s="2">
        <f t="shared" si="222"/>
        <v>0</v>
      </c>
      <c r="X431" s="1" t="s">
        <v>1098</v>
      </c>
      <c r="Y431" s="2">
        <f t="shared" si="213"/>
        <v>0</v>
      </c>
      <c r="Z431" s="2">
        <f t="shared" si="214"/>
        <v>0</v>
      </c>
      <c r="AA431" s="2">
        <f t="shared" si="215"/>
        <v>0</v>
      </c>
      <c r="AB431" s="2">
        <f t="shared" si="216"/>
        <v>0</v>
      </c>
      <c r="AC431" s="2">
        <f t="shared" si="217"/>
        <v>0</v>
      </c>
      <c r="AD431" s="2">
        <f t="shared" si="218"/>
        <v>0</v>
      </c>
      <c r="AE431" s="2">
        <f t="shared" si="219"/>
        <v>0</v>
      </c>
      <c r="AF431" s="2">
        <f t="shared" si="220"/>
        <v>0</v>
      </c>
      <c r="AG431" s="2">
        <f t="shared" si="223"/>
        <v>0</v>
      </c>
    </row>
    <row r="432" spans="2:33" x14ac:dyDescent="0.25">
      <c r="B432" s="1" t="s">
        <v>1099</v>
      </c>
      <c r="C432" s="2">
        <f t="shared" ref="C432:J432" si="230">C406+C380+C354+C328+C302+C276+C250+C224+C198+C172+C146+C120+C94+C68+C42</f>
        <v>900</v>
      </c>
      <c r="D432" s="2">
        <f t="shared" si="230"/>
        <v>0</v>
      </c>
      <c r="E432" s="2">
        <f t="shared" si="230"/>
        <v>732</v>
      </c>
      <c r="F432" s="2">
        <f t="shared" si="230"/>
        <v>0</v>
      </c>
      <c r="G432" s="2">
        <f t="shared" si="230"/>
        <v>0</v>
      </c>
      <c r="H432" s="2">
        <f t="shared" si="230"/>
        <v>0</v>
      </c>
      <c r="I432" s="2">
        <f t="shared" si="230"/>
        <v>-142</v>
      </c>
      <c r="J432" s="2">
        <f t="shared" si="230"/>
        <v>0</v>
      </c>
      <c r="K432" s="2">
        <f t="shared" si="221"/>
        <v>1490</v>
      </c>
      <c r="M432" s="1" t="s">
        <v>1099</v>
      </c>
      <c r="N432" s="2">
        <f t="shared" ref="N432:U432" si="231">N406+N380+N354+N328+N302+N276+N250+N224+N198+N172+N146+N120+N94+N68+N42</f>
        <v>0</v>
      </c>
      <c r="O432" s="2">
        <f t="shared" si="231"/>
        <v>732</v>
      </c>
      <c r="P432" s="2">
        <f t="shared" si="231"/>
        <v>0</v>
      </c>
      <c r="Q432" s="2">
        <f t="shared" si="231"/>
        <v>0</v>
      </c>
      <c r="R432" s="2">
        <f t="shared" si="231"/>
        <v>0</v>
      </c>
      <c r="S432" s="2">
        <f t="shared" si="231"/>
        <v>0</v>
      </c>
      <c r="T432" s="2">
        <f t="shared" si="231"/>
        <v>-142</v>
      </c>
      <c r="U432" s="2">
        <f t="shared" si="231"/>
        <v>0</v>
      </c>
      <c r="V432" s="2">
        <f t="shared" si="222"/>
        <v>590</v>
      </c>
      <c r="X432" s="1" t="s">
        <v>1099</v>
      </c>
      <c r="Y432" s="2">
        <f t="shared" si="213"/>
        <v>900</v>
      </c>
      <c r="Z432" s="2">
        <f t="shared" si="214"/>
        <v>-732</v>
      </c>
      <c r="AA432" s="2">
        <f t="shared" si="215"/>
        <v>732</v>
      </c>
      <c r="AB432" s="2">
        <f t="shared" si="216"/>
        <v>0</v>
      </c>
      <c r="AC432" s="2">
        <f t="shared" si="217"/>
        <v>0</v>
      </c>
      <c r="AD432" s="2">
        <f t="shared" si="218"/>
        <v>0</v>
      </c>
      <c r="AE432" s="2">
        <f t="shared" si="219"/>
        <v>0</v>
      </c>
      <c r="AF432" s="2">
        <f t="shared" si="220"/>
        <v>0</v>
      </c>
      <c r="AG432" s="2">
        <f t="shared" si="223"/>
        <v>900</v>
      </c>
    </row>
    <row r="433" spans="3:33" ht="15.75" thickBot="1" x14ac:dyDescent="0.3">
      <c r="C433" s="70">
        <f t="shared" ref="C433:K433" si="232">SUM(C413:C432)</f>
        <v>10439.82</v>
      </c>
      <c r="D433" s="70">
        <f t="shared" si="232"/>
        <v>5299.43</v>
      </c>
      <c r="E433" s="70">
        <f t="shared" si="232"/>
        <v>3561.86</v>
      </c>
      <c r="F433" s="70">
        <f t="shared" si="232"/>
        <v>2444.98</v>
      </c>
      <c r="G433" s="70">
        <f t="shared" si="232"/>
        <v>548.73</v>
      </c>
      <c r="H433" s="70">
        <f t="shared" si="232"/>
        <v>1101.2</v>
      </c>
      <c r="I433" s="70">
        <f t="shared" si="232"/>
        <v>1279.04</v>
      </c>
      <c r="J433" s="70">
        <f t="shared" si="232"/>
        <v>218.96000000000015</v>
      </c>
      <c r="K433" s="70">
        <f t="shared" si="232"/>
        <v>24894.020000000004</v>
      </c>
      <c r="N433" s="70">
        <f t="shared" ref="N433:V433" si="233">SUM(N413:N432)</f>
        <v>12986.68</v>
      </c>
      <c r="O433" s="70">
        <f t="shared" si="233"/>
        <v>7792.39</v>
      </c>
      <c r="P433" s="70">
        <f t="shared" si="233"/>
        <v>770.06000000000006</v>
      </c>
      <c r="Q433" s="70">
        <f t="shared" si="233"/>
        <v>2683.21</v>
      </c>
      <c r="R433" s="70">
        <f t="shared" si="233"/>
        <v>1300.94</v>
      </c>
      <c r="S433" s="70">
        <f t="shared" si="233"/>
        <v>740.6</v>
      </c>
      <c r="T433" s="70">
        <f t="shared" si="233"/>
        <v>472.44000000000005</v>
      </c>
      <c r="U433" s="70">
        <f t="shared" si="233"/>
        <v>250.96000000000004</v>
      </c>
      <c r="V433" s="70">
        <f t="shared" si="233"/>
        <v>26997.280000000002</v>
      </c>
      <c r="Y433" s="70">
        <f t="shared" ref="Y433:AG433" si="234">SUM(Y413:Y432)</f>
        <v>-2546.8600000000006</v>
      </c>
      <c r="Z433" s="70">
        <f t="shared" si="234"/>
        <v>-2492.9600000000005</v>
      </c>
      <c r="AA433" s="70">
        <f t="shared" si="234"/>
        <v>2791.8</v>
      </c>
      <c r="AB433" s="70">
        <f t="shared" si="234"/>
        <v>-238.23000000000002</v>
      </c>
      <c r="AC433" s="70">
        <f t="shared" si="234"/>
        <v>-752.21</v>
      </c>
      <c r="AD433" s="70">
        <f t="shared" si="234"/>
        <v>360.6</v>
      </c>
      <c r="AE433" s="70">
        <f t="shared" si="234"/>
        <v>806.6</v>
      </c>
      <c r="AF433" s="70">
        <f t="shared" si="234"/>
        <v>-31.999999999999886</v>
      </c>
      <c r="AG433" s="70">
        <f t="shared" si="234"/>
        <v>-2103.2600000000016</v>
      </c>
    </row>
    <row r="436" spans="3:33" x14ac:dyDescent="0.25">
      <c r="K436" s="150" t="s">
        <v>1181</v>
      </c>
      <c r="L436" s="150"/>
      <c r="M436" s="150"/>
      <c r="N436" s="150"/>
      <c r="O436" s="150"/>
    </row>
  </sheetData>
  <mergeCells count="100">
    <mergeCell ref="C410:K410"/>
    <mergeCell ref="N410:V410"/>
    <mergeCell ref="Y410:AG410"/>
    <mergeCell ref="C411:K411"/>
    <mergeCell ref="N411:V411"/>
    <mergeCell ref="Y411:AG411"/>
    <mergeCell ref="C384:K384"/>
    <mergeCell ref="N384:V384"/>
    <mergeCell ref="Y384:AG384"/>
    <mergeCell ref="C385:K385"/>
    <mergeCell ref="N385:V385"/>
    <mergeCell ref="Y385:AG385"/>
    <mergeCell ref="C358:K358"/>
    <mergeCell ref="N358:V358"/>
    <mergeCell ref="Y358:AG358"/>
    <mergeCell ref="C359:K359"/>
    <mergeCell ref="N359:V359"/>
    <mergeCell ref="Y359:AG359"/>
    <mergeCell ref="C332:K332"/>
    <mergeCell ref="N332:V332"/>
    <mergeCell ref="Y332:AG332"/>
    <mergeCell ref="C333:K333"/>
    <mergeCell ref="N333:V333"/>
    <mergeCell ref="Y333:AG333"/>
    <mergeCell ref="C306:K306"/>
    <mergeCell ref="N306:V306"/>
    <mergeCell ref="Y306:AG306"/>
    <mergeCell ref="C307:K307"/>
    <mergeCell ref="N307:V307"/>
    <mergeCell ref="Y307:AG307"/>
    <mergeCell ref="C280:K280"/>
    <mergeCell ref="N280:V280"/>
    <mergeCell ref="Y280:AG280"/>
    <mergeCell ref="C281:K281"/>
    <mergeCell ref="N281:V281"/>
    <mergeCell ref="Y281:AG281"/>
    <mergeCell ref="C254:K254"/>
    <mergeCell ref="N254:V254"/>
    <mergeCell ref="Y254:AG254"/>
    <mergeCell ref="C255:K255"/>
    <mergeCell ref="N255:V255"/>
    <mergeCell ref="Y255:AG255"/>
    <mergeCell ref="C228:K228"/>
    <mergeCell ref="N228:V228"/>
    <mergeCell ref="Y228:AG228"/>
    <mergeCell ref="C229:K229"/>
    <mergeCell ref="N229:V229"/>
    <mergeCell ref="Y229:AG229"/>
    <mergeCell ref="C202:K202"/>
    <mergeCell ref="N202:V202"/>
    <mergeCell ref="Y202:AG202"/>
    <mergeCell ref="C203:K203"/>
    <mergeCell ref="N203:V203"/>
    <mergeCell ref="Y203:AG203"/>
    <mergeCell ref="C176:K176"/>
    <mergeCell ref="N176:V176"/>
    <mergeCell ref="Y176:AG176"/>
    <mergeCell ref="C177:K177"/>
    <mergeCell ref="N177:V177"/>
    <mergeCell ref="Y177:AG177"/>
    <mergeCell ref="C150:K150"/>
    <mergeCell ref="N150:V150"/>
    <mergeCell ref="Y150:AG150"/>
    <mergeCell ref="C151:K151"/>
    <mergeCell ref="N151:V151"/>
    <mergeCell ref="Y151:AG151"/>
    <mergeCell ref="C124:K124"/>
    <mergeCell ref="N124:V124"/>
    <mergeCell ref="Y124:AG124"/>
    <mergeCell ref="C125:K125"/>
    <mergeCell ref="N125:V125"/>
    <mergeCell ref="Y125:AG125"/>
    <mergeCell ref="C98:K98"/>
    <mergeCell ref="N98:V98"/>
    <mergeCell ref="Y98:AG98"/>
    <mergeCell ref="C99:K99"/>
    <mergeCell ref="N99:V99"/>
    <mergeCell ref="Y99:AG99"/>
    <mergeCell ref="C72:K72"/>
    <mergeCell ref="N72:V72"/>
    <mergeCell ref="Y72:AG72"/>
    <mergeCell ref="C73:K73"/>
    <mergeCell ref="N73:V73"/>
    <mergeCell ref="Y73:AG73"/>
    <mergeCell ref="C46:K46"/>
    <mergeCell ref="N46:V46"/>
    <mergeCell ref="Y46:AG46"/>
    <mergeCell ref="C47:K47"/>
    <mergeCell ref="N47:V47"/>
    <mergeCell ref="Y47:AG47"/>
    <mergeCell ref="Y21:AG21"/>
    <mergeCell ref="C20:K20"/>
    <mergeCell ref="N20:V20"/>
    <mergeCell ref="Y20:AG20"/>
    <mergeCell ref="B1:N1"/>
    <mergeCell ref="B2:N2"/>
    <mergeCell ref="B3:N3"/>
    <mergeCell ref="C21:K21"/>
    <mergeCell ref="N21:V21"/>
    <mergeCell ref="B5:R5"/>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6"/>
  </sheetPr>
  <dimension ref="A1:S38"/>
  <sheetViews>
    <sheetView zoomScale="85" zoomScaleNormal="85" workbookViewId="0">
      <selection sqref="A1:M1"/>
    </sheetView>
  </sheetViews>
  <sheetFormatPr defaultRowHeight="15" x14ac:dyDescent="0.25"/>
  <cols>
    <col min="1" max="1" width="12.7109375" customWidth="1"/>
    <col min="2" max="3" width="15.7109375" customWidth="1"/>
    <col min="4" max="4" width="20.7109375" customWidth="1"/>
    <col min="5" max="8" width="18.7109375" customWidth="1"/>
    <col min="9" max="10" width="15.7109375" customWidth="1"/>
    <col min="11" max="11" width="18.7109375" customWidth="1"/>
    <col min="12" max="12" width="15.7109375" customWidth="1"/>
    <col min="13" max="13" width="11.5703125" bestFit="1" customWidth="1"/>
    <col min="14" max="14" width="8.7109375" customWidth="1"/>
    <col min="15" max="18" width="12.7109375" customWidth="1"/>
  </cols>
  <sheetData>
    <row r="1" spans="1:17" ht="18.75" x14ac:dyDescent="0.3">
      <c r="A1" s="173" t="s">
        <v>17</v>
      </c>
      <c r="B1" s="173"/>
      <c r="C1" s="173"/>
      <c r="D1" s="173"/>
      <c r="E1" s="173"/>
      <c r="F1" s="173"/>
      <c r="G1" s="173"/>
      <c r="H1" s="173"/>
      <c r="I1" s="173"/>
      <c r="J1" s="173"/>
      <c r="K1" s="173"/>
      <c r="L1" s="173"/>
      <c r="M1" s="173"/>
    </row>
    <row r="2" spans="1:17" ht="15.75" x14ac:dyDescent="0.25">
      <c r="A2" s="174" t="str">
        <f>'Reimbursement Rates &lt;-INPUT'!A2:AY2</f>
        <v>Biocorrect</v>
      </c>
      <c r="B2" s="174"/>
      <c r="C2" s="174"/>
      <c r="D2" s="174"/>
      <c r="E2" s="174"/>
      <c r="F2" s="174"/>
      <c r="G2" s="174"/>
      <c r="H2" s="174"/>
      <c r="I2" s="174"/>
      <c r="J2" s="174"/>
      <c r="K2" s="174"/>
      <c r="L2" s="174"/>
      <c r="M2" s="174"/>
    </row>
    <row r="3" spans="1:17" x14ac:dyDescent="0.25">
      <c r="A3" s="175" t="s">
        <v>152</v>
      </c>
      <c r="B3" s="175"/>
      <c r="C3" s="175"/>
      <c r="D3" s="175"/>
      <c r="E3" s="175"/>
      <c r="F3" s="175"/>
      <c r="G3" s="175"/>
      <c r="H3" s="175"/>
      <c r="I3" s="175"/>
      <c r="J3" s="175"/>
      <c r="K3" s="175"/>
      <c r="L3" s="175"/>
      <c r="M3" s="175"/>
    </row>
    <row r="4" spans="1:17" ht="15.75" thickBot="1" x14ac:dyDescent="0.3">
      <c r="A4" s="35"/>
      <c r="B4" s="35"/>
      <c r="C4" s="35"/>
      <c r="D4" s="35"/>
      <c r="E4" s="35"/>
      <c r="F4" s="35"/>
      <c r="G4" s="35"/>
      <c r="H4" s="35"/>
      <c r="I4" s="35"/>
      <c r="J4" s="35"/>
      <c r="K4" s="35"/>
      <c r="L4" s="35"/>
      <c r="M4" s="35"/>
    </row>
    <row r="5" spans="1:17" ht="15.75" thickBot="1" x14ac:dyDescent="0.3">
      <c r="A5" s="189" t="s">
        <v>130</v>
      </c>
      <c r="B5" s="190"/>
      <c r="C5" s="190"/>
      <c r="D5" s="190"/>
      <c r="E5" s="190"/>
      <c r="F5" s="190"/>
      <c r="G5" s="190"/>
      <c r="H5" s="190"/>
      <c r="I5" s="190"/>
      <c r="J5" s="190"/>
      <c r="K5" s="190"/>
      <c r="L5" s="190"/>
      <c r="M5" s="190"/>
      <c r="N5" s="190"/>
      <c r="O5" s="190"/>
      <c r="P5" s="190"/>
      <c r="Q5" s="191"/>
    </row>
    <row r="6" spans="1:17" x14ac:dyDescent="0.25">
      <c r="A6" s="35"/>
      <c r="B6" s="35"/>
      <c r="C6" s="35"/>
      <c r="D6" s="35"/>
      <c r="E6" s="35"/>
      <c r="F6" s="35"/>
      <c r="G6" s="35"/>
      <c r="H6" s="35"/>
      <c r="I6" s="35"/>
      <c r="J6" s="35"/>
      <c r="K6" s="35"/>
      <c r="L6" s="35"/>
      <c r="M6" s="35"/>
    </row>
    <row r="7" spans="1:17" x14ac:dyDescent="0.25">
      <c r="A7" s="65" t="s">
        <v>134</v>
      </c>
      <c r="B7" s="35"/>
      <c r="C7" s="35"/>
      <c r="D7" s="35"/>
      <c r="E7" s="35"/>
      <c r="F7" s="35"/>
      <c r="G7" s="35"/>
      <c r="H7" s="35"/>
      <c r="I7" s="35"/>
      <c r="J7" s="35"/>
      <c r="K7" s="35"/>
      <c r="L7" s="35"/>
      <c r="M7" s="35"/>
    </row>
    <row r="8" spans="1:17" x14ac:dyDescent="0.25">
      <c r="A8" s="85" t="s">
        <v>153</v>
      </c>
      <c r="B8" s="35"/>
      <c r="C8" s="35"/>
      <c r="D8" s="35"/>
      <c r="E8" s="35"/>
      <c r="F8" s="35"/>
      <c r="G8" s="35"/>
      <c r="H8" s="35"/>
      <c r="I8" s="35"/>
      <c r="J8" s="35"/>
      <c r="K8" s="35"/>
      <c r="L8" s="35"/>
      <c r="M8" s="35"/>
    </row>
    <row r="9" spans="1:17" x14ac:dyDescent="0.25">
      <c r="A9" s="85" t="s">
        <v>154</v>
      </c>
      <c r="B9" s="35"/>
      <c r="C9" s="35"/>
      <c r="D9" s="35"/>
      <c r="E9" s="35"/>
      <c r="F9" s="35"/>
      <c r="G9" s="35"/>
      <c r="H9" s="35"/>
      <c r="I9" s="35"/>
      <c r="J9" s="35"/>
      <c r="K9" s="35"/>
      <c r="L9" s="35"/>
      <c r="M9" s="35"/>
    </row>
    <row r="10" spans="1:17" x14ac:dyDescent="0.25">
      <c r="A10" s="85" t="s">
        <v>145</v>
      </c>
      <c r="B10" s="35"/>
      <c r="C10" s="35"/>
      <c r="D10" s="35"/>
      <c r="E10" s="35"/>
      <c r="F10" s="35"/>
      <c r="G10" s="35"/>
      <c r="H10" s="35"/>
      <c r="I10" s="35"/>
      <c r="J10" s="35"/>
      <c r="K10" s="35"/>
      <c r="L10" s="35"/>
      <c r="M10" s="35"/>
    </row>
    <row r="11" spans="1:17" x14ac:dyDescent="0.25">
      <c r="A11" s="85" t="s">
        <v>155</v>
      </c>
      <c r="B11" s="35"/>
      <c r="C11" s="35"/>
      <c r="D11" s="35"/>
      <c r="E11" s="35"/>
      <c r="F11" s="35"/>
      <c r="G11" s="35"/>
      <c r="H11" s="35"/>
      <c r="I11" s="35"/>
      <c r="J11" s="35"/>
      <c r="K11" s="35"/>
      <c r="L11" s="35"/>
      <c r="M11" s="35"/>
    </row>
    <row r="12" spans="1:17" x14ac:dyDescent="0.25">
      <c r="A12" s="85" t="s">
        <v>138</v>
      </c>
      <c r="B12" s="35"/>
      <c r="C12" s="35"/>
      <c r="D12" s="35"/>
      <c r="E12" s="35"/>
      <c r="F12" s="35"/>
      <c r="G12" s="35"/>
      <c r="H12" s="35"/>
      <c r="I12" s="35"/>
      <c r="J12" s="35"/>
      <c r="K12" s="35"/>
      <c r="L12" s="35"/>
      <c r="M12" s="35"/>
    </row>
    <row r="13" spans="1:17" x14ac:dyDescent="0.25">
      <c r="A13" s="85"/>
      <c r="B13" s="35"/>
      <c r="C13" s="35"/>
      <c r="D13" s="35"/>
      <c r="E13" s="35"/>
      <c r="F13" s="35"/>
      <c r="G13" s="35"/>
      <c r="H13" s="35"/>
      <c r="I13" s="35"/>
      <c r="J13" s="35"/>
      <c r="K13" s="35"/>
      <c r="L13" s="35"/>
      <c r="M13" s="35"/>
    </row>
    <row r="14" spans="1:17" x14ac:dyDescent="0.25">
      <c r="A14" s="89" t="s">
        <v>156</v>
      </c>
      <c r="B14" s="35"/>
      <c r="C14" s="35"/>
      <c r="D14" s="35"/>
      <c r="E14" s="35"/>
      <c r="F14" s="35"/>
      <c r="G14" s="35"/>
      <c r="H14" s="35"/>
      <c r="I14" s="35"/>
      <c r="J14" s="35"/>
      <c r="K14" s="35"/>
      <c r="L14" s="35"/>
      <c r="M14" s="35"/>
    </row>
    <row r="15" spans="1:17" x14ac:dyDescent="0.25">
      <c r="A15" s="85" t="s">
        <v>157</v>
      </c>
      <c r="B15" s="35"/>
      <c r="C15" s="35"/>
      <c r="D15" s="35"/>
      <c r="E15" s="35"/>
      <c r="F15" s="35"/>
      <c r="G15" s="35"/>
      <c r="H15" s="35"/>
      <c r="I15" s="35"/>
      <c r="J15" s="35"/>
      <c r="K15" s="35"/>
      <c r="L15" s="35"/>
      <c r="M15" s="35"/>
    </row>
    <row r="16" spans="1:17" x14ac:dyDescent="0.25">
      <c r="A16" s="85" t="s">
        <v>158</v>
      </c>
    </row>
    <row r="17" spans="1:19" x14ac:dyDescent="0.25">
      <c r="A17" s="85" t="s">
        <v>159</v>
      </c>
    </row>
    <row r="20" spans="1:19" x14ac:dyDescent="0.25">
      <c r="C20" s="195" t="str">
        <f>CONCATENATE(TEXT((EOMONTH('Company Summary'!A4,-1)+1),"mm/dd/yyyy"))&amp;"-"&amp;CONCATENATE(TEXT('Company Summary'!A4,"mm/dd/yyyy"))</f>
        <v>09/01/2023-09/30/2023</v>
      </c>
      <c r="D20" s="195"/>
      <c r="E20" s="195"/>
      <c r="F20" s="195"/>
      <c r="G20" s="195"/>
      <c r="H20" s="195"/>
      <c r="I20" s="195"/>
      <c r="J20" s="195"/>
      <c r="K20" s="195"/>
      <c r="L20" s="195"/>
      <c r="O20" s="75" t="s">
        <v>113</v>
      </c>
      <c r="P20" s="75" t="s">
        <v>114</v>
      </c>
      <c r="Q20" s="75" t="s">
        <v>115</v>
      </c>
      <c r="R20" s="76"/>
    </row>
    <row r="21" spans="1:19" ht="15.75" thickBot="1" x14ac:dyDescent="0.3">
      <c r="A21" s="74" t="s">
        <v>109</v>
      </c>
      <c r="B21" s="74" t="s">
        <v>98</v>
      </c>
      <c r="C21" s="74" t="s">
        <v>99</v>
      </c>
      <c r="D21" s="74" t="s">
        <v>100</v>
      </c>
      <c r="E21" s="74" t="s">
        <v>101</v>
      </c>
      <c r="F21" s="74" t="s">
        <v>102</v>
      </c>
      <c r="G21" s="74" t="s">
        <v>103</v>
      </c>
      <c r="H21" s="74" t="s">
        <v>104</v>
      </c>
      <c r="I21" s="74" t="s">
        <v>105</v>
      </c>
      <c r="J21" s="74" t="s">
        <v>106</v>
      </c>
      <c r="K21" s="74" t="s">
        <v>107</v>
      </c>
      <c r="L21" s="74" t="s">
        <v>108</v>
      </c>
      <c r="O21" s="77" t="s">
        <v>112</v>
      </c>
      <c r="P21" s="77" t="s">
        <v>112</v>
      </c>
      <c r="Q21" s="77" t="s">
        <v>112</v>
      </c>
      <c r="R21" s="77" t="s">
        <v>39</v>
      </c>
    </row>
    <row r="22" spans="1:19" x14ac:dyDescent="0.25">
      <c r="A22" s="82"/>
      <c r="B22" s="35" t="str">
        <f>'Reimbursement Rates &lt;-INPUT'!B7</f>
        <v>Biocorrect-Agile</v>
      </c>
      <c r="C22" s="137">
        <f>SUMIFS(CurrentMonthTransactionData!$R:$R,CurrentMonthTransactionData!$H:$H,"Biocorrect",CurrentMonthTransactionData!$V:$V,"Procedure")</f>
        <v>48088.689999999995</v>
      </c>
      <c r="D22" s="137">
        <f>SUMIFS(CurrentMonthTransactionData!$R:$R,CurrentMonthTransactionData!$H:$H,"Biocorrect",CurrentMonthTransactionData!$V:$V,"InsuranceAdjustment")</f>
        <v>2325.37</v>
      </c>
      <c r="E22" s="137">
        <f>SUMIFS(CurrentMonthTransactionData!$R:$R,CurrentMonthTransactionData!$H:$H,"Biocorrect",CurrentMonthTransactionData!$V:$V,"InsurancePayment")</f>
        <v>15271.739999999998</v>
      </c>
      <c r="F22" s="137">
        <f>SUMIFS(CurrentMonthTransactionData!$R:$R,CurrentMonthTransactionData!$H:$H,"Biocorrect",CurrentMonthTransactionData!$V:$V,"Patient Deposit")</f>
        <v>31428.17</v>
      </c>
      <c r="G22" s="2">
        <f>SUMIFS(CurrentMonthTransactionData!$R:$R,CurrentMonthTransactionData!$H:$H,"Biocorrect",CurrentMonthTransactionData!$V:$V,"PatientPayment")</f>
        <v>941.61000000000013</v>
      </c>
      <c r="H22" s="137">
        <f>SUMIFS(CurrentMonthTransactionData!$R:$R,CurrentMonthTransactionData!$H:$H,"Biocorrect",CurrentMonthTransactionData!$V:$V,"PatientAdjustment")</f>
        <v>409.56</v>
      </c>
      <c r="I22" s="33">
        <f>SUMIFS(CurrentMonthTransactionData!$R:$R,CurrentMonthTransactionData!$H:$H,"Biocorrect",CurrentMonthTransactionData!$V:$V,"Transfer in")</f>
        <v>0</v>
      </c>
      <c r="J22" s="33">
        <f>SUMIFS(CurrentMonthTransactionData!$R:$R,CurrentMonthTransactionData!$H:$H,"Biocorrect",CurrentMonthTransactionData!$V:$V,"Transfer out")</f>
        <v>0</v>
      </c>
      <c r="K22" s="33">
        <f>SUMIFS(CurrentMonthTransactionData!$R:$R,CurrentMonthTransactionData!$H:$H,"Biocorrect",CurrentMonthTransactionData!$V:$V,"Insurance Refund")</f>
        <v>0</v>
      </c>
      <c r="L22" s="33">
        <f>SUMIFS(CurrentMonthTransactionData!$R:$R,CurrentMonthTransactionData!$H:$H,"Biocorrect",CurrentMonthTransactionData!$V:$V,"Patient Refund")</f>
        <v>0</v>
      </c>
      <c r="M22" s="137"/>
      <c r="N22" s="137"/>
      <c r="O22" s="7">
        <f>'Agile AR Aging &lt;-INPUT'!V43</f>
        <v>24348.02</v>
      </c>
      <c r="P22" s="7">
        <f>O22+C22-D22-E22-F22-G22-H22+I22-J22-K22-L22</f>
        <v>22060.26</v>
      </c>
      <c r="Q22" s="7">
        <f>'Agile AR Aging &lt;-INPUT'!K43</f>
        <v>22060.260000000002</v>
      </c>
      <c r="R22" s="7">
        <f>P22-Q22</f>
        <v>0</v>
      </c>
    </row>
    <row r="23" spans="1:19" x14ac:dyDescent="0.25">
      <c r="A23" s="82"/>
      <c r="B23" s="35" t="str">
        <f>'Reimbursement Rates &lt;-INPUT'!C7</f>
        <v>Biocorrect-GP</v>
      </c>
      <c r="C23" s="91"/>
      <c r="D23" s="91"/>
      <c r="E23" s="91"/>
      <c r="F23" s="91"/>
      <c r="G23" s="91"/>
      <c r="H23" s="91"/>
      <c r="I23" s="91"/>
      <c r="J23" s="91"/>
      <c r="K23" s="91"/>
      <c r="L23" s="91"/>
      <c r="O23" s="7"/>
      <c r="P23" s="7"/>
      <c r="Q23" s="7"/>
      <c r="R23" s="7"/>
      <c r="S23" s="31" t="s">
        <v>774</v>
      </c>
    </row>
    <row r="24" spans="1:19" hidden="1" x14ac:dyDescent="0.25">
      <c r="A24" s="82"/>
      <c r="B24" s="35" t="str">
        <f>'Reimbursement Rates &lt;-INPUT'!D7</f>
        <v>Clinic 3</v>
      </c>
      <c r="C24" s="91"/>
      <c r="D24" s="91"/>
      <c r="E24" s="91"/>
      <c r="F24" s="91"/>
      <c r="G24" s="91"/>
      <c r="H24" s="91"/>
      <c r="I24" s="91"/>
      <c r="J24" s="91"/>
      <c r="K24" s="91"/>
      <c r="L24" s="91"/>
      <c r="O24" s="7">
        <f>'Agile AR Aging &lt;-INPUT'!V95</f>
        <v>0</v>
      </c>
      <c r="P24" s="7">
        <f t="shared" ref="P24:P36" si="0">O24+C24-D24-E24-F24-G24-H24+I24-J24-K24-L24</f>
        <v>0</v>
      </c>
      <c r="Q24" s="7">
        <f>'Agile AR Aging &lt;-INPUT'!K95</f>
        <v>0</v>
      </c>
      <c r="R24" s="7">
        <f t="shared" ref="R24:R36" si="1">P24-Q24</f>
        <v>0</v>
      </c>
    </row>
    <row r="25" spans="1:19" hidden="1" x14ac:dyDescent="0.25">
      <c r="A25" s="82"/>
      <c r="B25" s="35" t="str">
        <f>'Reimbursement Rates &lt;-INPUT'!E7</f>
        <v>Clinic 4</v>
      </c>
      <c r="C25" s="91"/>
      <c r="D25" s="91"/>
      <c r="E25" s="91"/>
      <c r="F25" s="91"/>
      <c r="G25" s="91"/>
      <c r="H25" s="91"/>
      <c r="I25" s="91"/>
      <c r="J25" s="91"/>
      <c r="K25" s="91"/>
      <c r="L25" s="91"/>
      <c r="O25" s="7">
        <f>'Agile AR Aging &lt;-INPUT'!V121</f>
        <v>0</v>
      </c>
      <c r="P25" s="7">
        <f t="shared" si="0"/>
        <v>0</v>
      </c>
      <c r="Q25" s="7">
        <f>'Agile AR Aging &lt;-INPUT'!K121</f>
        <v>0</v>
      </c>
      <c r="R25" s="7">
        <f t="shared" si="1"/>
        <v>0</v>
      </c>
    </row>
    <row r="26" spans="1:19" hidden="1" x14ac:dyDescent="0.25">
      <c r="A26" s="82"/>
      <c r="B26" s="35" t="str">
        <f>'Reimbursement Rates &lt;-INPUT'!F7</f>
        <v>Clinic 5</v>
      </c>
      <c r="C26" s="91"/>
      <c r="D26" s="91"/>
      <c r="E26" s="91"/>
      <c r="F26" s="91"/>
      <c r="G26" s="91"/>
      <c r="H26" s="91"/>
      <c r="I26" s="91"/>
      <c r="J26" s="91"/>
      <c r="K26" s="91"/>
      <c r="L26" s="91"/>
      <c r="O26" s="7">
        <f>'Agile AR Aging &lt;-INPUT'!V147</f>
        <v>0</v>
      </c>
      <c r="P26" s="7">
        <f t="shared" si="0"/>
        <v>0</v>
      </c>
      <c r="Q26" s="7">
        <f>'Agile AR Aging &lt;-INPUT'!K147</f>
        <v>0</v>
      </c>
      <c r="R26" s="7">
        <f t="shared" si="1"/>
        <v>0</v>
      </c>
    </row>
    <row r="27" spans="1:19" hidden="1" x14ac:dyDescent="0.25">
      <c r="A27" s="82"/>
      <c r="B27" s="35" t="str">
        <f>'Reimbursement Rates &lt;-INPUT'!G7</f>
        <v>Clinic 6</v>
      </c>
      <c r="C27" s="91"/>
      <c r="D27" s="91"/>
      <c r="E27" s="91"/>
      <c r="F27" s="91"/>
      <c r="G27" s="91"/>
      <c r="H27" s="91"/>
      <c r="I27" s="91"/>
      <c r="J27" s="91"/>
      <c r="K27" s="91"/>
      <c r="L27" s="91"/>
      <c r="O27" s="7">
        <f>'Agile AR Aging &lt;-INPUT'!V173</f>
        <v>0</v>
      </c>
      <c r="P27" s="7">
        <f t="shared" si="0"/>
        <v>0</v>
      </c>
      <c r="Q27" s="7">
        <f>'Agile AR Aging &lt;-INPUT'!K173</f>
        <v>0</v>
      </c>
      <c r="R27" s="7">
        <f t="shared" si="1"/>
        <v>0</v>
      </c>
    </row>
    <row r="28" spans="1:19" hidden="1" x14ac:dyDescent="0.25">
      <c r="A28" s="82"/>
      <c r="B28" s="35" t="str">
        <f>'Reimbursement Rates &lt;-INPUT'!H7</f>
        <v>Clinic 7</v>
      </c>
      <c r="C28" s="91"/>
      <c r="D28" s="91"/>
      <c r="E28" s="91"/>
      <c r="F28" s="91"/>
      <c r="G28" s="91"/>
      <c r="H28" s="91"/>
      <c r="I28" s="91"/>
      <c r="J28" s="91"/>
      <c r="K28" s="91"/>
      <c r="L28" s="91"/>
      <c r="O28" s="7">
        <f>'Agile AR Aging &lt;-INPUT'!V199</f>
        <v>0</v>
      </c>
      <c r="P28" s="7">
        <f t="shared" si="0"/>
        <v>0</v>
      </c>
      <c r="Q28" s="7">
        <f>'Agile AR Aging &lt;-INPUT'!K199</f>
        <v>0</v>
      </c>
      <c r="R28" s="7">
        <f t="shared" si="1"/>
        <v>0</v>
      </c>
    </row>
    <row r="29" spans="1:19" hidden="1" x14ac:dyDescent="0.25">
      <c r="A29" s="82"/>
      <c r="B29" s="35" t="str">
        <f>'Reimbursement Rates &lt;-INPUT'!I7</f>
        <v>Clinic 8</v>
      </c>
      <c r="C29" s="91"/>
      <c r="D29" s="91"/>
      <c r="E29" s="91"/>
      <c r="F29" s="91"/>
      <c r="G29" s="91"/>
      <c r="H29" s="91"/>
      <c r="I29" s="91"/>
      <c r="J29" s="91"/>
      <c r="K29" s="91"/>
      <c r="L29" s="91"/>
      <c r="O29" s="7">
        <f>'Agile AR Aging &lt;-INPUT'!V225</f>
        <v>0</v>
      </c>
      <c r="P29" s="7">
        <f t="shared" si="0"/>
        <v>0</v>
      </c>
      <c r="Q29" s="7">
        <f>'Agile AR Aging &lt;-INPUT'!K225</f>
        <v>0</v>
      </c>
      <c r="R29" s="7">
        <f t="shared" si="1"/>
        <v>0</v>
      </c>
    </row>
    <row r="30" spans="1:19" hidden="1" x14ac:dyDescent="0.25">
      <c r="A30" s="82"/>
      <c r="B30" s="35" t="str">
        <f>'Reimbursement Rates &lt;-INPUT'!J7</f>
        <v>Clinic 9</v>
      </c>
      <c r="C30" s="91"/>
      <c r="D30" s="91"/>
      <c r="E30" s="91"/>
      <c r="F30" s="91"/>
      <c r="G30" s="91"/>
      <c r="H30" s="91"/>
      <c r="I30" s="91"/>
      <c r="J30" s="91"/>
      <c r="K30" s="91"/>
      <c r="L30" s="91"/>
      <c r="O30" s="7">
        <f>'Agile AR Aging &lt;-INPUT'!V251</f>
        <v>0</v>
      </c>
      <c r="P30" s="7">
        <f t="shared" si="0"/>
        <v>0</v>
      </c>
      <c r="Q30" s="7">
        <f>'Agile AR Aging &lt;-INPUT'!K251</f>
        <v>0</v>
      </c>
      <c r="R30" s="7">
        <f t="shared" si="1"/>
        <v>0</v>
      </c>
    </row>
    <row r="31" spans="1:19" hidden="1" x14ac:dyDescent="0.25">
      <c r="A31" s="82"/>
      <c r="B31" s="35" t="str">
        <f>'Reimbursement Rates &lt;-INPUT'!K7</f>
        <v>Clinic 10</v>
      </c>
      <c r="C31" s="91"/>
      <c r="D31" s="91"/>
      <c r="E31" s="91"/>
      <c r="F31" s="91"/>
      <c r="G31" s="91"/>
      <c r="H31" s="91"/>
      <c r="I31" s="91"/>
      <c r="J31" s="91"/>
      <c r="K31" s="91"/>
      <c r="L31" s="91"/>
      <c r="O31" s="7">
        <f>'Agile AR Aging &lt;-INPUT'!V277</f>
        <v>0</v>
      </c>
      <c r="P31" s="7">
        <f t="shared" si="0"/>
        <v>0</v>
      </c>
      <c r="Q31" s="7">
        <f>'Agile AR Aging &lt;-INPUT'!K277</f>
        <v>0</v>
      </c>
      <c r="R31" s="7">
        <f t="shared" si="1"/>
        <v>0</v>
      </c>
    </row>
    <row r="32" spans="1:19" hidden="1" x14ac:dyDescent="0.25">
      <c r="A32" s="82"/>
      <c r="B32" s="35" t="str">
        <f>'Reimbursement Rates &lt;-INPUT'!L7</f>
        <v>Clinic 11</v>
      </c>
      <c r="C32" s="91"/>
      <c r="D32" s="91"/>
      <c r="E32" s="91"/>
      <c r="F32" s="91"/>
      <c r="G32" s="91"/>
      <c r="H32" s="91"/>
      <c r="I32" s="91"/>
      <c r="J32" s="91"/>
      <c r="K32" s="91"/>
      <c r="L32" s="91"/>
      <c r="O32" s="7">
        <f>'Agile AR Aging &lt;-INPUT'!V303</f>
        <v>0</v>
      </c>
      <c r="P32" s="7">
        <f t="shared" si="0"/>
        <v>0</v>
      </c>
      <c r="Q32" s="7">
        <f>'Agile AR Aging &lt;-INPUT'!K303</f>
        <v>0</v>
      </c>
      <c r="R32" s="7">
        <f t="shared" si="1"/>
        <v>0</v>
      </c>
    </row>
    <row r="33" spans="1:18" hidden="1" x14ac:dyDescent="0.25">
      <c r="A33" s="82"/>
      <c r="B33" s="35" t="str">
        <f>'Reimbursement Rates &lt;-INPUT'!M7</f>
        <v>Clinic 12</v>
      </c>
      <c r="C33" s="91"/>
      <c r="D33" s="91"/>
      <c r="E33" s="91"/>
      <c r="F33" s="91"/>
      <c r="G33" s="91"/>
      <c r="H33" s="91"/>
      <c r="I33" s="91"/>
      <c r="J33" s="91"/>
      <c r="K33" s="91"/>
      <c r="L33" s="91"/>
      <c r="O33" s="7">
        <f>'Agile AR Aging &lt;-INPUT'!V329</f>
        <v>0</v>
      </c>
      <c r="P33" s="7">
        <f t="shared" si="0"/>
        <v>0</v>
      </c>
      <c r="Q33" s="7">
        <f>'Agile AR Aging &lt;-INPUT'!K329</f>
        <v>0</v>
      </c>
      <c r="R33" s="7">
        <f t="shared" si="1"/>
        <v>0</v>
      </c>
    </row>
    <row r="34" spans="1:18" hidden="1" x14ac:dyDescent="0.25">
      <c r="A34" s="82"/>
      <c r="B34" s="35" t="str">
        <f>'Reimbursement Rates &lt;-INPUT'!N7</f>
        <v>Clinic 13</v>
      </c>
      <c r="C34" s="91"/>
      <c r="D34" s="91"/>
      <c r="E34" s="91"/>
      <c r="F34" s="91"/>
      <c r="G34" s="91"/>
      <c r="H34" s="91"/>
      <c r="I34" s="91"/>
      <c r="J34" s="91"/>
      <c r="K34" s="91"/>
      <c r="L34" s="91"/>
      <c r="O34" s="7">
        <f>'Agile AR Aging &lt;-INPUT'!V355</f>
        <v>0</v>
      </c>
      <c r="P34" s="7">
        <f t="shared" si="0"/>
        <v>0</v>
      </c>
      <c r="Q34" s="7">
        <f>'Agile AR Aging &lt;-INPUT'!K355</f>
        <v>0</v>
      </c>
      <c r="R34" s="7">
        <f t="shared" si="1"/>
        <v>0</v>
      </c>
    </row>
    <row r="35" spans="1:18" hidden="1" x14ac:dyDescent="0.25">
      <c r="A35" s="82"/>
      <c r="B35" s="35" t="str">
        <f>'Reimbursement Rates &lt;-INPUT'!O7</f>
        <v>Clinic 14</v>
      </c>
      <c r="C35" s="91"/>
      <c r="D35" s="91"/>
      <c r="E35" s="91"/>
      <c r="F35" s="91"/>
      <c r="G35" s="91"/>
      <c r="H35" s="91"/>
      <c r="I35" s="91"/>
      <c r="J35" s="91"/>
      <c r="K35" s="91"/>
      <c r="L35" s="91"/>
      <c r="O35" s="7">
        <f>'Agile AR Aging &lt;-INPUT'!V381</f>
        <v>0</v>
      </c>
      <c r="P35" s="7">
        <f t="shared" si="0"/>
        <v>0</v>
      </c>
      <c r="Q35" s="7">
        <f>'Agile AR Aging &lt;-INPUT'!K381</f>
        <v>0</v>
      </c>
      <c r="R35" s="7">
        <f t="shared" si="1"/>
        <v>0</v>
      </c>
    </row>
    <row r="36" spans="1:18" hidden="1" x14ac:dyDescent="0.25">
      <c r="A36" s="82"/>
      <c r="B36" s="35" t="str">
        <f>'Reimbursement Rates &lt;-INPUT'!P7</f>
        <v>Clinic 15</v>
      </c>
      <c r="C36" s="91"/>
      <c r="D36" s="91"/>
      <c r="E36" s="91"/>
      <c r="F36" s="91"/>
      <c r="G36" s="91"/>
      <c r="H36" s="91"/>
      <c r="I36" s="91"/>
      <c r="J36" s="91"/>
      <c r="K36" s="91"/>
      <c r="L36" s="91"/>
      <c r="O36" s="7">
        <f>'Agile AR Aging &lt;-INPUT'!V407</f>
        <v>0</v>
      </c>
      <c r="P36" s="7">
        <f t="shared" si="0"/>
        <v>0</v>
      </c>
      <c r="Q36" s="7">
        <f>'Agile AR Aging &lt;-INPUT'!K407</f>
        <v>0</v>
      </c>
      <c r="R36" s="7">
        <f t="shared" si="1"/>
        <v>0</v>
      </c>
    </row>
    <row r="37" spans="1:18" ht="15.75" thickBot="1" x14ac:dyDescent="0.3">
      <c r="C37" s="70">
        <f>SUM(C22:C36)</f>
        <v>48088.689999999995</v>
      </c>
      <c r="D37" s="70">
        <f t="shared" ref="D37:L37" si="2">SUM(D22:D36)</f>
        <v>2325.37</v>
      </c>
      <c r="E37" s="70">
        <f t="shared" si="2"/>
        <v>15271.739999999998</v>
      </c>
      <c r="F37" s="70">
        <f t="shared" si="2"/>
        <v>31428.17</v>
      </c>
      <c r="G37" s="70">
        <f t="shared" si="2"/>
        <v>941.61000000000013</v>
      </c>
      <c r="H37" s="70">
        <f t="shared" si="2"/>
        <v>409.56</v>
      </c>
      <c r="I37" s="70">
        <f t="shared" si="2"/>
        <v>0</v>
      </c>
      <c r="J37" s="70">
        <f t="shared" si="2"/>
        <v>0</v>
      </c>
      <c r="K37" s="70">
        <f t="shared" si="2"/>
        <v>0</v>
      </c>
      <c r="L37" s="70">
        <f t="shared" si="2"/>
        <v>0</v>
      </c>
      <c r="M37" s="7">
        <f>SUM(C37:L37)</f>
        <v>98465.139999999985</v>
      </c>
      <c r="O37" s="92">
        <f>SUM(O22:O36)</f>
        <v>24348.02</v>
      </c>
      <c r="P37" s="92">
        <f t="shared" ref="P37:R37" si="3">SUM(P22:P36)</f>
        <v>22060.26</v>
      </c>
      <c r="Q37" s="92">
        <f t="shared" si="3"/>
        <v>22060.260000000002</v>
      </c>
      <c r="R37" s="92">
        <f t="shared" si="3"/>
        <v>0</v>
      </c>
    </row>
    <row r="38" spans="1:18" x14ac:dyDescent="0.25">
      <c r="F38" s="7">
        <f>SUM(E37:G37)</f>
        <v>47641.52</v>
      </c>
    </row>
  </sheetData>
  <mergeCells count="5">
    <mergeCell ref="A1:M1"/>
    <mergeCell ref="A2:M2"/>
    <mergeCell ref="A3:M3"/>
    <mergeCell ref="A5:Q5"/>
    <mergeCell ref="C20:L20"/>
  </mergeCells>
  <conditionalFormatting sqref="R22:R37">
    <cfRule type="cellIs" dxfId="4" priority="1" operator="lessThan">
      <formula>0</formula>
    </cfRule>
    <cfRule type="cellIs" dxfId="3" priority="2" operator="greaterThan">
      <formula>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6"/>
  </sheetPr>
  <dimension ref="A1:R57"/>
  <sheetViews>
    <sheetView topLeftCell="B1" zoomScale="85" zoomScaleNormal="85" workbookViewId="0">
      <selection activeCell="B1" sqref="B1:M1"/>
    </sheetView>
  </sheetViews>
  <sheetFormatPr defaultRowHeight="15" x14ac:dyDescent="0.25"/>
  <cols>
    <col min="1" max="1" width="9.140625" hidden="1" customWidth="1"/>
    <col min="2" max="2" width="20.7109375" customWidth="1"/>
    <col min="3" max="3" width="15.7109375" customWidth="1"/>
    <col min="4" max="4" width="20.7109375" customWidth="1"/>
    <col min="5" max="8" width="18.7109375" customWidth="1"/>
    <col min="9" max="10" width="15.7109375" customWidth="1"/>
    <col min="11" max="11" width="18.7109375" customWidth="1"/>
    <col min="12" max="12" width="15.7109375" customWidth="1"/>
    <col min="13" max="13" width="29.5703125" customWidth="1"/>
    <col min="14" max="17" width="12.7109375" customWidth="1"/>
  </cols>
  <sheetData>
    <row r="1" spans="2:17" ht="18.75" x14ac:dyDescent="0.3">
      <c r="B1" s="173" t="s">
        <v>17</v>
      </c>
      <c r="C1" s="173"/>
      <c r="D1" s="173"/>
      <c r="E1" s="173"/>
      <c r="F1" s="173"/>
      <c r="G1" s="173"/>
      <c r="H1" s="173"/>
      <c r="I1" s="173"/>
      <c r="J1" s="173"/>
      <c r="K1" s="173"/>
      <c r="L1" s="173"/>
      <c r="M1" s="173"/>
    </row>
    <row r="2" spans="2:17" ht="15.75" x14ac:dyDescent="0.25">
      <c r="B2" s="174" t="str">
        <f>'Reimbursement Rates &lt;-INPUT'!A2</f>
        <v>Biocorrect</v>
      </c>
      <c r="C2" s="174"/>
      <c r="D2" s="174"/>
      <c r="E2" s="174"/>
      <c r="F2" s="174"/>
      <c r="G2" s="174"/>
      <c r="H2" s="174"/>
      <c r="I2" s="174"/>
      <c r="J2" s="174"/>
      <c r="K2" s="174"/>
      <c r="L2" s="174"/>
      <c r="M2" s="174"/>
    </row>
    <row r="3" spans="2:17" x14ac:dyDescent="0.25">
      <c r="B3" s="175" t="s">
        <v>273</v>
      </c>
      <c r="C3" s="175"/>
      <c r="D3" s="175"/>
      <c r="E3" s="175"/>
      <c r="F3" s="175"/>
      <c r="G3" s="175"/>
      <c r="H3" s="175"/>
      <c r="I3" s="175"/>
      <c r="J3" s="175"/>
      <c r="K3" s="175"/>
      <c r="L3" s="175"/>
      <c r="M3" s="175"/>
    </row>
    <row r="4" spans="2:17" ht="15.75" thickBot="1" x14ac:dyDescent="0.3">
      <c r="B4" s="35"/>
      <c r="C4" s="35"/>
      <c r="D4" s="35"/>
      <c r="E4" s="35"/>
      <c r="F4" s="35"/>
      <c r="G4" s="35"/>
      <c r="H4" s="35"/>
      <c r="I4" s="35"/>
      <c r="J4" s="35"/>
      <c r="K4" s="35"/>
      <c r="L4" s="35"/>
      <c r="M4" s="35"/>
    </row>
    <row r="5" spans="2:17" ht="15.75" thickBot="1" x14ac:dyDescent="0.3">
      <c r="B5" s="189" t="s">
        <v>130</v>
      </c>
      <c r="C5" s="190"/>
      <c r="D5" s="190"/>
      <c r="E5" s="190"/>
      <c r="F5" s="190"/>
      <c r="G5" s="190"/>
      <c r="H5" s="190"/>
      <c r="I5" s="190"/>
      <c r="J5" s="190"/>
      <c r="K5" s="190"/>
      <c r="L5" s="190"/>
      <c r="M5" s="190"/>
      <c r="N5" s="190"/>
      <c r="O5" s="190"/>
      <c r="P5" s="190"/>
      <c r="Q5" s="191"/>
    </row>
    <row r="6" spans="2:17" x14ac:dyDescent="0.25">
      <c r="B6" s="35"/>
      <c r="C6" s="35"/>
      <c r="D6" s="35"/>
      <c r="E6" s="35"/>
      <c r="F6" s="35"/>
      <c r="G6" s="35"/>
      <c r="H6" s="35"/>
      <c r="I6" s="35"/>
      <c r="J6" s="35"/>
      <c r="K6" s="35"/>
      <c r="L6" s="35"/>
      <c r="M6" s="35"/>
    </row>
    <row r="7" spans="2:17" x14ac:dyDescent="0.25">
      <c r="B7" s="65" t="s">
        <v>134</v>
      </c>
      <c r="C7" s="35"/>
      <c r="D7" s="35"/>
      <c r="E7" s="35"/>
      <c r="F7" s="35"/>
      <c r="G7" s="35"/>
      <c r="H7" s="35"/>
      <c r="I7" s="35"/>
      <c r="J7" s="35"/>
      <c r="K7" s="35"/>
      <c r="L7" s="35"/>
      <c r="M7" s="35"/>
    </row>
    <row r="8" spans="2:17" x14ac:dyDescent="0.25">
      <c r="B8" s="85" t="s">
        <v>153</v>
      </c>
      <c r="C8" s="35"/>
      <c r="D8" s="35"/>
      <c r="E8" s="35"/>
      <c r="F8" s="35"/>
      <c r="G8" s="35"/>
      <c r="H8" s="35"/>
      <c r="I8" s="35"/>
      <c r="J8" s="35"/>
      <c r="K8" s="35"/>
      <c r="L8" s="35"/>
      <c r="M8" s="35"/>
    </row>
    <row r="9" spans="2:17" x14ac:dyDescent="0.25">
      <c r="B9" s="85" t="s">
        <v>160</v>
      </c>
      <c r="C9" s="35"/>
      <c r="D9" s="35"/>
      <c r="E9" s="35"/>
      <c r="F9" s="35"/>
      <c r="G9" s="35"/>
      <c r="H9" s="35"/>
      <c r="I9" s="35"/>
      <c r="J9" s="35"/>
      <c r="K9" s="35"/>
      <c r="L9" s="35"/>
      <c r="M9" s="35"/>
    </row>
    <row r="10" spans="2:17" x14ac:dyDescent="0.25">
      <c r="B10" s="85" t="s">
        <v>161</v>
      </c>
      <c r="C10" s="35"/>
      <c r="D10" s="35"/>
      <c r="E10" s="35"/>
      <c r="F10" s="35"/>
      <c r="G10" s="35"/>
      <c r="H10" s="35"/>
      <c r="I10" s="35"/>
      <c r="J10" s="35"/>
      <c r="K10" s="35"/>
      <c r="L10" s="35"/>
      <c r="M10" s="35"/>
    </row>
    <row r="11" spans="2:17" x14ac:dyDescent="0.25">
      <c r="B11" s="85" t="s">
        <v>162</v>
      </c>
      <c r="C11" s="35"/>
      <c r="D11" s="35"/>
      <c r="E11" s="35"/>
      <c r="F11" s="35"/>
      <c r="G11" s="35"/>
      <c r="H11" s="35"/>
      <c r="I11" s="35"/>
      <c r="J11" s="35"/>
      <c r="K11" s="35"/>
      <c r="L11" s="35"/>
      <c r="M11" s="35"/>
    </row>
    <row r="12" spans="2:17" x14ac:dyDescent="0.25">
      <c r="B12" s="85"/>
      <c r="C12" s="35"/>
      <c r="D12" s="35"/>
      <c r="E12" s="35"/>
      <c r="F12" s="35"/>
      <c r="G12" s="35"/>
      <c r="H12" s="35"/>
      <c r="I12" s="35"/>
      <c r="J12" s="35"/>
      <c r="K12" s="35"/>
      <c r="L12" s="35"/>
      <c r="M12" s="35"/>
    </row>
    <row r="13" spans="2:17" x14ac:dyDescent="0.25">
      <c r="B13" s="89" t="s">
        <v>156</v>
      </c>
      <c r="C13" s="35"/>
      <c r="D13" s="35"/>
      <c r="E13" s="35"/>
      <c r="F13" s="35"/>
      <c r="G13" s="35"/>
      <c r="H13" s="35"/>
      <c r="I13" s="35"/>
      <c r="J13" s="35"/>
      <c r="K13" s="35"/>
      <c r="L13" s="35"/>
      <c r="M13" s="35"/>
    </row>
    <row r="14" spans="2:17" x14ac:dyDescent="0.25">
      <c r="B14" s="85" t="s">
        <v>157</v>
      </c>
      <c r="C14" s="35"/>
      <c r="D14" s="35"/>
      <c r="E14" s="35"/>
      <c r="F14" s="35"/>
      <c r="G14" s="35"/>
      <c r="H14" s="35"/>
      <c r="I14" s="35"/>
      <c r="J14" s="35"/>
      <c r="K14" s="35"/>
      <c r="L14" s="35"/>
      <c r="M14" s="35"/>
    </row>
    <row r="15" spans="2:17" x14ac:dyDescent="0.25">
      <c r="B15" s="85" t="s">
        <v>158</v>
      </c>
      <c r="C15" s="35"/>
      <c r="D15" s="35"/>
      <c r="E15" s="35"/>
      <c r="F15" s="35"/>
      <c r="G15" s="35"/>
      <c r="H15" s="35"/>
      <c r="I15" s="35"/>
      <c r="J15" s="35"/>
      <c r="K15" s="35"/>
      <c r="L15" s="35"/>
      <c r="M15" s="35"/>
    </row>
    <row r="16" spans="2:17" x14ac:dyDescent="0.25">
      <c r="B16" s="85" t="s">
        <v>163</v>
      </c>
      <c r="C16" s="35"/>
      <c r="D16" s="35"/>
      <c r="E16" s="35"/>
      <c r="F16" s="35"/>
      <c r="G16" s="35"/>
      <c r="H16" s="35"/>
      <c r="I16" s="35"/>
      <c r="J16" s="35"/>
      <c r="K16" s="35"/>
      <c r="L16" s="35"/>
      <c r="M16" s="35"/>
    </row>
    <row r="17" spans="2:13" x14ac:dyDescent="0.25">
      <c r="B17" s="93" t="s">
        <v>164</v>
      </c>
      <c r="C17" s="35"/>
      <c r="D17" s="35"/>
      <c r="E17" s="35"/>
      <c r="F17" s="35"/>
      <c r="G17" s="35"/>
      <c r="H17" s="35"/>
      <c r="I17" s="35"/>
      <c r="J17" s="35"/>
      <c r="K17" s="35"/>
      <c r="L17" s="35"/>
      <c r="M17" s="35"/>
    </row>
    <row r="18" spans="2:13" x14ac:dyDescent="0.25">
      <c r="B18" s="93" t="s">
        <v>777</v>
      </c>
      <c r="C18" s="35"/>
      <c r="D18" s="35"/>
      <c r="E18" s="35"/>
      <c r="F18" s="35"/>
      <c r="G18" s="35"/>
      <c r="H18" s="35"/>
      <c r="I18" s="35"/>
      <c r="J18" s="35"/>
      <c r="K18" s="35"/>
      <c r="L18" s="35"/>
      <c r="M18" s="35"/>
    </row>
    <row r="19" spans="2:13" x14ac:dyDescent="0.25">
      <c r="B19" s="93" t="s">
        <v>165</v>
      </c>
      <c r="C19" s="35"/>
      <c r="D19" s="35"/>
      <c r="E19" s="35"/>
      <c r="F19" s="35"/>
      <c r="G19" s="35"/>
      <c r="H19" s="35"/>
      <c r="I19" s="35"/>
      <c r="J19" s="35"/>
      <c r="K19" s="35"/>
      <c r="L19" s="35"/>
      <c r="M19" s="35"/>
    </row>
    <row r="20" spans="2:13" x14ac:dyDescent="0.25">
      <c r="B20" s="93" t="s">
        <v>166</v>
      </c>
      <c r="C20" s="35"/>
      <c r="D20" s="35"/>
      <c r="E20" s="35"/>
      <c r="F20" s="35"/>
      <c r="G20" s="35"/>
      <c r="H20" s="35"/>
      <c r="I20" s="35"/>
      <c r="J20" s="35"/>
      <c r="K20" s="35"/>
      <c r="L20" s="35"/>
      <c r="M20" s="35"/>
    </row>
    <row r="21" spans="2:13" x14ac:dyDescent="0.25">
      <c r="B21" s="93" t="s">
        <v>167</v>
      </c>
      <c r="C21" s="35"/>
      <c r="D21" s="35"/>
      <c r="E21" s="35"/>
      <c r="F21" s="35"/>
      <c r="G21" s="35"/>
      <c r="H21" s="35"/>
      <c r="I21" s="35"/>
      <c r="J21" s="35"/>
      <c r="K21" s="35"/>
      <c r="L21" s="35"/>
      <c r="M21" s="35"/>
    </row>
    <row r="22" spans="2:13" x14ac:dyDescent="0.25">
      <c r="B22" s="94" t="s">
        <v>168</v>
      </c>
      <c r="C22" s="35"/>
      <c r="D22" s="35"/>
      <c r="E22" s="35"/>
      <c r="F22" s="35"/>
      <c r="G22" s="35"/>
      <c r="H22" s="35"/>
      <c r="I22" s="35"/>
      <c r="J22" s="35"/>
      <c r="K22" s="35"/>
      <c r="L22" s="35"/>
      <c r="M22" s="35"/>
    </row>
    <row r="23" spans="2:13" x14ac:dyDescent="0.25">
      <c r="B23" s="94" t="s">
        <v>169</v>
      </c>
      <c r="C23" s="35"/>
      <c r="D23" s="35"/>
      <c r="E23" s="35"/>
      <c r="F23" s="35"/>
      <c r="G23" s="35"/>
      <c r="H23" s="35"/>
      <c r="I23" s="35"/>
      <c r="J23" s="35"/>
      <c r="K23" s="35"/>
      <c r="L23" s="35"/>
      <c r="M23" s="35"/>
    </row>
    <row r="24" spans="2:13" x14ac:dyDescent="0.25">
      <c r="B24" s="94" t="s">
        <v>170</v>
      </c>
      <c r="C24" s="35"/>
      <c r="D24" s="35"/>
      <c r="E24" s="35"/>
      <c r="F24" s="35"/>
      <c r="G24" s="35"/>
      <c r="H24" s="35"/>
      <c r="I24" s="35"/>
      <c r="J24" s="35"/>
      <c r="K24" s="35"/>
      <c r="L24" s="35"/>
      <c r="M24" s="35"/>
    </row>
    <row r="25" spans="2:13" x14ac:dyDescent="0.25">
      <c r="B25" s="93" t="s">
        <v>171</v>
      </c>
      <c r="C25" s="35"/>
      <c r="D25" s="35"/>
      <c r="E25" s="35"/>
      <c r="F25" s="35"/>
      <c r="G25" s="35"/>
      <c r="H25" s="35"/>
      <c r="I25" s="35"/>
      <c r="J25" s="35"/>
      <c r="K25" s="35"/>
      <c r="L25" s="35"/>
      <c r="M25" s="35"/>
    </row>
    <row r="26" spans="2:13" x14ac:dyDescent="0.25">
      <c r="B26" s="93" t="s">
        <v>172</v>
      </c>
      <c r="C26" s="35"/>
      <c r="D26" s="35"/>
      <c r="E26" s="35"/>
      <c r="F26" s="35"/>
      <c r="G26" s="35"/>
      <c r="H26" s="35"/>
      <c r="I26" s="35"/>
      <c r="J26" s="35"/>
      <c r="K26" s="35"/>
      <c r="L26" s="35"/>
      <c r="M26" s="35"/>
    </row>
    <row r="27" spans="2:13" x14ac:dyDescent="0.25">
      <c r="B27" s="93" t="s">
        <v>173</v>
      </c>
      <c r="C27" s="35"/>
      <c r="D27" s="35"/>
      <c r="E27" s="35"/>
      <c r="F27" s="35"/>
      <c r="G27" s="35"/>
      <c r="H27" s="35"/>
      <c r="I27" s="35"/>
      <c r="J27" s="35"/>
      <c r="K27" s="35"/>
      <c r="L27" s="35"/>
      <c r="M27" s="35"/>
    </row>
    <row r="28" spans="2:13" x14ac:dyDescent="0.25">
      <c r="B28" s="93" t="s">
        <v>174</v>
      </c>
      <c r="C28" s="35"/>
      <c r="D28" s="35"/>
      <c r="E28" s="35"/>
      <c r="F28" s="35"/>
      <c r="G28" s="35"/>
      <c r="H28" s="35"/>
      <c r="I28" s="35"/>
      <c r="J28" s="35"/>
      <c r="K28" s="35"/>
      <c r="L28" s="35"/>
      <c r="M28" s="35"/>
    </row>
    <row r="29" spans="2:13" x14ac:dyDescent="0.25">
      <c r="B29" s="93" t="s">
        <v>175</v>
      </c>
      <c r="C29" s="35"/>
      <c r="D29" s="35"/>
      <c r="E29" s="35"/>
      <c r="F29" s="35"/>
      <c r="G29" s="35"/>
      <c r="H29" s="35"/>
      <c r="I29" s="35"/>
      <c r="J29" s="35"/>
      <c r="K29" s="35"/>
      <c r="L29" s="35"/>
      <c r="M29" s="35"/>
    </row>
    <row r="30" spans="2:13" x14ac:dyDescent="0.25">
      <c r="B30" s="85" t="s">
        <v>176</v>
      </c>
      <c r="C30" s="35"/>
      <c r="D30" s="35"/>
      <c r="E30" s="35"/>
      <c r="F30" s="35"/>
      <c r="G30" s="35"/>
      <c r="H30" s="35"/>
      <c r="I30" s="35"/>
      <c r="J30" s="35"/>
      <c r="K30" s="35"/>
      <c r="L30" s="35"/>
      <c r="M30" s="35"/>
    </row>
    <row r="33" spans="1:17" hidden="1" x14ac:dyDescent="0.25">
      <c r="C33" t="s">
        <v>99</v>
      </c>
      <c r="D33" t="s">
        <v>1157</v>
      </c>
      <c r="E33" t="s">
        <v>1155</v>
      </c>
      <c r="F33" t="s">
        <v>102</v>
      </c>
      <c r="G33" t="s">
        <v>1163</v>
      </c>
      <c r="H33" t="s">
        <v>1158</v>
      </c>
      <c r="I33" t="s">
        <v>105</v>
      </c>
      <c r="J33" t="s">
        <v>106</v>
      </c>
      <c r="K33" t="s">
        <v>107</v>
      </c>
      <c r="L33" t="s">
        <v>108</v>
      </c>
    </row>
    <row r="34" spans="1:17" x14ac:dyDescent="0.25">
      <c r="C34" s="195" t="str">
        <f>'RF by Location &lt;-INPUT'!C20:L20</f>
        <v>09/01/2023-09/30/2023</v>
      </c>
      <c r="D34" s="195"/>
      <c r="E34" s="195"/>
      <c r="F34" s="195"/>
      <c r="G34" s="195"/>
      <c r="H34" s="195"/>
      <c r="I34" s="195"/>
      <c r="J34" s="195"/>
      <c r="K34" s="195"/>
      <c r="L34" s="195"/>
      <c r="N34" s="75" t="s">
        <v>113</v>
      </c>
      <c r="O34" s="75" t="s">
        <v>114</v>
      </c>
      <c r="P34" s="75" t="s">
        <v>115</v>
      </c>
      <c r="Q34" s="76"/>
    </row>
    <row r="35" spans="1:17" ht="15.75" thickBot="1" x14ac:dyDescent="0.3">
      <c r="B35" s="74" t="s">
        <v>116</v>
      </c>
      <c r="C35" s="74" t="s">
        <v>99</v>
      </c>
      <c r="D35" s="74" t="s">
        <v>100</v>
      </c>
      <c r="E35" s="74" t="s">
        <v>101</v>
      </c>
      <c r="F35" s="74" t="s">
        <v>102</v>
      </c>
      <c r="G35" s="74" t="s">
        <v>103</v>
      </c>
      <c r="H35" s="74" t="s">
        <v>104</v>
      </c>
      <c r="I35" s="74" t="s">
        <v>105</v>
      </c>
      <c r="J35" s="74" t="s">
        <v>106</v>
      </c>
      <c r="K35" s="74" t="s">
        <v>107</v>
      </c>
      <c r="L35" s="74" t="s">
        <v>108</v>
      </c>
      <c r="N35" s="77" t="s">
        <v>112</v>
      </c>
      <c r="O35" s="77" t="s">
        <v>112</v>
      </c>
      <c r="P35" s="77" t="s">
        <v>112</v>
      </c>
      <c r="Q35" s="77" t="s">
        <v>39</v>
      </c>
    </row>
    <row r="36" spans="1:17" x14ac:dyDescent="0.25">
      <c r="A36" t="s">
        <v>1094</v>
      </c>
      <c r="B36" s="1" t="s">
        <v>49</v>
      </c>
      <c r="C36" s="91">
        <f>SUMIFS(CurrentMonthTransactionData!$R:$R,CurrentMonthTransactionData!$V:$V,C$33,CurrentMonthTransactionData!$W:$W,""&amp;$A36&amp;"")</f>
        <v>0</v>
      </c>
      <c r="D36" s="91">
        <f>SUMIFS(CurrentMonthTransactionData!$R:$R,CurrentMonthTransactionData!$V:$V,D$33,CurrentMonthTransactionData!$W:$W,""&amp;$A36&amp;"")</f>
        <v>0</v>
      </c>
      <c r="E36" s="91">
        <f>SUMIFS(CurrentMonthTransactionData!$R:$R,CurrentMonthTransactionData!$V:$V,E$33,CurrentMonthTransactionData!$W:$W,""&amp;$A36&amp;"")</f>
        <v>0</v>
      </c>
      <c r="F36" s="91">
        <f>SUMIFS(CurrentMonthTransactionData!$R:$R,CurrentMonthTransactionData!$V:$V,F$33,CurrentMonthTransactionData!$W:$W,""&amp;$A36&amp;"")</f>
        <v>0</v>
      </c>
      <c r="G36" s="91">
        <f>SUMIFS(CurrentMonthTransactionData!$R:$R,CurrentMonthTransactionData!$V:$V,G$33,CurrentMonthTransactionData!$W:$W,""&amp;$A36&amp;"")</f>
        <v>0</v>
      </c>
      <c r="H36" s="91">
        <f>SUMIFS(CurrentMonthTransactionData!$R:$R,CurrentMonthTransactionData!$V:$V,H$33,CurrentMonthTransactionData!$W:$W,""&amp;$A36&amp;"")</f>
        <v>0</v>
      </c>
      <c r="I36" s="91">
        <f>SUMIFS(CurrentMonthTransactionData!$R:$R,CurrentMonthTransactionData!$V:$V,I$33,CurrentMonthTransactionData!$W:$W,""&amp;$A36&amp;"")</f>
        <v>0</v>
      </c>
      <c r="J36" s="91">
        <f>SUMIFS(CurrentMonthTransactionData!$R:$R,CurrentMonthTransactionData!$V:$V,J$33,CurrentMonthTransactionData!$W:$W,""&amp;$A36&amp;"")</f>
        <v>0</v>
      </c>
      <c r="K36" s="91">
        <f>SUMIFS(CurrentMonthTransactionData!$R:$R,CurrentMonthTransactionData!$V:$V,K$33,CurrentMonthTransactionData!$W:$W,""&amp;$A36&amp;"")</f>
        <v>0</v>
      </c>
      <c r="L36" s="91">
        <f>SUMIFS(CurrentMonthTransactionData!$R:$R,CurrentMonthTransactionData!$V:$V,L$33,CurrentMonthTransactionData!$W:$W,""&amp;$A36&amp;"")</f>
        <v>0</v>
      </c>
      <c r="M36" s="7"/>
      <c r="N36" s="7">
        <f>'Agile AR Aging &lt;-INPUT'!V23</f>
        <v>0</v>
      </c>
      <c r="O36" s="7">
        <f>N36+C36-D36-E36-F36-G36-H36+I36-J36+K36+L36</f>
        <v>0</v>
      </c>
      <c r="P36" s="7">
        <f>'Agile AR Aging &lt;-INPUT'!K23</f>
        <v>0</v>
      </c>
      <c r="Q36" s="7">
        <f>O36-P36</f>
        <v>0</v>
      </c>
    </row>
    <row r="37" spans="1:17" x14ac:dyDescent="0.25">
      <c r="A37" t="s">
        <v>8</v>
      </c>
      <c r="B37" s="1" t="s">
        <v>8</v>
      </c>
      <c r="C37" s="2">
        <f>SUMIFS(CurrentMonthTransactionData!$R:$R,CurrentMonthTransactionData!$V:$V,C$33,CurrentMonthTransactionData!$W:$W,""&amp;$A37&amp;"")</f>
        <v>432</v>
      </c>
      <c r="D37" s="2">
        <f>SUMIFS(CurrentMonthTransactionData!$R:$R,CurrentMonthTransactionData!$V:$V,D$33,CurrentMonthTransactionData!$W:$W,""&amp;$A37&amp;"")</f>
        <v>0</v>
      </c>
      <c r="E37" s="2">
        <f>SUMIFS(CurrentMonthTransactionData!$R:$R,CurrentMonthTransactionData!$V:$V,E$33,CurrentMonthTransactionData!$W:$W,""&amp;$A37&amp;"")</f>
        <v>0</v>
      </c>
      <c r="F37" s="2">
        <f>SUMIFS(CurrentMonthTransactionData!$R:$R,CurrentMonthTransactionData!$V:$V,F$33,CurrentMonthTransactionData!$W:$W,""&amp;$A37&amp;"")</f>
        <v>0</v>
      </c>
      <c r="G37" s="2">
        <f>SUMIFS(CurrentMonthTransactionData!$R:$R,CurrentMonthTransactionData!$V:$V,G$33,CurrentMonthTransactionData!$W:$W,""&amp;$A37&amp;"")</f>
        <v>0</v>
      </c>
      <c r="H37" s="2">
        <f>SUMIFS(CurrentMonthTransactionData!$R:$R,CurrentMonthTransactionData!$V:$V,H$33,CurrentMonthTransactionData!$W:$W,""&amp;$A37&amp;"")</f>
        <v>0</v>
      </c>
      <c r="I37" s="91">
        <f>SUMIFS(CurrentMonthTransactionData!$R:$R,CurrentMonthTransactionData!$V:$V,I$33,CurrentMonthTransactionData!$W:$W,""&amp;$A37&amp;"")</f>
        <v>0</v>
      </c>
      <c r="J37" s="91">
        <f>SUMIFS(CurrentMonthTransactionData!$R:$R,CurrentMonthTransactionData!$V:$V,J$33,CurrentMonthTransactionData!$W:$W,""&amp;$A37&amp;"")</f>
        <v>0</v>
      </c>
      <c r="K37" s="91">
        <f>SUMIFS(CurrentMonthTransactionData!$R:$R,CurrentMonthTransactionData!$V:$V,K$33,CurrentMonthTransactionData!$W:$W,""&amp;$A37&amp;"")</f>
        <v>0</v>
      </c>
      <c r="L37" s="91">
        <f>SUMIFS(CurrentMonthTransactionData!$R:$R,CurrentMonthTransactionData!$V:$V,L$33,CurrentMonthTransactionData!$W:$W,""&amp;$A37&amp;"")</f>
        <v>0</v>
      </c>
      <c r="M37" s="7"/>
      <c r="N37" s="7">
        <f>'Agile AR Aging &lt;-INPUT'!V24</f>
        <v>864</v>
      </c>
      <c r="O37" s="7">
        <f t="shared" ref="O37:O55" si="0">N37+C37-D37-E37-F37-G37-H37+I37-J37-K37-L37</f>
        <v>1296</v>
      </c>
      <c r="P37" s="7">
        <f>'Agile AR Aging &lt;-INPUT'!K24</f>
        <v>1296</v>
      </c>
      <c r="Q37" s="7">
        <f t="shared" ref="Q37:Q55" si="1">O37-P37</f>
        <v>0</v>
      </c>
    </row>
    <row r="38" spans="1:17" x14ac:dyDescent="0.25">
      <c r="A38" t="s">
        <v>1095</v>
      </c>
      <c r="B38" s="1" t="s">
        <v>7</v>
      </c>
      <c r="C38" s="2">
        <f>SUMIFS(CurrentMonthTransactionData!$R:$R,CurrentMonthTransactionData!$V:$V,C$33,CurrentMonthTransactionData!$W:$W,""&amp;$A38&amp;"")</f>
        <v>8076</v>
      </c>
      <c r="D38" s="2">
        <f>SUMIFS(CurrentMonthTransactionData!$R:$R,CurrentMonthTransactionData!$V:$V,D$33,CurrentMonthTransactionData!$W:$W,""&amp;$A38&amp;"")</f>
        <v>1702.31</v>
      </c>
      <c r="E38" s="2">
        <f>SUMIFS(CurrentMonthTransactionData!$R:$R,CurrentMonthTransactionData!$V:$V,E$33,CurrentMonthTransactionData!$W:$W,""&amp;$A38&amp;"")</f>
        <v>5981.9000000000024</v>
      </c>
      <c r="F38" s="2">
        <f>SUMIFS(CurrentMonthTransactionData!$R:$R,CurrentMonthTransactionData!$V:$V,F$33,CurrentMonthTransactionData!$W:$W,""&amp;$A38&amp;"")</f>
        <v>4037.95</v>
      </c>
      <c r="G38" s="2">
        <f>SUMIFS(CurrentMonthTransactionData!$R:$R,CurrentMonthTransactionData!$V:$V,G$33,CurrentMonthTransactionData!$W:$W,""&amp;$A38&amp;"")</f>
        <v>0</v>
      </c>
      <c r="H38" s="2">
        <f>SUMIFS(CurrentMonthTransactionData!$R:$R,CurrentMonthTransactionData!$V:$V,H$33,CurrentMonthTransactionData!$W:$W,""&amp;$A38&amp;"")</f>
        <v>0</v>
      </c>
      <c r="I38" s="91">
        <f>SUMIFS(CurrentMonthTransactionData!$R:$R,CurrentMonthTransactionData!$V:$V,I$33,CurrentMonthTransactionData!$W:$W,""&amp;$A38&amp;"")</f>
        <v>0</v>
      </c>
      <c r="J38" s="91">
        <f>SUMIFS(CurrentMonthTransactionData!$R:$R,CurrentMonthTransactionData!$V:$V,J$33,CurrentMonthTransactionData!$W:$W,""&amp;$A38&amp;"")</f>
        <v>0</v>
      </c>
      <c r="K38" s="91">
        <f>SUMIFS(CurrentMonthTransactionData!$R:$R,CurrentMonthTransactionData!$V:$V,K$33,CurrentMonthTransactionData!$W:$W,""&amp;$A38&amp;"")</f>
        <v>0</v>
      </c>
      <c r="L38" s="91">
        <f>SUMIFS(CurrentMonthTransactionData!$R:$R,CurrentMonthTransactionData!$V:$V,L$33,CurrentMonthTransactionData!$W:$W,""&amp;$A38&amp;"")</f>
        <v>0</v>
      </c>
      <c r="M38" s="7"/>
      <c r="N38" s="7">
        <f>'Agile AR Aging &lt;-INPUT'!V25</f>
        <v>8179.56</v>
      </c>
      <c r="O38" s="7">
        <f t="shared" si="0"/>
        <v>4533.3999999999987</v>
      </c>
      <c r="P38" s="7">
        <f>'Agile AR Aging &lt;-INPUT'!K25</f>
        <v>7831.56</v>
      </c>
      <c r="Q38" s="7">
        <f t="shared" si="1"/>
        <v>-3298.1600000000017</v>
      </c>
    </row>
    <row r="39" spans="1:17" x14ac:dyDescent="0.25">
      <c r="A39" t="s">
        <v>42</v>
      </c>
      <c r="B39" s="1" t="s">
        <v>42</v>
      </c>
      <c r="C39" s="2">
        <f>SUMIFS(CurrentMonthTransactionData!$R:$R,CurrentMonthTransactionData!$V:$V,C$33,CurrentMonthTransactionData!$W:$W,""&amp;$A39&amp;"")</f>
        <v>0</v>
      </c>
      <c r="D39" s="2">
        <f>SUMIFS(CurrentMonthTransactionData!$R:$R,CurrentMonthTransactionData!$V:$V,D$33,CurrentMonthTransactionData!$W:$W,""&amp;$A39&amp;"")</f>
        <v>0</v>
      </c>
      <c r="E39" s="2">
        <f>SUMIFS(CurrentMonthTransactionData!$R:$R,CurrentMonthTransactionData!$V:$V,E$33,CurrentMonthTransactionData!$W:$W,""&amp;$A39&amp;"")</f>
        <v>0</v>
      </c>
      <c r="F39" s="2">
        <f>SUMIFS(CurrentMonthTransactionData!$R:$R,CurrentMonthTransactionData!$V:$V,F$33,CurrentMonthTransactionData!$W:$W,""&amp;$A39&amp;"")</f>
        <v>0</v>
      </c>
      <c r="G39" s="2">
        <f>SUMIFS(CurrentMonthTransactionData!$R:$R,CurrentMonthTransactionData!$V:$V,G$33,CurrentMonthTransactionData!$W:$W,""&amp;$A39&amp;"")</f>
        <v>0</v>
      </c>
      <c r="H39" s="2">
        <f>SUMIFS(CurrentMonthTransactionData!$R:$R,CurrentMonthTransactionData!$V:$V,H$33,CurrentMonthTransactionData!$W:$W,""&amp;$A39&amp;"")</f>
        <v>0</v>
      </c>
      <c r="I39" s="91">
        <f>SUMIFS(CurrentMonthTransactionData!$R:$R,CurrentMonthTransactionData!$V:$V,I$33,CurrentMonthTransactionData!$W:$W,""&amp;$A39&amp;"")</f>
        <v>0</v>
      </c>
      <c r="J39" s="91">
        <f>SUMIFS(CurrentMonthTransactionData!$R:$R,CurrentMonthTransactionData!$V:$V,J$33,CurrentMonthTransactionData!$W:$W,""&amp;$A39&amp;"")</f>
        <v>0</v>
      </c>
      <c r="K39" s="91">
        <f>SUMIFS(CurrentMonthTransactionData!$R:$R,CurrentMonthTransactionData!$V:$V,K$33,CurrentMonthTransactionData!$W:$W,""&amp;$A39&amp;"")</f>
        <v>0</v>
      </c>
      <c r="L39" s="91">
        <f>SUMIFS(CurrentMonthTransactionData!$R:$R,CurrentMonthTransactionData!$V:$V,L$33,CurrentMonthTransactionData!$W:$W,""&amp;$A39&amp;"")</f>
        <v>0</v>
      </c>
      <c r="M39" s="7"/>
      <c r="N39" s="7">
        <f>'Agile AR Aging &lt;-INPUT'!V26</f>
        <v>0</v>
      </c>
      <c r="O39" s="7">
        <f t="shared" si="0"/>
        <v>0</v>
      </c>
      <c r="P39" s="7">
        <f>'Agile AR Aging &lt;-INPUT'!K26</f>
        <v>0</v>
      </c>
      <c r="Q39" s="7">
        <f t="shared" si="1"/>
        <v>0</v>
      </c>
    </row>
    <row r="40" spans="1:17" x14ac:dyDescent="0.25">
      <c r="A40" t="s">
        <v>6</v>
      </c>
      <c r="B40" s="1" t="s">
        <v>6</v>
      </c>
      <c r="C40" s="2">
        <f>SUMIFS(CurrentMonthTransactionData!$R:$R,CurrentMonthTransactionData!$V:$V,C$33,CurrentMonthTransactionData!$W:$W,""&amp;$A40&amp;"")</f>
        <v>864</v>
      </c>
      <c r="D40" s="2">
        <f>SUMIFS(CurrentMonthTransactionData!$R:$R,CurrentMonthTransactionData!$V:$V,D$33,CurrentMonthTransactionData!$W:$W,""&amp;$A40&amp;"")</f>
        <v>319.64</v>
      </c>
      <c r="E40" s="2">
        <f>SUMIFS(CurrentMonthTransactionData!$R:$R,CurrentMonthTransactionData!$V:$V,E$33,CurrentMonthTransactionData!$W:$W,""&amp;$A40&amp;"")</f>
        <v>544.36</v>
      </c>
      <c r="F40" s="2">
        <f>SUMIFS(CurrentMonthTransactionData!$R:$R,CurrentMonthTransactionData!$V:$V,F$33,CurrentMonthTransactionData!$W:$W,""&amp;$A40&amp;"")</f>
        <v>418</v>
      </c>
      <c r="G40" s="2">
        <f>SUMIFS(CurrentMonthTransactionData!$R:$R,CurrentMonthTransactionData!$V:$V,G$33,CurrentMonthTransactionData!$W:$W,""&amp;$A40&amp;"")</f>
        <v>0</v>
      </c>
      <c r="H40" s="2">
        <f>SUMIFS(CurrentMonthTransactionData!$R:$R,CurrentMonthTransactionData!$V:$V,H$33,CurrentMonthTransactionData!$W:$W,""&amp;$A40&amp;"")</f>
        <v>0</v>
      </c>
      <c r="I40" s="91">
        <f>SUMIFS(CurrentMonthTransactionData!$R:$R,CurrentMonthTransactionData!$V:$V,I$33,CurrentMonthTransactionData!$W:$W,""&amp;$A40&amp;"")</f>
        <v>0</v>
      </c>
      <c r="J40" s="91">
        <f>SUMIFS(CurrentMonthTransactionData!$R:$R,CurrentMonthTransactionData!$V:$V,J$33,CurrentMonthTransactionData!$W:$W,""&amp;$A40&amp;"")</f>
        <v>0</v>
      </c>
      <c r="K40" s="2">
        <f>SUMIFS(CurrentMonthTransactionData!$R:$R,CurrentMonthTransactionData!$V:$V,K$33,CurrentMonthTransactionData!$W:$W,""&amp;$A40&amp;"")</f>
        <v>0</v>
      </c>
      <c r="L40" s="91">
        <f>SUMIFS(CurrentMonthTransactionData!$R:$R,CurrentMonthTransactionData!$V:$V,L$33,CurrentMonthTransactionData!$W:$W,""&amp;$A40&amp;"")</f>
        <v>0</v>
      </c>
      <c r="M40" s="7"/>
      <c r="N40" s="7">
        <f>'Agile AR Aging &lt;-INPUT'!V27</f>
        <v>432</v>
      </c>
      <c r="O40" s="7">
        <f t="shared" si="0"/>
        <v>14</v>
      </c>
      <c r="P40" s="7">
        <f>'Agile AR Aging &lt;-INPUT'!K27</f>
        <v>432</v>
      </c>
      <c r="Q40" s="7">
        <f t="shared" si="1"/>
        <v>-418</v>
      </c>
    </row>
    <row r="41" spans="1:17" x14ac:dyDescent="0.25">
      <c r="B41" s="1" t="s">
        <v>90</v>
      </c>
      <c r="C41" s="2">
        <f>SUMIFS(CurrentMonthTransactionData!$R:$R,CurrentMonthTransactionData!$V:$V,C$33,CurrentMonthTransactionData!$W:$W,""&amp;$A41&amp;"")</f>
        <v>0</v>
      </c>
      <c r="D41" s="2">
        <f>SUMIFS(CurrentMonthTransactionData!$R:$R,CurrentMonthTransactionData!$V:$V,D$33,CurrentMonthTransactionData!$W:$W,""&amp;$A41&amp;"")</f>
        <v>0</v>
      </c>
      <c r="E41" s="2">
        <f>SUMIFS(CurrentMonthTransactionData!$R:$R,CurrentMonthTransactionData!$V:$V,E$33,CurrentMonthTransactionData!$W:$W,""&amp;$A41&amp;"")</f>
        <v>0</v>
      </c>
      <c r="F41" s="2">
        <f>SUMIFS(CurrentMonthTransactionData!$R:$R,CurrentMonthTransactionData!$V:$V,F$33,CurrentMonthTransactionData!$W:$W,""&amp;$A41&amp;"")</f>
        <v>25404.6</v>
      </c>
      <c r="G41" s="2">
        <f>SUMIFS(CurrentMonthTransactionData!$R:$R,CurrentMonthTransactionData!$V:$V,G$33,CurrentMonthTransactionData!$W:$W,""&amp;$A41&amp;"")</f>
        <v>0</v>
      </c>
      <c r="H41" s="2">
        <f>SUMIFS(CurrentMonthTransactionData!$R:$R,CurrentMonthTransactionData!$V:$V,H$33,CurrentMonthTransactionData!$W:$W,""&amp;$A41&amp;"")</f>
        <v>0</v>
      </c>
      <c r="I41" s="91">
        <f>SUMIFS(CurrentMonthTransactionData!$R:$R,CurrentMonthTransactionData!$V:$V,I$33,CurrentMonthTransactionData!$W:$W,""&amp;$A41&amp;"")</f>
        <v>0</v>
      </c>
      <c r="J41" s="91">
        <f>SUMIFS(CurrentMonthTransactionData!$R:$R,CurrentMonthTransactionData!$V:$V,J$33,CurrentMonthTransactionData!$W:$W,""&amp;$A41&amp;"")</f>
        <v>0</v>
      </c>
      <c r="K41" s="91">
        <f>SUMIFS(CurrentMonthTransactionData!$R:$R,CurrentMonthTransactionData!$V:$V,K$33,CurrentMonthTransactionData!$W:$W,""&amp;$A41&amp;"")</f>
        <v>0</v>
      </c>
      <c r="L41" s="91">
        <f>SUMIFS(CurrentMonthTransactionData!$R:$R,CurrentMonthTransactionData!$V:$V,L$33,CurrentMonthTransactionData!$W:$W,""&amp;$A41&amp;"")</f>
        <v>0</v>
      </c>
      <c r="M41" s="7"/>
      <c r="N41" s="7">
        <f>'Agile AR Aging &lt;-INPUT'!V28</f>
        <v>-35</v>
      </c>
      <c r="O41" s="7">
        <f t="shared" si="0"/>
        <v>-25439.599999999999</v>
      </c>
      <c r="P41" s="7">
        <f>'Agile AR Aging &lt;-INPUT'!K28</f>
        <v>-35</v>
      </c>
      <c r="Q41" s="7">
        <f t="shared" si="1"/>
        <v>-25404.6</v>
      </c>
    </row>
    <row r="42" spans="1:17" x14ac:dyDescent="0.25">
      <c r="A42" t="s">
        <v>1096</v>
      </c>
      <c r="B42" s="1" t="s">
        <v>50</v>
      </c>
      <c r="C42" s="2">
        <f>SUMIFS(CurrentMonthTransactionData!$R:$R,CurrentMonthTransactionData!$V:$V,C$33,CurrentMonthTransactionData!$W:$W,""&amp;$A42&amp;"")</f>
        <v>432</v>
      </c>
      <c r="D42" s="2">
        <f>SUMIFS(CurrentMonthTransactionData!$R:$R,CurrentMonthTransactionData!$V:$V,D$33,CurrentMonthTransactionData!$W:$W,""&amp;$A42&amp;"")</f>
        <v>303.42</v>
      </c>
      <c r="E42" s="2">
        <f>SUMIFS(CurrentMonthTransactionData!$R:$R,CurrentMonthTransactionData!$V:$V,E$33,CurrentMonthTransactionData!$W:$W,""&amp;$A42&amp;"")</f>
        <v>744.48</v>
      </c>
      <c r="F42" s="2">
        <f>SUMIFS(CurrentMonthTransactionData!$R:$R,CurrentMonthTransactionData!$V:$V,F$33,CurrentMonthTransactionData!$W:$W,""&amp;$A42&amp;"")</f>
        <v>399.62</v>
      </c>
      <c r="G42" s="2">
        <f>SUMIFS(CurrentMonthTransactionData!$R:$R,CurrentMonthTransactionData!$V:$V,G$33,CurrentMonthTransactionData!$W:$W,""&amp;$A42&amp;"")</f>
        <v>0</v>
      </c>
      <c r="H42" s="2">
        <f>SUMIFS(CurrentMonthTransactionData!$R:$R,CurrentMonthTransactionData!$V:$V,H$33,CurrentMonthTransactionData!$W:$W,""&amp;$A42&amp;"")</f>
        <v>0</v>
      </c>
      <c r="I42" s="91">
        <f>SUMIFS(CurrentMonthTransactionData!$R:$R,CurrentMonthTransactionData!$V:$V,I$33,CurrentMonthTransactionData!$W:$W,""&amp;$A42&amp;"")</f>
        <v>0</v>
      </c>
      <c r="J42" s="91">
        <f>SUMIFS(CurrentMonthTransactionData!$R:$R,CurrentMonthTransactionData!$V:$V,J$33,CurrentMonthTransactionData!$W:$W,""&amp;$A42&amp;"")</f>
        <v>0</v>
      </c>
      <c r="K42" s="91">
        <f>SUMIFS(CurrentMonthTransactionData!$R:$R,CurrentMonthTransactionData!$V:$V,K$33,CurrentMonthTransactionData!$W:$W,""&amp;$A42&amp;"")</f>
        <v>0</v>
      </c>
      <c r="L42" s="91">
        <f>SUMIFS(CurrentMonthTransactionData!$R:$R,CurrentMonthTransactionData!$V:$V,L$33,CurrentMonthTransactionData!$W:$W,""&amp;$A42&amp;"")</f>
        <v>0</v>
      </c>
      <c r="M42" s="7"/>
      <c r="N42" s="7">
        <f>'Agile AR Aging &lt;-INPUT'!V29</f>
        <v>864</v>
      </c>
      <c r="O42" s="7">
        <f t="shared" si="0"/>
        <v>-151.5200000000001</v>
      </c>
      <c r="P42" s="7">
        <f>'Agile AR Aging &lt;-INPUT'!K29</f>
        <v>0</v>
      </c>
      <c r="Q42" s="7">
        <f t="shared" si="1"/>
        <v>-151.5200000000001</v>
      </c>
    </row>
    <row r="43" spans="1:17" x14ac:dyDescent="0.25">
      <c r="A43" t="s">
        <v>89</v>
      </c>
      <c r="B43" s="1" t="s">
        <v>89</v>
      </c>
      <c r="C43" s="91">
        <f>SUMIFS(CurrentMonthTransactionData!$R:$R,CurrentMonthTransactionData!$V:$V,C$33,CurrentMonthTransactionData!$W:$W,""&amp;$A43&amp;"")</f>
        <v>0</v>
      </c>
      <c r="D43" s="91">
        <f>SUMIFS(CurrentMonthTransactionData!$R:$R,CurrentMonthTransactionData!$V:$V,D$33,CurrentMonthTransactionData!$W:$W,""&amp;$A43&amp;"")</f>
        <v>0</v>
      </c>
      <c r="E43" s="91">
        <f>SUMIFS(CurrentMonthTransactionData!$R:$R,CurrentMonthTransactionData!$V:$V,E$33,CurrentMonthTransactionData!$W:$W,""&amp;$A43&amp;"")</f>
        <v>0</v>
      </c>
      <c r="F43" s="91">
        <f>SUMIFS(CurrentMonthTransactionData!$R:$R,CurrentMonthTransactionData!$V:$V,F$33,CurrentMonthTransactionData!$W:$W,""&amp;$A43&amp;"")</f>
        <v>0</v>
      </c>
      <c r="G43" s="91">
        <f>SUMIFS(CurrentMonthTransactionData!$R:$R,CurrentMonthTransactionData!$V:$V,G$33,CurrentMonthTransactionData!$W:$W,""&amp;$A43&amp;"")</f>
        <v>0</v>
      </c>
      <c r="H43" s="91">
        <f>SUMIFS(CurrentMonthTransactionData!$R:$R,CurrentMonthTransactionData!$V:$V,H$33,CurrentMonthTransactionData!$W:$W,""&amp;$A43&amp;"")</f>
        <v>0</v>
      </c>
      <c r="I43" s="91">
        <f>SUMIFS(CurrentMonthTransactionData!$R:$R,CurrentMonthTransactionData!$V:$V,I$33,CurrentMonthTransactionData!$W:$W,""&amp;$A43&amp;"")</f>
        <v>0</v>
      </c>
      <c r="J43" s="91">
        <f>SUMIFS(CurrentMonthTransactionData!$R:$R,CurrentMonthTransactionData!$V:$V,J$33,CurrentMonthTransactionData!$W:$W,""&amp;$A43&amp;"")</f>
        <v>0</v>
      </c>
      <c r="K43" s="91">
        <f>SUMIFS(CurrentMonthTransactionData!$R:$R,CurrentMonthTransactionData!$V:$V,K$33,CurrentMonthTransactionData!$W:$W,""&amp;$A43&amp;"")</f>
        <v>0</v>
      </c>
      <c r="L43" s="91">
        <f>SUMIFS(CurrentMonthTransactionData!$R:$R,CurrentMonthTransactionData!$V:$V,L$33,CurrentMonthTransactionData!$W:$W,""&amp;$A43&amp;"")</f>
        <v>0</v>
      </c>
      <c r="M43" s="7"/>
      <c r="N43" s="7">
        <f>'Agile AR Aging &lt;-INPUT'!V30</f>
        <v>0</v>
      </c>
      <c r="O43" s="7">
        <f t="shared" si="0"/>
        <v>0</v>
      </c>
      <c r="P43" s="7">
        <f>'Agile AR Aging &lt;-INPUT'!K30</f>
        <v>0</v>
      </c>
      <c r="Q43" s="7">
        <f t="shared" si="1"/>
        <v>0</v>
      </c>
    </row>
    <row r="44" spans="1:17" x14ac:dyDescent="0.25">
      <c r="A44" t="s">
        <v>5</v>
      </c>
      <c r="B44" s="1" t="s">
        <v>5</v>
      </c>
      <c r="C44" s="2">
        <f>SUMIFS(CurrentMonthTransactionData!$R:$R,CurrentMonthTransactionData!$V:$V,C$33,CurrentMonthTransactionData!$W:$W,""&amp;$A44&amp;"")</f>
        <v>0</v>
      </c>
      <c r="D44" s="2">
        <f>SUMIFS(CurrentMonthTransactionData!$R:$R,CurrentMonthTransactionData!$V:$V,D$33,CurrentMonthTransactionData!$W:$W,""&amp;$A44&amp;"")</f>
        <v>0</v>
      </c>
      <c r="E44" s="2">
        <f>SUMIFS(CurrentMonthTransactionData!$R:$R,CurrentMonthTransactionData!$V:$V,E$33,CurrentMonthTransactionData!$W:$W,""&amp;$A44&amp;"")</f>
        <v>0</v>
      </c>
      <c r="F44" s="2">
        <f>SUMIFS(CurrentMonthTransactionData!$R:$R,CurrentMonthTransactionData!$V:$V,F$33,CurrentMonthTransactionData!$W:$W,""&amp;$A44&amp;"")</f>
        <v>0</v>
      </c>
      <c r="G44" s="2">
        <f>SUMIFS(CurrentMonthTransactionData!$R:$R,CurrentMonthTransactionData!$V:$V,G$33,CurrentMonthTransactionData!$W:$W,""&amp;$A44&amp;"")</f>
        <v>0</v>
      </c>
      <c r="H44" s="2">
        <f>SUMIFS(CurrentMonthTransactionData!$R:$R,CurrentMonthTransactionData!$V:$V,H$33,CurrentMonthTransactionData!$W:$W,""&amp;$A44&amp;"")</f>
        <v>0</v>
      </c>
      <c r="I44" s="91">
        <f>SUMIFS(CurrentMonthTransactionData!$R:$R,CurrentMonthTransactionData!$V:$V,I$33,CurrentMonthTransactionData!$W:$W,""&amp;$A44&amp;"")</f>
        <v>0</v>
      </c>
      <c r="J44" s="91">
        <f>SUMIFS(CurrentMonthTransactionData!$R:$R,CurrentMonthTransactionData!$V:$V,J$33,CurrentMonthTransactionData!$W:$W,""&amp;$A44&amp;"")</f>
        <v>0</v>
      </c>
      <c r="K44" s="91">
        <f>SUMIFS(CurrentMonthTransactionData!$R:$R,CurrentMonthTransactionData!$V:$V,K$33,CurrentMonthTransactionData!$W:$W,""&amp;$A44&amp;"")</f>
        <v>0</v>
      </c>
      <c r="L44" s="91">
        <f>SUMIFS(CurrentMonthTransactionData!$R:$R,CurrentMonthTransactionData!$V:$V,L$33,CurrentMonthTransactionData!$W:$W,""&amp;$A44&amp;"")</f>
        <v>0</v>
      </c>
      <c r="M44" s="7"/>
      <c r="N44" s="7">
        <f>'Agile AR Aging &lt;-INPUT'!V31</f>
        <v>0</v>
      </c>
      <c r="O44" s="7">
        <f t="shared" si="0"/>
        <v>0</v>
      </c>
      <c r="P44" s="7">
        <f>'Agile AR Aging &lt;-INPUT'!K31</f>
        <v>0</v>
      </c>
      <c r="Q44" s="7">
        <f t="shared" si="1"/>
        <v>0</v>
      </c>
    </row>
    <row r="45" spans="1:17" x14ac:dyDescent="0.25">
      <c r="A45" t="s">
        <v>84</v>
      </c>
      <c r="B45" s="1" t="s">
        <v>84</v>
      </c>
      <c r="C45" s="91">
        <f>SUMIFS(CurrentMonthTransactionData!$R:$R,CurrentMonthTransactionData!$V:$V,C$33,CurrentMonthTransactionData!$W:$W,""&amp;$A45&amp;"")</f>
        <v>0</v>
      </c>
      <c r="D45" s="91">
        <f>SUMIFS(CurrentMonthTransactionData!$R:$R,CurrentMonthTransactionData!$V:$V,D$33,CurrentMonthTransactionData!$W:$W,""&amp;$A45&amp;"")</f>
        <v>0</v>
      </c>
      <c r="E45" s="91">
        <f>SUMIFS(CurrentMonthTransactionData!$R:$R,CurrentMonthTransactionData!$V:$V,E$33,CurrentMonthTransactionData!$W:$W,""&amp;$A45&amp;"")</f>
        <v>0</v>
      </c>
      <c r="F45" s="91">
        <f>SUMIFS(CurrentMonthTransactionData!$R:$R,CurrentMonthTransactionData!$V:$V,F$33,CurrentMonthTransactionData!$W:$W,""&amp;$A45&amp;"")</f>
        <v>0</v>
      </c>
      <c r="G45" s="91">
        <f>SUMIFS(CurrentMonthTransactionData!$R:$R,CurrentMonthTransactionData!$V:$V,G$33,CurrentMonthTransactionData!$W:$W,""&amp;$A45&amp;"")</f>
        <v>0</v>
      </c>
      <c r="H45" s="91">
        <f>SUMIFS(CurrentMonthTransactionData!$R:$R,CurrentMonthTransactionData!$V:$V,H$33,CurrentMonthTransactionData!$W:$W,""&amp;$A45&amp;"")</f>
        <v>0</v>
      </c>
      <c r="I45" s="91">
        <f>SUMIFS(CurrentMonthTransactionData!$R:$R,CurrentMonthTransactionData!$V:$V,I$33,CurrentMonthTransactionData!$W:$W,""&amp;$A45&amp;"")</f>
        <v>0</v>
      </c>
      <c r="J45" s="91">
        <f>SUMIFS(CurrentMonthTransactionData!$R:$R,CurrentMonthTransactionData!$V:$V,J$33,CurrentMonthTransactionData!$W:$W,""&amp;$A45&amp;"")</f>
        <v>0</v>
      </c>
      <c r="K45" s="91">
        <f>SUMIFS(CurrentMonthTransactionData!$R:$R,CurrentMonthTransactionData!$V:$V,K$33,CurrentMonthTransactionData!$W:$W,""&amp;$A45&amp;"")</f>
        <v>0</v>
      </c>
      <c r="L45" s="91">
        <f>SUMIFS(CurrentMonthTransactionData!$R:$R,CurrentMonthTransactionData!$V:$V,L$33,CurrentMonthTransactionData!$W:$W,""&amp;$A45&amp;"")</f>
        <v>0</v>
      </c>
      <c r="M45" s="7"/>
      <c r="N45" s="7">
        <f>'Agile AR Aging &lt;-INPUT'!V32</f>
        <v>0</v>
      </c>
      <c r="O45" s="7">
        <f t="shared" si="0"/>
        <v>0</v>
      </c>
      <c r="P45" s="7">
        <f>'Agile AR Aging &lt;-INPUT'!K32</f>
        <v>0</v>
      </c>
      <c r="Q45" s="7">
        <f t="shared" si="1"/>
        <v>0</v>
      </c>
    </row>
    <row r="46" spans="1:17" x14ac:dyDescent="0.25">
      <c r="A46" t="s">
        <v>4</v>
      </c>
      <c r="B46" s="1" t="s">
        <v>4</v>
      </c>
      <c r="C46" s="2">
        <f>SUMIFS(CurrentMonthTransactionData!$R:$R,CurrentMonthTransactionData!$V:$V,C$33,CurrentMonthTransactionData!$W:$W,""&amp;$A46&amp;"")</f>
        <v>432</v>
      </c>
      <c r="D46" s="2">
        <f>SUMIFS(CurrentMonthTransactionData!$R:$R,CurrentMonthTransactionData!$V:$V,D$33,CurrentMonthTransactionData!$W:$W,""&amp;$A46&amp;"")</f>
        <v>0</v>
      </c>
      <c r="E46" s="2">
        <f>SUMIFS(CurrentMonthTransactionData!$R:$R,CurrentMonthTransactionData!$V:$V,E$33,CurrentMonthTransactionData!$W:$W,""&amp;$A46&amp;"")</f>
        <v>0</v>
      </c>
      <c r="F46" s="2">
        <f>SUMIFS(CurrentMonthTransactionData!$R:$R,CurrentMonthTransactionData!$V:$V,F$33,CurrentMonthTransactionData!$W:$W,""&amp;$A46&amp;"")</f>
        <v>0</v>
      </c>
      <c r="G46" s="2">
        <f>SUMIFS(CurrentMonthTransactionData!$R:$R,CurrentMonthTransactionData!$V:$V,G$33,CurrentMonthTransactionData!$W:$W,""&amp;$A46&amp;"")</f>
        <v>0</v>
      </c>
      <c r="H46" s="2">
        <f>SUMIFS(CurrentMonthTransactionData!$R:$R,CurrentMonthTransactionData!$V:$V,H$33,CurrentMonthTransactionData!$W:$W,""&amp;$A46&amp;"")</f>
        <v>0</v>
      </c>
      <c r="I46" s="91">
        <f>SUMIFS(CurrentMonthTransactionData!$R:$R,CurrentMonthTransactionData!$V:$V,I$33,CurrentMonthTransactionData!$W:$W,""&amp;$A46&amp;"")</f>
        <v>0</v>
      </c>
      <c r="J46" s="91">
        <f>SUMIFS(CurrentMonthTransactionData!$R:$R,CurrentMonthTransactionData!$V:$V,J$33,CurrentMonthTransactionData!$W:$W,""&amp;$A46&amp;"")</f>
        <v>0</v>
      </c>
      <c r="K46" s="91">
        <f>SUMIFS(CurrentMonthTransactionData!$R:$R,CurrentMonthTransactionData!$V:$V,K$33,CurrentMonthTransactionData!$W:$W,""&amp;$A46&amp;"")</f>
        <v>0</v>
      </c>
      <c r="L46" s="91">
        <f>SUMIFS(CurrentMonthTransactionData!$R:$R,CurrentMonthTransactionData!$V:$V,L$33,CurrentMonthTransactionData!$W:$W,""&amp;$A46&amp;"")</f>
        <v>0</v>
      </c>
      <c r="M46" s="7"/>
      <c r="N46" s="7">
        <f>'Agile AR Aging &lt;-INPUT'!V33</f>
        <v>0</v>
      </c>
      <c r="O46" s="7">
        <f t="shared" si="0"/>
        <v>432</v>
      </c>
      <c r="P46" s="7">
        <f>'Agile AR Aging &lt;-INPUT'!K33</f>
        <v>432</v>
      </c>
      <c r="Q46" s="7">
        <f t="shared" si="1"/>
        <v>0</v>
      </c>
    </row>
    <row r="47" spans="1:17" x14ac:dyDescent="0.25">
      <c r="A47" t="s">
        <v>51</v>
      </c>
      <c r="B47" s="1" t="s">
        <v>51</v>
      </c>
      <c r="C47" s="2">
        <f>SUMIFS(CurrentMonthTransactionData!$R:$R,CurrentMonthTransactionData!$V:$V,C$33,CurrentMonthTransactionData!$W:$W,""&amp;$A47&amp;"")</f>
        <v>0</v>
      </c>
      <c r="D47" s="2">
        <f>SUMIFS(CurrentMonthTransactionData!$R:$R,CurrentMonthTransactionData!$V:$V,D$33,CurrentMonthTransactionData!$W:$W,""&amp;$A47&amp;"")</f>
        <v>0</v>
      </c>
      <c r="E47" s="2">
        <f>SUMIFS(CurrentMonthTransactionData!$R:$R,CurrentMonthTransactionData!$V:$V,E$33,CurrentMonthTransactionData!$W:$W,""&amp;$A47&amp;"")</f>
        <v>0</v>
      </c>
      <c r="F47" s="2">
        <f>SUMIFS(CurrentMonthTransactionData!$R:$R,CurrentMonthTransactionData!$V:$V,F$33,CurrentMonthTransactionData!$W:$W,""&amp;$A47&amp;"")</f>
        <v>-34</v>
      </c>
      <c r="G47" s="2">
        <f>SUMIFS(CurrentMonthTransactionData!$R:$R,CurrentMonthTransactionData!$V:$V,G$33,CurrentMonthTransactionData!$W:$W,""&amp;$A47&amp;"")</f>
        <v>0</v>
      </c>
      <c r="H47" s="2">
        <f>SUMIFS(CurrentMonthTransactionData!$R:$R,CurrentMonthTransactionData!$V:$V,H$33,CurrentMonthTransactionData!$W:$W,""&amp;$A47&amp;"")</f>
        <v>0</v>
      </c>
      <c r="I47" s="91">
        <f>SUMIFS(CurrentMonthTransactionData!$R:$R,CurrentMonthTransactionData!$V:$V,I$33,CurrentMonthTransactionData!$W:$W,""&amp;$A47&amp;"")</f>
        <v>0</v>
      </c>
      <c r="J47" s="91">
        <f>SUMIFS(CurrentMonthTransactionData!$R:$R,CurrentMonthTransactionData!$V:$V,J$33,CurrentMonthTransactionData!$W:$W,""&amp;$A47&amp;"")</f>
        <v>0</v>
      </c>
      <c r="K47" s="2">
        <f>SUMIFS(CurrentMonthTransactionData!$R:$R,CurrentMonthTransactionData!$V:$V,K$33,CurrentMonthTransactionData!$W:$W,""&amp;$A47&amp;"")</f>
        <v>0</v>
      </c>
      <c r="L47" s="91">
        <f>SUMIFS(CurrentMonthTransactionData!$R:$R,CurrentMonthTransactionData!$V:$V,L$33,CurrentMonthTransactionData!$W:$W,""&amp;$A47&amp;"")</f>
        <v>0</v>
      </c>
      <c r="M47" s="7"/>
      <c r="N47" s="7">
        <f>'Agile AR Aging &lt;-INPUT'!V34</f>
        <v>432</v>
      </c>
      <c r="O47" s="7">
        <f t="shared" si="0"/>
        <v>466</v>
      </c>
      <c r="P47" s="7">
        <f>'Agile AR Aging &lt;-INPUT'!K34</f>
        <v>432</v>
      </c>
      <c r="Q47" s="7">
        <f t="shared" si="1"/>
        <v>34</v>
      </c>
    </row>
    <row r="48" spans="1:17" x14ac:dyDescent="0.25">
      <c r="A48" t="s">
        <v>87</v>
      </c>
      <c r="B48" s="1" t="s">
        <v>87</v>
      </c>
      <c r="C48" s="2">
        <f>SUMIFS(CurrentMonthTransactionData!$R:$R,CurrentMonthTransactionData!$V:$V,C$33,CurrentMonthTransactionData!$W:$W,""&amp;$A48&amp;"")</f>
        <v>0</v>
      </c>
      <c r="D48" s="2">
        <f>SUMIFS(CurrentMonthTransactionData!$R:$R,CurrentMonthTransactionData!$V:$V,D$33,CurrentMonthTransactionData!$W:$W,""&amp;$A48&amp;"")</f>
        <v>0</v>
      </c>
      <c r="E48" s="2">
        <f>SUMIFS(CurrentMonthTransactionData!$R:$R,CurrentMonthTransactionData!$V:$V,E$33,CurrentMonthTransactionData!$W:$W,""&amp;$A48&amp;"")</f>
        <v>0</v>
      </c>
      <c r="F48" s="2">
        <f>SUMIFS(CurrentMonthTransactionData!$R:$R,CurrentMonthTransactionData!$V:$V,F$33,CurrentMonthTransactionData!$W:$W,""&amp;$A48&amp;"")</f>
        <v>0</v>
      </c>
      <c r="G48" s="2">
        <f>SUMIFS(CurrentMonthTransactionData!$R:$R,CurrentMonthTransactionData!$V:$V,G$33,CurrentMonthTransactionData!$W:$W,""&amp;$A48&amp;"")</f>
        <v>0</v>
      </c>
      <c r="H48" s="2">
        <f>SUMIFS(CurrentMonthTransactionData!$R:$R,CurrentMonthTransactionData!$V:$V,H$33,CurrentMonthTransactionData!$W:$W,""&amp;$A48&amp;"")</f>
        <v>0</v>
      </c>
      <c r="I48" s="91">
        <f>SUMIFS(CurrentMonthTransactionData!$R:$R,CurrentMonthTransactionData!$V:$V,I$33,CurrentMonthTransactionData!$W:$W,""&amp;$A48&amp;"")</f>
        <v>0</v>
      </c>
      <c r="J48" s="91">
        <f>SUMIFS(CurrentMonthTransactionData!$R:$R,CurrentMonthTransactionData!$V:$V,J$33,CurrentMonthTransactionData!$W:$W,""&amp;$A48&amp;"")</f>
        <v>0</v>
      </c>
      <c r="K48" s="91">
        <f>SUMIFS(CurrentMonthTransactionData!$R:$R,CurrentMonthTransactionData!$V:$V,K$33,CurrentMonthTransactionData!$W:$W,""&amp;$A48&amp;"")</f>
        <v>0</v>
      </c>
      <c r="L48" s="91">
        <f>SUMIFS(CurrentMonthTransactionData!$R:$R,CurrentMonthTransactionData!$V:$V,L$33,CurrentMonthTransactionData!$W:$W,""&amp;$A48&amp;"")</f>
        <v>0</v>
      </c>
      <c r="M48" s="7"/>
      <c r="N48" s="7">
        <f>'Agile AR Aging &lt;-INPUT'!V35</f>
        <v>0</v>
      </c>
      <c r="O48" s="7">
        <f t="shared" si="0"/>
        <v>0</v>
      </c>
      <c r="P48" s="7">
        <f>'Agile AR Aging &lt;-INPUT'!K35</f>
        <v>0</v>
      </c>
      <c r="Q48" s="7">
        <f t="shared" si="1"/>
        <v>0</v>
      </c>
    </row>
    <row r="49" spans="1:18" x14ac:dyDescent="0.25">
      <c r="A49" t="s">
        <v>85</v>
      </c>
      <c r="B49" s="1" t="s">
        <v>85</v>
      </c>
      <c r="C49" s="2">
        <f>SUMIFS(CurrentMonthTransactionData!$R:$R,CurrentMonthTransactionData!$V:$V,C$33,CurrentMonthTransactionData!$W:$W,""&amp;$A49&amp;"")</f>
        <v>0</v>
      </c>
      <c r="D49" s="2">
        <f>SUMIFS(CurrentMonthTransactionData!$R:$R,CurrentMonthTransactionData!$V:$V,D$33,CurrentMonthTransactionData!$W:$W,""&amp;$A49&amp;"")</f>
        <v>0</v>
      </c>
      <c r="E49" s="2">
        <f>SUMIFS(CurrentMonthTransactionData!$R:$R,CurrentMonthTransactionData!$V:$V,E$33,CurrentMonthTransactionData!$W:$W,""&amp;$A49&amp;"")</f>
        <v>0</v>
      </c>
      <c r="F49" s="2">
        <f>SUMIFS(CurrentMonthTransactionData!$R:$R,CurrentMonthTransactionData!$V:$V,F$33,CurrentMonthTransactionData!$W:$W,""&amp;$A49&amp;"")</f>
        <v>0</v>
      </c>
      <c r="G49" s="2">
        <f>SUMIFS(CurrentMonthTransactionData!$R:$R,CurrentMonthTransactionData!$V:$V,G$33,CurrentMonthTransactionData!$W:$W,""&amp;$A49&amp;"")</f>
        <v>0</v>
      </c>
      <c r="H49" s="2">
        <f>SUMIFS(CurrentMonthTransactionData!$R:$R,CurrentMonthTransactionData!$V:$V,H$33,CurrentMonthTransactionData!$W:$W,""&amp;$A49&amp;"")</f>
        <v>0</v>
      </c>
      <c r="I49" s="91">
        <f>SUMIFS(CurrentMonthTransactionData!$R:$R,CurrentMonthTransactionData!$V:$V,I$33,CurrentMonthTransactionData!$W:$W,""&amp;$A49&amp;"")</f>
        <v>0</v>
      </c>
      <c r="J49" s="91">
        <f>SUMIFS(CurrentMonthTransactionData!$R:$R,CurrentMonthTransactionData!$V:$V,J$33,CurrentMonthTransactionData!$W:$W,""&amp;$A49&amp;"")</f>
        <v>0</v>
      </c>
      <c r="K49" s="91">
        <f>SUMIFS(CurrentMonthTransactionData!$R:$R,CurrentMonthTransactionData!$V:$V,K$33,CurrentMonthTransactionData!$W:$W,""&amp;$A49&amp;"")</f>
        <v>0</v>
      </c>
      <c r="L49" s="91">
        <f>SUMIFS(CurrentMonthTransactionData!$R:$R,CurrentMonthTransactionData!$V:$V,L$33,CurrentMonthTransactionData!$W:$W,""&amp;$A49&amp;"")</f>
        <v>0</v>
      </c>
      <c r="M49" s="7"/>
      <c r="N49" s="7">
        <f>'Agile AR Aging &lt;-INPUT'!V36</f>
        <v>432</v>
      </c>
      <c r="O49" s="7">
        <f t="shared" si="0"/>
        <v>432</v>
      </c>
      <c r="P49" s="7">
        <f>'Agile AR Aging &lt;-INPUT'!K36</f>
        <v>432</v>
      </c>
      <c r="Q49" s="7">
        <f t="shared" si="1"/>
        <v>0</v>
      </c>
    </row>
    <row r="50" spans="1:18" x14ac:dyDescent="0.25">
      <c r="A50" t="s">
        <v>2</v>
      </c>
      <c r="B50" s="1" t="s">
        <v>2</v>
      </c>
      <c r="C50" s="2">
        <f>SUM(SUMIFS(CurrentMonthTransactionData!$R:$R,CurrentMonthTransactionData!$V:$V,C$33,CurrentMonthTransactionData!$W:$W,{"Self Pay","WHOLESALE ACCOUNTS"}))</f>
        <v>36088.69</v>
      </c>
      <c r="D50" s="2">
        <f>SUM(SUMIFS(CurrentMonthTransactionData!$R:$R,CurrentMonthTransactionData!$V:$V,D$33,CurrentMonthTransactionData!$W:$W,{"Self Pay","WHOLESALE ACCOUNTS"}))</f>
        <v>0</v>
      </c>
      <c r="E50" s="2">
        <f>SUM(SUMIFS(CurrentMonthTransactionData!$R:$R,CurrentMonthTransactionData!$V:$V,E$33,CurrentMonthTransactionData!$W:$W,{"Self Pay","WHOLESALE ACCOUNTS"}))</f>
        <v>8001</v>
      </c>
      <c r="F50" s="2">
        <f>SUM(SUMIFS(CurrentMonthTransactionData!$R:$R,CurrentMonthTransactionData!$V:$V,F$33,CurrentMonthTransactionData!$W:$W,{"Self Pay","WHOLESALE ACCOUNTS"}))</f>
        <v>869</v>
      </c>
      <c r="G50" s="2">
        <f>SUM(SUMIFS(CurrentMonthTransactionData!$R:$R,CurrentMonthTransactionData!$V:$V,G$33,CurrentMonthTransactionData!$W:$W,{"Self Pay","WHOLESALE ACCOUNTS"}))</f>
        <v>941.61000000000013</v>
      </c>
      <c r="H50" s="2">
        <f>SUM(SUMIFS(CurrentMonthTransactionData!$R:$R,CurrentMonthTransactionData!$V:$V,H$33,CurrentMonthTransactionData!$W:$W,{"Self Pay","WHOLESALE ACCOUNTS"}))</f>
        <v>409.56</v>
      </c>
      <c r="I50" s="91">
        <f>SUM(SUMIFS(CurrentMonthTransactionData!$R:$R,CurrentMonthTransactionData!$V:$V,I$33,CurrentMonthTransactionData!$W:$W,{"Self Pay","WHOLESALE ACCOUNTS"}))</f>
        <v>0</v>
      </c>
      <c r="J50" s="91">
        <f>SUM(SUMIFS(CurrentMonthTransactionData!$R:$R,CurrentMonthTransactionData!$V:$V,J$33,CurrentMonthTransactionData!$W:$W,{"Self Pay","WHOLESALE ACCOUNTS"}))</f>
        <v>0</v>
      </c>
      <c r="K50" s="33">
        <f>SUM(SUMIFS(CurrentMonthTransactionData!$R:$R,CurrentMonthTransactionData!$V:$V,K$33,CurrentMonthTransactionData!$W:$W,{"Self Pay","WHOLESALE ACCOUNTS"}))</f>
        <v>0</v>
      </c>
      <c r="L50" s="2">
        <f>SUM(SUMIFS(CurrentMonthTransactionData!$R:$R,CurrentMonthTransactionData!$V:$V,L$33,CurrentMonthTransactionData!$W:$W,{"Self Pay","WHOLESALE ACCOUNTS"}))</f>
        <v>0</v>
      </c>
      <c r="M50" t="s">
        <v>283</v>
      </c>
      <c r="N50" s="7">
        <f>'Agile AR Aging &lt;-INPUT'!V37</f>
        <v>12589.46</v>
      </c>
      <c r="O50" s="7">
        <f t="shared" si="0"/>
        <v>38456.980000000003</v>
      </c>
      <c r="P50" s="7">
        <f>'Agile AR Aging &lt;-INPUT'!K37</f>
        <v>9749.7000000000007</v>
      </c>
      <c r="Q50" s="7">
        <f t="shared" si="1"/>
        <v>28707.280000000002</v>
      </c>
    </row>
    <row r="51" spans="1:18" x14ac:dyDescent="0.25">
      <c r="A51" t="s">
        <v>86</v>
      </c>
      <c r="B51" s="1" t="s">
        <v>86</v>
      </c>
      <c r="C51" s="2">
        <f>SUMIFS(CurrentMonthTransactionData!$R:$R,CurrentMonthTransactionData!$V:$V,C$33,CurrentMonthTransactionData!$W:$W,""&amp;$A51&amp;"")</f>
        <v>0</v>
      </c>
      <c r="D51" s="2">
        <f>SUMIFS(CurrentMonthTransactionData!$R:$R,CurrentMonthTransactionData!$V:$V,D$33,CurrentMonthTransactionData!$W:$W,""&amp;$A51&amp;"")</f>
        <v>0</v>
      </c>
      <c r="E51" s="2">
        <f>SUMIFS(CurrentMonthTransactionData!$R:$R,CurrentMonthTransactionData!$V:$V,E$33,CurrentMonthTransactionData!$W:$W,""&amp;$A51&amp;"")</f>
        <v>0</v>
      </c>
      <c r="F51" s="2">
        <f>SUMIFS(CurrentMonthTransactionData!$R:$R,CurrentMonthTransactionData!$V:$V,F$33,CurrentMonthTransactionData!$W:$W,""&amp;$A51&amp;"")</f>
        <v>0</v>
      </c>
      <c r="G51" s="2">
        <f>SUMIFS(CurrentMonthTransactionData!$R:$R,CurrentMonthTransactionData!$V:$V,G$33,CurrentMonthTransactionData!$W:$W,""&amp;$A51&amp;"")</f>
        <v>0</v>
      </c>
      <c r="H51" s="2">
        <f>SUMIFS(CurrentMonthTransactionData!$R:$R,CurrentMonthTransactionData!$V:$V,H$33,CurrentMonthTransactionData!$W:$W,""&amp;$A51&amp;"")</f>
        <v>0</v>
      </c>
      <c r="I51" s="2">
        <f>SUMIFS(CurrentMonthTransactionData!$R:$R,CurrentMonthTransactionData!$V:$V,I$33,CurrentMonthTransactionData!$W:$W,""&amp;$A51&amp;"")</f>
        <v>0</v>
      </c>
      <c r="J51" s="91">
        <f>SUMIFS(CurrentMonthTransactionData!$R:$R,CurrentMonthTransactionData!$V:$V,J$33,CurrentMonthTransactionData!$W:$W,""&amp;$A51&amp;"")</f>
        <v>0</v>
      </c>
      <c r="K51" s="91">
        <f>SUMIFS(CurrentMonthTransactionData!$R:$R,CurrentMonthTransactionData!$V:$V,K$33,CurrentMonthTransactionData!$W:$W,""&amp;$A51&amp;"")</f>
        <v>0</v>
      </c>
      <c r="L51" s="91">
        <f>SUMIFS(CurrentMonthTransactionData!$R:$R,CurrentMonthTransactionData!$V:$V,L$33,CurrentMonthTransactionData!$W:$W,""&amp;$A51&amp;"")</f>
        <v>0</v>
      </c>
      <c r="M51" s="7"/>
      <c r="N51" s="7">
        <f>'Agile AR Aging &lt;-INPUT'!V38</f>
        <v>0</v>
      </c>
      <c r="O51" s="7">
        <f t="shared" si="0"/>
        <v>0</v>
      </c>
      <c r="P51" s="7">
        <f>'Agile AR Aging &lt;-INPUT'!K38</f>
        <v>0</v>
      </c>
      <c r="Q51" s="7">
        <f t="shared" si="1"/>
        <v>0</v>
      </c>
    </row>
    <row r="52" spans="1:18" x14ac:dyDescent="0.25">
      <c r="A52" t="s">
        <v>29</v>
      </c>
      <c r="B52" s="1" t="s">
        <v>29</v>
      </c>
      <c r="C52" s="2">
        <f>SUMIFS(CurrentMonthTransactionData!$R:$R,CurrentMonthTransactionData!$V:$V,C$33,CurrentMonthTransactionData!$W:$W,""&amp;$A52&amp;"")</f>
        <v>0</v>
      </c>
      <c r="D52" s="2">
        <f>SUMIFS(CurrentMonthTransactionData!$R:$R,CurrentMonthTransactionData!$V:$V,D$33,CurrentMonthTransactionData!$W:$W,""&amp;$A52&amp;"")</f>
        <v>0</v>
      </c>
      <c r="E52" s="2">
        <f>SUMIFS(CurrentMonthTransactionData!$R:$R,CurrentMonthTransactionData!$V:$V,E$33,CurrentMonthTransactionData!$W:$W,""&amp;$A52&amp;"")</f>
        <v>0</v>
      </c>
      <c r="F52" s="2">
        <f>SUMIFS(CurrentMonthTransactionData!$R:$R,CurrentMonthTransactionData!$V:$V,F$33,CurrentMonthTransactionData!$W:$W,""&amp;$A52&amp;"")</f>
        <v>333</v>
      </c>
      <c r="G52" s="2">
        <f>SUMIFS(CurrentMonthTransactionData!$R:$R,CurrentMonthTransactionData!$V:$V,G$33,CurrentMonthTransactionData!$W:$W,""&amp;$A52&amp;"")</f>
        <v>0</v>
      </c>
      <c r="H52" s="2">
        <f>SUMIFS(CurrentMonthTransactionData!$R:$R,CurrentMonthTransactionData!$V:$V,H$33,CurrentMonthTransactionData!$W:$W,""&amp;$A52&amp;"")</f>
        <v>0</v>
      </c>
      <c r="I52" s="91">
        <f>SUMIFS(CurrentMonthTransactionData!$R:$R,CurrentMonthTransactionData!$V:$V,I$33,CurrentMonthTransactionData!$W:$W,""&amp;$A52&amp;"")</f>
        <v>0</v>
      </c>
      <c r="J52" s="91">
        <f>SUMIFS(CurrentMonthTransactionData!$R:$R,CurrentMonthTransactionData!$V:$V,J$33,CurrentMonthTransactionData!$W:$W,""&amp;$A52&amp;"")</f>
        <v>0</v>
      </c>
      <c r="K52" s="91">
        <f>SUMIFS(CurrentMonthTransactionData!$R:$R,CurrentMonthTransactionData!$V:$V,K$33,CurrentMonthTransactionData!$W:$W,""&amp;$A52&amp;"")</f>
        <v>0</v>
      </c>
      <c r="L52" s="91">
        <f>SUMIFS(CurrentMonthTransactionData!$R:$R,CurrentMonthTransactionData!$V:$V,L$33,CurrentMonthTransactionData!$W:$W,""&amp;$A52&amp;"")</f>
        <v>0</v>
      </c>
      <c r="M52" s="7"/>
      <c r="N52" s="7">
        <f>'Agile AR Aging &lt;-INPUT'!V39</f>
        <v>0</v>
      </c>
      <c r="O52" s="7">
        <f t="shared" si="0"/>
        <v>-333</v>
      </c>
      <c r="P52" s="7">
        <f>'Agile AR Aging &lt;-INPUT'!K39</f>
        <v>0</v>
      </c>
      <c r="Q52" s="7">
        <f t="shared" si="1"/>
        <v>-333</v>
      </c>
    </row>
    <row r="53" spans="1:18" x14ac:dyDescent="0.25">
      <c r="A53" t="s">
        <v>88</v>
      </c>
      <c r="B53" s="1" t="s">
        <v>52</v>
      </c>
      <c r="C53" s="91">
        <f>SUMIFS(CurrentMonthTransactionData!$R:$R,CurrentMonthTransactionData!$V:$V,C$33,CurrentMonthTransactionData!$W:$W,""&amp;$A53&amp;"")</f>
        <v>864</v>
      </c>
      <c r="D53" s="91">
        <f>SUMIFS(CurrentMonthTransactionData!$R:$R,CurrentMonthTransactionData!$V:$V,D$33,CurrentMonthTransactionData!$W:$W,""&amp;$A53&amp;"")</f>
        <v>0</v>
      </c>
      <c r="E53" s="91">
        <f>SUMIFS(CurrentMonthTransactionData!$R:$R,CurrentMonthTransactionData!$V:$V,E$33,CurrentMonthTransactionData!$W:$W,""&amp;$A53&amp;"")</f>
        <v>0</v>
      </c>
      <c r="F53" s="91">
        <f>SUMIFS(CurrentMonthTransactionData!$R:$R,CurrentMonthTransactionData!$V:$V,F$33,CurrentMonthTransactionData!$W:$W,""&amp;$A53&amp;"")</f>
        <v>0</v>
      </c>
      <c r="G53" s="91">
        <f>SUMIFS(CurrentMonthTransactionData!$R:$R,CurrentMonthTransactionData!$V:$V,G$33,CurrentMonthTransactionData!$W:$W,""&amp;$A53&amp;"")</f>
        <v>0</v>
      </c>
      <c r="H53" s="91">
        <f>SUMIFS(CurrentMonthTransactionData!$R:$R,CurrentMonthTransactionData!$V:$V,H$33,CurrentMonthTransactionData!$W:$W,""&amp;$A53&amp;"")</f>
        <v>0</v>
      </c>
      <c r="I53" s="91">
        <f>SUMIFS(CurrentMonthTransactionData!$R:$R,CurrentMonthTransactionData!$V:$V,I$33,CurrentMonthTransactionData!$W:$W,""&amp;$A53&amp;"")</f>
        <v>0</v>
      </c>
      <c r="J53" s="91">
        <f>SUMIFS(CurrentMonthTransactionData!$R:$R,CurrentMonthTransactionData!$V:$V,J$33,CurrentMonthTransactionData!$W:$W,""&amp;$A53&amp;"")</f>
        <v>0</v>
      </c>
      <c r="K53" s="91">
        <f>SUMIFS(CurrentMonthTransactionData!$R:$R,CurrentMonthTransactionData!$V:$V,K$33,CurrentMonthTransactionData!$W:$W,""&amp;$A53&amp;"")</f>
        <v>0</v>
      </c>
      <c r="L53" s="91">
        <f>SUMIFS(CurrentMonthTransactionData!$R:$R,CurrentMonthTransactionData!$V:$V,L$33,CurrentMonthTransactionData!$W:$W,""&amp;$A53&amp;"")</f>
        <v>0</v>
      </c>
      <c r="M53" s="7"/>
      <c r="N53" s="7">
        <f>'Agile AR Aging &lt;-INPUT'!V41</f>
        <v>0</v>
      </c>
      <c r="O53" s="7">
        <f t="shared" si="0"/>
        <v>864</v>
      </c>
      <c r="P53" s="7">
        <f>'Agile AR Aging &lt;-INPUT'!K41</f>
        <v>0</v>
      </c>
      <c r="Q53" s="7">
        <f t="shared" si="1"/>
        <v>864</v>
      </c>
    </row>
    <row r="54" spans="1:18" x14ac:dyDescent="0.25">
      <c r="A54" t="s">
        <v>1162</v>
      </c>
      <c r="B54" s="1" t="s">
        <v>88</v>
      </c>
      <c r="C54" s="2">
        <f>SUMIFS(CurrentMonthTransactionData!$R:$R,CurrentMonthTransactionData!$V:$V,C$33,CurrentMonthTransactionData!$W:$W,""&amp;$A54&amp;"")</f>
        <v>0</v>
      </c>
      <c r="D54" s="2">
        <f>SUMIFS(CurrentMonthTransactionData!$R:$R,CurrentMonthTransactionData!$V:$V,D$33,CurrentMonthTransactionData!$W:$W,""&amp;$A54&amp;"")</f>
        <v>0</v>
      </c>
      <c r="E54" s="2">
        <f>SUMIFS(CurrentMonthTransactionData!$R:$R,CurrentMonthTransactionData!$V:$V,E$33,CurrentMonthTransactionData!$W:$W,""&amp;$A54&amp;"")</f>
        <v>0</v>
      </c>
      <c r="F54" s="2">
        <f>SUMIFS(CurrentMonthTransactionData!$R:$R,CurrentMonthTransactionData!$V:$V,F$33,CurrentMonthTransactionData!$W:$W,""&amp;$A54&amp;"")</f>
        <v>0</v>
      </c>
      <c r="G54" s="2">
        <f>SUMIFS(CurrentMonthTransactionData!$R:$R,CurrentMonthTransactionData!$V:$V,G$33,CurrentMonthTransactionData!$W:$W,""&amp;$A54&amp;"")</f>
        <v>0</v>
      </c>
      <c r="H54" s="2">
        <f>SUMIFS(CurrentMonthTransactionData!$R:$R,CurrentMonthTransactionData!$V:$V,H$33,CurrentMonthTransactionData!$W:$W,""&amp;$A54&amp;"")</f>
        <v>0</v>
      </c>
      <c r="I54" s="91">
        <f>SUMIFS(CurrentMonthTransactionData!$R:$R,CurrentMonthTransactionData!$V:$V,I$33,CurrentMonthTransactionData!$W:$W,""&amp;$A54&amp;"")</f>
        <v>0</v>
      </c>
      <c r="J54" s="91">
        <f>SUMIFS(CurrentMonthTransactionData!$R:$R,CurrentMonthTransactionData!$V:$V,J$33,CurrentMonthTransactionData!$W:$W,""&amp;$A54&amp;"")</f>
        <v>0</v>
      </c>
      <c r="K54" s="91">
        <f>SUMIFS(CurrentMonthTransactionData!$R:$R,CurrentMonthTransactionData!$V:$V,K$33,CurrentMonthTransactionData!$W:$W,""&amp;$A54&amp;"")</f>
        <v>0</v>
      </c>
      <c r="L54" s="91">
        <f>SUMIFS(CurrentMonthTransactionData!$R:$R,CurrentMonthTransactionData!$V:$V,L$33,CurrentMonthTransactionData!$W:$W,""&amp;$A54&amp;"")</f>
        <v>0</v>
      </c>
      <c r="M54" s="7"/>
      <c r="N54" s="7">
        <f>'Agile AR Aging &lt;-INPUT'!V40</f>
        <v>0</v>
      </c>
      <c r="O54" s="7">
        <f t="shared" si="0"/>
        <v>0</v>
      </c>
      <c r="P54" s="7">
        <f>'Agile AR Aging &lt;-INPUT'!K40</f>
        <v>0</v>
      </c>
      <c r="Q54" s="7">
        <f t="shared" si="1"/>
        <v>0</v>
      </c>
    </row>
    <row r="55" spans="1:18" x14ac:dyDescent="0.25">
      <c r="A55" t="s">
        <v>1099</v>
      </c>
      <c r="B55" s="1" t="s">
        <v>1</v>
      </c>
      <c r="C55" s="2">
        <f>SUMIFS(CurrentMonthTransactionData!$R:$R,CurrentMonthTransactionData!$V:$V,C$33,CurrentMonthTransactionData!$W:$W,""&amp;$A55&amp;"")</f>
        <v>900</v>
      </c>
      <c r="D55" s="2">
        <f>SUMIFS(CurrentMonthTransactionData!$R:$R,CurrentMonthTransactionData!$V:$V,D$33,CurrentMonthTransactionData!$W:$W,""&amp;$A55&amp;"")</f>
        <v>0</v>
      </c>
      <c r="E55" s="2">
        <f>SUMIFS(CurrentMonthTransactionData!$R:$R,CurrentMonthTransactionData!$V:$V,E$33,CurrentMonthTransactionData!$W:$W,""&amp;$A55&amp;"")</f>
        <v>0</v>
      </c>
      <c r="F55" s="2">
        <f>SUMIFS(CurrentMonthTransactionData!$R:$R,CurrentMonthTransactionData!$V:$V,F$33,CurrentMonthTransactionData!$W:$W,""&amp;$A55&amp;"")</f>
        <v>0</v>
      </c>
      <c r="G55" s="2">
        <f>SUMIFS(CurrentMonthTransactionData!$R:$R,CurrentMonthTransactionData!$V:$V,G$33,CurrentMonthTransactionData!$W:$W,""&amp;$A55&amp;"")</f>
        <v>0</v>
      </c>
      <c r="H55" s="2">
        <f>SUMIFS(CurrentMonthTransactionData!$R:$R,CurrentMonthTransactionData!$V:$V,H$33,CurrentMonthTransactionData!$W:$W,""&amp;$A55&amp;"")</f>
        <v>0</v>
      </c>
      <c r="I55" s="91">
        <f>SUMIFS(CurrentMonthTransactionData!$R:$R,CurrentMonthTransactionData!$V:$V,I$33,CurrentMonthTransactionData!$W:$W,""&amp;$A55&amp;"")</f>
        <v>0</v>
      </c>
      <c r="J55" s="91">
        <f>SUMIFS(CurrentMonthTransactionData!$R:$R,CurrentMonthTransactionData!$V:$V,J$33,CurrentMonthTransactionData!$W:$W,""&amp;$A55&amp;"")</f>
        <v>0</v>
      </c>
      <c r="K55" s="91">
        <f>SUMIFS(CurrentMonthTransactionData!$R:$R,CurrentMonthTransactionData!$V:$V,K$33,CurrentMonthTransactionData!$W:$W,""&amp;$A55&amp;"")</f>
        <v>0</v>
      </c>
      <c r="L55" s="91">
        <f>SUMIFS(CurrentMonthTransactionData!$R:$R,CurrentMonthTransactionData!$V:$V,L$33,CurrentMonthTransactionData!$W:$W,""&amp;$A55&amp;"")</f>
        <v>0</v>
      </c>
      <c r="M55" s="7"/>
      <c r="N55" s="7">
        <f>'Agile AR Aging &lt;-INPUT'!V42</f>
        <v>590</v>
      </c>
      <c r="O55" s="7">
        <f t="shared" si="0"/>
        <v>1490</v>
      </c>
      <c r="P55" s="7">
        <f>'Agile AR Aging &lt;-INPUT'!K42</f>
        <v>1490</v>
      </c>
      <c r="Q55" s="7">
        <f t="shared" si="1"/>
        <v>0</v>
      </c>
    </row>
    <row r="56" spans="1:18" ht="15.75" thickBot="1" x14ac:dyDescent="0.3">
      <c r="C56" s="70">
        <f>SUM(C36:C55)</f>
        <v>48088.69</v>
      </c>
      <c r="D56" s="70">
        <f t="shared" ref="D56:L56" si="2">SUM(D36:D55)</f>
        <v>2325.37</v>
      </c>
      <c r="E56" s="70">
        <f t="shared" si="2"/>
        <v>15271.740000000002</v>
      </c>
      <c r="F56" s="70">
        <f t="shared" si="2"/>
        <v>31428.17</v>
      </c>
      <c r="G56" s="70">
        <f t="shared" si="2"/>
        <v>941.61000000000013</v>
      </c>
      <c r="H56" s="70">
        <f t="shared" si="2"/>
        <v>409.56</v>
      </c>
      <c r="I56" s="70">
        <f t="shared" si="2"/>
        <v>0</v>
      </c>
      <c r="J56" s="70">
        <f t="shared" si="2"/>
        <v>0</v>
      </c>
      <c r="K56" s="70">
        <f t="shared" si="2"/>
        <v>0</v>
      </c>
      <c r="L56" s="70">
        <f t="shared" si="2"/>
        <v>0</v>
      </c>
      <c r="M56" s="7">
        <f>SUM(C56:L56)</f>
        <v>98465.14</v>
      </c>
      <c r="N56" s="92">
        <f>SUM(N36:N55)</f>
        <v>24348.02</v>
      </c>
      <c r="O56" s="92">
        <f t="shared" ref="O56:Q56" si="3">SUM(O36:O55)</f>
        <v>22060.260000000002</v>
      </c>
      <c r="P56" s="92">
        <f t="shared" si="3"/>
        <v>22060.260000000002</v>
      </c>
      <c r="Q56" s="92">
        <f t="shared" si="3"/>
        <v>0</v>
      </c>
      <c r="R56" s="31" t="s">
        <v>775</v>
      </c>
    </row>
    <row r="57" spans="1:18" x14ac:dyDescent="0.25">
      <c r="C57" s="7">
        <f>C56-'RF by Location &lt;-INPUT'!C37</f>
        <v>0</v>
      </c>
      <c r="D57" s="7">
        <f>D56-'RF by Location &lt;-INPUT'!D37</f>
        <v>0</v>
      </c>
      <c r="E57" s="7">
        <f>E56-'RF by Location &lt;-INPUT'!E37</f>
        <v>0</v>
      </c>
      <c r="F57" s="7">
        <f>F56-'RF by Location &lt;-INPUT'!F37</f>
        <v>0</v>
      </c>
      <c r="G57" s="7">
        <f>G56-'RF by Location &lt;-INPUT'!G37</f>
        <v>0</v>
      </c>
      <c r="H57" s="7">
        <f>H56-'RF by Location &lt;-INPUT'!H37</f>
        <v>0</v>
      </c>
      <c r="I57" s="7">
        <f>I56-'RF by Location &lt;-INPUT'!I37</f>
        <v>0</v>
      </c>
      <c r="J57" s="7">
        <f>J56-'RF by Location &lt;-INPUT'!J37</f>
        <v>0</v>
      </c>
      <c r="K57" s="7">
        <f>K56-'RF by Location &lt;-INPUT'!K37</f>
        <v>0</v>
      </c>
      <c r="L57" s="7">
        <f>L56-'RF by Location &lt;-INPUT'!L37</f>
        <v>0</v>
      </c>
    </row>
  </sheetData>
  <mergeCells count="5">
    <mergeCell ref="B1:M1"/>
    <mergeCell ref="B2:M2"/>
    <mergeCell ref="B3:M3"/>
    <mergeCell ref="B5:Q5"/>
    <mergeCell ref="C34:L34"/>
  </mergeCells>
  <conditionalFormatting sqref="Q36:Q56">
    <cfRule type="cellIs" dxfId="2" priority="1" operator="lessThan">
      <formula>0</formula>
    </cfRule>
    <cfRule type="cellIs" dxfId="1" priority="2" operator="greaterThan">
      <formula>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theme="6"/>
  </sheetPr>
  <dimension ref="A1:S64"/>
  <sheetViews>
    <sheetView topLeftCell="B1" zoomScale="85" zoomScaleNormal="85" workbookViewId="0">
      <selection activeCell="B1" sqref="B1:N1"/>
    </sheetView>
  </sheetViews>
  <sheetFormatPr defaultRowHeight="15" x14ac:dyDescent="0.25"/>
  <cols>
    <col min="1" max="1" width="9.140625" hidden="1" customWidth="1"/>
    <col min="2" max="2" width="40.7109375" customWidth="1"/>
    <col min="3" max="3" width="16.7109375" customWidth="1"/>
    <col min="4" max="4" width="16.140625" customWidth="1"/>
    <col min="5" max="17" width="10.7109375" hidden="1" customWidth="1"/>
    <col min="18" max="18" width="15.7109375" customWidth="1"/>
    <col min="19" max="19" width="138.140625" bestFit="1" customWidth="1"/>
  </cols>
  <sheetData>
    <row r="1" spans="2:19" ht="18.75" x14ac:dyDescent="0.3">
      <c r="B1" s="173" t="s">
        <v>17</v>
      </c>
      <c r="C1" s="173"/>
      <c r="D1" s="173"/>
      <c r="E1" s="173"/>
      <c r="F1" s="173"/>
      <c r="G1" s="173"/>
      <c r="H1" s="173"/>
      <c r="I1" s="173"/>
      <c r="J1" s="173"/>
      <c r="K1" s="173"/>
      <c r="L1" s="173"/>
      <c r="M1" s="173"/>
      <c r="N1" s="173"/>
      <c r="O1" s="80"/>
      <c r="P1" s="80"/>
      <c r="Q1" s="80"/>
      <c r="S1" s="31"/>
    </row>
    <row r="2" spans="2:19" ht="15.75" x14ac:dyDescent="0.25">
      <c r="B2" s="174" t="str">
        <f>'Reimbursement Rates &lt;-INPUT'!A2</f>
        <v>Biocorrect</v>
      </c>
      <c r="C2" s="174"/>
      <c r="D2" s="174"/>
      <c r="E2" s="174"/>
      <c r="F2" s="174"/>
      <c r="G2" s="174"/>
      <c r="H2" s="174"/>
      <c r="I2" s="174"/>
      <c r="J2" s="174"/>
      <c r="K2" s="174"/>
      <c r="L2" s="174"/>
      <c r="M2" s="174"/>
      <c r="N2" s="174"/>
      <c r="O2" s="87"/>
      <c r="P2" s="87"/>
      <c r="Q2" s="87"/>
      <c r="S2" s="31"/>
    </row>
    <row r="3" spans="2:19" x14ac:dyDescent="0.25">
      <c r="B3" s="175" t="s">
        <v>177</v>
      </c>
      <c r="C3" s="175"/>
      <c r="D3" s="175"/>
      <c r="E3" s="175"/>
      <c r="F3" s="175"/>
      <c r="G3" s="175"/>
      <c r="H3" s="175"/>
      <c r="I3" s="175"/>
      <c r="J3" s="175"/>
      <c r="K3" s="175"/>
      <c r="L3" s="175"/>
      <c r="M3" s="175"/>
      <c r="N3" s="175"/>
      <c r="O3" s="35"/>
      <c r="P3" s="35"/>
      <c r="Q3" s="35"/>
      <c r="S3" s="31"/>
    </row>
    <row r="4" spans="2:19" ht="15.75" thickBot="1" x14ac:dyDescent="0.3">
      <c r="S4" s="31"/>
    </row>
    <row r="5" spans="2:19" ht="15.75" thickBot="1" x14ac:dyDescent="0.3">
      <c r="B5" s="189" t="s">
        <v>130</v>
      </c>
      <c r="C5" s="190"/>
      <c r="D5" s="190"/>
      <c r="E5" s="190"/>
      <c r="F5" s="190"/>
      <c r="G5" s="190"/>
      <c r="H5" s="190"/>
      <c r="I5" s="190"/>
      <c r="J5" s="190"/>
      <c r="K5" s="190"/>
      <c r="L5" s="190"/>
      <c r="M5" s="190"/>
      <c r="N5" s="190"/>
      <c r="O5" s="190"/>
      <c r="P5" s="190"/>
      <c r="Q5" s="190"/>
      <c r="R5" s="191"/>
      <c r="S5" s="31"/>
    </row>
    <row r="6" spans="2:19" x14ac:dyDescent="0.25">
      <c r="S6" s="31"/>
    </row>
    <row r="7" spans="2:19" x14ac:dyDescent="0.25">
      <c r="B7" s="65" t="s">
        <v>134</v>
      </c>
      <c r="S7" s="31"/>
    </row>
    <row r="8" spans="2:19" x14ac:dyDescent="0.25">
      <c r="B8" s="85" t="s">
        <v>209</v>
      </c>
      <c r="S8" s="31"/>
    </row>
    <row r="9" spans="2:19" x14ac:dyDescent="0.25">
      <c r="B9" s="85" t="s">
        <v>274</v>
      </c>
      <c r="S9" s="31"/>
    </row>
    <row r="10" spans="2:19" x14ac:dyDescent="0.25">
      <c r="B10" s="85" t="s">
        <v>145</v>
      </c>
      <c r="S10" s="31"/>
    </row>
    <row r="11" spans="2:19" x14ac:dyDescent="0.25">
      <c r="B11" s="85" t="s">
        <v>155</v>
      </c>
      <c r="S11" s="31"/>
    </row>
    <row r="12" spans="2:19" x14ac:dyDescent="0.25">
      <c r="B12" s="85" t="s">
        <v>138</v>
      </c>
      <c r="S12" s="31"/>
    </row>
    <row r="13" spans="2:19" x14ac:dyDescent="0.25">
      <c r="B13" s="85"/>
      <c r="S13" s="31"/>
    </row>
    <row r="14" spans="2:19" x14ac:dyDescent="0.25">
      <c r="B14" s="89" t="s">
        <v>210</v>
      </c>
      <c r="S14" s="31"/>
    </row>
    <row r="15" spans="2:19" x14ac:dyDescent="0.25">
      <c r="B15" s="85" t="s">
        <v>157</v>
      </c>
      <c r="S15" s="31"/>
    </row>
    <row r="16" spans="2:19" x14ac:dyDescent="0.25">
      <c r="B16" s="85" t="s">
        <v>211</v>
      </c>
      <c r="S16" s="31"/>
    </row>
    <row r="17" spans="2:19" x14ac:dyDescent="0.25">
      <c r="B17" s="85" t="s">
        <v>212</v>
      </c>
      <c r="S17" s="31"/>
    </row>
    <row r="18" spans="2:19" x14ac:dyDescent="0.25">
      <c r="B18" s="93" t="s">
        <v>164</v>
      </c>
      <c r="S18" s="31"/>
    </row>
    <row r="19" spans="2:19" x14ac:dyDescent="0.25">
      <c r="B19" s="93" t="s">
        <v>777</v>
      </c>
      <c r="S19" s="31"/>
    </row>
    <row r="20" spans="2:19" x14ac:dyDescent="0.25">
      <c r="B20" s="93" t="s">
        <v>165</v>
      </c>
      <c r="S20" s="31"/>
    </row>
    <row r="21" spans="2:19" x14ac:dyDescent="0.25">
      <c r="B21" s="93" t="s">
        <v>166</v>
      </c>
      <c r="S21" s="31"/>
    </row>
    <row r="22" spans="2:19" x14ac:dyDescent="0.25">
      <c r="B22" s="93" t="s">
        <v>167</v>
      </c>
      <c r="S22" s="31"/>
    </row>
    <row r="23" spans="2:19" x14ac:dyDescent="0.25">
      <c r="B23" s="94" t="s">
        <v>213</v>
      </c>
      <c r="S23" s="31"/>
    </row>
    <row r="24" spans="2:19" x14ac:dyDescent="0.25">
      <c r="B24" s="94" t="s">
        <v>169</v>
      </c>
      <c r="S24" s="31"/>
    </row>
    <row r="25" spans="2:19" x14ac:dyDescent="0.25">
      <c r="B25" s="94" t="s">
        <v>214</v>
      </c>
      <c r="S25" s="31"/>
    </row>
    <row r="26" spans="2:19" x14ac:dyDescent="0.25">
      <c r="B26" s="93" t="s">
        <v>171</v>
      </c>
      <c r="S26" s="31"/>
    </row>
    <row r="27" spans="2:19" x14ac:dyDescent="0.25">
      <c r="B27" s="93" t="s">
        <v>215</v>
      </c>
      <c r="S27" s="31"/>
    </row>
    <row r="28" spans="2:19" x14ac:dyDescent="0.25">
      <c r="B28" s="93" t="s">
        <v>173</v>
      </c>
      <c r="S28" s="31"/>
    </row>
    <row r="29" spans="2:19" x14ac:dyDescent="0.25">
      <c r="B29" s="93" t="s">
        <v>216</v>
      </c>
      <c r="S29" s="31"/>
    </row>
    <row r="30" spans="2:19" x14ac:dyDescent="0.25">
      <c r="B30" s="93" t="s">
        <v>175</v>
      </c>
      <c r="S30" s="31"/>
    </row>
    <row r="31" spans="2:19" x14ac:dyDescent="0.25">
      <c r="B31" s="85" t="s">
        <v>217</v>
      </c>
      <c r="S31" s="31"/>
    </row>
    <row r="32" spans="2:19" x14ac:dyDescent="0.25">
      <c r="B32" s="85" t="s">
        <v>218</v>
      </c>
      <c r="S32" s="31"/>
    </row>
    <row r="33" spans="1:19" x14ac:dyDescent="0.25">
      <c r="S33" s="31"/>
    </row>
    <row r="34" spans="1:19" x14ac:dyDescent="0.25">
      <c r="S34" s="31"/>
    </row>
    <row r="35" spans="1:19" hidden="1" x14ac:dyDescent="0.25">
      <c r="C35" t="s">
        <v>282</v>
      </c>
    </row>
    <row r="36" spans="1:19" x14ac:dyDescent="0.25">
      <c r="C36" s="192" t="str">
        <f>'RF by Payor &lt;-INPUT'!C34:L34</f>
        <v>09/01/2023-09/30/2023</v>
      </c>
      <c r="D36" s="192"/>
      <c r="E36" s="192"/>
      <c r="F36" s="192"/>
      <c r="G36" s="192"/>
      <c r="H36" s="192"/>
      <c r="I36" s="192"/>
      <c r="J36" s="192"/>
      <c r="K36" s="192"/>
      <c r="L36" s="192"/>
      <c r="M36" s="192"/>
      <c r="N36" s="192"/>
      <c r="O36" s="192"/>
      <c r="P36" s="192"/>
      <c r="Q36" s="192"/>
      <c r="R36" s="192"/>
      <c r="S36" s="95"/>
    </row>
    <row r="37" spans="1:19" ht="15.75" thickBot="1" x14ac:dyDescent="0.3">
      <c r="B37" s="43" t="s">
        <v>199</v>
      </c>
      <c r="C37" s="43" t="str">
        <f>'Reimbursement Rates &lt;-INPUT'!B7</f>
        <v>Biocorrect-Agile</v>
      </c>
      <c r="D37" s="43" t="str">
        <f>'Reimbursement Rates &lt;-INPUT'!C7</f>
        <v>Biocorrect-GP</v>
      </c>
      <c r="E37" s="43" t="str">
        <f>'Reimbursement Rates &lt;-INPUT'!D7</f>
        <v>Clinic 3</v>
      </c>
      <c r="F37" s="43" t="str">
        <f>'Reimbursement Rates &lt;-INPUT'!E7</f>
        <v>Clinic 4</v>
      </c>
      <c r="G37" s="43" t="str">
        <f>'Reimbursement Rates &lt;-INPUT'!F7</f>
        <v>Clinic 5</v>
      </c>
      <c r="H37" s="43" t="str">
        <f>'Reimbursement Rates &lt;-INPUT'!G7</f>
        <v>Clinic 6</v>
      </c>
      <c r="I37" s="43" t="str">
        <f>'Reimbursement Rates &lt;-INPUT'!H7</f>
        <v>Clinic 7</v>
      </c>
      <c r="J37" s="43" t="str">
        <f>'Reimbursement Rates &lt;-INPUT'!I7</f>
        <v>Clinic 8</v>
      </c>
      <c r="K37" s="43" t="str">
        <f>'Reimbursement Rates &lt;-INPUT'!J7</f>
        <v>Clinic 9</v>
      </c>
      <c r="L37" s="43" t="str">
        <f>'Reimbursement Rates &lt;-INPUT'!K7</f>
        <v>Clinic 10</v>
      </c>
      <c r="M37" s="43" t="str">
        <f>'Reimbursement Rates &lt;-INPUT'!L7</f>
        <v>Clinic 11</v>
      </c>
      <c r="N37" s="43" t="str">
        <f>'Reimbursement Rates &lt;-INPUT'!M7</f>
        <v>Clinic 12</v>
      </c>
      <c r="O37" s="43" t="str">
        <f>'Reimbursement Rates &lt;-INPUT'!N7</f>
        <v>Clinic 13</v>
      </c>
      <c r="P37" s="43" t="str">
        <f>'Reimbursement Rates &lt;-INPUT'!O7</f>
        <v>Clinic 14</v>
      </c>
      <c r="Q37" s="43" t="str">
        <f>'Reimbursement Rates &lt;-INPUT'!P7</f>
        <v>Clinic 15</v>
      </c>
      <c r="R37" s="43" t="s">
        <v>0</v>
      </c>
    </row>
    <row r="38" spans="1:19" x14ac:dyDescent="0.25">
      <c r="A38" t="s">
        <v>76</v>
      </c>
      <c r="B38" t="s">
        <v>76</v>
      </c>
      <c r="C38" s="2">
        <f>SUMIFS(CurrentMonthTransactionData!$R:$R,CurrentMonthTransactionData!$H:$H,""&amp;C$35&amp;"",CurrentMonthTransactionData!$AK:$AK,""&amp;$A38&amp;"",CurrentMonthTransactionData!$AP:$AP,"Y")</f>
        <v>0</v>
      </c>
      <c r="D38" s="91"/>
      <c r="E38" s="91"/>
      <c r="F38" s="91"/>
      <c r="G38" s="91"/>
      <c r="H38" s="91"/>
      <c r="I38" s="91"/>
      <c r="J38" s="91"/>
      <c r="K38" s="91"/>
      <c r="L38" s="91"/>
      <c r="M38" s="91"/>
      <c r="N38" s="91"/>
      <c r="O38" s="91"/>
      <c r="P38" s="91"/>
      <c r="Q38" s="91"/>
      <c r="R38" s="2">
        <f>SUM(C38:Q38)</f>
        <v>0</v>
      </c>
    </row>
    <row r="39" spans="1:19" x14ac:dyDescent="0.25">
      <c r="A39" t="s">
        <v>178</v>
      </c>
      <c r="B39" t="s">
        <v>178</v>
      </c>
      <c r="C39" s="91">
        <f>SUMIFS(CurrentMonthTransactionData!$R:$R,CurrentMonthTransactionData!$H:$H,""&amp;C$35&amp;"",CurrentMonthTransactionData!$AK:$AK,""&amp;$A39&amp;"",CurrentMonthTransactionData!$AP:$AP,"Y")</f>
        <v>0</v>
      </c>
      <c r="D39" s="91"/>
      <c r="E39" s="91"/>
      <c r="F39" s="91"/>
      <c r="G39" s="91"/>
      <c r="H39" s="91"/>
      <c r="I39" s="91"/>
      <c r="J39" s="91"/>
      <c r="K39" s="91"/>
      <c r="L39" s="91"/>
      <c r="M39" s="91"/>
      <c r="N39" s="91"/>
      <c r="O39" s="91"/>
      <c r="P39" s="91"/>
      <c r="Q39" s="91"/>
      <c r="R39" s="2">
        <f t="shared" ref="R39:R63" si="0">SUM(C39:Q39)</f>
        <v>0</v>
      </c>
    </row>
    <row r="40" spans="1:19" x14ac:dyDescent="0.25">
      <c r="A40" t="s">
        <v>188</v>
      </c>
      <c r="B40" t="s">
        <v>188</v>
      </c>
      <c r="C40" s="91">
        <f>SUMIFS(CurrentMonthTransactionData!$R:$R,CurrentMonthTransactionData!$H:$H,""&amp;C$35&amp;"",CurrentMonthTransactionData!$AK:$AK,""&amp;$A40&amp;"",CurrentMonthTransactionData!$AP:$AP,"Y")</f>
        <v>0</v>
      </c>
      <c r="D40" s="91"/>
      <c r="E40" s="91"/>
      <c r="F40" s="91"/>
      <c r="G40" s="91"/>
      <c r="H40" s="91"/>
      <c r="I40" s="91"/>
      <c r="J40" s="91"/>
      <c r="K40" s="91"/>
      <c r="L40" s="91"/>
      <c r="M40" s="91"/>
      <c r="N40" s="91"/>
      <c r="O40" s="91"/>
      <c r="P40" s="91"/>
      <c r="Q40" s="91"/>
      <c r="R40" s="2">
        <f t="shared" si="0"/>
        <v>0</v>
      </c>
    </row>
    <row r="41" spans="1:19" x14ac:dyDescent="0.25">
      <c r="A41" t="s">
        <v>179</v>
      </c>
      <c r="B41" t="s">
        <v>179</v>
      </c>
      <c r="C41" s="2">
        <f>SUMIFS(CurrentMonthTransactionData!$R:$R,CurrentMonthTransactionData!$H:$H,""&amp;C$35&amp;"",CurrentMonthTransactionData!$AK:$AK,""&amp;$A41&amp;"",CurrentMonthTransactionData!$AP:$AP,"Y")</f>
        <v>0</v>
      </c>
      <c r="D41" s="91"/>
      <c r="E41" s="91"/>
      <c r="F41" s="91"/>
      <c r="G41" s="91"/>
      <c r="H41" s="91"/>
      <c r="I41" s="91"/>
      <c r="J41" s="91"/>
      <c r="K41" s="91"/>
      <c r="L41" s="91"/>
      <c r="M41" s="91"/>
      <c r="N41" s="91"/>
      <c r="O41" s="91"/>
      <c r="P41" s="91"/>
      <c r="Q41" s="91"/>
      <c r="R41" s="2">
        <f t="shared" si="0"/>
        <v>0</v>
      </c>
    </row>
    <row r="42" spans="1:19" x14ac:dyDescent="0.25">
      <c r="A42" t="s">
        <v>190</v>
      </c>
      <c r="B42" t="s">
        <v>190</v>
      </c>
      <c r="C42" s="91">
        <f>SUMIFS(CurrentMonthTransactionData!$R:$R,CurrentMonthTransactionData!$H:$H,""&amp;C$35&amp;"",CurrentMonthTransactionData!$AK:$AK,""&amp;$A42&amp;"",CurrentMonthTransactionData!$AP:$AP,"Y")</f>
        <v>0</v>
      </c>
      <c r="D42" s="91"/>
      <c r="E42" s="91"/>
      <c r="F42" s="91"/>
      <c r="G42" s="91"/>
      <c r="H42" s="91"/>
      <c r="I42" s="91"/>
      <c r="J42" s="91"/>
      <c r="K42" s="91"/>
      <c r="L42" s="91"/>
      <c r="M42" s="91"/>
      <c r="N42" s="91"/>
      <c r="O42" s="91"/>
      <c r="P42" s="91"/>
      <c r="Q42" s="91"/>
      <c r="R42" s="2">
        <f t="shared" si="0"/>
        <v>0</v>
      </c>
    </row>
    <row r="43" spans="1:19" x14ac:dyDescent="0.25">
      <c r="A43" t="s">
        <v>180</v>
      </c>
      <c r="B43" t="s">
        <v>180</v>
      </c>
      <c r="C43" s="91">
        <f>SUMIFS(CurrentMonthTransactionData!$R:$R,CurrentMonthTransactionData!$H:$H,""&amp;C$35&amp;"",CurrentMonthTransactionData!$AK:$AK,""&amp;$A43&amp;"",CurrentMonthTransactionData!$AP:$AP,"Y")</f>
        <v>0</v>
      </c>
      <c r="D43" s="91"/>
      <c r="E43" s="91"/>
      <c r="F43" s="91"/>
      <c r="G43" s="91"/>
      <c r="H43" s="91"/>
      <c r="I43" s="91"/>
      <c r="J43" s="91"/>
      <c r="K43" s="91"/>
      <c r="L43" s="91"/>
      <c r="M43" s="91"/>
      <c r="N43" s="91"/>
      <c r="O43" s="91"/>
      <c r="P43" s="91"/>
      <c r="Q43" s="91"/>
      <c r="R43" s="2">
        <f t="shared" si="0"/>
        <v>0</v>
      </c>
    </row>
    <row r="44" spans="1:19" x14ac:dyDescent="0.25">
      <c r="A44" t="s">
        <v>181</v>
      </c>
      <c r="B44" t="s">
        <v>181</v>
      </c>
      <c r="C44" s="91">
        <f>SUMIFS(CurrentMonthTransactionData!$R:$R,CurrentMonthTransactionData!$H:$H,""&amp;C$35&amp;"",CurrentMonthTransactionData!$AK:$AK,""&amp;$A44&amp;"",CurrentMonthTransactionData!$AP:$AP,"Y")</f>
        <v>0</v>
      </c>
      <c r="D44" s="91"/>
      <c r="E44" s="91"/>
      <c r="F44" s="91"/>
      <c r="G44" s="91"/>
      <c r="H44" s="91"/>
      <c r="I44" s="91"/>
      <c r="J44" s="91"/>
      <c r="K44" s="91"/>
      <c r="L44" s="91"/>
      <c r="M44" s="91"/>
      <c r="N44" s="91"/>
      <c r="O44" s="91"/>
      <c r="P44" s="91"/>
      <c r="Q44" s="91"/>
      <c r="R44" s="2">
        <f t="shared" si="0"/>
        <v>0</v>
      </c>
    </row>
    <row r="45" spans="1:19" x14ac:dyDescent="0.25">
      <c r="A45" t="s">
        <v>182</v>
      </c>
      <c r="B45" t="s">
        <v>182</v>
      </c>
      <c r="C45" s="137">
        <f>SUMIFS(CurrentMonthTransactionData!$R:$R,CurrentMonthTransactionData!$H:$H,""&amp;C$35&amp;"",CurrentMonthTransactionData!$AK:$AK,""&amp;$A45&amp;"",CurrentMonthTransactionData!$AP:$AP,"Y")</f>
        <v>409.56</v>
      </c>
      <c r="D45" s="91"/>
      <c r="E45" s="91"/>
      <c r="F45" s="91"/>
      <c r="G45" s="91"/>
      <c r="H45" s="91"/>
      <c r="I45" s="91"/>
      <c r="J45" s="91"/>
      <c r="K45" s="91"/>
      <c r="L45" s="91"/>
      <c r="M45" s="91"/>
      <c r="N45" s="91"/>
      <c r="O45" s="91"/>
      <c r="P45" s="91"/>
      <c r="Q45" s="91"/>
      <c r="R45" s="2">
        <f t="shared" si="0"/>
        <v>409.56</v>
      </c>
    </row>
    <row r="46" spans="1:19" x14ac:dyDescent="0.25">
      <c r="A46" t="s">
        <v>189</v>
      </c>
      <c r="B46" t="s">
        <v>189</v>
      </c>
      <c r="C46" s="91">
        <f>SUMIFS(CurrentMonthTransactionData!$R:$R,CurrentMonthTransactionData!$H:$H,""&amp;C$35&amp;"",CurrentMonthTransactionData!$AK:$AK,""&amp;$A46&amp;"",CurrentMonthTransactionData!$AP:$AP,"Y")</f>
        <v>0</v>
      </c>
      <c r="D46" s="91"/>
      <c r="E46" s="91"/>
      <c r="F46" s="91"/>
      <c r="G46" s="91"/>
      <c r="H46" s="91"/>
      <c r="I46" s="91"/>
      <c r="J46" s="91"/>
      <c r="K46" s="91"/>
      <c r="L46" s="91"/>
      <c r="M46" s="91"/>
      <c r="N46" s="91"/>
      <c r="O46" s="91"/>
      <c r="P46" s="91"/>
      <c r="Q46" s="91"/>
      <c r="R46" s="2">
        <f t="shared" si="0"/>
        <v>0</v>
      </c>
    </row>
    <row r="47" spans="1:19" x14ac:dyDescent="0.25">
      <c r="A47" t="s">
        <v>183</v>
      </c>
      <c r="B47" t="s">
        <v>183</v>
      </c>
      <c r="C47" s="91">
        <f>SUMIFS(CurrentMonthTransactionData!$R:$R,CurrentMonthTransactionData!$H:$H,""&amp;C$35&amp;"",CurrentMonthTransactionData!$AK:$AK,""&amp;$A47&amp;"",CurrentMonthTransactionData!$AP:$AP,"Y")</f>
        <v>0</v>
      </c>
      <c r="D47" s="91"/>
      <c r="E47" s="91"/>
      <c r="F47" s="91"/>
      <c r="G47" s="91"/>
      <c r="H47" s="91"/>
      <c r="I47" s="91"/>
      <c r="J47" s="91"/>
      <c r="K47" s="91"/>
      <c r="L47" s="91"/>
      <c r="M47" s="91"/>
      <c r="N47" s="91"/>
      <c r="O47" s="91"/>
      <c r="P47" s="91"/>
      <c r="Q47" s="91"/>
      <c r="R47" s="2">
        <f t="shared" si="0"/>
        <v>0</v>
      </c>
    </row>
    <row r="48" spans="1:19" x14ac:dyDescent="0.25">
      <c r="A48" t="s">
        <v>191</v>
      </c>
      <c r="B48" t="s">
        <v>191</v>
      </c>
      <c r="C48" s="33">
        <f>SUMIFS(CurrentMonthTransactionData!$R:$R,CurrentMonthTransactionData!$H:$H,""&amp;C$35&amp;"",CurrentMonthTransactionData!$AK:$AK,""&amp;$A48&amp;"",CurrentMonthTransactionData!$AP:$AP,"Y")</f>
        <v>0</v>
      </c>
      <c r="D48" s="91"/>
      <c r="E48" s="91"/>
      <c r="F48" s="91"/>
      <c r="G48" s="91"/>
      <c r="H48" s="91"/>
      <c r="I48" s="91"/>
      <c r="J48" s="91"/>
      <c r="K48" s="91"/>
      <c r="L48" s="91"/>
      <c r="M48" s="91"/>
      <c r="N48" s="91"/>
      <c r="O48" s="91"/>
      <c r="P48" s="91"/>
      <c r="Q48" s="91"/>
      <c r="R48" s="2">
        <f t="shared" si="0"/>
        <v>0</v>
      </c>
    </row>
    <row r="49" spans="1:18" x14ac:dyDescent="0.25">
      <c r="A49" t="s">
        <v>184</v>
      </c>
      <c r="B49" t="s">
        <v>184</v>
      </c>
      <c r="C49" s="91">
        <f>SUMIFS(CurrentMonthTransactionData!$R:$R,CurrentMonthTransactionData!$H:$H,""&amp;C$35&amp;"",CurrentMonthTransactionData!$AK:$AK,""&amp;$A49&amp;"",CurrentMonthTransactionData!$AP:$AP,"Y")</f>
        <v>0</v>
      </c>
      <c r="D49" s="91"/>
      <c r="E49" s="91"/>
      <c r="F49" s="91"/>
      <c r="G49" s="91"/>
      <c r="H49" s="91"/>
      <c r="I49" s="91"/>
      <c r="J49" s="91"/>
      <c r="K49" s="91"/>
      <c r="L49" s="91"/>
      <c r="M49" s="91"/>
      <c r="N49" s="91"/>
      <c r="O49" s="91"/>
      <c r="P49" s="91"/>
      <c r="Q49" s="91"/>
      <c r="R49" s="2">
        <f t="shared" si="0"/>
        <v>0</v>
      </c>
    </row>
    <row r="50" spans="1:18" ht="30" x14ac:dyDescent="0.25">
      <c r="A50" t="s">
        <v>185</v>
      </c>
      <c r="B50" s="96" t="s">
        <v>185</v>
      </c>
      <c r="C50" s="2">
        <f>SUMIFS(CurrentMonthTransactionData!$R:$R,CurrentMonthTransactionData!$H:$H,""&amp;C$35&amp;"",CurrentMonthTransactionData!$AK:$AK,""&amp;$A50&amp;"",CurrentMonthTransactionData!$AP:$AP,"Y")</f>
        <v>0</v>
      </c>
      <c r="D50" s="91"/>
      <c r="E50" s="91"/>
      <c r="F50" s="91"/>
      <c r="G50" s="91"/>
      <c r="H50" s="91"/>
      <c r="I50" s="91"/>
      <c r="J50" s="91"/>
      <c r="K50" s="91"/>
      <c r="L50" s="91"/>
      <c r="M50" s="91"/>
      <c r="N50" s="91"/>
      <c r="O50" s="91"/>
      <c r="P50" s="91"/>
      <c r="Q50" s="91"/>
      <c r="R50" s="2">
        <f t="shared" si="0"/>
        <v>0</v>
      </c>
    </row>
    <row r="51" spans="1:18" x14ac:dyDescent="0.25">
      <c r="A51" t="s">
        <v>186</v>
      </c>
      <c r="B51" t="s">
        <v>186</v>
      </c>
      <c r="C51" s="91">
        <f>SUMIFS(CurrentMonthTransactionData!$R:$R,CurrentMonthTransactionData!$H:$H,""&amp;C$35&amp;"",CurrentMonthTransactionData!$AK:$AK,""&amp;$A51&amp;"",CurrentMonthTransactionData!$AP:$AP,"Y")</f>
        <v>0</v>
      </c>
      <c r="D51" s="91"/>
      <c r="E51" s="91"/>
      <c r="F51" s="91"/>
      <c r="G51" s="91"/>
      <c r="H51" s="91"/>
      <c r="I51" s="91"/>
      <c r="J51" s="91"/>
      <c r="K51" s="91"/>
      <c r="L51" s="91"/>
      <c r="M51" s="91"/>
      <c r="N51" s="91"/>
      <c r="O51" s="91"/>
      <c r="P51" s="91"/>
      <c r="Q51" s="91"/>
      <c r="R51" s="2">
        <f t="shared" si="0"/>
        <v>0</v>
      </c>
    </row>
    <row r="52" spans="1:18" ht="30" x14ac:dyDescent="0.25">
      <c r="A52" s="142" t="s">
        <v>1109</v>
      </c>
      <c r="B52" s="96" t="s">
        <v>187</v>
      </c>
      <c r="C52" s="91">
        <f>SUMIFS(CurrentMonthTransactionData!$R:$R,CurrentMonthTransactionData!$H:$H,""&amp;C$35&amp;"",CurrentMonthTransactionData!$AK:$AK,""&amp;$A52&amp;"",CurrentMonthTransactionData!$AP:$AP,"Y")</f>
        <v>0</v>
      </c>
      <c r="D52" s="91"/>
      <c r="E52" s="91"/>
      <c r="F52" s="91"/>
      <c r="G52" s="91"/>
      <c r="H52" s="91"/>
      <c r="I52" s="91"/>
      <c r="J52" s="91"/>
      <c r="K52" s="91"/>
      <c r="L52" s="91"/>
      <c r="M52" s="91"/>
      <c r="N52" s="91"/>
      <c r="O52" s="91"/>
      <c r="P52" s="91"/>
      <c r="Q52" s="91"/>
      <c r="R52" s="2">
        <f t="shared" si="0"/>
        <v>0</v>
      </c>
    </row>
    <row r="53" spans="1:18" x14ac:dyDescent="0.25">
      <c r="A53" s="142" t="s">
        <v>1112</v>
      </c>
      <c r="B53" t="s">
        <v>192</v>
      </c>
      <c r="C53" s="91">
        <f>SUMIFS(CurrentMonthTransactionData!$R:$R,CurrentMonthTransactionData!$H:$H,""&amp;C$35&amp;"",CurrentMonthTransactionData!$AK:$AK,""&amp;$A53&amp;"",CurrentMonthTransactionData!$AP:$AP,"Y")</f>
        <v>0</v>
      </c>
      <c r="D53" s="91"/>
      <c r="E53" s="91"/>
      <c r="F53" s="91"/>
      <c r="G53" s="91"/>
      <c r="H53" s="91"/>
      <c r="I53" s="91"/>
      <c r="J53" s="91"/>
      <c r="K53" s="91"/>
      <c r="L53" s="91"/>
      <c r="M53" s="91"/>
      <c r="N53" s="91"/>
      <c r="O53" s="91"/>
      <c r="P53" s="91"/>
      <c r="Q53" s="91"/>
      <c r="R53" s="2">
        <f t="shared" si="0"/>
        <v>0</v>
      </c>
    </row>
    <row r="54" spans="1:18" x14ac:dyDescent="0.25">
      <c r="A54" s="142" t="s">
        <v>1222</v>
      </c>
      <c r="B54" s="163" t="s">
        <v>1222</v>
      </c>
      <c r="C54" s="91">
        <f>SUMIFS(CurrentMonthTransactionData!$R:$R,CurrentMonthTransactionData!$H:$H,""&amp;C$35&amp;"",CurrentMonthTransactionData!$AK:$AK,""&amp;$A54&amp;"",CurrentMonthTransactionData!$AP:$AP,"Y")</f>
        <v>0</v>
      </c>
      <c r="D54" s="91"/>
      <c r="E54" s="91"/>
      <c r="F54" s="91"/>
      <c r="G54" s="91"/>
      <c r="H54" s="91"/>
      <c r="I54" s="91"/>
      <c r="J54" s="91"/>
      <c r="K54" s="91"/>
      <c r="L54" s="91"/>
      <c r="M54" s="91"/>
      <c r="N54" s="91"/>
      <c r="O54" s="91"/>
      <c r="P54" s="91"/>
      <c r="Q54" s="91"/>
      <c r="R54" s="2">
        <f t="shared" si="0"/>
        <v>0</v>
      </c>
    </row>
    <row r="55" spans="1:18" x14ac:dyDescent="0.25">
      <c r="A55" s="142" t="s">
        <v>1111</v>
      </c>
      <c r="B55" t="s">
        <v>193</v>
      </c>
      <c r="C55" s="91">
        <f>SUMIFS(CurrentMonthTransactionData!$R:$R,CurrentMonthTransactionData!$H:$H,""&amp;C$35&amp;"",CurrentMonthTransactionData!$AK:$AK,""&amp;$A55&amp;"",CurrentMonthTransactionData!$AP:$AP,"Y")</f>
        <v>0</v>
      </c>
      <c r="D55" s="91"/>
      <c r="E55" s="91"/>
      <c r="F55" s="91"/>
      <c r="G55" s="91"/>
      <c r="H55" s="91"/>
      <c r="I55" s="91"/>
      <c r="J55" s="91"/>
      <c r="K55" s="91"/>
      <c r="L55" s="91"/>
      <c r="M55" s="91"/>
      <c r="N55" s="91"/>
      <c r="O55" s="91"/>
      <c r="P55" s="91"/>
      <c r="Q55" s="91"/>
      <c r="R55" s="2">
        <f t="shared" si="0"/>
        <v>0</v>
      </c>
    </row>
    <row r="56" spans="1:18" x14ac:dyDescent="0.25">
      <c r="A56" s="142" t="s">
        <v>1110</v>
      </c>
      <c r="B56" t="s">
        <v>194</v>
      </c>
      <c r="C56" s="2">
        <f>SUMIFS(CurrentMonthTransactionData!$R:$R,CurrentMonthTransactionData!$H:$H,""&amp;C$35&amp;"",CurrentMonthTransactionData!$AK:$AK,""&amp;$A56&amp;"",CurrentMonthTransactionData!$AP:$AP,"Y")</f>
        <v>0</v>
      </c>
      <c r="D56" s="91"/>
      <c r="E56" s="91"/>
      <c r="F56" s="91"/>
      <c r="G56" s="91"/>
      <c r="H56" s="91"/>
      <c r="I56" s="91"/>
      <c r="J56" s="91"/>
      <c r="K56" s="91"/>
      <c r="L56" s="91"/>
      <c r="M56" s="91"/>
      <c r="N56" s="91"/>
      <c r="O56" s="91"/>
      <c r="P56" s="91"/>
      <c r="Q56" s="91"/>
      <c r="R56" s="2">
        <f t="shared" si="0"/>
        <v>0</v>
      </c>
    </row>
    <row r="57" spans="1:18" ht="45" x14ac:dyDescent="0.25">
      <c r="A57" s="142" t="s">
        <v>1104</v>
      </c>
      <c r="B57" s="96" t="s">
        <v>195</v>
      </c>
      <c r="C57" s="91">
        <f>SUMIFS(CurrentMonthTransactionData!$R:$R,CurrentMonthTransactionData!$H:$H,""&amp;C$35&amp;"",CurrentMonthTransactionData!$AK:$AK,""&amp;$A57&amp;"",CurrentMonthTransactionData!$AP:$AP,"Y")</f>
        <v>0</v>
      </c>
      <c r="D57" s="91"/>
      <c r="E57" s="91"/>
      <c r="F57" s="91"/>
      <c r="G57" s="91"/>
      <c r="H57" s="91"/>
      <c r="I57" s="91"/>
      <c r="J57" s="91"/>
      <c r="K57" s="91"/>
      <c r="L57" s="91"/>
      <c r="M57" s="91"/>
      <c r="N57" s="91"/>
      <c r="O57" s="91"/>
      <c r="P57" s="91"/>
      <c r="Q57" s="91"/>
      <c r="R57" s="2">
        <f t="shared" si="0"/>
        <v>0</v>
      </c>
    </row>
    <row r="58" spans="1:18" ht="30" x14ac:dyDescent="0.25">
      <c r="A58" s="142" t="s">
        <v>1105</v>
      </c>
      <c r="B58" s="96" t="s">
        <v>196</v>
      </c>
      <c r="C58" s="91">
        <f>SUMIFS(CurrentMonthTransactionData!$R:$R,CurrentMonthTransactionData!$H:$H,""&amp;C$35&amp;"",CurrentMonthTransactionData!$AK:$AK,""&amp;$A58&amp;"",CurrentMonthTransactionData!$AP:$AP,"Y")</f>
        <v>0</v>
      </c>
      <c r="D58" s="91"/>
      <c r="E58" s="91"/>
      <c r="F58" s="91"/>
      <c r="G58" s="91"/>
      <c r="H58" s="91"/>
      <c r="I58" s="91"/>
      <c r="J58" s="91"/>
      <c r="K58" s="91"/>
      <c r="L58" s="91"/>
      <c r="M58" s="91"/>
      <c r="N58" s="91"/>
      <c r="O58" s="91"/>
      <c r="P58" s="91"/>
      <c r="Q58" s="91"/>
      <c r="R58" s="2">
        <f t="shared" si="0"/>
        <v>0</v>
      </c>
    </row>
    <row r="59" spans="1:18" ht="30" x14ac:dyDescent="0.25">
      <c r="A59" s="142" t="s">
        <v>1102</v>
      </c>
      <c r="B59" s="96" t="s">
        <v>202</v>
      </c>
      <c r="C59" s="91">
        <f>SUMIFS(CurrentMonthTransactionData!$R:$R,CurrentMonthTransactionData!$H:$H,""&amp;C$35&amp;"",CurrentMonthTransactionData!$AK:$AK,""&amp;$A59&amp;"",CurrentMonthTransactionData!$AP:$AP,"Y")</f>
        <v>0</v>
      </c>
      <c r="D59" s="91"/>
      <c r="E59" s="91"/>
      <c r="F59" s="91"/>
      <c r="G59" s="91"/>
      <c r="H59" s="91"/>
      <c r="I59" s="91"/>
      <c r="J59" s="91"/>
      <c r="K59" s="91"/>
      <c r="L59" s="91"/>
      <c r="M59" s="91"/>
      <c r="N59" s="91"/>
      <c r="O59" s="91"/>
      <c r="P59" s="91"/>
      <c r="Q59" s="91"/>
      <c r="R59" s="2">
        <f t="shared" si="0"/>
        <v>0</v>
      </c>
    </row>
    <row r="60" spans="1:18" ht="30" x14ac:dyDescent="0.25">
      <c r="A60" s="142" t="s">
        <v>1107</v>
      </c>
      <c r="B60" s="96" t="s">
        <v>197</v>
      </c>
      <c r="C60" s="91">
        <f>SUMIFS(CurrentMonthTransactionData!$R:$R,CurrentMonthTransactionData!$H:$H,""&amp;C$35&amp;"",CurrentMonthTransactionData!$AK:$AK,""&amp;$A60&amp;"",CurrentMonthTransactionData!$AP:$AP,"Y")</f>
        <v>0</v>
      </c>
      <c r="D60" s="91"/>
      <c r="E60" s="91"/>
      <c r="F60" s="91"/>
      <c r="G60" s="91"/>
      <c r="H60" s="91"/>
      <c r="I60" s="91"/>
      <c r="J60" s="91"/>
      <c r="K60" s="91"/>
      <c r="L60" s="91"/>
      <c r="M60" s="91"/>
      <c r="N60" s="91"/>
      <c r="O60" s="91"/>
      <c r="P60" s="91"/>
      <c r="Q60" s="91"/>
      <c r="R60" s="2">
        <f t="shared" si="0"/>
        <v>0</v>
      </c>
    </row>
    <row r="61" spans="1:18" ht="30" x14ac:dyDescent="0.25">
      <c r="A61" s="142" t="s">
        <v>1108</v>
      </c>
      <c r="B61" s="96" t="s">
        <v>198</v>
      </c>
      <c r="C61" s="91">
        <f>SUMIFS(CurrentMonthTransactionData!$R:$R,CurrentMonthTransactionData!$H:$H,""&amp;C$35&amp;"",CurrentMonthTransactionData!$AK:$AK,""&amp;$A61&amp;"",CurrentMonthTransactionData!$AP:$AP,"Y")</f>
        <v>0</v>
      </c>
      <c r="D61" s="91"/>
      <c r="E61" s="91"/>
      <c r="F61" s="91"/>
      <c r="G61" s="91"/>
      <c r="H61" s="91"/>
      <c r="I61" s="91"/>
      <c r="J61" s="91"/>
      <c r="K61" s="91"/>
      <c r="L61" s="91"/>
      <c r="M61" s="91"/>
      <c r="N61" s="91"/>
      <c r="O61" s="91"/>
      <c r="P61" s="91"/>
      <c r="Q61" s="91"/>
      <c r="R61" s="2">
        <f t="shared" si="0"/>
        <v>0</v>
      </c>
    </row>
    <row r="62" spans="1:18" ht="30" x14ac:dyDescent="0.25">
      <c r="A62" s="142" t="s">
        <v>1103</v>
      </c>
      <c r="B62" s="96" t="s">
        <v>200</v>
      </c>
      <c r="C62" s="91">
        <f>SUMIFS(CurrentMonthTransactionData!$R:$R,CurrentMonthTransactionData!$H:$H,""&amp;C$35&amp;"",CurrentMonthTransactionData!$AK:$AK,""&amp;$A62&amp;"",CurrentMonthTransactionData!$AP:$AP,"Y")</f>
        <v>0</v>
      </c>
      <c r="D62" s="91"/>
      <c r="E62" s="91"/>
      <c r="F62" s="91"/>
      <c r="G62" s="91"/>
      <c r="H62" s="91"/>
      <c r="I62" s="91"/>
      <c r="J62" s="91"/>
      <c r="K62" s="91"/>
      <c r="L62" s="91"/>
      <c r="M62" s="91"/>
      <c r="N62" s="91"/>
      <c r="O62" s="91"/>
      <c r="P62" s="91"/>
      <c r="Q62" s="91"/>
      <c r="R62" s="2">
        <f t="shared" si="0"/>
        <v>0</v>
      </c>
    </row>
    <row r="63" spans="1:18" ht="60" x14ac:dyDescent="0.25">
      <c r="A63" s="142" t="s">
        <v>1106</v>
      </c>
      <c r="B63" s="96" t="s">
        <v>201</v>
      </c>
      <c r="C63" s="91">
        <f>SUMIFS(CurrentMonthTransactionData!$R:$R,CurrentMonthTransactionData!$H:$H,""&amp;C$35&amp;"",CurrentMonthTransactionData!$AK:$AK,""&amp;$A63&amp;"",CurrentMonthTransactionData!$AP:$AP,"Y")</f>
        <v>0</v>
      </c>
      <c r="D63" s="91"/>
      <c r="E63" s="91"/>
      <c r="F63" s="91"/>
      <c r="G63" s="91"/>
      <c r="H63" s="91"/>
      <c r="I63" s="91"/>
      <c r="J63" s="91"/>
      <c r="K63" s="91"/>
      <c r="L63" s="91"/>
      <c r="M63" s="91"/>
      <c r="N63" s="91"/>
      <c r="O63" s="91"/>
      <c r="P63" s="91"/>
      <c r="Q63" s="91"/>
      <c r="R63" s="2">
        <f t="shared" si="0"/>
        <v>0</v>
      </c>
    </row>
    <row r="64" spans="1:18" ht="15.75" thickBot="1" x14ac:dyDescent="0.3">
      <c r="C64" s="70">
        <f>SUM(C38:C63)</f>
        <v>409.56</v>
      </c>
      <c r="D64" s="70">
        <f t="shared" ref="D64:R64" si="1">SUM(D38:D63)</f>
        <v>0</v>
      </c>
      <c r="E64" s="70">
        <f t="shared" si="1"/>
        <v>0</v>
      </c>
      <c r="F64" s="70">
        <f t="shared" si="1"/>
        <v>0</v>
      </c>
      <c r="G64" s="70">
        <f t="shared" si="1"/>
        <v>0</v>
      </c>
      <c r="H64" s="70">
        <f t="shared" si="1"/>
        <v>0</v>
      </c>
      <c r="I64" s="70">
        <f t="shared" si="1"/>
        <v>0</v>
      </c>
      <c r="J64" s="70">
        <f t="shared" si="1"/>
        <v>0</v>
      </c>
      <c r="K64" s="70">
        <f t="shared" si="1"/>
        <v>0</v>
      </c>
      <c r="L64" s="70">
        <f t="shared" si="1"/>
        <v>0</v>
      </c>
      <c r="M64" s="70">
        <f t="shared" si="1"/>
        <v>0</v>
      </c>
      <c r="N64" s="70">
        <f t="shared" si="1"/>
        <v>0</v>
      </c>
      <c r="O64" s="70">
        <f t="shared" si="1"/>
        <v>0</v>
      </c>
      <c r="P64" s="70">
        <f t="shared" si="1"/>
        <v>0</v>
      </c>
      <c r="Q64" s="70">
        <f t="shared" si="1"/>
        <v>0</v>
      </c>
      <c r="R64" s="70">
        <f t="shared" si="1"/>
        <v>409.56</v>
      </c>
    </row>
  </sheetData>
  <mergeCells count="5">
    <mergeCell ref="B1:N1"/>
    <mergeCell ref="B2:N2"/>
    <mergeCell ref="B3:N3"/>
    <mergeCell ref="B5:R5"/>
    <mergeCell ref="C36:R36"/>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tabColor theme="9"/>
  </sheetPr>
  <dimension ref="A1:O31"/>
  <sheetViews>
    <sheetView zoomScaleNormal="100" workbookViewId="0"/>
  </sheetViews>
  <sheetFormatPr defaultRowHeight="15" x14ac:dyDescent="0.25"/>
  <cols>
    <col min="1" max="1" width="18.7109375" customWidth="1"/>
    <col min="2" max="3" width="22.7109375" customWidth="1"/>
    <col min="4" max="4" width="15.7109375" customWidth="1"/>
    <col min="5" max="6" width="18.7109375" customWidth="1"/>
    <col min="7" max="7" width="11.85546875" customWidth="1"/>
    <col min="8" max="9" width="14.28515625" customWidth="1"/>
    <col min="10" max="10" width="26" style="2" bestFit="1" customWidth="1"/>
    <col min="11" max="11" width="12.28515625" style="2" customWidth="1"/>
    <col min="12" max="13" width="12" style="2" bestFit="1" customWidth="1"/>
    <col min="17" max="17" width="16.140625" bestFit="1" customWidth="1"/>
    <col min="18" max="18" width="11.42578125" bestFit="1" customWidth="1"/>
    <col min="19" max="20" width="11.5703125" bestFit="1" customWidth="1"/>
  </cols>
  <sheetData>
    <row r="1" spans="1:15" x14ac:dyDescent="0.25">
      <c r="D1" s="35"/>
      <c r="G1" s="64"/>
      <c r="H1" s="31"/>
      <c r="I1" s="31"/>
    </row>
    <row r="2" spans="1:15" ht="15.75" thickBot="1" x14ac:dyDescent="0.3">
      <c r="D2" s="35"/>
      <c r="E2" s="44" t="s">
        <v>65</v>
      </c>
      <c r="F2" s="43" t="str">
        <f>'Reimbursement Rates &lt;-INPUT'!A2</f>
        <v>Biocorrect</v>
      </c>
      <c r="H2" s="31"/>
      <c r="I2" s="31"/>
    </row>
    <row r="3" spans="1:15" x14ac:dyDescent="0.25">
      <c r="D3" s="35"/>
      <c r="F3" s="35"/>
      <c r="H3" s="31"/>
      <c r="I3" s="31"/>
    </row>
    <row r="4" spans="1:15" ht="15.75" thickBot="1" x14ac:dyDescent="0.3">
      <c r="D4" s="35"/>
      <c r="E4" s="44" t="s">
        <v>66</v>
      </c>
      <c r="F4" s="111">
        <f>'Agile AR Aging &lt;-INPUT'!C20</f>
        <v>45199</v>
      </c>
    </row>
    <row r="5" spans="1:15" x14ac:dyDescent="0.25">
      <c r="D5" s="35"/>
    </row>
    <row r="6" spans="1:15" ht="15.75" thickBot="1" x14ac:dyDescent="0.3">
      <c r="D6" s="35"/>
      <c r="E6" s="44" t="s">
        <v>67</v>
      </c>
      <c r="F6" s="43" t="s">
        <v>149</v>
      </c>
    </row>
    <row r="7" spans="1:15" ht="18" x14ac:dyDescent="0.25">
      <c r="A7" s="46" t="s">
        <v>68</v>
      </c>
      <c r="B7" s="46"/>
      <c r="D7" s="35"/>
    </row>
    <row r="8" spans="1:15" ht="15.75" thickBot="1" x14ac:dyDescent="0.3">
      <c r="D8" s="35"/>
      <c r="E8" s="44" t="s">
        <v>69</v>
      </c>
      <c r="F8" s="153">
        <v>16393</v>
      </c>
    </row>
    <row r="9" spans="1:15" x14ac:dyDescent="0.25">
      <c r="D9" s="35"/>
      <c r="F9" t="s">
        <v>53</v>
      </c>
    </row>
    <row r="10" spans="1:15" x14ac:dyDescent="0.25">
      <c r="A10" s="48" t="s">
        <v>70</v>
      </c>
      <c r="B10" s="48" t="s">
        <v>266</v>
      </c>
      <c r="C10" s="49" t="s">
        <v>72</v>
      </c>
      <c r="D10" s="49" t="s">
        <v>71</v>
      </c>
      <c r="E10" s="49" t="s">
        <v>73</v>
      </c>
      <c r="F10" s="49" t="s">
        <v>74</v>
      </c>
      <c r="G10" s="50"/>
    </row>
    <row r="11" spans="1:15" x14ac:dyDescent="0.25">
      <c r="A11" s="51"/>
      <c r="B11" s="51"/>
      <c r="C11" s="53"/>
      <c r="D11" s="52"/>
      <c r="E11" s="54"/>
      <c r="F11" s="54"/>
    </row>
    <row r="12" spans="1:15" x14ac:dyDescent="0.25">
      <c r="A12" s="51">
        <f>F4</f>
        <v>45199</v>
      </c>
      <c r="B12" s="53" t="s">
        <v>75</v>
      </c>
      <c r="C12" s="144" t="s">
        <v>1300</v>
      </c>
      <c r="D12" s="52" t="s">
        <v>286</v>
      </c>
      <c r="E12" s="90">
        <f>ROUND(F13+F20+F21,2)</f>
        <v>48088.69</v>
      </c>
      <c r="F12" s="90">
        <f>E13</f>
        <v>0</v>
      </c>
      <c r="J12" s="165" t="s">
        <v>1300</v>
      </c>
      <c r="K12" s="143" t="s">
        <v>286</v>
      </c>
      <c r="L12" s="146">
        <v>48088.69</v>
      </c>
      <c r="M12" s="146">
        <v>0</v>
      </c>
    </row>
    <row r="13" spans="1:15" x14ac:dyDescent="0.25">
      <c r="A13" s="51"/>
      <c r="B13" s="53" t="s">
        <v>150</v>
      </c>
      <c r="C13" s="53" t="str">
        <f>C12</f>
        <v>September Revenue</v>
      </c>
      <c r="D13" s="52" t="s">
        <v>287</v>
      </c>
      <c r="E13" s="90">
        <f>IF('RF by Location &lt;-INPUT'!C22&lt;0,-'RF by Location &lt;-INPUT'!C22,0)</f>
        <v>0</v>
      </c>
      <c r="F13" s="90">
        <f>(IF('RF by Location &lt;-INPUT'!C22&gt;0,'RF by Location &lt;-INPUT'!C22,0))-F20-F21</f>
        <v>47059.689999999995</v>
      </c>
      <c r="G13" t="s">
        <v>1225</v>
      </c>
      <c r="J13" s="165" t="s">
        <v>1300</v>
      </c>
      <c r="K13" s="143" t="s">
        <v>287</v>
      </c>
      <c r="L13" s="146">
        <v>0</v>
      </c>
      <c r="M13" s="146">
        <v>47059.69</v>
      </c>
    </row>
    <row r="14" spans="1:15" x14ac:dyDescent="0.25">
      <c r="A14" s="51"/>
      <c r="B14" s="53" t="s">
        <v>76</v>
      </c>
      <c r="C14" s="53" t="str">
        <f>CONCATENATE(C12,"-Reserve")</f>
        <v>September Revenue-Reserve</v>
      </c>
      <c r="D14" s="52" t="s">
        <v>288</v>
      </c>
      <c r="E14" s="161">
        <f>F15</f>
        <v>0</v>
      </c>
      <c r="F14" s="161">
        <f>E15</f>
        <v>4.4480000005933107E-3</v>
      </c>
      <c r="G14" s="155" t="s">
        <v>1175</v>
      </c>
      <c r="H14" s="155"/>
      <c r="J14" s="165" t="s">
        <v>1300</v>
      </c>
      <c r="K14" s="2" t="s">
        <v>277</v>
      </c>
      <c r="L14" s="2">
        <v>0</v>
      </c>
      <c r="M14" s="2">
        <v>33.39</v>
      </c>
      <c r="O14" s="24"/>
    </row>
    <row r="15" spans="1:15" x14ac:dyDescent="0.25">
      <c r="A15" s="51"/>
      <c r="B15" s="53" t="s">
        <v>20</v>
      </c>
      <c r="C15" s="53" t="str">
        <f>C12</f>
        <v>September Revenue</v>
      </c>
      <c r="D15" s="52" t="s">
        <v>278</v>
      </c>
      <c r="E15" s="161">
        <f>IF('Company Summary'!O170&lt;0,-'Company Summary'!O170,0)</f>
        <v>4.4480000005933107E-3</v>
      </c>
      <c r="F15" s="161">
        <f>ROUND(IF('Company Summary'!O170&gt;0,'Company Summary'!O170,0),2)</f>
        <v>0</v>
      </c>
      <c r="G15" s="155" t="s">
        <v>1175</v>
      </c>
      <c r="H15" s="155"/>
      <c r="J15" s="165" t="s">
        <v>1300</v>
      </c>
      <c r="K15" s="2" t="s">
        <v>286</v>
      </c>
      <c r="L15" s="2">
        <v>0</v>
      </c>
      <c r="M15" s="2">
        <v>2734.93</v>
      </c>
    </row>
    <row r="16" spans="1:15" x14ac:dyDescent="0.25">
      <c r="A16" s="51"/>
      <c r="B16" s="53" t="s">
        <v>77</v>
      </c>
      <c r="C16" s="53" t="str">
        <f>C12</f>
        <v>September Revenue</v>
      </c>
      <c r="D16" s="52" t="s">
        <v>277</v>
      </c>
      <c r="E16" s="90">
        <f>IF('Biocorrect-Agile'!M108&lt;0,-'Biocorrect-Agile'!M108,0)</f>
        <v>0</v>
      </c>
      <c r="F16" s="90">
        <f>ROUND(IF('Biocorrect-Agile'!M108&gt;0,'Biocorrect-Agile'!M108,0),2)</f>
        <v>33.39</v>
      </c>
      <c r="G16" s="55"/>
      <c r="H16" s="24"/>
      <c r="I16" s="24"/>
      <c r="J16" s="165" t="s">
        <v>1300</v>
      </c>
      <c r="K16" s="2" t="s">
        <v>289</v>
      </c>
      <c r="L16" s="2">
        <v>2358.7600000000002</v>
      </c>
      <c r="M16" s="2">
        <v>0</v>
      </c>
    </row>
    <row r="17" spans="1:13" x14ac:dyDescent="0.25">
      <c r="A17" s="51"/>
      <c r="B17" s="53" t="s">
        <v>75</v>
      </c>
      <c r="C17" s="53" t="str">
        <f>C12</f>
        <v>September Revenue</v>
      </c>
      <c r="D17" s="52" t="s">
        <v>286</v>
      </c>
      <c r="E17" s="90">
        <f>IF('RF by Location &lt;-INPUT'!D22+'RF by Location &lt;-INPUT'!H22&lt;0,-('RF by Location &lt;-INPUT'!D22+'RF by Location &lt;-INPUT'!H22),0)</f>
        <v>0</v>
      </c>
      <c r="F17" s="90">
        <f>ROUND(IF('RF by Location &lt;-INPUT'!D22+'RF by Location &lt;-INPUT'!H22&gt;0,'RF by Location &lt;-INPUT'!D22+'RF by Location &lt;-INPUT'!H22,0),2)</f>
        <v>2734.93</v>
      </c>
      <c r="G17" s="24"/>
      <c r="J17" s="165" t="s">
        <v>1301</v>
      </c>
      <c r="K17" s="2" t="s">
        <v>288</v>
      </c>
      <c r="L17" s="2">
        <v>409.56</v>
      </c>
      <c r="M17" s="2">
        <v>0</v>
      </c>
    </row>
    <row r="18" spans="1:13" x14ac:dyDescent="0.25">
      <c r="A18" s="51"/>
      <c r="B18" s="53" t="s">
        <v>78</v>
      </c>
      <c r="C18" s="53" t="str">
        <f>C12</f>
        <v>September Revenue</v>
      </c>
      <c r="D18" s="52" t="s">
        <v>289</v>
      </c>
      <c r="E18" s="90">
        <f>ROUND(IF((F17+F16-E16-E19+F19-E17)&gt;0,(F17+F16-E16-E19+F19-E17),0),2)</f>
        <v>2358.7600000000002</v>
      </c>
      <c r="F18" s="90">
        <f>IF((F17+F16-E16-E19+F19-E17)&lt;0,-(F17+F16-E16-E19+F19-E17),0)</f>
        <v>0</v>
      </c>
      <c r="G18" s="55"/>
      <c r="H18" s="24"/>
      <c r="I18" s="24"/>
      <c r="J18" s="166" t="s">
        <v>1300</v>
      </c>
      <c r="K18" s="2" t="s">
        <v>284</v>
      </c>
      <c r="L18" s="2">
        <v>0</v>
      </c>
      <c r="M18" s="2">
        <v>252</v>
      </c>
    </row>
    <row r="19" spans="1:13" x14ac:dyDescent="0.25">
      <c r="A19" s="51"/>
      <c r="B19" s="53" t="s">
        <v>79</v>
      </c>
      <c r="C19" s="53" t="str">
        <f>CONCATENATE(C12,"-Actual")</f>
        <v>September Revenue-Actual</v>
      </c>
      <c r="D19" s="52" t="s">
        <v>288</v>
      </c>
      <c r="E19" s="90">
        <f>'Bad Debt Detail &lt;-INPUT'!C64</f>
        <v>409.56</v>
      </c>
      <c r="F19" s="90">
        <v>0</v>
      </c>
      <c r="J19" s="166" t="s">
        <v>1300</v>
      </c>
      <c r="K19" s="2" t="s">
        <v>285</v>
      </c>
      <c r="L19" s="2">
        <v>0</v>
      </c>
      <c r="M19" s="2">
        <v>777</v>
      </c>
    </row>
    <row r="20" spans="1:13" x14ac:dyDescent="0.25">
      <c r="A20" s="51"/>
      <c r="B20" s="51" t="s">
        <v>291</v>
      </c>
      <c r="C20" s="53" t="str">
        <f>C12</f>
        <v>September Revenue</v>
      </c>
      <c r="D20" s="52" t="s">
        <v>284</v>
      </c>
      <c r="E20" s="54">
        <v>0</v>
      </c>
      <c r="F20" s="54">
        <v>252</v>
      </c>
    </row>
    <row r="21" spans="1:13" x14ac:dyDescent="0.25">
      <c r="A21" s="51"/>
      <c r="B21" s="51" t="s">
        <v>292</v>
      </c>
      <c r="C21" s="53" t="str">
        <f>C12</f>
        <v>September Revenue</v>
      </c>
      <c r="D21" s="52" t="s">
        <v>285</v>
      </c>
      <c r="E21" s="54">
        <v>0</v>
      </c>
      <c r="F21" s="54">
        <v>777</v>
      </c>
    </row>
    <row r="22" spans="1:13" x14ac:dyDescent="0.25">
      <c r="A22" s="52"/>
      <c r="B22" s="52"/>
      <c r="C22" s="53"/>
      <c r="D22" s="52"/>
      <c r="E22" s="54"/>
      <c r="F22" s="54"/>
    </row>
    <row r="23" spans="1:13" x14ac:dyDescent="0.25">
      <c r="C23" s="57" t="s">
        <v>80</v>
      </c>
      <c r="D23" s="35"/>
      <c r="E23" s="58">
        <f>SUM(E11:E22)</f>
        <v>50857.014448000002</v>
      </c>
      <c r="F23" s="58">
        <f>SUM(F11:F22)</f>
        <v>50857.014447999994</v>
      </c>
      <c r="L23" s="2">
        <f>SUM(L12:L21)</f>
        <v>50857.01</v>
      </c>
      <c r="M23" s="2">
        <f>SUM(M12:M21)</f>
        <v>50857.01</v>
      </c>
    </row>
    <row r="24" spans="1:13" x14ac:dyDescent="0.25">
      <c r="D24" s="35"/>
    </row>
    <row r="25" spans="1:13" x14ac:dyDescent="0.25">
      <c r="A25" s="44" t="s">
        <v>81</v>
      </c>
      <c r="B25" s="44"/>
      <c r="D25" s="35"/>
      <c r="L25" s="2">
        <f>E23</f>
        <v>50857.014448000002</v>
      </c>
      <c r="M25" s="2">
        <f>F23</f>
        <v>50857.014447999994</v>
      </c>
    </row>
    <row r="26" spans="1:13" x14ac:dyDescent="0.25">
      <c r="C26" s="15"/>
      <c r="D26" s="59"/>
      <c r="E26" s="15"/>
    </row>
    <row r="27" spans="1:13" x14ac:dyDescent="0.25">
      <c r="C27" s="61"/>
      <c r="D27" s="60"/>
      <c r="E27" s="61"/>
      <c r="L27" s="2">
        <f>L23-L25</f>
        <v>-4.447999999683816E-3</v>
      </c>
      <c r="M27" s="2">
        <f>M23-M25</f>
        <v>-4.4479999924078584E-3</v>
      </c>
    </row>
    <row r="28" spans="1:13" x14ac:dyDescent="0.25">
      <c r="C28" s="61"/>
      <c r="D28" s="60"/>
      <c r="E28" s="61"/>
    </row>
    <row r="29" spans="1:13" x14ac:dyDescent="0.25">
      <c r="D29" s="35"/>
    </row>
    <row r="30" spans="1:13" x14ac:dyDescent="0.25">
      <c r="A30" s="62" t="s">
        <v>82</v>
      </c>
      <c r="B30" s="61"/>
    </row>
    <row r="31" spans="1:13" x14ac:dyDescent="0.25">
      <c r="A31" s="65" t="s">
        <v>83</v>
      </c>
      <c r="B31" s="61"/>
    </row>
  </sheetData>
  <pageMargins left="0.7" right="0.7" top="0.75" bottom="0.75" header="0.3" footer="0.3"/>
  <pageSetup scale="77"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61035-98D9-43EF-9232-AAC2C0C3AD10}">
  <sheetPr codeName="Sheet62">
    <tabColor rgb="FFFF0000"/>
  </sheetPr>
  <dimension ref="A1:N31"/>
  <sheetViews>
    <sheetView zoomScaleNormal="100" workbookViewId="0">
      <selection activeCell="H31" sqref="H31"/>
    </sheetView>
  </sheetViews>
  <sheetFormatPr defaultRowHeight="15" x14ac:dyDescent="0.25"/>
  <cols>
    <col min="1" max="1" width="18.7109375" customWidth="1"/>
    <col min="2" max="3" width="22.7109375" customWidth="1"/>
    <col min="4" max="4" width="15.7109375" customWidth="1"/>
    <col min="5" max="6" width="18.7109375" customWidth="1"/>
    <col min="9" max="9" width="26" style="2" bestFit="1" customWidth="1"/>
    <col min="10" max="10" width="12.28515625" style="2" customWidth="1"/>
    <col min="11" max="12" width="12" style="2" bestFit="1" customWidth="1"/>
    <col min="16" max="16" width="16.140625" bestFit="1" customWidth="1"/>
    <col min="17" max="17" width="11.42578125" bestFit="1" customWidth="1"/>
    <col min="18" max="19" width="11.5703125" bestFit="1" customWidth="1"/>
  </cols>
  <sheetData>
    <row r="1" spans="1:14" x14ac:dyDescent="0.25">
      <c r="D1" s="35"/>
      <c r="G1" s="64"/>
      <c r="H1" s="31"/>
    </row>
    <row r="2" spans="1:14" ht="15.75" thickBot="1" x14ac:dyDescent="0.3">
      <c r="D2" s="35"/>
      <c r="E2" s="44" t="s">
        <v>65</v>
      </c>
      <c r="F2" s="43" t="str">
        <f>'Reimbursement Rates &lt;-INPUT'!A2</f>
        <v>Biocorrect</v>
      </c>
      <c r="H2" s="31"/>
    </row>
    <row r="3" spans="1:14" x14ac:dyDescent="0.25">
      <c r="D3" s="35"/>
      <c r="F3" s="35"/>
      <c r="H3" s="31"/>
    </row>
    <row r="4" spans="1:14" ht="15.75" thickBot="1" x14ac:dyDescent="0.3">
      <c r="D4" s="35"/>
      <c r="E4" s="44" t="s">
        <v>66</v>
      </c>
      <c r="F4" s="111">
        <f>'Agile AR Aging &lt;-INPUT'!C20</f>
        <v>45199</v>
      </c>
    </row>
    <row r="5" spans="1:14" x14ac:dyDescent="0.25">
      <c r="D5" s="35"/>
    </row>
    <row r="6" spans="1:14" ht="15.75" thickBot="1" x14ac:dyDescent="0.3">
      <c r="D6" s="35"/>
      <c r="E6" s="44" t="s">
        <v>67</v>
      </c>
      <c r="F6" s="43" t="s">
        <v>149</v>
      </c>
    </row>
    <row r="7" spans="1:14" ht="18" x14ac:dyDescent="0.25">
      <c r="A7" s="46" t="s">
        <v>68</v>
      </c>
      <c r="B7" s="46"/>
      <c r="D7" s="35"/>
    </row>
    <row r="8" spans="1:14" ht="15.75" thickBot="1" x14ac:dyDescent="0.3">
      <c r="D8" s="35"/>
      <c r="E8" s="44" t="s">
        <v>69</v>
      </c>
      <c r="F8" s="153">
        <v>13674</v>
      </c>
    </row>
    <row r="9" spans="1:14" x14ac:dyDescent="0.25">
      <c r="D9" s="35"/>
      <c r="F9" t="s">
        <v>53</v>
      </c>
    </row>
    <row r="10" spans="1:14" x14ac:dyDescent="0.25">
      <c r="A10" s="48" t="s">
        <v>70</v>
      </c>
      <c r="B10" s="48" t="s">
        <v>266</v>
      </c>
      <c r="C10" s="49" t="s">
        <v>72</v>
      </c>
      <c r="D10" s="49" t="s">
        <v>71</v>
      </c>
      <c r="E10" s="49" t="s">
        <v>73</v>
      </c>
      <c r="F10" s="49" t="s">
        <v>74</v>
      </c>
      <c r="G10" s="50"/>
    </row>
    <row r="11" spans="1:14" x14ac:dyDescent="0.25">
      <c r="A11" s="51"/>
      <c r="B11" s="51"/>
      <c r="C11" s="53"/>
      <c r="D11" s="52"/>
      <c r="E11" s="54"/>
      <c r="F11" s="54"/>
    </row>
    <row r="12" spans="1:14" x14ac:dyDescent="0.25">
      <c r="A12" s="51">
        <f>F4</f>
        <v>45199</v>
      </c>
      <c r="B12" s="53" t="s">
        <v>75</v>
      </c>
      <c r="C12" s="144" t="s">
        <v>1178</v>
      </c>
      <c r="D12" s="52" t="s">
        <v>286</v>
      </c>
      <c r="E12" s="90">
        <v>24186.86</v>
      </c>
      <c r="F12" s="90">
        <v>0</v>
      </c>
      <c r="I12" s="32"/>
      <c r="J12" s="143"/>
      <c r="K12" s="146"/>
      <c r="L12" s="146"/>
    </row>
    <row r="13" spans="1:14" x14ac:dyDescent="0.25">
      <c r="A13" s="51"/>
      <c r="B13" s="53" t="s">
        <v>150</v>
      </c>
      <c r="C13" s="53" t="str">
        <f>C12</f>
        <v>March Revenue</v>
      </c>
      <c r="D13" s="52" t="s">
        <v>287</v>
      </c>
      <c r="E13" s="90">
        <v>0</v>
      </c>
      <c r="F13" s="90">
        <v>23611.900000000012</v>
      </c>
      <c r="I13" s="32"/>
      <c r="J13" s="143"/>
      <c r="K13" s="146"/>
      <c r="L13" s="146"/>
    </row>
    <row r="14" spans="1:14" x14ac:dyDescent="0.25">
      <c r="A14" s="51"/>
      <c r="B14" s="53" t="s">
        <v>76</v>
      </c>
      <c r="C14" s="53" t="str">
        <f>CONCATENATE(C12,"- Reserve")</f>
        <v>March Revenue- Reserve</v>
      </c>
      <c r="D14" s="52" t="s">
        <v>288</v>
      </c>
      <c r="E14" s="90">
        <v>0</v>
      </c>
      <c r="F14" s="90">
        <v>8299.2300000000014</v>
      </c>
      <c r="I14"/>
      <c r="N14" s="24"/>
    </row>
    <row r="15" spans="1:14" x14ac:dyDescent="0.25">
      <c r="A15" s="51"/>
      <c r="B15" s="53" t="s">
        <v>20</v>
      </c>
      <c r="C15" s="53" t="str">
        <f>C12</f>
        <v>March Revenue</v>
      </c>
      <c r="D15" s="52" t="s">
        <v>278</v>
      </c>
      <c r="E15" s="90">
        <v>8299.2300000000014</v>
      </c>
      <c r="F15" s="90">
        <v>0</v>
      </c>
      <c r="I15"/>
    </row>
    <row r="16" spans="1:14" x14ac:dyDescent="0.25">
      <c r="A16" s="51"/>
      <c r="B16" s="53" t="s">
        <v>77</v>
      </c>
      <c r="C16" s="53" t="str">
        <f>C12</f>
        <v>March Revenue</v>
      </c>
      <c r="D16" s="52" t="s">
        <v>277</v>
      </c>
      <c r="E16" s="90">
        <v>0</v>
      </c>
      <c r="F16" s="90">
        <v>1084.8599999999999</v>
      </c>
      <c r="I16"/>
    </row>
    <row r="17" spans="1:9" x14ac:dyDescent="0.25">
      <c r="A17" s="51"/>
      <c r="B17" s="53" t="s">
        <v>75</v>
      </c>
      <c r="C17" s="53" t="str">
        <f>C12</f>
        <v>March Revenue</v>
      </c>
      <c r="D17" s="52" t="s">
        <v>286</v>
      </c>
      <c r="E17" s="90">
        <v>0</v>
      </c>
      <c r="F17" s="90">
        <v>3016.68</v>
      </c>
      <c r="I17"/>
    </row>
    <row r="18" spans="1:9" x14ac:dyDescent="0.25">
      <c r="A18" s="51"/>
      <c r="B18" s="53" t="s">
        <v>78</v>
      </c>
      <c r="C18" s="53" t="str">
        <f>C12</f>
        <v>March Revenue</v>
      </c>
      <c r="D18" s="52" t="s">
        <v>289</v>
      </c>
      <c r="E18" s="90">
        <v>4101.5200000000004</v>
      </c>
      <c r="F18" s="90">
        <v>0</v>
      </c>
      <c r="G18" s="56"/>
    </row>
    <row r="19" spans="1:9" x14ac:dyDescent="0.25">
      <c r="A19" s="51"/>
      <c r="B19" s="53" t="s">
        <v>79</v>
      </c>
      <c r="C19" s="53" t="str">
        <f>CONCATENATE(C12,"- Actual")</f>
        <v>March Revenue- Actual</v>
      </c>
      <c r="D19" s="52" t="s">
        <v>288</v>
      </c>
      <c r="E19" s="90">
        <v>0.02</v>
      </c>
      <c r="F19" s="90">
        <v>0</v>
      </c>
    </row>
    <row r="20" spans="1:9" x14ac:dyDescent="0.25">
      <c r="A20" s="51"/>
      <c r="B20" s="51" t="s">
        <v>291</v>
      </c>
      <c r="C20" s="53" t="str">
        <f>C12</f>
        <v>March Revenue</v>
      </c>
      <c r="D20" s="52" t="s">
        <v>284</v>
      </c>
      <c r="E20" s="54"/>
      <c r="F20" s="54">
        <v>290.5</v>
      </c>
    </row>
    <row r="21" spans="1:9" x14ac:dyDescent="0.25">
      <c r="A21" s="51"/>
      <c r="B21" s="51" t="s">
        <v>292</v>
      </c>
      <c r="C21" s="53" t="str">
        <f>C12</f>
        <v>March Revenue</v>
      </c>
      <c r="D21" s="52" t="s">
        <v>285</v>
      </c>
      <c r="E21" s="54"/>
      <c r="F21" s="54">
        <v>284.45999999999998</v>
      </c>
    </row>
    <row r="22" spans="1:9" x14ac:dyDescent="0.25">
      <c r="A22" s="52"/>
      <c r="B22" s="52"/>
      <c r="C22" s="53"/>
      <c r="D22" s="52"/>
      <c r="E22" s="54"/>
      <c r="F22" s="54"/>
    </row>
    <row r="23" spans="1:9" x14ac:dyDescent="0.25">
      <c r="C23" s="57" t="s">
        <v>80</v>
      </c>
      <c r="D23" s="35"/>
      <c r="E23" s="58">
        <f>SUM(E11:E22)</f>
        <v>36587.629999999997</v>
      </c>
      <c r="F23" s="58">
        <f>SUM(F11:F22)</f>
        <v>36587.630000000012</v>
      </c>
    </row>
    <row r="24" spans="1:9" x14ac:dyDescent="0.25">
      <c r="D24" s="35"/>
    </row>
    <row r="25" spans="1:9" x14ac:dyDescent="0.25">
      <c r="A25" s="44" t="s">
        <v>81</v>
      </c>
      <c r="B25" s="44"/>
      <c r="D25" s="35"/>
    </row>
    <row r="26" spans="1:9" x14ac:dyDescent="0.25">
      <c r="C26" s="15"/>
      <c r="D26" s="59"/>
      <c r="E26" s="15"/>
    </row>
    <row r="27" spans="1:9" x14ac:dyDescent="0.25">
      <c r="C27" s="61"/>
      <c r="D27" s="60"/>
      <c r="E27" s="61"/>
    </row>
    <row r="28" spans="1:9" x14ac:dyDescent="0.25">
      <c r="C28" s="61"/>
      <c r="D28" s="60"/>
      <c r="E28" s="61"/>
    </row>
    <row r="29" spans="1:9" x14ac:dyDescent="0.25">
      <c r="D29" s="35"/>
    </row>
    <row r="30" spans="1:9" x14ac:dyDescent="0.25">
      <c r="A30" s="62" t="s">
        <v>82</v>
      </c>
      <c r="B30" s="61"/>
    </row>
    <row r="31" spans="1:9" x14ac:dyDescent="0.25">
      <c r="A31" s="65" t="s">
        <v>83</v>
      </c>
      <c r="B31" s="61"/>
    </row>
  </sheetData>
  <pageMargins left="0.7" right="0.7" top="0.75" bottom="0.75" header="0.3" footer="0.3"/>
  <pageSetup scale="77"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tabColor theme="9"/>
  </sheetPr>
  <dimension ref="A1:H25"/>
  <sheetViews>
    <sheetView zoomScaleNormal="100" workbookViewId="0"/>
  </sheetViews>
  <sheetFormatPr defaultColWidth="9.140625" defaultRowHeight="15" x14ac:dyDescent="0.25"/>
  <cols>
    <col min="1" max="1" width="18.7109375" customWidth="1"/>
    <col min="2" max="2" width="15.7109375" customWidth="1"/>
    <col min="3" max="3" width="30.7109375" customWidth="1"/>
    <col min="4" max="5" width="18.7109375" customWidth="1"/>
    <col min="6" max="6" width="15.28515625" bestFit="1" customWidth="1"/>
    <col min="7" max="7" width="10.5703125" style="2" bestFit="1" customWidth="1"/>
  </cols>
  <sheetData>
    <row r="1" spans="1:8" x14ac:dyDescent="0.25">
      <c r="B1" s="35"/>
      <c r="F1" s="64"/>
      <c r="H1" s="31"/>
    </row>
    <row r="2" spans="1:8" ht="15.75" thickBot="1" x14ac:dyDescent="0.3">
      <c r="B2" s="35"/>
      <c r="D2" s="44" t="s">
        <v>65</v>
      </c>
      <c r="E2" s="43" t="str">
        <f>'Clinic 1 1-16 Rev Entry'!F2</f>
        <v>Biocorrect</v>
      </c>
      <c r="H2" s="31"/>
    </row>
    <row r="3" spans="1:8" x14ac:dyDescent="0.25">
      <c r="B3" s="35"/>
      <c r="E3" s="35"/>
      <c r="H3" s="31"/>
    </row>
    <row r="4" spans="1:8" ht="15.75" thickBot="1" x14ac:dyDescent="0.3">
      <c r="B4" s="35"/>
      <c r="D4" s="44" t="s">
        <v>66</v>
      </c>
      <c r="E4" s="45">
        <f>'Clinic 1 1-16 Rev Entry'!F4</f>
        <v>45199</v>
      </c>
    </row>
    <row r="5" spans="1:8" x14ac:dyDescent="0.25">
      <c r="B5" s="35"/>
    </row>
    <row r="6" spans="1:8" ht="15.75" thickBot="1" x14ac:dyDescent="0.3">
      <c r="B6" s="35"/>
      <c r="D6" s="44" t="s">
        <v>67</v>
      </c>
      <c r="E6" s="43" t="s">
        <v>149</v>
      </c>
    </row>
    <row r="7" spans="1:8" ht="18" x14ac:dyDescent="0.25">
      <c r="A7" s="46" t="s">
        <v>68</v>
      </c>
      <c r="B7" s="35"/>
      <c r="G7" s="197" t="s">
        <v>1258</v>
      </c>
    </row>
    <row r="8" spans="1:8" ht="15.75" thickBot="1" x14ac:dyDescent="0.3">
      <c r="B8" s="35"/>
      <c r="D8" s="44" t="s">
        <v>69</v>
      </c>
      <c r="E8" s="162" t="s">
        <v>1302</v>
      </c>
      <c r="F8" t="s">
        <v>1303</v>
      </c>
      <c r="G8" s="198">
        <v>16394</v>
      </c>
    </row>
    <row r="9" spans="1:8" x14ac:dyDescent="0.25">
      <c r="B9" s="35"/>
      <c r="E9" t="s">
        <v>53</v>
      </c>
    </row>
    <row r="10" spans="1:8" x14ac:dyDescent="0.25">
      <c r="A10" s="48" t="s">
        <v>70</v>
      </c>
      <c r="B10" s="49" t="s">
        <v>71</v>
      </c>
      <c r="C10" s="49" t="s">
        <v>72</v>
      </c>
      <c r="D10" s="49" t="s">
        <v>73</v>
      </c>
      <c r="E10" s="49" t="s">
        <v>74</v>
      </c>
      <c r="F10" s="50"/>
    </row>
    <row r="11" spans="1:8" x14ac:dyDescent="0.25">
      <c r="A11" s="51"/>
      <c r="B11" s="52"/>
      <c r="C11" s="53"/>
      <c r="D11" s="54"/>
      <c r="E11" s="54"/>
    </row>
    <row r="12" spans="1:8" x14ac:dyDescent="0.25">
      <c r="A12" s="51">
        <f>E4</f>
        <v>45199</v>
      </c>
      <c r="B12" s="52" t="s">
        <v>45</v>
      </c>
      <c r="C12" s="53" t="s">
        <v>110</v>
      </c>
      <c r="D12" s="90">
        <f>E13</f>
        <v>47641.52</v>
      </c>
      <c r="E12" s="90">
        <f>D13</f>
        <v>0</v>
      </c>
    </row>
    <row r="13" spans="1:8" x14ac:dyDescent="0.25">
      <c r="A13" s="51"/>
      <c r="B13" s="52" t="s">
        <v>286</v>
      </c>
      <c r="C13" s="53" t="s">
        <v>111</v>
      </c>
      <c r="D13" s="90">
        <f>IF('RF by Location &lt;-INPUT'!E22+'RF by Location &lt;-INPUT'!F22+'RF by Location &lt;-INPUT'!G22&lt;0,-('RF by Location &lt;-INPUT'!E22+'RF by Location &lt;-INPUT'!F22+'RF by Location &lt;-INPUT'!G22),0)</f>
        <v>0</v>
      </c>
      <c r="E13" s="90">
        <f>IF('RF by Location &lt;-INPUT'!E22+'RF by Location &lt;-INPUT'!F22+'RF by Location &lt;-INPUT'!G22&gt;0,'RF by Location &lt;-INPUT'!E22+'RF by Location &lt;-INPUT'!F22+'RF by Location &lt;-INPUT'!G22,0)</f>
        <v>47641.52</v>
      </c>
    </row>
    <row r="14" spans="1:8" x14ac:dyDescent="0.25">
      <c r="A14" s="51"/>
      <c r="B14" s="52"/>
      <c r="C14" s="53"/>
      <c r="D14" s="54"/>
      <c r="E14" s="54"/>
    </row>
    <row r="15" spans="1:8" x14ac:dyDescent="0.25">
      <c r="A15" s="51"/>
      <c r="B15" s="52"/>
      <c r="C15" s="53"/>
      <c r="D15" s="54"/>
      <c r="E15" s="54"/>
    </row>
    <row r="16" spans="1:8" x14ac:dyDescent="0.25">
      <c r="A16" s="52"/>
      <c r="B16" s="52"/>
      <c r="C16" s="53"/>
      <c r="D16" s="54"/>
      <c r="E16" s="54"/>
    </row>
    <row r="17" spans="1:5" x14ac:dyDescent="0.25">
      <c r="B17" s="35"/>
      <c r="C17" s="57" t="s">
        <v>80</v>
      </c>
      <c r="D17" s="58">
        <f>SUM(D11:D16)</f>
        <v>47641.52</v>
      </c>
      <c r="E17" s="58">
        <f>SUM(E11:E16)</f>
        <v>47641.52</v>
      </c>
    </row>
    <row r="18" spans="1:5" x14ac:dyDescent="0.25">
      <c r="B18" s="35"/>
    </row>
    <row r="19" spans="1:5" x14ac:dyDescent="0.25">
      <c r="A19" s="44" t="s">
        <v>81</v>
      </c>
      <c r="B19" s="35"/>
    </row>
    <row r="20" spans="1:5" x14ac:dyDescent="0.25">
      <c r="B20" s="59"/>
      <c r="C20" s="15"/>
      <c r="D20" s="15"/>
    </row>
    <row r="21" spans="1:5" x14ac:dyDescent="0.25">
      <c r="B21" s="60"/>
      <c r="C21" s="61"/>
      <c r="D21" s="61"/>
    </row>
    <row r="22" spans="1:5" x14ac:dyDescent="0.25">
      <c r="B22" s="60"/>
      <c r="C22" s="61"/>
      <c r="D22" s="61"/>
    </row>
    <row r="23" spans="1:5" x14ac:dyDescent="0.25">
      <c r="B23" s="35"/>
    </row>
    <row r="24" spans="1:5" x14ac:dyDescent="0.25">
      <c r="A24" s="62" t="s">
        <v>82</v>
      </c>
      <c r="B24" s="61"/>
    </row>
    <row r="25" spans="1:5" x14ac:dyDescent="0.25">
      <c r="A25" s="65" t="s">
        <v>83</v>
      </c>
      <c r="B25" s="61"/>
    </row>
  </sheetData>
  <pageMargins left="0.7" right="0.7" top="0.75" bottom="0.75" header="0.3" footer="0.3"/>
  <pageSetup scale="88"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tabColor rgb="FFFF0000"/>
  </sheetPr>
  <dimension ref="A1:H31"/>
  <sheetViews>
    <sheetView zoomScaleNormal="100" workbookViewId="0">
      <selection activeCell="O38" sqref="O38"/>
    </sheetView>
  </sheetViews>
  <sheetFormatPr defaultColWidth="9.140625" defaultRowHeight="15" x14ac:dyDescent="0.25"/>
  <cols>
    <col min="1" max="1" width="18.7109375" customWidth="1"/>
    <col min="2" max="3" width="22.7109375" customWidth="1"/>
    <col min="4" max="4" width="15.7109375" customWidth="1"/>
    <col min="5" max="6" width="18.7109375" customWidth="1"/>
  </cols>
  <sheetData>
    <row r="1" spans="1:8" x14ac:dyDescent="0.25">
      <c r="D1" s="35"/>
      <c r="G1" s="64"/>
      <c r="H1" s="31"/>
    </row>
    <row r="2" spans="1:8" ht="15.75" thickBot="1" x14ac:dyDescent="0.3">
      <c r="D2" s="35"/>
      <c r="E2" s="44" t="s">
        <v>65</v>
      </c>
      <c r="F2" s="43" t="str">
        <f>'Reimbursement Rates &lt;-INPUT'!A2</f>
        <v>Biocorrect</v>
      </c>
      <c r="H2" s="31"/>
    </row>
    <row r="3" spans="1:8" x14ac:dyDescent="0.25">
      <c r="D3" s="35"/>
      <c r="F3" s="35"/>
      <c r="H3" s="31"/>
    </row>
    <row r="4" spans="1:8" ht="15.75" thickBot="1" x14ac:dyDescent="0.3">
      <c r="D4" s="35"/>
      <c r="E4" s="44" t="s">
        <v>66</v>
      </c>
      <c r="F4" s="111">
        <f>'Agile AR Aging &lt;-INPUT'!C20</f>
        <v>45199</v>
      </c>
    </row>
    <row r="5" spans="1:8" x14ac:dyDescent="0.25">
      <c r="D5" s="35"/>
    </row>
    <row r="6" spans="1:8" ht="15.75" thickBot="1" x14ac:dyDescent="0.3">
      <c r="D6" s="35"/>
      <c r="E6" s="44" t="s">
        <v>67</v>
      </c>
      <c r="F6" s="43" t="s">
        <v>149</v>
      </c>
    </row>
    <row r="7" spans="1:8" ht="18" x14ac:dyDescent="0.25">
      <c r="A7" s="46" t="s">
        <v>68</v>
      </c>
      <c r="B7" s="46"/>
      <c r="D7" s="35"/>
    </row>
    <row r="8" spans="1:8" ht="15.75" thickBot="1" x14ac:dyDescent="0.3">
      <c r="D8" s="35"/>
      <c r="E8" s="44" t="s">
        <v>69</v>
      </c>
      <c r="F8" s="47"/>
    </row>
    <row r="9" spans="1:8" x14ac:dyDescent="0.25">
      <c r="D9" s="35"/>
      <c r="F9" t="s">
        <v>53</v>
      </c>
    </row>
    <row r="10" spans="1:8" x14ac:dyDescent="0.25">
      <c r="A10" s="48" t="s">
        <v>70</v>
      </c>
      <c r="B10" s="48" t="s">
        <v>266</v>
      </c>
      <c r="C10" s="49" t="s">
        <v>72</v>
      </c>
      <c r="D10" s="49" t="s">
        <v>71</v>
      </c>
      <c r="E10" s="49" t="s">
        <v>73</v>
      </c>
      <c r="F10" s="49" t="s">
        <v>74</v>
      </c>
      <c r="G10" s="50"/>
    </row>
    <row r="11" spans="1:8" x14ac:dyDescent="0.25">
      <c r="A11" s="51"/>
      <c r="B11" s="51"/>
      <c r="C11" s="53"/>
      <c r="D11" s="52"/>
      <c r="E11" s="54"/>
      <c r="F11" s="54"/>
    </row>
    <row r="12" spans="1:8" x14ac:dyDescent="0.25">
      <c r="A12" s="51">
        <f>F4</f>
        <v>45199</v>
      </c>
      <c r="B12" s="53" t="s">
        <v>75</v>
      </c>
      <c r="C12" s="53" t="str">
        <f>'Clinic 1 1-16 Rev Entry'!C12</f>
        <v>September Revenue</v>
      </c>
      <c r="D12" s="52" t="s">
        <v>203</v>
      </c>
      <c r="E12" s="90">
        <f>F13</f>
        <v>0</v>
      </c>
      <c r="F12" s="90">
        <f>E13</f>
        <v>0</v>
      </c>
    </row>
    <row r="13" spans="1:8" x14ac:dyDescent="0.25">
      <c r="A13" s="51"/>
      <c r="B13" s="53" t="s">
        <v>150</v>
      </c>
      <c r="C13" s="53" t="str">
        <f>C12</f>
        <v>September Revenue</v>
      </c>
      <c r="D13" s="52" t="s">
        <v>204</v>
      </c>
      <c r="E13" s="90">
        <f>IF('RF by Location &lt;-INPUT'!C23&lt;0,-'RF by Location &lt;-INPUT'!C23,0)</f>
        <v>0</v>
      </c>
      <c r="F13" s="90">
        <f>IF('RF by Location &lt;-INPUT'!C23&gt;0,'RF by Location &lt;-INPUT'!C23,0)</f>
        <v>0</v>
      </c>
    </row>
    <row r="14" spans="1:8" x14ac:dyDescent="0.25">
      <c r="A14" s="51"/>
      <c r="B14" s="53" t="s">
        <v>76</v>
      </c>
      <c r="C14" s="53" t="str">
        <f t="shared" ref="C14:C19" si="0">C13</f>
        <v>September Revenue</v>
      </c>
      <c r="D14" s="52" t="s">
        <v>205</v>
      </c>
      <c r="E14" s="90">
        <f>F15</f>
        <v>1014.03</v>
      </c>
      <c r="F14" s="90">
        <f>E15</f>
        <v>0</v>
      </c>
    </row>
    <row r="15" spans="1:8" x14ac:dyDescent="0.25">
      <c r="A15" s="51"/>
      <c r="B15" s="53" t="s">
        <v>20</v>
      </c>
      <c r="C15" s="53" t="str">
        <f t="shared" si="0"/>
        <v>September Revenue</v>
      </c>
      <c r="D15" s="52" t="s">
        <v>206</v>
      </c>
      <c r="E15" s="90">
        <f>IF('Biocorrect-GP'!M170&lt;0,-'Biocorrect-GP'!M170,0)</f>
        <v>0</v>
      </c>
      <c r="F15" s="90">
        <f>IF('Biocorrect-GP'!M170&gt;0,'Biocorrect-GP'!M170,0)</f>
        <v>1014.03</v>
      </c>
    </row>
    <row r="16" spans="1:8" x14ac:dyDescent="0.25">
      <c r="A16" s="51"/>
      <c r="B16" s="53" t="s">
        <v>77</v>
      </c>
      <c r="C16" s="53" t="str">
        <f t="shared" si="0"/>
        <v>September Revenue</v>
      </c>
      <c r="D16" s="52" t="s">
        <v>207</v>
      </c>
      <c r="E16" s="90">
        <f>IF('Biocorrect-GP'!M108&lt;0,-'Biocorrect-GP'!M108,0)</f>
        <v>0</v>
      </c>
      <c r="F16" s="90">
        <f>IF('Biocorrect-GP'!M108&gt;0,'Biocorrect-GP'!M108,0)</f>
        <v>0</v>
      </c>
      <c r="G16" s="55"/>
    </row>
    <row r="17" spans="1:7" x14ac:dyDescent="0.25">
      <c r="A17" s="51"/>
      <c r="B17" s="53" t="s">
        <v>75</v>
      </c>
      <c r="C17" s="53" t="str">
        <f t="shared" si="0"/>
        <v>September Revenue</v>
      </c>
      <c r="D17" s="52" t="s">
        <v>203</v>
      </c>
      <c r="E17" s="90">
        <f>IF('RF by Location &lt;-INPUT'!D23+'RF by Location &lt;-INPUT'!H23&lt;0,-('RF by Location &lt;-INPUT'!D23+'RF by Location &lt;-INPUT'!H23),0)</f>
        <v>0</v>
      </c>
      <c r="F17" s="90">
        <f>IF('RF by Location &lt;-INPUT'!D23+'RF by Location &lt;-INPUT'!H23&gt;0,'RF by Location &lt;-INPUT'!D23+'RF by Location &lt;-INPUT'!H23,0)</f>
        <v>0</v>
      </c>
      <c r="G17" s="24"/>
    </row>
    <row r="18" spans="1:7" x14ac:dyDescent="0.25">
      <c r="A18" s="51"/>
      <c r="B18" s="53" t="s">
        <v>78</v>
      </c>
      <c r="C18" s="53" t="str">
        <f t="shared" si="0"/>
        <v>September Revenue</v>
      </c>
      <c r="D18" s="52" t="s">
        <v>208</v>
      </c>
      <c r="E18" s="90">
        <f>IF((F17+F16-E16-E19+F19)&gt;0,(F17+F16-E16-E19+F19),0)</f>
        <v>0</v>
      </c>
      <c r="F18" s="90">
        <f>IF((F17+F16-E16-E19+F19)&lt;0,-(F17+F16-E16-E19+F19),0)</f>
        <v>0</v>
      </c>
      <c r="G18" s="56"/>
    </row>
    <row r="19" spans="1:7" x14ac:dyDescent="0.25">
      <c r="A19" s="51"/>
      <c r="B19" s="53" t="s">
        <v>79</v>
      </c>
      <c r="C19" s="53" t="str">
        <f t="shared" si="0"/>
        <v>September Revenue</v>
      </c>
      <c r="D19" s="52" t="s">
        <v>205</v>
      </c>
      <c r="E19" s="90">
        <f>'Bad Debt Detail &lt;-INPUT'!D64</f>
        <v>0</v>
      </c>
      <c r="F19" s="90">
        <v>0</v>
      </c>
    </row>
    <row r="20" spans="1:7" x14ac:dyDescent="0.25">
      <c r="A20" s="51"/>
      <c r="B20" s="51"/>
      <c r="C20" s="53"/>
      <c r="D20" s="52"/>
      <c r="E20" s="54"/>
      <c r="F20" s="54"/>
    </row>
    <row r="21" spans="1:7" x14ac:dyDescent="0.25">
      <c r="A21" s="51"/>
      <c r="B21" s="51"/>
      <c r="C21" s="53"/>
      <c r="D21" s="52"/>
      <c r="E21" s="54"/>
      <c r="F21" s="54"/>
    </row>
    <row r="22" spans="1:7" x14ac:dyDescent="0.25">
      <c r="A22" s="52"/>
      <c r="B22" s="52"/>
      <c r="C22" s="53"/>
      <c r="D22" s="52"/>
      <c r="E22" s="54"/>
      <c r="F22" s="54"/>
    </row>
    <row r="23" spans="1:7" x14ac:dyDescent="0.25">
      <c r="C23" s="57" t="s">
        <v>80</v>
      </c>
      <c r="D23" s="35"/>
      <c r="E23" s="58">
        <f>SUM(E11:E22)</f>
        <v>1014.03</v>
      </c>
      <c r="F23" s="58">
        <f>SUM(F11:F22)</f>
        <v>1014.03</v>
      </c>
    </row>
    <row r="24" spans="1:7" x14ac:dyDescent="0.25">
      <c r="D24" s="35"/>
    </row>
    <row r="25" spans="1:7" x14ac:dyDescent="0.25">
      <c r="A25" s="44" t="s">
        <v>81</v>
      </c>
      <c r="B25" s="44"/>
      <c r="D25" s="35"/>
    </row>
    <row r="26" spans="1:7" x14ac:dyDescent="0.25">
      <c r="C26" s="15"/>
      <c r="D26" s="59"/>
      <c r="E26" s="15"/>
    </row>
    <row r="27" spans="1:7" x14ac:dyDescent="0.25">
      <c r="C27" s="61"/>
      <c r="D27" s="60"/>
      <c r="E27" s="61"/>
    </row>
    <row r="28" spans="1:7" x14ac:dyDescent="0.25">
      <c r="C28" s="61"/>
      <c r="D28" s="60"/>
      <c r="E28" s="61"/>
    </row>
    <row r="29" spans="1:7" x14ac:dyDescent="0.25">
      <c r="D29" s="35"/>
    </row>
    <row r="30" spans="1:7" x14ac:dyDescent="0.25">
      <c r="A30" s="62" t="s">
        <v>82</v>
      </c>
      <c r="B30" s="62"/>
      <c r="D30" s="63"/>
    </row>
    <row r="31" spans="1:7" x14ac:dyDescent="0.25">
      <c r="A31" s="65" t="s">
        <v>83</v>
      </c>
      <c r="B31" s="65"/>
      <c r="D31" s="61"/>
    </row>
  </sheetData>
  <pageMargins left="0.7" right="0.7" top="0.75" bottom="0.75" header="0.3" footer="0.3"/>
  <pageSetup scale="77"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tabColor rgb="FFFF0000"/>
  </sheetPr>
  <dimension ref="A1:H25"/>
  <sheetViews>
    <sheetView zoomScaleNormal="100" workbookViewId="0">
      <selection activeCell="O38" sqref="O38"/>
    </sheetView>
  </sheetViews>
  <sheetFormatPr defaultColWidth="9.140625" defaultRowHeight="15" x14ac:dyDescent="0.25"/>
  <cols>
    <col min="1" max="1" width="18.7109375" customWidth="1"/>
    <col min="2" max="2" width="15.7109375" customWidth="1"/>
    <col min="3" max="3" width="30.7109375" customWidth="1"/>
    <col min="4" max="5" width="18.7109375" customWidth="1"/>
  </cols>
  <sheetData>
    <row r="1" spans="1:8" x14ac:dyDescent="0.25">
      <c r="B1" s="35"/>
      <c r="F1" s="64"/>
      <c r="H1" s="31"/>
    </row>
    <row r="2" spans="1:8" ht="15.75" thickBot="1" x14ac:dyDescent="0.3">
      <c r="B2" s="35"/>
      <c r="D2" s="44" t="s">
        <v>65</v>
      </c>
      <c r="E2" s="43" t="str">
        <f>'Clinic 1 1-16 Rev Entry'!F2</f>
        <v>Biocorrect</v>
      </c>
      <c r="H2" s="31"/>
    </row>
    <row r="3" spans="1:8" x14ac:dyDescent="0.25">
      <c r="B3" s="35"/>
      <c r="E3" s="35"/>
      <c r="H3" s="31"/>
    </row>
    <row r="4" spans="1:8" ht="15.75" thickBot="1" x14ac:dyDescent="0.3">
      <c r="B4" s="35"/>
      <c r="D4" s="44" t="s">
        <v>66</v>
      </c>
      <c r="E4" s="45">
        <f>'Clinic 1 1-16 Rev Entry'!F4</f>
        <v>45199</v>
      </c>
    </row>
    <row r="5" spans="1:8" x14ac:dyDescent="0.25">
      <c r="B5" s="35"/>
    </row>
    <row r="6" spans="1:8" ht="15.75" thickBot="1" x14ac:dyDescent="0.3">
      <c r="B6" s="35"/>
      <c r="D6" s="44" t="s">
        <v>67</v>
      </c>
      <c r="E6" s="43" t="s">
        <v>149</v>
      </c>
    </row>
    <row r="7" spans="1:8" ht="18" x14ac:dyDescent="0.25">
      <c r="A7" s="46" t="s">
        <v>68</v>
      </c>
      <c r="B7" s="35"/>
    </row>
    <row r="8" spans="1:8" ht="15.75" thickBot="1" x14ac:dyDescent="0.3">
      <c r="B8" s="35"/>
      <c r="D8" s="44" t="s">
        <v>69</v>
      </c>
      <c r="E8" s="47"/>
    </row>
    <row r="9" spans="1:8" x14ac:dyDescent="0.25">
      <c r="B9" s="35"/>
      <c r="E9" t="s">
        <v>53</v>
      </c>
    </row>
    <row r="10" spans="1:8" x14ac:dyDescent="0.25">
      <c r="A10" s="48" t="s">
        <v>70</v>
      </c>
      <c r="B10" s="49" t="s">
        <v>71</v>
      </c>
      <c r="C10" s="49" t="s">
        <v>72</v>
      </c>
      <c r="D10" s="49" t="s">
        <v>73</v>
      </c>
      <c r="E10" s="49" t="s">
        <v>74</v>
      </c>
      <c r="F10" s="50"/>
    </row>
    <row r="11" spans="1:8" x14ac:dyDescent="0.25">
      <c r="A11" s="51"/>
      <c r="B11" s="52"/>
      <c r="C11" s="53"/>
      <c r="D11" s="54"/>
      <c r="E11" s="54"/>
    </row>
    <row r="12" spans="1:8" x14ac:dyDescent="0.25">
      <c r="A12" s="51">
        <f>E4</f>
        <v>45199</v>
      </c>
      <c r="B12" s="52" t="s">
        <v>45</v>
      </c>
      <c r="C12" s="53" t="s">
        <v>110</v>
      </c>
      <c r="D12" s="90">
        <f>E13</f>
        <v>0</v>
      </c>
      <c r="E12" s="90">
        <f>D13</f>
        <v>0</v>
      </c>
    </row>
    <row r="13" spans="1:8" x14ac:dyDescent="0.25">
      <c r="A13" s="51"/>
      <c r="B13" s="52" t="s">
        <v>203</v>
      </c>
      <c r="C13" s="53" t="s">
        <v>111</v>
      </c>
      <c r="D13" s="90">
        <f>IF('RF by Location &lt;-INPUT'!E23+'RF by Location &lt;-INPUT'!F23+'RF by Location &lt;-INPUT'!G23&lt;0,-('RF by Location &lt;-INPUT'!E23+'RF by Location &lt;-INPUT'!F23+'RF by Location &lt;-INPUT'!G23),0)</f>
        <v>0</v>
      </c>
      <c r="E13" s="90">
        <f>IF('RF by Location &lt;-INPUT'!E23+'RF by Location &lt;-INPUT'!F23+'RF by Location &lt;-INPUT'!G23&gt;0,'RF by Location &lt;-INPUT'!E23+'RF by Location &lt;-INPUT'!F23+'RF by Location &lt;-INPUT'!G23,0)</f>
        <v>0</v>
      </c>
    </row>
    <row r="14" spans="1:8" x14ac:dyDescent="0.25">
      <c r="A14" s="51"/>
      <c r="B14" s="52"/>
      <c r="C14" s="53"/>
      <c r="D14" s="54"/>
      <c r="E14" s="54"/>
    </row>
    <row r="15" spans="1:8" x14ac:dyDescent="0.25">
      <c r="A15" s="51"/>
      <c r="B15" s="52"/>
      <c r="C15" s="53"/>
      <c r="D15" s="54"/>
      <c r="E15" s="54"/>
    </row>
    <row r="16" spans="1:8" x14ac:dyDescent="0.25">
      <c r="A16" s="52"/>
      <c r="B16" s="52"/>
      <c r="C16" s="53"/>
      <c r="D16" s="54"/>
      <c r="E16" s="54"/>
    </row>
    <row r="17" spans="1:5" x14ac:dyDescent="0.25">
      <c r="B17" s="35"/>
      <c r="C17" s="57" t="s">
        <v>80</v>
      </c>
      <c r="D17" s="58">
        <f>SUM(D11:D16)</f>
        <v>0</v>
      </c>
      <c r="E17" s="58">
        <f>SUM(E11:E16)</f>
        <v>0</v>
      </c>
    </row>
    <row r="18" spans="1:5" x14ac:dyDescent="0.25">
      <c r="B18" s="35"/>
    </row>
    <row r="19" spans="1:5" x14ac:dyDescent="0.25">
      <c r="A19" s="44" t="s">
        <v>81</v>
      </c>
      <c r="B19" s="35"/>
    </row>
    <row r="20" spans="1:5" x14ac:dyDescent="0.25">
      <c r="B20" s="59"/>
      <c r="C20" s="15"/>
      <c r="D20" s="15"/>
    </row>
    <row r="21" spans="1:5" x14ac:dyDescent="0.25">
      <c r="B21" s="60"/>
      <c r="C21" s="61"/>
      <c r="D21" s="61"/>
    </row>
    <row r="22" spans="1:5" x14ac:dyDescent="0.25">
      <c r="B22" s="60"/>
      <c r="C22" s="61"/>
      <c r="D22" s="61"/>
    </row>
    <row r="23" spans="1:5" x14ac:dyDescent="0.25">
      <c r="B23" s="35"/>
    </row>
    <row r="24" spans="1:5" x14ac:dyDescent="0.25">
      <c r="A24" s="62" t="s">
        <v>82</v>
      </c>
      <c r="B24" s="63"/>
    </row>
    <row r="25" spans="1:5" x14ac:dyDescent="0.25">
      <c r="A25" s="65" t="s">
        <v>83</v>
      </c>
      <c r="B25" s="61"/>
    </row>
  </sheetData>
  <pageMargins left="0.7" right="0.7" top="0.75" bottom="0.75" header="0.3" footer="0.3"/>
  <pageSetup scale="88"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0">
    <tabColor theme="9"/>
  </sheetPr>
  <dimension ref="A1:H31"/>
  <sheetViews>
    <sheetView zoomScale="85" zoomScaleNormal="85" workbookViewId="0">
      <selection activeCell="E20" sqref="E20"/>
    </sheetView>
  </sheetViews>
  <sheetFormatPr defaultColWidth="9.140625" defaultRowHeight="15" x14ac:dyDescent="0.25"/>
  <cols>
    <col min="1" max="1" width="18.7109375" customWidth="1"/>
    <col min="2" max="3" width="22.7109375" customWidth="1"/>
    <col min="4" max="4" width="15.7109375" customWidth="1"/>
    <col min="5" max="6" width="18.7109375" customWidth="1"/>
  </cols>
  <sheetData>
    <row r="1" spans="1:8" x14ac:dyDescent="0.25">
      <c r="D1" s="35"/>
      <c r="G1" s="64"/>
      <c r="H1" s="31"/>
    </row>
    <row r="2" spans="1:8" ht="15.75" thickBot="1" x14ac:dyDescent="0.3">
      <c r="D2" s="35"/>
      <c r="E2" s="44" t="s">
        <v>65</v>
      </c>
      <c r="F2" s="43" t="str">
        <f>'Reimbursement Rates &lt;-INPUT'!A2</f>
        <v>Biocorrect</v>
      </c>
      <c r="H2" s="31"/>
    </row>
    <row r="3" spans="1:8" x14ac:dyDescent="0.25">
      <c r="D3" s="35"/>
      <c r="F3" s="35"/>
      <c r="H3" s="31"/>
    </row>
    <row r="4" spans="1:8" ht="15.75" thickBot="1" x14ac:dyDescent="0.3">
      <c r="D4" s="35"/>
      <c r="E4" s="44" t="s">
        <v>66</v>
      </c>
      <c r="F4" s="111">
        <f>'Agile AR Aging &lt;-INPUT'!C20</f>
        <v>45199</v>
      </c>
    </row>
    <row r="5" spans="1:8" x14ac:dyDescent="0.25">
      <c r="D5" s="35"/>
    </row>
    <row r="6" spans="1:8" ht="15.75" thickBot="1" x14ac:dyDescent="0.3">
      <c r="D6" s="35"/>
      <c r="E6" s="44" t="s">
        <v>67</v>
      </c>
      <c r="F6" s="43" t="s">
        <v>149</v>
      </c>
    </row>
    <row r="7" spans="1:8" ht="18" x14ac:dyDescent="0.25">
      <c r="A7" s="46" t="s">
        <v>68</v>
      </c>
      <c r="B7" s="46"/>
      <c r="D7" s="35"/>
    </row>
    <row r="8" spans="1:8" ht="15.75" thickBot="1" x14ac:dyDescent="0.3">
      <c r="D8" s="35"/>
      <c r="E8" s="44" t="s">
        <v>69</v>
      </c>
      <c r="F8" s="47"/>
    </row>
    <row r="9" spans="1:8" x14ac:dyDescent="0.25">
      <c r="D9" s="35"/>
      <c r="F9" t="s">
        <v>53</v>
      </c>
    </row>
    <row r="10" spans="1:8" x14ac:dyDescent="0.25">
      <c r="A10" s="48" t="s">
        <v>70</v>
      </c>
      <c r="B10" s="48" t="s">
        <v>266</v>
      </c>
      <c r="C10" s="49" t="s">
        <v>72</v>
      </c>
      <c r="D10" s="49" t="s">
        <v>71</v>
      </c>
      <c r="E10" s="49" t="s">
        <v>73</v>
      </c>
      <c r="F10" s="49" t="s">
        <v>74</v>
      </c>
      <c r="G10" s="50"/>
    </row>
    <row r="11" spans="1:8" x14ac:dyDescent="0.25">
      <c r="A11" s="51"/>
      <c r="B11" s="51"/>
      <c r="C11" s="53"/>
      <c r="D11" s="52"/>
      <c r="E11" s="54"/>
      <c r="F11" s="54"/>
    </row>
    <row r="12" spans="1:8" x14ac:dyDescent="0.25">
      <c r="A12" s="51">
        <f>F4</f>
        <v>45199</v>
      </c>
      <c r="B12" s="53" t="s">
        <v>75</v>
      </c>
      <c r="C12" s="53" t="str">
        <f>'Clinic 1 1-16 Rev Entry'!C12</f>
        <v>September Revenue</v>
      </c>
      <c r="D12" s="52" t="s">
        <v>203</v>
      </c>
      <c r="E12" s="90">
        <f>F13</f>
        <v>0</v>
      </c>
      <c r="F12" s="90">
        <f>E13</f>
        <v>0</v>
      </c>
    </row>
    <row r="13" spans="1:8" x14ac:dyDescent="0.25">
      <c r="A13" s="51"/>
      <c r="B13" s="53" t="s">
        <v>150</v>
      </c>
      <c r="C13" s="53" t="str">
        <f>C12</f>
        <v>September Revenue</v>
      </c>
      <c r="D13" s="52" t="s">
        <v>204</v>
      </c>
      <c r="E13" s="90">
        <f>IF('RF by Location &lt;-INPUT'!C24&lt;0,-'RF by Location &lt;-INPUT'!C24,0)</f>
        <v>0</v>
      </c>
      <c r="F13" s="90">
        <f>IF('RF by Location &lt;-INPUT'!C24&gt;0,'RF by Location &lt;-INPUT'!C24,0)</f>
        <v>0</v>
      </c>
    </row>
    <row r="14" spans="1:8" x14ac:dyDescent="0.25">
      <c r="A14" s="51"/>
      <c r="B14" s="53" t="s">
        <v>76</v>
      </c>
      <c r="C14" s="53" t="str">
        <f t="shared" ref="C14:C19" si="0">C13</f>
        <v>September Revenue</v>
      </c>
      <c r="D14" s="52" t="s">
        <v>205</v>
      </c>
      <c r="E14" s="90">
        <f>F15</f>
        <v>0</v>
      </c>
      <c r="F14" s="90">
        <f>E15</f>
        <v>60000</v>
      </c>
    </row>
    <row r="15" spans="1:8" x14ac:dyDescent="0.25">
      <c r="A15" s="51"/>
      <c r="B15" s="53" t="s">
        <v>20</v>
      </c>
      <c r="C15" s="53" t="str">
        <f t="shared" si="0"/>
        <v>September Revenue</v>
      </c>
      <c r="D15" s="52" t="s">
        <v>206</v>
      </c>
      <c r="E15" s="90">
        <f>IF('Clinic 3'!M128&lt;0,-'Clinic 3'!M128,0)</f>
        <v>60000</v>
      </c>
      <c r="F15" s="90">
        <f>IF('Clinic 3'!M128&gt;0,'Clinic 3'!M128,0)</f>
        <v>0</v>
      </c>
    </row>
    <row r="16" spans="1:8" x14ac:dyDescent="0.25">
      <c r="A16" s="51"/>
      <c r="B16" s="53" t="s">
        <v>77</v>
      </c>
      <c r="C16" s="53" t="str">
        <f t="shared" si="0"/>
        <v>September Revenue</v>
      </c>
      <c r="D16" s="52" t="s">
        <v>207</v>
      </c>
      <c r="E16" s="90">
        <f>IF('Clinic 3'!M66&lt;0,-'Clinic 3'!M66,0)</f>
        <v>60000</v>
      </c>
      <c r="F16" s="90">
        <f>IF('Clinic 3'!M66&gt;0,'Clinic 3'!M66,0)</f>
        <v>0</v>
      </c>
      <c r="G16" s="55"/>
    </row>
    <row r="17" spans="1:7" x14ac:dyDescent="0.25">
      <c r="A17" s="51"/>
      <c r="B17" s="53" t="s">
        <v>75</v>
      </c>
      <c r="C17" s="53" t="str">
        <f t="shared" si="0"/>
        <v>September Revenue</v>
      </c>
      <c r="D17" s="52" t="s">
        <v>203</v>
      </c>
      <c r="E17" s="90">
        <f>IF('RF by Location &lt;-INPUT'!D24+'RF by Location &lt;-INPUT'!H24&lt;0,-('RF by Location &lt;-INPUT'!D24+'RF by Location &lt;-INPUT'!H24),0)</f>
        <v>0</v>
      </c>
      <c r="F17" s="90">
        <f>IF('RF by Location &lt;-INPUT'!D24+'RF by Location &lt;-INPUT'!H24&gt;0,'RF by Location &lt;-INPUT'!D24+'RF by Location &lt;-INPUT'!H24,0)</f>
        <v>0</v>
      </c>
      <c r="G17" s="24"/>
    </row>
    <row r="18" spans="1:7" x14ac:dyDescent="0.25">
      <c r="A18" s="51"/>
      <c r="B18" s="53" t="s">
        <v>78</v>
      </c>
      <c r="C18" s="53" t="str">
        <f t="shared" si="0"/>
        <v>September Revenue</v>
      </c>
      <c r="D18" s="52" t="s">
        <v>208</v>
      </c>
      <c r="E18" s="90">
        <f>IF((F17+F16-E16-E19+F19)&gt;0,(F17+F16-E16-E19+F19),0)</f>
        <v>0</v>
      </c>
      <c r="F18" s="90">
        <f>IF((F17+F16-E16-E19+F19)&lt;0,-(F17+F16-E16-E19+F19),0)</f>
        <v>60000</v>
      </c>
      <c r="G18" s="56"/>
    </row>
    <row r="19" spans="1:7" x14ac:dyDescent="0.25">
      <c r="A19" s="51"/>
      <c r="B19" s="53" t="s">
        <v>79</v>
      </c>
      <c r="C19" s="53" t="str">
        <f t="shared" si="0"/>
        <v>September Revenue</v>
      </c>
      <c r="D19" s="52" t="s">
        <v>205</v>
      </c>
      <c r="E19" s="90">
        <f>'Bad Debt Detail &lt;-INPUT'!E64</f>
        <v>0</v>
      </c>
      <c r="F19" s="90">
        <v>0</v>
      </c>
    </row>
    <row r="20" spans="1:7" x14ac:dyDescent="0.25">
      <c r="A20" s="51"/>
      <c r="B20" s="51"/>
      <c r="C20" s="53"/>
      <c r="D20" s="52"/>
      <c r="E20" s="54"/>
      <c r="F20" s="54"/>
    </row>
    <row r="21" spans="1:7" x14ac:dyDescent="0.25">
      <c r="A21" s="51"/>
      <c r="B21" s="51"/>
      <c r="C21" s="53"/>
      <c r="D21" s="52"/>
      <c r="E21" s="54"/>
      <c r="F21" s="54"/>
    </row>
    <row r="22" spans="1:7" x14ac:dyDescent="0.25">
      <c r="A22" s="52"/>
      <c r="B22" s="52"/>
      <c r="C22" s="53"/>
      <c r="D22" s="52"/>
      <c r="E22" s="54"/>
      <c r="F22" s="54"/>
    </row>
    <row r="23" spans="1:7" x14ac:dyDescent="0.25">
      <c r="C23" s="57" t="s">
        <v>80</v>
      </c>
      <c r="D23" s="35"/>
      <c r="E23" s="58">
        <f>SUM(E11:E22)</f>
        <v>120000</v>
      </c>
      <c r="F23" s="58">
        <f>SUM(F11:F22)</f>
        <v>120000</v>
      </c>
    </row>
    <row r="24" spans="1:7" x14ac:dyDescent="0.25">
      <c r="D24" s="35"/>
    </row>
    <row r="25" spans="1:7" x14ac:dyDescent="0.25">
      <c r="A25" s="44" t="s">
        <v>81</v>
      </c>
      <c r="B25" s="44"/>
      <c r="D25" s="35"/>
    </row>
    <row r="26" spans="1:7" x14ac:dyDescent="0.25">
      <c r="C26" s="15"/>
      <c r="D26" s="59"/>
      <c r="E26" s="15"/>
    </row>
    <row r="27" spans="1:7" x14ac:dyDescent="0.25">
      <c r="C27" s="61"/>
      <c r="D27" s="60"/>
      <c r="E27" s="61"/>
    </row>
    <row r="28" spans="1:7" x14ac:dyDescent="0.25">
      <c r="C28" s="61"/>
      <c r="D28" s="60"/>
      <c r="E28" s="61"/>
    </row>
    <row r="29" spans="1:7" x14ac:dyDescent="0.25">
      <c r="D29" s="35"/>
    </row>
    <row r="30" spans="1:7" x14ac:dyDescent="0.25">
      <c r="A30" s="62" t="s">
        <v>82</v>
      </c>
      <c r="B30" s="62"/>
      <c r="D30" s="63"/>
    </row>
    <row r="31" spans="1:7" x14ac:dyDescent="0.25">
      <c r="A31" s="65" t="s">
        <v>83</v>
      </c>
      <c r="B31" s="65"/>
      <c r="D31" s="61"/>
    </row>
  </sheetData>
  <pageMargins left="0.7" right="0.7" top="0.75" bottom="0.75" header="0.3" footer="0.3"/>
  <pageSetup scale="77"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theme="9"/>
  </sheetPr>
  <dimension ref="A1:H25"/>
  <sheetViews>
    <sheetView topLeftCell="A4" zoomScaleNormal="100" workbookViewId="0">
      <selection activeCell="E20" sqref="E20"/>
    </sheetView>
  </sheetViews>
  <sheetFormatPr defaultColWidth="9.140625" defaultRowHeight="15" x14ac:dyDescent="0.25"/>
  <cols>
    <col min="1" max="1" width="18.7109375" customWidth="1"/>
    <col min="2" max="2" width="15.7109375" customWidth="1"/>
    <col min="3" max="3" width="30.7109375" customWidth="1"/>
    <col min="4" max="5" width="18.7109375" customWidth="1"/>
  </cols>
  <sheetData>
    <row r="1" spans="1:8" x14ac:dyDescent="0.25">
      <c r="B1" s="35"/>
      <c r="F1" s="64"/>
      <c r="H1" s="31"/>
    </row>
    <row r="2" spans="1:8" ht="15.75" thickBot="1" x14ac:dyDescent="0.3">
      <c r="B2" s="35"/>
      <c r="D2" s="44" t="s">
        <v>65</v>
      </c>
      <c r="E2" s="43" t="str">
        <f>'Clinic 1 1-16 Rev Entry'!F2</f>
        <v>Biocorrect</v>
      </c>
      <c r="H2" s="31"/>
    </row>
    <row r="3" spans="1:8" x14ac:dyDescent="0.25">
      <c r="B3" s="35"/>
      <c r="E3" s="35"/>
      <c r="H3" s="31"/>
    </row>
    <row r="4" spans="1:8" ht="15.75" thickBot="1" x14ac:dyDescent="0.3">
      <c r="B4" s="35"/>
      <c r="D4" s="44" t="s">
        <v>66</v>
      </c>
      <c r="E4" s="45">
        <f>'Clinic 1 1-16 Rev Entry'!F4</f>
        <v>45199</v>
      </c>
    </row>
    <row r="5" spans="1:8" x14ac:dyDescent="0.25">
      <c r="B5" s="35"/>
    </row>
    <row r="6" spans="1:8" ht="15.75" thickBot="1" x14ac:dyDescent="0.3">
      <c r="B6" s="35"/>
      <c r="D6" s="44" t="s">
        <v>67</v>
      </c>
      <c r="E6" s="43" t="s">
        <v>149</v>
      </c>
    </row>
    <row r="7" spans="1:8" ht="18" x14ac:dyDescent="0.25">
      <c r="A7" s="46" t="s">
        <v>68</v>
      </c>
      <c r="B7" s="35"/>
    </row>
    <row r="8" spans="1:8" ht="15.75" thickBot="1" x14ac:dyDescent="0.3">
      <c r="B8" s="35"/>
      <c r="D8" s="44" t="s">
        <v>69</v>
      </c>
      <c r="E8" s="47"/>
    </row>
    <row r="9" spans="1:8" x14ac:dyDescent="0.25">
      <c r="B9" s="35"/>
      <c r="E9" t="s">
        <v>53</v>
      </c>
    </row>
    <row r="10" spans="1:8" x14ac:dyDescent="0.25">
      <c r="A10" s="48" t="s">
        <v>70</v>
      </c>
      <c r="B10" s="49" t="s">
        <v>71</v>
      </c>
      <c r="C10" s="49" t="s">
        <v>72</v>
      </c>
      <c r="D10" s="49" t="s">
        <v>73</v>
      </c>
      <c r="E10" s="49" t="s">
        <v>74</v>
      </c>
      <c r="F10" s="50"/>
    </row>
    <row r="11" spans="1:8" x14ac:dyDescent="0.25">
      <c r="A11" s="51"/>
      <c r="B11" s="52"/>
      <c r="C11" s="53"/>
      <c r="D11" s="54"/>
      <c r="E11" s="54"/>
    </row>
    <row r="12" spans="1:8" x14ac:dyDescent="0.25">
      <c r="A12" s="51">
        <f>E4</f>
        <v>45199</v>
      </c>
      <c r="B12" s="52" t="s">
        <v>45</v>
      </c>
      <c r="C12" s="53" t="s">
        <v>110</v>
      </c>
      <c r="D12" s="90">
        <f>E13</f>
        <v>0</v>
      </c>
      <c r="E12" s="90">
        <f>D13</f>
        <v>0</v>
      </c>
    </row>
    <row r="13" spans="1:8" x14ac:dyDescent="0.25">
      <c r="A13" s="51"/>
      <c r="B13" s="52" t="s">
        <v>203</v>
      </c>
      <c r="C13" s="53" t="s">
        <v>111</v>
      </c>
      <c r="D13" s="90">
        <f>IF('RF by Location &lt;-INPUT'!E24+'RF by Location &lt;-INPUT'!F24+'RF by Location &lt;-INPUT'!G24&lt;0,-('RF by Location &lt;-INPUT'!E24+'RF by Location &lt;-INPUT'!F24+'RF by Location &lt;-INPUT'!G24),0)</f>
        <v>0</v>
      </c>
      <c r="E13" s="90">
        <f>IF('RF by Location &lt;-INPUT'!E24+'RF by Location &lt;-INPUT'!F24+'RF by Location &lt;-INPUT'!G24&gt;0,'RF by Location &lt;-INPUT'!E24+'RF by Location &lt;-INPUT'!F24+'RF by Location &lt;-INPUT'!G24,0)</f>
        <v>0</v>
      </c>
    </row>
    <row r="14" spans="1:8" x14ac:dyDescent="0.25">
      <c r="A14" s="51"/>
      <c r="B14" s="52"/>
      <c r="C14" s="53"/>
      <c r="D14" s="54"/>
      <c r="E14" s="54"/>
    </row>
    <row r="15" spans="1:8" x14ac:dyDescent="0.25">
      <c r="A15" s="51"/>
      <c r="B15" s="52"/>
      <c r="C15" s="53"/>
      <c r="D15" s="54"/>
      <c r="E15" s="54"/>
    </row>
    <row r="16" spans="1:8" x14ac:dyDescent="0.25">
      <c r="A16" s="52"/>
      <c r="B16" s="52"/>
      <c r="C16" s="53"/>
      <c r="D16" s="54"/>
      <c r="E16" s="54"/>
    </row>
    <row r="17" spans="1:5" x14ac:dyDescent="0.25">
      <c r="B17" s="35"/>
      <c r="C17" s="57" t="s">
        <v>80</v>
      </c>
      <c r="D17" s="58">
        <f>SUM(D11:D16)</f>
        <v>0</v>
      </c>
      <c r="E17" s="58">
        <f>SUM(E11:E16)</f>
        <v>0</v>
      </c>
    </row>
    <row r="18" spans="1:5" x14ac:dyDescent="0.25">
      <c r="B18" s="35"/>
    </row>
    <row r="19" spans="1:5" x14ac:dyDescent="0.25">
      <c r="A19" s="44" t="s">
        <v>81</v>
      </c>
      <c r="B19" s="35"/>
    </row>
    <row r="20" spans="1:5" x14ac:dyDescent="0.25">
      <c r="B20" s="59"/>
      <c r="C20" s="15"/>
      <c r="D20" s="15"/>
    </row>
    <row r="21" spans="1:5" x14ac:dyDescent="0.25">
      <c r="B21" s="60"/>
      <c r="C21" s="61"/>
      <c r="D21" s="61"/>
    </row>
    <row r="22" spans="1:5" x14ac:dyDescent="0.25">
      <c r="B22" s="60"/>
      <c r="C22" s="61"/>
      <c r="D22" s="61"/>
    </row>
    <row r="23" spans="1:5" x14ac:dyDescent="0.25">
      <c r="B23" s="35"/>
    </row>
    <row r="24" spans="1:5" x14ac:dyDescent="0.25">
      <c r="A24" s="62" t="s">
        <v>82</v>
      </c>
      <c r="B24" s="63"/>
    </row>
    <row r="25" spans="1:5" x14ac:dyDescent="0.25">
      <c r="A25" s="65" t="s">
        <v>83</v>
      </c>
      <c r="B25" s="61"/>
    </row>
  </sheetData>
  <pageMargins left="0.7" right="0.7" top="0.75" bottom="0.75" header="0.3" footer="0.3"/>
  <pageSetup scale="88"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2">
    <tabColor theme="9"/>
  </sheetPr>
  <dimension ref="A1:H31"/>
  <sheetViews>
    <sheetView topLeftCell="A7" zoomScale="85" zoomScaleNormal="85" workbookViewId="0">
      <selection activeCell="E20" sqref="E20"/>
    </sheetView>
  </sheetViews>
  <sheetFormatPr defaultColWidth="9.140625" defaultRowHeight="15" x14ac:dyDescent="0.25"/>
  <cols>
    <col min="1" max="1" width="18.7109375" customWidth="1"/>
    <col min="2" max="3" width="22.7109375" customWidth="1"/>
    <col min="4" max="4" width="15.7109375" customWidth="1"/>
    <col min="5" max="6" width="18.7109375" customWidth="1"/>
  </cols>
  <sheetData>
    <row r="1" spans="1:8" x14ac:dyDescent="0.25">
      <c r="D1" s="35"/>
      <c r="G1" s="64"/>
      <c r="H1" s="31"/>
    </row>
    <row r="2" spans="1:8" ht="15.75" thickBot="1" x14ac:dyDescent="0.3">
      <c r="D2" s="35"/>
      <c r="E2" s="44" t="s">
        <v>65</v>
      </c>
      <c r="F2" s="43" t="str">
        <f>'Reimbursement Rates &lt;-INPUT'!A2</f>
        <v>Biocorrect</v>
      </c>
      <c r="H2" s="31"/>
    </row>
    <row r="3" spans="1:8" x14ac:dyDescent="0.25">
      <c r="D3" s="35"/>
      <c r="F3" s="35"/>
      <c r="H3" s="31"/>
    </row>
    <row r="4" spans="1:8" ht="15.75" thickBot="1" x14ac:dyDescent="0.3">
      <c r="D4" s="35"/>
      <c r="E4" s="44" t="s">
        <v>66</v>
      </c>
      <c r="F4" s="111">
        <f>'Agile AR Aging &lt;-INPUT'!C20</f>
        <v>45199</v>
      </c>
    </row>
    <row r="5" spans="1:8" x14ac:dyDescent="0.25">
      <c r="D5" s="35"/>
    </row>
    <row r="6" spans="1:8" ht="15.75" thickBot="1" x14ac:dyDescent="0.3">
      <c r="D6" s="35"/>
      <c r="E6" s="44" t="s">
        <v>67</v>
      </c>
      <c r="F6" s="43" t="s">
        <v>149</v>
      </c>
    </row>
    <row r="7" spans="1:8" ht="18" x14ac:dyDescent="0.25">
      <c r="A7" s="46" t="s">
        <v>68</v>
      </c>
      <c r="B7" s="46"/>
      <c r="D7" s="35"/>
    </row>
    <row r="8" spans="1:8" ht="15.75" thickBot="1" x14ac:dyDescent="0.3">
      <c r="D8" s="35"/>
      <c r="E8" s="44" t="s">
        <v>69</v>
      </c>
      <c r="F8" s="47"/>
    </row>
    <row r="9" spans="1:8" x14ac:dyDescent="0.25">
      <c r="D9" s="35"/>
      <c r="F9" t="s">
        <v>53</v>
      </c>
    </row>
    <row r="10" spans="1:8" x14ac:dyDescent="0.25">
      <c r="A10" s="48" t="s">
        <v>70</v>
      </c>
      <c r="B10" s="48" t="s">
        <v>266</v>
      </c>
      <c r="C10" s="49" t="s">
        <v>72</v>
      </c>
      <c r="D10" s="49" t="s">
        <v>71</v>
      </c>
      <c r="E10" s="49" t="s">
        <v>73</v>
      </c>
      <c r="F10" s="49" t="s">
        <v>74</v>
      </c>
      <c r="G10" s="50"/>
    </row>
    <row r="11" spans="1:8" x14ac:dyDescent="0.25">
      <c r="A11" s="51"/>
      <c r="B11" s="51"/>
      <c r="C11" s="53"/>
      <c r="D11" s="52"/>
      <c r="E11" s="54"/>
      <c r="F11" s="54"/>
    </row>
    <row r="12" spans="1:8" x14ac:dyDescent="0.25">
      <c r="A12" s="51">
        <f>F4</f>
        <v>45199</v>
      </c>
      <c r="B12" s="53" t="s">
        <v>75</v>
      </c>
      <c r="C12" s="53" t="s">
        <v>267</v>
      </c>
      <c r="D12" s="52" t="s">
        <v>203</v>
      </c>
      <c r="E12" s="90">
        <f>F13</f>
        <v>0</v>
      </c>
      <c r="F12" s="90">
        <f>E13</f>
        <v>0</v>
      </c>
    </row>
    <row r="13" spans="1:8" x14ac:dyDescent="0.25">
      <c r="A13" s="51"/>
      <c r="B13" s="53" t="s">
        <v>150</v>
      </c>
      <c r="C13" s="53" t="s">
        <v>267</v>
      </c>
      <c r="D13" s="52" t="s">
        <v>204</v>
      </c>
      <c r="E13" s="90">
        <f>IF('RF by Location &lt;-INPUT'!C25&lt;0,-'RF by Location &lt;-INPUT'!C25,0)</f>
        <v>0</v>
      </c>
      <c r="F13" s="90">
        <f>IF('RF by Location &lt;-INPUT'!C25&gt;0,'RF by Location &lt;-INPUT'!C25,0)</f>
        <v>0</v>
      </c>
    </row>
    <row r="14" spans="1:8" x14ac:dyDescent="0.25">
      <c r="A14" s="51"/>
      <c r="B14" s="53" t="s">
        <v>76</v>
      </c>
      <c r="C14" s="53" t="s">
        <v>267</v>
      </c>
      <c r="D14" s="52" t="s">
        <v>205</v>
      </c>
      <c r="E14" s="90">
        <f>F15</f>
        <v>0</v>
      </c>
      <c r="F14" s="90">
        <f>E15</f>
        <v>60000</v>
      </c>
    </row>
    <row r="15" spans="1:8" x14ac:dyDescent="0.25">
      <c r="A15" s="51"/>
      <c r="B15" s="53" t="s">
        <v>20</v>
      </c>
      <c r="C15" s="53" t="s">
        <v>267</v>
      </c>
      <c r="D15" s="52" t="s">
        <v>206</v>
      </c>
      <c r="E15" s="90">
        <f>IF('Clinic 4'!M128&lt;0,-'Clinic 4'!M128,0)</f>
        <v>60000</v>
      </c>
      <c r="F15" s="90">
        <f>IF('Clinic 4'!M128&gt;0,'Clinic 4'!M128,0)</f>
        <v>0</v>
      </c>
    </row>
    <row r="16" spans="1:8" x14ac:dyDescent="0.25">
      <c r="A16" s="51"/>
      <c r="B16" s="53" t="s">
        <v>77</v>
      </c>
      <c r="C16" s="53" t="s">
        <v>267</v>
      </c>
      <c r="D16" s="52" t="s">
        <v>207</v>
      </c>
      <c r="E16" s="90">
        <f>IF('Clinic 4'!M66&lt;0,-'Clinic 4'!M66,0)</f>
        <v>60000</v>
      </c>
      <c r="F16" s="90">
        <f>IF('Clinic 4'!M66&gt;0,'Clinic 4'!M66,0)</f>
        <v>0</v>
      </c>
      <c r="G16" s="55"/>
    </row>
    <row r="17" spans="1:7" x14ac:dyDescent="0.25">
      <c r="A17" s="51"/>
      <c r="B17" s="53" t="s">
        <v>75</v>
      </c>
      <c r="C17" s="53" t="s">
        <v>267</v>
      </c>
      <c r="D17" s="52" t="s">
        <v>203</v>
      </c>
      <c r="E17" s="90">
        <f>IF('RF by Location &lt;-INPUT'!D25+'RF by Location &lt;-INPUT'!H25&lt;0,-('RF by Location &lt;-INPUT'!D25+'RF by Location &lt;-INPUT'!H25),0)</f>
        <v>0</v>
      </c>
      <c r="F17" s="90">
        <f>IF('RF by Location &lt;-INPUT'!D25+'RF by Location &lt;-INPUT'!H25&gt;0,'RF by Location &lt;-INPUT'!D25+'RF by Location &lt;-INPUT'!H25,0)</f>
        <v>0</v>
      </c>
      <c r="G17" s="24"/>
    </row>
    <row r="18" spans="1:7" x14ac:dyDescent="0.25">
      <c r="A18" s="51"/>
      <c r="B18" s="53" t="s">
        <v>78</v>
      </c>
      <c r="C18" s="53" t="s">
        <v>267</v>
      </c>
      <c r="D18" s="52" t="s">
        <v>208</v>
      </c>
      <c r="E18" s="90">
        <f>IF((F17+F16-E16-E19+F19)&gt;0,(F17+F16-E16-E19+F19),0)</f>
        <v>0</v>
      </c>
      <c r="F18" s="90">
        <f>IF((F17+F16-E16-E19+F19)&lt;0,-(F17+F16-E16-E19+F19),0)</f>
        <v>60000</v>
      </c>
      <c r="G18" s="56"/>
    </row>
    <row r="19" spans="1:7" x14ac:dyDescent="0.25">
      <c r="A19" s="51"/>
      <c r="B19" s="53" t="s">
        <v>79</v>
      </c>
      <c r="C19" s="53" t="s">
        <v>267</v>
      </c>
      <c r="D19" s="52" t="s">
        <v>205</v>
      </c>
      <c r="E19" s="90">
        <f>'Bad Debt Detail &lt;-INPUT'!F64</f>
        <v>0</v>
      </c>
      <c r="F19" s="90">
        <v>0</v>
      </c>
    </row>
    <row r="20" spans="1:7" x14ac:dyDescent="0.25">
      <c r="A20" s="51"/>
      <c r="B20" s="51"/>
      <c r="C20" s="53"/>
      <c r="D20" s="52"/>
      <c r="E20" s="54"/>
      <c r="F20" s="54"/>
    </row>
    <row r="21" spans="1:7" x14ac:dyDescent="0.25">
      <c r="A21" s="51"/>
      <c r="B21" s="51"/>
      <c r="C21" s="53"/>
      <c r="D21" s="52"/>
      <c r="E21" s="54"/>
      <c r="F21" s="54"/>
    </row>
    <row r="22" spans="1:7" x14ac:dyDescent="0.25">
      <c r="A22" s="52"/>
      <c r="B22" s="52"/>
      <c r="C22" s="53"/>
      <c r="D22" s="52"/>
      <c r="E22" s="54"/>
      <c r="F22" s="54"/>
    </row>
    <row r="23" spans="1:7" x14ac:dyDescent="0.25">
      <c r="C23" s="57" t="s">
        <v>80</v>
      </c>
      <c r="D23" s="35"/>
      <c r="E23" s="58">
        <f>SUM(E11:E22)</f>
        <v>120000</v>
      </c>
      <c r="F23" s="58">
        <f>SUM(F11:F22)</f>
        <v>120000</v>
      </c>
    </row>
    <row r="24" spans="1:7" x14ac:dyDescent="0.25">
      <c r="D24" s="35"/>
    </row>
    <row r="25" spans="1:7" x14ac:dyDescent="0.25">
      <c r="A25" s="44" t="s">
        <v>81</v>
      </c>
      <c r="B25" s="44"/>
      <c r="D25" s="35"/>
    </row>
    <row r="26" spans="1:7" x14ac:dyDescent="0.25">
      <c r="C26" s="15"/>
      <c r="D26" s="59"/>
      <c r="E26" s="15"/>
    </row>
    <row r="27" spans="1:7" x14ac:dyDescent="0.25">
      <c r="C27" s="61"/>
      <c r="D27" s="60"/>
      <c r="E27" s="61"/>
    </row>
    <row r="28" spans="1:7" x14ac:dyDescent="0.25">
      <c r="C28" s="61"/>
      <c r="D28" s="60"/>
      <c r="E28" s="61"/>
    </row>
    <row r="29" spans="1:7" x14ac:dyDescent="0.25">
      <c r="D29" s="35"/>
    </row>
    <row r="30" spans="1:7" x14ac:dyDescent="0.25">
      <c r="A30" s="62" t="s">
        <v>82</v>
      </c>
      <c r="B30" s="62"/>
      <c r="D30" s="63"/>
    </row>
    <row r="31" spans="1:7" x14ac:dyDescent="0.25">
      <c r="A31" s="65" t="s">
        <v>83</v>
      </c>
      <c r="B31" s="65"/>
      <c r="D31" s="61"/>
    </row>
  </sheetData>
  <pageMargins left="0.7" right="0.7" top="0.75" bottom="0.75" header="0.3" footer="0.3"/>
  <pageSetup scale="77"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3">
    <tabColor theme="9"/>
  </sheetPr>
  <dimension ref="A1:H25"/>
  <sheetViews>
    <sheetView topLeftCell="A4" zoomScaleNormal="100" workbookViewId="0">
      <selection activeCell="E20" sqref="E20"/>
    </sheetView>
  </sheetViews>
  <sheetFormatPr defaultColWidth="9.140625" defaultRowHeight="15" x14ac:dyDescent="0.25"/>
  <cols>
    <col min="1" max="1" width="18.7109375" customWidth="1"/>
    <col min="2" max="2" width="15.7109375" customWidth="1"/>
    <col min="3" max="3" width="30.7109375" customWidth="1"/>
    <col min="4" max="5" width="18.7109375" customWidth="1"/>
  </cols>
  <sheetData>
    <row r="1" spans="1:8" x14ac:dyDescent="0.25">
      <c r="B1" s="35"/>
      <c r="F1" s="64"/>
      <c r="H1" s="31"/>
    </row>
    <row r="2" spans="1:8" ht="15.75" thickBot="1" x14ac:dyDescent="0.3">
      <c r="B2" s="35"/>
      <c r="D2" s="44" t="s">
        <v>65</v>
      </c>
      <c r="E2" s="43" t="str">
        <f>'Clinic 1 1-16 Rev Entry'!F2</f>
        <v>Biocorrect</v>
      </c>
      <c r="H2" s="31"/>
    </row>
    <row r="3" spans="1:8" x14ac:dyDescent="0.25">
      <c r="B3" s="35"/>
      <c r="E3" s="35"/>
      <c r="H3" s="31"/>
    </row>
    <row r="4" spans="1:8" ht="15.75" thickBot="1" x14ac:dyDescent="0.3">
      <c r="B4" s="35"/>
      <c r="D4" s="44" t="s">
        <v>66</v>
      </c>
      <c r="E4" s="45">
        <f>'Clinic 1 1-16 Rev Entry'!F4</f>
        <v>45199</v>
      </c>
    </row>
    <row r="5" spans="1:8" x14ac:dyDescent="0.25">
      <c r="B5" s="35"/>
    </row>
    <row r="6" spans="1:8" ht="15.75" thickBot="1" x14ac:dyDescent="0.3">
      <c r="B6" s="35"/>
      <c r="D6" s="44" t="s">
        <v>67</v>
      </c>
      <c r="E6" s="43" t="s">
        <v>149</v>
      </c>
    </row>
    <row r="7" spans="1:8" ht="18" x14ac:dyDescent="0.25">
      <c r="A7" s="46" t="s">
        <v>68</v>
      </c>
      <c r="B7" s="35"/>
    </row>
    <row r="8" spans="1:8" ht="15.75" thickBot="1" x14ac:dyDescent="0.3">
      <c r="B8" s="35"/>
      <c r="D8" s="44" t="s">
        <v>69</v>
      </c>
      <c r="E8" s="47"/>
    </row>
    <row r="9" spans="1:8" x14ac:dyDescent="0.25">
      <c r="B9" s="35"/>
      <c r="E9" t="s">
        <v>53</v>
      </c>
    </row>
    <row r="10" spans="1:8" x14ac:dyDescent="0.25">
      <c r="A10" s="48" t="s">
        <v>70</v>
      </c>
      <c r="B10" s="49" t="s">
        <v>71</v>
      </c>
      <c r="C10" s="49" t="s">
        <v>72</v>
      </c>
      <c r="D10" s="49" t="s">
        <v>73</v>
      </c>
      <c r="E10" s="49" t="s">
        <v>74</v>
      </c>
      <c r="F10" s="50"/>
    </row>
    <row r="11" spans="1:8" x14ac:dyDescent="0.25">
      <c r="A11" s="51"/>
      <c r="B11" s="52"/>
      <c r="C11" s="53"/>
      <c r="D11" s="54"/>
      <c r="E11" s="54"/>
    </row>
    <row r="12" spans="1:8" x14ac:dyDescent="0.25">
      <c r="A12" s="51">
        <f>E4</f>
        <v>45199</v>
      </c>
      <c r="B12" s="52" t="s">
        <v>45</v>
      </c>
      <c r="C12" s="53" t="s">
        <v>110</v>
      </c>
      <c r="D12" s="90">
        <f>E13</f>
        <v>0</v>
      </c>
      <c r="E12" s="90">
        <f>D13</f>
        <v>0</v>
      </c>
    </row>
    <row r="13" spans="1:8" x14ac:dyDescent="0.25">
      <c r="A13" s="51"/>
      <c r="B13" s="52" t="s">
        <v>203</v>
      </c>
      <c r="C13" s="53" t="s">
        <v>111</v>
      </c>
      <c r="D13" s="90">
        <f>IF('RF by Location &lt;-INPUT'!E25+'RF by Location &lt;-INPUT'!F25+'RF by Location &lt;-INPUT'!G25&lt;0,-('RF by Location &lt;-INPUT'!E25+'RF by Location &lt;-INPUT'!F25+'RF by Location &lt;-INPUT'!G25),0)</f>
        <v>0</v>
      </c>
      <c r="E13" s="90">
        <f>IF('RF by Location &lt;-INPUT'!E25+'RF by Location &lt;-INPUT'!F25+'RF by Location &lt;-INPUT'!G25&gt;0,'RF by Location &lt;-INPUT'!E25+'RF by Location &lt;-INPUT'!F25+'RF by Location &lt;-INPUT'!G25,0)</f>
        <v>0</v>
      </c>
    </row>
    <row r="14" spans="1:8" x14ac:dyDescent="0.25">
      <c r="A14" s="51"/>
      <c r="B14" s="52"/>
      <c r="C14" s="53"/>
      <c r="D14" s="54"/>
      <c r="E14" s="54"/>
    </row>
    <row r="15" spans="1:8" x14ac:dyDescent="0.25">
      <c r="A15" s="51"/>
      <c r="B15" s="52"/>
      <c r="C15" s="53"/>
      <c r="D15" s="54"/>
      <c r="E15" s="54"/>
    </row>
    <row r="16" spans="1:8" x14ac:dyDescent="0.25">
      <c r="A16" s="52"/>
      <c r="B16" s="52"/>
      <c r="C16" s="53"/>
      <c r="D16" s="54"/>
      <c r="E16" s="54"/>
    </row>
    <row r="17" spans="1:5" x14ac:dyDescent="0.25">
      <c r="B17" s="35"/>
      <c r="C17" s="57" t="s">
        <v>80</v>
      </c>
      <c r="D17" s="58">
        <f>SUM(D11:D16)</f>
        <v>0</v>
      </c>
      <c r="E17" s="58">
        <f>SUM(E11:E16)</f>
        <v>0</v>
      </c>
    </row>
    <row r="18" spans="1:5" x14ac:dyDescent="0.25">
      <c r="B18" s="35"/>
    </row>
    <row r="19" spans="1:5" x14ac:dyDescent="0.25">
      <c r="A19" s="44" t="s">
        <v>81</v>
      </c>
      <c r="B19" s="35"/>
    </row>
    <row r="20" spans="1:5" x14ac:dyDescent="0.25">
      <c r="B20" s="59"/>
      <c r="C20" s="15"/>
      <c r="D20" s="15"/>
    </row>
    <row r="21" spans="1:5" x14ac:dyDescent="0.25">
      <c r="B21" s="60"/>
      <c r="C21" s="61"/>
      <c r="D21" s="61"/>
    </row>
    <row r="22" spans="1:5" x14ac:dyDescent="0.25">
      <c r="B22" s="60"/>
      <c r="C22" s="61"/>
      <c r="D22" s="61"/>
    </row>
    <row r="23" spans="1:5" x14ac:dyDescent="0.25">
      <c r="B23" s="35"/>
    </row>
    <row r="24" spans="1:5" x14ac:dyDescent="0.25">
      <c r="A24" s="62" t="s">
        <v>82</v>
      </c>
      <c r="B24" s="63"/>
    </row>
    <row r="25" spans="1:5" x14ac:dyDescent="0.25">
      <c r="A25" s="65" t="s">
        <v>83</v>
      </c>
      <c r="B25" s="61"/>
    </row>
  </sheetData>
  <pageMargins left="0.7" right="0.7" top="0.75" bottom="0.75" header="0.3" footer="0.3"/>
  <pageSetup scale="88"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4">
    <tabColor theme="9"/>
  </sheetPr>
  <dimension ref="A1:H31"/>
  <sheetViews>
    <sheetView topLeftCell="A13" zoomScale="85" zoomScaleNormal="85" workbookViewId="0">
      <selection activeCell="E20" sqref="E20"/>
    </sheetView>
  </sheetViews>
  <sheetFormatPr defaultColWidth="9.140625" defaultRowHeight="15" x14ac:dyDescent="0.25"/>
  <cols>
    <col min="1" max="1" width="18.7109375" customWidth="1"/>
    <col min="2" max="3" width="22.7109375" customWidth="1"/>
    <col min="4" max="4" width="15.7109375" customWidth="1"/>
    <col min="5" max="6" width="18.7109375" customWidth="1"/>
  </cols>
  <sheetData>
    <row r="1" spans="1:8" x14ac:dyDescent="0.25">
      <c r="D1" s="35"/>
      <c r="G1" s="64"/>
      <c r="H1" s="31"/>
    </row>
    <row r="2" spans="1:8" ht="15.75" thickBot="1" x14ac:dyDescent="0.3">
      <c r="D2" s="35"/>
      <c r="E2" s="44" t="s">
        <v>65</v>
      </c>
      <c r="F2" s="43" t="str">
        <f>'Reimbursement Rates &lt;-INPUT'!A2</f>
        <v>Biocorrect</v>
      </c>
      <c r="H2" s="31"/>
    </row>
    <row r="3" spans="1:8" x14ac:dyDescent="0.25">
      <c r="D3" s="35"/>
      <c r="F3" s="35"/>
      <c r="H3" s="31"/>
    </row>
    <row r="4" spans="1:8" ht="15.75" thickBot="1" x14ac:dyDescent="0.3">
      <c r="D4" s="35"/>
      <c r="E4" s="44" t="s">
        <v>66</v>
      </c>
      <c r="F4" s="111">
        <f>'Agile AR Aging &lt;-INPUT'!C20</f>
        <v>45199</v>
      </c>
    </row>
    <row r="5" spans="1:8" x14ac:dyDescent="0.25">
      <c r="D5" s="35"/>
    </row>
    <row r="6" spans="1:8" ht="15.75" thickBot="1" x14ac:dyDescent="0.3">
      <c r="D6" s="35"/>
      <c r="E6" s="44" t="s">
        <v>67</v>
      </c>
      <c r="F6" s="43" t="s">
        <v>149</v>
      </c>
    </row>
    <row r="7" spans="1:8" ht="18" x14ac:dyDescent="0.25">
      <c r="A7" s="46" t="s">
        <v>68</v>
      </c>
      <c r="B7" s="46"/>
      <c r="D7" s="35"/>
    </row>
    <row r="8" spans="1:8" ht="15.75" thickBot="1" x14ac:dyDescent="0.3">
      <c r="D8" s="35"/>
      <c r="E8" s="44" t="s">
        <v>69</v>
      </c>
      <c r="F8" s="47"/>
    </row>
    <row r="9" spans="1:8" x14ac:dyDescent="0.25">
      <c r="D9" s="35"/>
      <c r="F9" t="s">
        <v>53</v>
      </c>
    </row>
    <row r="10" spans="1:8" x14ac:dyDescent="0.25">
      <c r="A10" s="48" t="s">
        <v>70</v>
      </c>
      <c r="B10" s="48" t="s">
        <v>266</v>
      </c>
      <c r="C10" s="49" t="s">
        <v>72</v>
      </c>
      <c r="D10" s="49" t="s">
        <v>71</v>
      </c>
      <c r="E10" s="49" t="s">
        <v>73</v>
      </c>
      <c r="F10" s="49" t="s">
        <v>74</v>
      </c>
      <c r="G10" s="50"/>
    </row>
    <row r="11" spans="1:8" x14ac:dyDescent="0.25">
      <c r="A11" s="51"/>
      <c r="B11" s="51"/>
      <c r="C11" s="53"/>
      <c r="D11" s="52"/>
      <c r="E11" s="54"/>
      <c r="F11" s="54"/>
    </row>
    <row r="12" spans="1:8" x14ac:dyDescent="0.25">
      <c r="A12" s="51">
        <f>F4</f>
        <v>45199</v>
      </c>
      <c r="B12" s="53" t="s">
        <v>75</v>
      </c>
      <c r="C12" s="53" t="s">
        <v>267</v>
      </c>
      <c r="D12" s="52" t="s">
        <v>203</v>
      </c>
      <c r="E12" s="90">
        <f>F13</f>
        <v>0</v>
      </c>
      <c r="F12" s="90">
        <f>E13</f>
        <v>0</v>
      </c>
    </row>
    <row r="13" spans="1:8" x14ac:dyDescent="0.25">
      <c r="A13" s="51"/>
      <c r="B13" s="53" t="s">
        <v>150</v>
      </c>
      <c r="C13" s="53" t="s">
        <v>267</v>
      </c>
      <c r="D13" s="52" t="s">
        <v>204</v>
      </c>
      <c r="E13" s="90">
        <f>IF('RF by Location &lt;-INPUT'!C26&lt;0,-'RF by Location &lt;-INPUT'!C26,0)</f>
        <v>0</v>
      </c>
      <c r="F13" s="90">
        <f>IF('RF by Location &lt;-INPUT'!C26&gt;0,'RF by Location &lt;-INPUT'!C26,0)</f>
        <v>0</v>
      </c>
    </row>
    <row r="14" spans="1:8" x14ac:dyDescent="0.25">
      <c r="A14" s="51"/>
      <c r="B14" s="53" t="s">
        <v>76</v>
      </c>
      <c r="C14" s="53" t="s">
        <v>267</v>
      </c>
      <c r="D14" s="52" t="s">
        <v>205</v>
      </c>
      <c r="E14" s="90">
        <f>F15</f>
        <v>0</v>
      </c>
      <c r="F14" s="90">
        <f>E15</f>
        <v>60000</v>
      </c>
    </row>
    <row r="15" spans="1:8" x14ac:dyDescent="0.25">
      <c r="A15" s="51"/>
      <c r="B15" s="53" t="s">
        <v>20</v>
      </c>
      <c r="C15" s="53" t="s">
        <v>267</v>
      </c>
      <c r="D15" s="52" t="s">
        <v>206</v>
      </c>
      <c r="E15" s="90">
        <f>IF('Clinic 5'!M128&lt;0,-'Clinic 5'!M128,0)</f>
        <v>60000</v>
      </c>
      <c r="F15" s="90">
        <f>IF('Clinic 5'!M128&gt;0,'Clinic 5'!M128,0)</f>
        <v>0</v>
      </c>
    </row>
    <row r="16" spans="1:8" x14ac:dyDescent="0.25">
      <c r="A16" s="51"/>
      <c r="B16" s="53" t="s">
        <v>77</v>
      </c>
      <c r="C16" s="53" t="s">
        <v>267</v>
      </c>
      <c r="D16" s="52" t="s">
        <v>207</v>
      </c>
      <c r="E16" s="90">
        <f>IF('Clinic 5'!M66&lt;0,-'Clinic 5'!M66,0)</f>
        <v>60000</v>
      </c>
      <c r="F16" s="90">
        <f>IF('Clinic 5'!M66&gt;0,'Clinic 5'!M66,0)</f>
        <v>0</v>
      </c>
      <c r="G16" s="55"/>
    </row>
    <row r="17" spans="1:7" x14ac:dyDescent="0.25">
      <c r="A17" s="51"/>
      <c r="B17" s="53" t="s">
        <v>75</v>
      </c>
      <c r="C17" s="53" t="s">
        <v>267</v>
      </c>
      <c r="D17" s="52" t="s">
        <v>203</v>
      </c>
      <c r="E17" s="90">
        <f>IF('RF by Location &lt;-INPUT'!D26+'RF by Location &lt;-INPUT'!H26&lt;0,-('RF by Location &lt;-INPUT'!D26+'RF by Location &lt;-INPUT'!H26),0)</f>
        <v>0</v>
      </c>
      <c r="F17" s="90">
        <f>IF('RF by Location &lt;-INPUT'!D26+'RF by Location &lt;-INPUT'!H26&gt;0,'RF by Location &lt;-INPUT'!D26+'RF by Location &lt;-INPUT'!H26,0)</f>
        <v>0</v>
      </c>
      <c r="G17" s="24"/>
    </row>
    <row r="18" spans="1:7" x14ac:dyDescent="0.25">
      <c r="A18" s="51"/>
      <c r="B18" s="53" t="s">
        <v>78</v>
      </c>
      <c r="C18" s="53" t="s">
        <v>267</v>
      </c>
      <c r="D18" s="52" t="s">
        <v>208</v>
      </c>
      <c r="E18" s="90">
        <f>IF((F17+F16-E16-E19+F19)&gt;0,(F17+F16-E16-E19+F19),0)</f>
        <v>0</v>
      </c>
      <c r="F18" s="90">
        <f>IF((F17+F16-E16-E19+F19)&lt;0,-(F17+F16-E16-E19+F19),0)</f>
        <v>60000</v>
      </c>
      <c r="G18" s="56"/>
    </row>
    <row r="19" spans="1:7" x14ac:dyDescent="0.25">
      <c r="A19" s="51"/>
      <c r="B19" s="53" t="s">
        <v>79</v>
      </c>
      <c r="C19" s="53" t="s">
        <v>267</v>
      </c>
      <c r="D19" s="52" t="s">
        <v>205</v>
      </c>
      <c r="E19" s="90">
        <f>'Bad Debt Detail &lt;-INPUT'!G64</f>
        <v>0</v>
      </c>
      <c r="F19" s="90">
        <v>0</v>
      </c>
    </row>
    <row r="20" spans="1:7" x14ac:dyDescent="0.25">
      <c r="A20" s="51"/>
      <c r="B20" s="51"/>
      <c r="C20" s="53"/>
      <c r="D20" s="52"/>
      <c r="E20" s="54"/>
      <c r="F20" s="54"/>
    </row>
    <row r="21" spans="1:7" x14ac:dyDescent="0.25">
      <c r="A21" s="51"/>
      <c r="B21" s="51"/>
      <c r="C21" s="53"/>
      <c r="D21" s="52"/>
      <c r="E21" s="54"/>
      <c r="F21" s="54"/>
    </row>
    <row r="22" spans="1:7" x14ac:dyDescent="0.25">
      <c r="A22" s="52"/>
      <c r="B22" s="52"/>
      <c r="C22" s="53"/>
      <c r="D22" s="52"/>
      <c r="E22" s="54"/>
      <c r="F22" s="54"/>
    </row>
    <row r="23" spans="1:7" x14ac:dyDescent="0.25">
      <c r="C23" s="57" t="s">
        <v>80</v>
      </c>
      <c r="D23" s="35"/>
      <c r="E23" s="58">
        <f>SUM(E11:E22)</f>
        <v>120000</v>
      </c>
      <c r="F23" s="58">
        <f>SUM(F11:F22)</f>
        <v>120000</v>
      </c>
    </row>
    <row r="24" spans="1:7" x14ac:dyDescent="0.25">
      <c r="D24" s="35"/>
    </row>
    <row r="25" spans="1:7" x14ac:dyDescent="0.25">
      <c r="A25" s="44" t="s">
        <v>81</v>
      </c>
      <c r="B25" s="44"/>
      <c r="D25" s="35"/>
    </row>
    <row r="26" spans="1:7" x14ac:dyDescent="0.25">
      <c r="C26" s="15"/>
      <c r="D26" s="59"/>
      <c r="E26" s="15"/>
    </row>
    <row r="27" spans="1:7" x14ac:dyDescent="0.25">
      <c r="C27" s="61"/>
      <c r="D27" s="60"/>
      <c r="E27" s="61"/>
    </row>
    <row r="28" spans="1:7" x14ac:dyDescent="0.25">
      <c r="C28" s="61"/>
      <c r="D28" s="60"/>
      <c r="E28" s="61"/>
    </row>
    <row r="29" spans="1:7" x14ac:dyDescent="0.25">
      <c r="D29" s="35"/>
    </row>
    <row r="30" spans="1:7" x14ac:dyDescent="0.25">
      <c r="A30" s="62" t="s">
        <v>82</v>
      </c>
      <c r="B30" s="62"/>
      <c r="D30" s="63"/>
    </row>
    <row r="31" spans="1:7" x14ac:dyDescent="0.25">
      <c r="A31" s="65" t="s">
        <v>83</v>
      </c>
      <c r="B31" s="65"/>
      <c r="D31" s="61"/>
    </row>
  </sheetData>
  <pageMargins left="0.7" right="0.7" top="0.75" bottom="0.75" header="0.3" footer="0.3"/>
  <pageSetup scale="77"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5">
    <tabColor theme="9"/>
  </sheetPr>
  <dimension ref="A1:H25"/>
  <sheetViews>
    <sheetView topLeftCell="A4" zoomScaleNormal="100" workbookViewId="0">
      <selection activeCell="E38" sqref="E38"/>
    </sheetView>
  </sheetViews>
  <sheetFormatPr defaultColWidth="9.140625" defaultRowHeight="15" x14ac:dyDescent="0.25"/>
  <cols>
    <col min="1" max="1" width="18.7109375" customWidth="1"/>
    <col min="2" max="2" width="15.7109375" customWidth="1"/>
    <col min="3" max="3" width="30.7109375" customWidth="1"/>
    <col min="4" max="5" width="18.7109375" customWidth="1"/>
  </cols>
  <sheetData>
    <row r="1" spans="1:8" x14ac:dyDescent="0.25">
      <c r="B1" s="35"/>
      <c r="F1" s="64"/>
      <c r="H1" s="31"/>
    </row>
    <row r="2" spans="1:8" ht="15.75" thickBot="1" x14ac:dyDescent="0.3">
      <c r="B2" s="35"/>
      <c r="D2" s="44" t="s">
        <v>65</v>
      </c>
      <c r="E2" s="43" t="str">
        <f>'Clinic 1 1-16 Rev Entry'!F2</f>
        <v>Biocorrect</v>
      </c>
      <c r="H2" s="31"/>
    </row>
    <row r="3" spans="1:8" x14ac:dyDescent="0.25">
      <c r="B3" s="35"/>
      <c r="E3" s="35"/>
      <c r="H3" s="31"/>
    </row>
    <row r="4" spans="1:8" ht="15.75" thickBot="1" x14ac:dyDescent="0.3">
      <c r="B4" s="35"/>
      <c r="D4" s="44" t="s">
        <v>66</v>
      </c>
      <c r="E4" s="45">
        <f>'Clinic 1 1-16 Rev Entry'!F4</f>
        <v>45199</v>
      </c>
    </row>
    <row r="5" spans="1:8" x14ac:dyDescent="0.25">
      <c r="B5" s="35"/>
    </row>
    <row r="6" spans="1:8" ht="15.75" thickBot="1" x14ac:dyDescent="0.3">
      <c r="B6" s="35"/>
      <c r="D6" s="44" t="s">
        <v>67</v>
      </c>
      <c r="E6" s="43" t="s">
        <v>149</v>
      </c>
    </row>
    <row r="7" spans="1:8" ht="18" x14ac:dyDescent="0.25">
      <c r="A7" s="46" t="s">
        <v>68</v>
      </c>
      <c r="B7" s="35"/>
    </row>
    <row r="8" spans="1:8" ht="15.75" thickBot="1" x14ac:dyDescent="0.3">
      <c r="B8" s="35"/>
      <c r="D8" s="44" t="s">
        <v>69</v>
      </c>
      <c r="E8" s="47"/>
    </row>
    <row r="9" spans="1:8" x14ac:dyDescent="0.25">
      <c r="B9" s="35"/>
      <c r="E9" t="s">
        <v>53</v>
      </c>
    </row>
    <row r="10" spans="1:8" x14ac:dyDescent="0.25">
      <c r="A10" s="48" t="s">
        <v>70</v>
      </c>
      <c r="B10" s="49" t="s">
        <v>71</v>
      </c>
      <c r="C10" s="49" t="s">
        <v>72</v>
      </c>
      <c r="D10" s="49" t="s">
        <v>73</v>
      </c>
      <c r="E10" s="49" t="s">
        <v>74</v>
      </c>
      <c r="F10" s="50"/>
    </row>
    <row r="11" spans="1:8" x14ac:dyDescent="0.25">
      <c r="A11" s="51"/>
      <c r="B11" s="52"/>
      <c r="C11" s="53"/>
      <c r="D11" s="54"/>
      <c r="E11" s="54"/>
    </row>
    <row r="12" spans="1:8" x14ac:dyDescent="0.25">
      <c r="A12" s="51">
        <f>E4</f>
        <v>45199</v>
      </c>
      <c r="B12" s="52" t="s">
        <v>45</v>
      </c>
      <c r="C12" s="53" t="s">
        <v>110</v>
      </c>
      <c r="D12" s="90">
        <f>E13</f>
        <v>0</v>
      </c>
      <c r="E12" s="90">
        <f>D13</f>
        <v>0</v>
      </c>
    </row>
    <row r="13" spans="1:8" x14ac:dyDescent="0.25">
      <c r="A13" s="51"/>
      <c r="B13" s="52" t="s">
        <v>203</v>
      </c>
      <c r="C13" s="53" t="s">
        <v>111</v>
      </c>
      <c r="D13" s="90">
        <f>IF('RF by Location &lt;-INPUT'!E26+'RF by Location &lt;-INPUT'!F26+'RF by Location &lt;-INPUT'!G26&lt;0,-('RF by Location &lt;-INPUT'!E26+'RF by Location &lt;-INPUT'!F26+'RF by Location &lt;-INPUT'!G26),0)</f>
        <v>0</v>
      </c>
      <c r="E13" s="90">
        <f>IF('RF by Location &lt;-INPUT'!E26+'RF by Location &lt;-INPUT'!F26+'RF by Location &lt;-INPUT'!G26&gt;0,'RF by Location &lt;-INPUT'!E26+'RF by Location &lt;-INPUT'!F26+'RF by Location &lt;-INPUT'!G26,0)</f>
        <v>0</v>
      </c>
    </row>
    <row r="14" spans="1:8" x14ac:dyDescent="0.25">
      <c r="A14" s="51"/>
      <c r="B14" s="52"/>
      <c r="C14" s="53"/>
      <c r="D14" s="54"/>
      <c r="E14" s="54"/>
    </row>
    <row r="15" spans="1:8" x14ac:dyDescent="0.25">
      <c r="A15" s="51"/>
      <c r="B15" s="52"/>
      <c r="C15" s="53"/>
      <c r="D15" s="54"/>
      <c r="E15" s="54"/>
    </row>
    <row r="16" spans="1:8" x14ac:dyDescent="0.25">
      <c r="A16" s="52"/>
      <c r="B16" s="52"/>
      <c r="C16" s="53"/>
      <c r="D16" s="54"/>
      <c r="E16" s="54"/>
    </row>
    <row r="17" spans="1:5" x14ac:dyDescent="0.25">
      <c r="B17" s="35"/>
      <c r="C17" s="57" t="s">
        <v>80</v>
      </c>
      <c r="D17" s="58">
        <f>SUM(D11:D16)</f>
        <v>0</v>
      </c>
      <c r="E17" s="58">
        <f>SUM(E11:E16)</f>
        <v>0</v>
      </c>
    </row>
    <row r="18" spans="1:5" x14ac:dyDescent="0.25">
      <c r="B18" s="35"/>
    </row>
    <row r="19" spans="1:5" x14ac:dyDescent="0.25">
      <c r="A19" s="44" t="s">
        <v>81</v>
      </c>
      <c r="B19" s="35"/>
    </row>
    <row r="20" spans="1:5" x14ac:dyDescent="0.25">
      <c r="B20" s="59"/>
      <c r="C20" s="15"/>
      <c r="D20" s="15"/>
    </row>
    <row r="21" spans="1:5" x14ac:dyDescent="0.25">
      <c r="B21" s="60"/>
      <c r="C21" s="61"/>
      <c r="D21" s="61"/>
    </row>
    <row r="22" spans="1:5" x14ac:dyDescent="0.25">
      <c r="B22" s="60"/>
      <c r="C22" s="61"/>
      <c r="D22" s="61"/>
    </row>
    <row r="23" spans="1:5" x14ac:dyDescent="0.25">
      <c r="B23" s="35"/>
    </row>
    <row r="24" spans="1:5" x14ac:dyDescent="0.25">
      <c r="A24" s="62" t="s">
        <v>82</v>
      </c>
      <c r="B24" s="63"/>
    </row>
    <row r="25" spans="1:5" x14ac:dyDescent="0.25">
      <c r="A25" s="65" t="s">
        <v>83</v>
      </c>
      <c r="B25" s="61"/>
    </row>
  </sheetData>
  <pageMargins left="0.7" right="0.7" top="0.75" bottom="0.75" header="0.3" footer="0.3"/>
  <pageSetup scale="88"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6">
    <tabColor theme="9"/>
  </sheetPr>
  <dimension ref="A1:H31"/>
  <sheetViews>
    <sheetView zoomScale="85" zoomScaleNormal="85" workbookViewId="0">
      <selection activeCell="E38" sqref="E38"/>
    </sheetView>
  </sheetViews>
  <sheetFormatPr defaultColWidth="9.140625" defaultRowHeight="15" x14ac:dyDescent="0.25"/>
  <cols>
    <col min="1" max="1" width="18.7109375" customWidth="1"/>
    <col min="2" max="3" width="22.7109375" customWidth="1"/>
    <col min="4" max="4" width="15.7109375" customWidth="1"/>
    <col min="5" max="6" width="18.7109375" customWidth="1"/>
  </cols>
  <sheetData>
    <row r="1" spans="1:8" x14ac:dyDescent="0.25">
      <c r="D1" s="35"/>
      <c r="G1" s="64"/>
      <c r="H1" s="31"/>
    </row>
    <row r="2" spans="1:8" ht="15.75" thickBot="1" x14ac:dyDescent="0.3">
      <c r="D2" s="35"/>
      <c r="E2" s="44" t="s">
        <v>65</v>
      </c>
      <c r="F2" s="43" t="str">
        <f>'Reimbursement Rates &lt;-INPUT'!A2</f>
        <v>Biocorrect</v>
      </c>
      <c r="H2" s="31"/>
    </row>
    <row r="3" spans="1:8" x14ac:dyDescent="0.25">
      <c r="D3" s="35"/>
      <c r="F3" s="35"/>
      <c r="H3" s="31"/>
    </row>
    <row r="4" spans="1:8" ht="15.75" thickBot="1" x14ac:dyDescent="0.3">
      <c r="D4" s="35"/>
      <c r="E4" s="44" t="s">
        <v>66</v>
      </c>
      <c r="F4" s="111">
        <f>'Agile AR Aging &lt;-INPUT'!C20</f>
        <v>45199</v>
      </c>
    </row>
    <row r="5" spans="1:8" x14ac:dyDescent="0.25">
      <c r="D5" s="35"/>
    </row>
    <row r="6" spans="1:8" ht="15.75" thickBot="1" x14ac:dyDescent="0.3">
      <c r="D6" s="35"/>
      <c r="E6" s="44" t="s">
        <v>67</v>
      </c>
      <c r="F6" s="43" t="s">
        <v>149</v>
      </c>
    </row>
    <row r="7" spans="1:8" ht="18" x14ac:dyDescent="0.25">
      <c r="A7" s="46" t="s">
        <v>68</v>
      </c>
      <c r="B7" s="46"/>
      <c r="D7" s="35"/>
    </row>
    <row r="8" spans="1:8" ht="15.75" thickBot="1" x14ac:dyDescent="0.3">
      <c r="D8" s="35"/>
      <c r="E8" s="44" t="s">
        <v>69</v>
      </c>
      <c r="F8" s="47"/>
    </row>
    <row r="9" spans="1:8" x14ac:dyDescent="0.25">
      <c r="D9" s="35"/>
      <c r="F9" t="s">
        <v>53</v>
      </c>
    </row>
    <row r="10" spans="1:8" x14ac:dyDescent="0.25">
      <c r="A10" s="48" t="s">
        <v>70</v>
      </c>
      <c r="B10" s="48" t="s">
        <v>266</v>
      </c>
      <c r="C10" s="49" t="s">
        <v>72</v>
      </c>
      <c r="D10" s="49" t="s">
        <v>71</v>
      </c>
      <c r="E10" s="49" t="s">
        <v>73</v>
      </c>
      <c r="F10" s="49" t="s">
        <v>74</v>
      </c>
      <c r="G10" s="50"/>
    </row>
    <row r="11" spans="1:8" x14ac:dyDescent="0.25">
      <c r="A11" s="51"/>
      <c r="B11" s="51"/>
      <c r="C11" s="53"/>
      <c r="D11" s="52"/>
      <c r="E11" s="54"/>
      <c r="F11" s="54"/>
    </row>
    <row r="12" spans="1:8" x14ac:dyDescent="0.25">
      <c r="A12" s="51">
        <f>F4</f>
        <v>45199</v>
      </c>
      <c r="B12" s="53" t="s">
        <v>75</v>
      </c>
      <c r="C12" s="53" t="s">
        <v>267</v>
      </c>
      <c r="D12" s="52" t="s">
        <v>203</v>
      </c>
      <c r="E12" s="90">
        <f>F13</f>
        <v>0</v>
      </c>
      <c r="F12" s="90">
        <f>E13</f>
        <v>0</v>
      </c>
    </row>
    <row r="13" spans="1:8" x14ac:dyDescent="0.25">
      <c r="A13" s="51"/>
      <c r="B13" s="53" t="s">
        <v>150</v>
      </c>
      <c r="C13" s="53" t="s">
        <v>267</v>
      </c>
      <c r="D13" s="52" t="s">
        <v>204</v>
      </c>
      <c r="E13" s="90">
        <f>IF('RF by Location &lt;-INPUT'!C27&lt;0,-'RF by Location &lt;-INPUT'!C27,0)</f>
        <v>0</v>
      </c>
      <c r="F13" s="90">
        <f>IF('RF by Location &lt;-INPUT'!C27&gt;0,'RF by Location &lt;-INPUT'!C27,0)</f>
        <v>0</v>
      </c>
    </row>
    <row r="14" spans="1:8" x14ac:dyDescent="0.25">
      <c r="A14" s="51"/>
      <c r="B14" s="53" t="s">
        <v>76</v>
      </c>
      <c r="C14" s="53" t="s">
        <v>267</v>
      </c>
      <c r="D14" s="52" t="s">
        <v>205</v>
      </c>
      <c r="E14" s="90">
        <f>F15</f>
        <v>0</v>
      </c>
      <c r="F14" s="90">
        <f>E15</f>
        <v>60000</v>
      </c>
    </row>
    <row r="15" spans="1:8" x14ac:dyDescent="0.25">
      <c r="A15" s="51"/>
      <c r="B15" s="53" t="s">
        <v>20</v>
      </c>
      <c r="C15" s="53" t="s">
        <v>267</v>
      </c>
      <c r="D15" s="52" t="s">
        <v>206</v>
      </c>
      <c r="E15" s="90">
        <f>IF('Clinic 6'!M128&lt;0,-'Clinic 6'!M128,0)</f>
        <v>60000</v>
      </c>
      <c r="F15" s="90">
        <f>IF('Clinic 6'!M128&gt;0,'Clinic 6'!M128,0)</f>
        <v>0</v>
      </c>
    </row>
    <row r="16" spans="1:8" x14ac:dyDescent="0.25">
      <c r="A16" s="51"/>
      <c r="B16" s="53" t="s">
        <v>77</v>
      </c>
      <c r="C16" s="53" t="s">
        <v>267</v>
      </c>
      <c r="D16" s="52" t="s">
        <v>207</v>
      </c>
      <c r="E16" s="90">
        <f>IF('Clinic 6'!M66&lt;0,-'Clinic 6'!M66,0)</f>
        <v>60000</v>
      </c>
      <c r="F16" s="90">
        <f>IF('Clinic 6'!M66&gt;0,'Clinic 6'!M66,0)</f>
        <v>0</v>
      </c>
      <c r="G16" s="55"/>
    </row>
    <row r="17" spans="1:7" x14ac:dyDescent="0.25">
      <c r="A17" s="51"/>
      <c r="B17" s="53" t="s">
        <v>75</v>
      </c>
      <c r="C17" s="53" t="s">
        <v>267</v>
      </c>
      <c r="D17" s="52" t="s">
        <v>203</v>
      </c>
      <c r="E17" s="90">
        <f>IF('RF by Location &lt;-INPUT'!D27+'RF by Location &lt;-INPUT'!H27&lt;0,-('RF by Location &lt;-INPUT'!D27+'RF by Location &lt;-INPUT'!H27),0)</f>
        <v>0</v>
      </c>
      <c r="F17" s="90">
        <f>IF('RF by Location &lt;-INPUT'!D27+'RF by Location &lt;-INPUT'!H27&gt;0,'RF by Location &lt;-INPUT'!D27+'RF by Location &lt;-INPUT'!H27,0)</f>
        <v>0</v>
      </c>
      <c r="G17" s="24"/>
    </row>
    <row r="18" spans="1:7" x14ac:dyDescent="0.25">
      <c r="A18" s="51"/>
      <c r="B18" s="53" t="s">
        <v>78</v>
      </c>
      <c r="C18" s="53" t="s">
        <v>267</v>
      </c>
      <c r="D18" s="52" t="s">
        <v>208</v>
      </c>
      <c r="E18" s="90">
        <f>IF((F17+F16-E16-E19+F19)&gt;0,(F17+F16-E16-E19+F19),0)</f>
        <v>0</v>
      </c>
      <c r="F18" s="90">
        <f>IF((F17+F16-E16-E19+F19)&lt;0,-(F17+F16-E16-E19+F19),0)</f>
        <v>60000</v>
      </c>
      <c r="G18" s="56"/>
    </row>
    <row r="19" spans="1:7" x14ac:dyDescent="0.25">
      <c r="A19" s="51"/>
      <c r="B19" s="53" t="s">
        <v>79</v>
      </c>
      <c r="C19" s="53" t="s">
        <v>267</v>
      </c>
      <c r="D19" s="52" t="s">
        <v>205</v>
      </c>
      <c r="E19" s="90">
        <f>'Bad Debt Detail &lt;-INPUT'!H64</f>
        <v>0</v>
      </c>
      <c r="F19" s="90">
        <v>0</v>
      </c>
    </row>
    <row r="20" spans="1:7" x14ac:dyDescent="0.25">
      <c r="A20" s="51"/>
      <c r="B20" s="51"/>
      <c r="C20" s="53"/>
      <c r="D20" s="52"/>
      <c r="E20" s="54"/>
      <c r="F20" s="54"/>
    </row>
    <row r="21" spans="1:7" x14ac:dyDescent="0.25">
      <c r="A21" s="51"/>
      <c r="B21" s="51"/>
      <c r="C21" s="53"/>
      <c r="D21" s="52"/>
      <c r="E21" s="54"/>
      <c r="F21" s="54"/>
    </row>
    <row r="22" spans="1:7" x14ac:dyDescent="0.25">
      <c r="A22" s="52"/>
      <c r="B22" s="52"/>
      <c r="C22" s="53"/>
      <c r="D22" s="52"/>
      <c r="E22" s="54"/>
      <c r="F22" s="54"/>
    </row>
    <row r="23" spans="1:7" x14ac:dyDescent="0.25">
      <c r="C23" s="57" t="s">
        <v>80</v>
      </c>
      <c r="D23" s="35"/>
      <c r="E23" s="58">
        <f>SUM(E11:E22)</f>
        <v>120000</v>
      </c>
      <c r="F23" s="58">
        <f>SUM(F11:F22)</f>
        <v>120000</v>
      </c>
    </row>
    <row r="24" spans="1:7" x14ac:dyDescent="0.25">
      <c r="D24" s="35"/>
    </row>
    <row r="25" spans="1:7" x14ac:dyDescent="0.25">
      <c r="A25" s="44" t="s">
        <v>81</v>
      </c>
      <c r="B25" s="44"/>
      <c r="D25" s="35"/>
    </row>
    <row r="26" spans="1:7" x14ac:dyDescent="0.25">
      <c r="C26" s="15"/>
      <c r="D26" s="59"/>
      <c r="E26" s="15"/>
    </row>
    <row r="27" spans="1:7" x14ac:dyDescent="0.25">
      <c r="C27" s="61"/>
      <c r="D27" s="60"/>
      <c r="E27" s="61"/>
    </row>
    <row r="28" spans="1:7" x14ac:dyDescent="0.25">
      <c r="C28" s="61"/>
      <c r="D28" s="60"/>
      <c r="E28" s="61"/>
    </row>
    <row r="29" spans="1:7" x14ac:dyDescent="0.25">
      <c r="D29" s="35"/>
    </row>
    <row r="30" spans="1:7" x14ac:dyDescent="0.25">
      <c r="A30" s="62" t="s">
        <v>82</v>
      </c>
      <c r="B30" s="62"/>
      <c r="D30" s="63"/>
    </row>
    <row r="31" spans="1:7" x14ac:dyDescent="0.25">
      <c r="A31" s="65" t="s">
        <v>83</v>
      </c>
      <c r="B31" s="65"/>
      <c r="D31" s="61"/>
    </row>
  </sheetData>
  <pageMargins left="0.7" right="0.7" top="0.75" bottom="0.75" header="0.3" footer="0.3"/>
  <pageSetup scale="77"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7">
    <tabColor theme="9"/>
  </sheetPr>
  <dimension ref="A1:H25"/>
  <sheetViews>
    <sheetView topLeftCell="A4" zoomScaleNormal="100" workbookViewId="0">
      <selection activeCell="E38" sqref="E38"/>
    </sheetView>
  </sheetViews>
  <sheetFormatPr defaultColWidth="9.140625" defaultRowHeight="15" x14ac:dyDescent="0.25"/>
  <cols>
    <col min="1" max="1" width="18.7109375" customWidth="1"/>
    <col min="2" max="2" width="15.7109375" customWidth="1"/>
    <col min="3" max="3" width="30.7109375" customWidth="1"/>
    <col min="4" max="5" width="18.7109375" customWidth="1"/>
  </cols>
  <sheetData>
    <row r="1" spans="1:8" x14ac:dyDescent="0.25">
      <c r="B1" s="35"/>
      <c r="F1" s="64"/>
      <c r="H1" s="31"/>
    </row>
    <row r="2" spans="1:8" ht="15.75" thickBot="1" x14ac:dyDescent="0.3">
      <c r="B2" s="35"/>
      <c r="D2" s="44" t="s">
        <v>65</v>
      </c>
      <c r="E2" s="43" t="str">
        <f>'Clinic 1 1-16 Rev Entry'!F2</f>
        <v>Biocorrect</v>
      </c>
      <c r="H2" s="31"/>
    </row>
    <row r="3" spans="1:8" x14ac:dyDescent="0.25">
      <c r="B3" s="35"/>
      <c r="E3" s="35"/>
      <c r="H3" s="31"/>
    </row>
    <row r="4" spans="1:8" ht="15.75" thickBot="1" x14ac:dyDescent="0.3">
      <c r="B4" s="35"/>
      <c r="D4" s="44" t="s">
        <v>66</v>
      </c>
      <c r="E4" s="45">
        <f>'Clinic 1 1-16 Rev Entry'!F4</f>
        <v>45199</v>
      </c>
    </row>
    <row r="5" spans="1:8" x14ac:dyDescent="0.25">
      <c r="B5" s="35"/>
    </row>
    <row r="6" spans="1:8" ht="15.75" thickBot="1" x14ac:dyDescent="0.3">
      <c r="B6" s="35"/>
      <c r="D6" s="44" t="s">
        <v>67</v>
      </c>
      <c r="E6" s="43" t="s">
        <v>149</v>
      </c>
    </row>
    <row r="7" spans="1:8" ht="18" x14ac:dyDescent="0.25">
      <c r="A7" s="46" t="s">
        <v>68</v>
      </c>
      <c r="B7" s="35"/>
    </row>
    <row r="8" spans="1:8" ht="15.75" thickBot="1" x14ac:dyDescent="0.3">
      <c r="B8" s="35"/>
      <c r="D8" s="44" t="s">
        <v>69</v>
      </c>
      <c r="E8" s="47"/>
    </row>
    <row r="9" spans="1:8" x14ac:dyDescent="0.25">
      <c r="B9" s="35"/>
      <c r="E9" t="s">
        <v>53</v>
      </c>
    </row>
    <row r="10" spans="1:8" x14ac:dyDescent="0.25">
      <c r="A10" s="48" t="s">
        <v>70</v>
      </c>
      <c r="B10" s="49" t="s">
        <v>71</v>
      </c>
      <c r="C10" s="49" t="s">
        <v>72</v>
      </c>
      <c r="D10" s="49" t="s">
        <v>73</v>
      </c>
      <c r="E10" s="49" t="s">
        <v>74</v>
      </c>
      <c r="F10" s="50"/>
    </row>
    <row r="11" spans="1:8" x14ac:dyDescent="0.25">
      <c r="A11" s="51"/>
      <c r="B11" s="52"/>
      <c r="C11" s="53"/>
      <c r="D11" s="54"/>
      <c r="E11" s="54"/>
    </row>
    <row r="12" spans="1:8" x14ac:dyDescent="0.25">
      <c r="A12" s="51">
        <f>E4</f>
        <v>45199</v>
      </c>
      <c r="B12" s="52" t="s">
        <v>45</v>
      </c>
      <c r="C12" s="53" t="s">
        <v>110</v>
      </c>
      <c r="D12" s="90">
        <f>E13</f>
        <v>0</v>
      </c>
      <c r="E12" s="90">
        <f>D13</f>
        <v>0</v>
      </c>
    </row>
    <row r="13" spans="1:8" x14ac:dyDescent="0.25">
      <c r="A13" s="51"/>
      <c r="B13" s="52" t="s">
        <v>203</v>
      </c>
      <c r="C13" s="53" t="s">
        <v>111</v>
      </c>
      <c r="D13" s="90">
        <f>IF('RF by Location &lt;-INPUT'!E27+'RF by Location &lt;-INPUT'!F27+'RF by Location &lt;-INPUT'!G27&lt;0,-('RF by Location &lt;-INPUT'!E27+'RF by Location &lt;-INPUT'!F27+'RF by Location &lt;-INPUT'!G27),0)</f>
        <v>0</v>
      </c>
      <c r="E13" s="90">
        <f>IF('RF by Location &lt;-INPUT'!E27+'RF by Location &lt;-INPUT'!F27+'RF by Location &lt;-INPUT'!G27&gt;0,'RF by Location &lt;-INPUT'!E27+'RF by Location &lt;-INPUT'!F27+'RF by Location &lt;-INPUT'!G27,0)</f>
        <v>0</v>
      </c>
    </row>
    <row r="14" spans="1:8" x14ac:dyDescent="0.25">
      <c r="A14" s="51"/>
      <c r="B14" s="52"/>
      <c r="C14" s="53"/>
      <c r="D14" s="54"/>
      <c r="E14" s="54"/>
    </row>
    <row r="15" spans="1:8" x14ac:dyDescent="0.25">
      <c r="A15" s="51"/>
      <c r="B15" s="52"/>
      <c r="C15" s="53"/>
      <c r="D15" s="54"/>
      <c r="E15" s="54"/>
    </row>
    <row r="16" spans="1:8" x14ac:dyDescent="0.25">
      <c r="A16" s="52"/>
      <c r="B16" s="52"/>
      <c r="C16" s="53"/>
      <c r="D16" s="54"/>
      <c r="E16" s="54"/>
    </row>
    <row r="17" spans="1:5" x14ac:dyDescent="0.25">
      <c r="B17" s="35"/>
      <c r="C17" s="57" t="s">
        <v>80</v>
      </c>
      <c r="D17" s="58">
        <f>SUM(D11:D16)</f>
        <v>0</v>
      </c>
      <c r="E17" s="58">
        <f>SUM(E11:E16)</f>
        <v>0</v>
      </c>
    </row>
    <row r="18" spans="1:5" x14ac:dyDescent="0.25">
      <c r="B18" s="35"/>
    </row>
    <row r="19" spans="1:5" x14ac:dyDescent="0.25">
      <c r="A19" s="44" t="s">
        <v>81</v>
      </c>
      <c r="B19" s="35"/>
    </row>
    <row r="20" spans="1:5" x14ac:dyDescent="0.25">
      <c r="B20" s="59"/>
      <c r="C20" s="15"/>
      <c r="D20" s="15"/>
    </row>
    <row r="21" spans="1:5" x14ac:dyDescent="0.25">
      <c r="B21" s="60"/>
      <c r="C21" s="61"/>
      <c r="D21" s="61"/>
    </row>
    <row r="22" spans="1:5" x14ac:dyDescent="0.25">
      <c r="B22" s="60"/>
      <c r="C22" s="61"/>
      <c r="D22" s="61"/>
    </row>
    <row r="23" spans="1:5" x14ac:dyDescent="0.25">
      <c r="B23" s="35"/>
    </row>
    <row r="24" spans="1:5" x14ac:dyDescent="0.25">
      <c r="A24" s="62" t="s">
        <v>82</v>
      </c>
      <c r="B24" s="63"/>
    </row>
    <row r="25" spans="1:5" x14ac:dyDescent="0.25">
      <c r="A25" s="65" t="s">
        <v>83</v>
      </c>
      <c r="B25" s="61"/>
    </row>
  </sheetData>
  <pageMargins left="0.7" right="0.7" top="0.75" bottom="0.75" header="0.3" footer="0.3"/>
  <pageSetup scale="88"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8">
    <tabColor theme="9"/>
  </sheetPr>
  <dimension ref="A1:H31"/>
  <sheetViews>
    <sheetView topLeftCell="A4" zoomScale="85" zoomScaleNormal="85" workbookViewId="0">
      <selection activeCell="E38" sqref="E38"/>
    </sheetView>
  </sheetViews>
  <sheetFormatPr defaultColWidth="9.140625" defaultRowHeight="15" x14ac:dyDescent="0.25"/>
  <cols>
    <col min="1" max="1" width="18.7109375" customWidth="1"/>
    <col min="2" max="3" width="22.7109375" customWidth="1"/>
    <col min="4" max="4" width="15.7109375" customWidth="1"/>
    <col min="5" max="6" width="18.7109375" customWidth="1"/>
  </cols>
  <sheetData>
    <row r="1" spans="1:8" x14ac:dyDescent="0.25">
      <c r="D1" s="35"/>
      <c r="G1" s="64"/>
      <c r="H1" s="31"/>
    </row>
    <row r="2" spans="1:8" ht="15.75" thickBot="1" x14ac:dyDescent="0.3">
      <c r="D2" s="35"/>
      <c r="E2" s="44" t="s">
        <v>65</v>
      </c>
      <c r="F2" s="43" t="str">
        <f>'Reimbursement Rates &lt;-INPUT'!A2</f>
        <v>Biocorrect</v>
      </c>
      <c r="H2" s="31"/>
    </row>
    <row r="3" spans="1:8" x14ac:dyDescent="0.25">
      <c r="D3" s="35"/>
      <c r="F3" s="35"/>
      <c r="H3" s="31"/>
    </row>
    <row r="4" spans="1:8" ht="15.75" thickBot="1" x14ac:dyDescent="0.3">
      <c r="D4" s="35"/>
      <c r="E4" s="44" t="s">
        <v>66</v>
      </c>
      <c r="F4" s="111">
        <f>'Agile AR Aging &lt;-INPUT'!C20</f>
        <v>45199</v>
      </c>
    </row>
    <row r="5" spans="1:8" x14ac:dyDescent="0.25">
      <c r="D5" s="35"/>
    </row>
    <row r="6" spans="1:8" ht="15.75" thickBot="1" x14ac:dyDescent="0.3">
      <c r="D6" s="35"/>
      <c r="E6" s="44" t="s">
        <v>67</v>
      </c>
      <c r="F6" s="43" t="s">
        <v>149</v>
      </c>
    </row>
    <row r="7" spans="1:8" ht="18" x14ac:dyDescent="0.25">
      <c r="A7" s="46" t="s">
        <v>68</v>
      </c>
      <c r="B7" s="46"/>
      <c r="D7" s="35"/>
    </row>
    <row r="8" spans="1:8" ht="15.75" thickBot="1" x14ac:dyDescent="0.3">
      <c r="D8" s="35"/>
      <c r="E8" s="44" t="s">
        <v>69</v>
      </c>
      <c r="F8" s="47"/>
    </row>
    <row r="9" spans="1:8" x14ac:dyDescent="0.25">
      <c r="D9" s="35"/>
      <c r="F9" t="s">
        <v>53</v>
      </c>
    </row>
    <row r="10" spans="1:8" x14ac:dyDescent="0.25">
      <c r="A10" s="48" t="s">
        <v>70</v>
      </c>
      <c r="B10" s="48" t="s">
        <v>266</v>
      </c>
      <c r="C10" s="49" t="s">
        <v>72</v>
      </c>
      <c r="D10" s="49" t="s">
        <v>71</v>
      </c>
      <c r="E10" s="49" t="s">
        <v>73</v>
      </c>
      <c r="F10" s="49" t="s">
        <v>74</v>
      </c>
      <c r="G10" s="50"/>
    </row>
    <row r="11" spans="1:8" x14ac:dyDescent="0.25">
      <c r="A11" s="51"/>
      <c r="B11" s="51"/>
      <c r="C11" s="53"/>
      <c r="D11" s="52"/>
      <c r="E11" s="54"/>
      <c r="F11" s="54"/>
    </row>
    <row r="12" spans="1:8" x14ac:dyDescent="0.25">
      <c r="A12" s="51">
        <f>F4</f>
        <v>45199</v>
      </c>
      <c r="B12" s="53" t="s">
        <v>75</v>
      </c>
      <c r="C12" s="53" t="s">
        <v>267</v>
      </c>
      <c r="D12" s="52" t="s">
        <v>203</v>
      </c>
      <c r="E12" s="90">
        <f>F13</f>
        <v>0</v>
      </c>
      <c r="F12" s="90">
        <f>E13</f>
        <v>0</v>
      </c>
    </row>
    <row r="13" spans="1:8" x14ac:dyDescent="0.25">
      <c r="A13" s="51"/>
      <c r="B13" s="53" t="s">
        <v>150</v>
      </c>
      <c r="C13" s="53" t="s">
        <v>267</v>
      </c>
      <c r="D13" s="52" t="s">
        <v>204</v>
      </c>
      <c r="E13" s="90">
        <f>IF('RF by Location &lt;-INPUT'!C28&lt;0,-'RF by Location &lt;-INPUT'!C28,0)</f>
        <v>0</v>
      </c>
      <c r="F13" s="90">
        <f>IF('RF by Location &lt;-INPUT'!C28&gt;0,'RF by Location &lt;-INPUT'!C28,0)</f>
        <v>0</v>
      </c>
    </row>
    <row r="14" spans="1:8" x14ac:dyDescent="0.25">
      <c r="A14" s="51"/>
      <c r="B14" s="53" t="s">
        <v>76</v>
      </c>
      <c r="C14" s="53" t="s">
        <v>267</v>
      </c>
      <c r="D14" s="52" t="s">
        <v>205</v>
      </c>
      <c r="E14" s="90">
        <f>F15</f>
        <v>0</v>
      </c>
      <c r="F14" s="90">
        <f>E15</f>
        <v>60000</v>
      </c>
    </row>
    <row r="15" spans="1:8" x14ac:dyDescent="0.25">
      <c r="A15" s="51"/>
      <c r="B15" s="53" t="s">
        <v>20</v>
      </c>
      <c r="C15" s="53" t="s">
        <v>267</v>
      </c>
      <c r="D15" s="52" t="s">
        <v>206</v>
      </c>
      <c r="E15" s="90">
        <f>IF('Clinic 7'!M128&lt;0,-'Clinic 7'!M128,0)</f>
        <v>60000</v>
      </c>
      <c r="F15" s="90">
        <f>IF('Clinic 7'!M128&gt;0,'Clinic 7'!M128,0)</f>
        <v>0</v>
      </c>
    </row>
    <row r="16" spans="1:8" x14ac:dyDescent="0.25">
      <c r="A16" s="51"/>
      <c r="B16" s="53" t="s">
        <v>77</v>
      </c>
      <c r="C16" s="53" t="s">
        <v>267</v>
      </c>
      <c r="D16" s="52" t="s">
        <v>207</v>
      </c>
      <c r="E16" s="90">
        <f>IF('Clinic 7'!M66&lt;0,-'Clinic 7'!M66,0)</f>
        <v>60000</v>
      </c>
      <c r="F16" s="90">
        <f>IF('Clinic 7'!M66&gt;0,'Clinic 7'!M66,0)</f>
        <v>0</v>
      </c>
      <c r="G16" s="55"/>
    </row>
    <row r="17" spans="1:7" x14ac:dyDescent="0.25">
      <c r="A17" s="51"/>
      <c r="B17" s="53" t="s">
        <v>75</v>
      </c>
      <c r="C17" s="53" t="s">
        <v>267</v>
      </c>
      <c r="D17" s="52" t="s">
        <v>203</v>
      </c>
      <c r="E17" s="90">
        <f>IF('RF by Location &lt;-INPUT'!D28+'RF by Location &lt;-INPUT'!H28&lt;0,-('RF by Location &lt;-INPUT'!D28+'RF by Location &lt;-INPUT'!H28),0)</f>
        <v>0</v>
      </c>
      <c r="F17" s="90">
        <f>IF('RF by Location &lt;-INPUT'!D28+'RF by Location &lt;-INPUT'!H28&gt;0,'RF by Location &lt;-INPUT'!D28+'RF by Location &lt;-INPUT'!H28,0)</f>
        <v>0</v>
      </c>
      <c r="G17" s="24"/>
    </row>
    <row r="18" spans="1:7" x14ac:dyDescent="0.25">
      <c r="A18" s="51"/>
      <c r="B18" s="53" t="s">
        <v>78</v>
      </c>
      <c r="C18" s="53" t="s">
        <v>267</v>
      </c>
      <c r="D18" s="52" t="s">
        <v>208</v>
      </c>
      <c r="E18" s="90">
        <f>IF((F17+F16-E16-E19+F19)&gt;0,(F17+F16-E16-E19+F19),0)</f>
        <v>0</v>
      </c>
      <c r="F18" s="90">
        <f>IF((F17+F16-E16-E19+F19)&lt;0,-(F17+F16-E16-E19+F19),0)</f>
        <v>60000</v>
      </c>
      <c r="G18" s="56"/>
    </row>
    <row r="19" spans="1:7" x14ac:dyDescent="0.25">
      <c r="A19" s="51"/>
      <c r="B19" s="53" t="s">
        <v>79</v>
      </c>
      <c r="C19" s="53" t="s">
        <v>267</v>
      </c>
      <c r="D19" s="52" t="s">
        <v>205</v>
      </c>
      <c r="E19" s="90">
        <f>'Bad Debt Detail &lt;-INPUT'!I64</f>
        <v>0</v>
      </c>
      <c r="F19" s="90">
        <v>0</v>
      </c>
    </row>
    <row r="20" spans="1:7" x14ac:dyDescent="0.25">
      <c r="A20" s="51"/>
      <c r="B20" s="51"/>
      <c r="C20" s="53"/>
      <c r="D20" s="52"/>
      <c r="E20" s="54"/>
      <c r="F20" s="54"/>
    </row>
    <row r="21" spans="1:7" x14ac:dyDescent="0.25">
      <c r="A21" s="51"/>
      <c r="B21" s="51"/>
      <c r="C21" s="53"/>
      <c r="D21" s="52"/>
      <c r="E21" s="54"/>
      <c r="F21" s="54"/>
    </row>
    <row r="22" spans="1:7" x14ac:dyDescent="0.25">
      <c r="A22" s="52"/>
      <c r="B22" s="52"/>
      <c r="C22" s="53"/>
      <c r="D22" s="52"/>
      <c r="E22" s="54"/>
      <c r="F22" s="54"/>
    </row>
    <row r="23" spans="1:7" x14ac:dyDescent="0.25">
      <c r="C23" s="57" t="s">
        <v>80</v>
      </c>
      <c r="D23" s="35"/>
      <c r="E23" s="58">
        <f>SUM(E11:E22)</f>
        <v>120000</v>
      </c>
      <c r="F23" s="58">
        <f>SUM(F11:F22)</f>
        <v>120000</v>
      </c>
    </row>
    <row r="24" spans="1:7" x14ac:dyDescent="0.25">
      <c r="D24" s="35"/>
    </row>
    <row r="25" spans="1:7" x14ac:dyDescent="0.25">
      <c r="A25" s="44" t="s">
        <v>81</v>
      </c>
      <c r="B25" s="44"/>
      <c r="D25" s="35"/>
    </row>
    <row r="26" spans="1:7" x14ac:dyDescent="0.25">
      <c r="C26" s="15"/>
      <c r="D26" s="59"/>
      <c r="E26" s="15"/>
    </row>
    <row r="27" spans="1:7" x14ac:dyDescent="0.25">
      <c r="C27" s="61"/>
      <c r="D27" s="60"/>
      <c r="E27" s="61"/>
    </row>
    <row r="28" spans="1:7" x14ac:dyDescent="0.25">
      <c r="C28" s="61"/>
      <c r="D28" s="60"/>
      <c r="E28" s="61"/>
    </row>
    <row r="29" spans="1:7" x14ac:dyDescent="0.25">
      <c r="D29" s="35"/>
    </row>
    <row r="30" spans="1:7" x14ac:dyDescent="0.25">
      <c r="A30" s="62" t="s">
        <v>82</v>
      </c>
      <c r="B30" s="62"/>
      <c r="D30" s="63"/>
    </row>
    <row r="31" spans="1:7" x14ac:dyDescent="0.25">
      <c r="A31" s="65" t="s">
        <v>83</v>
      </c>
      <c r="B31" s="65"/>
      <c r="D31" s="61"/>
    </row>
  </sheetData>
  <pageMargins left="0.7" right="0.7" top="0.75" bottom="0.75" header="0.3" footer="0.3"/>
  <pageSetup scale="77"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9">
    <tabColor theme="9"/>
  </sheetPr>
  <dimension ref="A1:H25"/>
  <sheetViews>
    <sheetView topLeftCell="A7" zoomScaleNormal="100" workbookViewId="0">
      <selection activeCell="E38" sqref="E38"/>
    </sheetView>
  </sheetViews>
  <sheetFormatPr defaultColWidth="9.140625" defaultRowHeight="15" x14ac:dyDescent="0.25"/>
  <cols>
    <col min="1" max="1" width="18.7109375" customWidth="1"/>
    <col min="2" max="2" width="15.7109375" customWidth="1"/>
    <col min="3" max="3" width="30.7109375" customWidth="1"/>
    <col min="4" max="5" width="18.7109375" customWidth="1"/>
  </cols>
  <sheetData>
    <row r="1" spans="1:8" x14ac:dyDescent="0.25">
      <c r="B1" s="35"/>
      <c r="F1" s="64"/>
      <c r="H1" s="31"/>
    </row>
    <row r="2" spans="1:8" ht="15.75" thickBot="1" x14ac:dyDescent="0.3">
      <c r="B2" s="35"/>
      <c r="D2" s="44" t="s">
        <v>65</v>
      </c>
      <c r="E2" s="43" t="str">
        <f>'Clinic 1 1-16 Rev Entry'!F2</f>
        <v>Biocorrect</v>
      </c>
      <c r="H2" s="31"/>
    </row>
    <row r="3" spans="1:8" x14ac:dyDescent="0.25">
      <c r="B3" s="35"/>
      <c r="E3" s="35"/>
      <c r="H3" s="31"/>
    </row>
    <row r="4" spans="1:8" ht="15.75" thickBot="1" x14ac:dyDescent="0.3">
      <c r="B4" s="35"/>
      <c r="D4" s="44" t="s">
        <v>66</v>
      </c>
      <c r="E4" s="45">
        <f>'Clinic 1 1-16 Rev Entry'!F4</f>
        <v>45199</v>
      </c>
    </row>
    <row r="5" spans="1:8" x14ac:dyDescent="0.25">
      <c r="B5" s="35"/>
    </row>
    <row r="6" spans="1:8" ht="15.75" thickBot="1" x14ac:dyDescent="0.3">
      <c r="B6" s="35"/>
      <c r="D6" s="44" t="s">
        <v>67</v>
      </c>
      <c r="E6" s="43" t="s">
        <v>149</v>
      </c>
    </row>
    <row r="7" spans="1:8" ht="18" x14ac:dyDescent="0.25">
      <c r="A7" s="46" t="s">
        <v>68</v>
      </c>
      <c r="B7" s="35"/>
    </row>
    <row r="8" spans="1:8" ht="15.75" thickBot="1" x14ac:dyDescent="0.3">
      <c r="B8" s="35"/>
      <c r="D8" s="44" t="s">
        <v>69</v>
      </c>
      <c r="E8" s="47"/>
    </row>
    <row r="9" spans="1:8" x14ac:dyDescent="0.25">
      <c r="B9" s="35"/>
      <c r="E9" t="s">
        <v>53</v>
      </c>
    </row>
    <row r="10" spans="1:8" x14ac:dyDescent="0.25">
      <c r="A10" s="48" t="s">
        <v>70</v>
      </c>
      <c r="B10" s="49" t="s">
        <v>71</v>
      </c>
      <c r="C10" s="49" t="s">
        <v>72</v>
      </c>
      <c r="D10" s="49" t="s">
        <v>73</v>
      </c>
      <c r="E10" s="49" t="s">
        <v>74</v>
      </c>
      <c r="F10" s="50"/>
    </row>
    <row r="11" spans="1:8" x14ac:dyDescent="0.25">
      <c r="A11" s="51"/>
      <c r="B11" s="52"/>
      <c r="C11" s="53"/>
      <c r="D11" s="54"/>
      <c r="E11" s="54"/>
    </row>
    <row r="12" spans="1:8" x14ac:dyDescent="0.25">
      <c r="A12" s="51">
        <f>E4</f>
        <v>45199</v>
      </c>
      <c r="B12" s="52" t="s">
        <v>45</v>
      </c>
      <c r="C12" s="53" t="s">
        <v>110</v>
      </c>
      <c r="D12" s="90">
        <f>E13</f>
        <v>0</v>
      </c>
      <c r="E12" s="90">
        <f>D13</f>
        <v>0</v>
      </c>
    </row>
    <row r="13" spans="1:8" x14ac:dyDescent="0.25">
      <c r="A13" s="51"/>
      <c r="B13" s="52" t="s">
        <v>203</v>
      </c>
      <c r="C13" s="53" t="s">
        <v>111</v>
      </c>
      <c r="D13" s="90">
        <f>IF('RF by Location &lt;-INPUT'!E28+'RF by Location &lt;-INPUT'!F28+'RF by Location &lt;-INPUT'!G28&lt;0,-('RF by Location &lt;-INPUT'!E28+'RF by Location &lt;-INPUT'!F28+'RF by Location &lt;-INPUT'!G28),0)</f>
        <v>0</v>
      </c>
      <c r="E13" s="90">
        <f>IF('RF by Location &lt;-INPUT'!E28+'RF by Location &lt;-INPUT'!F28+'RF by Location &lt;-INPUT'!G28&gt;0,'RF by Location &lt;-INPUT'!E28+'RF by Location &lt;-INPUT'!F28+'RF by Location &lt;-INPUT'!G28,0)</f>
        <v>0</v>
      </c>
    </row>
    <row r="14" spans="1:8" x14ac:dyDescent="0.25">
      <c r="A14" s="51"/>
      <c r="B14" s="52"/>
      <c r="C14" s="53"/>
      <c r="D14" s="54"/>
      <c r="E14" s="54"/>
    </row>
    <row r="15" spans="1:8" x14ac:dyDescent="0.25">
      <c r="A15" s="51"/>
      <c r="B15" s="52"/>
      <c r="C15" s="53"/>
      <c r="D15" s="54"/>
      <c r="E15" s="54"/>
    </row>
    <row r="16" spans="1:8" x14ac:dyDescent="0.25">
      <c r="A16" s="52"/>
      <c r="B16" s="52"/>
      <c r="C16" s="53"/>
      <c r="D16" s="54"/>
      <c r="E16" s="54"/>
    </row>
    <row r="17" spans="1:5" x14ac:dyDescent="0.25">
      <c r="B17" s="35"/>
      <c r="C17" s="57" t="s">
        <v>80</v>
      </c>
      <c r="D17" s="58">
        <f>SUM(D11:D16)</f>
        <v>0</v>
      </c>
      <c r="E17" s="58">
        <f>SUM(E11:E16)</f>
        <v>0</v>
      </c>
    </row>
    <row r="18" spans="1:5" x14ac:dyDescent="0.25">
      <c r="B18" s="35"/>
    </row>
    <row r="19" spans="1:5" x14ac:dyDescent="0.25">
      <c r="A19" s="44" t="s">
        <v>81</v>
      </c>
      <c r="B19" s="35"/>
    </row>
    <row r="20" spans="1:5" x14ac:dyDescent="0.25">
      <c r="B20" s="59"/>
      <c r="C20" s="15"/>
      <c r="D20" s="15"/>
    </row>
    <row r="21" spans="1:5" x14ac:dyDescent="0.25">
      <c r="B21" s="60"/>
      <c r="C21" s="61"/>
      <c r="D21" s="61"/>
    </row>
    <row r="22" spans="1:5" x14ac:dyDescent="0.25">
      <c r="B22" s="60"/>
      <c r="C22" s="61"/>
      <c r="D22" s="61"/>
    </row>
    <row r="23" spans="1:5" x14ac:dyDescent="0.25">
      <c r="B23" s="35"/>
    </row>
    <row r="24" spans="1:5" x14ac:dyDescent="0.25">
      <c r="A24" s="62" t="s">
        <v>82</v>
      </c>
      <c r="B24" s="63"/>
    </row>
    <row r="25" spans="1:5" x14ac:dyDescent="0.25">
      <c r="A25" s="65" t="s">
        <v>83</v>
      </c>
      <c r="B25" s="61"/>
    </row>
  </sheetData>
  <pageMargins left="0.7" right="0.7" top="0.75" bottom="0.75" header="0.3" footer="0.3"/>
  <pageSetup scale="88"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0">
    <tabColor theme="9"/>
  </sheetPr>
  <dimension ref="A1:H31"/>
  <sheetViews>
    <sheetView zoomScale="85" zoomScaleNormal="85" workbookViewId="0">
      <selection activeCell="E38" sqref="E38"/>
    </sheetView>
  </sheetViews>
  <sheetFormatPr defaultColWidth="9.140625" defaultRowHeight="15" x14ac:dyDescent="0.25"/>
  <cols>
    <col min="1" max="1" width="18.7109375" customWidth="1"/>
    <col min="2" max="3" width="22.7109375" customWidth="1"/>
    <col min="4" max="4" width="15.7109375" customWidth="1"/>
    <col min="5" max="6" width="18.7109375" customWidth="1"/>
  </cols>
  <sheetData>
    <row r="1" spans="1:8" x14ac:dyDescent="0.25">
      <c r="D1" s="35"/>
      <c r="G1" s="64"/>
      <c r="H1" s="31"/>
    </row>
    <row r="2" spans="1:8" ht="15.75" thickBot="1" x14ac:dyDescent="0.3">
      <c r="D2" s="35"/>
      <c r="E2" s="44" t="s">
        <v>65</v>
      </c>
      <c r="F2" s="43" t="str">
        <f>'Reimbursement Rates &lt;-INPUT'!A2</f>
        <v>Biocorrect</v>
      </c>
      <c r="H2" s="31"/>
    </row>
    <row r="3" spans="1:8" x14ac:dyDescent="0.25">
      <c r="D3" s="35"/>
      <c r="F3" s="35"/>
      <c r="H3" s="31"/>
    </row>
    <row r="4" spans="1:8" ht="15.75" thickBot="1" x14ac:dyDescent="0.3">
      <c r="D4" s="35"/>
      <c r="E4" s="44" t="s">
        <v>66</v>
      </c>
      <c r="F4" s="111">
        <f>'Agile AR Aging &lt;-INPUT'!C20</f>
        <v>45199</v>
      </c>
    </row>
    <row r="5" spans="1:8" x14ac:dyDescent="0.25">
      <c r="D5" s="35"/>
    </row>
    <row r="6" spans="1:8" ht="15.75" thickBot="1" x14ac:dyDescent="0.3">
      <c r="D6" s="35"/>
      <c r="E6" s="44" t="s">
        <v>67</v>
      </c>
      <c r="F6" s="43" t="s">
        <v>149</v>
      </c>
    </row>
    <row r="7" spans="1:8" ht="18" x14ac:dyDescent="0.25">
      <c r="A7" s="46" t="s">
        <v>68</v>
      </c>
      <c r="B7" s="46"/>
      <c r="D7" s="35"/>
    </row>
    <row r="8" spans="1:8" ht="15.75" thickBot="1" x14ac:dyDescent="0.3">
      <c r="D8" s="35"/>
      <c r="E8" s="44" t="s">
        <v>69</v>
      </c>
      <c r="F8" s="47"/>
    </row>
    <row r="9" spans="1:8" x14ac:dyDescent="0.25">
      <c r="D9" s="35"/>
      <c r="F9" t="s">
        <v>53</v>
      </c>
    </row>
    <row r="10" spans="1:8" x14ac:dyDescent="0.25">
      <c r="A10" s="48" t="s">
        <v>70</v>
      </c>
      <c r="B10" s="48" t="s">
        <v>266</v>
      </c>
      <c r="C10" s="49" t="s">
        <v>72</v>
      </c>
      <c r="D10" s="49" t="s">
        <v>71</v>
      </c>
      <c r="E10" s="49" t="s">
        <v>73</v>
      </c>
      <c r="F10" s="49" t="s">
        <v>74</v>
      </c>
      <c r="G10" s="50"/>
    </row>
    <row r="11" spans="1:8" x14ac:dyDescent="0.25">
      <c r="A11" s="51"/>
      <c r="B11" s="51"/>
      <c r="C11" s="53"/>
      <c r="D11" s="52"/>
      <c r="E11" s="54"/>
      <c r="F11" s="54"/>
    </row>
    <row r="12" spans="1:8" x14ac:dyDescent="0.25">
      <c r="A12" s="51">
        <f>F4</f>
        <v>45199</v>
      </c>
      <c r="B12" s="53" t="s">
        <v>75</v>
      </c>
      <c r="C12" s="53" t="s">
        <v>267</v>
      </c>
      <c r="D12" s="52" t="s">
        <v>203</v>
      </c>
      <c r="E12" s="90">
        <f>F13</f>
        <v>0</v>
      </c>
      <c r="F12" s="90">
        <f>E13</f>
        <v>0</v>
      </c>
    </row>
    <row r="13" spans="1:8" x14ac:dyDescent="0.25">
      <c r="A13" s="51"/>
      <c r="B13" s="53" t="s">
        <v>150</v>
      </c>
      <c r="C13" s="53" t="s">
        <v>267</v>
      </c>
      <c r="D13" s="52" t="s">
        <v>204</v>
      </c>
      <c r="E13" s="90">
        <f>IF('RF by Location &lt;-INPUT'!C29&lt;0,-'RF by Location &lt;-INPUT'!C29,0)</f>
        <v>0</v>
      </c>
      <c r="F13" s="90">
        <f>IF('RF by Location &lt;-INPUT'!C29&gt;0,'RF by Location &lt;-INPUT'!C29,0)</f>
        <v>0</v>
      </c>
    </row>
    <row r="14" spans="1:8" x14ac:dyDescent="0.25">
      <c r="A14" s="51"/>
      <c r="B14" s="53" t="s">
        <v>76</v>
      </c>
      <c r="C14" s="53" t="s">
        <v>267</v>
      </c>
      <c r="D14" s="52" t="s">
        <v>205</v>
      </c>
      <c r="E14" s="90">
        <f>F15</f>
        <v>0</v>
      </c>
      <c r="F14" s="90">
        <f>E15</f>
        <v>60000</v>
      </c>
    </row>
    <row r="15" spans="1:8" x14ac:dyDescent="0.25">
      <c r="A15" s="51"/>
      <c r="B15" s="53" t="s">
        <v>20</v>
      </c>
      <c r="C15" s="53" t="s">
        <v>267</v>
      </c>
      <c r="D15" s="52" t="s">
        <v>206</v>
      </c>
      <c r="E15" s="90">
        <f>IF('Clinic 8'!M128&lt;0,-'Clinic 8'!M128,0)</f>
        <v>60000</v>
      </c>
      <c r="F15" s="90">
        <f>IF('Clinic 8'!M128&gt;0,'Clinic 8'!M128,0)</f>
        <v>0</v>
      </c>
    </row>
    <row r="16" spans="1:8" x14ac:dyDescent="0.25">
      <c r="A16" s="51"/>
      <c r="B16" s="53" t="s">
        <v>77</v>
      </c>
      <c r="C16" s="53" t="s">
        <v>267</v>
      </c>
      <c r="D16" s="52" t="s">
        <v>207</v>
      </c>
      <c r="E16" s="90">
        <f>IF('Clinic 8'!M66&lt;0,-'Clinic 8'!M66,0)</f>
        <v>60000</v>
      </c>
      <c r="F16" s="90">
        <f>IF('Clinic 8'!M66&gt;0,'Clinic 8'!M66,0)</f>
        <v>0</v>
      </c>
      <c r="G16" s="55"/>
    </row>
    <row r="17" spans="1:7" x14ac:dyDescent="0.25">
      <c r="A17" s="51"/>
      <c r="B17" s="53" t="s">
        <v>75</v>
      </c>
      <c r="C17" s="53" t="s">
        <v>267</v>
      </c>
      <c r="D17" s="52" t="s">
        <v>203</v>
      </c>
      <c r="E17" s="90">
        <f>IF('RF by Location &lt;-INPUT'!D29+'RF by Location &lt;-INPUT'!H29&lt;0,-('RF by Location &lt;-INPUT'!D29+'RF by Location &lt;-INPUT'!H29),0)</f>
        <v>0</v>
      </c>
      <c r="F17" s="90">
        <f>IF('RF by Location &lt;-INPUT'!D29+'RF by Location &lt;-INPUT'!H29&gt;0,'RF by Location &lt;-INPUT'!D29+'RF by Location &lt;-INPUT'!H29,0)</f>
        <v>0</v>
      </c>
      <c r="G17" s="24"/>
    </row>
    <row r="18" spans="1:7" x14ac:dyDescent="0.25">
      <c r="A18" s="51"/>
      <c r="B18" s="53" t="s">
        <v>78</v>
      </c>
      <c r="C18" s="53" t="s">
        <v>267</v>
      </c>
      <c r="D18" s="52" t="s">
        <v>208</v>
      </c>
      <c r="E18" s="90">
        <f>IF((F17+F16-E16-E19+F19)&gt;0,(F17+F16-E16-E19+F19),0)</f>
        <v>0</v>
      </c>
      <c r="F18" s="90">
        <f>IF((F17+F16-E16-E19+F19)&lt;0,-(F17+F16-E16-E19+F19),0)</f>
        <v>60000</v>
      </c>
      <c r="G18" s="56"/>
    </row>
    <row r="19" spans="1:7" x14ac:dyDescent="0.25">
      <c r="A19" s="51"/>
      <c r="B19" s="53" t="s">
        <v>79</v>
      </c>
      <c r="C19" s="53" t="s">
        <v>267</v>
      </c>
      <c r="D19" s="52" t="s">
        <v>205</v>
      </c>
      <c r="E19" s="90">
        <f>'Bad Debt Detail &lt;-INPUT'!J64</f>
        <v>0</v>
      </c>
      <c r="F19" s="90">
        <v>0</v>
      </c>
    </row>
    <row r="20" spans="1:7" x14ac:dyDescent="0.25">
      <c r="A20" s="51"/>
      <c r="B20" s="51"/>
      <c r="C20" s="53"/>
      <c r="D20" s="52"/>
      <c r="E20" s="54"/>
      <c r="F20" s="54"/>
    </row>
    <row r="21" spans="1:7" x14ac:dyDescent="0.25">
      <c r="A21" s="51"/>
      <c r="B21" s="51"/>
      <c r="C21" s="53"/>
      <c r="D21" s="52"/>
      <c r="E21" s="54"/>
      <c r="F21" s="54"/>
    </row>
    <row r="22" spans="1:7" x14ac:dyDescent="0.25">
      <c r="A22" s="52"/>
      <c r="B22" s="52"/>
      <c r="C22" s="53"/>
      <c r="D22" s="52"/>
      <c r="E22" s="54"/>
      <c r="F22" s="54"/>
    </row>
    <row r="23" spans="1:7" x14ac:dyDescent="0.25">
      <c r="C23" s="57" t="s">
        <v>80</v>
      </c>
      <c r="D23" s="35"/>
      <c r="E23" s="58">
        <f>SUM(E11:E22)</f>
        <v>120000</v>
      </c>
      <c r="F23" s="58">
        <f>SUM(F11:F22)</f>
        <v>120000</v>
      </c>
    </row>
    <row r="24" spans="1:7" x14ac:dyDescent="0.25">
      <c r="D24" s="35"/>
    </row>
    <row r="25" spans="1:7" x14ac:dyDescent="0.25">
      <c r="A25" s="44" t="s">
        <v>81</v>
      </c>
      <c r="B25" s="44"/>
      <c r="D25" s="35"/>
    </row>
    <row r="26" spans="1:7" x14ac:dyDescent="0.25">
      <c r="C26" s="15"/>
      <c r="D26" s="59"/>
      <c r="E26" s="15"/>
    </row>
    <row r="27" spans="1:7" x14ac:dyDescent="0.25">
      <c r="C27" s="61"/>
      <c r="D27" s="60"/>
      <c r="E27" s="61"/>
    </row>
    <row r="28" spans="1:7" x14ac:dyDescent="0.25">
      <c r="C28" s="61"/>
      <c r="D28" s="60"/>
      <c r="E28" s="61"/>
    </row>
    <row r="29" spans="1:7" x14ac:dyDescent="0.25">
      <c r="D29" s="35"/>
    </row>
    <row r="30" spans="1:7" x14ac:dyDescent="0.25">
      <c r="A30" s="62" t="s">
        <v>82</v>
      </c>
      <c r="B30" s="62"/>
      <c r="D30" s="63"/>
    </row>
    <row r="31" spans="1:7" x14ac:dyDescent="0.25">
      <c r="A31" s="65" t="s">
        <v>83</v>
      </c>
      <c r="B31" s="65"/>
      <c r="D31" s="61"/>
    </row>
  </sheetData>
  <pageMargins left="0.7" right="0.7" top="0.75" bottom="0.75" header="0.3" footer="0.3"/>
  <pageSetup scale="77"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1">
    <tabColor theme="9"/>
  </sheetPr>
  <dimension ref="A1:H25"/>
  <sheetViews>
    <sheetView zoomScaleNormal="100" workbookViewId="0">
      <selection activeCell="E38" sqref="E38"/>
    </sheetView>
  </sheetViews>
  <sheetFormatPr defaultColWidth="9.140625" defaultRowHeight="15" x14ac:dyDescent="0.25"/>
  <cols>
    <col min="1" max="1" width="18.7109375" customWidth="1"/>
    <col min="2" max="2" width="15.7109375" customWidth="1"/>
    <col min="3" max="3" width="30.7109375" customWidth="1"/>
    <col min="4" max="5" width="18.7109375" customWidth="1"/>
  </cols>
  <sheetData>
    <row r="1" spans="1:8" x14ac:dyDescent="0.25">
      <c r="B1" s="35"/>
      <c r="F1" s="64"/>
      <c r="H1" s="31"/>
    </row>
    <row r="2" spans="1:8" ht="15.75" thickBot="1" x14ac:dyDescent="0.3">
      <c r="B2" s="35"/>
      <c r="D2" s="44" t="s">
        <v>65</v>
      </c>
      <c r="E2" s="43" t="str">
        <f>'Clinic 1 1-16 Rev Entry'!F2</f>
        <v>Biocorrect</v>
      </c>
      <c r="H2" s="31"/>
    </row>
    <row r="3" spans="1:8" x14ac:dyDescent="0.25">
      <c r="B3" s="35"/>
      <c r="E3" s="35"/>
      <c r="H3" s="31"/>
    </row>
    <row r="4" spans="1:8" ht="15.75" thickBot="1" x14ac:dyDescent="0.3">
      <c r="B4" s="35"/>
      <c r="D4" s="44" t="s">
        <v>66</v>
      </c>
      <c r="E4" s="45">
        <f>'Clinic 1 1-16 Rev Entry'!F4</f>
        <v>45199</v>
      </c>
    </row>
    <row r="5" spans="1:8" x14ac:dyDescent="0.25">
      <c r="B5" s="35"/>
    </row>
    <row r="6" spans="1:8" ht="15.75" thickBot="1" x14ac:dyDescent="0.3">
      <c r="B6" s="35"/>
      <c r="D6" s="44" t="s">
        <v>67</v>
      </c>
      <c r="E6" s="43" t="s">
        <v>149</v>
      </c>
    </row>
    <row r="7" spans="1:8" ht="18" x14ac:dyDescent="0.25">
      <c r="A7" s="46" t="s">
        <v>68</v>
      </c>
      <c r="B7" s="35"/>
    </row>
    <row r="8" spans="1:8" ht="15.75" thickBot="1" x14ac:dyDescent="0.3">
      <c r="B8" s="35"/>
      <c r="D8" s="44" t="s">
        <v>69</v>
      </c>
      <c r="E8" s="47"/>
    </row>
    <row r="9" spans="1:8" x14ac:dyDescent="0.25">
      <c r="B9" s="35"/>
      <c r="E9" t="s">
        <v>53</v>
      </c>
    </row>
    <row r="10" spans="1:8" x14ac:dyDescent="0.25">
      <c r="A10" s="48" t="s">
        <v>70</v>
      </c>
      <c r="B10" s="49" t="s">
        <v>71</v>
      </c>
      <c r="C10" s="49" t="s">
        <v>72</v>
      </c>
      <c r="D10" s="49" t="s">
        <v>73</v>
      </c>
      <c r="E10" s="49" t="s">
        <v>74</v>
      </c>
      <c r="F10" s="50"/>
    </row>
    <row r="11" spans="1:8" x14ac:dyDescent="0.25">
      <c r="A11" s="51"/>
      <c r="B11" s="52"/>
      <c r="C11" s="53"/>
      <c r="D11" s="54"/>
      <c r="E11" s="54"/>
    </row>
    <row r="12" spans="1:8" x14ac:dyDescent="0.25">
      <c r="A12" s="51">
        <f>E4</f>
        <v>45199</v>
      </c>
      <c r="B12" s="52" t="s">
        <v>45</v>
      </c>
      <c r="C12" s="53" t="s">
        <v>110</v>
      </c>
      <c r="D12" s="90">
        <f>E13</f>
        <v>0</v>
      </c>
      <c r="E12" s="90">
        <f>D13</f>
        <v>0</v>
      </c>
    </row>
    <row r="13" spans="1:8" x14ac:dyDescent="0.25">
      <c r="A13" s="51"/>
      <c r="B13" s="52" t="s">
        <v>203</v>
      </c>
      <c r="C13" s="53" t="s">
        <v>111</v>
      </c>
      <c r="D13" s="90">
        <f>IF('RF by Location &lt;-INPUT'!E29+'RF by Location &lt;-INPUT'!F29+'RF by Location &lt;-INPUT'!G29&lt;0,-('RF by Location &lt;-INPUT'!E29+'RF by Location &lt;-INPUT'!F29+'RF by Location &lt;-INPUT'!G29),0)</f>
        <v>0</v>
      </c>
      <c r="E13" s="90">
        <f>IF('RF by Location &lt;-INPUT'!E29+'RF by Location &lt;-INPUT'!F29+'RF by Location &lt;-INPUT'!G29&gt;0,'RF by Location &lt;-INPUT'!E29+'RF by Location &lt;-INPUT'!F29+'RF by Location &lt;-INPUT'!G29,0)</f>
        <v>0</v>
      </c>
    </row>
    <row r="14" spans="1:8" x14ac:dyDescent="0.25">
      <c r="A14" s="51"/>
      <c r="B14" s="52"/>
      <c r="C14" s="53"/>
      <c r="D14" s="54"/>
      <c r="E14" s="54"/>
    </row>
    <row r="15" spans="1:8" x14ac:dyDescent="0.25">
      <c r="A15" s="51"/>
      <c r="B15" s="52"/>
      <c r="C15" s="53"/>
      <c r="D15" s="54"/>
      <c r="E15" s="54"/>
    </row>
    <row r="16" spans="1:8" x14ac:dyDescent="0.25">
      <c r="A16" s="52"/>
      <c r="B16" s="52"/>
      <c r="C16" s="53"/>
      <c r="D16" s="54"/>
      <c r="E16" s="54"/>
    </row>
    <row r="17" spans="1:5" x14ac:dyDescent="0.25">
      <c r="B17" s="35"/>
      <c r="C17" s="57" t="s">
        <v>80</v>
      </c>
      <c r="D17" s="58">
        <f>SUM(D11:D16)</f>
        <v>0</v>
      </c>
      <c r="E17" s="58">
        <f>SUM(E11:E16)</f>
        <v>0</v>
      </c>
    </row>
    <row r="18" spans="1:5" x14ac:dyDescent="0.25">
      <c r="B18" s="35"/>
    </row>
    <row r="19" spans="1:5" x14ac:dyDescent="0.25">
      <c r="A19" s="44" t="s">
        <v>81</v>
      </c>
      <c r="B19" s="35"/>
    </row>
    <row r="20" spans="1:5" x14ac:dyDescent="0.25">
      <c r="B20" s="59"/>
      <c r="C20" s="15"/>
      <c r="D20" s="15"/>
    </row>
    <row r="21" spans="1:5" x14ac:dyDescent="0.25">
      <c r="B21" s="60"/>
      <c r="C21" s="61"/>
      <c r="D21" s="61"/>
    </row>
    <row r="22" spans="1:5" x14ac:dyDescent="0.25">
      <c r="B22" s="60"/>
      <c r="C22" s="61"/>
      <c r="D22" s="61"/>
    </row>
    <row r="23" spans="1:5" x14ac:dyDescent="0.25">
      <c r="B23" s="35"/>
    </row>
    <row r="24" spans="1:5" x14ac:dyDescent="0.25">
      <c r="A24" s="62" t="s">
        <v>82</v>
      </c>
      <c r="B24" s="63"/>
    </row>
    <row r="25" spans="1:5" x14ac:dyDescent="0.25">
      <c r="A25" s="65" t="s">
        <v>83</v>
      </c>
      <c r="B25" s="61"/>
    </row>
  </sheetData>
  <pageMargins left="0.7" right="0.7" top="0.75" bottom="0.75" header="0.3" footer="0.3"/>
  <pageSetup scale="88"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2">
    <tabColor theme="9"/>
  </sheetPr>
  <dimension ref="A1:H31"/>
  <sheetViews>
    <sheetView zoomScale="85" zoomScaleNormal="85" workbookViewId="0">
      <selection activeCell="E38" sqref="E38"/>
    </sheetView>
  </sheetViews>
  <sheetFormatPr defaultColWidth="9.140625" defaultRowHeight="15" x14ac:dyDescent="0.25"/>
  <cols>
    <col min="1" max="1" width="18.7109375" customWidth="1"/>
    <col min="2" max="3" width="22.7109375" customWidth="1"/>
    <col min="4" max="4" width="15.7109375" customWidth="1"/>
    <col min="5" max="6" width="18.7109375" customWidth="1"/>
  </cols>
  <sheetData>
    <row r="1" spans="1:8" x14ac:dyDescent="0.25">
      <c r="D1" s="35"/>
      <c r="G1" s="64"/>
      <c r="H1" s="31"/>
    </row>
    <row r="2" spans="1:8" ht="15.75" thickBot="1" x14ac:dyDescent="0.3">
      <c r="D2" s="35"/>
      <c r="E2" s="44" t="s">
        <v>65</v>
      </c>
      <c r="F2" s="43" t="str">
        <f>'Reimbursement Rates &lt;-INPUT'!A2</f>
        <v>Biocorrect</v>
      </c>
      <c r="H2" s="31"/>
    </row>
    <row r="3" spans="1:8" x14ac:dyDescent="0.25">
      <c r="D3" s="35"/>
      <c r="F3" s="35"/>
      <c r="H3" s="31"/>
    </row>
    <row r="4" spans="1:8" ht="15.75" thickBot="1" x14ac:dyDescent="0.3">
      <c r="D4" s="35"/>
      <c r="E4" s="44" t="s">
        <v>66</v>
      </c>
      <c r="F4" s="111">
        <f>'Agile AR Aging &lt;-INPUT'!C20</f>
        <v>45199</v>
      </c>
    </row>
    <row r="5" spans="1:8" x14ac:dyDescent="0.25">
      <c r="D5" s="35"/>
    </row>
    <row r="6" spans="1:8" ht="15.75" thickBot="1" x14ac:dyDescent="0.3">
      <c r="D6" s="35"/>
      <c r="E6" s="44" t="s">
        <v>67</v>
      </c>
      <c r="F6" s="43" t="s">
        <v>149</v>
      </c>
    </row>
    <row r="7" spans="1:8" ht="18" x14ac:dyDescent="0.25">
      <c r="A7" s="46" t="s">
        <v>68</v>
      </c>
      <c r="B7" s="46"/>
      <c r="D7" s="35"/>
    </row>
    <row r="8" spans="1:8" ht="15.75" thickBot="1" x14ac:dyDescent="0.3">
      <c r="D8" s="35"/>
      <c r="E8" s="44" t="s">
        <v>69</v>
      </c>
      <c r="F8" s="47"/>
    </row>
    <row r="9" spans="1:8" x14ac:dyDescent="0.25">
      <c r="D9" s="35"/>
      <c r="F9" t="s">
        <v>53</v>
      </c>
    </row>
    <row r="10" spans="1:8" x14ac:dyDescent="0.25">
      <c r="A10" s="48" t="s">
        <v>70</v>
      </c>
      <c r="B10" s="48" t="s">
        <v>266</v>
      </c>
      <c r="C10" s="49" t="s">
        <v>72</v>
      </c>
      <c r="D10" s="49" t="s">
        <v>71</v>
      </c>
      <c r="E10" s="49" t="s">
        <v>73</v>
      </c>
      <c r="F10" s="49" t="s">
        <v>74</v>
      </c>
      <c r="G10" s="50"/>
    </row>
    <row r="11" spans="1:8" x14ac:dyDescent="0.25">
      <c r="A11" s="51"/>
      <c r="B11" s="51"/>
      <c r="C11" s="53"/>
      <c r="D11" s="52"/>
      <c r="E11" s="54"/>
      <c r="F11" s="54"/>
    </row>
    <row r="12" spans="1:8" x14ac:dyDescent="0.25">
      <c r="A12" s="51">
        <f>F4</f>
        <v>45199</v>
      </c>
      <c r="B12" s="53" t="s">
        <v>75</v>
      </c>
      <c r="C12" s="53" t="s">
        <v>267</v>
      </c>
      <c r="D12" s="52" t="s">
        <v>203</v>
      </c>
      <c r="E12" s="90">
        <f>F13</f>
        <v>0</v>
      </c>
      <c r="F12" s="90">
        <f>E13</f>
        <v>0</v>
      </c>
    </row>
    <row r="13" spans="1:8" x14ac:dyDescent="0.25">
      <c r="A13" s="51"/>
      <c r="B13" s="53" t="s">
        <v>150</v>
      </c>
      <c r="C13" s="53" t="s">
        <v>267</v>
      </c>
      <c r="D13" s="52" t="s">
        <v>204</v>
      </c>
      <c r="E13" s="90">
        <f>IF('RF by Location &lt;-INPUT'!C30&lt;0,-'RF by Location &lt;-INPUT'!C30,0)</f>
        <v>0</v>
      </c>
      <c r="F13" s="90">
        <f>IF('RF by Location &lt;-INPUT'!C30&gt;0,'RF by Location &lt;-INPUT'!C30,0)</f>
        <v>0</v>
      </c>
    </row>
    <row r="14" spans="1:8" x14ac:dyDescent="0.25">
      <c r="A14" s="51"/>
      <c r="B14" s="53" t="s">
        <v>76</v>
      </c>
      <c r="C14" s="53" t="s">
        <v>267</v>
      </c>
      <c r="D14" s="52" t="s">
        <v>205</v>
      </c>
      <c r="E14" s="90">
        <f>F15</f>
        <v>0</v>
      </c>
      <c r="F14" s="90">
        <f>E15</f>
        <v>60000</v>
      </c>
    </row>
    <row r="15" spans="1:8" x14ac:dyDescent="0.25">
      <c r="A15" s="51"/>
      <c r="B15" s="53" t="s">
        <v>20</v>
      </c>
      <c r="C15" s="53" t="s">
        <v>267</v>
      </c>
      <c r="D15" s="52" t="s">
        <v>206</v>
      </c>
      <c r="E15" s="90">
        <f>IF('Clinic 9'!M128&lt;0,-'Clinic 9'!M128,0)</f>
        <v>60000</v>
      </c>
      <c r="F15" s="90">
        <f>IF('Clinic 9'!M128&gt;0,'Clinic 9'!M128,0)</f>
        <v>0</v>
      </c>
    </row>
    <row r="16" spans="1:8" x14ac:dyDescent="0.25">
      <c r="A16" s="51"/>
      <c r="B16" s="53" t="s">
        <v>77</v>
      </c>
      <c r="C16" s="53" t="s">
        <v>267</v>
      </c>
      <c r="D16" s="52" t="s">
        <v>207</v>
      </c>
      <c r="E16" s="90">
        <f>IF('Clinic 9'!M66&lt;0,-'Clinic 9'!M66,0)</f>
        <v>60000</v>
      </c>
      <c r="F16" s="90">
        <f>IF('Clinic 9'!M66&gt;0,'Clinic 9'!M66,0)</f>
        <v>0</v>
      </c>
      <c r="G16" s="55"/>
    </row>
    <row r="17" spans="1:7" x14ac:dyDescent="0.25">
      <c r="A17" s="51"/>
      <c r="B17" s="53" t="s">
        <v>75</v>
      </c>
      <c r="C17" s="53" t="s">
        <v>267</v>
      </c>
      <c r="D17" s="52" t="s">
        <v>203</v>
      </c>
      <c r="E17" s="90">
        <f>IF('RF by Location &lt;-INPUT'!D30+'RF by Location &lt;-INPUT'!H30&lt;0,-('RF by Location &lt;-INPUT'!D30+'RF by Location &lt;-INPUT'!H30),0)</f>
        <v>0</v>
      </c>
      <c r="F17" s="90">
        <f>IF('RF by Location &lt;-INPUT'!D30+'RF by Location &lt;-INPUT'!H30&gt;0,'RF by Location &lt;-INPUT'!D30+'RF by Location &lt;-INPUT'!H30,0)</f>
        <v>0</v>
      </c>
      <c r="G17" s="24"/>
    </row>
    <row r="18" spans="1:7" x14ac:dyDescent="0.25">
      <c r="A18" s="51"/>
      <c r="B18" s="53" t="s">
        <v>78</v>
      </c>
      <c r="C18" s="53" t="s">
        <v>267</v>
      </c>
      <c r="D18" s="52" t="s">
        <v>208</v>
      </c>
      <c r="E18" s="90">
        <f>IF((F17+F16-E16-E19+F19)&gt;0,(F17+F16-E16-E19+F19),0)</f>
        <v>0</v>
      </c>
      <c r="F18" s="90">
        <f>IF((F17+F16-E16-E19+F19)&lt;0,-(F17+F16-E16-E19+F19),0)</f>
        <v>60000</v>
      </c>
      <c r="G18" s="56"/>
    </row>
    <row r="19" spans="1:7" x14ac:dyDescent="0.25">
      <c r="A19" s="51"/>
      <c r="B19" s="53" t="s">
        <v>79</v>
      </c>
      <c r="C19" s="53" t="s">
        <v>267</v>
      </c>
      <c r="D19" s="52" t="s">
        <v>205</v>
      </c>
      <c r="E19" s="90">
        <f>'Bad Debt Detail &lt;-INPUT'!K64</f>
        <v>0</v>
      </c>
      <c r="F19" s="90">
        <v>0</v>
      </c>
    </row>
    <row r="20" spans="1:7" x14ac:dyDescent="0.25">
      <c r="A20" s="51"/>
      <c r="B20" s="51"/>
      <c r="C20" s="53"/>
      <c r="D20" s="52"/>
      <c r="E20" s="54"/>
      <c r="F20" s="54"/>
    </row>
    <row r="21" spans="1:7" x14ac:dyDescent="0.25">
      <c r="A21" s="51"/>
      <c r="B21" s="51"/>
      <c r="C21" s="53"/>
      <c r="D21" s="52"/>
      <c r="E21" s="54"/>
      <c r="F21" s="54"/>
    </row>
    <row r="22" spans="1:7" x14ac:dyDescent="0.25">
      <c r="A22" s="52"/>
      <c r="B22" s="52"/>
      <c r="C22" s="53"/>
      <c r="D22" s="52"/>
      <c r="E22" s="54"/>
      <c r="F22" s="54"/>
    </row>
    <row r="23" spans="1:7" x14ac:dyDescent="0.25">
      <c r="C23" s="57" t="s">
        <v>80</v>
      </c>
      <c r="D23" s="35"/>
      <c r="E23" s="58">
        <f>SUM(E11:E22)</f>
        <v>120000</v>
      </c>
      <c r="F23" s="58">
        <f>SUM(F11:F22)</f>
        <v>120000</v>
      </c>
    </row>
    <row r="24" spans="1:7" x14ac:dyDescent="0.25">
      <c r="D24" s="35"/>
    </row>
    <row r="25" spans="1:7" x14ac:dyDescent="0.25">
      <c r="A25" s="44" t="s">
        <v>81</v>
      </c>
      <c r="B25" s="44"/>
      <c r="D25" s="35"/>
    </row>
    <row r="26" spans="1:7" x14ac:dyDescent="0.25">
      <c r="C26" s="15"/>
      <c r="D26" s="59"/>
      <c r="E26" s="15"/>
    </row>
    <row r="27" spans="1:7" x14ac:dyDescent="0.25">
      <c r="C27" s="61"/>
      <c r="D27" s="60"/>
      <c r="E27" s="61"/>
    </row>
    <row r="28" spans="1:7" x14ac:dyDescent="0.25">
      <c r="C28" s="61"/>
      <c r="D28" s="60"/>
      <c r="E28" s="61"/>
    </row>
    <row r="29" spans="1:7" x14ac:dyDescent="0.25">
      <c r="D29" s="35"/>
    </row>
    <row r="30" spans="1:7" x14ac:dyDescent="0.25">
      <c r="A30" s="62" t="s">
        <v>82</v>
      </c>
      <c r="B30" s="62"/>
      <c r="D30" s="63"/>
    </row>
    <row r="31" spans="1:7" x14ac:dyDescent="0.25">
      <c r="A31" s="65" t="s">
        <v>83</v>
      </c>
      <c r="B31" s="65"/>
      <c r="D31" s="61"/>
    </row>
  </sheetData>
  <pageMargins left="0.7" right="0.7" top="0.75" bottom="0.75" header="0.3" footer="0.3"/>
  <pageSetup scale="77"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3">
    <tabColor theme="9"/>
  </sheetPr>
  <dimension ref="A1:H25"/>
  <sheetViews>
    <sheetView zoomScaleNormal="100" workbookViewId="0">
      <selection activeCell="F34" sqref="F34"/>
    </sheetView>
  </sheetViews>
  <sheetFormatPr defaultColWidth="9.140625" defaultRowHeight="15" x14ac:dyDescent="0.25"/>
  <cols>
    <col min="1" max="1" width="18.7109375" customWidth="1"/>
    <col min="2" max="2" width="15.7109375" customWidth="1"/>
    <col min="3" max="3" width="30.7109375" customWidth="1"/>
    <col min="4" max="5" width="18.7109375" customWidth="1"/>
  </cols>
  <sheetData>
    <row r="1" spans="1:8" x14ac:dyDescent="0.25">
      <c r="B1" s="35"/>
      <c r="F1" s="64"/>
      <c r="H1" s="31"/>
    </row>
    <row r="2" spans="1:8" ht="15.75" thickBot="1" x14ac:dyDescent="0.3">
      <c r="B2" s="35"/>
      <c r="D2" s="44" t="s">
        <v>65</v>
      </c>
      <c r="E2" s="43" t="str">
        <f>'Clinic 1 1-16 Rev Entry'!F2</f>
        <v>Biocorrect</v>
      </c>
      <c r="H2" s="31"/>
    </row>
    <row r="3" spans="1:8" x14ac:dyDescent="0.25">
      <c r="B3" s="35"/>
      <c r="E3" s="35"/>
      <c r="H3" s="31"/>
    </row>
    <row r="4" spans="1:8" ht="15.75" thickBot="1" x14ac:dyDescent="0.3">
      <c r="B4" s="35"/>
      <c r="D4" s="44" t="s">
        <v>66</v>
      </c>
      <c r="E4" s="45">
        <f>'Clinic 1 1-16 Rev Entry'!F4</f>
        <v>45199</v>
      </c>
    </row>
    <row r="5" spans="1:8" x14ac:dyDescent="0.25">
      <c r="B5" s="35"/>
    </row>
    <row r="6" spans="1:8" ht="15.75" thickBot="1" x14ac:dyDescent="0.3">
      <c r="B6" s="35"/>
      <c r="D6" s="44" t="s">
        <v>67</v>
      </c>
      <c r="E6" s="43" t="s">
        <v>149</v>
      </c>
    </row>
    <row r="7" spans="1:8" ht="18" x14ac:dyDescent="0.25">
      <c r="A7" s="46" t="s">
        <v>68</v>
      </c>
      <c r="B7" s="35"/>
    </row>
    <row r="8" spans="1:8" ht="15.75" thickBot="1" x14ac:dyDescent="0.3">
      <c r="B8" s="35"/>
      <c r="D8" s="44" t="s">
        <v>69</v>
      </c>
      <c r="E8" s="47"/>
    </row>
    <row r="9" spans="1:8" x14ac:dyDescent="0.25">
      <c r="B9" s="35"/>
      <c r="E9" t="s">
        <v>53</v>
      </c>
    </row>
    <row r="10" spans="1:8" x14ac:dyDescent="0.25">
      <c r="A10" s="48" t="s">
        <v>70</v>
      </c>
      <c r="B10" s="49" t="s">
        <v>71</v>
      </c>
      <c r="C10" s="49" t="s">
        <v>72</v>
      </c>
      <c r="D10" s="49" t="s">
        <v>73</v>
      </c>
      <c r="E10" s="49" t="s">
        <v>74</v>
      </c>
      <c r="F10" s="50"/>
    </row>
    <row r="11" spans="1:8" x14ac:dyDescent="0.25">
      <c r="A11" s="51"/>
      <c r="B11" s="52"/>
      <c r="C11" s="53"/>
      <c r="D11" s="54"/>
      <c r="E11" s="54"/>
    </row>
    <row r="12" spans="1:8" x14ac:dyDescent="0.25">
      <c r="A12" s="51">
        <f>E4</f>
        <v>45199</v>
      </c>
      <c r="B12" s="52" t="s">
        <v>45</v>
      </c>
      <c r="C12" s="53" t="s">
        <v>110</v>
      </c>
      <c r="D12" s="90">
        <f>E13</f>
        <v>0</v>
      </c>
      <c r="E12" s="90">
        <f>D13</f>
        <v>0</v>
      </c>
    </row>
    <row r="13" spans="1:8" x14ac:dyDescent="0.25">
      <c r="A13" s="51"/>
      <c r="B13" s="52" t="s">
        <v>203</v>
      </c>
      <c r="C13" s="53" t="s">
        <v>111</v>
      </c>
      <c r="D13" s="90">
        <f>IF('RF by Location &lt;-INPUT'!E30+'RF by Location &lt;-INPUT'!F30+'RF by Location &lt;-INPUT'!G30&lt;0,-('RF by Location &lt;-INPUT'!E30+'RF by Location &lt;-INPUT'!F30+'RF by Location &lt;-INPUT'!G30),0)</f>
        <v>0</v>
      </c>
      <c r="E13" s="90">
        <f>IF('RF by Location &lt;-INPUT'!E30+'RF by Location &lt;-INPUT'!F30+'RF by Location &lt;-INPUT'!G30&gt;0,'RF by Location &lt;-INPUT'!E30+'RF by Location &lt;-INPUT'!F30+'RF by Location &lt;-INPUT'!G30,0)</f>
        <v>0</v>
      </c>
    </row>
    <row r="14" spans="1:8" x14ac:dyDescent="0.25">
      <c r="A14" s="51"/>
      <c r="B14" s="52"/>
      <c r="C14" s="53"/>
      <c r="D14" s="54"/>
      <c r="E14" s="54">
        <v>1</v>
      </c>
    </row>
    <row r="15" spans="1:8" x14ac:dyDescent="0.25">
      <c r="A15" s="51"/>
      <c r="B15" s="52"/>
      <c r="C15" s="53"/>
      <c r="D15" s="54"/>
      <c r="E15" s="54"/>
    </row>
    <row r="16" spans="1:8" x14ac:dyDescent="0.25">
      <c r="A16" s="52"/>
      <c r="B16" s="52"/>
      <c r="C16" s="53"/>
      <c r="D16" s="54"/>
      <c r="E16" s="54"/>
    </row>
    <row r="17" spans="1:5" x14ac:dyDescent="0.25">
      <c r="B17" s="35"/>
      <c r="C17" s="57" t="s">
        <v>80</v>
      </c>
      <c r="D17" s="58">
        <f>SUM(D11:D16)</f>
        <v>0</v>
      </c>
      <c r="E17" s="58">
        <f>SUM(E11:E16)</f>
        <v>1</v>
      </c>
    </row>
    <row r="18" spans="1:5" x14ac:dyDescent="0.25">
      <c r="B18" s="35"/>
    </row>
    <row r="19" spans="1:5" x14ac:dyDescent="0.25">
      <c r="A19" s="44" t="s">
        <v>81</v>
      </c>
      <c r="B19" s="35"/>
    </row>
    <row r="20" spans="1:5" x14ac:dyDescent="0.25">
      <c r="B20" s="59"/>
      <c r="C20" s="15"/>
      <c r="D20" s="15"/>
    </row>
    <row r="21" spans="1:5" x14ac:dyDescent="0.25">
      <c r="B21" s="60"/>
      <c r="C21" s="61"/>
      <c r="D21" s="61"/>
    </row>
    <row r="22" spans="1:5" x14ac:dyDescent="0.25">
      <c r="B22" s="60"/>
      <c r="C22" s="61"/>
      <c r="D22" s="61"/>
    </row>
    <row r="23" spans="1:5" x14ac:dyDescent="0.25">
      <c r="B23" s="35"/>
    </row>
    <row r="24" spans="1:5" x14ac:dyDescent="0.25">
      <c r="A24" s="62" t="s">
        <v>82</v>
      </c>
      <c r="B24" s="63"/>
    </row>
    <row r="25" spans="1:5" x14ac:dyDescent="0.25">
      <c r="A25" s="65" t="s">
        <v>83</v>
      </c>
      <c r="B25" s="61"/>
    </row>
  </sheetData>
  <pageMargins left="0.7" right="0.7" top="0.75" bottom="0.75" header="0.3" footer="0.3"/>
  <pageSetup scale="88"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4">
    <tabColor theme="9"/>
  </sheetPr>
  <dimension ref="A1:H31"/>
  <sheetViews>
    <sheetView zoomScale="85" zoomScaleNormal="85" workbookViewId="0">
      <selection activeCell="F34" sqref="F34"/>
    </sheetView>
  </sheetViews>
  <sheetFormatPr defaultColWidth="9.140625" defaultRowHeight="15" x14ac:dyDescent="0.25"/>
  <cols>
    <col min="1" max="1" width="18.7109375" customWidth="1"/>
    <col min="2" max="3" width="22.7109375" customWidth="1"/>
    <col min="4" max="4" width="15.7109375" customWidth="1"/>
    <col min="5" max="6" width="18.7109375" customWidth="1"/>
  </cols>
  <sheetData>
    <row r="1" spans="1:8" x14ac:dyDescent="0.25">
      <c r="D1" s="35"/>
      <c r="G1" s="64"/>
      <c r="H1" s="31"/>
    </row>
    <row r="2" spans="1:8" ht="15.75" thickBot="1" x14ac:dyDescent="0.3">
      <c r="D2" s="35"/>
      <c r="E2" s="44" t="s">
        <v>65</v>
      </c>
      <c r="F2" s="43" t="str">
        <f>'Reimbursement Rates &lt;-INPUT'!A2</f>
        <v>Biocorrect</v>
      </c>
      <c r="H2" s="31"/>
    </row>
    <row r="3" spans="1:8" x14ac:dyDescent="0.25">
      <c r="D3" s="35"/>
      <c r="F3" s="35"/>
      <c r="H3" s="31"/>
    </row>
    <row r="4" spans="1:8" ht="15.75" thickBot="1" x14ac:dyDescent="0.3">
      <c r="D4" s="35"/>
      <c r="E4" s="44" t="s">
        <v>66</v>
      </c>
      <c r="F4" s="111">
        <f>'Agile AR Aging &lt;-INPUT'!C20</f>
        <v>45199</v>
      </c>
    </row>
    <row r="5" spans="1:8" x14ac:dyDescent="0.25">
      <c r="D5" s="35"/>
    </row>
    <row r="6" spans="1:8" ht="15.75" thickBot="1" x14ac:dyDescent="0.3">
      <c r="D6" s="35"/>
      <c r="E6" s="44" t="s">
        <v>67</v>
      </c>
      <c r="F6" s="43" t="s">
        <v>149</v>
      </c>
    </row>
    <row r="7" spans="1:8" ht="18" x14ac:dyDescent="0.25">
      <c r="A7" s="46" t="s">
        <v>68</v>
      </c>
      <c r="B7" s="46"/>
      <c r="D7" s="35"/>
    </row>
    <row r="8" spans="1:8" ht="15.75" thickBot="1" x14ac:dyDescent="0.3">
      <c r="D8" s="35"/>
      <c r="E8" s="44" t="s">
        <v>69</v>
      </c>
      <c r="F8" s="47"/>
    </row>
    <row r="9" spans="1:8" x14ac:dyDescent="0.25">
      <c r="D9" s="35"/>
      <c r="F9" t="s">
        <v>53</v>
      </c>
    </row>
    <row r="10" spans="1:8" x14ac:dyDescent="0.25">
      <c r="A10" s="48" t="s">
        <v>70</v>
      </c>
      <c r="B10" s="48" t="s">
        <v>266</v>
      </c>
      <c r="C10" s="49" t="s">
        <v>72</v>
      </c>
      <c r="D10" s="49" t="s">
        <v>71</v>
      </c>
      <c r="E10" s="49" t="s">
        <v>73</v>
      </c>
      <c r="F10" s="49" t="s">
        <v>74</v>
      </c>
      <c r="G10" s="50"/>
    </row>
    <row r="11" spans="1:8" x14ac:dyDescent="0.25">
      <c r="A11" s="51"/>
      <c r="B11" s="51"/>
      <c r="C11" s="53"/>
      <c r="D11" s="52"/>
      <c r="E11" s="54"/>
      <c r="F11" s="54"/>
    </row>
    <row r="12" spans="1:8" x14ac:dyDescent="0.25">
      <c r="A12" s="51">
        <f>F4</f>
        <v>45199</v>
      </c>
      <c r="B12" s="53" t="s">
        <v>75</v>
      </c>
      <c r="C12" s="53" t="s">
        <v>267</v>
      </c>
      <c r="D12" s="52" t="s">
        <v>203</v>
      </c>
      <c r="E12" s="90">
        <f>F13</f>
        <v>0</v>
      </c>
      <c r="F12" s="90">
        <f>E13</f>
        <v>0</v>
      </c>
    </row>
    <row r="13" spans="1:8" x14ac:dyDescent="0.25">
      <c r="A13" s="51"/>
      <c r="B13" s="53" t="s">
        <v>150</v>
      </c>
      <c r="C13" s="53" t="s">
        <v>267</v>
      </c>
      <c r="D13" s="52" t="s">
        <v>204</v>
      </c>
      <c r="E13" s="90">
        <f>IF('RF by Location &lt;-INPUT'!C31&lt;0,-'RF by Location &lt;-INPUT'!C31,0)</f>
        <v>0</v>
      </c>
      <c r="F13" s="90">
        <f>IF('RF by Location &lt;-INPUT'!C31&gt;0,'RF by Location &lt;-INPUT'!C31,0)</f>
        <v>0</v>
      </c>
    </row>
    <row r="14" spans="1:8" x14ac:dyDescent="0.25">
      <c r="A14" s="51"/>
      <c r="B14" s="53" t="s">
        <v>76</v>
      </c>
      <c r="C14" s="53" t="s">
        <v>267</v>
      </c>
      <c r="D14" s="52" t="s">
        <v>205</v>
      </c>
      <c r="E14" s="90">
        <f>F15</f>
        <v>0</v>
      </c>
      <c r="F14" s="90">
        <f>E15</f>
        <v>60000</v>
      </c>
    </row>
    <row r="15" spans="1:8" x14ac:dyDescent="0.25">
      <c r="A15" s="51"/>
      <c r="B15" s="53" t="s">
        <v>20</v>
      </c>
      <c r="C15" s="53" t="s">
        <v>267</v>
      </c>
      <c r="D15" s="52" t="s">
        <v>206</v>
      </c>
      <c r="E15" s="90">
        <f>IF('Clinic 10'!M128&lt;0,-'Clinic 10'!M128,0)</f>
        <v>60000</v>
      </c>
      <c r="F15" s="90">
        <f>IF('Clinic 10'!M128&gt;0,'Clinic 10'!M128,0)</f>
        <v>0</v>
      </c>
    </row>
    <row r="16" spans="1:8" x14ac:dyDescent="0.25">
      <c r="A16" s="51"/>
      <c r="B16" s="53" t="s">
        <v>77</v>
      </c>
      <c r="C16" s="53" t="s">
        <v>267</v>
      </c>
      <c r="D16" s="52" t="s">
        <v>207</v>
      </c>
      <c r="E16" s="90">
        <f>IF('Clinic 10'!M66&lt;0,-'Clinic 10'!M66,0)</f>
        <v>60000</v>
      </c>
      <c r="F16" s="90">
        <f>IF('Clinic 10'!M66&gt;0,'Clinic 10'!M66,0)</f>
        <v>0</v>
      </c>
      <c r="G16" s="55"/>
    </row>
    <row r="17" spans="1:7" x14ac:dyDescent="0.25">
      <c r="A17" s="51"/>
      <c r="B17" s="53" t="s">
        <v>75</v>
      </c>
      <c r="C17" s="53" t="s">
        <v>267</v>
      </c>
      <c r="D17" s="52" t="s">
        <v>203</v>
      </c>
      <c r="E17" s="90">
        <f>IF('RF by Location &lt;-INPUT'!D31+'RF by Location &lt;-INPUT'!H31&lt;0,-('RF by Location &lt;-INPUT'!D31+'RF by Location &lt;-INPUT'!H31),0)</f>
        <v>0</v>
      </c>
      <c r="F17" s="90">
        <f>IF('RF by Location &lt;-INPUT'!D31+'RF by Location &lt;-INPUT'!H31&gt;0,'RF by Location &lt;-INPUT'!D31+'RF by Location &lt;-INPUT'!H31,0)</f>
        <v>0</v>
      </c>
      <c r="G17" s="24"/>
    </row>
    <row r="18" spans="1:7" x14ac:dyDescent="0.25">
      <c r="A18" s="51"/>
      <c r="B18" s="53" t="s">
        <v>78</v>
      </c>
      <c r="C18" s="53" t="s">
        <v>267</v>
      </c>
      <c r="D18" s="52" t="s">
        <v>208</v>
      </c>
      <c r="E18" s="90">
        <f>IF((F17+F16-E16-E19+F19)&gt;0,(F17+F16-E16-E19+F19),0)</f>
        <v>0</v>
      </c>
      <c r="F18" s="90">
        <f>IF((F17+F16-E16-E19+F19)&lt;0,-(F17+F16-E16-E19+F19),0)</f>
        <v>60000</v>
      </c>
      <c r="G18" s="56"/>
    </row>
    <row r="19" spans="1:7" x14ac:dyDescent="0.25">
      <c r="A19" s="51"/>
      <c r="B19" s="53" t="s">
        <v>79</v>
      </c>
      <c r="C19" s="53" t="s">
        <v>267</v>
      </c>
      <c r="D19" s="52" t="s">
        <v>205</v>
      </c>
      <c r="E19" s="90">
        <f>'Bad Debt Detail &lt;-INPUT'!L64</f>
        <v>0</v>
      </c>
      <c r="F19" s="90">
        <v>0</v>
      </c>
    </row>
    <row r="20" spans="1:7" x14ac:dyDescent="0.25">
      <c r="A20" s="51"/>
      <c r="B20" s="51"/>
      <c r="C20" s="53"/>
      <c r="D20" s="52"/>
      <c r="E20" s="54"/>
      <c r="F20" s="54"/>
    </row>
    <row r="21" spans="1:7" x14ac:dyDescent="0.25">
      <c r="A21" s="51"/>
      <c r="B21" s="51"/>
      <c r="C21" s="53"/>
      <c r="D21" s="52"/>
      <c r="E21" s="54"/>
      <c r="F21" s="54"/>
    </row>
    <row r="22" spans="1:7" x14ac:dyDescent="0.25">
      <c r="A22" s="52"/>
      <c r="B22" s="52"/>
      <c r="C22" s="53"/>
      <c r="D22" s="52"/>
      <c r="E22" s="54"/>
      <c r="F22" s="54"/>
    </row>
    <row r="23" spans="1:7" x14ac:dyDescent="0.25">
      <c r="C23" s="57" t="s">
        <v>80</v>
      </c>
      <c r="D23" s="35"/>
      <c r="E23" s="58">
        <f>SUM(E11:E22)</f>
        <v>120000</v>
      </c>
      <c r="F23" s="58">
        <f>SUM(F11:F22)</f>
        <v>120000</v>
      </c>
    </row>
    <row r="24" spans="1:7" x14ac:dyDescent="0.25">
      <c r="D24" s="35"/>
    </row>
    <row r="25" spans="1:7" x14ac:dyDescent="0.25">
      <c r="A25" s="44" t="s">
        <v>81</v>
      </c>
      <c r="B25" s="44"/>
      <c r="D25" s="35"/>
    </row>
    <row r="26" spans="1:7" x14ac:dyDescent="0.25">
      <c r="C26" s="15"/>
      <c r="D26" s="59"/>
      <c r="E26" s="15"/>
    </row>
    <row r="27" spans="1:7" x14ac:dyDescent="0.25">
      <c r="C27" s="61"/>
      <c r="D27" s="60"/>
      <c r="E27" s="61"/>
    </row>
    <row r="28" spans="1:7" x14ac:dyDescent="0.25">
      <c r="C28" s="61"/>
      <c r="D28" s="60"/>
      <c r="E28" s="61"/>
    </row>
    <row r="29" spans="1:7" x14ac:dyDescent="0.25">
      <c r="D29" s="35"/>
    </row>
    <row r="30" spans="1:7" x14ac:dyDescent="0.25">
      <c r="A30" s="62" t="s">
        <v>82</v>
      </c>
      <c r="B30" s="62"/>
      <c r="D30" s="63"/>
    </row>
    <row r="31" spans="1:7" x14ac:dyDescent="0.25">
      <c r="A31" s="65" t="s">
        <v>83</v>
      </c>
      <c r="B31" s="65"/>
      <c r="D31" s="61"/>
    </row>
  </sheetData>
  <pageMargins left="0.7" right="0.7" top="0.75" bottom="0.75" header="0.3" footer="0.3"/>
  <pageSetup scale="77"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5">
    <tabColor theme="9"/>
  </sheetPr>
  <dimension ref="A1:H25"/>
  <sheetViews>
    <sheetView zoomScaleNormal="100" workbookViewId="0">
      <selection activeCell="F34" sqref="F34"/>
    </sheetView>
  </sheetViews>
  <sheetFormatPr defaultColWidth="9.140625" defaultRowHeight="15" x14ac:dyDescent="0.25"/>
  <cols>
    <col min="1" max="1" width="18.7109375" customWidth="1"/>
    <col min="2" max="2" width="15.7109375" customWidth="1"/>
    <col min="3" max="3" width="30.7109375" customWidth="1"/>
    <col min="4" max="5" width="18.7109375" customWidth="1"/>
  </cols>
  <sheetData>
    <row r="1" spans="1:8" x14ac:dyDescent="0.25">
      <c r="B1" s="35"/>
      <c r="F1" s="64"/>
      <c r="H1" s="31"/>
    </row>
    <row r="2" spans="1:8" ht="15.75" thickBot="1" x14ac:dyDescent="0.3">
      <c r="B2" s="35"/>
      <c r="D2" s="44" t="s">
        <v>65</v>
      </c>
      <c r="E2" s="43" t="str">
        <f>'Clinic 1 1-16 Rev Entry'!F2</f>
        <v>Biocorrect</v>
      </c>
      <c r="H2" s="31"/>
    </row>
    <row r="3" spans="1:8" x14ac:dyDescent="0.25">
      <c r="B3" s="35"/>
      <c r="E3" s="35"/>
      <c r="H3" s="31"/>
    </row>
    <row r="4" spans="1:8" ht="15.75" thickBot="1" x14ac:dyDescent="0.3">
      <c r="B4" s="35"/>
      <c r="D4" s="44" t="s">
        <v>66</v>
      </c>
      <c r="E4" s="45">
        <f>'Clinic 1 1-16 Rev Entry'!F4</f>
        <v>45199</v>
      </c>
    </row>
    <row r="5" spans="1:8" x14ac:dyDescent="0.25">
      <c r="B5" s="35"/>
    </row>
    <row r="6" spans="1:8" ht="15.75" thickBot="1" x14ac:dyDescent="0.3">
      <c r="B6" s="35"/>
      <c r="D6" s="44" t="s">
        <v>67</v>
      </c>
      <c r="E6" s="43" t="s">
        <v>149</v>
      </c>
    </row>
    <row r="7" spans="1:8" ht="18" x14ac:dyDescent="0.25">
      <c r="A7" s="46" t="s">
        <v>68</v>
      </c>
      <c r="B7" s="35"/>
    </row>
    <row r="8" spans="1:8" ht="15.75" thickBot="1" x14ac:dyDescent="0.3">
      <c r="B8" s="35"/>
      <c r="D8" s="44" t="s">
        <v>69</v>
      </c>
      <c r="E8" s="47"/>
    </row>
    <row r="9" spans="1:8" x14ac:dyDescent="0.25">
      <c r="B9" s="35"/>
      <c r="E9" t="s">
        <v>53</v>
      </c>
    </row>
    <row r="10" spans="1:8" x14ac:dyDescent="0.25">
      <c r="A10" s="48" t="s">
        <v>70</v>
      </c>
      <c r="B10" s="49" t="s">
        <v>71</v>
      </c>
      <c r="C10" s="49" t="s">
        <v>72</v>
      </c>
      <c r="D10" s="49" t="s">
        <v>73</v>
      </c>
      <c r="E10" s="49" t="s">
        <v>74</v>
      </c>
      <c r="F10" s="50"/>
    </row>
    <row r="11" spans="1:8" x14ac:dyDescent="0.25">
      <c r="A11" s="51"/>
      <c r="B11" s="52"/>
      <c r="C11" s="53"/>
      <c r="D11" s="54"/>
      <c r="E11" s="54"/>
    </row>
    <row r="12" spans="1:8" x14ac:dyDescent="0.25">
      <c r="A12" s="51">
        <f>E4</f>
        <v>45199</v>
      </c>
      <c r="B12" s="52" t="s">
        <v>45</v>
      </c>
      <c r="C12" s="53" t="s">
        <v>110</v>
      </c>
      <c r="D12" s="90">
        <f>E13</f>
        <v>0</v>
      </c>
      <c r="E12" s="90">
        <f>D13</f>
        <v>0</v>
      </c>
    </row>
    <row r="13" spans="1:8" x14ac:dyDescent="0.25">
      <c r="A13" s="51"/>
      <c r="B13" s="52" t="s">
        <v>203</v>
      </c>
      <c r="C13" s="53" t="s">
        <v>111</v>
      </c>
      <c r="D13" s="90">
        <f>IF('RF by Location &lt;-INPUT'!E31+'RF by Location &lt;-INPUT'!F31+'RF by Location &lt;-INPUT'!G31&lt;0,-('RF by Location &lt;-INPUT'!E31+'RF by Location &lt;-INPUT'!F31+'RF by Location &lt;-INPUT'!G31),0)</f>
        <v>0</v>
      </c>
      <c r="E13" s="90">
        <f>IF('RF by Location &lt;-INPUT'!E31+'RF by Location &lt;-INPUT'!F31+'RF by Location &lt;-INPUT'!G31&gt;0,'RF by Location &lt;-INPUT'!E31+'RF by Location &lt;-INPUT'!F31+'RF by Location &lt;-INPUT'!G31,0)</f>
        <v>0</v>
      </c>
    </row>
    <row r="14" spans="1:8" x14ac:dyDescent="0.25">
      <c r="A14" s="51"/>
      <c r="B14" s="52"/>
      <c r="C14" s="53"/>
      <c r="D14" s="54"/>
      <c r="E14" s="54">
        <v>1</v>
      </c>
    </row>
    <row r="15" spans="1:8" x14ac:dyDescent="0.25">
      <c r="A15" s="51"/>
      <c r="B15" s="52"/>
      <c r="C15" s="53"/>
      <c r="D15" s="54"/>
      <c r="E15" s="54"/>
    </row>
    <row r="16" spans="1:8" x14ac:dyDescent="0.25">
      <c r="A16" s="52"/>
      <c r="B16" s="52"/>
      <c r="C16" s="53"/>
      <c r="D16" s="54"/>
      <c r="E16" s="54"/>
    </row>
    <row r="17" spans="1:5" x14ac:dyDescent="0.25">
      <c r="B17" s="35"/>
      <c r="C17" s="57" t="s">
        <v>80</v>
      </c>
      <c r="D17" s="58">
        <f>SUM(D11:D16)</f>
        <v>0</v>
      </c>
      <c r="E17" s="58">
        <f>SUM(E11:E16)</f>
        <v>1</v>
      </c>
    </row>
    <row r="18" spans="1:5" x14ac:dyDescent="0.25">
      <c r="B18" s="35"/>
    </row>
    <row r="19" spans="1:5" x14ac:dyDescent="0.25">
      <c r="A19" s="44" t="s">
        <v>81</v>
      </c>
      <c r="B19" s="35"/>
    </row>
    <row r="20" spans="1:5" x14ac:dyDescent="0.25">
      <c r="B20" s="59"/>
      <c r="C20" s="15"/>
      <c r="D20" s="15"/>
    </row>
    <row r="21" spans="1:5" x14ac:dyDescent="0.25">
      <c r="B21" s="60"/>
      <c r="C21" s="61"/>
      <c r="D21" s="61"/>
    </row>
    <row r="22" spans="1:5" x14ac:dyDescent="0.25">
      <c r="B22" s="60"/>
      <c r="C22" s="61"/>
      <c r="D22" s="61"/>
    </row>
    <row r="23" spans="1:5" x14ac:dyDescent="0.25">
      <c r="B23" s="35"/>
    </row>
    <row r="24" spans="1:5" x14ac:dyDescent="0.25">
      <c r="A24" s="62" t="s">
        <v>82</v>
      </c>
      <c r="B24" s="63"/>
    </row>
    <row r="25" spans="1:5" x14ac:dyDescent="0.25">
      <c r="A25" s="65" t="s">
        <v>83</v>
      </c>
      <c r="B25" s="61"/>
    </row>
  </sheetData>
  <pageMargins left="0.7" right="0.7" top="0.75" bottom="0.75" header="0.3" footer="0.3"/>
  <pageSetup scale="88" orientation="portrait" r:id="rId1"/>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6">
    <tabColor theme="9"/>
  </sheetPr>
  <dimension ref="A1:H31"/>
  <sheetViews>
    <sheetView zoomScale="85" zoomScaleNormal="85" workbookViewId="0">
      <selection activeCell="F34" sqref="F34"/>
    </sheetView>
  </sheetViews>
  <sheetFormatPr defaultColWidth="9.140625" defaultRowHeight="15" x14ac:dyDescent="0.25"/>
  <cols>
    <col min="1" max="1" width="18.7109375" customWidth="1"/>
    <col min="2" max="3" width="22.7109375" customWidth="1"/>
    <col min="4" max="4" width="15.7109375" customWidth="1"/>
    <col min="5" max="6" width="18.7109375" customWidth="1"/>
  </cols>
  <sheetData>
    <row r="1" spans="1:8" x14ac:dyDescent="0.25">
      <c r="D1" s="35"/>
      <c r="G1" s="64"/>
      <c r="H1" s="31"/>
    </row>
    <row r="2" spans="1:8" ht="15.75" thickBot="1" x14ac:dyDescent="0.3">
      <c r="D2" s="35"/>
      <c r="E2" s="44" t="s">
        <v>65</v>
      </c>
      <c r="F2" s="43" t="str">
        <f>'Reimbursement Rates &lt;-INPUT'!A2</f>
        <v>Biocorrect</v>
      </c>
      <c r="H2" s="31"/>
    </row>
    <row r="3" spans="1:8" x14ac:dyDescent="0.25">
      <c r="D3" s="35"/>
      <c r="F3" s="35"/>
      <c r="H3" s="31"/>
    </row>
    <row r="4" spans="1:8" ht="15.75" thickBot="1" x14ac:dyDescent="0.3">
      <c r="D4" s="35"/>
      <c r="E4" s="44" t="s">
        <v>66</v>
      </c>
      <c r="F4" s="111">
        <f>'Agile AR Aging &lt;-INPUT'!C20</f>
        <v>45199</v>
      </c>
    </row>
    <row r="5" spans="1:8" x14ac:dyDescent="0.25">
      <c r="D5" s="35"/>
    </row>
    <row r="6" spans="1:8" ht="15.75" thickBot="1" x14ac:dyDescent="0.3">
      <c r="D6" s="35"/>
      <c r="E6" s="44" t="s">
        <v>67</v>
      </c>
      <c r="F6" s="43" t="s">
        <v>149</v>
      </c>
    </row>
    <row r="7" spans="1:8" ht="18" x14ac:dyDescent="0.25">
      <c r="A7" s="46" t="s">
        <v>68</v>
      </c>
      <c r="B7" s="46"/>
      <c r="D7" s="35"/>
    </row>
    <row r="8" spans="1:8" ht="15.75" thickBot="1" x14ac:dyDescent="0.3">
      <c r="D8" s="35"/>
      <c r="E8" s="44" t="s">
        <v>69</v>
      </c>
      <c r="F8" s="47"/>
    </row>
    <row r="9" spans="1:8" x14ac:dyDescent="0.25">
      <c r="D9" s="35"/>
      <c r="F9" t="s">
        <v>53</v>
      </c>
    </row>
    <row r="10" spans="1:8" x14ac:dyDescent="0.25">
      <c r="A10" s="48" t="s">
        <v>70</v>
      </c>
      <c r="B10" s="48" t="s">
        <v>266</v>
      </c>
      <c r="C10" s="49" t="s">
        <v>72</v>
      </c>
      <c r="D10" s="49" t="s">
        <v>71</v>
      </c>
      <c r="E10" s="49" t="s">
        <v>73</v>
      </c>
      <c r="F10" s="49" t="s">
        <v>74</v>
      </c>
      <c r="G10" s="50"/>
    </row>
    <row r="11" spans="1:8" x14ac:dyDescent="0.25">
      <c r="A11" s="51"/>
      <c r="B11" s="51"/>
      <c r="C11" s="53"/>
      <c r="D11" s="52"/>
      <c r="E11" s="54"/>
      <c r="F11" s="54"/>
    </row>
    <row r="12" spans="1:8" x14ac:dyDescent="0.25">
      <c r="A12" s="51">
        <f>F4</f>
        <v>45199</v>
      </c>
      <c r="B12" s="53" t="s">
        <v>75</v>
      </c>
      <c r="C12" s="53" t="s">
        <v>267</v>
      </c>
      <c r="D12" s="52" t="s">
        <v>203</v>
      </c>
      <c r="E12" s="90">
        <f>F13</f>
        <v>0</v>
      </c>
      <c r="F12" s="90">
        <f>E13</f>
        <v>0</v>
      </c>
    </row>
    <row r="13" spans="1:8" x14ac:dyDescent="0.25">
      <c r="A13" s="51"/>
      <c r="B13" s="53" t="s">
        <v>150</v>
      </c>
      <c r="C13" s="53" t="s">
        <v>267</v>
      </c>
      <c r="D13" s="52" t="s">
        <v>204</v>
      </c>
      <c r="E13" s="90">
        <f>IF('RF by Location &lt;-INPUT'!C32&lt;0,-'RF by Location &lt;-INPUT'!C32,0)</f>
        <v>0</v>
      </c>
      <c r="F13" s="90">
        <f>IF('RF by Location &lt;-INPUT'!C32&gt;0,'RF by Location &lt;-INPUT'!C32,0)</f>
        <v>0</v>
      </c>
    </row>
    <row r="14" spans="1:8" x14ac:dyDescent="0.25">
      <c r="A14" s="51"/>
      <c r="B14" s="53" t="s">
        <v>76</v>
      </c>
      <c r="C14" s="53" t="s">
        <v>267</v>
      </c>
      <c r="D14" s="52" t="s">
        <v>205</v>
      </c>
      <c r="E14" s="90">
        <f>F15</f>
        <v>0</v>
      </c>
      <c r="F14" s="90">
        <f>E15</f>
        <v>60000</v>
      </c>
    </row>
    <row r="15" spans="1:8" x14ac:dyDescent="0.25">
      <c r="A15" s="51"/>
      <c r="B15" s="53" t="s">
        <v>20</v>
      </c>
      <c r="C15" s="53" t="s">
        <v>267</v>
      </c>
      <c r="D15" s="52" t="s">
        <v>206</v>
      </c>
      <c r="E15" s="90">
        <f>IF('Clinic 11'!M128&lt;0,-'Clinic 11'!M128,0)</f>
        <v>60000</v>
      </c>
      <c r="F15" s="90">
        <f>IF('Clinic 11'!M128&gt;0,'Clinic 11'!M128,0)</f>
        <v>0</v>
      </c>
    </row>
    <row r="16" spans="1:8" x14ac:dyDescent="0.25">
      <c r="A16" s="51"/>
      <c r="B16" s="53" t="s">
        <v>77</v>
      </c>
      <c r="C16" s="53" t="s">
        <v>267</v>
      </c>
      <c r="D16" s="52" t="s">
        <v>207</v>
      </c>
      <c r="E16" s="90">
        <f>IF('Clinic 11'!M66&lt;0,-'Clinic 11'!M66,0)</f>
        <v>60000</v>
      </c>
      <c r="F16" s="90">
        <f>IF('Clinic 11'!M66&gt;0,'Clinic 11'!M66,0)</f>
        <v>0</v>
      </c>
      <c r="G16" s="55"/>
    </row>
    <row r="17" spans="1:7" x14ac:dyDescent="0.25">
      <c r="A17" s="51"/>
      <c r="B17" s="53" t="s">
        <v>75</v>
      </c>
      <c r="C17" s="53" t="s">
        <v>267</v>
      </c>
      <c r="D17" s="52" t="s">
        <v>203</v>
      </c>
      <c r="E17" s="90">
        <f>IF('RF by Location &lt;-INPUT'!D32+'RF by Location &lt;-INPUT'!H32&lt;0,-('RF by Location &lt;-INPUT'!D32+'RF by Location &lt;-INPUT'!H32),0)</f>
        <v>0</v>
      </c>
      <c r="F17" s="90">
        <f>IF('RF by Location &lt;-INPUT'!D32+'RF by Location &lt;-INPUT'!H32&gt;0,'RF by Location &lt;-INPUT'!D32+'RF by Location &lt;-INPUT'!H32,0)</f>
        <v>0</v>
      </c>
      <c r="G17" s="24"/>
    </row>
    <row r="18" spans="1:7" x14ac:dyDescent="0.25">
      <c r="A18" s="51"/>
      <c r="B18" s="53" t="s">
        <v>78</v>
      </c>
      <c r="C18" s="53" t="s">
        <v>267</v>
      </c>
      <c r="D18" s="52" t="s">
        <v>208</v>
      </c>
      <c r="E18" s="90">
        <f>IF((F17+F16-E16-E19+F19)&gt;0,(F17+F16-E16-E19+F19),0)</f>
        <v>0</v>
      </c>
      <c r="F18" s="90">
        <f>IF((F17+F16-E16-E19+F19)&lt;0,-(F17+F16-E16-E19+F19),0)</f>
        <v>60000</v>
      </c>
      <c r="G18" s="56"/>
    </row>
    <row r="19" spans="1:7" x14ac:dyDescent="0.25">
      <c r="A19" s="51"/>
      <c r="B19" s="53" t="s">
        <v>79</v>
      </c>
      <c r="C19" s="53" t="s">
        <v>267</v>
      </c>
      <c r="D19" s="52" t="s">
        <v>205</v>
      </c>
      <c r="E19" s="90">
        <f>'Bad Debt Detail &lt;-INPUT'!M64</f>
        <v>0</v>
      </c>
      <c r="F19" s="90">
        <v>0</v>
      </c>
    </row>
    <row r="20" spans="1:7" x14ac:dyDescent="0.25">
      <c r="A20" s="51"/>
      <c r="B20" s="51"/>
      <c r="C20" s="53"/>
      <c r="D20" s="52"/>
      <c r="E20" s="54"/>
      <c r="F20" s="54"/>
    </row>
    <row r="21" spans="1:7" x14ac:dyDescent="0.25">
      <c r="A21" s="51"/>
      <c r="B21" s="51"/>
      <c r="C21" s="53"/>
      <c r="D21" s="52"/>
      <c r="E21" s="54"/>
      <c r="F21" s="54"/>
    </row>
    <row r="22" spans="1:7" x14ac:dyDescent="0.25">
      <c r="A22" s="52"/>
      <c r="B22" s="52"/>
      <c r="C22" s="53"/>
      <c r="D22" s="52"/>
      <c r="E22" s="54"/>
      <c r="F22" s="54"/>
    </row>
    <row r="23" spans="1:7" x14ac:dyDescent="0.25">
      <c r="C23" s="57" t="s">
        <v>80</v>
      </c>
      <c r="D23" s="35"/>
      <c r="E23" s="58">
        <f>SUM(E11:E22)</f>
        <v>120000</v>
      </c>
      <c r="F23" s="58">
        <f>SUM(F11:F22)</f>
        <v>120000</v>
      </c>
    </row>
    <row r="24" spans="1:7" x14ac:dyDescent="0.25">
      <c r="D24" s="35"/>
    </row>
    <row r="25" spans="1:7" x14ac:dyDescent="0.25">
      <c r="A25" s="44" t="s">
        <v>81</v>
      </c>
      <c r="B25" s="44"/>
      <c r="D25" s="35"/>
    </row>
    <row r="26" spans="1:7" x14ac:dyDescent="0.25">
      <c r="C26" s="15"/>
      <c r="D26" s="59"/>
      <c r="E26" s="15"/>
    </row>
    <row r="27" spans="1:7" x14ac:dyDescent="0.25">
      <c r="C27" s="61"/>
      <c r="D27" s="60"/>
      <c r="E27" s="61"/>
    </row>
    <row r="28" spans="1:7" x14ac:dyDescent="0.25">
      <c r="C28" s="61"/>
      <c r="D28" s="60"/>
      <c r="E28" s="61"/>
    </row>
    <row r="29" spans="1:7" x14ac:dyDescent="0.25">
      <c r="D29" s="35"/>
    </row>
    <row r="30" spans="1:7" x14ac:dyDescent="0.25">
      <c r="A30" s="62" t="s">
        <v>82</v>
      </c>
      <c r="B30" s="62"/>
      <c r="D30" s="63"/>
    </row>
    <row r="31" spans="1:7" x14ac:dyDescent="0.25">
      <c r="A31" s="65" t="s">
        <v>83</v>
      </c>
      <c r="B31" s="65"/>
      <c r="D31" s="61"/>
    </row>
  </sheetData>
  <pageMargins left="0.7" right="0.7" top="0.75" bottom="0.75" header="0.3" footer="0.3"/>
  <pageSetup scale="77"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7">
    <tabColor theme="9"/>
  </sheetPr>
  <dimension ref="A1:H25"/>
  <sheetViews>
    <sheetView zoomScaleNormal="100" workbookViewId="0">
      <selection activeCell="F34" sqref="F34"/>
    </sheetView>
  </sheetViews>
  <sheetFormatPr defaultColWidth="9.140625" defaultRowHeight="15" x14ac:dyDescent="0.25"/>
  <cols>
    <col min="1" max="1" width="18.7109375" customWidth="1"/>
    <col min="2" max="2" width="15.7109375" customWidth="1"/>
    <col min="3" max="3" width="30.7109375" customWidth="1"/>
    <col min="4" max="5" width="18.7109375" customWidth="1"/>
  </cols>
  <sheetData>
    <row r="1" spans="1:8" x14ac:dyDescent="0.25">
      <c r="B1" s="35"/>
      <c r="F1" s="64"/>
      <c r="H1" s="31"/>
    </row>
    <row r="2" spans="1:8" ht="15.75" thickBot="1" x14ac:dyDescent="0.3">
      <c r="B2" s="35"/>
      <c r="D2" s="44" t="s">
        <v>65</v>
      </c>
      <c r="E2" s="43" t="str">
        <f>'Clinic 1 1-16 Rev Entry'!F2</f>
        <v>Biocorrect</v>
      </c>
      <c r="H2" s="31"/>
    </row>
    <row r="3" spans="1:8" x14ac:dyDescent="0.25">
      <c r="B3" s="35"/>
      <c r="E3" s="35"/>
      <c r="H3" s="31"/>
    </row>
    <row r="4" spans="1:8" ht="15.75" thickBot="1" x14ac:dyDescent="0.3">
      <c r="B4" s="35"/>
      <c r="D4" s="44" t="s">
        <v>66</v>
      </c>
      <c r="E4" s="45">
        <f>'Clinic 1 1-16 Rev Entry'!F4</f>
        <v>45199</v>
      </c>
    </row>
    <row r="5" spans="1:8" x14ac:dyDescent="0.25">
      <c r="B5" s="35"/>
    </row>
    <row r="6" spans="1:8" ht="15.75" thickBot="1" x14ac:dyDescent="0.3">
      <c r="B6" s="35"/>
      <c r="D6" s="44" t="s">
        <v>67</v>
      </c>
      <c r="E6" s="43" t="s">
        <v>149</v>
      </c>
    </row>
    <row r="7" spans="1:8" ht="18" x14ac:dyDescent="0.25">
      <c r="A7" s="46" t="s">
        <v>68</v>
      </c>
      <c r="B7" s="35"/>
    </row>
    <row r="8" spans="1:8" ht="15.75" thickBot="1" x14ac:dyDescent="0.3">
      <c r="B8" s="35"/>
      <c r="D8" s="44" t="s">
        <v>69</v>
      </c>
      <c r="E8" s="47"/>
    </row>
    <row r="9" spans="1:8" x14ac:dyDescent="0.25">
      <c r="B9" s="35"/>
      <c r="E9" t="s">
        <v>53</v>
      </c>
    </row>
    <row r="10" spans="1:8" x14ac:dyDescent="0.25">
      <c r="A10" s="48" t="s">
        <v>70</v>
      </c>
      <c r="B10" s="49" t="s">
        <v>71</v>
      </c>
      <c r="C10" s="49" t="s">
        <v>72</v>
      </c>
      <c r="D10" s="49" t="s">
        <v>73</v>
      </c>
      <c r="E10" s="49" t="s">
        <v>74</v>
      </c>
      <c r="F10" s="50"/>
    </row>
    <row r="11" spans="1:8" x14ac:dyDescent="0.25">
      <c r="A11" s="51"/>
      <c r="B11" s="52"/>
      <c r="C11" s="53"/>
      <c r="D11" s="54"/>
      <c r="E11" s="54"/>
    </row>
    <row r="12" spans="1:8" x14ac:dyDescent="0.25">
      <c r="A12" s="51">
        <f>E4</f>
        <v>45199</v>
      </c>
      <c r="B12" s="52" t="s">
        <v>45</v>
      </c>
      <c r="C12" s="53" t="s">
        <v>110</v>
      </c>
      <c r="D12" s="90">
        <f>E13</f>
        <v>0</v>
      </c>
      <c r="E12" s="90">
        <f>D13</f>
        <v>0</v>
      </c>
    </row>
    <row r="13" spans="1:8" x14ac:dyDescent="0.25">
      <c r="A13" s="51"/>
      <c r="B13" s="52" t="s">
        <v>203</v>
      </c>
      <c r="C13" s="53" t="s">
        <v>111</v>
      </c>
      <c r="D13" s="90">
        <f>IF('RF by Location &lt;-INPUT'!E32+'RF by Location &lt;-INPUT'!F32+'RF by Location &lt;-INPUT'!G32&lt;0,-('RF by Location &lt;-INPUT'!E32+'RF by Location &lt;-INPUT'!F32+'RF by Location &lt;-INPUT'!G32),0)</f>
        <v>0</v>
      </c>
      <c r="E13" s="90">
        <f>IF('RF by Location &lt;-INPUT'!E32+'RF by Location &lt;-INPUT'!F32+'RF by Location &lt;-INPUT'!G32&gt;0,'RF by Location &lt;-INPUT'!E32+'RF by Location &lt;-INPUT'!F32+'RF by Location &lt;-INPUT'!G32,0)</f>
        <v>0</v>
      </c>
    </row>
    <row r="14" spans="1:8" x14ac:dyDescent="0.25">
      <c r="A14" s="51"/>
      <c r="B14" s="52"/>
      <c r="C14" s="53"/>
      <c r="D14" s="54"/>
      <c r="E14" s="54"/>
    </row>
    <row r="15" spans="1:8" x14ac:dyDescent="0.25">
      <c r="A15" s="51"/>
      <c r="B15" s="52"/>
      <c r="C15" s="53"/>
      <c r="D15" s="54"/>
      <c r="E15" s="54"/>
    </row>
    <row r="16" spans="1:8" x14ac:dyDescent="0.25">
      <c r="A16" s="52"/>
      <c r="B16" s="52"/>
      <c r="C16" s="53"/>
      <c r="D16" s="54"/>
      <c r="E16" s="54"/>
    </row>
    <row r="17" spans="1:5" x14ac:dyDescent="0.25">
      <c r="B17" s="35"/>
      <c r="C17" s="57" t="s">
        <v>80</v>
      </c>
      <c r="D17" s="58">
        <f>SUM(D11:D16)</f>
        <v>0</v>
      </c>
      <c r="E17" s="58">
        <f>SUM(E11:E16)</f>
        <v>0</v>
      </c>
    </row>
    <row r="18" spans="1:5" x14ac:dyDescent="0.25">
      <c r="B18" s="35"/>
    </row>
    <row r="19" spans="1:5" x14ac:dyDescent="0.25">
      <c r="A19" s="44" t="s">
        <v>81</v>
      </c>
      <c r="B19" s="35"/>
    </row>
    <row r="20" spans="1:5" x14ac:dyDescent="0.25">
      <c r="B20" s="59"/>
      <c r="C20" s="15"/>
      <c r="D20" s="15"/>
    </row>
    <row r="21" spans="1:5" x14ac:dyDescent="0.25">
      <c r="B21" s="60"/>
      <c r="C21" s="61"/>
      <c r="D21" s="61"/>
    </row>
    <row r="22" spans="1:5" x14ac:dyDescent="0.25">
      <c r="B22" s="60"/>
      <c r="C22" s="61"/>
      <c r="D22" s="61"/>
    </row>
    <row r="23" spans="1:5" x14ac:dyDescent="0.25">
      <c r="B23" s="35"/>
    </row>
    <row r="24" spans="1:5" x14ac:dyDescent="0.25">
      <c r="A24" s="62" t="s">
        <v>82</v>
      </c>
      <c r="B24" s="63"/>
    </row>
    <row r="25" spans="1:5" x14ac:dyDescent="0.25">
      <c r="A25" s="65" t="s">
        <v>83</v>
      </c>
      <c r="B25" s="61"/>
    </row>
  </sheetData>
  <pageMargins left="0.7" right="0.7" top="0.75" bottom="0.75" header="0.3" footer="0.3"/>
  <pageSetup scale="88" orientation="portrait"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8">
    <tabColor theme="9"/>
  </sheetPr>
  <dimension ref="A1:H31"/>
  <sheetViews>
    <sheetView zoomScale="85" zoomScaleNormal="85" workbookViewId="0">
      <selection activeCell="F34" sqref="F34"/>
    </sheetView>
  </sheetViews>
  <sheetFormatPr defaultColWidth="9.140625" defaultRowHeight="15" x14ac:dyDescent="0.25"/>
  <cols>
    <col min="1" max="1" width="18.7109375" customWidth="1"/>
    <col min="2" max="3" width="22.7109375" customWidth="1"/>
    <col min="4" max="4" width="15.7109375" customWidth="1"/>
    <col min="5" max="6" width="18.7109375" customWidth="1"/>
  </cols>
  <sheetData>
    <row r="1" spans="1:8" x14ac:dyDescent="0.25">
      <c r="D1" s="35"/>
      <c r="G1" s="64"/>
      <c r="H1" s="31"/>
    </row>
    <row r="2" spans="1:8" ht="15.75" thickBot="1" x14ac:dyDescent="0.3">
      <c r="D2" s="35"/>
      <c r="E2" s="44" t="s">
        <v>65</v>
      </c>
      <c r="F2" s="43" t="str">
        <f>'Reimbursement Rates &lt;-INPUT'!A2</f>
        <v>Biocorrect</v>
      </c>
      <c r="H2" s="31"/>
    </row>
    <row r="3" spans="1:8" x14ac:dyDescent="0.25">
      <c r="D3" s="35"/>
      <c r="F3" s="35"/>
      <c r="H3" s="31"/>
    </row>
    <row r="4" spans="1:8" ht="15.75" thickBot="1" x14ac:dyDescent="0.3">
      <c r="D4" s="35"/>
      <c r="E4" s="44" t="s">
        <v>66</v>
      </c>
      <c r="F4" s="111">
        <f>'Agile AR Aging &lt;-INPUT'!C20</f>
        <v>45199</v>
      </c>
    </row>
    <row r="5" spans="1:8" x14ac:dyDescent="0.25">
      <c r="D5" s="35"/>
    </row>
    <row r="6" spans="1:8" ht="15.75" thickBot="1" x14ac:dyDescent="0.3">
      <c r="D6" s="35"/>
      <c r="E6" s="44" t="s">
        <v>67</v>
      </c>
      <c r="F6" s="43" t="s">
        <v>149</v>
      </c>
    </row>
    <row r="7" spans="1:8" ht="18" x14ac:dyDescent="0.25">
      <c r="A7" s="46" t="s">
        <v>68</v>
      </c>
      <c r="B7" s="46"/>
      <c r="D7" s="35"/>
    </row>
    <row r="8" spans="1:8" ht="15.75" thickBot="1" x14ac:dyDescent="0.3">
      <c r="D8" s="35"/>
      <c r="E8" s="44" t="s">
        <v>69</v>
      </c>
      <c r="F8" s="47"/>
    </row>
    <row r="9" spans="1:8" x14ac:dyDescent="0.25">
      <c r="D9" s="35"/>
      <c r="F9" t="s">
        <v>53</v>
      </c>
    </row>
    <row r="10" spans="1:8" x14ac:dyDescent="0.25">
      <c r="A10" s="48" t="s">
        <v>70</v>
      </c>
      <c r="B10" s="48" t="s">
        <v>266</v>
      </c>
      <c r="C10" s="49" t="s">
        <v>72</v>
      </c>
      <c r="D10" s="49" t="s">
        <v>71</v>
      </c>
      <c r="E10" s="49" t="s">
        <v>73</v>
      </c>
      <c r="F10" s="49" t="s">
        <v>74</v>
      </c>
      <c r="G10" s="50"/>
    </row>
    <row r="11" spans="1:8" x14ac:dyDescent="0.25">
      <c r="A11" s="51"/>
      <c r="B11" s="51"/>
      <c r="C11" s="53"/>
      <c r="D11" s="52"/>
      <c r="E11" s="54"/>
      <c r="F11" s="54"/>
    </row>
    <row r="12" spans="1:8" x14ac:dyDescent="0.25">
      <c r="A12" s="51">
        <f>F4</f>
        <v>45199</v>
      </c>
      <c r="B12" s="53" t="s">
        <v>75</v>
      </c>
      <c r="C12" s="53" t="s">
        <v>267</v>
      </c>
      <c r="D12" s="52" t="s">
        <v>203</v>
      </c>
      <c r="E12" s="90">
        <f>F13</f>
        <v>0</v>
      </c>
      <c r="F12" s="90">
        <f>E13</f>
        <v>0</v>
      </c>
    </row>
    <row r="13" spans="1:8" x14ac:dyDescent="0.25">
      <c r="A13" s="51"/>
      <c r="B13" s="53" t="s">
        <v>150</v>
      </c>
      <c r="C13" s="53" t="s">
        <v>267</v>
      </c>
      <c r="D13" s="52" t="s">
        <v>204</v>
      </c>
      <c r="E13" s="90">
        <f>IF('RF by Location &lt;-INPUT'!C33&lt;0,-'RF by Location &lt;-INPUT'!C33,0)</f>
        <v>0</v>
      </c>
      <c r="F13" s="90">
        <f>IF('RF by Location &lt;-INPUT'!C33&gt;0,'RF by Location &lt;-INPUT'!C33,0)</f>
        <v>0</v>
      </c>
    </row>
    <row r="14" spans="1:8" x14ac:dyDescent="0.25">
      <c r="A14" s="51"/>
      <c r="B14" s="53" t="s">
        <v>76</v>
      </c>
      <c r="C14" s="53" t="s">
        <v>267</v>
      </c>
      <c r="D14" s="52" t="s">
        <v>205</v>
      </c>
      <c r="E14" s="90">
        <f>F15</f>
        <v>0</v>
      </c>
      <c r="F14" s="90">
        <f>E15</f>
        <v>60000</v>
      </c>
    </row>
    <row r="15" spans="1:8" x14ac:dyDescent="0.25">
      <c r="A15" s="51"/>
      <c r="B15" s="53" t="s">
        <v>20</v>
      </c>
      <c r="C15" s="53" t="s">
        <v>267</v>
      </c>
      <c r="D15" s="52" t="s">
        <v>206</v>
      </c>
      <c r="E15" s="90">
        <f>IF('Clinic 12'!M128&lt;0,-'Clinic 12'!M128,0)</f>
        <v>60000</v>
      </c>
      <c r="F15" s="90">
        <f>IF('Clinic 12'!M128&gt;0,'Clinic 12'!M128,0)</f>
        <v>0</v>
      </c>
    </row>
    <row r="16" spans="1:8" x14ac:dyDescent="0.25">
      <c r="A16" s="51"/>
      <c r="B16" s="53" t="s">
        <v>77</v>
      </c>
      <c r="C16" s="53" t="s">
        <v>267</v>
      </c>
      <c r="D16" s="52" t="s">
        <v>207</v>
      </c>
      <c r="E16" s="90">
        <f>IF('Clinic 12'!M66&lt;0,-'Clinic 12'!M66,0)</f>
        <v>60000</v>
      </c>
      <c r="F16" s="90">
        <f>IF('Clinic 12'!M66&gt;0,'Clinic 12'!M66,0)</f>
        <v>0</v>
      </c>
      <c r="G16" s="55"/>
    </row>
    <row r="17" spans="1:7" x14ac:dyDescent="0.25">
      <c r="A17" s="51"/>
      <c r="B17" s="53" t="s">
        <v>75</v>
      </c>
      <c r="C17" s="53" t="s">
        <v>267</v>
      </c>
      <c r="D17" s="52" t="s">
        <v>203</v>
      </c>
      <c r="E17" s="90">
        <f>IF('RF by Location &lt;-INPUT'!D33+'RF by Location &lt;-INPUT'!H33&lt;0,-('RF by Location &lt;-INPUT'!D33+'RF by Location &lt;-INPUT'!H33),0)</f>
        <v>0</v>
      </c>
      <c r="F17" s="90">
        <f>IF('RF by Location &lt;-INPUT'!D33+'RF by Location &lt;-INPUT'!H33&gt;0,'RF by Location &lt;-INPUT'!D33+'RF by Location &lt;-INPUT'!H33,0)</f>
        <v>0</v>
      </c>
      <c r="G17" s="24"/>
    </row>
    <row r="18" spans="1:7" x14ac:dyDescent="0.25">
      <c r="A18" s="51"/>
      <c r="B18" s="53" t="s">
        <v>78</v>
      </c>
      <c r="C18" s="53" t="s">
        <v>267</v>
      </c>
      <c r="D18" s="52" t="s">
        <v>208</v>
      </c>
      <c r="E18" s="90">
        <f>IF((F17+F16-E16-E19+F19)&gt;0,(F17+F16-E16-E19+F19),0)</f>
        <v>0</v>
      </c>
      <c r="F18" s="90">
        <f>IF((F17+F16-E16-E19+F19)&lt;0,-(F17+F16-E16-E19+F19),0)</f>
        <v>60000</v>
      </c>
      <c r="G18" s="56"/>
    </row>
    <row r="19" spans="1:7" x14ac:dyDescent="0.25">
      <c r="A19" s="51"/>
      <c r="B19" s="53" t="s">
        <v>79</v>
      </c>
      <c r="C19" s="53" t="s">
        <v>267</v>
      </c>
      <c r="D19" s="52" t="s">
        <v>205</v>
      </c>
      <c r="E19" s="90">
        <f>'Bad Debt Detail &lt;-INPUT'!N64</f>
        <v>0</v>
      </c>
      <c r="F19" s="90">
        <v>0</v>
      </c>
    </row>
    <row r="20" spans="1:7" x14ac:dyDescent="0.25">
      <c r="A20" s="51"/>
      <c r="B20" s="51"/>
      <c r="C20" s="53"/>
      <c r="D20" s="52"/>
      <c r="E20" s="54"/>
      <c r="F20" s="54"/>
    </row>
    <row r="21" spans="1:7" x14ac:dyDescent="0.25">
      <c r="A21" s="51"/>
      <c r="B21" s="51"/>
      <c r="C21" s="53"/>
      <c r="D21" s="52"/>
      <c r="E21" s="54"/>
      <c r="F21" s="54"/>
    </row>
    <row r="22" spans="1:7" x14ac:dyDescent="0.25">
      <c r="A22" s="52"/>
      <c r="B22" s="52"/>
      <c r="C22" s="53"/>
      <c r="D22" s="52"/>
      <c r="E22" s="54"/>
      <c r="F22" s="54"/>
    </row>
    <row r="23" spans="1:7" x14ac:dyDescent="0.25">
      <c r="C23" s="57" t="s">
        <v>80</v>
      </c>
      <c r="D23" s="35"/>
      <c r="E23" s="58">
        <f>SUM(E11:E22)</f>
        <v>120000</v>
      </c>
      <c r="F23" s="58">
        <f>SUM(F11:F22)</f>
        <v>120000</v>
      </c>
    </row>
    <row r="24" spans="1:7" x14ac:dyDescent="0.25">
      <c r="D24" s="35"/>
    </row>
    <row r="25" spans="1:7" x14ac:dyDescent="0.25">
      <c r="A25" s="44" t="s">
        <v>81</v>
      </c>
      <c r="B25" s="44"/>
      <c r="D25" s="35"/>
    </row>
    <row r="26" spans="1:7" x14ac:dyDescent="0.25">
      <c r="C26" s="15"/>
      <c r="D26" s="59"/>
      <c r="E26" s="15"/>
    </row>
    <row r="27" spans="1:7" x14ac:dyDescent="0.25">
      <c r="C27" s="61"/>
      <c r="D27" s="60"/>
      <c r="E27" s="61"/>
    </row>
    <row r="28" spans="1:7" x14ac:dyDescent="0.25">
      <c r="C28" s="61"/>
      <c r="D28" s="60"/>
      <c r="E28" s="61"/>
    </row>
    <row r="29" spans="1:7" x14ac:dyDescent="0.25">
      <c r="D29" s="35"/>
    </row>
    <row r="30" spans="1:7" x14ac:dyDescent="0.25">
      <c r="A30" s="62" t="s">
        <v>82</v>
      </c>
      <c r="B30" s="62"/>
      <c r="D30" s="63"/>
    </row>
    <row r="31" spans="1:7" x14ac:dyDescent="0.25">
      <c r="A31" s="65" t="s">
        <v>83</v>
      </c>
      <c r="B31" s="65"/>
      <c r="D31" s="61"/>
    </row>
  </sheetData>
  <pageMargins left="0.7" right="0.7" top="0.75" bottom="0.75" header="0.3" footer="0.3"/>
  <pageSetup scale="77"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9">
    <tabColor theme="9"/>
  </sheetPr>
  <dimension ref="A1:H25"/>
  <sheetViews>
    <sheetView zoomScaleNormal="100" workbookViewId="0">
      <selection activeCell="F34" sqref="F34"/>
    </sheetView>
  </sheetViews>
  <sheetFormatPr defaultColWidth="9.140625" defaultRowHeight="15" x14ac:dyDescent="0.25"/>
  <cols>
    <col min="1" max="1" width="18.7109375" customWidth="1"/>
    <col min="2" max="2" width="15.7109375" customWidth="1"/>
    <col min="3" max="3" width="30.7109375" customWidth="1"/>
    <col min="4" max="5" width="18.7109375" customWidth="1"/>
  </cols>
  <sheetData>
    <row r="1" spans="1:8" x14ac:dyDescent="0.25">
      <c r="B1" s="35"/>
      <c r="F1" s="64"/>
      <c r="H1" s="31"/>
    </row>
    <row r="2" spans="1:8" ht="15.75" thickBot="1" x14ac:dyDescent="0.3">
      <c r="B2" s="35"/>
      <c r="D2" s="44" t="s">
        <v>65</v>
      </c>
      <c r="E2" s="43" t="str">
        <f>'Clinic 1 1-16 Rev Entry'!F2</f>
        <v>Biocorrect</v>
      </c>
      <c r="H2" s="31"/>
    </row>
    <row r="3" spans="1:8" x14ac:dyDescent="0.25">
      <c r="B3" s="35"/>
      <c r="E3" s="35"/>
      <c r="H3" s="31"/>
    </row>
    <row r="4" spans="1:8" ht="15.75" thickBot="1" x14ac:dyDescent="0.3">
      <c r="B4" s="35"/>
      <c r="D4" s="44" t="s">
        <v>66</v>
      </c>
      <c r="E4" s="45">
        <f>'Clinic 1 1-16 Rev Entry'!F4</f>
        <v>45199</v>
      </c>
    </row>
    <row r="5" spans="1:8" x14ac:dyDescent="0.25">
      <c r="B5" s="35"/>
    </row>
    <row r="6" spans="1:8" ht="15.75" thickBot="1" x14ac:dyDescent="0.3">
      <c r="B6" s="35"/>
      <c r="D6" s="44" t="s">
        <v>67</v>
      </c>
      <c r="E6" s="43" t="s">
        <v>149</v>
      </c>
    </row>
    <row r="7" spans="1:8" ht="18" x14ac:dyDescent="0.25">
      <c r="A7" s="46" t="s">
        <v>68</v>
      </c>
      <c r="B7" s="35"/>
    </row>
    <row r="8" spans="1:8" ht="15.75" thickBot="1" x14ac:dyDescent="0.3">
      <c r="B8" s="35"/>
      <c r="D8" s="44" t="s">
        <v>69</v>
      </c>
      <c r="E8" s="47"/>
    </row>
    <row r="9" spans="1:8" x14ac:dyDescent="0.25">
      <c r="B9" s="35"/>
      <c r="E9" t="s">
        <v>53</v>
      </c>
    </row>
    <row r="10" spans="1:8" x14ac:dyDescent="0.25">
      <c r="A10" s="48" t="s">
        <v>70</v>
      </c>
      <c r="B10" s="49" t="s">
        <v>71</v>
      </c>
      <c r="C10" s="49" t="s">
        <v>72</v>
      </c>
      <c r="D10" s="49" t="s">
        <v>73</v>
      </c>
      <c r="E10" s="49" t="s">
        <v>74</v>
      </c>
      <c r="F10" s="50"/>
    </row>
    <row r="11" spans="1:8" x14ac:dyDescent="0.25">
      <c r="A11" s="51"/>
      <c r="B11" s="52"/>
      <c r="C11" s="53"/>
      <c r="D11" s="54"/>
      <c r="E11" s="54"/>
    </row>
    <row r="12" spans="1:8" x14ac:dyDescent="0.25">
      <c r="A12" s="51">
        <f>E4</f>
        <v>45199</v>
      </c>
      <c r="B12" s="52" t="s">
        <v>45</v>
      </c>
      <c r="C12" s="53" t="s">
        <v>110</v>
      </c>
      <c r="D12" s="90">
        <f>E13</f>
        <v>0</v>
      </c>
      <c r="E12" s="90">
        <f>D13</f>
        <v>0</v>
      </c>
    </row>
    <row r="13" spans="1:8" x14ac:dyDescent="0.25">
      <c r="A13" s="51"/>
      <c r="B13" s="52" t="s">
        <v>203</v>
      </c>
      <c r="C13" s="53" t="s">
        <v>111</v>
      </c>
      <c r="D13" s="90">
        <f>IF('RF by Location &lt;-INPUT'!E33+'RF by Location &lt;-INPUT'!F33+'RF by Location &lt;-INPUT'!G33&lt;0,-('RF by Location &lt;-INPUT'!E33+'RF by Location &lt;-INPUT'!F33+'RF by Location &lt;-INPUT'!G33),0)</f>
        <v>0</v>
      </c>
      <c r="E13" s="90">
        <f>IF('RF by Location &lt;-INPUT'!E33+'RF by Location &lt;-INPUT'!F33+'RF by Location &lt;-INPUT'!G33&gt;0,'RF by Location &lt;-INPUT'!E33+'RF by Location &lt;-INPUT'!F33+'RF by Location &lt;-INPUT'!G33,0)</f>
        <v>0</v>
      </c>
    </row>
    <row r="14" spans="1:8" x14ac:dyDescent="0.25">
      <c r="A14" s="51"/>
      <c r="B14" s="52"/>
      <c r="C14" s="53"/>
      <c r="D14" s="54"/>
      <c r="E14" s="54"/>
    </row>
    <row r="15" spans="1:8" x14ac:dyDescent="0.25">
      <c r="A15" s="51"/>
      <c r="B15" s="52"/>
      <c r="C15" s="53"/>
      <c r="D15" s="54"/>
      <c r="E15" s="54"/>
    </row>
    <row r="16" spans="1:8" x14ac:dyDescent="0.25">
      <c r="A16" s="52"/>
      <c r="B16" s="52"/>
      <c r="C16" s="53"/>
      <c r="D16" s="54"/>
      <c r="E16" s="54"/>
    </row>
    <row r="17" spans="1:5" x14ac:dyDescent="0.25">
      <c r="B17" s="35"/>
      <c r="C17" s="57" t="s">
        <v>80</v>
      </c>
      <c r="D17" s="58">
        <f>SUM(D11:D16)</f>
        <v>0</v>
      </c>
      <c r="E17" s="58">
        <f>SUM(E11:E16)</f>
        <v>0</v>
      </c>
    </row>
    <row r="18" spans="1:5" x14ac:dyDescent="0.25">
      <c r="B18" s="35"/>
    </row>
    <row r="19" spans="1:5" x14ac:dyDescent="0.25">
      <c r="A19" s="44" t="s">
        <v>81</v>
      </c>
      <c r="B19" s="35"/>
    </row>
    <row r="20" spans="1:5" x14ac:dyDescent="0.25">
      <c r="B20" s="59"/>
      <c r="C20" s="15"/>
      <c r="D20" s="15"/>
    </row>
    <row r="21" spans="1:5" x14ac:dyDescent="0.25">
      <c r="B21" s="60"/>
      <c r="C21" s="61"/>
      <c r="D21" s="61"/>
    </row>
    <row r="22" spans="1:5" x14ac:dyDescent="0.25">
      <c r="B22" s="60"/>
      <c r="C22" s="61"/>
      <c r="D22" s="61"/>
    </row>
    <row r="23" spans="1:5" x14ac:dyDescent="0.25">
      <c r="B23" s="35"/>
    </row>
    <row r="24" spans="1:5" x14ac:dyDescent="0.25">
      <c r="A24" s="62" t="s">
        <v>82</v>
      </c>
      <c r="B24" s="63"/>
    </row>
    <row r="25" spans="1:5" x14ac:dyDescent="0.25">
      <c r="A25" s="65" t="s">
        <v>83</v>
      </c>
      <c r="B25" s="61"/>
    </row>
  </sheetData>
  <pageMargins left="0.7" right="0.7" top="0.75" bottom="0.75" header="0.3" footer="0.3"/>
  <pageSetup scale="88"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50">
    <tabColor theme="9"/>
  </sheetPr>
  <dimension ref="A1:H31"/>
  <sheetViews>
    <sheetView zoomScale="85" zoomScaleNormal="85" workbookViewId="0">
      <selection activeCell="F34" sqref="F34"/>
    </sheetView>
  </sheetViews>
  <sheetFormatPr defaultColWidth="9.140625" defaultRowHeight="15" x14ac:dyDescent="0.25"/>
  <cols>
    <col min="1" max="1" width="18.7109375" customWidth="1"/>
    <col min="2" max="3" width="22.7109375" customWidth="1"/>
    <col min="4" max="4" width="15.7109375" customWidth="1"/>
    <col min="5" max="6" width="18.7109375" customWidth="1"/>
  </cols>
  <sheetData>
    <row r="1" spans="1:8" x14ac:dyDescent="0.25">
      <c r="D1" s="35"/>
      <c r="G1" s="64"/>
      <c r="H1" s="31"/>
    </row>
    <row r="2" spans="1:8" ht="15.75" thickBot="1" x14ac:dyDescent="0.3">
      <c r="D2" s="35"/>
      <c r="E2" s="44" t="s">
        <v>65</v>
      </c>
      <c r="F2" s="43" t="str">
        <f>'Reimbursement Rates &lt;-INPUT'!A2</f>
        <v>Biocorrect</v>
      </c>
      <c r="H2" s="31"/>
    </row>
    <row r="3" spans="1:8" x14ac:dyDescent="0.25">
      <c r="D3" s="35"/>
      <c r="F3" s="35"/>
      <c r="H3" s="31"/>
    </row>
    <row r="4" spans="1:8" ht="15.75" thickBot="1" x14ac:dyDescent="0.3">
      <c r="D4" s="35"/>
      <c r="E4" s="44" t="s">
        <v>66</v>
      </c>
      <c r="F4" s="111">
        <f>'Agile AR Aging &lt;-INPUT'!C20</f>
        <v>45199</v>
      </c>
    </row>
    <row r="5" spans="1:8" x14ac:dyDescent="0.25">
      <c r="D5" s="35"/>
    </row>
    <row r="6" spans="1:8" ht="15.75" thickBot="1" x14ac:dyDescent="0.3">
      <c r="D6" s="35"/>
      <c r="E6" s="44" t="s">
        <v>67</v>
      </c>
      <c r="F6" s="43" t="s">
        <v>149</v>
      </c>
    </row>
    <row r="7" spans="1:8" ht="18" x14ac:dyDescent="0.25">
      <c r="A7" s="46" t="s">
        <v>68</v>
      </c>
      <c r="B7" s="46"/>
      <c r="D7" s="35"/>
    </row>
    <row r="8" spans="1:8" ht="15.75" thickBot="1" x14ac:dyDescent="0.3">
      <c r="D8" s="35"/>
      <c r="E8" s="44" t="s">
        <v>69</v>
      </c>
      <c r="F8" s="47"/>
    </row>
    <row r="9" spans="1:8" x14ac:dyDescent="0.25">
      <c r="D9" s="35"/>
      <c r="F9" t="s">
        <v>53</v>
      </c>
    </row>
    <row r="10" spans="1:8" x14ac:dyDescent="0.25">
      <c r="A10" s="48" t="s">
        <v>70</v>
      </c>
      <c r="B10" s="48" t="s">
        <v>266</v>
      </c>
      <c r="C10" s="49" t="s">
        <v>72</v>
      </c>
      <c r="D10" s="49" t="s">
        <v>71</v>
      </c>
      <c r="E10" s="49" t="s">
        <v>73</v>
      </c>
      <c r="F10" s="49" t="s">
        <v>74</v>
      </c>
      <c r="G10" s="50"/>
    </row>
    <row r="11" spans="1:8" x14ac:dyDescent="0.25">
      <c r="A11" s="51"/>
      <c r="B11" s="51"/>
      <c r="C11" s="53"/>
      <c r="D11" s="52"/>
      <c r="E11" s="54"/>
      <c r="F11" s="54"/>
    </row>
    <row r="12" spans="1:8" x14ac:dyDescent="0.25">
      <c r="A12" s="51">
        <f>F4</f>
        <v>45199</v>
      </c>
      <c r="B12" s="53" t="s">
        <v>75</v>
      </c>
      <c r="C12" s="53" t="s">
        <v>267</v>
      </c>
      <c r="D12" s="52" t="s">
        <v>203</v>
      </c>
      <c r="E12" s="90">
        <f>F13</f>
        <v>0</v>
      </c>
      <c r="F12" s="90">
        <f>E13</f>
        <v>0</v>
      </c>
    </row>
    <row r="13" spans="1:8" x14ac:dyDescent="0.25">
      <c r="A13" s="51"/>
      <c r="B13" s="53" t="s">
        <v>150</v>
      </c>
      <c r="C13" s="53" t="s">
        <v>267</v>
      </c>
      <c r="D13" s="52" t="s">
        <v>204</v>
      </c>
      <c r="E13" s="90">
        <f>IF('RF by Location &lt;-INPUT'!C34&lt;0,-'RF by Location &lt;-INPUT'!C34,0)</f>
        <v>0</v>
      </c>
      <c r="F13" s="90">
        <f>IF('RF by Location &lt;-INPUT'!C34&gt;0,'RF by Location &lt;-INPUT'!C34,0)</f>
        <v>0</v>
      </c>
    </row>
    <row r="14" spans="1:8" x14ac:dyDescent="0.25">
      <c r="A14" s="51"/>
      <c r="B14" s="53" t="s">
        <v>76</v>
      </c>
      <c r="C14" s="53" t="s">
        <v>267</v>
      </c>
      <c r="D14" s="52" t="s">
        <v>205</v>
      </c>
      <c r="E14" s="90">
        <f>F15</f>
        <v>0</v>
      </c>
      <c r="F14" s="90">
        <f>E15</f>
        <v>60000</v>
      </c>
    </row>
    <row r="15" spans="1:8" x14ac:dyDescent="0.25">
      <c r="A15" s="51"/>
      <c r="B15" s="53" t="s">
        <v>20</v>
      </c>
      <c r="C15" s="53" t="s">
        <v>267</v>
      </c>
      <c r="D15" s="52" t="s">
        <v>206</v>
      </c>
      <c r="E15" s="90">
        <f>IF('Clinic 13'!M128&lt;0,-'Clinic 13'!M128,0)</f>
        <v>60000</v>
      </c>
      <c r="F15" s="90">
        <f>IF('Clinic 13'!M128&gt;0,'Clinic 13'!M128,0)</f>
        <v>0</v>
      </c>
    </row>
    <row r="16" spans="1:8" x14ac:dyDescent="0.25">
      <c r="A16" s="51"/>
      <c r="B16" s="53" t="s">
        <v>77</v>
      </c>
      <c r="C16" s="53" t="s">
        <v>267</v>
      </c>
      <c r="D16" s="52" t="s">
        <v>207</v>
      </c>
      <c r="E16" s="90">
        <f>IF('Clinic 13'!M66&lt;0,-'Clinic 13'!M66,0)</f>
        <v>60000</v>
      </c>
      <c r="F16" s="90">
        <f>IF('Clinic 13'!M66&gt;0,'Clinic 13'!M66,0)</f>
        <v>0</v>
      </c>
      <c r="G16" s="55"/>
    </row>
    <row r="17" spans="1:7" x14ac:dyDescent="0.25">
      <c r="A17" s="51"/>
      <c r="B17" s="53" t="s">
        <v>75</v>
      </c>
      <c r="C17" s="53" t="s">
        <v>267</v>
      </c>
      <c r="D17" s="52" t="s">
        <v>203</v>
      </c>
      <c r="E17" s="90">
        <f>IF('RF by Location &lt;-INPUT'!D34+'RF by Location &lt;-INPUT'!H34&lt;0,-('RF by Location &lt;-INPUT'!D34+'RF by Location &lt;-INPUT'!H34),0)</f>
        <v>0</v>
      </c>
      <c r="F17" s="90">
        <f>IF('RF by Location &lt;-INPUT'!D34+'RF by Location &lt;-INPUT'!H34&gt;0,'RF by Location &lt;-INPUT'!D34+'RF by Location &lt;-INPUT'!H34,0)</f>
        <v>0</v>
      </c>
      <c r="G17" s="24"/>
    </row>
    <row r="18" spans="1:7" x14ac:dyDescent="0.25">
      <c r="A18" s="51"/>
      <c r="B18" s="53" t="s">
        <v>78</v>
      </c>
      <c r="C18" s="53" t="s">
        <v>267</v>
      </c>
      <c r="D18" s="52" t="s">
        <v>208</v>
      </c>
      <c r="E18" s="90">
        <f>IF((F17+F16-E16-E19+F19)&gt;0,(F17+F16-E16-E19+F19),0)</f>
        <v>0</v>
      </c>
      <c r="F18" s="90">
        <f>IF((F17+F16-E16-E19+F19)&lt;0,-(F17+F16-E16-E19+F19),0)</f>
        <v>60000</v>
      </c>
      <c r="G18" s="56"/>
    </row>
    <row r="19" spans="1:7" x14ac:dyDescent="0.25">
      <c r="A19" s="51"/>
      <c r="B19" s="53" t="s">
        <v>79</v>
      </c>
      <c r="C19" s="53" t="s">
        <v>267</v>
      </c>
      <c r="D19" s="52" t="s">
        <v>205</v>
      </c>
      <c r="E19" s="90">
        <f>'Bad Debt Detail &lt;-INPUT'!O64</f>
        <v>0</v>
      </c>
      <c r="F19" s="90">
        <v>0</v>
      </c>
    </row>
    <row r="20" spans="1:7" x14ac:dyDescent="0.25">
      <c r="A20" s="51"/>
      <c r="B20" s="51"/>
      <c r="C20" s="53"/>
      <c r="D20" s="52"/>
      <c r="E20" s="54"/>
      <c r="F20" s="54"/>
    </row>
    <row r="21" spans="1:7" x14ac:dyDescent="0.25">
      <c r="A21" s="51"/>
      <c r="B21" s="51"/>
      <c r="C21" s="53"/>
      <c r="D21" s="52"/>
      <c r="E21" s="54"/>
      <c r="F21" s="54"/>
    </row>
    <row r="22" spans="1:7" x14ac:dyDescent="0.25">
      <c r="A22" s="52"/>
      <c r="B22" s="52"/>
      <c r="C22" s="53"/>
      <c r="D22" s="52"/>
      <c r="E22" s="54"/>
      <c r="F22" s="54"/>
    </row>
    <row r="23" spans="1:7" x14ac:dyDescent="0.25">
      <c r="C23" s="57" t="s">
        <v>80</v>
      </c>
      <c r="D23" s="35"/>
      <c r="E23" s="58">
        <f>SUM(E11:E22)</f>
        <v>120000</v>
      </c>
      <c r="F23" s="58">
        <f>SUM(F11:F22)</f>
        <v>120000</v>
      </c>
    </row>
    <row r="24" spans="1:7" x14ac:dyDescent="0.25">
      <c r="D24" s="35"/>
    </row>
    <row r="25" spans="1:7" x14ac:dyDescent="0.25">
      <c r="A25" s="44" t="s">
        <v>81</v>
      </c>
      <c r="B25" s="44"/>
      <c r="D25" s="35"/>
    </row>
    <row r="26" spans="1:7" x14ac:dyDescent="0.25">
      <c r="C26" s="15"/>
      <c r="D26" s="59"/>
      <c r="E26" s="15"/>
    </row>
    <row r="27" spans="1:7" x14ac:dyDescent="0.25">
      <c r="C27" s="61"/>
      <c r="D27" s="60"/>
      <c r="E27" s="61"/>
    </row>
    <row r="28" spans="1:7" x14ac:dyDescent="0.25">
      <c r="C28" s="61"/>
      <c r="D28" s="60"/>
      <c r="E28" s="61"/>
    </row>
    <row r="29" spans="1:7" x14ac:dyDescent="0.25">
      <c r="D29" s="35"/>
    </row>
    <row r="30" spans="1:7" x14ac:dyDescent="0.25">
      <c r="A30" s="62" t="s">
        <v>82</v>
      </c>
      <c r="B30" s="62"/>
      <c r="D30" s="63"/>
    </row>
    <row r="31" spans="1:7" x14ac:dyDescent="0.25">
      <c r="A31" s="65" t="s">
        <v>83</v>
      </c>
      <c r="B31" s="65"/>
      <c r="D31" s="61"/>
    </row>
  </sheetData>
  <pageMargins left="0.7" right="0.7" top="0.75" bottom="0.75" header="0.3" footer="0.3"/>
  <pageSetup scale="77"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51">
    <tabColor theme="9"/>
  </sheetPr>
  <dimension ref="A1:H25"/>
  <sheetViews>
    <sheetView zoomScaleNormal="100" workbookViewId="0">
      <selection activeCell="C32" sqref="C32"/>
    </sheetView>
  </sheetViews>
  <sheetFormatPr defaultColWidth="9.140625" defaultRowHeight="15" x14ac:dyDescent="0.25"/>
  <cols>
    <col min="1" max="1" width="18.7109375" customWidth="1"/>
    <col min="2" max="2" width="15.7109375" customWidth="1"/>
    <col min="3" max="3" width="30.7109375" customWidth="1"/>
    <col min="4" max="5" width="18.7109375" customWidth="1"/>
  </cols>
  <sheetData>
    <row r="1" spans="1:8" x14ac:dyDescent="0.25">
      <c r="B1" s="35"/>
      <c r="F1" s="64"/>
      <c r="H1" s="31"/>
    </row>
    <row r="2" spans="1:8" ht="15.75" thickBot="1" x14ac:dyDescent="0.3">
      <c r="B2" s="35"/>
      <c r="D2" s="44" t="s">
        <v>65</v>
      </c>
      <c r="E2" s="43" t="str">
        <f>'Clinic 1 1-16 Rev Entry'!F2</f>
        <v>Biocorrect</v>
      </c>
      <c r="H2" s="31"/>
    </row>
    <row r="3" spans="1:8" x14ac:dyDescent="0.25">
      <c r="B3" s="35"/>
      <c r="E3" s="35"/>
      <c r="H3" s="31"/>
    </row>
    <row r="4" spans="1:8" ht="15.75" thickBot="1" x14ac:dyDescent="0.3">
      <c r="B4" s="35"/>
      <c r="D4" s="44" t="s">
        <v>66</v>
      </c>
      <c r="E4" s="45">
        <f>'Clinic 1 1-16 Rev Entry'!F4</f>
        <v>45199</v>
      </c>
    </row>
    <row r="5" spans="1:8" x14ac:dyDescent="0.25">
      <c r="B5" s="35"/>
    </row>
    <row r="6" spans="1:8" ht="15.75" thickBot="1" x14ac:dyDescent="0.3">
      <c r="B6" s="35"/>
      <c r="D6" s="44" t="s">
        <v>67</v>
      </c>
      <c r="E6" s="43" t="s">
        <v>149</v>
      </c>
    </row>
    <row r="7" spans="1:8" ht="18" x14ac:dyDescent="0.25">
      <c r="A7" s="46" t="s">
        <v>68</v>
      </c>
      <c r="B7" s="35"/>
    </row>
    <row r="8" spans="1:8" ht="15.75" thickBot="1" x14ac:dyDescent="0.3">
      <c r="B8" s="35"/>
      <c r="D8" s="44" t="s">
        <v>69</v>
      </c>
      <c r="E8" s="47"/>
    </row>
    <row r="9" spans="1:8" x14ac:dyDescent="0.25">
      <c r="B9" s="35"/>
      <c r="E9" t="s">
        <v>53</v>
      </c>
    </row>
    <row r="10" spans="1:8" x14ac:dyDescent="0.25">
      <c r="A10" s="48" t="s">
        <v>70</v>
      </c>
      <c r="B10" s="49" t="s">
        <v>71</v>
      </c>
      <c r="C10" s="49" t="s">
        <v>72</v>
      </c>
      <c r="D10" s="49" t="s">
        <v>73</v>
      </c>
      <c r="E10" s="49" t="s">
        <v>74</v>
      </c>
      <c r="F10" s="50"/>
    </row>
    <row r="11" spans="1:8" x14ac:dyDescent="0.25">
      <c r="A11" s="51"/>
      <c r="B11" s="52"/>
      <c r="C11" s="53"/>
      <c r="D11" s="54"/>
      <c r="E11" s="54"/>
    </row>
    <row r="12" spans="1:8" x14ac:dyDescent="0.25">
      <c r="A12" s="51">
        <f>E4</f>
        <v>45199</v>
      </c>
      <c r="B12" s="52" t="s">
        <v>45</v>
      </c>
      <c r="C12" s="53" t="s">
        <v>110</v>
      </c>
      <c r="D12" s="90">
        <f>E13</f>
        <v>0</v>
      </c>
      <c r="E12" s="90">
        <f>D13</f>
        <v>0</v>
      </c>
    </row>
    <row r="13" spans="1:8" x14ac:dyDescent="0.25">
      <c r="A13" s="51"/>
      <c r="B13" s="52" t="s">
        <v>203</v>
      </c>
      <c r="C13" s="53" t="s">
        <v>111</v>
      </c>
      <c r="D13" s="90">
        <f>IF('RF by Location &lt;-INPUT'!E34+'RF by Location &lt;-INPUT'!F34+'RF by Location &lt;-INPUT'!G34&lt;0,-('RF by Location &lt;-INPUT'!E34+'RF by Location &lt;-INPUT'!F34+'RF by Location &lt;-INPUT'!G34),0)</f>
        <v>0</v>
      </c>
      <c r="E13" s="90">
        <f>IF('RF by Location &lt;-INPUT'!E34+'RF by Location &lt;-INPUT'!F34+'RF by Location &lt;-INPUT'!G34&gt;0,'RF by Location &lt;-INPUT'!E34+'RF by Location &lt;-INPUT'!F34+'RF by Location &lt;-INPUT'!G34,0)</f>
        <v>0</v>
      </c>
    </row>
    <row r="14" spans="1:8" x14ac:dyDescent="0.25">
      <c r="A14" s="51"/>
      <c r="B14" s="52"/>
      <c r="C14" s="53"/>
      <c r="D14" s="54"/>
      <c r="E14" s="54"/>
    </row>
    <row r="15" spans="1:8" x14ac:dyDescent="0.25">
      <c r="A15" s="51"/>
      <c r="B15" s="52"/>
      <c r="C15" s="53"/>
      <c r="D15" s="54"/>
      <c r="E15" s="54"/>
    </row>
    <row r="16" spans="1:8" x14ac:dyDescent="0.25">
      <c r="A16" s="52"/>
      <c r="B16" s="52"/>
      <c r="C16" s="53"/>
      <c r="D16" s="54"/>
      <c r="E16" s="54"/>
    </row>
    <row r="17" spans="1:5" x14ac:dyDescent="0.25">
      <c r="B17" s="35"/>
      <c r="C17" s="57" t="s">
        <v>80</v>
      </c>
      <c r="D17" s="58">
        <f>SUM(D11:D16)</f>
        <v>0</v>
      </c>
      <c r="E17" s="58">
        <f>SUM(E11:E16)</f>
        <v>0</v>
      </c>
    </row>
    <row r="18" spans="1:5" x14ac:dyDescent="0.25">
      <c r="B18" s="35"/>
    </row>
    <row r="19" spans="1:5" x14ac:dyDescent="0.25">
      <c r="A19" s="44" t="s">
        <v>81</v>
      </c>
      <c r="B19" s="35"/>
    </row>
    <row r="20" spans="1:5" x14ac:dyDescent="0.25">
      <c r="B20" s="59"/>
      <c r="C20" s="15"/>
      <c r="D20" s="15"/>
    </row>
    <row r="21" spans="1:5" x14ac:dyDescent="0.25">
      <c r="B21" s="60"/>
      <c r="C21" s="61"/>
      <c r="D21" s="61"/>
    </row>
    <row r="22" spans="1:5" x14ac:dyDescent="0.25">
      <c r="B22" s="60"/>
      <c r="C22" s="61"/>
      <c r="D22" s="61"/>
    </row>
    <row r="23" spans="1:5" x14ac:dyDescent="0.25">
      <c r="B23" s="35"/>
    </row>
    <row r="24" spans="1:5" x14ac:dyDescent="0.25">
      <c r="A24" s="62" t="s">
        <v>82</v>
      </c>
      <c r="B24" s="63"/>
    </row>
    <row r="25" spans="1:5" x14ac:dyDescent="0.25">
      <c r="A25" s="65" t="s">
        <v>83</v>
      </c>
      <c r="B25" s="61"/>
    </row>
  </sheetData>
  <pageMargins left="0.7" right="0.7" top="0.75" bottom="0.75" header="0.3" footer="0.3"/>
  <pageSetup scale="88"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2">
    <tabColor theme="9"/>
  </sheetPr>
  <dimension ref="A1:H31"/>
  <sheetViews>
    <sheetView zoomScale="85" zoomScaleNormal="85" workbookViewId="0">
      <selection activeCell="C32" sqref="C32"/>
    </sheetView>
  </sheetViews>
  <sheetFormatPr defaultColWidth="9.140625" defaultRowHeight="15" x14ac:dyDescent="0.25"/>
  <cols>
    <col min="1" max="1" width="18.7109375" customWidth="1"/>
    <col min="2" max="3" width="22.7109375" customWidth="1"/>
    <col min="4" max="4" width="15.7109375" customWidth="1"/>
    <col min="5" max="6" width="18.7109375" customWidth="1"/>
  </cols>
  <sheetData>
    <row r="1" spans="1:8" x14ac:dyDescent="0.25">
      <c r="D1" s="35"/>
      <c r="G1" s="64"/>
      <c r="H1" s="31"/>
    </row>
    <row r="2" spans="1:8" ht="15.75" thickBot="1" x14ac:dyDescent="0.3">
      <c r="D2" s="35"/>
      <c r="E2" s="44" t="s">
        <v>65</v>
      </c>
      <c r="F2" s="43" t="str">
        <f>'Reimbursement Rates &lt;-INPUT'!A2</f>
        <v>Biocorrect</v>
      </c>
      <c r="H2" s="31"/>
    </row>
    <row r="3" spans="1:8" x14ac:dyDescent="0.25">
      <c r="D3" s="35"/>
      <c r="F3" s="35"/>
      <c r="H3" s="31"/>
    </row>
    <row r="4" spans="1:8" ht="15.75" thickBot="1" x14ac:dyDescent="0.3">
      <c r="D4" s="35"/>
      <c r="E4" s="44" t="s">
        <v>66</v>
      </c>
      <c r="F4" s="111">
        <f>'Agile AR Aging &lt;-INPUT'!C20</f>
        <v>45199</v>
      </c>
    </row>
    <row r="5" spans="1:8" x14ac:dyDescent="0.25">
      <c r="D5" s="35"/>
    </row>
    <row r="6" spans="1:8" ht="15.75" thickBot="1" x14ac:dyDescent="0.3">
      <c r="D6" s="35"/>
      <c r="E6" s="44" t="s">
        <v>67</v>
      </c>
      <c r="F6" s="43" t="s">
        <v>149</v>
      </c>
    </row>
    <row r="7" spans="1:8" ht="18" x14ac:dyDescent="0.25">
      <c r="A7" s="46" t="s">
        <v>68</v>
      </c>
      <c r="B7" s="46"/>
      <c r="D7" s="35"/>
    </row>
    <row r="8" spans="1:8" ht="15.75" thickBot="1" x14ac:dyDescent="0.3">
      <c r="D8" s="35"/>
      <c r="E8" s="44" t="s">
        <v>69</v>
      </c>
      <c r="F8" s="47"/>
    </row>
    <row r="9" spans="1:8" x14ac:dyDescent="0.25">
      <c r="D9" s="35"/>
      <c r="F9" t="s">
        <v>53</v>
      </c>
    </row>
    <row r="10" spans="1:8" x14ac:dyDescent="0.25">
      <c r="A10" s="48" t="s">
        <v>70</v>
      </c>
      <c r="B10" s="48" t="s">
        <v>266</v>
      </c>
      <c r="C10" s="49" t="s">
        <v>72</v>
      </c>
      <c r="D10" s="49" t="s">
        <v>71</v>
      </c>
      <c r="E10" s="49" t="s">
        <v>73</v>
      </c>
      <c r="F10" s="49" t="s">
        <v>74</v>
      </c>
      <c r="G10" s="50"/>
    </row>
    <row r="11" spans="1:8" x14ac:dyDescent="0.25">
      <c r="A11" s="51"/>
      <c r="B11" s="51"/>
      <c r="C11" s="53"/>
      <c r="D11" s="52"/>
      <c r="E11" s="54"/>
      <c r="F11" s="54"/>
    </row>
    <row r="12" spans="1:8" x14ac:dyDescent="0.25">
      <c r="A12" s="51">
        <f>F4</f>
        <v>45199</v>
      </c>
      <c r="B12" s="53" t="s">
        <v>75</v>
      </c>
      <c r="C12" s="53" t="s">
        <v>267</v>
      </c>
      <c r="D12" s="52" t="s">
        <v>203</v>
      </c>
      <c r="E12" s="90">
        <f>F13</f>
        <v>0</v>
      </c>
      <c r="F12" s="90">
        <f>E13</f>
        <v>0</v>
      </c>
    </row>
    <row r="13" spans="1:8" x14ac:dyDescent="0.25">
      <c r="A13" s="51"/>
      <c r="B13" s="53" t="s">
        <v>150</v>
      </c>
      <c r="C13" s="53" t="s">
        <v>267</v>
      </c>
      <c r="D13" s="52" t="s">
        <v>204</v>
      </c>
      <c r="E13" s="90">
        <f>IF('RF by Location &lt;-INPUT'!C35&lt;0,-'RF by Location &lt;-INPUT'!C35,0)</f>
        <v>0</v>
      </c>
      <c r="F13" s="90">
        <f>IF('RF by Location &lt;-INPUT'!C35&gt;0,'RF by Location &lt;-INPUT'!C35,0)</f>
        <v>0</v>
      </c>
    </row>
    <row r="14" spans="1:8" x14ac:dyDescent="0.25">
      <c r="A14" s="51"/>
      <c r="B14" s="53" t="s">
        <v>76</v>
      </c>
      <c r="C14" s="53" t="s">
        <v>267</v>
      </c>
      <c r="D14" s="52" t="s">
        <v>205</v>
      </c>
      <c r="E14" s="90">
        <f>F15</f>
        <v>0</v>
      </c>
      <c r="F14" s="90">
        <f>E15</f>
        <v>60000</v>
      </c>
    </row>
    <row r="15" spans="1:8" x14ac:dyDescent="0.25">
      <c r="A15" s="51"/>
      <c r="B15" s="53" t="s">
        <v>20</v>
      </c>
      <c r="C15" s="53" t="s">
        <v>267</v>
      </c>
      <c r="D15" s="52" t="s">
        <v>206</v>
      </c>
      <c r="E15" s="90">
        <f>IF('Clinic 14'!M128&lt;0,-'Clinic 14'!M128,0)</f>
        <v>60000</v>
      </c>
      <c r="F15" s="90">
        <f>IF('Clinic 14'!M128&gt;0,'Clinic 14'!M128,0)</f>
        <v>0</v>
      </c>
    </row>
    <row r="16" spans="1:8" x14ac:dyDescent="0.25">
      <c r="A16" s="51"/>
      <c r="B16" s="53" t="s">
        <v>77</v>
      </c>
      <c r="C16" s="53" t="s">
        <v>267</v>
      </c>
      <c r="D16" s="52" t="s">
        <v>207</v>
      </c>
      <c r="E16" s="90">
        <f>IF('Clinic 14'!M66&lt;0,-'Clinic 14'!M66,0)</f>
        <v>60000</v>
      </c>
      <c r="F16" s="90">
        <f>IF('Clinic 14'!M66&gt;0,'Clinic 14'!M66,0)</f>
        <v>0</v>
      </c>
      <c r="G16" s="55"/>
    </row>
    <row r="17" spans="1:7" x14ac:dyDescent="0.25">
      <c r="A17" s="51"/>
      <c r="B17" s="53" t="s">
        <v>75</v>
      </c>
      <c r="C17" s="53" t="s">
        <v>267</v>
      </c>
      <c r="D17" s="52" t="s">
        <v>203</v>
      </c>
      <c r="E17" s="90">
        <f>IF('RF by Location &lt;-INPUT'!D35+'RF by Location &lt;-INPUT'!H35&lt;0,-('RF by Location &lt;-INPUT'!D35+'RF by Location &lt;-INPUT'!H35),0)</f>
        <v>0</v>
      </c>
      <c r="F17" s="90">
        <f>IF('RF by Location &lt;-INPUT'!D35+'RF by Location &lt;-INPUT'!H35&gt;0,'RF by Location &lt;-INPUT'!D35+'RF by Location &lt;-INPUT'!H35,0)</f>
        <v>0</v>
      </c>
      <c r="G17" s="24"/>
    </row>
    <row r="18" spans="1:7" x14ac:dyDescent="0.25">
      <c r="A18" s="51"/>
      <c r="B18" s="53" t="s">
        <v>78</v>
      </c>
      <c r="C18" s="53" t="s">
        <v>267</v>
      </c>
      <c r="D18" s="52" t="s">
        <v>208</v>
      </c>
      <c r="E18" s="90">
        <f>IF((F17+F16-E16-E19+F19)&gt;0,(F17+F16-E16-E19+F19),0)</f>
        <v>0</v>
      </c>
      <c r="F18" s="90">
        <f>IF((F17+F16-E16-E19+F19)&lt;0,-(F17+F16-E16-E19+F19),0)</f>
        <v>60000</v>
      </c>
      <c r="G18" s="56"/>
    </row>
    <row r="19" spans="1:7" x14ac:dyDescent="0.25">
      <c r="A19" s="51"/>
      <c r="B19" s="53" t="s">
        <v>79</v>
      </c>
      <c r="C19" s="53" t="s">
        <v>267</v>
      </c>
      <c r="D19" s="52" t="s">
        <v>205</v>
      </c>
      <c r="E19" s="90">
        <f>'Bad Debt Detail &lt;-INPUT'!P64</f>
        <v>0</v>
      </c>
      <c r="F19" s="90">
        <v>0</v>
      </c>
    </row>
    <row r="20" spans="1:7" x14ac:dyDescent="0.25">
      <c r="A20" s="51"/>
      <c r="B20" s="51"/>
      <c r="C20" s="53"/>
      <c r="D20" s="52"/>
      <c r="E20" s="54"/>
      <c r="F20" s="54"/>
    </row>
    <row r="21" spans="1:7" x14ac:dyDescent="0.25">
      <c r="A21" s="51"/>
      <c r="B21" s="51"/>
      <c r="C21" s="53"/>
      <c r="D21" s="52"/>
      <c r="E21" s="54"/>
      <c r="F21" s="54"/>
    </row>
    <row r="22" spans="1:7" x14ac:dyDescent="0.25">
      <c r="A22" s="52"/>
      <c r="B22" s="52"/>
      <c r="C22" s="53"/>
      <c r="D22" s="52"/>
      <c r="E22" s="54"/>
      <c r="F22" s="54"/>
    </row>
    <row r="23" spans="1:7" x14ac:dyDescent="0.25">
      <c r="C23" s="57" t="s">
        <v>80</v>
      </c>
      <c r="D23" s="35"/>
      <c r="E23" s="58">
        <f>SUM(E11:E22)</f>
        <v>120000</v>
      </c>
      <c r="F23" s="58">
        <f>SUM(F11:F22)</f>
        <v>120000</v>
      </c>
    </row>
    <row r="24" spans="1:7" x14ac:dyDescent="0.25">
      <c r="D24" s="35"/>
    </row>
    <row r="25" spans="1:7" x14ac:dyDescent="0.25">
      <c r="A25" s="44" t="s">
        <v>81</v>
      </c>
      <c r="B25" s="44"/>
      <c r="D25" s="35"/>
    </row>
    <row r="26" spans="1:7" x14ac:dyDescent="0.25">
      <c r="C26" s="15"/>
      <c r="D26" s="59"/>
      <c r="E26" s="15"/>
    </row>
    <row r="27" spans="1:7" x14ac:dyDescent="0.25">
      <c r="C27" s="61"/>
      <c r="D27" s="60"/>
      <c r="E27" s="61"/>
    </row>
    <row r="28" spans="1:7" x14ac:dyDescent="0.25">
      <c r="C28" s="61"/>
      <c r="D28" s="60"/>
      <c r="E28" s="61"/>
    </row>
    <row r="29" spans="1:7" x14ac:dyDescent="0.25">
      <c r="D29" s="35"/>
    </row>
    <row r="30" spans="1:7" x14ac:dyDescent="0.25">
      <c r="A30" s="62" t="s">
        <v>82</v>
      </c>
      <c r="B30" s="62"/>
      <c r="D30" s="63"/>
    </row>
    <row r="31" spans="1:7" x14ac:dyDescent="0.25">
      <c r="A31" s="65" t="s">
        <v>83</v>
      </c>
      <c r="B31" s="65"/>
      <c r="D31" s="61"/>
    </row>
  </sheetData>
  <pageMargins left="0.7" right="0.7" top="0.75" bottom="0.75" header="0.3" footer="0.3"/>
  <pageSetup scale="77" orientation="portrait"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3">
    <tabColor theme="9"/>
  </sheetPr>
  <dimension ref="A1:H25"/>
  <sheetViews>
    <sheetView zoomScaleNormal="100" workbookViewId="0">
      <selection activeCell="C32" sqref="C32"/>
    </sheetView>
  </sheetViews>
  <sheetFormatPr defaultColWidth="9.140625" defaultRowHeight="15" x14ac:dyDescent="0.25"/>
  <cols>
    <col min="1" max="1" width="18.7109375" customWidth="1"/>
    <col min="2" max="2" width="15.7109375" customWidth="1"/>
    <col min="3" max="3" width="30.7109375" customWidth="1"/>
    <col min="4" max="5" width="18.7109375" customWidth="1"/>
  </cols>
  <sheetData>
    <row r="1" spans="1:8" x14ac:dyDescent="0.25">
      <c r="B1" s="35"/>
      <c r="F1" s="64"/>
      <c r="H1" s="31"/>
    </row>
    <row r="2" spans="1:8" ht="15.75" thickBot="1" x14ac:dyDescent="0.3">
      <c r="B2" s="35"/>
      <c r="D2" s="44" t="s">
        <v>65</v>
      </c>
      <c r="E2" s="43" t="str">
        <f>'Clinic 1 1-16 Rev Entry'!F2</f>
        <v>Biocorrect</v>
      </c>
      <c r="H2" s="31"/>
    </row>
    <row r="3" spans="1:8" x14ac:dyDescent="0.25">
      <c r="B3" s="35"/>
      <c r="E3" s="35"/>
      <c r="H3" s="31"/>
    </row>
    <row r="4" spans="1:8" ht="15.75" thickBot="1" x14ac:dyDescent="0.3">
      <c r="B4" s="35"/>
      <c r="D4" s="44" t="s">
        <v>66</v>
      </c>
      <c r="E4" s="45">
        <f>'Clinic 1 1-16 Rev Entry'!F4</f>
        <v>45199</v>
      </c>
    </row>
    <row r="5" spans="1:8" x14ac:dyDescent="0.25">
      <c r="B5" s="35"/>
    </row>
    <row r="6" spans="1:8" ht="15.75" thickBot="1" x14ac:dyDescent="0.3">
      <c r="B6" s="35"/>
      <c r="D6" s="44" t="s">
        <v>67</v>
      </c>
      <c r="E6" s="43" t="s">
        <v>149</v>
      </c>
    </row>
    <row r="7" spans="1:8" ht="18" x14ac:dyDescent="0.25">
      <c r="A7" s="46" t="s">
        <v>68</v>
      </c>
      <c r="B7" s="35"/>
    </row>
    <row r="8" spans="1:8" ht="15.75" thickBot="1" x14ac:dyDescent="0.3">
      <c r="B8" s="35"/>
      <c r="D8" s="44" t="s">
        <v>69</v>
      </c>
      <c r="E8" s="47"/>
    </row>
    <row r="9" spans="1:8" x14ac:dyDescent="0.25">
      <c r="B9" s="35"/>
      <c r="E9" t="s">
        <v>53</v>
      </c>
    </row>
    <row r="10" spans="1:8" x14ac:dyDescent="0.25">
      <c r="A10" s="48" t="s">
        <v>70</v>
      </c>
      <c r="B10" s="49" t="s">
        <v>71</v>
      </c>
      <c r="C10" s="49" t="s">
        <v>72</v>
      </c>
      <c r="D10" s="49" t="s">
        <v>73</v>
      </c>
      <c r="E10" s="49" t="s">
        <v>74</v>
      </c>
      <c r="F10" s="50"/>
    </row>
    <row r="11" spans="1:8" x14ac:dyDescent="0.25">
      <c r="A11" s="51"/>
      <c r="B11" s="52"/>
      <c r="C11" s="53"/>
      <c r="D11" s="54"/>
      <c r="E11" s="54"/>
    </row>
    <row r="12" spans="1:8" x14ac:dyDescent="0.25">
      <c r="A12" s="51">
        <f>E4</f>
        <v>45199</v>
      </c>
      <c r="B12" s="52" t="s">
        <v>45</v>
      </c>
      <c r="C12" s="53" t="s">
        <v>110</v>
      </c>
      <c r="D12" s="90">
        <f>E13</f>
        <v>0</v>
      </c>
      <c r="E12" s="90">
        <f>D13</f>
        <v>0</v>
      </c>
    </row>
    <row r="13" spans="1:8" x14ac:dyDescent="0.25">
      <c r="A13" s="51"/>
      <c r="B13" s="52" t="s">
        <v>203</v>
      </c>
      <c r="C13" s="53" t="s">
        <v>111</v>
      </c>
      <c r="D13" s="90">
        <f>IF('RF by Location &lt;-INPUT'!E35+'RF by Location &lt;-INPUT'!F35+'RF by Location &lt;-INPUT'!G35&lt;0,-('RF by Location &lt;-INPUT'!E35+'RF by Location &lt;-INPUT'!F35+'RF by Location &lt;-INPUT'!G35),0)</f>
        <v>0</v>
      </c>
      <c r="E13" s="90">
        <f>IF('RF by Location &lt;-INPUT'!E35+'RF by Location &lt;-INPUT'!F35+'RF by Location &lt;-INPUT'!G35&gt;0,'RF by Location &lt;-INPUT'!E35+'RF by Location &lt;-INPUT'!F35+'RF by Location &lt;-INPUT'!G35,0)</f>
        <v>0</v>
      </c>
    </row>
    <row r="14" spans="1:8" x14ac:dyDescent="0.25">
      <c r="A14" s="51"/>
      <c r="B14" s="52"/>
      <c r="C14" s="53"/>
      <c r="D14" s="54"/>
      <c r="E14" s="54"/>
    </row>
    <row r="15" spans="1:8" x14ac:dyDescent="0.25">
      <c r="A15" s="51"/>
      <c r="B15" s="52"/>
      <c r="C15" s="53"/>
      <c r="D15" s="54"/>
      <c r="E15" s="54"/>
    </row>
    <row r="16" spans="1:8" x14ac:dyDescent="0.25">
      <c r="A16" s="52"/>
      <c r="B16" s="52"/>
      <c r="C16" s="53"/>
      <c r="D16" s="54"/>
      <c r="E16" s="54"/>
    </row>
    <row r="17" spans="1:5" x14ac:dyDescent="0.25">
      <c r="B17" s="35"/>
      <c r="C17" s="57" t="s">
        <v>80</v>
      </c>
      <c r="D17" s="58">
        <f>SUM(D11:D16)</f>
        <v>0</v>
      </c>
      <c r="E17" s="58">
        <f>SUM(E11:E16)</f>
        <v>0</v>
      </c>
    </row>
    <row r="18" spans="1:5" x14ac:dyDescent="0.25">
      <c r="B18" s="35"/>
    </row>
    <row r="19" spans="1:5" x14ac:dyDescent="0.25">
      <c r="A19" s="44" t="s">
        <v>81</v>
      </c>
      <c r="B19" s="35"/>
    </row>
    <row r="20" spans="1:5" x14ac:dyDescent="0.25">
      <c r="B20" s="59"/>
      <c r="C20" s="15"/>
      <c r="D20" s="15"/>
    </row>
    <row r="21" spans="1:5" x14ac:dyDescent="0.25">
      <c r="B21" s="60"/>
      <c r="C21" s="61"/>
      <c r="D21" s="61"/>
    </row>
    <row r="22" spans="1:5" x14ac:dyDescent="0.25">
      <c r="B22" s="60"/>
      <c r="C22" s="61"/>
      <c r="D22" s="61"/>
    </row>
    <row r="23" spans="1:5" x14ac:dyDescent="0.25">
      <c r="B23" s="35"/>
    </row>
    <row r="24" spans="1:5" x14ac:dyDescent="0.25">
      <c r="A24" s="62" t="s">
        <v>82</v>
      </c>
      <c r="B24" s="63"/>
    </row>
    <row r="25" spans="1:5" x14ac:dyDescent="0.25">
      <c r="A25" s="65" t="s">
        <v>83</v>
      </c>
      <c r="B25" s="61"/>
    </row>
  </sheetData>
  <pageMargins left="0.7" right="0.7" top="0.75" bottom="0.75" header="0.3" footer="0.3"/>
  <pageSetup scale="88"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4">
    <tabColor theme="9"/>
  </sheetPr>
  <dimension ref="A1:H31"/>
  <sheetViews>
    <sheetView zoomScale="85" zoomScaleNormal="85" workbookViewId="0">
      <selection activeCell="O38" sqref="O38"/>
    </sheetView>
  </sheetViews>
  <sheetFormatPr defaultColWidth="9.140625" defaultRowHeight="15" x14ac:dyDescent="0.25"/>
  <cols>
    <col min="1" max="1" width="18.7109375" customWidth="1"/>
    <col min="2" max="3" width="22.7109375" customWidth="1"/>
    <col min="4" max="4" width="15.7109375" customWidth="1"/>
    <col min="5" max="6" width="18.7109375" customWidth="1"/>
  </cols>
  <sheetData>
    <row r="1" spans="1:8" x14ac:dyDescent="0.25">
      <c r="D1" s="35"/>
      <c r="G1" s="64"/>
      <c r="H1" s="31"/>
    </row>
    <row r="2" spans="1:8" ht="15.75" thickBot="1" x14ac:dyDescent="0.3">
      <c r="D2" s="35"/>
      <c r="E2" s="44" t="s">
        <v>65</v>
      </c>
      <c r="F2" s="43" t="str">
        <f>'Reimbursement Rates &lt;-INPUT'!A2</f>
        <v>Biocorrect</v>
      </c>
      <c r="H2" s="31"/>
    </row>
    <row r="3" spans="1:8" x14ac:dyDescent="0.25">
      <c r="D3" s="35"/>
      <c r="F3" s="35"/>
      <c r="H3" s="31"/>
    </row>
    <row r="4" spans="1:8" ht="15.75" thickBot="1" x14ac:dyDescent="0.3">
      <c r="D4" s="35"/>
      <c r="E4" s="44" t="s">
        <v>66</v>
      </c>
      <c r="F4" s="111">
        <f>'Agile AR Aging &lt;-INPUT'!C20</f>
        <v>45199</v>
      </c>
    </row>
    <row r="5" spans="1:8" x14ac:dyDescent="0.25">
      <c r="D5" s="35"/>
    </row>
    <row r="6" spans="1:8" ht="15.75" thickBot="1" x14ac:dyDescent="0.3">
      <c r="D6" s="35"/>
      <c r="E6" s="44" t="s">
        <v>67</v>
      </c>
      <c r="F6" s="43" t="s">
        <v>149</v>
      </c>
    </row>
    <row r="7" spans="1:8" ht="18" x14ac:dyDescent="0.25">
      <c r="A7" s="46" t="s">
        <v>68</v>
      </c>
      <c r="B7" s="46"/>
      <c r="D7" s="35"/>
    </row>
    <row r="8" spans="1:8" ht="15.75" thickBot="1" x14ac:dyDescent="0.3">
      <c r="D8" s="35"/>
      <c r="E8" s="44" t="s">
        <v>69</v>
      </c>
      <c r="F8" s="47"/>
    </row>
    <row r="9" spans="1:8" x14ac:dyDescent="0.25">
      <c r="D9" s="35"/>
      <c r="F9" t="s">
        <v>53</v>
      </c>
    </row>
    <row r="10" spans="1:8" x14ac:dyDescent="0.25">
      <c r="A10" s="48" t="s">
        <v>70</v>
      </c>
      <c r="B10" s="48" t="s">
        <v>266</v>
      </c>
      <c r="C10" s="49" t="s">
        <v>72</v>
      </c>
      <c r="D10" s="49" t="s">
        <v>71</v>
      </c>
      <c r="E10" s="49" t="s">
        <v>73</v>
      </c>
      <c r="F10" s="49" t="s">
        <v>74</v>
      </c>
      <c r="G10" s="50"/>
    </row>
    <row r="11" spans="1:8" x14ac:dyDescent="0.25">
      <c r="A11" s="51"/>
      <c r="B11" s="51"/>
      <c r="C11" s="53"/>
      <c r="D11" s="52"/>
      <c r="E11" s="54"/>
      <c r="F11" s="54"/>
    </row>
    <row r="12" spans="1:8" x14ac:dyDescent="0.25">
      <c r="A12" s="51">
        <f>F4</f>
        <v>45199</v>
      </c>
      <c r="B12" s="53" t="s">
        <v>75</v>
      </c>
      <c r="C12" s="53" t="s">
        <v>267</v>
      </c>
      <c r="D12" s="52" t="s">
        <v>203</v>
      </c>
      <c r="E12" s="90">
        <f>F13</f>
        <v>0</v>
      </c>
      <c r="F12" s="90">
        <f>E13</f>
        <v>0</v>
      </c>
    </row>
    <row r="13" spans="1:8" x14ac:dyDescent="0.25">
      <c r="A13" s="51"/>
      <c r="B13" s="53" t="s">
        <v>150</v>
      </c>
      <c r="C13" s="53" t="s">
        <v>267</v>
      </c>
      <c r="D13" s="52" t="s">
        <v>204</v>
      </c>
      <c r="E13" s="90">
        <f>IF('RF by Location &lt;-INPUT'!C36&lt;0,-'RF by Location &lt;-INPUT'!C36,0)</f>
        <v>0</v>
      </c>
      <c r="F13" s="90">
        <f>IF('RF by Location &lt;-INPUT'!C36&gt;0,'RF by Location &lt;-INPUT'!C36,0)</f>
        <v>0</v>
      </c>
    </row>
    <row r="14" spans="1:8" x14ac:dyDescent="0.25">
      <c r="A14" s="51"/>
      <c r="B14" s="53" t="s">
        <v>76</v>
      </c>
      <c r="C14" s="53" t="s">
        <v>267</v>
      </c>
      <c r="D14" s="52" t="s">
        <v>205</v>
      </c>
      <c r="E14" s="90">
        <f>F15</f>
        <v>0</v>
      </c>
      <c r="F14" s="90">
        <f>E15</f>
        <v>60000</v>
      </c>
    </row>
    <row r="15" spans="1:8" x14ac:dyDescent="0.25">
      <c r="A15" s="51"/>
      <c r="B15" s="53" t="s">
        <v>20</v>
      </c>
      <c r="C15" s="53" t="s">
        <v>267</v>
      </c>
      <c r="D15" s="52" t="s">
        <v>206</v>
      </c>
      <c r="E15" s="90">
        <f>IF('Clinic 15'!M128&lt;0,-'Clinic 15'!M128,0)</f>
        <v>60000</v>
      </c>
      <c r="F15" s="90">
        <f>IF('Clinic 15'!M128&gt;0,'Clinic 15'!M128,0)</f>
        <v>0</v>
      </c>
    </row>
    <row r="16" spans="1:8" x14ac:dyDescent="0.25">
      <c r="A16" s="51"/>
      <c r="B16" s="53" t="s">
        <v>77</v>
      </c>
      <c r="C16" s="53" t="s">
        <v>267</v>
      </c>
      <c r="D16" s="52" t="s">
        <v>207</v>
      </c>
      <c r="E16" s="90">
        <f>IF('Clinic 15'!M66&lt;0,-'Clinic 15'!M66,0)</f>
        <v>60000</v>
      </c>
      <c r="F16" s="90">
        <f>IF('Clinic 15'!M66&gt;0,'Clinic 15'!M66,0)</f>
        <v>0</v>
      </c>
      <c r="G16" s="55"/>
    </row>
    <row r="17" spans="1:7" x14ac:dyDescent="0.25">
      <c r="A17" s="51"/>
      <c r="B17" s="53" t="s">
        <v>75</v>
      </c>
      <c r="C17" s="53" t="s">
        <v>267</v>
      </c>
      <c r="D17" s="52" t="s">
        <v>203</v>
      </c>
      <c r="E17" s="90">
        <f>IF('RF by Location &lt;-INPUT'!D36+'RF by Location &lt;-INPUT'!H36&lt;0,-('RF by Location &lt;-INPUT'!D36+'RF by Location &lt;-INPUT'!H36),0)</f>
        <v>0</v>
      </c>
      <c r="F17" s="90">
        <f>IF('RF by Location &lt;-INPUT'!D36+'RF by Location &lt;-INPUT'!H36&gt;0,'RF by Location &lt;-INPUT'!D36+'RF by Location &lt;-INPUT'!H36,0)</f>
        <v>0</v>
      </c>
      <c r="G17" s="24"/>
    </row>
    <row r="18" spans="1:7" x14ac:dyDescent="0.25">
      <c r="A18" s="51"/>
      <c r="B18" s="53" t="s">
        <v>78</v>
      </c>
      <c r="C18" s="53" t="s">
        <v>267</v>
      </c>
      <c r="D18" s="52" t="s">
        <v>208</v>
      </c>
      <c r="E18" s="90">
        <f>IF((F17+F16-E16-E19+F19)&gt;0,(F17+F16-E16-E19+F19),0)</f>
        <v>0</v>
      </c>
      <c r="F18" s="90">
        <f>IF((F17+F16-E16-E19+F19)&lt;0,-(F17+F16-E16-E19+F19),0)</f>
        <v>60000</v>
      </c>
      <c r="G18" s="56"/>
    </row>
    <row r="19" spans="1:7" x14ac:dyDescent="0.25">
      <c r="A19" s="51"/>
      <c r="B19" s="53" t="s">
        <v>79</v>
      </c>
      <c r="C19" s="53" t="s">
        <v>267</v>
      </c>
      <c r="D19" s="52" t="s">
        <v>205</v>
      </c>
      <c r="E19" s="90">
        <f>'Bad Debt Detail &lt;-INPUT'!Q64</f>
        <v>0</v>
      </c>
      <c r="F19" s="90">
        <v>0</v>
      </c>
    </row>
    <row r="20" spans="1:7" x14ac:dyDescent="0.25">
      <c r="A20" s="51"/>
      <c r="B20" s="51"/>
      <c r="C20" s="53"/>
      <c r="D20" s="52"/>
      <c r="E20" s="54"/>
      <c r="F20" s="54"/>
    </row>
    <row r="21" spans="1:7" x14ac:dyDescent="0.25">
      <c r="A21" s="51"/>
      <c r="B21" s="51"/>
      <c r="C21" s="53"/>
      <c r="D21" s="52"/>
      <c r="E21" s="54"/>
      <c r="F21" s="54"/>
    </row>
    <row r="22" spans="1:7" x14ac:dyDescent="0.25">
      <c r="A22" s="52"/>
      <c r="B22" s="52"/>
      <c r="C22" s="53"/>
      <c r="D22" s="52"/>
      <c r="E22" s="54"/>
      <c r="F22" s="54"/>
    </row>
    <row r="23" spans="1:7" x14ac:dyDescent="0.25">
      <c r="C23" s="57" t="s">
        <v>80</v>
      </c>
      <c r="D23" s="35"/>
      <c r="E23" s="58">
        <f>SUM(E11:E22)</f>
        <v>120000</v>
      </c>
      <c r="F23" s="58">
        <f>SUM(F11:F22)</f>
        <v>120000</v>
      </c>
    </row>
    <row r="24" spans="1:7" x14ac:dyDescent="0.25">
      <c r="D24" s="35"/>
    </row>
    <row r="25" spans="1:7" x14ac:dyDescent="0.25">
      <c r="A25" s="44" t="s">
        <v>81</v>
      </c>
      <c r="B25" s="44"/>
      <c r="D25" s="35"/>
    </row>
    <row r="26" spans="1:7" x14ac:dyDescent="0.25">
      <c r="C26" s="15"/>
      <c r="D26" s="59"/>
      <c r="E26" s="15"/>
    </row>
    <row r="27" spans="1:7" x14ac:dyDescent="0.25">
      <c r="C27" s="61"/>
      <c r="D27" s="60"/>
      <c r="E27" s="61"/>
    </row>
    <row r="28" spans="1:7" x14ac:dyDescent="0.25">
      <c r="C28" s="61"/>
      <c r="D28" s="60"/>
      <c r="E28" s="61"/>
    </row>
    <row r="29" spans="1:7" x14ac:dyDescent="0.25">
      <c r="D29" s="35"/>
    </row>
    <row r="30" spans="1:7" x14ac:dyDescent="0.25">
      <c r="A30" s="62" t="s">
        <v>82</v>
      </c>
      <c r="B30" s="62"/>
      <c r="D30" s="63"/>
    </row>
    <row r="31" spans="1:7" x14ac:dyDescent="0.25">
      <c r="A31" s="65" t="s">
        <v>83</v>
      </c>
      <c r="B31" s="65"/>
      <c r="D31" s="61"/>
    </row>
  </sheetData>
  <pageMargins left="0.7" right="0.7" top="0.75" bottom="0.75" header="0.3" footer="0.3"/>
  <pageSetup scale="77"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5">
    <tabColor theme="9"/>
  </sheetPr>
  <dimension ref="A1:H25"/>
  <sheetViews>
    <sheetView zoomScaleNormal="100" workbookViewId="0">
      <selection activeCell="O38" sqref="O38"/>
    </sheetView>
  </sheetViews>
  <sheetFormatPr defaultColWidth="9.140625" defaultRowHeight="15" x14ac:dyDescent="0.25"/>
  <cols>
    <col min="1" max="1" width="18.7109375" customWidth="1"/>
    <col min="2" max="2" width="15.7109375" customWidth="1"/>
    <col min="3" max="3" width="30.7109375" customWidth="1"/>
    <col min="4" max="5" width="18.7109375" customWidth="1"/>
  </cols>
  <sheetData>
    <row r="1" spans="1:8" x14ac:dyDescent="0.25">
      <c r="B1" s="35"/>
      <c r="F1" s="64"/>
      <c r="H1" s="31"/>
    </row>
    <row r="2" spans="1:8" ht="15.75" thickBot="1" x14ac:dyDescent="0.3">
      <c r="B2" s="35"/>
      <c r="D2" s="44" t="s">
        <v>65</v>
      </c>
      <c r="E2" s="43" t="str">
        <f>'Clinic 1 1-16 Rev Entry'!F2</f>
        <v>Biocorrect</v>
      </c>
      <c r="H2" s="31"/>
    </row>
    <row r="3" spans="1:8" x14ac:dyDescent="0.25">
      <c r="B3" s="35"/>
      <c r="E3" s="35"/>
      <c r="H3" s="31"/>
    </row>
    <row r="4" spans="1:8" ht="15.75" thickBot="1" x14ac:dyDescent="0.3">
      <c r="B4" s="35"/>
      <c r="D4" s="44" t="s">
        <v>66</v>
      </c>
      <c r="E4" s="45">
        <f>'Clinic 1 1-16 Rev Entry'!F4</f>
        <v>45199</v>
      </c>
    </row>
    <row r="5" spans="1:8" x14ac:dyDescent="0.25">
      <c r="B5" s="35"/>
    </row>
    <row r="6" spans="1:8" ht="15.75" thickBot="1" x14ac:dyDescent="0.3">
      <c r="B6" s="35"/>
      <c r="D6" s="44" t="s">
        <v>67</v>
      </c>
      <c r="E6" s="43" t="s">
        <v>149</v>
      </c>
    </row>
    <row r="7" spans="1:8" ht="18" x14ac:dyDescent="0.25">
      <c r="A7" s="46" t="s">
        <v>68</v>
      </c>
      <c r="B7" s="35"/>
    </row>
    <row r="8" spans="1:8" ht="15.75" thickBot="1" x14ac:dyDescent="0.3">
      <c r="B8" s="35"/>
      <c r="D8" s="44" t="s">
        <v>69</v>
      </c>
      <c r="E8" s="47"/>
    </row>
    <row r="9" spans="1:8" x14ac:dyDescent="0.25">
      <c r="B9" s="35"/>
      <c r="E9" t="s">
        <v>53</v>
      </c>
    </row>
    <row r="10" spans="1:8" x14ac:dyDescent="0.25">
      <c r="A10" s="48" t="s">
        <v>70</v>
      </c>
      <c r="B10" s="49" t="s">
        <v>71</v>
      </c>
      <c r="C10" s="49" t="s">
        <v>72</v>
      </c>
      <c r="D10" s="49" t="s">
        <v>73</v>
      </c>
      <c r="E10" s="49" t="s">
        <v>74</v>
      </c>
      <c r="F10" s="50"/>
    </row>
    <row r="11" spans="1:8" x14ac:dyDescent="0.25">
      <c r="A11" s="51"/>
      <c r="B11" s="52"/>
      <c r="C11" s="53"/>
      <c r="D11" s="54"/>
      <c r="E11" s="54"/>
    </row>
    <row r="12" spans="1:8" x14ac:dyDescent="0.25">
      <c r="A12" s="51">
        <f>E4</f>
        <v>45199</v>
      </c>
      <c r="B12" s="52" t="s">
        <v>45</v>
      </c>
      <c r="C12" s="53" t="s">
        <v>110</v>
      </c>
      <c r="D12" s="90">
        <f>E13</f>
        <v>0</v>
      </c>
      <c r="E12" s="90">
        <f>D13</f>
        <v>0</v>
      </c>
    </row>
    <row r="13" spans="1:8" x14ac:dyDescent="0.25">
      <c r="A13" s="51"/>
      <c r="B13" s="52" t="s">
        <v>203</v>
      </c>
      <c r="C13" s="53" t="s">
        <v>111</v>
      </c>
      <c r="D13" s="90">
        <f>IF('RF by Location &lt;-INPUT'!E36+'RF by Location &lt;-INPUT'!F36+'RF by Location &lt;-INPUT'!G36&lt;0,-('RF by Location &lt;-INPUT'!E36+'RF by Location &lt;-INPUT'!F36+'RF by Location &lt;-INPUT'!G36),0)</f>
        <v>0</v>
      </c>
      <c r="E13" s="90">
        <f>IF('RF by Location &lt;-INPUT'!E36+'RF by Location &lt;-INPUT'!F36+'RF by Location &lt;-INPUT'!G36&gt;0,'RF by Location &lt;-INPUT'!E36+'RF by Location &lt;-INPUT'!F36+'RF by Location &lt;-INPUT'!G36,0)</f>
        <v>0</v>
      </c>
    </row>
    <row r="14" spans="1:8" x14ac:dyDescent="0.25">
      <c r="A14" s="51"/>
      <c r="B14" s="52"/>
      <c r="C14" s="53"/>
      <c r="D14" s="54"/>
      <c r="E14" s="54"/>
    </row>
    <row r="15" spans="1:8" x14ac:dyDescent="0.25">
      <c r="A15" s="51"/>
      <c r="B15" s="52"/>
      <c r="C15" s="53"/>
      <c r="D15" s="54"/>
      <c r="E15" s="54"/>
    </row>
    <row r="16" spans="1:8" x14ac:dyDescent="0.25">
      <c r="A16" s="52"/>
      <c r="B16" s="52"/>
      <c r="C16" s="53"/>
      <c r="D16" s="54"/>
      <c r="E16" s="54"/>
    </row>
    <row r="17" spans="1:5" x14ac:dyDescent="0.25">
      <c r="B17" s="35"/>
      <c r="C17" s="57" t="s">
        <v>80</v>
      </c>
      <c r="D17" s="58">
        <f>SUM(D11:D16)</f>
        <v>0</v>
      </c>
      <c r="E17" s="58">
        <f>SUM(E11:E16)</f>
        <v>0</v>
      </c>
    </row>
    <row r="18" spans="1:5" x14ac:dyDescent="0.25">
      <c r="B18" s="35"/>
    </row>
    <row r="19" spans="1:5" x14ac:dyDescent="0.25">
      <c r="A19" s="44" t="s">
        <v>81</v>
      </c>
      <c r="B19" s="35"/>
    </row>
    <row r="20" spans="1:5" x14ac:dyDescent="0.25">
      <c r="B20" s="59"/>
      <c r="C20" s="15"/>
      <c r="D20" s="15"/>
    </row>
    <row r="21" spans="1:5" x14ac:dyDescent="0.25">
      <c r="B21" s="60"/>
      <c r="C21" s="61"/>
      <c r="D21" s="61"/>
    </row>
    <row r="22" spans="1:5" x14ac:dyDescent="0.25">
      <c r="B22" s="60"/>
      <c r="C22" s="61"/>
      <c r="D22" s="61"/>
    </row>
    <row r="23" spans="1:5" x14ac:dyDescent="0.25">
      <c r="B23" s="35"/>
    </row>
    <row r="24" spans="1:5" x14ac:dyDescent="0.25">
      <c r="A24" s="62" t="s">
        <v>82</v>
      </c>
      <c r="B24" s="63"/>
    </row>
    <row r="25" spans="1:5" x14ac:dyDescent="0.25">
      <c r="A25" s="65" t="s">
        <v>83</v>
      </c>
      <c r="B25" s="61"/>
    </row>
  </sheetData>
  <pageMargins left="0.7" right="0.7" top="0.75" bottom="0.75" header="0.3" footer="0.3"/>
  <pageSetup scale="88"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6">
    <tabColor theme="6"/>
  </sheetPr>
  <dimension ref="A1:Q740"/>
  <sheetViews>
    <sheetView topLeftCell="A11" zoomScaleNormal="100" workbookViewId="0">
      <selection activeCell="G21" sqref="G21"/>
    </sheetView>
  </sheetViews>
  <sheetFormatPr defaultRowHeight="15" x14ac:dyDescent="0.25"/>
  <cols>
    <col min="1" max="1" width="20.7109375" customWidth="1"/>
    <col min="2" max="3" width="15.7109375" customWidth="1"/>
    <col min="4" max="5" width="18.7109375" customWidth="1"/>
    <col min="6" max="7" width="15.7109375" customWidth="1"/>
    <col min="8" max="8" width="8.7109375" customWidth="1"/>
    <col min="9" max="9" width="15.7109375" customWidth="1"/>
    <col min="10" max="10" width="25.7109375" customWidth="1"/>
  </cols>
  <sheetData>
    <row r="1" spans="1:17" ht="18.75" x14ac:dyDescent="0.3">
      <c r="A1" s="173" t="s">
        <v>17</v>
      </c>
      <c r="B1" s="173"/>
      <c r="C1" s="173"/>
      <c r="D1" s="173"/>
      <c r="E1" s="173"/>
      <c r="F1" s="173"/>
      <c r="G1" s="173"/>
      <c r="H1" s="173"/>
      <c r="I1" s="173"/>
      <c r="J1" s="173"/>
      <c r="K1" s="173"/>
      <c r="L1" s="173"/>
      <c r="M1" s="173"/>
    </row>
    <row r="2" spans="1:17" ht="15.75" x14ac:dyDescent="0.25">
      <c r="A2" s="174" t="str">
        <f>'Reimbursement Rates &lt;-INPUT'!A2:AY2</f>
        <v>Biocorrect</v>
      </c>
      <c r="B2" s="174"/>
      <c r="C2" s="174"/>
      <c r="D2" s="174"/>
      <c r="E2" s="174"/>
      <c r="F2" s="174"/>
      <c r="G2" s="174"/>
      <c r="H2" s="174"/>
      <c r="I2" s="174"/>
      <c r="J2" s="174"/>
      <c r="K2" s="174"/>
      <c r="L2" s="174"/>
      <c r="M2" s="174"/>
    </row>
    <row r="3" spans="1:17" x14ac:dyDescent="0.25">
      <c r="A3" s="175" t="s">
        <v>219</v>
      </c>
      <c r="B3" s="175"/>
      <c r="C3" s="175"/>
      <c r="D3" s="175"/>
      <c r="E3" s="175"/>
      <c r="F3" s="175"/>
      <c r="G3" s="175"/>
      <c r="H3" s="175"/>
      <c r="I3" s="175"/>
      <c r="J3" s="175"/>
      <c r="K3" s="175"/>
      <c r="L3" s="175"/>
      <c r="M3" s="175"/>
    </row>
    <row r="4" spans="1:17" ht="15.75" thickBot="1" x14ac:dyDescent="0.3"/>
    <row r="5" spans="1:17" ht="15.75" thickBot="1" x14ac:dyDescent="0.3">
      <c r="A5" s="189" t="s">
        <v>130</v>
      </c>
      <c r="B5" s="190"/>
      <c r="C5" s="190"/>
      <c r="D5" s="190"/>
      <c r="E5" s="190"/>
      <c r="F5" s="190"/>
      <c r="G5" s="190"/>
      <c r="H5" s="190"/>
      <c r="I5" s="190"/>
      <c r="J5" s="190"/>
      <c r="K5" s="190"/>
      <c r="L5" s="190"/>
      <c r="M5" s="190"/>
      <c r="N5" s="190"/>
      <c r="O5" s="190"/>
      <c r="P5" s="190"/>
      <c r="Q5" s="191"/>
    </row>
    <row r="7" spans="1:17" x14ac:dyDescent="0.25">
      <c r="A7" s="65" t="s">
        <v>134</v>
      </c>
    </row>
    <row r="8" spans="1:17" x14ac:dyDescent="0.25">
      <c r="A8" s="85" t="s">
        <v>227</v>
      </c>
    </row>
    <row r="9" spans="1:17" x14ac:dyDescent="0.25">
      <c r="A9" s="85" t="s">
        <v>228</v>
      </c>
    </row>
    <row r="10" spans="1:17" x14ac:dyDescent="0.25">
      <c r="A10" s="85" t="s">
        <v>229</v>
      </c>
    </row>
    <row r="11" spans="1:17" x14ac:dyDescent="0.25">
      <c r="A11" s="85"/>
    </row>
    <row r="12" spans="1:17" x14ac:dyDescent="0.25">
      <c r="A12" s="89" t="s">
        <v>230</v>
      </c>
    </row>
    <row r="13" spans="1:17" x14ac:dyDescent="0.25">
      <c r="A13" s="85" t="s">
        <v>157</v>
      </c>
    </row>
    <row r="14" spans="1:17" x14ac:dyDescent="0.25">
      <c r="A14" s="85" t="s">
        <v>231</v>
      </c>
    </row>
    <row r="15" spans="1:17" x14ac:dyDescent="0.25">
      <c r="A15" s="85" t="s">
        <v>232</v>
      </c>
    </row>
    <row r="16" spans="1:17" x14ac:dyDescent="0.25">
      <c r="A16" s="93" t="s">
        <v>164</v>
      </c>
    </row>
    <row r="17" spans="1:1" x14ac:dyDescent="0.25">
      <c r="A17" s="93" t="s">
        <v>772</v>
      </c>
    </row>
    <row r="18" spans="1:1" x14ac:dyDescent="0.25">
      <c r="A18" s="93" t="s">
        <v>165</v>
      </c>
    </row>
    <row r="19" spans="1:1" x14ac:dyDescent="0.25">
      <c r="A19" s="93" t="s">
        <v>166</v>
      </c>
    </row>
    <row r="20" spans="1:1" x14ac:dyDescent="0.25">
      <c r="A20" s="93" t="s">
        <v>167</v>
      </c>
    </row>
    <row r="21" spans="1:1" x14ac:dyDescent="0.25">
      <c r="A21" s="94" t="s">
        <v>233</v>
      </c>
    </row>
    <row r="22" spans="1:1" x14ac:dyDescent="0.25">
      <c r="A22" s="94" t="s">
        <v>234</v>
      </c>
    </row>
    <row r="23" spans="1:1" x14ac:dyDescent="0.25">
      <c r="A23" s="94" t="s">
        <v>235</v>
      </c>
    </row>
    <row r="24" spans="1:1" x14ac:dyDescent="0.25">
      <c r="A24" s="93" t="s">
        <v>171</v>
      </c>
    </row>
    <row r="25" spans="1:1" x14ac:dyDescent="0.25">
      <c r="A25" s="93" t="s">
        <v>236</v>
      </c>
    </row>
    <row r="26" spans="1:1" x14ac:dyDescent="0.25">
      <c r="A26" s="93" t="s">
        <v>237</v>
      </c>
    </row>
    <row r="27" spans="1:1" x14ac:dyDescent="0.25">
      <c r="A27" s="93" t="s">
        <v>238</v>
      </c>
    </row>
    <row r="28" spans="1:1" x14ac:dyDescent="0.25">
      <c r="A28" s="93" t="s">
        <v>175</v>
      </c>
    </row>
    <row r="29" spans="1:1" x14ac:dyDescent="0.25">
      <c r="A29" s="93" t="s">
        <v>239</v>
      </c>
    </row>
    <row r="30" spans="1:1" x14ac:dyDescent="0.25">
      <c r="A30" s="93" t="s">
        <v>240</v>
      </c>
    </row>
    <row r="31" spans="1:1" x14ac:dyDescent="0.25">
      <c r="A31" s="93" t="s">
        <v>241</v>
      </c>
    </row>
    <row r="34" spans="1:16" x14ac:dyDescent="0.25">
      <c r="A34" s="196" t="s">
        <v>776</v>
      </c>
      <c r="B34" s="192"/>
      <c r="C34" s="192"/>
      <c r="D34" s="192"/>
      <c r="E34" s="192"/>
      <c r="F34" s="192"/>
      <c r="G34" s="192"/>
      <c r="H34" s="192"/>
      <c r="I34" s="192"/>
      <c r="J34" s="192"/>
      <c r="K34" s="192"/>
      <c r="L34" s="192"/>
      <c r="M34" s="192"/>
      <c r="N34" s="192"/>
      <c r="O34" s="192"/>
      <c r="P34" s="192"/>
    </row>
    <row r="35" spans="1:16" ht="15.75" thickBot="1" x14ac:dyDescent="0.3">
      <c r="A35" s="43" t="s">
        <v>220</v>
      </c>
      <c r="B35" s="43" t="s">
        <v>221</v>
      </c>
      <c r="C35" s="43" t="s">
        <v>222</v>
      </c>
      <c r="D35" s="43" t="s">
        <v>223</v>
      </c>
      <c r="E35" s="43" t="s">
        <v>103</v>
      </c>
      <c r="F35" s="43" t="s">
        <v>99</v>
      </c>
      <c r="G35" s="43" t="s">
        <v>224</v>
      </c>
      <c r="I35" s="43" t="s">
        <v>225</v>
      </c>
      <c r="J35" s="43" t="s">
        <v>226</v>
      </c>
    </row>
    <row r="36" spans="1:16" x14ac:dyDescent="0.25">
      <c r="A36" s="99" t="s">
        <v>293</v>
      </c>
      <c r="B36" s="2"/>
      <c r="C36" s="2"/>
      <c r="D36" s="2"/>
      <c r="E36" s="2"/>
      <c r="F36" s="2">
        <v>290</v>
      </c>
      <c r="G36" s="113">
        <f>SUM(B36:F36)</f>
        <v>290</v>
      </c>
      <c r="I36" s="2">
        <f>IF(F36=0,C36+D36,0)</f>
        <v>0</v>
      </c>
      <c r="J36" s="2">
        <f>IF(G36&lt;0,G36,0)</f>
        <v>0</v>
      </c>
    </row>
    <row r="37" spans="1:16" x14ac:dyDescent="0.25">
      <c r="A37" s="99" t="s">
        <v>781</v>
      </c>
      <c r="B37" s="2"/>
      <c r="C37" s="2">
        <v>-29</v>
      </c>
      <c r="D37" s="2"/>
      <c r="E37" s="2"/>
      <c r="F37" s="2">
        <v>29</v>
      </c>
      <c r="G37" s="113">
        <f t="shared" ref="G37:G100" si="0">SUM(B37:F37)</f>
        <v>0</v>
      </c>
      <c r="I37" s="2">
        <f t="shared" ref="I37:I100" si="1">IF(F37=0,C37+D37,0)</f>
        <v>0</v>
      </c>
      <c r="J37" s="2">
        <f t="shared" ref="J37:J100" si="2">IF(G37&lt;0,G37,0)</f>
        <v>0</v>
      </c>
    </row>
    <row r="38" spans="1:16" x14ac:dyDescent="0.25">
      <c r="A38" s="99" t="s">
        <v>294</v>
      </c>
      <c r="B38" s="2"/>
      <c r="C38" s="2"/>
      <c r="D38" s="2"/>
      <c r="E38" s="2"/>
      <c r="F38" s="2">
        <v>464</v>
      </c>
      <c r="G38" s="113">
        <f t="shared" si="0"/>
        <v>464</v>
      </c>
      <c r="I38" s="2">
        <f t="shared" si="1"/>
        <v>0</v>
      </c>
      <c r="J38" s="2">
        <f t="shared" si="2"/>
        <v>0</v>
      </c>
    </row>
    <row r="39" spans="1:16" x14ac:dyDescent="0.25">
      <c r="A39" s="99" t="s">
        <v>296</v>
      </c>
      <c r="B39" s="2"/>
      <c r="C39" s="2">
        <v>-450</v>
      </c>
      <c r="D39" s="2"/>
      <c r="E39" s="2"/>
      <c r="F39" s="2">
        <v>450</v>
      </c>
      <c r="G39" s="113">
        <f t="shared" si="0"/>
        <v>0</v>
      </c>
      <c r="I39" s="2">
        <f t="shared" si="1"/>
        <v>0</v>
      </c>
      <c r="J39" s="2">
        <f t="shared" si="2"/>
        <v>0</v>
      </c>
    </row>
    <row r="40" spans="1:16" x14ac:dyDescent="0.25">
      <c r="A40" s="99" t="s">
        <v>297</v>
      </c>
      <c r="B40" s="2"/>
      <c r="C40" s="2">
        <v>-350</v>
      </c>
      <c r="D40" s="2"/>
      <c r="E40" s="2"/>
      <c r="F40" s="2">
        <v>432</v>
      </c>
      <c r="G40" s="113">
        <f t="shared" si="0"/>
        <v>82</v>
      </c>
      <c r="I40" s="2">
        <f t="shared" si="1"/>
        <v>0</v>
      </c>
      <c r="J40" s="2">
        <f t="shared" si="2"/>
        <v>0</v>
      </c>
    </row>
    <row r="41" spans="1:16" x14ac:dyDescent="0.25">
      <c r="A41" s="99" t="s">
        <v>298</v>
      </c>
      <c r="B41" s="2"/>
      <c r="C41" s="2"/>
      <c r="D41" s="2"/>
      <c r="E41" s="2">
        <v>-109.2</v>
      </c>
      <c r="F41" s="2">
        <v>148.19999999999999</v>
      </c>
      <c r="G41" s="113">
        <f t="shared" si="0"/>
        <v>38.999999999999986</v>
      </c>
      <c r="I41" s="2">
        <f t="shared" si="1"/>
        <v>0</v>
      </c>
      <c r="J41" s="2">
        <f t="shared" si="2"/>
        <v>0</v>
      </c>
    </row>
    <row r="42" spans="1:16" x14ac:dyDescent="0.25">
      <c r="A42" s="99" t="s">
        <v>299</v>
      </c>
      <c r="B42" s="2"/>
      <c r="C42" s="2">
        <v>-732</v>
      </c>
      <c r="D42" s="2"/>
      <c r="E42" s="2"/>
      <c r="F42" s="2">
        <v>732</v>
      </c>
      <c r="G42" s="113">
        <f t="shared" si="0"/>
        <v>0</v>
      </c>
      <c r="I42" s="2">
        <f t="shared" si="1"/>
        <v>0</v>
      </c>
      <c r="J42" s="2">
        <f t="shared" si="2"/>
        <v>0</v>
      </c>
    </row>
    <row r="43" spans="1:16" x14ac:dyDescent="0.25">
      <c r="A43" s="99" t="s">
        <v>300</v>
      </c>
      <c r="B43" s="2">
        <v>-0.02</v>
      </c>
      <c r="C43" s="2"/>
      <c r="D43" s="2"/>
      <c r="E43" s="2"/>
      <c r="F43" s="2">
        <v>0.02</v>
      </c>
      <c r="G43" s="113">
        <f t="shared" si="0"/>
        <v>0</v>
      </c>
      <c r="I43" s="2">
        <f t="shared" si="1"/>
        <v>0</v>
      </c>
      <c r="J43" s="2">
        <f t="shared" si="2"/>
        <v>0</v>
      </c>
    </row>
    <row r="44" spans="1:16" x14ac:dyDescent="0.25">
      <c r="A44" s="99" t="s">
        <v>301</v>
      </c>
      <c r="B44" s="2"/>
      <c r="C44" s="2"/>
      <c r="D44" s="2"/>
      <c r="E44" s="2"/>
      <c r="F44" s="2">
        <v>234</v>
      </c>
      <c r="G44" s="113">
        <f t="shared" si="0"/>
        <v>234</v>
      </c>
      <c r="I44" s="2">
        <f t="shared" si="1"/>
        <v>0</v>
      </c>
      <c r="J44" s="2">
        <f t="shared" si="2"/>
        <v>0</v>
      </c>
    </row>
    <row r="45" spans="1:16" x14ac:dyDescent="0.25">
      <c r="A45" s="99" t="s">
        <v>302</v>
      </c>
      <c r="B45" s="2"/>
      <c r="C45" s="2">
        <v>-132</v>
      </c>
      <c r="D45" s="2"/>
      <c r="E45" s="2"/>
      <c r="F45" s="2">
        <v>132</v>
      </c>
      <c r="G45" s="113">
        <f t="shared" si="0"/>
        <v>0</v>
      </c>
      <c r="I45" s="2">
        <f t="shared" si="1"/>
        <v>0</v>
      </c>
      <c r="J45" s="2">
        <f t="shared" si="2"/>
        <v>0</v>
      </c>
    </row>
    <row r="46" spans="1:16" x14ac:dyDescent="0.25">
      <c r="A46" s="99" t="s">
        <v>782</v>
      </c>
      <c r="B46" s="2"/>
      <c r="C46" s="2">
        <v>-58</v>
      </c>
      <c r="D46" s="2"/>
      <c r="E46" s="2"/>
      <c r="F46" s="2">
        <v>58</v>
      </c>
      <c r="G46" s="113">
        <f t="shared" si="0"/>
        <v>0</v>
      </c>
      <c r="I46" s="2">
        <f t="shared" si="1"/>
        <v>0</v>
      </c>
      <c r="J46" s="2">
        <f t="shared" si="2"/>
        <v>0</v>
      </c>
    </row>
    <row r="47" spans="1:16" x14ac:dyDescent="0.25">
      <c r="A47" s="99" t="s">
        <v>783</v>
      </c>
      <c r="B47" s="2"/>
      <c r="C47" s="2"/>
      <c r="D47" s="2"/>
      <c r="E47" s="2"/>
      <c r="F47" s="2">
        <v>270</v>
      </c>
      <c r="G47" s="113">
        <f t="shared" si="0"/>
        <v>270</v>
      </c>
      <c r="I47" s="2">
        <f t="shared" si="1"/>
        <v>0</v>
      </c>
      <c r="J47" s="2">
        <f t="shared" si="2"/>
        <v>0</v>
      </c>
    </row>
    <row r="48" spans="1:16" x14ac:dyDescent="0.25">
      <c r="A48" s="99" t="s">
        <v>784</v>
      </c>
      <c r="B48" s="2"/>
      <c r="C48" s="2">
        <v>-33</v>
      </c>
      <c r="D48" s="2"/>
      <c r="E48" s="2"/>
      <c r="F48" s="2">
        <v>33</v>
      </c>
      <c r="G48" s="113">
        <f t="shared" si="0"/>
        <v>0</v>
      </c>
      <c r="I48" s="2">
        <f t="shared" si="1"/>
        <v>0</v>
      </c>
      <c r="J48" s="2">
        <f t="shared" si="2"/>
        <v>0</v>
      </c>
    </row>
    <row r="49" spans="1:10" x14ac:dyDescent="0.25">
      <c r="A49" s="99" t="s">
        <v>785</v>
      </c>
      <c r="B49" s="2"/>
      <c r="C49" s="2">
        <v>-315</v>
      </c>
      <c r="D49" s="2"/>
      <c r="E49" s="2"/>
      <c r="F49" s="2">
        <v>315</v>
      </c>
      <c r="G49" s="113">
        <f t="shared" si="0"/>
        <v>0</v>
      </c>
      <c r="I49" s="2">
        <f t="shared" si="1"/>
        <v>0</v>
      </c>
      <c r="J49" s="2">
        <f t="shared" si="2"/>
        <v>0</v>
      </c>
    </row>
    <row r="50" spans="1:10" x14ac:dyDescent="0.25">
      <c r="A50" s="99" t="s">
        <v>303</v>
      </c>
      <c r="B50" s="2"/>
      <c r="C50" s="2">
        <v>-432</v>
      </c>
      <c r="D50" s="2"/>
      <c r="E50" s="2"/>
      <c r="F50" s="2">
        <v>750</v>
      </c>
      <c r="G50" s="113">
        <f t="shared" si="0"/>
        <v>318</v>
      </c>
      <c r="I50" s="2">
        <f t="shared" si="1"/>
        <v>0</v>
      </c>
      <c r="J50" s="2">
        <f t="shared" si="2"/>
        <v>0</v>
      </c>
    </row>
    <row r="51" spans="1:10" x14ac:dyDescent="0.25">
      <c r="A51" s="99" t="s">
        <v>786</v>
      </c>
      <c r="B51" s="2"/>
      <c r="C51" s="2"/>
      <c r="D51" s="2"/>
      <c r="E51" s="2"/>
      <c r="F51" s="2">
        <v>234</v>
      </c>
      <c r="G51" s="113">
        <f t="shared" si="0"/>
        <v>234</v>
      </c>
      <c r="I51" s="2">
        <f t="shared" si="1"/>
        <v>0</v>
      </c>
      <c r="J51" s="2">
        <f t="shared" si="2"/>
        <v>0</v>
      </c>
    </row>
    <row r="52" spans="1:10" x14ac:dyDescent="0.25">
      <c r="A52" s="99" t="s">
        <v>787</v>
      </c>
      <c r="B52" s="2"/>
      <c r="C52" s="2">
        <v>-432</v>
      </c>
      <c r="D52" s="2"/>
      <c r="E52" s="2"/>
      <c r="F52" s="2">
        <v>432</v>
      </c>
      <c r="G52" s="113">
        <f t="shared" si="0"/>
        <v>0</v>
      </c>
      <c r="I52" s="2">
        <f t="shared" si="1"/>
        <v>0</v>
      </c>
      <c r="J52" s="2">
        <f t="shared" si="2"/>
        <v>0</v>
      </c>
    </row>
    <row r="53" spans="1:10" x14ac:dyDescent="0.25">
      <c r="A53" s="99" t="s">
        <v>788</v>
      </c>
      <c r="B53" s="2"/>
      <c r="C53" s="2">
        <v>-270</v>
      </c>
      <c r="D53" s="2"/>
      <c r="E53" s="2"/>
      <c r="F53" s="2">
        <v>270</v>
      </c>
      <c r="G53" s="113">
        <f t="shared" si="0"/>
        <v>0</v>
      </c>
      <c r="I53" s="2">
        <f t="shared" si="1"/>
        <v>0</v>
      </c>
      <c r="J53" s="2">
        <f t="shared" si="2"/>
        <v>0</v>
      </c>
    </row>
    <row r="54" spans="1:10" x14ac:dyDescent="0.25">
      <c r="A54" s="99" t="s">
        <v>304</v>
      </c>
      <c r="B54" s="2"/>
      <c r="C54" s="2">
        <v>-290</v>
      </c>
      <c r="D54" s="2"/>
      <c r="E54" s="2"/>
      <c r="F54" s="2">
        <v>290</v>
      </c>
      <c r="G54" s="113">
        <f t="shared" si="0"/>
        <v>0</v>
      </c>
      <c r="I54" s="2">
        <f t="shared" si="1"/>
        <v>0</v>
      </c>
      <c r="J54" s="2">
        <f t="shared" si="2"/>
        <v>0</v>
      </c>
    </row>
    <row r="55" spans="1:10" x14ac:dyDescent="0.25">
      <c r="A55" s="99" t="s">
        <v>305</v>
      </c>
      <c r="B55" s="2"/>
      <c r="C55" s="2">
        <v>-432</v>
      </c>
      <c r="D55" s="2"/>
      <c r="E55" s="2"/>
      <c r="F55" s="2">
        <v>432</v>
      </c>
      <c r="G55" s="113">
        <f t="shared" si="0"/>
        <v>0</v>
      </c>
      <c r="I55" s="2">
        <f t="shared" si="1"/>
        <v>0</v>
      </c>
      <c r="J55" s="2">
        <f t="shared" si="2"/>
        <v>0</v>
      </c>
    </row>
    <row r="56" spans="1:10" x14ac:dyDescent="0.25">
      <c r="A56" s="99" t="s">
        <v>306</v>
      </c>
      <c r="B56" s="2"/>
      <c r="C56" s="2">
        <v>-58</v>
      </c>
      <c r="D56" s="2"/>
      <c r="E56" s="2"/>
      <c r="F56" s="2">
        <v>58</v>
      </c>
      <c r="G56" s="113">
        <f t="shared" si="0"/>
        <v>0</v>
      </c>
      <c r="I56" s="2">
        <f t="shared" si="1"/>
        <v>0</v>
      </c>
      <c r="J56" s="2">
        <f t="shared" si="2"/>
        <v>0</v>
      </c>
    </row>
    <row r="57" spans="1:10" x14ac:dyDescent="0.25">
      <c r="A57" s="99" t="s">
        <v>307</v>
      </c>
      <c r="B57" s="2"/>
      <c r="C57" s="2">
        <v>-41.35</v>
      </c>
      <c r="D57" s="2"/>
      <c r="E57" s="2"/>
      <c r="F57" s="2">
        <v>80.349999999999994</v>
      </c>
      <c r="G57" s="113">
        <f t="shared" si="0"/>
        <v>38.999999999999993</v>
      </c>
      <c r="I57" s="2">
        <f t="shared" si="1"/>
        <v>0</v>
      </c>
      <c r="J57" s="2">
        <f t="shared" si="2"/>
        <v>0</v>
      </c>
    </row>
    <row r="58" spans="1:10" x14ac:dyDescent="0.25">
      <c r="A58" s="99" t="s">
        <v>308</v>
      </c>
      <c r="B58" s="2"/>
      <c r="C58" s="2">
        <v>-450</v>
      </c>
      <c r="D58" s="2"/>
      <c r="E58" s="2"/>
      <c r="F58" s="2">
        <v>450</v>
      </c>
      <c r="G58" s="113">
        <f t="shared" si="0"/>
        <v>0</v>
      </c>
      <c r="I58" s="2">
        <f t="shared" si="1"/>
        <v>0</v>
      </c>
      <c r="J58" s="2">
        <f t="shared" si="2"/>
        <v>0</v>
      </c>
    </row>
    <row r="59" spans="1:10" x14ac:dyDescent="0.25">
      <c r="A59" s="99" t="s">
        <v>789</v>
      </c>
      <c r="B59" s="2"/>
      <c r="C59" s="2">
        <v>-432</v>
      </c>
      <c r="D59" s="2"/>
      <c r="E59" s="2"/>
      <c r="F59" s="2">
        <v>432</v>
      </c>
      <c r="G59" s="113">
        <f t="shared" si="0"/>
        <v>0</v>
      </c>
      <c r="I59" s="2">
        <f t="shared" si="1"/>
        <v>0</v>
      </c>
      <c r="J59" s="2">
        <f t="shared" si="2"/>
        <v>0</v>
      </c>
    </row>
    <row r="60" spans="1:10" x14ac:dyDescent="0.25">
      <c r="A60" s="99" t="s">
        <v>309</v>
      </c>
      <c r="B60" s="2"/>
      <c r="C60" s="2">
        <v>-450</v>
      </c>
      <c r="D60" s="2"/>
      <c r="E60" s="2"/>
      <c r="F60" s="2">
        <v>450</v>
      </c>
      <c r="G60" s="113">
        <f t="shared" si="0"/>
        <v>0</v>
      </c>
      <c r="I60" s="2">
        <f t="shared" si="1"/>
        <v>0</v>
      </c>
      <c r="J60" s="2">
        <f t="shared" si="2"/>
        <v>0</v>
      </c>
    </row>
    <row r="61" spans="1:10" x14ac:dyDescent="0.25">
      <c r="A61" s="99" t="s">
        <v>310</v>
      </c>
      <c r="B61" s="2"/>
      <c r="C61" s="2">
        <v>-318</v>
      </c>
      <c r="D61" s="2"/>
      <c r="E61" s="2"/>
      <c r="F61" s="2">
        <v>750</v>
      </c>
      <c r="G61" s="113">
        <f t="shared" si="0"/>
        <v>432</v>
      </c>
      <c r="I61" s="2">
        <f t="shared" si="1"/>
        <v>0</v>
      </c>
      <c r="J61" s="2">
        <f t="shared" si="2"/>
        <v>0</v>
      </c>
    </row>
    <row r="62" spans="1:10" x14ac:dyDescent="0.25">
      <c r="A62" s="99" t="s">
        <v>790</v>
      </c>
      <c r="B62" s="2"/>
      <c r="C62" s="2"/>
      <c r="D62" s="2"/>
      <c r="E62" s="2"/>
      <c r="F62" s="2">
        <v>290</v>
      </c>
      <c r="G62" s="113">
        <f t="shared" si="0"/>
        <v>290</v>
      </c>
      <c r="I62" s="2">
        <f t="shared" si="1"/>
        <v>0</v>
      </c>
      <c r="J62" s="2">
        <f t="shared" si="2"/>
        <v>0</v>
      </c>
    </row>
    <row r="63" spans="1:10" x14ac:dyDescent="0.25">
      <c r="A63" s="99" t="s">
        <v>791</v>
      </c>
      <c r="B63" s="2"/>
      <c r="C63" s="2">
        <v>-200</v>
      </c>
      <c r="D63" s="2"/>
      <c r="E63" s="2"/>
      <c r="F63" s="2">
        <v>532</v>
      </c>
      <c r="G63" s="113">
        <f t="shared" si="0"/>
        <v>332</v>
      </c>
      <c r="I63" s="2">
        <f t="shared" si="1"/>
        <v>0</v>
      </c>
      <c r="J63" s="2">
        <f t="shared" si="2"/>
        <v>0</v>
      </c>
    </row>
    <row r="64" spans="1:10" x14ac:dyDescent="0.25">
      <c r="A64" s="99" t="s">
        <v>311</v>
      </c>
      <c r="B64" s="2"/>
      <c r="C64" s="2">
        <v>-432</v>
      </c>
      <c r="D64" s="2"/>
      <c r="E64" s="2"/>
      <c r="F64" s="2">
        <v>432</v>
      </c>
      <c r="G64" s="113">
        <f t="shared" si="0"/>
        <v>0</v>
      </c>
      <c r="I64" s="2">
        <f t="shared" si="1"/>
        <v>0</v>
      </c>
      <c r="J64" s="2">
        <f t="shared" si="2"/>
        <v>0</v>
      </c>
    </row>
    <row r="65" spans="1:10" x14ac:dyDescent="0.25">
      <c r="A65" s="99" t="s">
        <v>312</v>
      </c>
      <c r="B65" s="2"/>
      <c r="C65" s="2">
        <v>-58</v>
      </c>
      <c r="D65" s="2"/>
      <c r="E65" s="2"/>
      <c r="F65" s="2">
        <v>58</v>
      </c>
      <c r="G65" s="113">
        <f t="shared" si="0"/>
        <v>0</v>
      </c>
      <c r="I65" s="2">
        <f t="shared" si="1"/>
        <v>0</v>
      </c>
      <c r="J65" s="2">
        <f t="shared" si="2"/>
        <v>0</v>
      </c>
    </row>
    <row r="66" spans="1:10" x14ac:dyDescent="0.25">
      <c r="A66" s="99" t="s">
        <v>313</v>
      </c>
      <c r="B66" s="2"/>
      <c r="C66" s="2">
        <v>-432</v>
      </c>
      <c r="D66" s="2"/>
      <c r="E66" s="2"/>
      <c r="F66" s="2">
        <v>290</v>
      </c>
      <c r="G66" s="113">
        <f t="shared" si="0"/>
        <v>-142</v>
      </c>
      <c r="I66" s="2">
        <f t="shared" si="1"/>
        <v>0</v>
      </c>
      <c r="J66" s="2">
        <f t="shared" si="2"/>
        <v>-142</v>
      </c>
    </row>
    <row r="67" spans="1:10" x14ac:dyDescent="0.25">
      <c r="A67" s="99" t="s">
        <v>314</v>
      </c>
      <c r="B67" s="2"/>
      <c r="C67" s="2">
        <v>-28.31</v>
      </c>
      <c r="D67" s="2"/>
      <c r="E67" s="2"/>
      <c r="F67" s="2">
        <v>28.31</v>
      </c>
      <c r="G67" s="113">
        <f t="shared" si="0"/>
        <v>0</v>
      </c>
      <c r="I67" s="2">
        <f t="shared" si="1"/>
        <v>0</v>
      </c>
      <c r="J67" s="2">
        <f t="shared" si="2"/>
        <v>0</v>
      </c>
    </row>
    <row r="68" spans="1:10" x14ac:dyDescent="0.25">
      <c r="A68" s="99" t="s">
        <v>315</v>
      </c>
      <c r="B68" s="2"/>
      <c r="C68" s="2">
        <v>-333.9</v>
      </c>
      <c r="D68" s="2"/>
      <c r="E68" s="2"/>
      <c r="F68" s="2">
        <v>348.9</v>
      </c>
      <c r="G68" s="113">
        <f t="shared" si="0"/>
        <v>15</v>
      </c>
      <c r="I68" s="2">
        <f t="shared" si="1"/>
        <v>0</v>
      </c>
      <c r="J68" s="2">
        <f t="shared" si="2"/>
        <v>0</v>
      </c>
    </row>
    <row r="69" spans="1:10" x14ac:dyDescent="0.25">
      <c r="A69" s="99" t="s">
        <v>316</v>
      </c>
      <c r="B69" s="2"/>
      <c r="C69" s="2">
        <v>-87</v>
      </c>
      <c r="D69" s="2"/>
      <c r="E69" s="2"/>
      <c r="F69" s="2">
        <v>87</v>
      </c>
      <c r="G69" s="113">
        <f t="shared" si="0"/>
        <v>0</v>
      </c>
      <c r="I69" s="2">
        <f t="shared" si="1"/>
        <v>0</v>
      </c>
      <c r="J69" s="2">
        <f t="shared" si="2"/>
        <v>0</v>
      </c>
    </row>
    <row r="70" spans="1:10" x14ac:dyDescent="0.25">
      <c r="A70" s="99" t="s">
        <v>792</v>
      </c>
      <c r="B70" s="2"/>
      <c r="C70" s="2">
        <v>-138</v>
      </c>
      <c r="D70" s="2"/>
      <c r="E70" s="2"/>
      <c r="F70" s="2">
        <v>138</v>
      </c>
      <c r="G70" s="113">
        <f t="shared" si="0"/>
        <v>0</v>
      </c>
      <c r="I70" s="2">
        <f t="shared" si="1"/>
        <v>0</v>
      </c>
      <c r="J70" s="2">
        <f t="shared" si="2"/>
        <v>0</v>
      </c>
    </row>
    <row r="71" spans="1:10" x14ac:dyDescent="0.25">
      <c r="A71" s="99" t="s">
        <v>318</v>
      </c>
      <c r="B71" s="2"/>
      <c r="C71" s="2">
        <v>-450</v>
      </c>
      <c r="D71" s="2"/>
      <c r="E71" s="2"/>
      <c r="F71" s="2">
        <v>450</v>
      </c>
      <c r="G71" s="113">
        <f t="shared" si="0"/>
        <v>0</v>
      </c>
      <c r="I71" s="2">
        <f t="shared" si="1"/>
        <v>0</v>
      </c>
      <c r="J71" s="2">
        <f t="shared" si="2"/>
        <v>0</v>
      </c>
    </row>
    <row r="72" spans="1:10" x14ac:dyDescent="0.25">
      <c r="A72" s="99" t="s">
        <v>319</v>
      </c>
      <c r="B72" s="2"/>
      <c r="C72" s="2"/>
      <c r="D72" s="2"/>
      <c r="E72" s="2"/>
      <c r="F72" s="2">
        <v>464</v>
      </c>
      <c r="G72" s="113">
        <f t="shared" si="0"/>
        <v>464</v>
      </c>
      <c r="I72" s="2">
        <f t="shared" si="1"/>
        <v>0</v>
      </c>
      <c r="J72" s="2">
        <f t="shared" si="2"/>
        <v>0</v>
      </c>
    </row>
    <row r="73" spans="1:10" x14ac:dyDescent="0.25">
      <c r="A73" s="99" t="s">
        <v>793</v>
      </c>
      <c r="B73" s="2"/>
      <c r="C73" s="2"/>
      <c r="D73" s="2"/>
      <c r="E73" s="2"/>
      <c r="F73" s="2">
        <v>864</v>
      </c>
      <c r="G73" s="113">
        <f t="shared" si="0"/>
        <v>864</v>
      </c>
      <c r="I73" s="2">
        <f t="shared" si="1"/>
        <v>0</v>
      </c>
      <c r="J73" s="2">
        <f t="shared" si="2"/>
        <v>0</v>
      </c>
    </row>
    <row r="74" spans="1:10" x14ac:dyDescent="0.25">
      <c r="A74" s="99" t="s">
        <v>320</v>
      </c>
      <c r="B74" s="2"/>
      <c r="C74" s="2">
        <v>-432</v>
      </c>
      <c r="D74" s="2"/>
      <c r="E74" s="2"/>
      <c r="F74" s="2">
        <v>432</v>
      </c>
      <c r="G74" s="113">
        <f t="shared" si="0"/>
        <v>0</v>
      </c>
      <c r="I74" s="2">
        <f t="shared" si="1"/>
        <v>0</v>
      </c>
      <c r="J74" s="2">
        <f t="shared" si="2"/>
        <v>0</v>
      </c>
    </row>
    <row r="75" spans="1:10" x14ac:dyDescent="0.25">
      <c r="A75" s="99" t="s">
        <v>321</v>
      </c>
      <c r="B75" s="2"/>
      <c r="C75" s="2">
        <v>-384</v>
      </c>
      <c r="D75" s="2"/>
      <c r="E75" s="2"/>
      <c r="F75" s="2">
        <v>384</v>
      </c>
      <c r="G75" s="113">
        <f t="shared" si="0"/>
        <v>0</v>
      </c>
      <c r="I75" s="2">
        <f t="shared" si="1"/>
        <v>0</v>
      </c>
      <c r="J75" s="2">
        <f t="shared" si="2"/>
        <v>0</v>
      </c>
    </row>
    <row r="76" spans="1:10" x14ac:dyDescent="0.25">
      <c r="A76" s="99" t="s">
        <v>794</v>
      </c>
      <c r="B76" s="2"/>
      <c r="C76" s="2">
        <v>-58</v>
      </c>
      <c r="D76" s="2"/>
      <c r="E76" s="2"/>
      <c r="F76" s="2">
        <v>58</v>
      </c>
      <c r="G76" s="113">
        <f t="shared" si="0"/>
        <v>0</v>
      </c>
      <c r="I76" s="2">
        <f t="shared" si="1"/>
        <v>0</v>
      </c>
      <c r="J76" s="2">
        <f t="shared" si="2"/>
        <v>0</v>
      </c>
    </row>
    <row r="77" spans="1:10" x14ac:dyDescent="0.25">
      <c r="A77" s="99" t="s">
        <v>322</v>
      </c>
      <c r="B77" s="2"/>
      <c r="C77" s="2">
        <v>-141.18</v>
      </c>
      <c r="D77" s="2"/>
      <c r="E77" s="2"/>
      <c r="F77" s="2">
        <v>141.18</v>
      </c>
      <c r="G77" s="113">
        <f t="shared" si="0"/>
        <v>0</v>
      </c>
      <c r="I77" s="2">
        <f t="shared" si="1"/>
        <v>0</v>
      </c>
      <c r="J77" s="2">
        <f t="shared" si="2"/>
        <v>0</v>
      </c>
    </row>
    <row r="78" spans="1:10" x14ac:dyDescent="0.25">
      <c r="A78" s="99" t="s">
        <v>795</v>
      </c>
      <c r="B78" s="2"/>
      <c r="C78" s="2">
        <v>-50</v>
      </c>
      <c r="D78" s="2"/>
      <c r="E78" s="2"/>
      <c r="F78" s="2">
        <v>432</v>
      </c>
      <c r="G78" s="113">
        <f t="shared" si="0"/>
        <v>382</v>
      </c>
      <c r="I78" s="2">
        <f t="shared" si="1"/>
        <v>0</v>
      </c>
      <c r="J78" s="2">
        <f t="shared" si="2"/>
        <v>0</v>
      </c>
    </row>
    <row r="79" spans="1:10" x14ac:dyDescent="0.25">
      <c r="A79" s="99" t="s">
        <v>796</v>
      </c>
      <c r="B79" s="2"/>
      <c r="C79" s="2"/>
      <c r="D79" s="2"/>
      <c r="E79" s="2"/>
      <c r="F79" s="2">
        <v>732</v>
      </c>
      <c r="G79" s="113">
        <f t="shared" si="0"/>
        <v>732</v>
      </c>
      <c r="I79" s="2">
        <f t="shared" si="1"/>
        <v>0</v>
      </c>
      <c r="J79" s="2">
        <f t="shared" si="2"/>
        <v>0</v>
      </c>
    </row>
    <row r="80" spans="1:10" x14ac:dyDescent="0.25">
      <c r="A80" s="99" t="s">
        <v>797</v>
      </c>
      <c r="B80" s="2"/>
      <c r="C80" s="2">
        <v>-290</v>
      </c>
      <c r="D80" s="2"/>
      <c r="E80" s="2"/>
      <c r="F80" s="2">
        <v>432</v>
      </c>
      <c r="G80" s="113">
        <f t="shared" si="0"/>
        <v>142</v>
      </c>
      <c r="I80" s="2">
        <f t="shared" si="1"/>
        <v>0</v>
      </c>
      <c r="J80" s="2">
        <f t="shared" si="2"/>
        <v>0</v>
      </c>
    </row>
    <row r="81" spans="1:10" x14ac:dyDescent="0.25">
      <c r="A81" s="99" t="s">
        <v>323</v>
      </c>
      <c r="B81" s="2"/>
      <c r="C81" s="2">
        <v>-651</v>
      </c>
      <c r="D81" s="2"/>
      <c r="E81" s="2"/>
      <c r="F81" s="2">
        <v>651</v>
      </c>
      <c r="G81" s="113">
        <f t="shared" si="0"/>
        <v>0</v>
      </c>
      <c r="I81" s="2">
        <f t="shared" si="1"/>
        <v>0</v>
      </c>
      <c r="J81" s="2">
        <f t="shared" si="2"/>
        <v>0</v>
      </c>
    </row>
    <row r="82" spans="1:10" x14ac:dyDescent="0.25">
      <c r="A82" s="99" t="s">
        <v>324</v>
      </c>
      <c r="B82" s="2"/>
      <c r="C82" s="2"/>
      <c r="D82" s="2"/>
      <c r="E82" s="2"/>
      <c r="F82" s="2">
        <v>300</v>
      </c>
      <c r="G82" s="113">
        <f t="shared" si="0"/>
        <v>300</v>
      </c>
      <c r="I82" s="2">
        <f t="shared" si="1"/>
        <v>0</v>
      </c>
      <c r="J82" s="2">
        <f t="shared" si="2"/>
        <v>0</v>
      </c>
    </row>
    <row r="83" spans="1:10" x14ac:dyDescent="0.25">
      <c r="A83" s="99" t="s">
        <v>798</v>
      </c>
      <c r="B83" s="2"/>
      <c r="C83" s="2">
        <v>-432</v>
      </c>
      <c r="D83" s="2"/>
      <c r="E83" s="2"/>
      <c r="F83" s="2">
        <v>432</v>
      </c>
      <c r="G83" s="113">
        <f t="shared" si="0"/>
        <v>0</v>
      </c>
      <c r="I83" s="2">
        <f t="shared" si="1"/>
        <v>0</v>
      </c>
      <c r="J83" s="2">
        <f t="shared" si="2"/>
        <v>0</v>
      </c>
    </row>
    <row r="84" spans="1:10" x14ac:dyDescent="0.25">
      <c r="A84" s="99" t="s">
        <v>325</v>
      </c>
      <c r="B84" s="2"/>
      <c r="C84" s="2">
        <v>-25</v>
      </c>
      <c r="D84" s="2"/>
      <c r="E84" s="2"/>
      <c r="F84" s="2">
        <v>25</v>
      </c>
      <c r="G84" s="113">
        <f t="shared" si="0"/>
        <v>0</v>
      </c>
      <c r="I84" s="2">
        <f t="shared" si="1"/>
        <v>0</v>
      </c>
      <c r="J84" s="2">
        <f t="shared" si="2"/>
        <v>0</v>
      </c>
    </row>
    <row r="85" spans="1:10" x14ac:dyDescent="0.25">
      <c r="A85" s="99" t="s">
        <v>326</v>
      </c>
      <c r="B85" s="2"/>
      <c r="C85" s="2">
        <v>-450</v>
      </c>
      <c r="D85" s="2"/>
      <c r="E85" s="2"/>
      <c r="F85" s="2">
        <v>450</v>
      </c>
      <c r="G85" s="113">
        <f t="shared" si="0"/>
        <v>0</v>
      </c>
      <c r="I85" s="2">
        <f t="shared" si="1"/>
        <v>0</v>
      </c>
      <c r="J85" s="2">
        <f t="shared" si="2"/>
        <v>0</v>
      </c>
    </row>
    <row r="86" spans="1:10" x14ac:dyDescent="0.25">
      <c r="A86" s="99" t="s">
        <v>799</v>
      </c>
      <c r="B86" s="2"/>
      <c r="C86" s="2">
        <v>-432</v>
      </c>
      <c r="D86" s="2"/>
      <c r="E86" s="2"/>
      <c r="F86" s="2">
        <v>432</v>
      </c>
      <c r="G86" s="113">
        <f t="shared" si="0"/>
        <v>0</v>
      </c>
      <c r="I86" s="2">
        <f t="shared" si="1"/>
        <v>0</v>
      </c>
      <c r="J86" s="2">
        <f t="shared" si="2"/>
        <v>0</v>
      </c>
    </row>
    <row r="87" spans="1:10" x14ac:dyDescent="0.25">
      <c r="A87" s="99" t="s">
        <v>327</v>
      </c>
      <c r="B87" s="2"/>
      <c r="C87" s="2"/>
      <c r="D87" s="2"/>
      <c r="E87" s="2"/>
      <c r="F87" s="2">
        <v>0</v>
      </c>
      <c r="G87" s="113">
        <f t="shared" si="0"/>
        <v>0</v>
      </c>
      <c r="I87" s="2">
        <f t="shared" si="1"/>
        <v>0</v>
      </c>
      <c r="J87" s="2">
        <f t="shared" si="2"/>
        <v>0</v>
      </c>
    </row>
    <row r="88" spans="1:10" x14ac:dyDescent="0.25">
      <c r="A88" s="99" t="s">
        <v>800</v>
      </c>
      <c r="B88" s="2"/>
      <c r="C88" s="2">
        <v>-200</v>
      </c>
      <c r="D88" s="2"/>
      <c r="E88" s="2"/>
      <c r="F88" s="2">
        <v>432</v>
      </c>
      <c r="G88" s="113">
        <f t="shared" si="0"/>
        <v>232</v>
      </c>
      <c r="I88" s="2">
        <f t="shared" si="1"/>
        <v>0</v>
      </c>
      <c r="J88" s="2">
        <f t="shared" si="2"/>
        <v>0</v>
      </c>
    </row>
    <row r="89" spans="1:10" x14ac:dyDescent="0.25">
      <c r="A89" s="99" t="s">
        <v>328</v>
      </c>
      <c r="B89" s="2"/>
      <c r="C89" s="2">
        <v>-100</v>
      </c>
      <c r="D89" s="2"/>
      <c r="E89" s="2"/>
      <c r="F89" s="2">
        <v>100</v>
      </c>
      <c r="G89" s="113">
        <f t="shared" si="0"/>
        <v>0</v>
      </c>
      <c r="I89" s="2">
        <f t="shared" si="1"/>
        <v>0</v>
      </c>
      <c r="J89" s="2">
        <f t="shared" si="2"/>
        <v>0</v>
      </c>
    </row>
    <row r="90" spans="1:10" x14ac:dyDescent="0.25">
      <c r="A90" s="99" t="s">
        <v>801</v>
      </c>
      <c r="B90" s="2"/>
      <c r="C90" s="2">
        <v>-514.68000000000006</v>
      </c>
      <c r="D90" s="2"/>
      <c r="E90" s="2"/>
      <c r="F90" s="2">
        <v>514.67999999999995</v>
      </c>
      <c r="G90" s="113">
        <f t="shared" si="0"/>
        <v>0</v>
      </c>
      <c r="I90" s="2">
        <f t="shared" si="1"/>
        <v>0</v>
      </c>
      <c r="J90" s="2">
        <f t="shared" si="2"/>
        <v>0</v>
      </c>
    </row>
    <row r="91" spans="1:10" x14ac:dyDescent="0.25">
      <c r="A91" s="99" t="s">
        <v>802</v>
      </c>
      <c r="B91" s="2"/>
      <c r="C91" s="2">
        <v>-450</v>
      </c>
      <c r="D91" s="2"/>
      <c r="E91" s="2"/>
      <c r="F91" s="2">
        <v>450</v>
      </c>
      <c r="G91" s="113">
        <f t="shared" si="0"/>
        <v>0</v>
      </c>
      <c r="I91" s="2">
        <f t="shared" si="1"/>
        <v>0</v>
      </c>
      <c r="J91" s="2">
        <f t="shared" si="2"/>
        <v>0</v>
      </c>
    </row>
    <row r="92" spans="1:10" x14ac:dyDescent="0.25">
      <c r="A92" s="99" t="s">
        <v>803</v>
      </c>
      <c r="B92" s="2"/>
      <c r="C92" s="2">
        <v>-432</v>
      </c>
      <c r="D92" s="2"/>
      <c r="E92" s="2"/>
      <c r="F92" s="2">
        <v>432</v>
      </c>
      <c r="G92" s="113">
        <f t="shared" si="0"/>
        <v>0</v>
      </c>
      <c r="I92" s="2">
        <f t="shared" si="1"/>
        <v>0</v>
      </c>
      <c r="J92" s="2">
        <f t="shared" si="2"/>
        <v>0</v>
      </c>
    </row>
    <row r="93" spans="1:10" x14ac:dyDescent="0.25">
      <c r="A93" s="99" t="s">
        <v>804</v>
      </c>
      <c r="B93" s="2"/>
      <c r="C93" s="2">
        <v>-498</v>
      </c>
      <c r="D93" s="2"/>
      <c r="E93" s="2"/>
      <c r="F93" s="2">
        <v>603</v>
      </c>
      <c r="G93" s="113">
        <f t="shared" si="0"/>
        <v>105</v>
      </c>
      <c r="I93" s="2">
        <f t="shared" si="1"/>
        <v>0</v>
      </c>
      <c r="J93" s="2">
        <f t="shared" si="2"/>
        <v>0</v>
      </c>
    </row>
    <row r="94" spans="1:10" x14ac:dyDescent="0.25">
      <c r="A94" s="99" t="s">
        <v>329</v>
      </c>
      <c r="B94" s="2"/>
      <c r="C94" s="2"/>
      <c r="D94" s="2"/>
      <c r="E94" s="2"/>
      <c r="F94" s="2">
        <v>0</v>
      </c>
      <c r="G94" s="113">
        <f t="shared" si="0"/>
        <v>0</v>
      </c>
      <c r="I94" s="2">
        <f t="shared" si="1"/>
        <v>0</v>
      </c>
      <c r="J94" s="2">
        <f t="shared" si="2"/>
        <v>0</v>
      </c>
    </row>
    <row r="95" spans="1:10" x14ac:dyDescent="0.25">
      <c r="A95" s="99" t="s">
        <v>330</v>
      </c>
      <c r="B95" s="2"/>
      <c r="C95" s="2">
        <v>-318</v>
      </c>
      <c r="D95" s="2"/>
      <c r="E95" s="2"/>
      <c r="F95" s="2">
        <v>318</v>
      </c>
      <c r="G95" s="113">
        <f t="shared" si="0"/>
        <v>0</v>
      </c>
      <c r="I95" s="2">
        <f t="shared" si="1"/>
        <v>0</v>
      </c>
      <c r="J95" s="2">
        <f t="shared" si="2"/>
        <v>0</v>
      </c>
    </row>
    <row r="96" spans="1:10" x14ac:dyDescent="0.25">
      <c r="A96" s="99" t="s">
        <v>331</v>
      </c>
      <c r="B96" s="2"/>
      <c r="C96" s="2">
        <v>-640</v>
      </c>
      <c r="D96" s="2"/>
      <c r="E96" s="2"/>
      <c r="F96" s="2">
        <v>640</v>
      </c>
      <c r="G96" s="113">
        <f t="shared" si="0"/>
        <v>0</v>
      </c>
      <c r="I96" s="2">
        <f t="shared" si="1"/>
        <v>0</v>
      </c>
      <c r="J96" s="2">
        <f t="shared" si="2"/>
        <v>0</v>
      </c>
    </row>
    <row r="97" spans="1:10" x14ac:dyDescent="0.25">
      <c r="A97" s="99" t="s">
        <v>332</v>
      </c>
      <c r="B97" s="2"/>
      <c r="C97" s="2">
        <v>-315</v>
      </c>
      <c r="D97" s="2"/>
      <c r="E97" s="2">
        <v>25</v>
      </c>
      <c r="F97" s="2">
        <v>290</v>
      </c>
      <c r="G97" s="113">
        <f t="shared" si="0"/>
        <v>0</v>
      </c>
      <c r="I97" s="2">
        <f t="shared" si="1"/>
        <v>0</v>
      </c>
      <c r="J97" s="2">
        <f t="shared" si="2"/>
        <v>0</v>
      </c>
    </row>
    <row r="98" spans="1:10" x14ac:dyDescent="0.25">
      <c r="A98" s="99" t="s">
        <v>805</v>
      </c>
      <c r="B98" s="2"/>
      <c r="C98" s="2">
        <v>-29</v>
      </c>
      <c r="D98" s="2"/>
      <c r="E98" s="2"/>
      <c r="F98" s="2">
        <v>245</v>
      </c>
      <c r="G98" s="113">
        <f t="shared" si="0"/>
        <v>216</v>
      </c>
      <c r="I98" s="2">
        <f t="shared" si="1"/>
        <v>0</v>
      </c>
      <c r="J98" s="2">
        <f t="shared" si="2"/>
        <v>0</v>
      </c>
    </row>
    <row r="99" spans="1:10" x14ac:dyDescent="0.25">
      <c r="A99" s="99" t="s">
        <v>333</v>
      </c>
      <c r="B99" s="2"/>
      <c r="C99" s="2">
        <v>-432</v>
      </c>
      <c r="D99" s="2"/>
      <c r="E99" s="2"/>
      <c r="F99" s="2">
        <v>290</v>
      </c>
      <c r="G99" s="113">
        <f t="shared" si="0"/>
        <v>-142</v>
      </c>
      <c r="I99" s="2">
        <f t="shared" si="1"/>
        <v>0</v>
      </c>
      <c r="J99" s="2">
        <f t="shared" si="2"/>
        <v>-142</v>
      </c>
    </row>
    <row r="100" spans="1:10" x14ac:dyDescent="0.25">
      <c r="A100" s="99" t="s">
        <v>334</v>
      </c>
      <c r="B100" s="2"/>
      <c r="C100" s="2">
        <v>-450</v>
      </c>
      <c r="D100" s="2"/>
      <c r="E100" s="2"/>
      <c r="F100" s="2">
        <v>450</v>
      </c>
      <c r="G100" s="113">
        <f t="shared" si="0"/>
        <v>0</v>
      </c>
      <c r="I100" s="2">
        <f t="shared" si="1"/>
        <v>0</v>
      </c>
      <c r="J100" s="2">
        <f t="shared" si="2"/>
        <v>0</v>
      </c>
    </row>
    <row r="101" spans="1:10" x14ac:dyDescent="0.25">
      <c r="A101" s="99" t="s">
        <v>335</v>
      </c>
      <c r="B101" s="2"/>
      <c r="C101" s="2">
        <v>-432</v>
      </c>
      <c r="D101" s="2"/>
      <c r="E101" s="2"/>
      <c r="F101" s="2">
        <v>432</v>
      </c>
      <c r="G101" s="113">
        <f t="shared" ref="G101:G164" si="3">SUM(B101:F101)</f>
        <v>0</v>
      </c>
      <c r="I101" s="2">
        <f t="shared" ref="I101:I164" si="4">IF(F101=0,C101+D101,0)</f>
        <v>0</v>
      </c>
      <c r="J101" s="2">
        <f t="shared" ref="J101:J164" si="5">IF(G101&lt;0,G101,0)</f>
        <v>0</v>
      </c>
    </row>
    <row r="102" spans="1:10" x14ac:dyDescent="0.25">
      <c r="A102" s="99" t="s">
        <v>806</v>
      </c>
      <c r="B102" s="2"/>
      <c r="C102" s="2">
        <v>-146.28</v>
      </c>
      <c r="D102" s="2"/>
      <c r="E102" s="2"/>
      <c r="F102" s="2">
        <v>146.28</v>
      </c>
      <c r="G102" s="113">
        <f t="shared" si="3"/>
        <v>0</v>
      </c>
      <c r="I102" s="2">
        <f t="shared" si="4"/>
        <v>0</v>
      </c>
      <c r="J102" s="2">
        <f t="shared" si="5"/>
        <v>0</v>
      </c>
    </row>
    <row r="103" spans="1:10" x14ac:dyDescent="0.25">
      <c r="A103" s="99" t="s">
        <v>336</v>
      </c>
      <c r="B103" s="2"/>
      <c r="C103" s="2">
        <v>-315</v>
      </c>
      <c r="D103" s="2"/>
      <c r="E103" s="2"/>
      <c r="F103" s="2">
        <v>315</v>
      </c>
      <c r="G103" s="113">
        <f t="shared" si="3"/>
        <v>0</v>
      </c>
      <c r="I103" s="2">
        <f t="shared" si="4"/>
        <v>0</v>
      </c>
      <c r="J103" s="2">
        <f t="shared" si="5"/>
        <v>0</v>
      </c>
    </row>
    <row r="104" spans="1:10" x14ac:dyDescent="0.25">
      <c r="A104" s="99" t="s">
        <v>337</v>
      </c>
      <c r="B104" s="2"/>
      <c r="C104" s="2">
        <v>-300</v>
      </c>
      <c r="D104" s="2"/>
      <c r="E104" s="2"/>
      <c r="F104" s="2">
        <v>300</v>
      </c>
      <c r="G104" s="113">
        <f t="shared" si="3"/>
        <v>0</v>
      </c>
      <c r="I104" s="2">
        <f t="shared" si="4"/>
        <v>0</v>
      </c>
      <c r="J104" s="2">
        <f t="shared" si="5"/>
        <v>0</v>
      </c>
    </row>
    <row r="105" spans="1:10" x14ac:dyDescent="0.25">
      <c r="A105" s="99" t="s">
        <v>807</v>
      </c>
      <c r="B105" s="2"/>
      <c r="C105" s="2">
        <v>-29</v>
      </c>
      <c r="D105" s="2"/>
      <c r="E105" s="2"/>
      <c r="F105" s="2">
        <v>29</v>
      </c>
      <c r="G105" s="113">
        <f t="shared" si="3"/>
        <v>0</v>
      </c>
      <c r="I105" s="2">
        <f t="shared" si="4"/>
        <v>0</v>
      </c>
      <c r="J105" s="2">
        <f t="shared" si="5"/>
        <v>0</v>
      </c>
    </row>
    <row r="106" spans="1:10" x14ac:dyDescent="0.25">
      <c r="A106" s="99" t="s">
        <v>339</v>
      </c>
      <c r="B106" s="2"/>
      <c r="C106" s="2">
        <v>-100</v>
      </c>
      <c r="D106" s="2"/>
      <c r="E106" s="2"/>
      <c r="F106" s="2">
        <v>100</v>
      </c>
      <c r="G106" s="113">
        <f t="shared" si="3"/>
        <v>0</v>
      </c>
      <c r="I106" s="2">
        <f t="shared" si="4"/>
        <v>0</v>
      </c>
      <c r="J106" s="2">
        <f t="shared" si="5"/>
        <v>0</v>
      </c>
    </row>
    <row r="107" spans="1:10" x14ac:dyDescent="0.25">
      <c r="A107" s="99" t="s">
        <v>340</v>
      </c>
      <c r="B107" s="2"/>
      <c r="C107" s="2">
        <v>-290</v>
      </c>
      <c r="D107" s="2"/>
      <c r="E107" s="2"/>
      <c r="F107" s="2">
        <v>290</v>
      </c>
      <c r="G107" s="113">
        <f t="shared" si="3"/>
        <v>0</v>
      </c>
      <c r="I107" s="2">
        <f t="shared" si="4"/>
        <v>0</v>
      </c>
      <c r="J107" s="2">
        <f t="shared" si="5"/>
        <v>0</v>
      </c>
    </row>
    <row r="108" spans="1:10" x14ac:dyDescent="0.25">
      <c r="A108" s="99" t="s">
        <v>341</v>
      </c>
      <c r="B108" s="2"/>
      <c r="C108" s="2"/>
      <c r="D108" s="2"/>
      <c r="E108" s="2"/>
      <c r="F108" s="2">
        <v>0</v>
      </c>
      <c r="G108" s="113">
        <f t="shared" si="3"/>
        <v>0</v>
      </c>
      <c r="I108" s="2">
        <f t="shared" si="4"/>
        <v>0</v>
      </c>
      <c r="J108" s="2">
        <f t="shared" si="5"/>
        <v>0</v>
      </c>
    </row>
    <row r="109" spans="1:10" x14ac:dyDescent="0.25">
      <c r="A109" s="99" t="s">
        <v>342</v>
      </c>
      <c r="B109" s="2"/>
      <c r="C109" s="2">
        <v>-184.04</v>
      </c>
      <c r="D109" s="2"/>
      <c r="E109" s="2"/>
      <c r="F109" s="2">
        <v>184.04</v>
      </c>
      <c r="G109" s="113">
        <f t="shared" si="3"/>
        <v>0</v>
      </c>
      <c r="I109" s="2">
        <f t="shared" si="4"/>
        <v>0</v>
      </c>
      <c r="J109" s="2">
        <f t="shared" si="5"/>
        <v>0</v>
      </c>
    </row>
    <row r="110" spans="1:10" x14ac:dyDescent="0.25">
      <c r="A110" s="99" t="s">
        <v>343</v>
      </c>
      <c r="B110" s="2"/>
      <c r="C110" s="2">
        <v>-41.35</v>
      </c>
      <c r="D110" s="2"/>
      <c r="E110" s="2"/>
      <c r="F110" s="2">
        <v>41.35</v>
      </c>
      <c r="G110" s="113">
        <f t="shared" si="3"/>
        <v>0</v>
      </c>
      <c r="I110" s="2">
        <f t="shared" si="4"/>
        <v>0</v>
      </c>
      <c r="J110" s="2">
        <f t="shared" si="5"/>
        <v>0</v>
      </c>
    </row>
    <row r="111" spans="1:10" x14ac:dyDescent="0.25">
      <c r="A111" s="99" t="s">
        <v>344</v>
      </c>
      <c r="B111" s="2"/>
      <c r="C111" s="2">
        <v>-432</v>
      </c>
      <c r="D111" s="2"/>
      <c r="E111" s="2"/>
      <c r="F111" s="2">
        <v>432</v>
      </c>
      <c r="G111" s="113">
        <f t="shared" si="3"/>
        <v>0</v>
      </c>
      <c r="I111" s="2">
        <f t="shared" si="4"/>
        <v>0</v>
      </c>
      <c r="J111" s="2">
        <f t="shared" si="5"/>
        <v>0</v>
      </c>
    </row>
    <row r="112" spans="1:10" x14ac:dyDescent="0.25">
      <c r="A112" s="99" t="s">
        <v>808</v>
      </c>
      <c r="B112" s="2"/>
      <c r="C112" s="2">
        <v>-165.36</v>
      </c>
      <c r="D112" s="2"/>
      <c r="E112" s="2"/>
      <c r="F112" s="2">
        <v>165.36</v>
      </c>
      <c r="G112" s="113">
        <f t="shared" si="3"/>
        <v>0</v>
      </c>
      <c r="I112" s="2">
        <f t="shared" si="4"/>
        <v>0</v>
      </c>
      <c r="J112" s="2">
        <f t="shared" si="5"/>
        <v>0</v>
      </c>
    </row>
    <row r="113" spans="1:10" x14ac:dyDescent="0.25">
      <c r="A113" s="99" t="s">
        <v>345</v>
      </c>
      <c r="B113" s="2"/>
      <c r="C113" s="2">
        <v>-432</v>
      </c>
      <c r="D113" s="2"/>
      <c r="E113" s="2"/>
      <c r="F113" s="2">
        <v>864</v>
      </c>
      <c r="G113" s="113">
        <f t="shared" si="3"/>
        <v>432</v>
      </c>
      <c r="I113" s="2">
        <f t="shared" si="4"/>
        <v>0</v>
      </c>
      <c r="J113" s="2">
        <f t="shared" si="5"/>
        <v>0</v>
      </c>
    </row>
    <row r="114" spans="1:10" x14ac:dyDescent="0.25">
      <c r="A114" s="99" t="s">
        <v>346</v>
      </c>
      <c r="B114" s="2"/>
      <c r="C114" s="2">
        <v>-450</v>
      </c>
      <c r="D114" s="2"/>
      <c r="E114" s="2"/>
      <c r="F114" s="2">
        <v>450</v>
      </c>
      <c r="G114" s="113">
        <f t="shared" si="3"/>
        <v>0</v>
      </c>
      <c r="I114" s="2">
        <f t="shared" si="4"/>
        <v>0</v>
      </c>
      <c r="J114" s="2">
        <f t="shared" si="5"/>
        <v>0</v>
      </c>
    </row>
    <row r="115" spans="1:10" x14ac:dyDescent="0.25">
      <c r="A115" s="99" t="s">
        <v>809</v>
      </c>
      <c r="B115" s="2"/>
      <c r="C115" s="2"/>
      <c r="D115" s="2"/>
      <c r="E115" s="2"/>
      <c r="F115" s="2">
        <v>282.78999999999996</v>
      </c>
      <c r="G115" s="113">
        <f t="shared" si="3"/>
        <v>282.78999999999996</v>
      </c>
      <c r="I115" s="2">
        <f t="shared" si="4"/>
        <v>0</v>
      </c>
      <c r="J115" s="2">
        <f t="shared" si="5"/>
        <v>0</v>
      </c>
    </row>
    <row r="116" spans="1:10" x14ac:dyDescent="0.25">
      <c r="A116" s="99" t="s">
        <v>347</v>
      </c>
      <c r="B116" s="2"/>
      <c r="C116" s="2">
        <v>-627</v>
      </c>
      <c r="D116" s="2"/>
      <c r="E116" s="2"/>
      <c r="F116" s="2">
        <v>627</v>
      </c>
      <c r="G116" s="113">
        <f t="shared" si="3"/>
        <v>0</v>
      </c>
      <c r="I116" s="2">
        <f t="shared" si="4"/>
        <v>0</v>
      </c>
      <c r="J116" s="2">
        <f t="shared" si="5"/>
        <v>0</v>
      </c>
    </row>
    <row r="117" spans="1:10" x14ac:dyDescent="0.25">
      <c r="A117" s="99" t="s">
        <v>348</v>
      </c>
      <c r="B117" s="2"/>
      <c r="C117" s="2">
        <v>-270</v>
      </c>
      <c r="D117" s="2"/>
      <c r="E117" s="2"/>
      <c r="F117" s="2">
        <v>270</v>
      </c>
      <c r="G117" s="113">
        <f t="shared" si="3"/>
        <v>0</v>
      </c>
      <c r="I117" s="2">
        <f t="shared" si="4"/>
        <v>0</v>
      </c>
      <c r="J117" s="2">
        <f t="shared" si="5"/>
        <v>0</v>
      </c>
    </row>
    <row r="118" spans="1:10" x14ac:dyDescent="0.25">
      <c r="A118" s="99" t="s">
        <v>349</v>
      </c>
      <c r="B118" s="2"/>
      <c r="C118" s="2"/>
      <c r="D118" s="2"/>
      <c r="E118" s="2"/>
      <c r="F118" s="2">
        <v>0</v>
      </c>
      <c r="G118" s="113">
        <f t="shared" si="3"/>
        <v>0</v>
      </c>
      <c r="I118" s="2">
        <f t="shared" si="4"/>
        <v>0</v>
      </c>
      <c r="J118" s="2">
        <f t="shared" si="5"/>
        <v>0</v>
      </c>
    </row>
    <row r="119" spans="1:10" x14ac:dyDescent="0.25">
      <c r="A119" s="99" t="s">
        <v>350</v>
      </c>
      <c r="B119" s="2"/>
      <c r="C119" s="2">
        <v>-290</v>
      </c>
      <c r="D119" s="2"/>
      <c r="E119" s="2"/>
      <c r="F119" s="2">
        <v>290</v>
      </c>
      <c r="G119" s="113">
        <f t="shared" si="3"/>
        <v>0</v>
      </c>
      <c r="I119" s="2">
        <f t="shared" si="4"/>
        <v>0</v>
      </c>
      <c r="J119" s="2">
        <f t="shared" si="5"/>
        <v>0</v>
      </c>
    </row>
    <row r="120" spans="1:10" x14ac:dyDescent="0.25">
      <c r="A120" s="99" t="s">
        <v>351</v>
      </c>
      <c r="B120" s="2"/>
      <c r="C120" s="2"/>
      <c r="D120" s="2"/>
      <c r="E120" s="2"/>
      <c r="F120" s="2">
        <v>0</v>
      </c>
      <c r="G120" s="113">
        <f t="shared" si="3"/>
        <v>0</v>
      </c>
      <c r="I120" s="2">
        <f t="shared" si="4"/>
        <v>0</v>
      </c>
      <c r="J120" s="2">
        <f t="shared" si="5"/>
        <v>0</v>
      </c>
    </row>
    <row r="121" spans="1:10" x14ac:dyDescent="0.25">
      <c r="A121" s="99" t="s">
        <v>352</v>
      </c>
      <c r="B121" s="2">
        <v>-0.02</v>
      </c>
      <c r="C121" s="2">
        <v>-16.54</v>
      </c>
      <c r="D121" s="2"/>
      <c r="E121" s="2"/>
      <c r="F121" s="2">
        <v>16.560000000000002</v>
      </c>
      <c r="G121" s="113">
        <f t="shared" si="3"/>
        <v>0</v>
      </c>
      <c r="I121" s="2">
        <f t="shared" si="4"/>
        <v>0</v>
      </c>
      <c r="J121" s="2">
        <f t="shared" si="5"/>
        <v>0</v>
      </c>
    </row>
    <row r="122" spans="1:10" x14ac:dyDescent="0.25">
      <c r="A122" s="99" t="s">
        <v>353</v>
      </c>
      <c r="B122" s="2"/>
      <c r="C122" s="2"/>
      <c r="D122" s="2"/>
      <c r="E122" s="2"/>
      <c r="F122" s="2">
        <v>432</v>
      </c>
      <c r="G122" s="113">
        <f t="shared" si="3"/>
        <v>432</v>
      </c>
      <c r="I122" s="2">
        <f t="shared" si="4"/>
        <v>0</v>
      </c>
      <c r="J122" s="2">
        <f t="shared" si="5"/>
        <v>0</v>
      </c>
    </row>
    <row r="123" spans="1:10" x14ac:dyDescent="0.25">
      <c r="A123" s="99" t="s">
        <v>810</v>
      </c>
      <c r="B123" s="2"/>
      <c r="C123" s="2">
        <v>-290</v>
      </c>
      <c r="D123" s="2"/>
      <c r="E123" s="2"/>
      <c r="F123" s="2">
        <v>290</v>
      </c>
      <c r="G123" s="113">
        <f t="shared" si="3"/>
        <v>0</v>
      </c>
      <c r="I123" s="2">
        <f t="shared" si="4"/>
        <v>0</v>
      </c>
      <c r="J123" s="2">
        <f t="shared" si="5"/>
        <v>0</v>
      </c>
    </row>
    <row r="124" spans="1:10" x14ac:dyDescent="0.25">
      <c r="A124" s="99" t="s">
        <v>354</v>
      </c>
      <c r="B124" s="2"/>
      <c r="C124" s="2">
        <v>-300</v>
      </c>
      <c r="D124" s="2"/>
      <c r="E124" s="2"/>
      <c r="F124" s="2">
        <v>450</v>
      </c>
      <c r="G124" s="113">
        <f t="shared" si="3"/>
        <v>150</v>
      </c>
      <c r="I124" s="2">
        <f t="shared" si="4"/>
        <v>0</v>
      </c>
      <c r="J124" s="2">
        <f t="shared" si="5"/>
        <v>0</v>
      </c>
    </row>
    <row r="125" spans="1:10" x14ac:dyDescent="0.25">
      <c r="A125" s="99" t="s">
        <v>811</v>
      </c>
      <c r="B125" s="2"/>
      <c r="C125" s="2">
        <v>-432</v>
      </c>
      <c r="D125" s="2"/>
      <c r="E125" s="2"/>
      <c r="F125" s="2">
        <v>432</v>
      </c>
      <c r="G125" s="113">
        <f t="shared" si="3"/>
        <v>0</v>
      </c>
      <c r="I125" s="2">
        <f t="shared" si="4"/>
        <v>0</v>
      </c>
      <c r="J125" s="2">
        <f t="shared" si="5"/>
        <v>0</v>
      </c>
    </row>
    <row r="126" spans="1:10" x14ac:dyDescent="0.25">
      <c r="A126" s="99" t="s">
        <v>812</v>
      </c>
      <c r="B126" s="2"/>
      <c r="C126" s="2">
        <v>-300</v>
      </c>
      <c r="D126" s="2"/>
      <c r="E126" s="2"/>
      <c r="F126" s="2">
        <v>732</v>
      </c>
      <c r="G126" s="113">
        <f t="shared" si="3"/>
        <v>432</v>
      </c>
      <c r="I126" s="2">
        <f t="shared" si="4"/>
        <v>0</v>
      </c>
      <c r="J126" s="2">
        <f t="shared" si="5"/>
        <v>0</v>
      </c>
    </row>
    <row r="127" spans="1:10" x14ac:dyDescent="0.25">
      <c r="A127" s="99" t="s">
        <v>355</v>
      </c>
      <c r="B127" s="2"/>
      <c r="C127" s="2">
        <v>-483.08</v>
      </c>
      <c r="D127" s="2"/>
      <c r="E127" s="2"/>
      <c r="F127" s="2">
        <v>483.08</v>
      </c>
      <c r="G127" s="113">
        <f t="shared" si="3"/>
        <v>0</v>
      </c>
      <c r="I127" s="2">
        <f t="shared" si="4"/>
        <v>0</v>
      </c>
      <c r="J127" s="2">
        <f t="shared" si="5"/>
        <v>0</v>
      </c>
    </row>
    <row r="128" spans="1:10" x14ac:dyDescent="0.25">
      <c r="A128" s="99" t="s">
        <v>356</v>
      </c>
      <c r="B128" s="2"/>
      <c r="C128" s="2">
        <v>-954</v>
      </c>
      <c r="D128" s="2"/>
      <c r="E128" s="2"/>
      <c r="F128" s="2">
        <v>954</v>
      </c>
      <c r="G128" s="113">
        <f t="shared" si="3"/>
        <v>0</v>
      </c>
      <c r="I128" s="2">
        <f t="shared" si="4"/>
        <v>0</v>
      </c>
      <c r="J128" s="2">
        <f t="shared" si="5"/>
        <v>0</v>
      </c>
    </row>
    <row r="129" spans="1:10" x14ac:dyDescent="0.25">
      <c r="A129" s="99" t="s">
        <v>357</v>
      </c>
      <c r="B129" s="2"/>
      <c r="C129" s="2">
        <v>-290</v>
      </c>
      <c r="D129" s="2"/>
      <c r="E129" s="2"/>
      <c r="F129" s="2">
        <v>0</v>
      </c>
      <c r="G129" s="113">
        <f t="shared" si="3"/>
        <v>-290</v>
      </c>
      <c r="I129" s="2">
        <f t="shared" si="4"/>
        <v>-290</v>
      </c>
      <c r="J129" s="2">
        <f t="shared" si="5"/>
        <v>-290</v>
      </c>
    </row>
    <row r="130" spans="1:10" x14ac:dyDescent="0.25">
      <c r="A130" s="99" t="s">
        <v>358</v>
      </c>
      <c r="B130" s="2"/>
      <c r="C130" s="2">
        <v>-450</v>
      </c>
      <c r="D130" s="2"/>
      <c r="E130" s="2"/>
      <c r="F130" s="2">
        <v>450</v>
      </c>
      <c r="G130" s="113">
        <f t="shared" si="3"/>
        <v>0</v>
      </c>
      <c r="I130" s="2">
        <f t="shared" si="4"/>
        <v>0</v>
      </c>
      <c r="J130" s="2">
        <f t="shared" si="5"/>
        <v>0</v>
      </c>
    </row>
    <row r="131" spans="1:10" x14ac:dyDescent="0.25">
      <c r="A131" s="99" t="s">
        <v>359</v>
      </c>
      <c r="B131" s="2"/>
      <c r="C131" s="2">
        <v>-432</v>
      </c>
      <c r="D131" s="2"/>
      <c r="E131" s="2"/>
      <c r="F131" s="2">
        <v>864</v>
      </c>
      <c r="G131" s="113">
        <f t="shared" si="3"/>
        <v>432</v>
      </c>
      <c r="I131" s="2">
        <f t="shared" si="4"/>
        <v>0</v>
      </c>
      <c r="J131" s="2">
        <f t="shared" si="5"/>
        <v>0</v>
      </c>
    </row>
    <row r="132" spans="1:10" x14ac:dyDescent="0.25">
      <c r="A132" s="99" t="s">
        <v>813</v>
      </c>
      <c r="B132" s="2"/>
      <c r="C132" s="2">
        <v>-290</v>
      </c>
      <c r="D132" s="2"/>
      <c r="E132" s="2"/>
      <c r="F132" s="2">
        <v>290</v>
      </c>
      <c r="G132" s="113">
        <f t="shared" si="3"/>
        <v>0</v>
      </c>
      <c r="I132" s="2">
        <f t="shared" si="4"/>
        <v>0</v>
      </c>
      <c r="J132" s="2">
        <f t="shared" si="5"/>
        <v>0</v>
      </c>
    </row>
    <row r="133" spans="1:10" x14ac:dyDescent="0.25">
      <c r="A133" s="99" t="s">
        <v>360</v>
      </c>
      <c r="B133" s="2"/>
      <c r="C133" s="2"/>
      <c r="D133" s="2"/>
      <c r="E133" s="2"/>
      <c r="F133" s="2">
        <v>290</v>
      </c>
      <c r="G133" s="113">
        <f t="shared" si="3"/>
        <v>290</v>
      </c>
      <c r="I133" s="2">
        <f t="shared" si="4"/>
        <v>0</v>
      </c>
      <c r="J133" s="2">
        <f t="shared" si="5"/>
        <v>0</v>
      </c>
    </row>
    <row r="134" spans="1:10" x14ac:dyDescent="0.25">
      <c r="A134" s="99" t="s">
        <v>361</v>
      </c>
      <c r="B134" s="2"/>
      <c r="C134" s="2">
        <v>-600</v>
      </c>
      <c r="D134" s="2"/>
      <c r="E134" s="2"/>
      <c r="F134" s="2">
        <v>900</v>
      </c>
      <c r="G134" s="113">
        <f t="shared" si="3"/>
        <v>300</v>
      </c>
      <c r="I134" s="2">
        <f t="shared" si="4"/>
        <v>0</v>
      </c>
      <c r="J134" s="2">
        <f t="shared" si="5"/>
        <v>0</v>
      </c>
    </row>
    <row r="135" spans="1:10" x14ac:dyDescent="0.25">
      <c r="A135" s="99" t="s">
        <v>363</v>
      </c>
      <c r="B135" s="2"/>
      <c r="C135" s="2">
        <v>-432</v>
      </c>
      <c r="D135" s="2"/>
      <c r="E135" s="2"/>
      <c r="F135" s="2">
        <v>864</v>
      </c>
      <c r="G135" s="113">
        <f t="shared" si="3"/>
        <v>432</v>
      </c>
      <c r="I135" s="2">
        <f t="shared" si="4"/>
        <v>0</v>
      </c>
      <c r="J135" s="2">
        <f t="shared" si="5"/>
        <v>0</v>
      </c>
    </row>
    <row r="136" spans="1:10" x14ac:dyDescent="0.25">
      <c r="A136" s="99" t="s">
        <v>364</v>
      </c>
      <c r="B136" s="2"/>
      <c r="C136" s="2">
        <v>-432</v>
      </c>
      <c r="D136" s="2"/>
      <c r="E136" s="2"/>
      <c r="F136" s="2">
        <v>432</v>
      </c>
      <c r="G136" s="113">
        <f t="shared" si="3"/>
        <v>0</v>
      </c>
      <c r="I136" s="2">
        <f t="shared" si="4"/>
        <v>0</v>
      </c>
      <c r="J136" s="2">
        <f t="shared" si="5"/>
        <v>0</v>
      </c>
    </row>
    <row r="137" spans="1:10" x14ac:dyDescent="0.25">
      <c r="A137" s="99" t="s">
        <v>365</v>
      </c>
      <c r="B137" s="2"/>
      <c r="C137" s="2">
        <v>-315</v>
      </c>
      <c r="D137" s="2"/>
      <c r="E137" s="2"/>
      <c r="F137" s="2">
        <v>315</v>
      </c>
      <c r="G137" s="113">
        <f t="shared" si="3"/>
        <v>0</v>
      </c>
      <c r="I137" s="2">
        <f t="shared" si="4"/>
        <v>0</v>
      </c>
      <c r="J137" s="2">
        <f t="shared" si="5"/>
        <v>0</v>
      </c>
    </row>
    <row r="138" spans="1:10" x14ac:dyDescent="0.25">
      <c r="A138" s="99" t="s">
        <v>366</v>
      </c>
      <c r="B138" s="2"/>
      <c r="C138" s="2">
        <v>-432</v>
      </c>
      <c r="D138" s="2"/>
      <c r="E138" s="2"/>
      <c r="F138" s="2">
        <v>432</v>
      </c>
      <c r="G138" s="113">
        <f t="shared" si="3"/>
        <v>0</v>
      </c>
      <c r="I138" s="2">
        <f t="shared" si="4"/>
        <v>0</v>
      </c>
      <c r="J138" s="2">
        <f t="shared" si="5"/>
        <v>0</v>
      </c>
    </row>
    <row r="139" spans="1:10" x14ac:dyDescent="0.25">
      <c r="A139" s="99" t="s">
        <v>367</v>
      </c>
      <c r="B139" s="2"/>
      <c r="C139" s="2">
        <v>-450</v>
      </c>
      <c r="D139" s="2"/>
      <c r="E139" s="2"/>
      <c r="F139" s="2">
        <v>450</v>
      </c>
      <c r="G139" s="113">
        <f t="shared" si="3"/>
        <v>0</v>
      </c>
      <c r="I139" s="2">
        <f t="shared" si="4"/>
        <v>0</v>
      </c>
      <c r="J139" s="2">
        <f t="shared" si="5"/>
        <v>0</v>
      </c>
    </row>
    <row r="140" spans="1:10" x14ac:dyDescent="0.25">
      <c r="A140" s="99" t="s">
        <v>814</v>
      </c>
      <c r="B140" s="2"/>
      <c r="C140" s="2">
        <v>-58</v>
      </c>
      <c r="D140" s="2"/>
      <c r="E140" s="2"/>
      <c r="F140" s="2">
        <v>58</v>
      </c>
      <c r="G140" s="113">
        <f t="shared" si="3"/>
        <v>0</v>
      </c>
      <c r="I140" s="2">
        <f t="shared" si="4"/>
        <v>0</v>
      </c>
      <c r="J140" s="2">
        <f t="shared" si="5"/>
        <v>0</v>
      </c>
    </row>
    <row r="141" spans="1:10" x14ac:dyDescent="0.25">
      <c r="A141" s="99" t="s">
        <v>368</v>
      </c>
      <c r="B141" s="2"/>
      <c r="C141" s="2"/>
      <c r="D141" s="2"/>
      <c r="E141" s="2"/>
      <c r="F141" s="2">
        <v>432</v>
      </c>
      <c r="G141" s="113">
        <f t="shared" si="3"/>
        <v>432</v>
      </c>
      <c r="I141" s="2">
        <f t="shared" si="4"/>
        <v>0</v>
      </c>
      <c r="J141" s="2">
        <f t="shared" si="5"/>
        <v>0</v>
      </c>
    </row>
    <row r="142" spans="1:10" x14ac:dyDescent="0.25">
      <c r="A142" s="99" t="s">
        <v>369</v>
      </c>
      <c r="B142" s="2"/>
      <c r="C142" s="2"/>
      <c r="D142" s="2"/>
      <c r="E142" s="2"/>
      <c r="F142" s="2">
        <v>648</v>
      </c>
      <c r="G142" s="113">
        <f t="shared" si="3"/>
        <v>648</v>
      </c>
      <c r="I142" s="2">
        <f t="shared" si="4"/>
        <v>0</v>
      </c>
      <c r="J142" s="2">
        <f t="shared" si="5"/>
        <v>0</v>
      </c>
    </row>
    <row r="143" spans="1:10" x14ac:dyDescent="0.25">
      <c r="A143" s="99" t="s">
        <v>815</v>
      </c>
      <c r="B143" s="2"/>
      <c r="C143" s="2"/>
      <c r="D143" s="2"/>
      <c r="E143" s="2"/>
      <c r="F143" s="2">
        <v>0</v>
      </c>
      <c r="G143" s="113">
        <f t="shared" si="3"/>
        <v>0</v>
      </c>
      <c r="I143" s="2">
        <f t="shared" si="4"/>
        <v>0</v>
      </c>
      <c r="J143" s="2">
        <f t="shared" si="5"/>
        <v>0</v>
      </c>
    </row>
    <row r="144" spans="1:10" x14ac:dyDescent="0.25">
      <c r="A144" s="99" t="s">
        <v>370</v>
      </c>
      <c r="B144" s="2"/>
      <c r="C144" s="2">
        <v>-290</v>
      </c>
      <c r="D144" s="2"/>
      <c r="E144" s="2"/>
      <c r="F144" s="2">
        <v>432</v>
      </c>
      <c r="G144" s="113">
        <f t="shared" si="3"/>
        <v>142</v>
      </c>
      <c r="I144" s="2">
        <f t="shared" si="4"/>
        <v>0</v>
      </c>
      <c r="J144" s="2">
        <f t="shared" si="5"/>
        <v>0</v>
      </c>
    </row>
    <row r="145" spans="1:10" x14ac:dyDescent="0.25">
      <c r="A145" s="99" t="s">
        <v>371</v>
      </c>
      <c r="B145" s="2"/>
      <c r="C145" s="2">
        <v>-82.68</v>
      </c>
      <c r="D145" s="2"/>
      <c r="E145" s="2"/>
      <c r="F145" s="2">
        <v>82.68</v>
      </c>
      <c r="G145" s="113">
        <f t="shared" si="3"/>
        <v>0</v>
      </c>
      <c r="I145" s="2">
        <f t="shared" si="4"/>
        <v>0</v>
      </c>
      <c r="J145" s="2">
        <f t="shared" si="5"/>
        <v>0</v>
      </c>
    </row>
    <row r="146" spans="1:10" x14ac:dyDescent="0.25">
      <c r="A146" s="99" t="s">
        <v>372</v>
      </c>
      <c r="B146" s="2"/>
      <c r="C146" s="2">
        <v>-15</v>
      </c>
      <c r="D146" s="2"/>
      <c r="E146" s="2"/>
      <c r="F146" s="2">
        <v>30</v>
      </c>
      <c r="G146" s="113">
        <f t="shared" si="3"/>
        <v>15</v>
      </c>
      <c r="I146" s="2">
        <f t="shared" si="4"/>
        <v>0</v>
      </c>
      <c r="J146" s="2">
        <f t="shared" si="5"/>
        <v>0</v>
      </c>
    </row>
    <row r="147" spans="1:10" x14ac:dyDescent="0.25">
      <c r="A147" s="99" t="s">
        <v>373</v>
      </c>
      <c r="B147" s="2"/>
      <c r="C147" s="2">
        <v>-15</v>
      </c>
      <c r="D147" s="2"/>
      <c r="E147" s="2"/>
      <c r="F147" s="2">
        <v>15</v>
      </c>
      <c r="G147" s="113">
        <f t="shared" si="3"/>
        <v>0</v>
      </c>
      <c r="I147" s="2">
        <f t="shared" si="4"/>
        <v>0</v>
      </c>
      <c r="J147" s="2">
        <f t="shared" si="5"/>
        <v>0</v>
      </c>
    </row>
    <row r="148" spans="1:10" x14ac:dyDescent="0.25">
      <c r="A148" s="99" t="s">
        <v>374</v>
      </c>
      <c r="B148" s="2"/>
      <c r="C148" s="2">
        <v>-29</v>
      </c>
      <c r="D148" s="2"/>
      <c r="E148" s="2"/>
      <c r="F148" s="2">
        <v>29</v>
      </c>
      <c r="G148" s="113">
        <f t="shared" si="3"/>
        <v>0</v>
      </c>
      <c r="I148" s="2">
        <f t="shared" si="4"/>
        <v>0</v>
      </c>
      <c r="J148" s="2">
        <f t="shared" si="5"/>
        <v>0</v>
      </c>
    </row>
    <row r="149" spans="1:10" x14ac:dyDescent="0.25">
      <c r="A149" s="99" t="s">
        <v>375</v>
      </c>
      <c r="B149" s="2"/>
      <c r="C149" s="2">
        <v>-450</v>
      </c>
      <c r="D149" s="2"/>
      <c r="E149" s="2"/>
      <c r="F149" s="2">
        <v>1098</v>
      </c>
      <c r="G149" s="113">
        <f t="shared" si="3"/>
        <v>648</v>
      </c>
      <c r="I149" s="2">
        <f t="shared" si="4"/>
        <v>0</v>
      </c>
      <c r="J149" s="2">
        <f t="shared" si="5"/>
        <v>0</v>
      </c>
    </row>
    <row r="150" spans="1:10" x14ac:dyDescent="0.25">
      <c r="A150" s="99" t="s">
        <v>376</v>
      </c>
      <c r="B150" s="2"/>
      <c r="C150" s="2">
        <v>-132</v>
      </c>
      <c r="D150" s="2"/>
      <c r="E150" s="2"/>
      <c r="F150" s="2">
        <v>132</v>
      </c>
      <c r="G150" s="113">
        <f t="shared" si="3"/>
        <v>0</v>
      </c>
      <c r="I150" s="2">
        <f t="shared" si="4"/>
        <v>0</v>
      </c>
      <c r="J150" s="2">
        <f t="shared" si="5"/>
        <v>0</v>
      </c>
    </row>
    <row r="151" spans="1:10" x14ac:dyDescent="0.25">
      <c r="A151" s="99" t="s">
        <v>377</v>
      </c>
      <c r="B151" s="2"/>
      <c r="C151" s="2">
        <v>-432</v>
      </c>
      <c r="D151" s="2"/>
      <c r="E151" s="2"/>
      <c r="F151" s="2">
        <v>432</v>
      </c>
      <c r="G151" s="113">
        <f t="shared" si="3"/>
        <v>0</v>
      </c>
      <c r="I151" s="2">
        <f t="shared" si="4"/>
        <v>0</v>
      </c>
      <c r="J151" s="2">
        <f t="shared" si="5"/>
        <v>0</v>
      </c>
    </row>
    <row r="152" spans="1:10" x14ac:dyDescent="0.25">
      <c r="A152" s="99" t="s">
        <v>378</v>
      </c>
      <c r="B152" s="2"/>
      <c r="C152" s="2">
        <v>-86.4</v>
      </c>
      <c r="D152" s="2"/>
      <c r="E152" s="2"/>
      <c r="F152" s="2">
        <v>86.4</v>
      </c>
      <c r="G152" s="113">
        <f t="shared" si="3"/>
        <v>0</v>
      </c>
      <c r="I152" s="2">
        <f t="shared" si="4"/>
        <v>0</v>
      </c>
      <c r="J152" s="2">
        <f t="shared" si="5"/>
        <v>0</v>
      </c>
    </row>
    <row r="153" spans="1:10" x14ac:dyDescent="0.25">
      <c r="A153" s="99" t="s">
        <v>379</v>
      </c>
      <c r="B153" s="2"/>
      <c r="C153" s="2">
        <v>-145</v>
      </c>
      <c r="D153" s="2"/>
      <c r="E153" s="2"/>
      <c r="F153" s="2">
        <v>145</v>
      </c>
      <c r="G153" s="113">
        <f t="shared" si="3"/>
        <v>0</v>
      </c>
      <c r="I153" s="2">
        <f t="shared" si="4"/>
        <v>0</v>
      </c>
      <c r="J153" s="2">
        <f t="shared" si="5"/>
        <v>0</v>
      </c>
    </row>
    <row r="154" spans="1:10" x14ac:dyDescent="0.25">
      <c r="A154" s="99" t="s">
        <v>816</v>
      </c>
      <c r="B154" s="2"/>
      <c r="C154" s="2">
        <v>-432</v>
      </c>
      <c r="D154" s="2"/>
      <c r="E154" s="2"/>
      <c r="F154" s="2">
        <v>432</v>
      </c>
      <c r="G154" s="113">
        <f t="shared" si="3"/>
        <v>0</v>
      </c>
      <c r="I154" s="2">
        <f t="shared" si="4"/>
        <v>0</v>
      </c>
      <c r="J154" s="2">
        <f t="shared" si="5"/>
        <v>0</v>
      </c>
    </row>
    <row r="155" spans="1:10" x14ac:dyDescent="0.25">
      <c r="A155" s="99" t="s">
        <v>817</v>
      </c>
      <c r="B155" s="2"/>
      <c r="C155" s="2">
        <v>-768</v>
      </c>
      <c r="D155" s="2"/>
      <c r="E155" s="2"/>
      <c r="F155" s="2">
        <v>768</v>
      </c>
      <c r="G155" s="113">
        <f t="shared" si="3"/>
        <v>0</v>
      </c>
      <c r="I155" s="2">
        <f t="shared" si="4"/>
        <v>0</v>
      </c>
      <c r="J155" s="2">
        <f t="shared" si="5"/>
        <v>0</v>
      </c>
    </row>
    <row r="156" spans="1:10" x14ac:dyDescent="0.25">
      <c r="A156" s="99" t="s">
        <v>818</v>
      </c>
      <c r="B156" s="2"/>
      <c r="C156" s="2">
        <v>-66</v>
      </c>
      <c r="D156" s="2"/>
      <c r="E156" s="2"/>
      <c r="F156" s="2">
        <v>66</v>
      </c>
      <c r="G156" s="113">
        <f t="shared" si="3"/>
        <v>0</v>
      </c>
      <c r="I156" s="2">
        <f t="shared" si="4"/>
        <v>0</v>
      </c>
      <c r="J156" s="2">
        <f t="shared" si="5"/>
        <v>0</v>
      </c>
    </row>
    <row r="157" spans="1:10" x14ac:dyDescent="0.25">
      <c r="A157" s="99" t="s">
        <v>380</v>
      </c>
      <c r="B157" s="2"/>
      <c r="C157" s="2"/>
      <c r="D157" s="2"/>
      <c r="E157" s="2"/>
      <c r="F157" s="2">
        <v>66</v>
      </c>
      <c r="G157" s="113">
        <f t="shared" si="3"/>
        <v>66</v>
      </c>
      <c r="I157" s="2">
        <f t="shared" si="4"/>
        <v>0</v>
      </c>
      <c r="J157" s="2">
        <f t="shared" si="5"/>
        <v>0</v>
      </c>
    </row>
    <row r="158" spans="1:10" x14ac:dyDescent="0.25">
      <c r="A158" s="99" t="s">
        <v>381</v>
      </c>
      <c r="B158" s="2"/>
      <c r="C158" s="2">
        <v>-468</v>
      </c>
      <c r="D158" s="2"/>
      <c r="E158" s="2"/>
      <c r="F158" s="2">
        <v>450</v>
      </c>
      <c r="G158" s="113">
        <f t="shared" si="3"/>
        <v>-18</v>
      </c>
      <c r="I158" s="2">
        <f t="shared" si="4"/>
        <v>0</v>
      </c>
      <c r="J158" s="2">
        <f t="shared" si="5"/>
        <v>-18</v>
      </c>
    </row>
    <row r="159" spans="1:10" x14ac:dyDescent="0.25">
      <c r="A159" s="99" t="s">
        <v>382</v>
      </c>
      <c r="B159" s="2"/>
      <c r="C159" s="2">
        <v>-450</v>
      </c>
      <c r="D159" s="2"/>
      <c r="E159" s="2"/>
      <c r="F159" s="2">
        <v>450</v>
      </c>
      <c r="G159" s="113">
        <f t="shared" si="3"/>
        <v>0</v>
      </c>
      <c r="I159" s="2">
        <f t="shared" si="4"/>
        <v>0</v>
      </c>
      <c r="J159" s="2">
        <f t="shared" si="5"/>
        <v>0</v>
      </c>
    </row>
    <row r="160" spans="1:10" x14ac:dyDescent="0.25">
      <c r="A160" s="99" t="s">
        <v>819</v>
      </c>
      <c r="B160" s="2"/>
      <c r="C160" s="2">
        <v>-432</v>
      </c>
      <c r="D160" s="2"/>
      <c r="E160" s="2"/>
      <c r="F160" s="2">
        <v>432</v>
      </c>
      <c r="G160" s="113">
        <f t="shared" si="3"/>
        <v>0</v>
      </c>
      <c r="I160" s="2">
        <f t="shared" si="4"/>
        <v>0</v>
      </c>
      <c r="J160" s="2">
        <f t="shared" si="5"/>
        <v>0</v>
      </c>
    </row>
    <row r="161" spans="1:10" x14ac:dyDescent="0.25">
      <c r="A161" s="99" t="s">
        <v>383</v>
      </c>
      <c r="B161" s="2"/>
      <c r="C161" s="2">
        <v>-113.94</v>
      </c>
      <c r="D161" s="2"/>
      <c r="E161" s="2"/>
      <c r="F161" s="2">
        <v>113.94000000000003</v>
      </c>
      <c r="G161" s="113">
        <f t="shared" si="3"/>
        <v>0</v>
      </c>
      <c r="I161" s="2">
        <f t="shared" si="4"/>
        <v>0</v>
      </c>
      <c r="J161" s="2">
        <f t="shared" si="5"/>
        <v>0</v>
      </c>
    </row>
    <row r="162" spans="1:10" x14ac:dyDescent="0.25">
      <c r="A162" s="99" t="s">
        <v>384</v>
      </c>
      <c r="B162" s="2"/>
      <c r="C162" s="2">
        <v>-432</v>
      </c>
      <c r="D162" s="2"/>
      <c r="E162" s="2"/>
      <c r="F162" s="2">
        <v>432</v>
      </c>
      <c r="G162" s="113">
        <f t="shared" si="3"/>
        <v>0</v>
      </c>
      <c r="I162" s="2">
        <f t="shared" si="4"/>
        <v>0</v>
      </c>
      <c r="J162" s="2">
        <f t="shared" si="5"/>
        <v>0</v>
      </c>
    </row>
    <row r="163" spans="1:10" x14ac:dyDescent="0.25">
      <c r="A163" s="99" t="s">
        <v>385</v>
      </c>
      <c r="B163" s="2"/>
      <c r="C163" s="2"/>
      <c r="D163" s="2"/>
      <c r="E163" s="2"/>
      <c r="F163" s="2">
        <v>0</v>
      </c>
      <c r="G163" s="113">
        <f t="shared" si="3"/>
        <v>0</v>
      </c>
      <c r="I163" s="2">
        <f t="shared" si="4"/>
        <v>0</v>
      </c>
      <c r="J163" s="2">
        <f t="shared" si="5"/>
        <v>0</v>
      </c>
    </row>
    <row r="164" spans="1:10" x14ac:dyDescent="0.25">
      <c r="A164" s="99" t="s">
        <v>386</v>
      </c>
      <c r="B164" s="2"/>
      <c r="C164" s="2">
        <v>-432</v>
      </c>
      <c r="D164" s="2"/>
      <c r="E164" s="2"/>
      <c r="F164" s="2">
        <v>750</v>
      </c>
      <c r="G164" s="113">
        <f t="shared" si="3"/>
        <v>318</v>
      </c>
      <c r="I164" s="2">
        <f t="shared" si="4"/>
        <v>0</v>
      </c>
      <c r="J164" s="2">
        <f t="shared" si="5"/>
        <v>0</v>
      </c>
    </row>
    <row r="165" spans="1:10" x14ac:dyDescent="0.25">
      <c r="A165" s="99" t="s">
        <v>387</v>
      </c>
      <c r="B165" s="2"/>
      <c r="C165" s="2">
        <v>-212.61</v>
      </c>
      <c r="D165" s="2"/>
      <c r="E165" s="2"/>
      <c r="F165" s="2">
        <v>212.61</v>
      </c>
      <c r="G165" s="113">
        <f t="shared" ref="G165:G228" si="6">SUM(B165:F165)</f>
        <v>0</v>
      </c>
      <c r="I165" s="2">
        <f t="shared" ref="I165:I228" si="7">IF(F165=0,C165+D165,0)</f>
        <v>0</v>
      </c>
      <c r="J165" s="2">
        <f t="shared" ref="J165:J228" si="8">IF(G165&lt;0,G165,0)</f>
        <v>0</v>
      </c>
    </row>
    <row r="166" spans="1:10" x14ac:dyDescent="0.25">
      <c r="A166" s="99" t="s">
        <v>820</v>
      </c>
      <c r="B166" s="2"/>
      <c r="C166" s="2">
        <v>-432</v>
      </c>
      <c r="D166" s="2"/>
      <c r="E166" s="2"/>
      <c r="F166" s="2">
        <v>432</v>
      </c>
      <c r="G166" s="113">
        <f t="shared" si="6"/>
        <v>0</v>
      </c>
      <c r="I166" s="2">
        <f t="shared" si="7"/>
        <v>0</v>
      </c>
      <c r="J166" s="2">
        <f t="shared" si="8"/>
        <v>0</v>
      </c>
    </row>
    <row r="167" spans="1:10" x14ac:dyDescent="0.25">
      <c r="A167" s="99" t="s">
        <v>388</v>
      </c>
      <c r="B167" s="2"/>
      <c r="C167" s="2">
        <v>-750</v>
      </c>
      <c r="D167" s="2"/>
      <c r="E167" s="2"/>
      <c r="F167" s="2">
        <v>750</v>
      </c>
      <c r="G167" s="113">
        <f t="shared" si="6"/>
        <v>0</v>
      </c>
      <c r="I167" s="2">
        <f t="shared" si="7"/>
        <v>0</v>
      </c>
      <c r="J167" s="2">
        <f t="shared" si="8"/>
        <v>0</v>
      </c>
    </row>
    <row r="168" spans="1:10" x14ac:dyDescent="0.25">
      <c r="A168" s="99" t="s">
        <v>821</v>
      </c>
      <c r="B168" s="2"/>
      <c r="C168" s="2">
        <v>-195</v>
      </c>
      <c r="D168" s="2"/>
      <c r="E168" s="2"/>
      <c r="F168" s="2">
        <v>195</v>
      </c>
      <c r="G168" s="113">
        <f t="shared" si="6"/>
        <v>0</v>
      </c>
      <c r="I168" s="2">
        <f t="shared" si="7"/>
        <v>0</v>
      </c>
      <c r="J168" s="2">
        <f t="shared" si="8"/>
        <v>0</v>
      </c>
    </row>
    <row r="169" spans="1:10" x14ac:dyDescent="0.25">
      <c r="A169" s="99" t="s">
        <v>822</v>
      </c>
      <c r="B169" s="2"/>
      <c r="C169" s="2">
        <v>-333</v>
      </c>
      <c r="D169" s="2"/>
      <c r="E169" s="2"/>
      <c r="F169" s="2">
        <v>333</v>
      </c>
      <c r="G169" s="113">
        <f t="shared" si="6"/>
        <v>0</v>
      </c>
      <c r="I169" s="2">
        <f t="shared" si="7"/>
        <v>0</v>
      </c>
      <c r="J169" s="2">
        <f t="shared" si="8"/>
        <v>0</v>
      </c>
    </row>
    <row r="170" spans="1:10" x14ac:dyDescent="0.25">
      <c r="A170" s="99" t="s">
        <v>389</v>
      </c>
      <c r="B170" s="2"/>
      <c r="C170" s="2">
        <v>-450</v>
      </c>
      <c r="D170" s="2"/>
      <c r="E170" s="2"/>
      <c r="F170" s="2">
        <v>450</v>
      </c>
      <c r="G170" s="113">
        <f t="shared" si="6"/>
        <v>0</v>
      </c>
      <c r="I170" s="2">
        <f t="shared" si="7"/>
        <v>0</v>
      </c>
      <c r="J170" s="2">
        <f t="shared" si="8"/>
        <v>0</v>
      </c>
    </row>
    <row r="171" spans="1:10" x14ac:dyDescent="0.25">
      <c r="A171" s="99" t="s">
        <v>390</v>
      </c>
      <c r="B171" s="2"/>
      <c r="C171" s="2">
        <v>-590</v>
      </c>
      <c r="D171" s="2"/>
      <c r="E171" s="2"/>
      <c r="F171" s="2">
        <v>590</v>
      </c>
      <c r="G171" s="113">
        <f t="shared" si="6"/>
        <v>0</v>
      </c>
      <c r="I171" s="2">
        <f t="shared" si="7"/>
        <v>0</v>
      </c>
      <c r="J171" s="2">
        <f t="shared" si="8"/>
        <v>0</v>
      </c>
    </row>
    <row r="172" spans="1:10" x14ac:dyDescent="0.25">
      <c r="A172" s="99" t="s">
        <v>823</v>
      </c>
      <c r="B172" s="2"/>
      <c r="C172" s="2">
        <v>-102</v>
      </c>
      <c r="D172" s="2"/>
      <c r="E172" s="2"/>
      <c r="F172" s="2">
        <v>102</v>
      </c>
      <c r="G172" s="113">
        <f t="shared" si="6"/>
        <v>0</v>
      </c>
      <c r="I172" s="2">
        <f t="shared" si="7"/>
        <v>0</v>
      </c>
      <c r="J172" s="2">
        <f t="shared" si="8"/>
        <v>0</v>
      </c>
    </row>
    <row r="173" spans="1:10" x14ac:dyDescent="0.25">
      <c r="A173" s="99" t="s">
        <v>391</v>
      </c>
      <c r="B173" s="2"/>
      <c r="C173" s="2"/>
      <c r="D173" s="2"/>
      <c r="E173" s="2"/>
      <c r="F173" s="2">
        <v>432</v>
      </c>
      <c r="G173" s="113">
        <f t="shared" si="6"/>
        <v>432</v>
      </c>
      <c r="I173" s="2">
        <f t="shared" si="7"/>
        <v>0</v>
      </c>
      <c r="J173" s="2">
        <f t="shared" si="8"/>
        <v>0</v>
      </c>
    </row>
    <row r="174" spans="1:10" x14ac:dyDescent="0.25">
      <c r="A174" s="99" t="s">
        <v>392</v>
      </c>
      <c r="B174" s="2"/>
      <c r="C174" s="2">
        <v>-450</v>
      </c>
      <c r="D174" s="2"/>
      <c r="E174" s="2"/>
      <c r="F174" s="2">
        <v>450</v>
      </c>
      <c r="G174" s="113">
        <f t="shared" si="6"/>
        <v>0</v>
      </c>
      <c r="I174" s="2">
        <f t="shared" si="7"/>
        <v>0</v>
      </c>
      <c r="J174" s="2">
        <f t="shared" si="8"/>
        <v>0</v>
      </c>
    </row>
    <row r="175" spans="1:10" x14ac:dyDescent="0.25">
      <c r="A175" s="99" t="s">
        <v>824</v>
      </c>
      <c r="B175" s="2"/>
      <c r="C175" s="2">
        <v>-432</v>
      </c>
      <c r="D175" s="2"/>
      <c r="E175" s="2"/>
      <c r="F175" s="2">
        <v>432</v>
      </c>
      <c r="G175" s="113">
        <f t="shared" si="6"/>
        <v>0</v>
      </c>
      <c r="I175" s="2">
        <f t="shared" si="7"/>
        <v>0</v>
      </c>
      <c r="J175" s="2">
        <f t="shared" si="8"/>
        <v>0</v>
      </c>
    </row>
    <row r="176" spans="1:10" x14ac:dyDescent="0.25">
      <c r="A176" s="99" t="s">
        <v>825</v>
      </c>
      <c r="B176" s="2"/>
      <c r="C176" s="2"/>
      <c r="D176" s="2"/>
      <c r="E176" s="2"/>
      <c r="F176" s="2">
        <v>243</v>
      </c>
      <c r="G176" s="113">
        <f t="shared" si="6"/>
        <v>243</v>
      </c>
      <c r="I176" s="2">
        <f t="shared" si="7"/>
        <v>0</v>
      </c>
      <c r="J176" s="2">
        <f t="shared" si="8"/>
        <v>0</v>
      </c>
    </row>
    <row r="177" spans="1:10" x14ac:dyDescent="0.25">
      <c r="A177" s="99" t="s">
        <v>826</v>
      </c>
      <c r="B177" s="2"/>
      <c r="C177" s="2"/>
      <c r="D177" s="2"/>
      <c r="E177" s="2"/>
      <c r="F177" s="2">
        <v>66</v>
      </c>
      <c r="G177" s="113">
        <f t="shared" si="6"/>
        <v>66</v>
      </c>
      <c r="I177" s="2">
        <f t="shared" si="7"/>
        <v>0</v>
      </c>
      <c r="J177" s="2">
        <f t="shared" si="8"/>
        <v>0</v>
      </c>
    </row>
    <row r="178" spans="1:10" x14ac:dyDescent="0.25">
      <c r="A178" s="99" t="s">
        <v>393</v>
      </c>
      <c r="B178" s="2"/>
      <c r="C178" s="2"/>
      <c r="D178" s="2"/>
      <c r="E178" s="2"/>
      <c r="F178" s="2">
        <v>580</v>
      </c>
      <c r="G178" s="113">
        <f t="shared" si="6"/>
        <v>580</v>
      </c>
      <c r="I178" s="2">
        <f t="shared" si="7"/>
        <v>0</v>
      </c>
      <c r="J178" s="2">
        <f t="shared" si="8"/>
        <v>0</v>
      </c>
    </row>
    <row r="179" spans="1:10" x14ac:dyDescent="0.25">
      <c r="A179" s="99" t="s">
        <v>827</v>
      </c>
      <c r="B179" s="2"/>
      <c r="C179" s="2">
        <v>-432</v>
      </c>
      <c r="D179" s="2"/>
      <c r="E179" s="2"/>
      <c r="F179" s="2">
        <v>432</v>
      </c>
      <c r="G179" s="113">
        <f t="shared" si="6"/>
        <v>0</v>
      </c>
      <c r="I179" s="2">
        <f t="shared" si="7"/>
        <v>0</v>
      </c>
      <c r="J179" s="2">
        <f t="shared" si="8"/>
        <v>0</v>
      </c>
    </row>
    <row r="180" spans="1:10" x14ac:dyDescent="0.25">
      <c r="A180" s="99" t="s">
        <v>394</v>
      </c>
      <c r="B180" s="2"/>
      <c r="C180" s="2">
        <v>-432</v>
      </c>
      <c r="D180" s="2"/>
      <c r="E180" s="2"/>
      <c r="F180" s="2">
        <v>432</v>
      </c>
      <c r="G180" s="113">
        <f t="shared" si="6"/>
        <v>0</v>
      </c>
      <c r="I180" s="2">
        <f t="shared" si="7"/>
        <v>0</v>
      </c>
      <c r="J180" s="2">
        <f t="shared" si="8"/>
        <v>0</v>
      </c>
    </row>
    <row r="181" spans="1:10" x14ac:dyDescent="0.25">
      <c r="A181" s="99" t="s">
        <v>395</v>
      </c>
      <c r="B181" s="2"/>
      <c r="C181" s="2">
        <v>-379.8</v>
      </c>
      <c r="D181" s="2"/>
      <c r="E181" s="2"/>
      <c r="F181" s="2">
        <v>378.28</v>
      </c>
      <c r="G181" s="113">
        <f t="shared" si="6"/>
        <v>-1.5200000000000387</v>
      </c>
      <c r="I181" s="2">
        <f t="shared" si="7"/>
        <v>0</v>
      </c>
      <c r="J181" s="2">
        <f t="shared" si="8"/>
        <v>-1.5200000000000387</v>
      </c>
    </row>
    <row r="182" spans="1:10" x14ac:dyDescent="0.25">
      <c r="A182" s="99" t="s">
        <v>828</v>
      </c>
      <c r="B182" s="2"/>
      <c r="C182" s="2">
        <v>-37.82</v>
      </c>
      <c r="D182" s="2"/>
      <c r="E182" s="2"/>
      <c r="F182" s="2">
        <v>37.82</v>
      </c>
      <c r="G182" s="113">
        <f t="shared" si="6"/>
        <v>0</v>
      </c>
      <c r="I182" s="2">
        <f t="shared" si="7"/>
        <v>0</v>
      </c>
      <c r="J182" s="2">
        <f t="shared" si="8"/>
        <v>0</v>
      </c>
    </row>
    <row r="183" spans="1:10" x14ac:dyDescent="0.25">
      <c r="A183" s="99" t="s">
        <v>396</v>
      </c>
      <c r="B183" s="2"/>
      <c r="C183" s="2">
        <v>-432</v>
      </c>
      <c r="D183" s="2"/>
      <c r="E183" s="2"/>
      <c r="F183" s="2">
        <v>432</v>
      </c>
      <c r="G183" s="113">
        <f t="shared" si="6"/>
        <v>0</v>
      </c>
      <c r="I183" s="2">
        <f t="shared" si="7"/>
        <v>0</v>
      </c>
      <c r="J183" s="2">
        <f t="shared" si="8"/>
        <v>0</v>
      </c>
    </row>
    <row r="184" spans="1:10" x14ac:dyDescent="0.25">
      <c r="A184" s="99" t="s">
        <v>397</v>
      </c>
      <c r="B184" s="2"/>
      <c r="C184" s="2">
        <v>-432</v>
      </c>
      <c r="D184" s="2"/>
      <c r="E184" s="2"/>
      <c r="F184" s="2">
        <v>432</v>
      </c>
      <c r="G184" s="113">
        <f t="shared" si="6"/>
        <v>0</v>
      </c>
      <c r="I184" s="2">
        <f t="shared" si="7"/>
        <v>0</v>
      </c>
      <c r="J184" s="2">
        <f t="shared" si="8"/>
        <v>0</v>
      </c>
    </row>
    <row r="185" spans="1:10" x14ac:dyDescent="0.25">
      <c r="A185" s="99" t="s">
        <v>398</v>
      </c>
      <c r="B185" s="2"/>
      <c r="C185" s="2">
        <v>-432</v>
      </c>
      <c r="D185" s="2"/>
      <c r="E185" s="2"/>
      <c r="F185" s="2"/>
      <c r="G185" s="113">
        <f t="shared" si="6"/>
        <v>-432</v>
      </c>
      <c r="I185" s="2">
        <f t="shared" si="7"/>
        <v>-432</v>
      </c>
      <c r="J185" s="2">
        <f t="shared" si="8"/>
        <v>-432</v>
      </c>
    </row>
    <row r="186" spans="1:10" x14ac:dyDescent="0.25">
      <c r="A186" s="99" t="s">
        <v>829</v>
      </c>
      <c r="B186" s="2"/>
      <c r="C186" s="2">
        <v>-278.01</v>
      </c>
      <c r="D186" s="2"/>
      <c r="E186" s="2"/>
      <c r="F186" s="2">
        <v>278.01</v>
      </c>
      <c r="G186" s="113">
        <f t="shared" si="6"/>
        <v>0</v>
      </c>
      <c r="I186" s="2">
        <f t="shared" si="7"/>
        <v>0</v>
      </c>
      <c r="J186" s="2">
        <f t="shared" si="8"/>
        <v>0</v>
      </c>
    </row>
    <row r="187" spans="1:10" x14ac:dyDescent="0.25">
      <c r="A187" s="99" t="s">
        <v>399</v>
      </c>
      <c r="B187" s="2"/>
      <c r="C187" s="2">
        <v>-290</v>
      </c>
      <c r="D187" s="2"/>
      <c r="E187" s="2"/>
      <c r="F187" s="2">
        <v>290</v>
      </c>
      <c r="G187" s="113">
        <f t="shared" si="6"/>
        <v>0</v>
      </c>
      <c r="I187" s="2">
        <f t="shared" si="7"/>
        <v>0</v>
      </c>
      <c r="J187" s="2">
        <f t="shared" si="8"/>
        <v>0</v>
      </c>
    </row>
    <row r="188" spans="1:10" x14ac:dyDescent="0.25">
      <c r="A188" s="99" t="s">
        <v>830</v>
      </c>
      <c r="B188" s="2"/>
      <c r="C188" s="2">
        <v>-432</v>
      </c>
      <c r="D188" s="2"/>
      <c r="E188" s="2"/>
      <c r="F188" s="2">
        <v>432</v>
      </c>
      <c r="G188" s="113">
        <f t="shared" si="6"/>
        <v>0</v>
      </c>
      <c r="I188" s="2">
        <f t="shared" si="7"/>
        <v>0</v>
      </c>
      <c r="J188" s="2">
        <f t="shared" si="8"/>
        <v>0</v>
      </c>
    </row>
    <row r="189" spans="1:10" x14ac:dyDescent="0.25">
      <c r="A189" s="99" t="s">
        <v>400</v>
      </c>
      <c r="B189" s="2"/>
      <c r="C189" s="2">
        <v>-432</v>
      </c>
      <c r="D189" s="2"/>
      <c r="E189" s="2"/>
      <c r="F189" s="2">
        <v>432</v>
      </c>
      <c r="G189" s="113">
        <f t="shared" si="6"/>
        <v>0</v>
      </c>
      <c r="I189" s="2">
        <f t="shared" si="7"/>
        <v>0</v>
      </c>
      <c r="J189" s="2">
        <f t="shared" si="8"/>
        <v>0</v>
      </c>
    </row>
    <row r="190" spans="1:10" x14ac:dyDescent="0.25">
      <c r="A190" s="99" t="s">
        <v>401</v>
      </c>
      <c r="B190" s="2"/>
      <c r="C190" s="2">
        <v>-432</v>
      </c>
      <c r="D190" s="2"/>
      <c r="E190" s="2"/>
      <c r="F190" s="2">
        <v>432</v>
      </c>
      <c r="G190" s="113">
        <f t="shared" si="6"/>
        <v>0</v>
      </c>
      <c r="I190" s="2">
        <f t="shared" si="7"/>
        <v>0</v>
      </c>
      <c r="J190" s="2">
        <f t="shared" si="8"/>
        <v>0</v>
      </c>
    </row>
    <row r="191" spans="1:10" x14ac:dyDescent="0.25">
      <c r="A191" s="99" t="s">
        <v>402</v>
      </c>
      <c r="B191" s="2"/>
      <c r="C191" s="2">
        <v>-432</v>
      </c>
      <c r="D191" s="2"/>
      <c r="E191" s="2"/>
      <c r="F191" s="2">
        <v>432</v>
      </c>
      <c r="G191" s="113">
        <f t="shared" si="6"/>
        <v>0</v>
      </c>
      <c r="I191" s="2">
        <f t="shared" si="7"/>
        <v>0</v>
      </c>
      <c r="J191" s="2">
        <f t="shared" si="8"/>
        <v>0</v>
      </c>
    </row>
    <row r="192" spans="1:10" x14ac:dyDescent="0.25">
      <c r="A192" s="99" t="s">
        <v>403</v>
      </c>
      <c r="B192" s="2"/>
      <c r="C192" s="2">
        <v>-10.6</v>
      </c>
      <c r="D192" s="2"/>
      <c r="E192" s="2"/>
      <c r="F192" s="2">
        <v>10.6</v>
      </c>
      <c r="G192" s="113">
        <f t="shared" si="6"/>
        <v>0</v>
      </c>
      <c r="I192" s="2">
        <f t="shared" si="7"/>
        <v>0</v>
      </c>
      <c r="J192" s="2">
        <f t="shared" si="8"/>
        <v>0</v>
      </c>
    </row>
    <row r="193" spans="1:10" x14ac:dyDescent="0.25">
      <c r="A193" s="99" t="s">
        <v>831</v>
      </c>
      <c r="B193" s="2"/>
      <c r="C193" s="2"/>
      <c r="D193" s="2"/>
      <c r="E193" s="2"/>
      <c r="F193" s="2">
        <v>300</v>
      </c>
      <c r="G193" s="113">
        <f t="shared" si="6"/>
        <v>300</v>
      </c>
      <c r="I193" s="2">
        <f t="shared" si="7"/>
        <v>0</v>
      </c>
      <c r="J193" s="2">
        <f t="shared" si="8"/>
        <v>0</v>
      </c>
    </row>
    <row r="194" spans="1:10" x14ac:dyDescent="0.25">
      <c r="A194" s="99" t="s">
        <v>832</v>
      </c>
      <c r="B194" s="2"/>
      <c r="C194" s="2">
        <v>-300</v>
      </c>
      <c r="D194" s="2"/>
      <c r="E194" s="2"/>
      <c r="F194" s="2">
        <v>300</v>
      </c>
      <c r="G194" s="113">
        <f t="shared" si="6"/>
        <v>0</v>
      </c>
      <c r="I194" s="2">
        <f t="shared" si="7"/>
        <v>0</v>
      </c>
      <c r="J194" s="2">
        <f t="shared" si="8"/>
        <v>0</v>
      </c>
    </row>
    <row r="195" spans="1:10" x14ac:dyDescent="0.25">
      <c r="A195" s="99" t="s">
        <v>404</v>
      </c>
      <c r="B195" s="2"/>
      <c r="C195" s="2">
        <v>-370</v>
      </c>
      <c r="D195" s="2"/>
      <c r="E195" s="2"/>
      <c r="F195" s="2">
        <v>432</v>
      </c>
      <c r="G195" s="113">
        <f t="shared" si="6"/>
        <v>62</v>
      </c>
      <c r="I195" s="2">
        <f t="shared" si="7"/>
        <v>0</v>
      </c>
      <c r="J195" s="2">
        <f t="shared" si="8"/>
        <v>0</v>
      </c>
    </row>
    <row r="196" spans="1:10" x14ac:dyDescent="0.25">
      <c r="A196" s="99" t="s">
        <v>833</v>
      </c>
      <c r="B196" s="2"/>
      <c r="C196" s="2">
        <v>-50</v>
      </c>
      <c r="D196" s="2"/>
      <c r="E196" s="2"/>
      <c r="F196" s="2">
        <v>270</v>
      </c>
      <c r="G196" s="113">
        <f t="shared" si="6"/>
        <v>220</v>
      </c>
      <c r="I196" s="2">
        <f t="shared" si="7"/>
        <v>0</v>
      </c>
      <c r="J196" s="2">
        <f t="shared" si="8"/>
        <v>0</v>
      </c>
    </row>
    <row r="197" spans="1:10" x14ac:dyDescent="0.25">
      <c r="A197" s="99" t="s">
        <v>405</v>
      </c>
      <c r="B197" s="2"/>
      <c r="C197" s="2">
        <v>-315</v>
      </c>
      <c r="D197" s="2"/>
      <c r="E197" s="2">
        <v>256.5</v>
      </c>
      <c r="F197" s="2">
        <v>73.5</v>
      </c>
      <c r="G197" s="113">
        <f t="shared" si="6"/>
        <v>15</v>
      </c>
      <c r="I197" s="2">
        <f t="shared" si="7"/>
        <v>0</v>
      </c>
      <c r="J197" s="2">
        <f t="shared" si="8"/>
        <v>0</v>
      </c>
    </row>
    <row r="198" spans="1:10" x14ac:dyDescent="0.25">
      <c r="A198" s="99" t="s">
        <v>406</v>
      </c>
      <c r="B198" s="2"/>
      <c r="C198" s="2">
        <v>-290</v>
      </c>
      <c r="D198" s="2"/>
      <c r="E198" s="2"/>
      <c r="F198" s="2">
        <v>290</v>
      </c>
      <c r="G198" s="113">
        <f t="shared" si="6"/>
        <v>0</v>
      </c>
      <c r="I198" s="2">
        <f t="shared" si="7"/>
        <v>0</v>
      </c>
      <c r="J198" s="2">
        <f t="shared" si="8"/>
        <v>0</v>
      </c>
    </row>
    <row r="199" spans="1:10" x14ac:dyDescent="0.25">
      <c r="A199" s="99" t="s">
        <v>407</v>
      </c>
      <c r="B199" s="2"/>
      <c r="C199" s="2">
        <v>-290</v>
      </c>
      <c r="D199" s="2"/>
      <c r="E199" s="2"/>
      <c r="F199" s="2">
        <v>290</v>
      </c>
      <c r="G199" s="113">
        <f t="shared" si="6"/>
        <v>0</v>
      </c>
      <c r="I199" s="2">
        <f t="shared" si="7"/>
        <v>0</v>
      </c>
      <c r="J199" s="2">
        <f t="shared" si="8"/>
        <v>0</v>
      </c>
    </row>
    <row r="200" spans="1:10" x14ac:dyDescent="0.25">
      <c r="A200" s="99" t="s">
        <v>408</v>
      </c>
      <c r="B200" s="2"/>
      <c r="C200" s="2">
        <v>-432</v>
      </c>
      <c r="D200" s="2"/>
      <c r="E200" s="2"/>
      <c r="F200" s="2">
        <v>432</v>
      </c>
      <c r="G200" s="113">
        <f t="shared" si="6"/>
        <v>0</v>
      </c>
      <c r="I200" s="2">
        <f t="shared" si="7"/>
        <v>0</v>
      </c>
      <c r="J200" s="2">
        <f t="shared" si="8"/>
        <v>0</v>
      </c>
    </row>
    <row r="201" spans="1:10" x14ac:dyDescent="0.25">
      <c r="A201" s="99" t="s">
        <v>409</v>
      </c>
      <c r="B201" s="2"/>
      <c r="C201" s="2">
        <v>-300</v>
      </c>
      <c r="D201" s="2"/>
      <c r="E201" s="2"/>
      <c r="F201" s="2">
        <v>300</v>
      </c>
      <c r="G201" s="113">
        <f t="shared" si="6"/>
        <v>0</v>
      </c>
      <c r="I201" s="2">
        <f t="shared" si="7"/>
        <v>0</v>
      </c>
      <c r="J201" s="2">
        <f t="shared" si="8"/>
        <v>0</v>
      </c>
    </row>
    <row r="202" spans="1:10" x14ac:dyDescent="0.25">
      <c r="A202" s="99" t="s">
        <v>410</v>
      </c>
      <c r="B202" s="2"/>
      <c r="C202" s="2">
        <v>-750</v>
      </c>
      <c r="D202" s="2"/>
      <c r="E202" s="2"/>
      <c r="F202" s="2">
        <v>750</v>
      </c>
      <c r="G202" s="113">
        <f t="shared" si="6"/>
        <v>0</v>
      </c>
      <c r="I202" s="2">
        <f t="shared" si="7"/>
        <v>0</v>
      </c>
      <c r="J202" s="2">
        <f t="shared" si="8"/>
        <v>0</v>
      </c>
    </row>
    <row r="203" spans="1:10" x14ac:dyDescent="0.25">
      <c r="A203" s="99" t="s">
        <v>411</v>
      </c>
      <c r="B203" s="2"/>
      <c r="C203" s="2">
        <v>-450</v>
      </c>
      <c r="D203" s="2"/>
      <c r="E203" s="2"/>
      <c r="F203" s="2">
        <v>450</v>
      </c>
      <c r="G203" s="113">
        <f t="shared" si="6"/>
        <v>0</v>
      </c>
      <c r="I203" s="2">
        <f t="shared" si="7"/>
        <v>0</v>
      </c>
      <c r="J203" s="2">
        <f t="shared" si="8"/>
        <v>0</v>
      </c>
    </row>
    <row r="204" spans="1:10" x14ac:dyDescent="0.25">
      <c r="A204" s="99" t="s">
        <v>412</v>
      </c>
      <c r="B204" s="2">
        <v>-0.02</v>
      </c>
      <c r="C204" s="2"/>
      <c r="D204" s="2"/>
      <c r="E204" s="2"/>
      <c r="F204" s="2">
        <v>0.02</v>
      </c>
      <c r="G204" s="113">
        <f t="shared" si="6"/>
        <v>0</v>
      </c>
      <c r="I204" s="2">
        <f t="shared" si="7"/>
        <v>0</v>
      </c>
      <c r="J204" s="2">
        <f t="shared" si="8"/>
        <v>0</v>
      </c>
    </row>
    <row r="205" spans="1:10" x14ac:dyDescent="0.25">
      <c r="A205" s="99" t="s">
        <v>413</v>
      </c>
      <c r="B205" s="2"/>
      <c r="C205" s="2"/>
      <c r="D205" s="2"/>
      <c r="E205" s="2"/>
      <c r="F205" s="2">
        <v>432</v>
      </c>
      <c r="G205" s="113">
        <f t="shared" si="6"/>
        <v>432</v>
      </c>
      <c r="I205" s="2">
        <f t="shared" si="7"/>
        <v>0</v>
      </c>
      <c r="J205" s="2">
        <f t="shared" si="8"/>
        <v>0</v>
      </c>
    </row>
    <row r="206" spans="1:10" x14ac:dyDescent="0.25">
      <c r="A206" s="99" t="s">
        <v>414</v>
      </c>
      <c r="B206" s="2"/>
      <c r="C206" s="2">
        <v>-332</v>
      </c>
      <c r="D206" s="2"/>
      <c r="E206" s="2"/>
      <c r="F206" s="2">
        <v>432</v>
      </c>
      <c r="G206" s="113">
        <f t="shared" si="6"/>
        <v>100</v>
      </c>
      <c r="I206" s="2">
        <f t="shared" si="7"/>
        <v>0</v>
      </c>
      <c r="J206" s="2">
        <f t="shared" si="8"/>
        <v>0</v>
      </c>
    </row>
    <row r="207" spans="1:10" x14ac:dyDescent="0.25">
      <c r="A207" s="99" t="s">
        <v>415</v>
      </c>
      <c r="B207" s="2"/>
      <c r="C207" s="2">
        <v>-432</v>
      </c>
      <c r="D207" s="2"/>
      <c r="E207" s="2"/>
      <c r="F207" s="2">
        <v>432</v>
      </c>
      <c r="G207" s="113">
        <f t="shared" si="6"/>
        <v>0</v>
      </c>
      <c r="I207" s="2">
        <f t="shared" si="7"/>
        <v>0</v>
      </c>
      <c r="J207" s="2">
        <f t="shared" si="8"/>
        <v>0</v>
      </c>
    </row>
    <row r="208" spans="1:10" x14ac:dyDescent="0.25">
      <c r="A208" s="99" t="s">
        <v>416</v>
      </c>
      <c r="B208" s="2"/>
      <c r="C208" s="2">
        <v>-450</v>
      </c>
      <c r="D208" s="2"/>
      <c r="E208" s="2"/>
      <c r="F208" s="2">
        <v>450</v>
      </c>
      <c r="G208" s="113">
        <f t="shared" si="6"/>
        <v>0</v>
      </c>
      <c r="I208" s="2">
        <f t="shared" si="7"/>
        <v>0</v>
      </c>
      <c r="J208" s="2">
        <f t="shared" si="8"/>
        <v>0</v>
      </c>
    </row>
    <row r="209" spans="1:10" x14ac:dyDescent="0.25">
      <c r="A209" s="99" t="s">
        <v>417</v>
      </c>
      <c r="B209" s="2"/>
      <c r="C209" s="2">
        <v>-8.27</v>
      </c>
      <c r="D209" s="2"/>
      <c r="E209" s="2"/>
      <c r="F209" s="2">
        <v>8.27</v>
      </c>
      <c r="G209" s="113">
        <f t="shared" si="6"/>
        <v>0</v>
      </c>
      <c r="I209" s="2">
        <f t="shared" si="7"/>
        <v>0</v>
      </c>
      <c r="J209" s="2">
        <f t="shared" si="8"/>
        <v>0</v>
      </c>
    </row>
    <row r="210" spans="1:10" x14ac:dyDescent="0.25">
      <c r="A210" s="99" t="s">
        <v>418</v>
      </c>
      <c r="B210" s="2"/>
      <c r="C210" s="2">
        <v>-290</v>
      </c>
      <c r="D210" s="2"/>
      <c r="E210" s="2"/>
      <c r="F210" s="2">
        <v>290</v>
      </c>
      <c r="G210" s="113">
        <f t="shared" si="6"/>
        <v>0</v>
      </c>
      <c r="I210" s="2">
        <f t="shared" si="7"/>
        <v>0</v>
      </c>
      <c r="J210" s="2">
        <f t="shared" si="8"/>
        <v>0</v>
      </c>
    </row>
    <row r="211" spans="1:10" x14ac:dyDescent="0.25">
      <c r="A211" s="99" t="s">
        <v>834</v>
      </c>
      <c r="B211" s="2"/>
      <c r="C211" s="2">
        <v>-161.28</v>
      </c>
      <c r="D211" s="2"/>
      <c r="E211" s="2"/>
      <c r="F211" s="2">
        <v>161.28</v>
      </c>
      <c r="G211" s="113">
        <f t="shared" si="6"/>
        <v>0</v>
      </c>
      <c r="I211" s="2">
        <f t="shared" si="7"/>
        <v>0</v>
      </c>
      <c r="J211" s="2">
        <f t="shared" si="8"/>
        <v>0</v>
      </c>
    </row>
    <row r="212" spans="1:10" x14ac:dyDescent="0.25">
      <c r="A212" s="99" t="s">
        <v>419</v>
      </c>
      <c r="B212" s="2"/>
      <c r="C212" s="2">
        <v>-132</v>
      </c>
      <c r="D212" s="2"/>
      <c r="E212" s="2"/>
      <c r="F212" s="2">
        <v>132</v>
      </c>
      <c r="G212" s="113">
        <f t="shared" si="6"/>
        <v>0</v>
      </c>
      <c r="I212" s="2">
        <f t="shared" si="7"/>
        <v>0</v>
      </c>
      <c r="J212" s="2">
        <f t="shared" si="8"/>
        <v>0</v>
      </c>
    </row>
    <row r="213" spans="1:10" x14ac:dyDescent="0.25">
      <c r="A213" s="99" t="s">
        <v>420</v>
      </c>
      <c r="B213" s="2"/>
      <c r="C213" s="2">
        <v>-450</v>
      </c>
      <c r="D213" s="2"/>
      <c r="E213" s="2"/>
      <c r="F213" s="2">
        <v>450</v>
      </c>
      <c r="G213" s="113">
        <f t="shared" si="6"/>
        <v>0</v>
      </c>
      <c r="I213" s="2">
        <f t="shared" si="7"/>
        <v>0</v>
      </c>
      <c r="J213" s="2">
        <f t="shared" si="8"/>
        <v>0</v>
      </c>
    </row>
    <row r="214" spans="1:10" x14ac:dyDescent="0.25">
      <c r="A214" s="99" t="s">
        <v>421</v>
      </c>
      <c r="B214" s="2"/>
      <c r="C214" s="2">
        <v>-432</v>
      </c>
      <c r="D214" s="2"/>
      <c r="E214" s="2"/>
      <c r="F214" s="2">
        <v>432</v>
      </c>
      <c r="G214" s="113">
        <f t="shared" si="6"/>
        <v>0</v>
      </c>
      <c r="I214" s="2">
        <f t="shared" si="7"/>
        <v>0</v>
      </c>
      <c r="J214" s="2">
        <f t="shared" si="8"/>
        <v>0</v>
      </c>
    </row>
    <row r="215" spans="1:10" x14ac:dyDescent="0.25">
      <c r="A215" s="99" t="s">
        <v>422</v>
      </c>
      <c r="B215" s="2"/>
      <c r="C215" s="2">
        <v>-58</v>
      </c>
      <c r="D215" s="2"/>
      <c r="E215" s="2"/>
      <c r="F215" s="2">
        <v>432</v>
      </c>
      <c r="G215" s="113">
        <f t="shared" si="6"/>
        <v>374</v>
      </c>
      <c r="I215" s="2">
        <f t="shared" si="7"/>
        <v>0</v>
      </c>
      <c r="J215" s="2">
        <f t="shared" si="8"/>
        <v>0</v>
      </c>
    </row>
    <row r="216" spans="1:10" x14ac:dyDescent="0.25">
      <c r="A216" s="99" t="s">
        <v>835</v>
      </c>
      <c r="B216" s="2"/>
      <c r="C216" s="2">
        <v>-450</v>
      </c>
      <c r="D216" s="2"/>
      <c r="E216" s="2"/>
      <c r="F216" s="2">
        <v>450</v>
      </c>
      <c r="G216" s="113">
        <f t="shared" si="6"/>
        <v>0</v>
      </c>
      <c r="I216" s="2">
        <f t="shared" si="7"/>
        <v>0</v>
      </c>
      <c r="J216" s="2">
        <f t="shared" si="8"/>
        <v>0</v>
      </c>
    </row>
    <row r="217" spans="1:10" x14ac:dyDescent="0.25">
      <c r="A217" s="99" t="s">
        <v>423</v>
      </c>
      <c r="B217" s="2"/>
      <c r="C217" s="2">
        <v>-432</v>
      </c>
      <c r="D217" s="2"/>
      <c r="E217" s="2"/>
      <c r="F217" s="2">
        <v>432</v>
      </c>
      <c r="G217" s="113">
        <f t="shared" si="6"/>
        <v>0</v>
      </c>
      <c r="I217" s="2">
        <f t="shared" si="7"/>
        <v>0</v>
      </c>
      <c r="J217" s="2">
        <f t="shared" si="8"/>
        <v>0</v>
      </c>
    </row>
    <row r="218" spans="1:10" x14ac:dyDescent="0.25">
      <c r="A218" s="99" t="s">
        <v>836</v>
      </c>
      <c r="B218" s="2"/>
      <c r="C218" s="2"/>
      <c r="D218" s="2"/>
      <c r="E218" s="2"/>
      <c r="F218" s="2">
        <v>224</v>
      </c>
      <c r="G218" s="113">
        <f t="shared" si="6"/>
        <v>224</v>
      </c>
      <c r="I218" s="2">
        <f t="shared" si="7"/>
        <v>0</v>
      </c>
      <c r="J218" s="2">
        <f t="shared" si="8"/>
        <v>0</v>
      </c>
    </row>
    <row r="219" spans="1:10" x14ac:dyDescent="0.25">
      <c r="A219" s="99" t="s">
        <v>424</v>
      </c>
      <c r="B219" s="2"/>
      <c r="C219" s="2">
        <v>-290</v>
      </c>
      <c r="D219" s="2"/>
      <c r="E219" s="2"/>
      <c r="F219" s="2">
        <v>864</v>
      </c>
      <c r="G219" s="113">
        <f t="shared" si="6"/>
        <v>574</v>
      </c>
      <c r="I219" s="2">
        <f t="shared" si="7"/>
        <v>0</v>
      </c>
      <c r="J219" s="2">
        <f t="shared" si="8"/>
        <v>0</v>
      </c>
    </row>
    <row r="220" spans="1:10" x14ac:dyDescent="0.25">
      <c r="A220" s="99" t="s">
        <v>837</v>
      </c>
      <c r="B220" s="2"/>
      <c r="C220" s="2">
        <v>-442</v>
      </c>
      <c r="D220" s="2"/>
      <c r="E220" s="2"/>
      <c r="F220" s="2">
        <v>432</v>
      </c>
      <c r="G220" s="113">
        <f t="shared" si="6"/>
        <v>-10</v>
      </c>
      <c r="I220" s="2">
        <f t="shared" si="7"/>
        <v>0</v>
      </c>
      <c r="J220" s="2">
        <f t="shared" si="8"/>
        <v>-10</v>
      </c>
    </row>
    <row r="221" spans="1:10" x14ac:dyDescent="0.25">
      <c r="A221" s="99" t="s">
        <v>425</v>
      </c>
      <c r="B221" s="2"/>
      <c r="C221" s="2">
        <v>-857.8</v>
      </c>
      <c r="D221" s="2"/>
      <c r="E221" s="2">
        <v>210</v>
      </c>
      <c r="F221" s="2">
        <v>855.79</v>
      </c>
      <c r="G221" s="113">
        <f t="shared" si="6"/>
        <v>207.99</v>
      </c>
      <c r="I221" s="2">
        <f t="shared" si="7"/>
        <v>0</v>
      </c>
      <c r="J221" s="2">
        <f t="shared" si="8"/>
        <v>0</v>
      </c>
    </row>
    <row r="222" spans="1:10" x14ac:dyDescent="0.25">
      <c r="A222" s="99" t="s">
        <v>426</v>
      </c>
      <c r="B222" s="2"/>
      <c r="C222" s="2">
        <v>-432</v>
      </c>
      <c r="D222" s="2"/>
      <c r="E222" s="2"/>
      <c r="F222" s="2">
        <v>432</v>
      </c>
      <c r="G222" s="113">
        <f t="shared" si="6"/>
        <v>0</v>
      </c>
      <c r="I222" s="2">
        <f t="shared" si="7"/>
        <v>0</v>
      </c>
      <c r="J222" s="2">
        <f t="shared" si="8"/>
        <v>0</v>
      </c>
    </row>
    <row r="223" spans="1:10" x14ac:dyDescent="0.25">
      <c r="A223" s="99" t="s">
        <v>427</v>
      </c>
      <c r="B223" s="2"/>
      <c r="C223" s="2">
        <v>-290</v>
      </c>
      <c r="D223" s="2"/>
      <c r="E223" s="2"/>
      <c r="F223" s="2">
        <v>290</v>
      </c>
      <c r="G223" s="113">
        <f t="shared" si="6"/>
        <v>0</v>
      </c>
      <c r="I223" s="2">
        <f t="shared" si="7"/>
        <v>0</v>
      </c>
      <c r="J223" s="2">
        <f t="shared" si="8"/>
        <v>0</v>
      </c>
    </row>
    <row r="224" spans="1:10" x14ac:dyDescent="0.25">
      <c r="A224" s="99" t="s">
        <v>838</v>
      </c>
      <c r="B224" s="2"/>
      <c r="C224" s="2">
        <v>-297</v>
      </c>
      <c r="D224" s="2"/>
      <c r="E224" s="2"/>
      <c r="F224" s="2">
        <v>630</v>
      </c>
      <c r="G224" s="113">
        <f t="shared" si="6"/>
        <v>333</v>
      </c>
      <c r="I224" s="2">
        <f t="shared" si="7"/>
        <v>0</v>
      </c>
      <c r="J224" s="2">
        <f t="shared" si="8"/>
        <v>0</v>
      </c>
    </row>
    <row r="225" spans="1:10" x14ac:dyDescent="0.25">
      <c r="A225" s="99" t="s">
        <v>428</v>
      </c>
      <c r="B225" s="2"/>
      <c r="C225" s="2">
        <v>-439</v>
      </c>
      <c r="D225" s="2"/>
      <c r="E225" s="2"/>
      <c r="F225" s="2">
        <v>432</v>
      </c>
      <c r="G225" s="113">
        <f t="shared" si="6"/>
        <v>-7</v>
      </c>
      <c r="I225" s="2">
        <f t="shared" si="7"/>
        <v>0</v>
      </c>
      <c r="J225" s="2">
        <f t="shared" si="8"/>
        <v>-7</v>
      </c>
    </row>
    <row r="226" spans="1:10" x14ac:dyDescent="0.25">
      <c r="A226" s="99" t="s">
        <v>839</v>
      </c>
      <c r="B226" s="2"/>
      <c r="C226" s="2">
        <v>-432</v>
      </c>
      <c r="D226" s="2"/>
      <c r="E226" s="2"/>
      <c r="F226" s="2">
        <v>432</v>
      </c>
      <c r="G226" s="113">
        <f t="shared" si="6"/>
        <v>0</v>
      </c>
      <c r="I226" s="2">
        <f t="shared" si="7"/>
        <v>0</v>
      </c>
      <c r="J226" s="2">
        <f t="shared" si="8"/>
        <v>0</v>
      </c>
    </row>
    <row r="227" spans="1:10" x14ac:dyDescent="0.25">
      <c r="A227" s="99" t="s">
        <v>840</v>
      </c>
      <c r="B227" s="2"/>
      <c r="C227" s="2">
        <v>-432</v>
      </c>
      <c r="D227" s="2"/>
      <c r="E227" s="2"/>
      <c r="F227" s="2">
        <v>432</v>
      </c>
      <c r="G227" s="113">
        <f t="shared" si="6"/>
        <v>0</v>
      </c>
      <c r="I227" s="2">
        <f t="shared" si="7"/>
        <v>0</v>
      </c>
      <c r="J227" s="2">
        <f t="shared" si="8"/>
        <v>0</v>
      </c>
    </row>
    <row r="228" spans="1:10" x14ac:dyDescent="0.25">
      <c r="A228" s="99" t="s">
        <v>429</v>
      </c>
      <c r="B228" s="2"/>
      <c r="C228" s="2">
        <v>-132</v>
      </c>
      <c r="D228" s="2"/>
      <c r="E228" s="2"/>
      <c r="F228" s="2">
        <v>132</v>
      </c>
      <c r="G228" s="113">
        <f t="shared" si="6"/>
        <v>0</v>
      </c>
      <c r="I228" s="2">
        <f t="shared" si="7"/>
        <v>0</v>
      </c>
      <c r="J228" s="2">
        <f t="shared" si="8"/>
        <v>0</v>
      </c>
    </row>
    <row r="229" spans="1:10" x14ac:dyDescent="0.25">
      <c r="A229" s="99" t="s">
        <v>841</v>
      </c>
      <c r="B229" s="2"/>
      <c r="C229" s="2">
        <v>-432</v>
      </c>
      <c r="D229" s="2"/>
      <c r="E229" s="2"/>
      <c r="F229" s="2">
        <v>432</v>
      </c>
      <c r="G229" s="113">
        <f t="shared" ref="G229:G292" si="9">SUM(B229:F229)</f>
        <v>0</v>
      </c>
      <c r="I229" s="2">
        <f t="shared" ref="I229:I292" si="10">IF(F229=0,C229+D229,0)</f>
        <v>0</v>
      </c>
      <c r="J229" s="2">
        <f t="shared" ref="J229:J292" si="11">IF(G229&lt;0,G229,0)</f>
        <v>0</v>
      </c>
    </row>
    <row r="230" spans="1:10" x14ac:dyDescent="0.25">
      <c r="A230" s="99" t="s">
        <v>430</v>
      </c>
      <c r="B230" s="2"/>
      <c r="C230" s="2"/>
      <c r="D230" s="2"/>
      <c r="E230" s="2"/>
      <c r="F230" s="2">
        <v>432</v>
      </c>
      <c r="G230" s="113">
        <f t="shared" si="9"/>
        <v>432</v>
      </c>
      <c r="I230" s="2">
        <f t="shared" si="10"/>
        <v>0</v>
      </c>
      <c r="J230" s="2">
        <f t="shared" si="11"/>
        <v>0</v>
      </c>
    </row>
    <row r="231" spans="1:10" x14ac:dyDescent="0.25">
      <c r="A231" s="99" t="s">
        <v>431</v>
      </c>
      <c r="B231" s="2"/>
      <c r="C231" s="2">
        <v>-450</v>
      </c>
      <c r="D231" s="2"/>
      <c r="E231" s="2"/>
      <c r="F231" s="2">
        <v>450</v>
      </c>
      <c r="G231" s="113">
        <f t="shared" si="9"/>
        <v>0</v>
      </c>
      <c r="I231" s="2">
        <f t="shared" si="10"/>
        <v>0</v>
      </c>
      <c r="J231" s="2">
        <f t="shared" si="11"/>
        <v>0</v>
      </c>
    </row>
    <row r="232" spans="1:10" x14ac:dyDescent="0.25">
      <c r="A232" s="99" t="s">
        <v>842</v>
      </c>
      <c r="B232" s="2"/>
      <c r="C232" s="2">
        <v>-432</v>
      </c>
      <c r="D232" s="2"/>
      <c r="E232" s="2"/>
      <c r="F232" s="2">
        <v>432</v>
      </c>
      <c r="G232" s="113">
        <f t="shared" si="9"/>
        <v>0</v>
      </c>
      <c r="I232" s="2">
        <f t="shared" si="10"/>
        <v>0</v>
      </c>
      <c r="J232" s="2">
        <f t="shared" si="11"/>
        <v>0</v>
      </c>
    </row>
    <row r="233" spans="1:10" x14ac:dyDescent="0.25">
      <c r="A233" s="99" t="s">
        <v>843</v>
      </c>
      <c r="B233" s="2"/>
      <c r="C233" s="2">
        <v>-432</v>
      </c>
      <c r="D233" s="2"/>
      <c r="E233" s="2"/>
      <c r="F233" s="2">
        <v>432</v>
      </c>
      <c r="G233" s="113">
        <f t="shared" si="9"/>
        <v>0</v>
      </c>
      <c r="I233" s="2">
        <f t="shared" si="10"/>
        <v>0</v>
      </c>
      <c r="J233" s="2">
        <f t="shared" si="11"/>
        <v>0</v>
      </c>
    </row>
    <row r="234" spans="1:10" x14ac:dyDescent="0.25">
      <c r="A234" s="99" t="s">
        <v>432</v>
      </c>
      <c r="B234" s="2"/>
      <c r="C234" s="2">
        <v>-66</v>
      </c>
      <c r="D234" s="2"/>
      <c r="E234" s="2"/>
      <c r="F234" s="2">
        <v>66</v>
      </c>
      <c r="G234" s="113">
        <f t="shared" si="9"/>
        <v>0</v>
      </c>
      <c r="I234" s="2">
        <f t="shared" si="10"/>
        <v>0</v>
      </c>
      <c r="J234" s="2">
        <f t="shared" si="11"/>
        <v>0</v>
      </c>
    </row>
    <row r="235" spans="1:10" x14ac:dyDescent="0.25">
      <c r="A235" s="99" t="s">
        <v>433</v>
      </c>
      <c r="B235" s="2"/>
      <c r="C235" s="2">
        <v>-432</v>
      </c>
      <c r="D235" s="2"/>
      <c r="E235" s="2"/>
      <c r="F235" s="2">
        <v>432</v>
      </c>
      <c r="G235" s="113">
        <f t="shared" si="9"/>
        <v>0</v>
      </c>
      <c r="I235" s="2">
        <f t="shared" si="10"/>
        <v>0</v>
      </c>
      <c r="J235" s="2">
        <f t="shared" si="11"/>
        <v>0</v>
      </c>
    </row>
    <row r="236" spans="1:10" x14ac:dyDescent="0.25">
      <c r="A236" s="99" t="s">
        <v>844</v>
      </c>
      <c r="B236" s="2"/>
      <c r="C236" s="2">
        <v>-150</v>
      </c>
      <c r="D236" s="2"/>
      <c r="E236" s="2"/>
      <c r="F236" s="2">
        <v>270</v>
      </c>
      <c r="G236" s="113">
        <f t="shared" si="9"/>
        <v>120</v>
      </c>
      <c r="I236" s="2">
        <f t="shared" si="10"/>
        <v>0</v>
      </c>
      <c r="J236" s="2">
        <f t="shared" si="11"/>
        <v>0</v>
      </c>
    </row>
    <row r="237" spans="1:10" x14ac:dyDescent="0.25">
      <c r="A237" s="99" t="s">
        <v>434</v>
      </c>
      <c r="B237" s="2"/>
      <c r="C237" s="2">
        <v>-432</v>
      </c>
      <c r="D237" s="2"/>
      <c r="E237" s="2"/>
      <c r="F237" s="2">
        <v>432</v>
      </c>
      <c r="G237" s="113">
        <f t="shared" si="9"/>
        <v>0</v>
      </c>
      <c r="I237" s="2">
        <f t="shared" si="10"/>
        <v>0</v>
      </c>
      <c r="J237" s="2">
        <f t="shared" si="11"/>
        <v>0</v>
      </c>
    </row>
    <row r="238" spans="1:10" x14ac:dyDescent="0.25">
      <c r="A238" s="99" t="s">
        <v>435</v>
      </c>
      <c r="B238" s="2"/>
      <c r="C238" s="2">
        <v>-432</v>
      </c>
      <c r="D238" s="2"/>
      <c r="E238" s="2"/>
      <c r="F238" s="2">
        <v>864</v>
      </c>
      <c r="G238" s="113">
        <f t="shared" si="9"/>
        <v>432</v>
      </c>
      <c r="I238" s="2">
        <f t="shared" si="10"/>
        <v>0</v>
      </c>
      <c r="J238" s="2">
        <f t="shared" si="11"/>
        <v>0</v>
      </c>
    </row>
    <row r="239" spans="1:10" x14ac:dyDescent="0.25">
      <c r="A239" s="99" t="s">
        <v>436</v>
      </c>
      <c r="B239" s="2"/>
      <c r="C239" s="2">
        <v>-290</v>
      </c>
      <c r="D239" s="2"/>
      <c r="E239" s="2"/>
      <c r="F239" s="2">
        <v>290</v>
      </c>
      <c r="G239" s="113">
        <f t="shared" si="9"/>
        <v>0</v>
      </c>
      <c r="I239" s="2">
        <f t="shared" si="10"/>
        <v>0</v>
      </c>
      <c r="J239" s="2">
        <f t="shared" si="11"/>
        <v>0</v>
      </c>
    </row>
    <row r="240" spans="1:10" x14ac:dyDescent="0.25">
      <c r="A240" s="99" t="s">
        <v>437</v>
      </c>
      <c r="B240" s="2"/>
      <c r="C240" s="2">
        <v>-305</v>
      </c>
      <c r="D240" s="2"/>
      <c r="E240" s="2"/>
      <c r="F240" s="2">
        <v>521</v>
      </c>
      <c r="G240" s="113">
        <f t="shared" si="9"/>
        <v>216</v>
      </c>
      <c r="I240" s="2">
        <f t="shared" si="10"/>
        <v>0</v>
      </c>
      <c r="J240" s="2">
        <f t="shared" si="11"/>
        <v>0</v>
      </c>
    </row>
    <row r="241" spans="1:10" x14ac:dyDescent="0.25">
      <c r="A241" s="99" t="s">
        <v>438</v>
      </c>
      <c r="B241" s="2"/>
      <c r="C241" s="2">
        <v>-927</v>
      </c>
      <c r="D241" s="2"/>
      <c r="E241" s="2"/>
      <c r="F241" s="2">
        <v>927</v>
      </c>
      <c r="G241" s="113">
        <f t="shared" si="9"/>
        <v>0</v>
      </c>
      <c r="I241" s="2">
        <f t="shared" si="10"/>
        <v>0</v>
      </c>
      <c r="J241" s="2">
        <f t="shared" si="11"/>
        <v>0</v>
      </c>
    </row>
    <row r="242" spans="1:10" x14ac:dyDescent="0.25">
      <c r="A242" s="99" t="s">
        <v>845</v>
      </c>
      <c r="B242" s="2"/>
      <c r="C242" s="2"/>
      <c r="D242" s="2"/>
      <c r="E242" s="2"/>
      <c r="F242" s="2">
        <v>234</v>
      </c>
      <c r="G242" s="113">
        <f t="shared" si="9"/>
        <v>234</v>
      </c>
      <c r="I242" s="2">
        <f t="shared" si="10"/>
        <v>0</v>
      </c>
      <c r="J242" s="2">
        <f t="shared" si="11"/>
        <v>0</v>
      </c>
    </row>
    <row r="243" spans="1:10" x14ac:dyDescent="0.25">
      <c r="A243" s="99" t="s">
        <v>846</v>
      </c>
      <c r="B243" s="2"/>
      <c r="C243" s="2">
        <v>-49.61</v>
      </c>
      <c r="D243" s="2"/>
      <c r="E243" s="2"/>
      <c r="F243" s="2">
        <v>49.62</v>
      </c>
      <c r="G243" s="113">
        <f t="shared" si="9"/>
        <v>9.9999999999980105E-3</v>
      </c>
      <c r="I243" s="2">
        <f t="shared" si="10"/>
        <v>0</v>
      </c>
      <c r="J243" s="2">
        <f t="shared" si="11"/>
        <v>0</v>
      </c>
    </row>
    <row r="244" spans="1:10" x14ac:dyDescent="0.25">
      <c r="A244" s="99" t="s">
        <v>847</v>
      </c>
      <c r="B244" s="2"/>
      <c r="C244" s="2">
        <v>-432</v>
      </c>
      <c r="D244" s="2"/>
      <c r="E244" s="2"/>
      <c r="F244" s="2">
        <v>432</v>
      </c>
      <c r="G244" s="113">
        <f t="shared" si="9"/>
        <v>0</v>
      </c>
      <c r="I244" s="2">
        <f t="shared" si="10"/>
        <v>0</v>
      </c>
      <c r="J244" s="2">
        <f t="shared" si="11"/>
        <v>0</v>
      </c>
    </row>
    <row r="245" spans="1:10" x14ac:dyDescent="0.25">
      <c r="A245" s="99" t="s">
        <v>439</v>
      </c>
      <c r="B245" s="2"/>
      <c r="C245" s="2">
        <v>-58</v>
      </c>
      <c r="D245" s="2"/>
      <c r="E245" s="2"/>
      <c r="F245" s="2">
        <v>58</v>
      </c>
      <c r="G245" s="113">
        <f t="shared" si="9"/>
        <v>0</v>
      </c>
      <c r="I245" s="2">
        <f t="shared" si="10"/>
        <v>0</v>
      </c>
      <c r="J245" s="2">
        <f t="shared" si="11"/>
        <v>0</v>
      </c>
    </row>
    <row r="246" spans="1:10" x14ac:dyDescent="0.25">
      <c r="A246" s="99" t="s">
        <v>440</v>
      </c>
      <c r="B246" s="2"/>
      <c r="C246" s="2"/>
      <c r="D246" s="2"/>
      <c r="E246" s="2"/>
      <c r="F246" s="2">
        <v>232</v>
      </c>
      <c r="G246" s="113">
        <f t="shared" si="9"/>
        <v>232</v>
      </c>
      <c r="I246" s="2">
        <f t="shared" si="10"/>
        <v>0</v>
      </c>
      <c r="J246" s="2">
        <f t="shared" si="11"/>
        <v>0</v>
      </c>
    </row>
    <row r="247" spans="1:10" x14ac:dyDescent="0.25">
      <c r="A247" s="99" t="s">
        <v>441</v>
      </c>
      <c r="B247" s="2"/>
      <c r="C247" s="2">
        <v>-432</v>
      </c>
      <c r="D247" s="2"/>
      <c r="E247" s="2"/>
      <c r="F247" s="2">
        <v>432</v>
      </c>
      <c r="G247" s="113">
        <f t="shared" si="9"/>
        <v>0</v>
      </c>
      <c r="I247" s="2">
        <f t="shared" si="10"/>
        <v>0</v>
      </c>
      <c r="J247" s="2">
        <f t="shared" si="11"/>
        <v>0</v>
      </c>
    </row>
    <row r="248" spans="1:10" x14ac:dyDescent="0.25">
      <c r="A248" s="99" t="s">
        <v>442</v>
      </c>
      <c r="B248" s="2"/>
      <c r="C248" s="2">
        <v>-29</v>
      </c>
      <c r="D248" s="2"/>
      <c r="E248" s="2"/>
      <c r="F248" s="2">
        <v>29</v>
      </c>
      <c r="G248" s="113">
        <f t="shared" si="9"/>
        <v>0</v>
      </c>
      <c r="I248" s="2">
        <f t="shared" si="10"/>
        <v>0</v>
      </c>
      <c r="J248" s="2">
        <f t="shared" si="11"/>
        <v>0</v>
      </c>
    </row>
    <row r="249" spans="1:10" x14ac:dyDescent="0.25">
      <c r="A249" s="99" t="s">
        <v>443</v>
      </c>
      <c r="B249" s="2"/>
      <c r="C249" s="2">
        <v>-58</v>
      </c>
      <c r="D249" s="2"/>
      <c r="E249" s="2"/>
      <c r="F249" s="2">
        <v>245</v>
      </c>
      <c r="G249" s="113">
        <f t="shared" si="9"/>
        <v>187</v>
      </c>
      <c r="I249" s="2">
        <f t="shared" si="10"/>
        <v>0</v>
      </c>
      <c r="J249" s="2">
        <f t="shared" si="11"/>
        <v>0</v>
      </c>
    </row>
    <row r="250" spans="1:10" x14ac:dyDescent="0.25">
      <c r="A250" s="99" t="s">
        <v>848</v>
      </c>
      <c r="B250" s="2"/>
      <c r="C250" s="2">
        <v>-10.6</v>
      </c>
      <c r="D250" s="2"/>
      <c r="E250" s="2"/>
      <c r="F250" s="2">
        <v>156.01000000000005</v>
      </c>
      <c r="G250" s="113">
        <f t="shared" si="9"/>
        <v>145.41000000000005</v>
      </c>
      <c r="I250" s="2">
        <f t="shared" si="10"/>
        <v>0</v>
      </c>
      <c r="J250" s="2">
        <f t="shared" si="11"/>
        <v>0</v>
      </c>
    </row>
    <row r="251" spans="1:10" x14ac:dyDescent="0.25">
      <c r="A251" s="99" t="s">
        <v>849</v>
      </c>
      <c r="B251" s="2"/>
      <c r="C251" s="2">
        <v>-432</v>
      </c>
      <c r="D251" s="2"/>
      <c r="E251" s="2"/>
      <c r="F251" s="2">
        <v>432</v>
      </c>
      <c r="G251" s="113">
        <f t="shared" si="9"/>
        <v>0</v>
      </c>
      <c r="I251" s="2">
        <f t="shared" si="10"/>
        <v>0</v>
      </c>
      <c r="J251" s="2">
        <f t="shared" si="11"/>
        <v>0</v>
      </c>
    </row>
    <row r="252" spans="1:10" x14ac:dyDescent="0.25">
      <c r="A252" s="99" t="s">
        <v>444</v>
      </c>
      <c r="B252" s="2"/>
      <c r="C252" s="2">
        <v>-432</v>
      </c>
      <c r="D252" s="2"/>
      <c r="E252" s="2"/>
      <c r="F252" s="2">
        <v>432</v>
      </c>
      <c r="G252" s="113">
        <f t="shared" si="9"/>
        <v>0</v>
      </c>
      <c r="I252" s="2">
        <f t="shared" si="10"/>
        <v>0</v>
      </c>
      <c r="J252" s="2">
        <f t="shared" si="11"/>
        <v>0</v>
      </c>
    </row>
    <row r="253" spans="1:10" x14ac:dyDescent="0.25">
      <c r="A253" s="99" t="s">
        <v>850</v>
      </c>
      <c r="B253" s="2"/>
      <c r="C253" s="2">
        <v>-300</v>
      </c>
      <c r="D253" s="2"/>
      <c r="E253" s="2"/>
      <c r="F253" s="2">
        <v>300</v>
      </c>
      <c r="G253" s="113">
        <f t="shared" si="9"/>
        <v>0</v>
      </c>
      <c r="I253" s="2">
        <f t="shared" si="10"/>
        <v>0</v>
      </c>
      <c r="J253" s="2">
        <f t="shared" si="11"/>
        <v>0</v>
      </c>
    </row>
    <row r="254" spans="1:10" x14ac:dyDescent="0.25">
      <c r="A254" s="99" t="s">
        <v>445</v>
      </c>
      <c r="B254" s="2"/>
      <c r="C254" s="2">
        <v>-58</v>
      </c>
      <c r="D254" s="2"/>
      <c r="E254" s="2"/>
      <c r="F254" s="2">
        <v>58</v>
      </c>
      <c r="G254" s="113">
        <f t="shared" si="9"/>
        <v>0</v>
      </c>
      <c r="I254" s="2">
        <f t="shared" si="10"/>
        <v>0</v>
      </c>
      <c r="J254" s="2">
        <f t="shared" si="11"/>
        <v>0</v>
      </c>
    </row>
    <row r="255" spans="1:10" x14ac:dyDescent="0.25">
      <c r="A255" s="99" t="s">
        <v>446</v>
      </c>
      <c r="B255" s="2"/>
      <c r="C255" s="2"/>
      <c r="D255" s="2"/>
      <c r="E255" s="2"/>
      <c r="F255" s="2">
        <v>432</v>
      </c>
      <c r="G255" s="113">
        <f t="shared" si="9"/>
        <v>432</v>
      </c>
      <c r="I255" s="2">
        <f t="shared" si="10"/>
        <v>0</v>
      </c>
      <c r="J255" s="2">
        <f t="shared" si="11"/>
        <v>0</v>
      </c>
    </row>
    <row r="256" spans="1:10" x14ac:dyDescent="0.25">
      <c r="A256" s="99" t="s">
        <v>447</v>
      </c>
      <c r="B256" s="2"/>
      <c r="C256" s="2">
        <v>-432</v>
      </c>
      <c r="D256" s="2"/>
      <c r="E256" s="2"/>
      <c r="F256" s="2">
        <v>432</v>
      </c>
      <c r="G256" s="113">
        <f t="shared" si="9"/>
        <v>0</v>
      </c>
      <c r="I256" s="2">
        <f t="shared" si="10"/>
        <v>0</v>
      </c>
      <c r="J256" s="2">
        <f t="shared" si="11"/>
        <v>0</v>
      </c>
    </row>
    <row r="257" spans="1:10" x14ac:dyDescent="0.25">
      <c r="A257" s="99" t="s">
        <v>851</v>
      </c>
      <c r="B257" s="2"/>
      <c r="C257" s="2"/>
      <c r="D257" s="2"/>
      <c r="E257" s="2"/>
      <c r="F257" s="2">
        <v>224</v>
      </c>
      <c r="G257" s="113">
        <f t="shared" si="9"/>
        <v>224</v>
      </c>
      <c r="I257" s="2">
        <f t="shared" si="10"/>
        <v>0</v>
      </c>
      <c r="J257" s="2">
        <f t="shared" si="11"/>
        <v>0</v>
      </c>
    </row>
    <row r="258" spans="1:10" x14ac:dyDescent="0.25">
      <c r="A258" s="99" t="s">
        <v>448</v>
      </c>
      <c r="B258" s="2"/>
      <c r="C258" s="2">
        <v>-432</v>
      </c>
      <c r="D258" s="2"/>
      <c r="E258" s="2"/>
      <c r="F258" s="2">
        <v>432</v>
      </c>
      <c r="G258" s="113">
        <f t="shared" si="9"/>
        <v>0</v>
      </c>
      <c r="I258" s="2">
        <f t="shared" si="10"/>
        <v>0</v>
      </c>
      <c r="J258" s="2">
        <f t="shared" si="11"/>
        <v>0</v>
      </c>
    </row>
    <row r="259" spans="1:10" x14ac:dyDescent="0.25">
      <c r="A259" s="99" t="s">
        <v>449</v>
      </c>
      <c r="B259" s="2"/>
      <c r="C259" s="2">
        <v>-618</v>
      </c>
      <c r="D259" s="2"/>
      <c r="E259" s="2"/>
      <c r="F259" s="2">
        <v>608</v>
      </c>
      <c r="G259" s="113">
        <f t="shared" si="9"/>
        <v>-10</v>
      </c>
      <c r="I259" s="2">
        <f t="shared" si="10"/>
        <v>0</v>
      </c>
      <c r="J259" s="2">
        <f t="shared" si="11"/>
        <v>-10</v>
      </c>
    </row>
    <row r="260" spans="1:10" x14ac:dyDescent="0.25">
      <c r="A260" s="99" t="s">
        <v>852</v>
      </c>
      <c r="B260" s="2"/>
      <c r="C260" s="2">
        <v>-270</v>
      </c>
      <c r="D260" s="2"/>
      <c r="E260" s="2"/>
      <c r="F260" s="2">
        <v>270</v>
      </c>
      <c r="G260" s="113">
        <f t="shared" si="9"/>
        <v>0</v>
      </c>
      <c r="I260" s="2">
        <f t="shared" si="10"/>
        <v>0</v>
      </c>
      <c r="J260" s="2">
        <f t="shared" si="11"/>
        <v>0</v>
      </c>
    </row>
    <row r="261" spans="1:10" x14ac:dyDescent="0.25">
      <c r="A261" s="99" t="s">
        <v>853</v>
      </c>
      <c r="B261" s="2"/>
      <c r="C261" s="2"/>
      <c r="D261" s="2"/>
      <c r="E261" s="2"/>
      <c r="F261" s="2">
        <v>432</v>
      </c>
      <c r="G261" s="113">
        <f t="shared" si="9"/>
        <v>432</v>
      </c>
      <c r="I261" s="2">
        <f t="shared" si="10"/>
        <v>0</v>
      </c>
      <c r="J261" s="2">
        <f t="shared" si="11"/>
        <v>0</v>
      </c>
    </row>
    <row r="262" spans="1:10" x14ac:dyDescent="0.25">
      <c r="A262" s="99" t="s">
        <v>854</v>
      </c>
      <c r="B262" s="2"/>
      <c r="C262" s="2"/>
      <c r="D262" s="2"/>
      <c r="E262" s="2"/>
      <c r="F262" s="2">
        <v>432</v>
      </c>
      <c r="G262" s="113">
        <f t="shared" si="9"/>
        <v>432</v>
      </c>
      <c r="I262" s="2">
        <f t="shared" si="10"/>
        <v>0</v>
      </c>
      <c r="J262" s="2">
        <f t="shared" si="11"/>
        <v>0</v>
      </c>
    </row>
    <row r="263" spans="1:10" x14ac:dyDescent="0.25">
      <c r="A263" s="99" t="s">
        <v>855</v>
      </c>
      <c r="B263" s="2"/>
      <c r="C263" s="2">
        <v>-450</v>
      </c>
      <c r="D263" s="2"/>
      <c r="E263" s="2"/>
      <c r="F263" s="2">
        <v>450</v>
      </c>
      <c r="G263" s="113">
        <f t="shared" si="9"/>
        <v>0</v>
      </c>
      <c r="I263" s="2">
        <f t="shared" si="10"/>
        <v>0</v>
      </c>
      <c r="J263" s="2">
        <f t="shared" si="11"/>
        <v>0</v>
      </c>
    </row>
    <row r="264" spans="1:10" x14ac:dyDescent="0.25">
      <c r="A264" s="99" t="s">
        <v>450</v>
      </c>
      <c r="B264" s="2"/>
      <c r="C264" s="2"/>
      <c r="D264" s="2"/>
      <c r="E264" s="2"/>
      <c r="F264" s="2">
        <v>0</v>
      </c>
      <c r="G264" s="113">
        <f t="shared" si="9"/>
        <v>0</v>
      </c>
      <c r="I264" s="2">
        <f t="shared" si="10"/>
        <v>0</v>
      </c>
      <c r="J264" s="2">
        <f t="shared" si="11"/>
        <v>0</v>
      </c>
    </row>
    <row r="265" spans="1:10" x14ac:dyDescent="0.25">
      <c r="A265" s="99" t="s">
        <v>856</v>
      </c>
      <c r="B265" s="2"/>
      <c r="C265" s="2">
        <v>-432</v>
      </c>
      <c r="D265" s="2"/>
      <c r="E265" s="2"/>
      <c r="F265" s="2">
        <v>450</v>
      </c>
      <c r="G265" s="113">
        <f t="shared" si="9"/>
        <v>18</v>
      </c>
      <c r="I265" s="2">
        <f t="shared" si="10"/>
        <v>0</v>
      </c>
      <c r="J265" s="2">
        <f t="shared" si="11"/>
        <v>0</v>
      </c>
    </row>
    <row r="266" spans="1:10" x14ac:dyDescent="0.25">
      <c r="A266" s="99" t="s">
        <v>451</v>
      </c>
      <c r="B266" s="2"/>
      <c r="C266" s="2">
        <v>-432</v>
      </c>
      <c r="D266" s="2"/>
      <c r="E266" s="2"/>
      <c r="F266" s="2">
        <v>432</v>
      </c>
      <c r="G266" s="113">
        <f t="shared" si="9"/>
        <v>0</v>
      </c>
      <c r="I266" s="2">
        <f t="shared" si="10"/>
        <v>0</v>
      </c>
      <c r="J266" s="2">
        <f t="shared" si="11"/>
        <v>0</v>
      </c>
    </row>
    <row r="267" spans="1:10" x14ac:dyDescent="0.25">
      <c r="A267" s="99" t="s">
        <v>452</v>
      </c>
      <c r="B267" s="2"/>
      <c r="C267" s="2"/>
      <c r="D267" s="2"/>
      <c r="E267" s="2"/>
      <c r="F267" s="2">
        <v>1464</v>
      </c>
      <c r="G267" s="113">
        <f t="shared" si="9"/>
        <v>1464</v>
      </c>
      <c r="I267" s="2">
        <f t="shared" si="10"/>
        <v>0</v>
      </c>
      <c r="J267" s="2">
        <f t="shared" si="11"/>
        <v>0</v>
      </c>
    </row>
    <row r="268" spans="1:10" x14ac:dyDescent="0.25">
      <c r="A268" s="99" t="s">
        <v>453</v>
      </c>
      <c r="B268" s="2"/>
      <c r="C268" s="2">
        <v>-634.6</v>
      </c>
      <c r="D268" s="2"/>
      <c r="E268" s="2">
        <v>125</v>
      </c>
      <c r="F268" s="2">
        <v>378.28</v>
      </c>
      <c r="G268" s="113">
        <f t="shared" si="9"/>
        <v>-131.32000000000005</v>
      </c>
      <c r="I268" s="2">
        <f t="shared" si="10"/>
        <v>0</v>
      </c>
      <c r="J268" s="2">
        <f t="shared" si="11"/>
        <v>-131.32000000000005</v>
      </c>
    </row>
    <row r="269" spans="1:10" x14ac:dyDescent="0.25">
      <c r="A269" s="99" t="s">
        <v>454</v>
      </c>
      <c r="B269" s="2"/>
      <c r="C269" s="2">
        <v>-290</v>
      </c>
      <c r="D269" s="2"/>
      <c r="E269" s="2"/>
      <c r="F269" s="2">
        <v>290</v>
      </c>
      <c r="G269" s="113">
        <f t="shared" si="9"/>
        <v>0</v>
      </c>
      <c r="I269" s="2">
        <f t="shared" si="10"/>
        <v>0</v>
      </c>
      <c r="J269" s="2">
        <f t="shared" si="11"/>
        <v>0</v>
      </c>
    </row>
    <row r="270" spans="1:10" x14ac:dyDescent="0.25">
      <c r="A270" s="99" t="s">
        <v>455</v>
      </c>
      <c r="B270" s="2"/>
      <c r="C270" s="2">
        <v>-432</v>
      </c>
      <c r="D270" s="2"/>
      <c r="E270" s="2"/>
      <c r="F270" s="2">
        <v>432</v>
      </c>
      <c r="G270" s="113">
        <f t="shared" si="9"/>
        <v>0</v>
      </c>
      <c r="I270" s="2">
        <f t="shared" si="10"/>
        <v>0</v>
      </c>
      <c r="J270" s="2">
        <f t="shared" si="11"/>
        <v>0</v>
      </c>
    </row>
    <row r="271" spans="1:10" x14ac:dyDescent="0.25">
      <c r="A271" s="99" t="s">
        <v>857</v>
      </c>
      <c r="B271" s="2"/>
      <c r="C271" s="2"/>
      <c r="D271" s="2"/>
      <c r="E271" s="2"/>
      <c r="F271" s="2">
        <v>234</v>
      </c>
      <c r="G271" s="113">
        <f t="shared" si="9"/>
        <v>234</v>
      </c>
      <c r="I271" s="2">
        <f t="shared" si="10"/>
        <v>0</v>
      </c>
      <c r="J271" s="2">
        <f t="shared" si="11"/>
        <v>0</v>
      </c>
    </row>
    <row r="272" spans="1:10" x14ac:dyDescent="0.25">
      <c r="A272" s="99" t="s">
        <v>456</v>
      </c>
      <c r="B272" s="2"/>
      <c r="C272" s="2">
        <v>-428</v>
      </c>
      <c r="D272" s="2"/>
      <c r="E272" s="2"/>
      <c r="F272" s="2">
        <v>428</v>
      </c>
      <c r="G272" s="113">
        <f t="shared" si="9"/>
        <v>0</v>
      </c>
      <c r="I272" s="2">
        <f t="shared" si="10"/>
        <v>0</v>
      </c>
      <c r="J272" s="2">
        <f t="shared" si="11"/>
        <v>0</v>
      </c>
    </row>
    <row r="273" spans="1:10" x14ac:dyDescent="0.25">
      <c r="A273" s="99" t="s">
        <v>457</v>
      </c>
      <c r="B273" s="2"/>
      <c r="C273" s="2">
        <v>-315</v>
      </c>
      <c r="D273" s="2"/>
      <c r="E273" s="2"/>
      <c r="F273" s="2">
        <v>392.28</v>
      </c>
      <c r="G273" s="113">
        <f t="shared" si="9"/>
        <v>77.279999999999973</v>
      </c>
      <c r="I273" s="2">
        <f t="shared" si="10"/>
        <v>0</v>
      </c>
      <c r="J273" s="2">
        <f t="shared" si="11"/>
        <v>0</v>
      </c>
    </row>
    <row r="274" spans="1:10" x14ac:dyDescent="0.25">
      <c r="A274" s="99" t="s">
        <v>858</v>
      </c>
      <c r="B274" s="2"/>
      <c r="C274" s="2">
        <v>-145</v>
      </c>
      <c r="D274" s="2"/>
      <c r="E274" s="2"/>
      <c r="F274" s="2">
        <v>145</v>
      </c>
      <c r="G274" s="113">
        <f t="shared" si="9"/>
        <v>0</v>
      </c>
      <c r="I274" s="2">
        <f t="shared" si="10"/>
        <v>0</v>
      </c>
      <c r="J274" s="2">
        <f t="shared" si="11"/>
        <v>0</v>
      </c>
    </row>
    <row r="275" spans="1:10" x14ac:dyDescent="0.25">
      <c r="A275" s="99" t="s">
        <v>859</v>
      </c>
      <c r="B275" s="2"/>
      <c r="C275" s="2">
        <v>-450</v>
      </c>
      <c r="D275" s="2"/>
      <c r="E275" s="2"/>
      <c r="F275" s="2">
        <v>450</v>
      </c>
      <c r="G275" s="113">
        <f t="shared" si="9"/>
        <v>0</v>
      </c>
      <c r="I275" s="2">
        <f t="shared" si="10"/>
        <v>0</v>
      </c>
      <c r="J275" s="2">
        <f t="shared" si="11"/>
        <v>0</v>
      </c>
    </row>
    <row r="276" spans="1:10" x14ac:dyDescent="0.25">
      <c r="A276" s="99" t="s">
        <v>458</v>
      </c>
      <c r="B276" s="2"/>
      <c r="C276" s="2">
        <v>-450</v>
      </c>
      <c r="D276" s="2"/>
      <c r="E276" s="2"/>
      <c r="F276" s="2">
        <v>450</v>
      </c>
      <c r="G276" s="113">
        <f t="shared" si="9"/>
        <v>0</v>
      </c>
      <c r="I276" s="2">
        <f t="shared" si="10"/>
        <v>0</v>
      </c>
      <c r="J276" s="2">
        <f t="shared" si="11"/>
        <v>0</v>
      </c>
    </row>
    <row r="277" spans="1:10" x14ac:dyDescent="0.25">
      <c r="A277" s="99" t="s">
        <v>860</v>
      </c>
      <c r="B277" s="2"/>
      <c r="C277" s="2"/>
      <c r="D277" s="2"/>
      <c r="E277" s="2"/>
      <c r="F277" s="2">
        <v>224</v>
      </c>
      <c r="G277" s="113">
        <f t="shared" si="9"/>
        <v>224</v>
      </c>
      <c r="I277" s="2">
        <f t="shared" si="10"/>
        <v>0</v>
      </c>
      <c r="J277" s="2">
        <f t="shared" si="11"/>
        <v>0</v>
      </c>
    </row>
    <row r="278" spans="1:10" x14ac:dyDescent="0.25">
      <c r="A278" s="99" t="s">
        <v>459</v>
      </c>
      <c r="B278" s="2"/>
      <c r="C278" s="2">
        <v>-432</v>
      </c>
      <c r="D278" s="2"/>
      <c r="E278" s="2"/>
      <c r="F278" s="2">
        <v>432</v>
      </c>
      <c r="G278" s="113">
        <f t="shared" si="9"/>
        <v>0</v>
      </c>
      <c r="I278" s="2">
        <f t="shared" si="10"/>
        <v>0</v>
      </c>
      <c r="J278" s="2">
        <f t="shared" si="11"/>
        <v>0</v>
      </c>
    </row>
    <row r="279" spans="1:10" x14ac:dyDescent="0.25">
      <c r="A279" s="99" t="s">
        <v>460</v>
      </c>
      <c r="B279" s="2"/>
      <c r="C279" s="2">
        <v>-638</v>
      </c>
      <c r="D279" s="2"/>
      <c r="E279" s="2"/>
      <c r="F279" s="2">
        <v>971.01</v>
      </c>
      <c r="G279" s="113">
        <f t="shared" si="9"/>
        <v>333.01</v>
      </c>
      <c r="I279" s="2">
        <f t="shared" si="10"/>
        <v>0</v>
      </c>
      <c r="J279" s="2">
        <f t="shared" si="11"/>
        <v>0</v>
      </c>
    </row>
    <row r="280" spans="1:10" x14ac:dyDescent="0.25">
      <c r="A280" s="99" t="s">
        <v>461</v>
      </c>
      <c r="B280" s="2"/>
      <c r="C280" s="2">
        <v>-58</v>
      </c>
      <c r="D280" s="2"/>
      <c r="E280" s="2"/>
      <c r="F280" s="2">
        <v>432</v>
      </c>
      <c r="G280" s="113">
        <f t="shared" si="9"/>
        <v>374</v>
      </c>
      <c r="I280" s="2">
        <f t="shared" si="10"/>
        <v>0</v>
      </c>
      <c r="J280" s="2">
        <f t="shared" si="11"/>
        <v>0</v>
      </c>
    </row>
    <row r="281" spans="1:10" x14ac:dyDescent="0.25">
      <c r="A281" s="99" t="s">
        <v>462</v>
      </c>
      <c r="B281" s="2"/>
      <c r="C281" s="2">
        <v>-305</v>
      </c>
      <c r="D281" s="2"/>
      <c r="E281" s="2"/>
      <c r="F281" s="2">
        <v>305</v>
      </c>
      <c r="G281" s="113">
        <f t="shared" si="9"/>
        <v>0</v>
      </c>
      <c r="I281" s="2">
        <f t="shared" si="10"/>
        <v>0</v>
      </c>
      <c r="J281" s="2">
        <f t="shared" si="11"/>
        <v>0</v>
      </c>
    </row>
    <row r="282" spans="1:10" x14ac:dyDescent="0.25">
      <c r="A282" s="99" t="s">
        <v>861</v>
      </c>
      <c r="B282" s="2"/>
      <c r="C282" s="2"/>
      <c r="D282" s="2"/>
      <c r="E282" s="2"/>
      <c r="F282" s="2">
        <v>732</v>
      </c>
      <c r="G282" s="113">
        <f t="shared" si="9"/>
        <v>732</v>
      </c>
      <c r="I282" s="2">
        <f t="shared" si="10"/>
        <v>0</v>
      </c>
      <c r="J282" s="2">
        <f t="shared" si="11"/>
        <v>0</v>
      </c>
    </row>
    <row r="283" spans="1:10" x14ac:dyDescent="0.25">
      <c r="A283" s="99" t="s">
        <v>862</v>
      </c>
      <c r="B283" s="2"/>
      <c r="C283" s="2">
        <v>-432</v>
      </c>
      <c r="D283" s="2"/>
      <c r="E283" s="2"/>
      <c r="F283" s="2">
        <v>432</v>
      </c>
      <c r="G283" s="113">
        <f t="shared" si="9"/>
        <v>0</v>
      </c>
      <c r="I283" s="2">
        <f t="shared" si="10"/>
        <v>0</v>
      </c>
      <c r="J283" s="2">
        <f t="shared" si="11"/>
        <v>0</v>
      </c>
    </row>
    <row r="284" spans="1:10" x14ac:dyDescent="0.25">
      <c r="A284" s="99" t="s">
        <v>463</v>
      </c>
      <c r="B284" s="2"/>
      <c r="C284" s="2">
        <v>-113.94</v>
      </c>
      <c r="D284" s="2"/>
      <c r="E284" s="2"/>
      <c r="F284" s="2">
        <v>113.94</v>
      </c>
      <c r="G284" s="113">
        <f t="shared" si="9"/>
        <v>0</v>
      </c>
      <c r="I284" s="2">
        <f t="shared" si="10"/>
        <v>0</v>
      </c>
      <c r="J284" s="2">
        <f t="shared" si="11"/>
        <v>0</v>
      </c>
    </row>
    <row r="285" spans="1:10" x14ac:dyDescent="0.25">
      <c r="A285" s="99" t="s">
        <v>464</v>
      </c>
      <c r="B285" s="2"/>
      <c r="C285" s="2">
        <v>-318</v>
      </c>
      <c r="D285" s="2"/>
      <c r="E285" s="2"/>
      <c r="F285" s="2">
        <v>318</v>
      </c>
      <c r="G285" s="113">
        <f t="shared" si="9"/>
        <v>0</v>
      </c>
      <c r="I285" s="2">
        <f t="shared" si="10"/>
        <v>0</v>
      </c>
      <c r="J285" s="2">
        <f t="shared" si="11"/>
        <v>0</v>
      </c>
    </row>
    <row r="286" spans="1:10" x14ac:dyDescent="0.25">
      <c r="A286" s="99" t="s">
        <v>863</v>
      </c>
      <c r="B286" s="2"/>
      <c r="C286" s="2">
        <v>-290</v>
      </c>
      <c r="D286" s="2"/>
      <c r="E286" s="2"/>
      <c r="F286" s="2">
        <v>290</v>
      </c>
      <c r="G286" s="113">
        <f t="shared" si="9"/>
        <v>0</v>
      </c>
      <c r="I286" s="2">
        <f t="shared" si="10"/>
        <v>0</v>
      </c>
      <c r="J286" s="2">
        <f t="shared" si="11"/>
        <v>0</v>
      </c>
    </row>
    <row r="287" spans="1:10" x14ac:dyDescent="0.25">
      <c r="A287" s="99" t="s">
        <v>465</v>
      </c>
      <c r="B287" s="2"/>
      <c r="C287" s="2">
        <v>-432</v>
      </c>
      <c r="D287" s="2"/>
      <c r="E287" s="2"/>
      <c r="F287" s="2">
        <v>432</v>
      </c>
      <c r="G287" s="113">
        <f t="shared" si="9"/>
        <v>0</v>
      </c>
      <c r="I287" s="2">
        <f t="shared" si="10"/>
        <v>0</v>
      </c>
      <c r="J287" s="2">
        <f t="shared" si="11"/>
        <v>0</v>
      </c>
    </row>
    <row r="288" spans="1:10" x14ac:dyDescent="0.25">
      <c r="A288" s="99" t="s">
        <v>864</v>
      </c>
      <c r="B288" s="2"/>
      <c r="C288" s="2">
        <v>-432</v>
      </c>
      <c r="D288" s="2"/>
      <c r="E288" s="2"/>
      <c r="F288" s="2">
        <v>432</v>
      </c>
      <c r="G288" s="113">
        <f t="shared" si="9"/>
        <v>0</v>
      </c>
      <c r="I288" s="2">
        <f t="shared" si="10"/>
        <v>0</v>
      </c>
      <c r="J288" s="2">
        <f t="shared" si="11"/>
        <v>0</v>
      </c>
    </row>
    <row r="289" spans="1:10" x14ac:dyDescent="0.25">
      <c r="A289" s="99" t="s">
        <v>466</v>
      </c>
      <c r="B289" s="2"/>
      <c r="C289" s="2">
        <v>-58</v>
      </c>
      <c r="D289" s="2"/>
      <c r="E289" s="2"/>
      <c r="F289" s="2">
        <v>58</v>
      </c>
      <c r="G289" s="113">
        <f t="shared" si="9"/>
        <v>0</v>
      </c>
      <c r="I289" s="2">
        <f t="shared" si="10"/>
        <v>0</v>
      </c>
      <c r="J289" s="2">
        <f t="shared" si="11"/>
        <v>0</v>
      </c>
    </row>
    <row r="290" spans="1:10" x14ac:dyDescent="0.25">
      <c r="A290" s="99" t="s">
        <v>865</v>
      </c>
      <c r="B290" s="2"/>
      <c r="C290" s="2">
        <v>-150</v>
      </c>
      <c r="D290" s="2"/>
      <c r="E290" s="2"/>
      <c r="F290" s="2">
        <v>432</v>
      </c>
      <c r="G290" s="113">
        <f t="shared" si="9"/>
        <v>282</v>
      </c>
      <c r="I290" s="2">
        <f t="shared" si="10"/>
        <v>0</v>
      </c>
      <c r="J290" s="2">
        <f t="shared" si="11"/>
        <v>0</v>
      </c>
    </row>
    <row r="291" spans="1:10" x14ac:dyDescent="0.25">
      <c r="A291" s="99" t="s">
        <v>467</v>
      </c>
      <c r="B291" s="2"/>
      <c r="C291" s="2">
        <v>-146.28</v>
      </c>
      <c r="D291" s="2"/>
      <c r="E291" s="2"/>
      <c r="F291" s="2">
        <v>146.28</v>
      </c>
      <c r="G291" s="113">
        <f t="shared" si="9"/>
        <v>0</v>
      </c>
      <c r="I291" s="2">
        <f t="shared" si="10"/>
        <v>0</v>
      </c>
      <c r="J291" s="2">
        <f t="shared" si="11"/>
        <v>0</v>
      </c>
    </row>
    <row r="292" spans="1:10" x14ac:dyDescent="0.25">
      <c r="A292" s="99" t="s">
        <v>468</v>
      </c>
      <c r="B292" s="2"/>
      <c r="C292" s="2">
        <v>-432</v>
      </c>
      <c r="D292" s="2"/>
      <c r="E292" s="2"/>
      <c r="F292" s="2">
        <v>432</v>
      </c>
      <c r="G292" s="113">
        <f t="shared" si="9"/>
        <v>0</v>
      </c>
      <c r="I292" s="2">
        <f t="shared" si="10"/>
        <v>0</v>
      </c>
      <c r="J292" s="2">
        <f t="shared" si="11"/>
        <v>0</v>
      </c>
    </row>
    <row r="293" spans="1:10" x14ac:dyDescent="0.25">
      <c r="A293" s="99" t="s">
        <v>866</v>
      </c>
      <c r="B293" s="2"/>
      <c r="C293" s="2">
        <v>-432</v>
      </c>
      <c r="D293" s="2"/>
      <c r="E293" s="2"/>
      <c r="F293" s="2">
        <v>432</v>
      </c>
      <c r="G293" s="113">
        <f t="shared" ref="G293:G356" si="12">SUM(B293:F293)</f>
        <v>0</v>
      </c>
      <c r="I293" s="2">
        <f t="shared" ref="I293:I356" si="13">IF(F293=0,C293+D293,0)</f>
        <v>0</v>
      </c>
      <c r="J293" s="2">
        <f t="shared" ref="J293:J356" si="14">IF(G293&lt;0,G293,0)</f>
        <v>0</v>
      </c>
    </row>
    <row r="294" spans="1:10" x14ac:dyDescent="0.25">
      <c r="A294" s="99" t="s">
        <v>867</v>
      </c>
      <c r="B294" s="2"/>
      <c r="C294" s="2">
        <v>-450</v>
      </c>
      <c r="D294" s="2"/>
      <c r="E294" s="2"/>
      <c r="F294" s="2">
        <v>432</v>
      </c>
      <c r="G294" s="113">
        <f t="shared" si="12"/>
        <v>-18</v>
      </c>
      <c r="I294" s="2">
        <f t="shared" si="13"/>
        <v>0</v>
      </c>
      <c r="J294" s="2">
        <f t="shared" si="14"/>
        <v>-18</v>
      </c>
    </row>
    <row r="295" spans="1:10" x14ac:dyDescent="0.25">
      <c r="A295" s="99" t="s">
        <v>469</v>
      </c>
      <c r="B295" s="2"/>
      <c r="C295" s="2">
        <v>-290</v>
      </c>
      <c r="D295" s="2"/>
      <c r="E295" s="2"/>
      <c r="F295" s="2">
        <v>290</v>
      </c>
      <c r="G295" s="113">
        <f t="shared" si="12"/>
        <v>0</v>
      </c>
      <c r="I295" s="2">
        <f t="shared" si="13"/>
        <v>0</v>
      </c>
      <c r="J295" s="2">
        <f t="shared" si="14"/>
        <v>0</v>
      </c>
    </row>
    <row r="296" spans="1:10" x14ac:dyDescent="0.25">
      <c r="A296" s="99" t="s">
        <v>470</v>
      </c>
      <c r="B296" s="2"/>
      <c r="C296" s="2">
        <v>-290</v>
      </c>
      <c r="D296" s="2"/>
      <c r="E296" s="2"/>
      <c r="F296" s="2">
        <v>290</v>
      </c>
      <c r="G296" s="113">
        <f t="shared" si="12"/>
        <v>0</v>
      </c>
      <c r="I296" s="2">
        <f t="shared" si="13"/>
        <v>0</v>
      </c>
      <c r="J296" s="2">
        <f t="shared" si="14"/>
        <v>0</v>
      </c>
    </row>
    <row r="297" spans="1:10" x14ac:dyDescent="0.25">
      <c r="A297" s="99" t="s">
        <v>471</v>
      </c>
      <c r="B297" s="2"/>
      <c r="C297" s="2">
        <v>-498</v>
      </c>
      <c r="D297" s="2"/>
      <c r="E297" s="2"/>
      <c r="F297" s="2">
        <v>498</v>
      </c>
      <c r="G297" s="113">
        <f t="shared" si="12"/>
        <v>0</v>
      </c>
      <c r="I297" s="2">
        <f t="shared" si="13"/>
        <v>0</v>
      </c>
      <c r="J297" s="2">
        <f t="shared" si="14"/>
        <v>0</v>
      </c>
    </row>
    <row r="298" spans="1:10" x14ac:dyDescent="0.25">
      <c r="A298" s="99" t="s">
        <v>472</v>
      </c>
      <c r="B298" s="2"/>
      <c r="C298" s="2">
        <v>-450</v>
      </c>
      <c r="D298" s="2"/>
      <c r="E298" s="2"/>
      <c r="F298" s="2">
        <v>450</v>
      </c>
      <c r="G298" s="113">
        <f t="shared" si="12"/>
        <v>0</v>
      </c>
      <c r="I298" s="2">
        <f t="shared" si="13"/>
        <v>0</v>
      </c>
      <c r="J298" s="2">
        <f t="shared" si="14"/>
        <v>0</v>
      </c>
    </row>
    <row r="299" spans="1:10" x14ac:dyDescent="0.25">
      <c r="A299" s="99" t="s">
        <v>473</v>
      </c>
      <c r="B299" s="2"/>
      <c r="C299" s="2">
        <v>-75</v>
      </c>
      <c r="D299" s="2"/>
      <c r="E299" s="2"/>
      <c r="F299" s="2">
        <v>207</v>
      </c>
      <c r="G299" s="113">
        <f t="shared" si="12"/>
        <v>132</v>
      </c>
      <c r="I299" s="2">
        <f t="shared" si="13"/>
        <v>0</v>
      </c>
      <c r="J299" s="2">
        <f t="shared" si="14"/>
        <v>0</v>
      </c>
    </row>
    <row r="300" spans="1:10" x14ac:dyDescent="0.25">
      <c r="A300" s="99" t="s">
        <v>474</v>
      </c>
      <c r="B300" s="2"/>
      <c r="C300" s="2">
        <v>-10.6</v>
      </c>
      <c r="D300" s="2"/>
      <c r="E300" s="2"/>
      <c r="F300" s="2">
        <v>10.6</v>
      </c>
      <c r="G300" s="113">
        <f t="shared" si="12"/>
        <v>0</v>
      </c>
      <c r="I300" s="2">
        <f t="shared" si="13"/>
        <v>0</v>
      </c>
      <c r="J300" s="2">
        <f t="shared" si="14"/>
        <v>0</v>
      </c>
    </row>
    <row r="301" spans="1:10" x14ac:dyDescent="0.25">
      <c r="A301" s="99" t="s">
        <v>868</v>
      </c>
      <c r="B301" s="2"/>
      <c r="C301" s="2">
        <v>-82.68</v>
      </c>
      <c r="D301" s="2"/>
      <c r="E301" s="2"/>
      <c r="F301" s="2">
        <v>82.68</v>
      </c>
      <c r="G301" s="113">
        <f t="shared" si="12"/>
        <v>0</v>
      </c>
      <c r="I301" s="2">
        <f t="shared" si="13"/>
        <v>0</v>
      </c>
      <c r="J301" s="2">
        <f t="shared" si="14"/>
        <v>0</v>
      </c>
    </row>
    <row r="302" spans="1:10" x14ac:dyDescent="0.25">
      <c r="A302" s="99" t="s">
        <v>475</v>
      </c>
      <c r="B302" s="2"/>
      <c r="C302" s="2">
        <v>-69.61</v>
      </c>
      <c r="D302" s="2"/>
      <c r="E302" s="2"/>
      <c r="F302" s="2">
        <v>69.61</v>
      </c>
      <c r="G302" s="113">
        <f t="shared" si="12"/>
        <v>0</v>
      </c>
      <c r="I302" s="2">
        <f t="shared" si="13"/>
        <v>0</v>
      </c>
      <c r="J302" s="2">
        <f t="shared" si="14"/>
        <v>0</v>
      </c>
    </row>
    <row r="303" spans="1:10" x14ac:dyDescent="0.25">
      <c r="A303" s="99" t="s">
        <v>476</v>
      </c>
      <c r="B303" s="2"/>
      <c r="C303" s="2">
        <v>-29</v>
      </c>
      <c r="D303" s="2"/>
      <c r="E303" s="2"/>
      <c r="F303" s="2">
        <v>29</v>
      </c>
      <c r="G303" s="113">
        <f t="shared" si="12"/>
        <v>0</v>
      </c>
      <c r="I303" s="2">
        <f t="shared" si="13"/>
        <v>0</v>
      </c>
      <c r="J303" s="2">
        <f t="shared" si="14"/>
        <v>0</v>
      </c>
    </row>
    <row r="304" spans="1:10" x14ac:dyDescent="0.25">
      <c r="A304" s="99" t="s">
        <v>869</v>
      </c>
      <c r="B304" s="2"/>
      <c r="C304" s="2">
        <v>-210</v>
      </c>
      <c r="D304" s="2"/>
      <c r="E304" s="2"/>
      <c r="F304" s="2">
        <v>210</v>
      </c>
      <c r="G304" s="113">
        <f t="shared" si="12"/>
        <v>0</v>
      </c>
      <c r="I304" s="2">
        <f t="shared" si="13"/>
        <v>0</v>
      </c>
      <c r="J304" s="2">
        <f t="shared" si="14"/>
        <v>0</v>
      </c>
    </row>
    <row r="305" spans="1:10" x14ac:dyDescent="0.25">
      <c r="A305" s="99" t="s">
        <v>870</v>
      </c>
      <c r="B305" s="2"/>
      <c r="C305" s="2">
        <v>-432</v>
      </c>
      <c r="D305" s="2"/>
      <c r="E305" s="2"/>
      <c r="F305" s="2">
        <v>432</v>
      </c>
      <c r="G305" s="113">
        <f t="shared" si="12"/>
        <v>0</v>
      </c>
      <c r="I305" s="2">
        <f t="shared" si="13"/>
        <v>0</v>
      </c>
      <c r="J305" s="2">
        <f t="shared" si="14"/>
        <v>0</v>
      </c>
    </row>
    <row r="306" spans="1:10" x14ac:dyDescent="0.25">
      <c r="A306" s="99" t="s">
        <v>477</v>
      </c>
      <c r="B306" s="2"/>
      <c r="C306" s="2">
        <v>-432</v>
      </c>
      <c r="D306" s="2"/>
      <c r="E306" s="2"/>
      <c r="F306" s="2">
        <v>432</v>
      </c>
      <c r="G306" s="113">
        <f t="shared" si="12"/>
        <v>0</v>
      </c>
      <c r="I306" s="2">
        <f t="shared" si="13"/>
        <v>0</v>
      </c>
      <c r="J306" s="2">
        <f t="shared" si="14"/>
        <v>0</v>
      </c>
    </row>
    <row r="307" spans="1:10" x14ac:dyDescent="0.25">
      <c r="A307" s="99" t="s">
        <v>871</v>
      </c>
      <c r="B307" s="2"/>
      <c r="C307" s="2">
        <v>-432</v>
      </c>
      <c r="D307" s="2"/>
      <c r="E307" s="2"/>
      <c r="F307" s="2">
        <v>432</v>
      </c>
      <c r="G307" s="113">
        <f t="shared" si="12"/>
        <v>0</v>
      </c>
      <c r="I307" s="2">
        <f t="shared" si="13"/>
        <v>0</v>
      </c>
      <c r="J307" s="2">
        <f t="shared" si="14"/>
        <v>0</v>
      </c>
    </row>
    <row r="308" spans="1:10" x14ac:dyDescent="0.25">
      <c r="A308" s="99" t="s">
        <v>478</v>
      </c>
      <c r="B308" s="2"/>
      <c r="C308" s="2">
        <v>-432</v>
      </c>
      <c r="D308" s="2"/>
      <c r="E308" s="2"/>
      <c r="F308" s="2">
        <v>432</v>
      </c>
      <c r="G308" s="113">
        <f t="shared" si="12"/>
        <v>0</v>
      </c>
      <c r="I308" s="2">
        <f t="shared" si="13"/>
        <v>0</v>
      </c>
      <c r="J308" s="2">
        <f t="shared" si="14"/>
        <v>0</v>
      </c>
    </row>
    <row r="309" spans="1:10" x14ac:dyDescent="0.25">
      <c r="A309" s="99" t="s">
        <v>479</v>
      </c>
      <c r="B309" s="2"/>
      <c r="C309" s="2">
        <v>-29</v>
      </c>
      <c r="D309" s="2"/>
      <c r="E309" s="2"/>
      <c r="F309" s="2">
        <v>29</v>
      </c>
      <c r="G309" s="113">
        <f t="shared" si="12"/>
        <v>0</v>
      </c>
      <c r="I309" s="2">
        <f t="shared" si="13"/>
        <v>0</v>
      </c>
      <c r="J309" s="2">
        <f t="shared" si="14"/>
        <v>0</v>
      </c>
    </row>
    <row r="310" spans="1:10" x14ac:dyDescent="0.25">
      <c r="A310" s="99" t="s">
        <v>872</v>
      </c>
      <c r="B310" s="2"/>
      <c r="C310" s="2"/>
      <c r="D310" s="2"/>
      <c r="E310" s="2"/>
      <c r="F310" s="2">
        <v>600</v>
      </c>
      <c r="G310" s="113">
        <f t="shared" si="12"/>
        <v>600</v>
      </c>
      <c r="I310" s="2">
        <f t="shared" si="13"/>
        <v>0</v>
      </c>
      <c r="J310" s="2">
        <f t="shared" si="14"/>
        <v>0</v>
      </c>
    </row>
    <row r="311" spans="1:10" x14ac:dyDescent="0.25">
      <c r="A311" s="99" t="s">
        <v>480</v>
      </c>
      <c r="B311" s="2"/>
      <c r="C311" s="2">
        <v>-290</v>
      </c>
      <c r="D311" s="2"/>
      <c r="E311" s="2"/>
      <c r="F311" s="2">
        <v>290</v>
      </c>
      <c r="G311" s="113">
        <f t="shared" si="12"/>
        <v>0</v>
      </c>
      <c r="I311" s="2">
        <f t="shared" si="13"/>
        <v>0</v>
      </c>
      <c r="J311" s="2">
        <f t="shared" si="14"/>
        <v>0</v>
      </c>
    </row>
    <row r="312" spans="1:10" x14ac:dyDescent="0.25">
      <c r="A312" s="99" t="s">
        <v>481</v>
      </c>
      <c r="B312" s="2"/>
      <c r="C312" s="2">
        <v>-270</v>
      </c>
      <c r="D312" s="2"/>
      <c r="E312" s="2"/>
      <c r="F312" s="2">
        <v>270</v>
      </c>
      <c r="G312" s="113">
        <f t="shared" si="12"/>
        <v>0</v>
      </c>
      <c r="I312" s="2">
        <f t="shared" si="13"/>
        <v>0</v>
      </c>
      <c r="J312" s="2">
        <f t="shared" si="14"/>
        <v>0</v>
      </c>
    </row>
    <row r="313" spans="1:10" x14ac:dyDescent="0.25">
      <c r="A313" s="99" t="s">
        <v>482</v>
      </c>
      <c r="B313" s="2"/>
      <c r="C313" s="2">
        <v>-29</v>
      </c>
      <c r="D313" s="2"/>
      <c r="E313" s="2"/>
      <c r="F313" s="2"/>
      <c r="G313" s="113">
        <f t="shared" si="12"/>
        <v>-29</v>
      </c>
      <c r="I313" s="2">
        <f t="shared" si="13"/>
        <v>-29</v>
      </c>
      <c r="J313" s="2">
        <f t="shared" si="14"/>
        <v>-29</v>
      </c>
    </row>
    <row r="314" spans="1:10" x14ac:dyDescent="0.25">
      <c r="A314" s="99" t="s">
        <v>483</v>
      </c>
      <c r="B314" s="2"/>
      <c r="C314" s="2">
        <v>-432</v>
      </c>
      <c r="D314" s="2"/>
      <c r="E314" s="2"/>
      <c r="F314" s="2">
        <v>432</v>
      </c>
      <c r="G314" s="113">
        <f t="shared" si="12"/>
        <v>0</v>
      </c>
      <c r="I314" s="2">
        <f t="shared" si="13"/>
        <v>0</v>
      </c>
      <c r="J314" s="2">
        <f t="shared" si="14"/>
        <v>0</v>
      </c>
    </row>
    <row r="315" spans="1:10" x14ac:dyDescent="0.25">
      <c r="A315" s="99" t="s">
        <v>873</v>
      </c>
      <c r="B315" s="2"/>
      <c r="C315" s="2">
        <v>-432</v>
      </c>
      <c r="D315" s="2"/>
      <c r="E315" s="2"/>
      <c r="F315" s="2">
        <v>432</v>
      </c>
      <c r="G315" s="113">
        <f t="shared" si="12"/>
        <v>0</v>
      </c>
      <c r="I315" s="2">
        <f t="shared" si="13"/>
        <v>0</v>
      </c>
      <c r="J315" s="2">
        <f t="shared" si="14"/>
        <v>0</v>
      </c>
    </row>
    <row r="316" spans="1:10" x14ac:dyDescent="0.25">
      <c r="A316" s="99" t="s">
        <v>874</v>
      </c>
      <c r="B316" s="2"/>
      <c r="C316" s="2">
        <v>-432</v>
      </c>
      <c r="D316" s="2"/>
      <c r="E316" s="2"/>
      <c r="F316" s="2">
        <v>432</v>
      </c>
      <c r="G316" s="113">
        <f t="shared" si="12"/>
        <v>0</v>
      </c>
      <c r="I316" s="2">
        <f t="shared" si="13"/>
        <v>0</v>
      </c>
      <c r="J316" s="2">
        <f t="shared" si="14"/>
        <v>0</v>
      </c>
    </row>
    <row r="317" spans="1:10" x14ac:dyDescent="0.25">
      <c r="A317" s="99" t="s">
        <v>875</v>
      </c>
      <c r="B317" s="2"/>
      <c r="C317" s="2">
        <v>-290</v>
      </c>
      <c r="D317" s="2"/>
      <c r="E317" s="2"/>
      <c r="F317" s="2">
        <v>290</v>
      </c>
      <c r="G317" s="113">
        <f t="shared" si="12"/>
        <v>0</v>
      </c>
      <c r="I317" s="2">
        <f t="shared" si="13"/>
        <v>0</v>
      </c>
      <c r="J317" s="2">
        <f t="shared" si="14"/>
        <v>0</v>
      </c>
    </row>
    <row r="318" spans="1:10" x14ac:dyDescent="0.25">
      <c r="A318" s="99" t="s">
        <v>876</v>
      </c>
      <c r="B318" s="2"/>
      <c r="C318" s="2">
        <v>-455.36</v>
      </c>
      <c r="D318" s="2"/>
      <c r="E318" s="2"/>
      <c r="F318" s="2">
        <v>620.72</v>
      </c>
      <c r="G318" s="113">
        <f t="shared" si="12"/>
        <v>165.36</v>
      </c>
      <c r="I318" s="2">
        <f t="shared" si="13"/>
        <v>0</v>
      </c>
      <c r="J318" s="2">
        <f t="shared" si="14"/>
        <v>0</v>
      </c>
    </row>
    <row r="319" spans="1:10" x14ac:dyDescent="0.25">
      <c r="A319" s="99" t="s">
        <v>484</v>
      </c>
      <c r="B319" s="2"/>
      <c r="C319" s="2">
        <v>-442.6</v>
      </c>
      <c r="D319" s="2"/>
      <c r="E319" s="2"/>
      <c r="F319" s="2">
        <v>442.6</v>
      </c>
      <c r="G319" s="113">
        <f t="shared" si="12"/>
        <v>0</v>
      </c>
      <c r="I319" s="2">
        <f t="shared" si="13"/>
        <v>0</v>
      </c>
      <c r="J319" s="2">
        <f t="shared" si="14"/>
        <v>0</v>
      </c>
    </row>
    <row r="320" spans="1:10" x14ac:dyDescent="0.25">
      <c r="A320" s="99" t="s">
        <v>485</v>
      </c>
      <c r="B320" s="2"/>
      <c r="C320" s="2">
        <v>-16.54</v>
      </c>
      <c r="D320" s="2"/>
      <c r="E320" s="2"/>
      <c r="F320" s="2">
        <v>17.010000000000002</v>
      </c>
      <c r="G320" s="113">
        <f t="shared" si="12"/>
        <v>0.47000000000000242</v>
      </c>
      <c r="I320" s="2">
        <f t="shared" si="13"/>
        <v>0</v>
      </c>
      <c r="J320" s="2">
        <f t="shared" si="14"/>
        <v>0</v>
      </c>
    </row>
    <row r="321" spans="1:10" x14ac:dyDescent="0.25">
      <c r="A321" s="99" t="s">
        <v>486</v>
      </c>
      <c r="B321" s="2"/>
      <c r="C321" s="2">
        <v>-598</v>
      </c>
      <c r="D321" s="2"/>
      <c r="E321" s="2"/>
      <c r="F321" s="2">
        <v>898</v>
      </c>
      <c r="G321" s="113">
        <f t="shared" si="12"/>
        <v>300</v>
      </c>
      <c r="I321" s="2">
        <f t="shared" si="13"/>
        <v>0</v>
      </c>
      <c r="J321" s="2">
        <f t="shared" si="14"/>
        <v>0</v>
      </c>
    </row>
    <row r="322" spans="1:10" x14ac:dyDescent="0.25">
      <c r="A322" s="99" t="s">
        <v>487</v>
      </c>
      <c r="B322" s="2"/>
      <c r="C322" s="2">
        <v>-290</v>
      </c>
      <c r="D322" s="2"/>
      <c r="E322" s="2"/>
      <c r="F322" s="2">
        <v>290</v>
      </c>
      <c r="G322" s="113">
        <f t="shared" si="12"/>
        <v>0</v>
      </c>
      <c r="I322" s="2">
        <f t="shared" si="13"/>
        <v>0</v>
      </c>
      <c r="J322" s="2">
        <f t="shared" si="14"/>
        <v>0</v>
      </c>
    </row>
    <row r="323" spans="1:10" x14ac:dyDescent="0.25">
      <c r="A323" s="99" t="s">
        <v>488</v>
      </c>
      <c r="B323" s="2"/>
      <c r="C323" s="2"/>
      <c r="D323" s="2"/>
      <c r="E323" s="2"/>
      <c r="F323" s="2">
        <v>58</v>
      </c>
      <c r="G323" s="113">
        <f t="shared" si="12"/>
        <v>58</v>
      </c>
      <c r="I323" s="2">
        <f t="shared" si="13"/>
        <v>0</v>
      </c>
      <c r="J323" s="2">
        <f t="shared" si="14"/>
        <v>0</v>
      </c>
    </row>
    <row r="324" spans="1:10" x14ac:dyDescent="0.25">
      <c r="A324" s="99" t="s">
        <v>489</v>
      </c>
      <c r="B324" s="2">
        <v>-0.02</v>
      </c>
      <c r="C324" s="2"/>
      <c r="D324" s="2"/>
      <c r="E324" s="2"/>
      <c r="F324" s="2">
        <v>0.03</v>
      </c>
      <c r="G324" s="113">
        <f t="shared" si="12"/>
        <v>9.9999999999999985E-3</v>
      </c>
      <c r="I324" s="2">
        <f t="shared" si="13"/>
        <v>0</v>
      </c>
      <c r="J324" s="2">
        <f t="shared" si="14"/>
        <v>0</v>
      </c>
    </row>
    <row r="325" spans="1:10" x14ac:dyDescent="0.25">
      <c r="A325" s="99" t="s">
        <v>877</v>
      </c>
      <c r="B325" s="2"/>
      <c r="C325" s="2">
        <v>-20</v>
      </c>
      <c r="D325" s="2"/>
      <c r="E325" s="2"/>
      <c r="F325" s="2">
        <v>58</v>
      </c>
      <c r="G325" s="113">
        <f t="shared" si="12"/>
        <v>38</v>
      </c>
      <c r="I325" s="2">
        <f t="shared" si="13"/>
        <v>0</v>
      </c>
      <c r="J325" s="2">
        <f t="shared" si="14"/>
        <v>0</v>
      </c>
    </row>
    <row r="326" spans="1:10" x14ac:dyDescent="0.25">
      <c r="A326" s="99" t="s">
        <v>878</v>
      </c>
      <c r="B326" s="2"/>
      <c r="C326" s="2">
        <v>-145</v>
      </c>
      <c r="D326" s="2"/>
      <c r="E326" s="2"/>
      <c r="F326" s="2">
        <v>145</v>
      </c>
      <c r="G326" s="113">
        <f t="shared" si="12"/>
        <v>0</v>
      </c>
      <c r="I326" s="2">
        <f t="shared" si="13"/>
        <v>0</v>
      </c>
      <c r="J326" s="2">
        <f t="shared" si="14"/>
        <v>0</v>
      </c>
    </row>
    <row r="327" spans="1:10" x14ac:dyDescent="0.25">
      <c r="A327" s="99" t="s">
        <v>490</v>
      </c>
      <c r="B327" s="2"/>
      <c r="C327" s="2">
        <v>-450</v>
      </c>
      <c r="D327" s="2"/>
      <c r="E327" s="2"/>
      <c r="F327" s="2">
        <v>450</v>
      </c>
      <c r="G327" s="113">
        <f t="shared" si="12"/>
        <v>0</v>
      </c>
      <c r="I327" s="2">
        <f t="shared" si="13"/>
        <v>0</v>
      </c>
      <c r="J327" s="2">
        <f t="shared" si="14"/>
        <v>0</v>
      </c>
    </row>
    <row r="328" spans="1:10" x14ac:dyDescent="0.25">
      <c r="A328" s="99" t="s">
        <v>879</v>
      </c>
      <c r="B328" s="2"/>
      <c r="C328" s="2"/>
      <c r="D328" s="2"/>
      <c r="E328" s="2"/>
      <c r="F328" s="2">
        <v>433</v>
      </c>
      <c r="G328" s="113">
        <f t="shared" si="12"/>
        <v>433</v>
      </c>
      <c r="I328" s="2">
        <f t="shared" si="13"/>
        <v>0</v>
      </c>
      <c r="J328" s="2">
        <f t="shared" si="14"/>
        <v>0</v>
      </c>
    </row>
    <row r="329" spans="1:10" x14ac:dyDescent="0.25">
      <c r="A329" s="99" t="s">
        <v>880</v>
      </c>
      <c r="B329" s="2"/>
      <c r="C329" s="2">
        <v>-432</v>
      </c>
      <c r="D329" s="2"/>
      <c r="E329" s="2"/>
      <c r="F329" s="2">
        <v>432</v>
      </c>
      <c r="G329" s="113">
        <f t="shared" si="12"/>
        <v>0</v>
      </c>
      <c r="I329" s="2">
        <f t="shared" si="13"/>
        <v>0</v>
      </c>
      <c r="J329" s="2">
        <f t="shared" si="14"/>
        <v>0</v>
      </c>
    </row>
    <row r="330" spans="1:10" x14ac:dyDescent="0.25">
      <c r="A330" s="99" t="s">
        <v>881</v>
      </c>
      <c r="B330" s="2"/>
      <c r="C330" s="2">
        <v>-318</v>
      </c>
      <c r="D330" s="2"/>
      <c r="E330" s="2"/>
      <c r="F330" s="2">
        <v>318</v>
      </c>
      <c r="G330" s="113">
        <f t="shared" si="12"/>
        <v>0</v>
      </c>
      <c r="I330" s="2">
        <f t="shared" si="13"/>
        <v>0</v>
      </c>
      <c r="J330" s="2">
        <f t="shared" si="14"/>
        <v>0</v>
      </c>
    </row>
    <row r="331" spans="1:10" x14ac:dyDescent="0.25">
      <c r="A331" s="99" t="s">
        <v>491</v>
      </c>
      <c r="B331" s="2"/>
      <c r="C331" s="2">
        <v>-432</v>
      </c>
      <c r="D331" s="2"/>
      <c r="E331" s="2"/>
      <c r="F331" s="2">
        <v>432</v>
      </c>
      <c r="G331" s="113">
        <f t="shared" si="12"/>
        <v>0</v>
      </c>
      <c r="I331" s="2">
        <f t="shared" si="13"/>
        <v>0</v>
      </c>
      <c r="J331" s="2">
        <f t="shared" si="14"/>
        <v>0</v>
      </c>
    </row>
    <row r="332" spans="1:10" x14ac:dyDescent="0.25">
      <c r="A332" s="99" t="s">
        <v>492</v>
      </c>
      <c r="B332" s="2"/>
      <c r="C332" s="2">
        <v>-290</v>
      </c>
      <c r="D332" s="2"/>
      <c r="E332" s="2"/>
      <c r="F332" s="2">
        <v>290</v>
      </c>
      <c r="G332" s="113">
        <f t="shared" si="12"/>
        <v>0</v>
      </c>
      <c r="I332" s="2">
        <f t="shared" si="13"/>
        <v>0</v>
      </c>
      <c r="J332" s="2">
        <f t="shared" si="14"/>
        <v>0</v>
      </c>
    </row>
    <row r="333" spans="1:10" x14ac:dyDescent="0.25">
      <c r="A333" s="99" t="s">
        <v>882</v>
      </c>
      <c r="B333" s="2"/>
      <c r="C333" s="2">
        <v>-88</v>
      </c>
      <c r="D333" s="2"/>
      <c r="E333" s="2"/>
      <c r="F333" s="2">
        <v>88</v>
      </c>
      <c r="G333" s="113">
        <f t="shared" si="12"/>
        <v>0</v>
      </c>
      <c r="I333" s="2">
        <f t="shared" si="13"/>
        <v>0</v>
      </c>
      <c r="J333" s="2">
        <f t="shared" si="14"/>
        <v>0</v>
      </c>
    </row>
    <row r="334" spans="1:10" x14ac:dyDescent="0.25">
      <c r="A334" s="99" t="s">
        <v>493</v>
      </c>
      <c r="B334" s="2"/>
      <c r="C334" s="2">
        <v>-432</v>
      </c>
      <c r="D334" s="2"/>
      <c r="E334" s="2"/>
      <c r="F334" s="2">
        <v>432</v>
      </c>
      <c r="G334" s="113">
        <f t="shared" si="12"/>
        <v>0</v>
      </c>
      <c r="I334" s="2">
        <f t="shared" si="13"/>
        <v>0</v>
      </c>
      <c r="J334" s="2">
        <f t="shared" si="14"/>
        <v>0</v>
      </c>
    </row>
    <row r="335" spans="1:10" x14ac:dyDescent="0.25">
      <c r="A335" s="99" t="s">
        <v>494</v>
      </c>
      <c r="B335" s="2"/>
      <c r="C335" s="2">
        <v>-58</v>
      </c>
      <c r="D335" s="2"/>
      <c r="E335" s="2"/>
      <c r="F335" s="2">
        <v>58</v>
      </c>
      <c r="G335" s="113">
        <f t="shared" si="12"/>
        <v>0</v>
      </c>
      <c r="I335" s="2">
        <f t="shared" si="13"/>
        <v>0</v>
      </c>
      <c r="J335" s="2">
        <f t="shared" si="14"/>
        <v>0</v>
      </c>
    </row>
    <row r="336" spans="1:10" x14ac:dyDescent="0.25">
      <c r="A336" s="99" t="s">
        <v>495</v>
      </c>
      <c r="B336" s="2"/>
      <c r="C336" s="2">
        <v>-450</v>
      </c>
      <c r="D336" s="2"/>
      <c r="E336" s="2"/>
      <c r="F336" s="2">
        <v>450</v>
      </c>
      <c r="G336" s="113">
        <f t="shared" si="12"/>
        <v>0</v>
      </c>
      <c r="I336" s="2">
        <f t="shared" si="13"/>
        <v>0</v>
      </c>
      <c r="J336" s="2">
        <f t="shared" si="14"/>
        <v>0</v>
      </c>
    </row>
    <row r="337" spans="1:10" x14ac:dyDescent="0.25">
      <c r="A337" s="99" t="s">
        <v>496</v>
      </c>
      <c r="B337" s="2"/>
      <c r="C337" s="2">
        <v>-318</v>
      </c>
      <c r="D337" s="2"/>
      <c r="E337" s="2"/>
      <c r="F337" s="2">
        <v>318</v>
      </c>
      <c r="G337" s="113">
        <f t="shared" si="12"/>
        <v>0</v>
      </c>
      <c r="I337" s="2">
        <f t="shared" si="13"/>
        <v>0</v>
      </c>
      <c r="J337" s="2">
        <f t="shared" si="14"/>
        <v>0</v>
      </c>
    </row>
    <row r="338" spans="1:10" x14ac:dyDescent="0.25">
      <c r="A338" s="99" t="s">
        <v>883</v>
      </c>
      <c r="B338" s="2"/>
      <c r="C338" s="2">
        <v>-432</v>
      </c>
      <c r="D338" s="2"/>
      <c r="E338" s="2"/>
      <c r="F338" s="2">
        <v>432</v>
      </c>
      <c r="G338" s="113">
        <f t="shared" si="12"/>
        <v>0</v>
      </c>
      <c r="I338" s="2">
        <f t="shared" si="13"/>
        <v>0</v>
      </c>
      <c r="J338" s="2">
        <f t="shared" si="14"/>
        <v>0</v>
      </c>
    </row>
    <row r="339" spans="1:10" x14ac:dyDescent="0.25">
      <c r="A339" s="99" t="s">
        <v>884</v>
      </c>
      <c r="B339" s="2"/>
      <c r="C339" s="2">
        <v>-165.36</v>
      </c>
      <c r="D339" s="2"/>
      <c r="E339" s="2"/>
      <c r="F339" s="2">
        <v>248.04000000000002</v>
      </c>
      <c r="G339" s="113">
        <f t="shared" si="12"/>
        <v>82.68</v>
      </c>
      <c r="I339" s="2">
        <f t="shared" si="13"/>
        <v>0</v>
      </c>
      <c r="J339" s="2">
        <f t="shared" si="14"/>
        <v>0</v>
      </c>
    </row>
    <row r="340" spans="1:10" x14ac:dyDescent="0.25">
      <c r="A340" s="99" t="s">
        <v>885</v>
      </c>
      <c r="B340" s="2"/>
      <c r="C340" s="2">
        <v>-450</v>
      </c>
      <c r="D340" s="2"/>
      <c r="E340" s="2"/>
      <c r="F340" s="2">
        <v>450</v>
      </c>
      <c r="G340" s="113">
        <f t="shared" si="12"/>
        <v>0</v>
      </c>
      <c r="I340" s="2">
        <f t="shared" si="13"/>
        <v>0</v>
      </c>
      <c r="J340" s="2">
        <f t="shared" si="14"/>
        <v>0</v>
      </c>
    </row>
    <row r="341" spans="1:10" x14ac:dyDescent="0.25">
      <c r="A341" s="99" t="s">
        <v>497</v>
      </c>
      <c r="B341" s="2"/>
      <c r="C341" s="2">
        <v>-379.8</v>
      </c>
      <c r="D341" s="2"/>
      <c r="E341" s="2"/>
      <c r="F341" s="2">
        <v>379.8</v>
      </c>
      <c r="G341" s="113">
        <f t="shared" si="12"/>
        <v>0</v>
      </c>
      <c r="I341" s="2">
        <f t="shared" si="13"/>
        <v>0</v>
      </c>
      <c r="J341" s="2">
        <f t="shared" si="14"/>
        <v>0</v>
      </c>
    </row>
    <row r="342" spans="1:10" x14ac:dyDescent="0.25">
      <c r="A342" s="99" t="s">
        <v>886</v>
      </c>
      <c r="B342" s="2"/>
      <c r="C342" s="2"/>
      <c r="D342" s="2"/>
      <c r="E342" s="2"/>
      <c r="F342" s="2">
        <v>300</v>
      </c>
      <c r="G342" s="113">
        <f t="shared" si="12"/>
        <v>300</v>
      </c>
      <c r="I342" s="2">
        <f t="shared" si="13"/>
        <v>0</v>
      </c>
      <c r="J342" s="2">
        <f t="shared" si="14"/>
        <v>0</v>
      </c>
    </row>
    <row r="343" spans="1:10" x14ac:dyDescent="0.25">
      <c r="A343" s="99" t="s">
        <v>498</v>
      </c>
      <c r="B343" s="2"/>
      <c r="C343" s="2">
        <v>-430</v>
      </c>
      <c r="D343" s="2"/>
      <c r="E343" s="2"/>
      <c r="F343" s="2">
        <v>432</v>
      </c>
      <c r="G343" s="113">
        <f t="shared" si="12"/>
        <v>2</v>
      </c>
      <c r="I343" s="2">
        <f t="shared" si="13"/>
        <v>0</v>
      </c>
      <c r="J343" s="2">
        <f t="shared" si="14"/>
        <v>0</v>
      </c>
    </row>
    <row r="344" spans="1:10" x14ac:dyDescent="0.25">
      <c r="A344" s="99" t="s">
        <v>499</v>
      </c>
      <c r="B344" s="2"/>
      <c r="C344" s="2">
        <v>-290</v>
      </c>
      <c r="D344" s="2"/>
      <c r="E344" s="2"/>
      <c r="F344" s="2">
        <v>590</v>
      </c>
      <c r="G344" s="113">
        <f t="shared" si="12"/>
        <v>300</v>
      </c>
      <c r="I344" s="2">
        <f t="shared" si="13"/>
        <v>0</v>
      </c>
      <c r="J344" s="2">
        <f t="shared" si="14"/>
        <v>0</v>
      </c>
    </row>
    <row r="345" spans="1:10" x14ac:dyDescent="0.25">
      <c r="A345" s="99" t="s">
        <v>887</v>
      </c>
      <c r="B345" s="2"/>
      <c r="C345" s="2">
        <v>-630</v>
      </c>
      <c r="D345" s="2"/>
      <c r="E345" s="2"/>
      <c r="F345" s="2">
        <v>630</v>
      </c>
      <c r="G345" s="113">
        <f t="shared" si="12"/>
        <v>0</v>
      </c>
      <c r="I345" s="2">
        <f t="shared" si="13"/>
        <v>0</v>
      </c>
      <c r="J345" s="2">
        <f t="shared" si="14"/>
        <v>0</v>
      </c>
    </row>
    <row r="346" spans="1:10" x14ac:dyDescent="0.25">
      <c r="A346" s="99" t="s">
        <v>888</v>
      </c>
      <c r="B346" s="2"/>
      <c r="C346" s="2"/>
      <c r="D346" s="2"/>
      <c r="E346" s="2"/>
      <c r="F346" s="2">
        <v>224</v>
      </c>
      <c r="G346" s="113">
        <f t="shared" si="12"/>
        <v>224</v>
      </c>
      <c r="I346" s="2">
        <f t="shared" si="13"/>
        <v>0</v>
      </c>
      <c r="J346" s="2">
        <f t="shared" si="14"/>
        <v>0</v>
      </c>
    </row>
    <row r="347" spans="1:10" x14ac:dyDescent="0.25">
      <c r="A347" s="99" t="s">
        <v>889</v>
      </c>
      <c r="B347" s="2"/>
      <c r="C347" s="2"/>
      <c r="D347" s="2"/>
      <c r="E347" s="2"/>
      <c r="F347" s="2">
        <v>93.6</v>
      </c>
      <c r="G347" s="113">
        <f t="shared" si="12"/>
        <v>93.6</v>
      </c>
      <c r="I347" s="2">
        <f t="shared" si="13"/>
        <v>0</v>
      </c>
      <c r="J347" s="2">
        <f t="shared" si="14"/>
        <v>0</v>
      </c>
    </row>
    <row r="348" spans="1:10" x14ac:dyDescent="0.25">
      <c r="A348" s="99" t="s">
        <v>500</v>
      </c>
      <c r="B348" s="2"/>
      <c r="C348" s="2">
        <v>-345.6</v>
      </c>
      <c r="D348" s="2"/>
      <c r="E348" s="2"/>
      <c r="F348" s="2">
        <v>777.59999999999991</v>
      </c>
      <c r="G348" s="113">
        <f t="shared" si="12"/>
        <v>431.99999999999989</v>
      </c>
      <c r="I348" s="2">
        <f t="shared" si="13"/>
        <v>0</v>
      </c>
      <c r="J348" s="2">
        <f t="shared" si="14"/>
        <v>0</v>
      </c>
    </row>
    <row r="349" spans="1:10" x14ac:dyDescent="0.25">
      <c r="A349" s="99" t="s">
        <v>890</v>
      </c>
      <c r="B349" s="2"/>
      <c r="C349" s="2">
        <v>-432</v>
      </c>
      <c r="D349" s="2"/>
      <c r="E349" s="2"/>
      <c r="F349" s="2">
        <v>432</v>
      </c>
      <c r="G349" s="113">
        <f t="shared" si="12"/>
        <v>0</v>
      </c>
      <c r="I349" s="2">
        <f t="shared" si="13"/>
        <v>0</v>
      </c>
      <c r="J349" s="2">
        <f t="shared" si="14"/>
        <v>0</v>
      </c>
    </row>
    <row r="350" spans="1:10" x14ac:dyDescent="0.25">
      <c r="A350" s="99" t="s">
        <v>501</v>
      </c>
      <c r="B350" s="2"/>
      <c r="C350" s="2">
        <v>-465.6</v>
      </c>
      <c r="D350" s="2"/>
      <c r="E350" s="2"/>
      <c r="F350" s="2">
        <v>466.54</v>
      </c>
      <c r="G350" s="113">
        <f t="shared" si="12"/>
        <v>0.93999999999999773</v>
      </c>
      <c r="I350" s="2">
        <f t="shared" si="13"/>
        <v>0</v>
      </c>
      <c r="J350" s="2">
        <f t="shared" si="14"/>
        <v>0</v>
      </c>
    </row>
    <row r="351" spans="1:10" x14ac:dyDescent="0.25">
      <c r="A351" s="99" t="s">
        <v>891</v>
      </c>
      <c r="B351" s="2"/>
      <c r="C351" s="2">
        <v>-432</v>
      </c>
      <c r="D351" s="2"/>
      <c r="E351" s="2"/>
      <c r="F351" s="2">
        <v>432</v>
      </c>
      <c r="G351" s="113">
        <f t="shared" si="12"/>
        <v>0</v>
      </c>
      <c r="I351" s="2">
        <f t="shared" si="13"/>
        <v>0</v>
      </c>
      <c r="J351" s="2">
        <f t="shared" si="14"/>
        <v>0</v>
      </c>
    </row>
    <row r="352" spans="1:10" x14ac:dyDescent="0.25">
      <c r="A352" s="99" t="s">
        <v>502</v>
      </c>
      <c r="B352" s="2"/>
      <c r="C352" s="2">
        <v>-305</v>
      </c>
      <c r="D352" s="2"/>
      <c r="E352" s="2"/>
      <c r="F352" s="2">
        <v>305</v>
      </c>
      <c r="G352" s="113">
        <f t="shared" si="12"/>
        <v>0</v>
      </c>
      <c r="I352" s="2">
        <f t="shared" si="13"/>
        <v>0</v>
      </c>
      <c r="J352" s="2">
        <f t="shared" si="14"/>
        <v>0</v>
      </c>
    </row>
    <row r="353" spans="1:10" x14ac:dyDescent="0.25">
      <c r="A353" s="99" t="s">
        <v>892</v>
      </c>
      <c r="B353" s="2"/>
      <c r="C353" s="2">
        <v>-10.6</v>
      </c>
      <c r="D353" s="2"/>
      <c r="E353" s="2"/>
      <c r="F353" s="2">
        <v>10.6</v>
      </c>
      <c r="G353" s="113">
        <f t="shared" si="12"/>
        <v>0</v>
      </c>
      <c r="I353" s="2">
        <f t="shared" si="13"/>
        <v>0</v>
      </c>
      <c r="J353" s="2">
        <f t="shared" si="14"/>
        <v>0</v>
      </c>
    </row>
    <row r="354" spans="1:10" x14ac:dyDescent="0.25">
      <c r="A354" s="99" t="s">
        <v>503</v>
      </c>
      <c r="B354" s="2"/>
      <c r="C354" s="2">
        <v>-432</v>
      </c>
      <c r="D354" s="2"/>
      <c r="E354" s="2"/>
      <c r="F354" s="2">
        <v>432</v>
      </c>
      <c r="G354" s="113">
        <f t="shared" si="12"/>
        <v>0</v>
      </c>
      <c r="I354" s="2">
        <f t="shared" si="13"/>
        <v>0</v>
      </c>
      <c r="J354" s="2">
        <f t="shared" si="14"/>
        <v>0</v>
      </c>
    </row>
    <row r="355" spans="1:10" x14ac:dyDescent="0.25">
      <c r="A355" s="99" t="s">
        <v>504</v>
      </c>
      <c r="B355" s="2"/>
      <c r="C355" s="2">
        <v>-450</v>
      </c>
      <c r="D355" s="2"/>
      <c r="E355" s="2"/>
      <c r="F355" s="2">
        <v>450</v>
      </c>
      <c r="G355" s="113">
        <f t="shared" si="12"/>
        <v>0</v>
      </c>
      <c r="I355" s="2">
        <f t="shared" si="13"/>
        <v>0</v>
      </c>
      <c r="J355" s="2">
        <f t="shared" si="14"/>
        <v>0</v>
      </c>
    </row>
    <row r="356" spans="1:10" x14ac:dyDescent="0.25">
      <c r="A356" s="99" t="s">
        <v>893</v>
      </c>
      <c r="B356" s="2"/>
      <c r="C356" s="2"/>
      <c r="D356" s="2"/>
      <c r="E356" s="2"/>
      <c r="F356" s="2">
        <v>210</v>
      </c>
      <c r="G356" s="113">
        <f t="shared" si="12"/>
        <v>210</v>
      </c>
      <c r="I356" s="2">
        <f t="shared" si="13"/>
        <v>0</v>
      </c>
      <c r="J356" s="2">
        <f t="shared" si="14"/>
        <v>0</v>
      </c>
    </row>
    <row r="357" spans="1:10" x14ac:dyDescent="0.25">
      <c r="A357" s="99" t="s">
        <v>894</v>
      </c>
      <c r="B357" s="2"/>
      <c r="C357" s="2"/>
      <c r="D357" s="2"/>
      <c r="E357" s="2"/>
      <c r="F357" s="2">
        <v>300</v>
      </c>
      <c r="G357" s="113">
        <f t="shared" ref="G357:G420" si="15">SUM(B357:F357)</f>
        <v>300</v>
      </c>
      <c r="I357" s="2">
        <f t="shared" ref="I357:I420" si="16">IF(F357=0,C357+D357,0)</f>
        <v>0</v>
      </c>
      <c r="J357" s="2">
        <f t="shared" ref="J357:J420" si="17">IF(G357&lt;0,G357,0)</f>
        <v>0</v>
      </c>
    </row>
    <row r="358" spans="1:10" x14ac:dyDescent="0.25">
      <c r="A358" s="99" t="s">
        <v>895</v>
      </c>
      <c r="B358" s="2"/>
      <c r="C358" s="2">
        <v>-318</v>
      </c>
      <c r="D358" s="2"/>
      <c r="E358" s="2"/>
      <c r="F358" s="2">
        <v>318</v>
      </c>
      <c r="G358" s="113">
        <f t="shared" si="15"/>
        <v>0</v>
      </c>
      <c r="I358" s="2">
        <f t="shared" si="16"/>
        <v>0</v>
      </c>
      <c r="J358" s="2">
        <f t="shared" si="17"/>
        <v>0</v>
      </c>
    </row>
    <row r="359" spans="1:10" x14ac:dyDescent="0.25">
      <c r="A359" s="99" t="s">
        <v>896</v>
      </c>
      <c r="B359" s="2"/>
      <c r="C359" s="2"/>
      <c r="D359" s="2"/>
      <c r="E359" s="2"/>
      <c r="F359" s="2">
        <v>432</v>
      </c>
      <c r="G359" s="113">
        <f t="shared" si="15"/>
        <v>432</v>
      </c>
      <c r="I359" s="2">
        <f t="shared" si="16"/>
        <v>0</v>
      </c>
      <c r="J359" s="2">
        <f t="shared" si="17"/>
        <v>0</v>
      </c>
    </row>
    <row r="360" spans="1:10" x14ac:dyDescent="0.25">
      <c r="A360" s="99" t="s">
        <v>897</v>
      </c>
      <c r="B360" s="2"/>
      <c r="C360" s="2">
        <v>-432</v>
      </c>
      <c r="D360" s="2"/>
      <c r="E360" s="2"/>
      <c r="F360" s="2">
        <v>432</v>
      </c>
      <c r="G360" s="113">
        <f t="shared" si="15"/>
        <v>0</v>
      </c>
      <c r="I360" s="2">
        <f t="shared" si="16"/>
        <v>0</v>
      </c>
      <c r="J360" s="2">
        <f t="shared" si="17"/>
        <v>0</v>
      </c>
    </row>
    <row r="361" spans="1:10" x14ac:dyDescent="0.25">
      <c r="A361" s="99" t="s">
        <v>505</v>
      </c>
      <c r="B361" s="2"/>
      <c r="C361" s="2">
        <v>-173.99</v>
      </c>
      <c r="D361" s="2"/>
      <c r="E361" s="2"/>
      <c r="F361" s="2">
        <v>173.99</v>
      </c>
      <c r="G361" s="113">
        <f t="shared" si="15"/>
        <v>0</v>
      </c>
      <c r="I361" s="2">
        <f t="shared" si="16"/>
        <v>0</v>
      </c>
      <c r="J361" s="2">
        <f t="shared" si="17"/>
        <v>0</v>
      </c>
    </row>
    <row r="362" spans="1:10" x14ac:dyDescent="0.25">
      <c r="A362" s="99" t="s">
        <v>898</v>
      </c>
      <c r="B362" s="2"/>
      <c r="C362" s="2"/>
      <c r="D362" s="2"/>
      <c r="E362" s="2"/>
      <c r="F362" s="2">
        <v>-224</v>
      </c>
      <c r="G362" s="113">
        <f t="shared" si="15"/>
        <v>-224</v>
      </c>
      <c r="I362" s="2">
        <f t="shared" si="16"/>
        <v>0</v>
      </c>
      <c r="J362" s="2">
        <f t="shared" si="17"/>
        <v>-224</v>
      </c>
    </row>
    <row r="363" spans="1:10" x14ac:dyDescent="0.25">
      <c r="A363" s="99" t="s">
        <v>506</v>
      </c>
      <c r="B363" s="2"/>
      <c r="C363" s="2"/>
      <c r="D363" s="2"/>
      <c r="E363" s="2"/>
      <c r="F363" s="2">
        <v>0</v>
      </c>
      <c r="G363" s="113">
        <f t="shared" si="15"/>
        <v>0</v>
      </c>
      <c r="I363" s="2">
        <f t="shared" si="16"/>
        <v>0</v>
      </c>
      <c r="J363" s="2">
        <f t="shared" si="17"/>
        <v>0</v>
      </c>
    </row>
    <row r="364" spans="1:10" x14ac:dyDescent="0.25">
      <c r="A364" s="99" t="s">
        <v>507</v>
      </c>
      <c r="B364" s="2"/>
      <c r="C364" s="2">
        <v>-132</v>
      </c>
      <c r="D364" s="2"/>
      <c r="E364" s="2"/>
      <c r="F364" s="2">
        <v>132</v>
      </c>
      <c r="G364" s="113">
        <f t="shared" si="15"/>
        <v>0</v>
      </c>
      <c r="I364" s="2">
        <f t="shared" si="16"/>
        <v>0</v>
      </c>
      <c r="J364" s="2">
        <f t="shared" si="17"/>
        <v>0</v>
      </c>
    </row>
    <row r="365" spans="1:10" x14ac:dyDescent="0.25">
      <c r="A365" s="99" t="s">
        <v>508</v>
      </c>
      <c r="B365" s="2"/>
      <c r="C365" s="2">
        <v>-21.2</v>
      </c>
      <c r="D365" s="2"/>
      <c r="E365" s="2"/>
      <c r="F365" s="2">
        <v>471.20000000000005</v>
      </c>
      <c r="G365" s="113">
        <f t="shared" si="15"/>
        <v>450.00000000000006</v>
      </c>
      <c r="I365" s="2">
        <f t="shared" si="16"/>
        <v>0</v>
      </c>
      <c r="J365" s="2">
        <f t="shared" si="17"/>
        <v>0</v>
      </c>
    </row>
    <row r="366" spans="1:10" x14ac:dyDescent="0.25">
      <c r="A366" s="99" t="s">
        <v>509</v>
      </c>
      <c r="B366" s="2"/>
      <c r="C366" s="2">
        <v>-432</v>
      </c>
      <c r="D366" s="2"/>
      <c r="E366" s="2"/>
      <c r="F366" s="2">
        <v>432</v>
      </c>
      <c r="G366" s="113">
        <f t="shared" si="15"/>
        <v>0</v>
      </c>
      <c r="I366" s="2">
        <f t="shared" si="16"/>
        <v>0</v>
      </c>
      <c r="J366" s="2">
        <f t="shared" si="17"/>
        <v>0</v>
      </c>
    </row>
    <row r="367" spans="1:10" x14ac:dyDescent="0.25">
      <c r="A367" s="99" t="s">
        <v>899</v>
      </c>
      <c r="B367" s="2"/>
      <c r="C367" s="2">
        <v>-270</v>
      </c>
      <c r="D367" s="2"/>
      <c r="E367" s="2"/>
      <c r="F367" s="2">
        <v>270</v>
      </c>
      <c r="G367" s="113">
        <f t="shared" si="15"/>
        <v>0</v>
      </c>
      <c r="I367" s="2">
        <f t="shared" si="16"/>
        <v>0</v>
      </c>
      <c r="J367" s="2">
        <f t="shared" si="17"/>
        <v>0</v>
      </c>
    </row>
    <row r="368" spans="1:10" x14ac:dyDescent="0.25">
      <c r="A368" s="99" t="s">
        <v>900</v>
      </c>
      <c r="B368" s="2"/>
      <c r="C368" s="2">
        <v>-432</v>
      </c>
      <c r="D368" s="2"/>
      <c r="E368" s="2"/>
      <c r="F368" s="2">
        <v>432</v>
      </c>
      <c r="G368" s="113">
        <f t="shared" si="15"/>
        <v>0</v>
      </c>
      <c r="I368" s="2">
        <f t="shared" si="16"/>
        <v>0</v>
      </c>
      <c r="J368" s="2">
        <f t="shared" si="17"/>
        <v>0</v>
      </c>
    </row>
    <row r="369" spans="1:10" x14ac:dyDescent="0.25">
      <c r="A369" s="99" t="s">
        <v>511</v>
      </c>
      <c r="B369" s="2"/>
      <c r="C369" s="2"/>
      <c r="D369" s="2"/>
      <c r="E369" s="2"/>
      <c r="F369" s="2">
        <v>33</v>
      </c>
      <c r="G369" s="113">
        <f t="shared" si="15"/>
        <v>33</v>
      </c>
      <c r="I369" s="2">
        <f t="shared" si="16"/>
        <v>0</v>
      </c>
      <c r="J369" s="2">
        <f t="shared" si="17"/>
        <v>0</v>
      </c>
    </row>
    <row r="370" spans="1:10" x14ac:dyDescent="0.25">
      <c r="A370" s="99" t="s">
        <v>512</v>
      </c>
      <c r="B370" s="2"/>
      <c r="C370" s="2">
        <v>-432</v>
      </c>
      <c r="D370" s="2"/>
      <c r="E370" s="2"/>
      <c r="F370" s="2">
        <v>432</v>
      </c>
      <c r="G370" s="113">
        <f t="shared" si="15"/>
        <v>0</v>
      </c>
      <c r="I370" s="2">
        <f t="shared" si="16"/>
        <v>0</v>
      </c>
      <c r="J370" s="2">
        <f t="shared" si="17"/>
        <v>0</v>
      </c>
    </row>
    <row r="371" spans="1:10" x14ac:dyDescent="0.25">
      <c r="A371" s="99" t="s">
        <v>513</v>
      </c>
      <c r="B371" s="2"/>
      <c r="C371" s="2">
        <v>-432</v>
      </c>
      <c r="D371" s="2"/>
      <c r="E371" s="2"/>
      <c r="F371" s="2">
        <v>432</v>
      </c>
      <c r="G371" s="113">
        <f t="shared" si="15"/>
        <v>0</v>
      </c>
      <c r="I371" s="2">
        <f t="shared" si="16"/>
        <v>0</v>
      </c>
      <c r="J371" s="2">
        <f t="shared" si="17"/>
        <v>0</v>
      </c>
    </row>
    <row r="372" spans="1:10" x14ac:dyDescent="0.25">
      <c r="A372" s="99" t="s">
        <v>514</v>
      </c>
      <c r="B372" s="2"/>
      <c r="C372" s="2">
        <v>-8.27</v>
      </c>
      <c r="D372" s="2"/>
      <c r="E372" s="2"/>
      <c r="F372" s="2">
        <v>23.869999999999997</v>
      </c>
      <c r="G372" s="113">
        <f t="shared" si="15"/>
        <v>15.599999999999998</v>
      </c>
      <c r="I372" s="2">
        <f t="shared" si="16"/>
        <v>0</v>
      </c>
      <c r="J372" s="2">
        <f t="shared" si="17"/>
        <v>0</v>
      </c>
    </row>
    <row r="373" spans="1:10" x14ac:dyDescent="0.25">
      <c r="A373" s="99" t="s">
        <v>515</v>
      </c>
      <c r="B373" s="2"/>
      <c r="C373" s="2"/>
      <c r="D373" s="2"/>
      <c r="E373" s="2"/>
      <c r="F373" s="2">
        <v>232</v>
      </c>
      <c r="G373" s="113">
        <f t="shared" si="15"/>
        <v>232</v>
      </c>
      <c r="I373" s="2">
        <f t="shared" si="16"/>
        <v>0</v>
      </c>
      <c r="J373" s="2">
        <f t="shared" si="17"/>
        <v>0</v>
      </c>
    </row>
    <row r="374" spans="1:10" x14ac:dyDescent="0.25">
      <c r="A374" s="99" t="s">
        <v>901</v>
      </c>
      <c r="B374" s="2"/>
      <c r="C374" s="2">
        <v>-432</v>
      </c>
      <c r="D374" s="2"/>
      <c r="E374" s="2"/>
      <c r="F374" s="2">
        <v>432</v>
      </c>
      <c r="G374" s="113">
        <f t="shared" si="15"/>
        <v>0</v>
      </c>
      <c r="I374" s="2">
        <f t="shared" si="16"/>
        <v>0</v>
      </c>
      <c r="J374" s="2">
        <f t="shared" si="17"/>
        <v>0</v>
      </c>
    </row>
    <row r="375" spans="1:10" x14ac:dyDescent="0.25">
      <c r="A375" s="99" t="s">
        <v>902</v>
      </c>
      <c r="B375" s="2"/>
      <c r="C375" s="2">
        <v>-113.48</v>
      </c>
      <c r="D375" s="2"/>
      <c r="E375" s="2"/>
      <c r="F375" s="2">
        <v>113.48</v>
      </c>
      <c r="G375" s="113">
        <f t="shared" si="15"/>
        <v>0</v>
      </c>
      <c r="I375" s="2">
        <f t="shared" si="16"/>
        <v>0</v>
      </c>
      <c r="J375" s="2">
        <f t="shared" si="17"/>
        <v>0</v>
      </c>
    </row>
    <row r="376" spans="1:10" x14ac:dyDescent="0.25">
      <c r="A376" s="99" t="s">
        <v>903</v>
      </c>
      <c r="B376" s="2"/>
      <c r="C376" s="2">
        <v>-400.68</v>
      </c>
      <c r="D376" s="2"/>
      <c r="E376" s="2"/>
      <c r="F376" s="2">
        <v>400.68</v>
      </c>
      <c r="G376" s="113">
        <f t="shared" si="15"/>
        <v>0</v>
      </c>
      <c r="I376" s="2">
        <f t="shared" si="16"/>
        <v>0</v>
      </c>
      <c r="J376" s="2">
        <f t="shared" si="17"/>
        <v>0</v>
      </c>
    </row>
    <row r="377" spans="1:10" x14ac:dyDescent="0.25">
      <c r="A377" s="99" t="s">
        <v>904</v>
      </c>
      <c r="B377" s="2"/>
      <c r="C377" s="2">
        <v>-432</v>
      </c>
      <c r="D377" s="2"/>
      <c r="E377" s="2"/>
      <c r="F377" s="2">
        <v>432</v>
      </c>
      <c r="G377" s="113">
        <f t="shared" si="15"/>
        <v>0</v>
      </c>
      <c r="I377" s="2">
        <f t="shared" si="16"/>
        <v>0</v>
      </c>
      <c r="J377" s="2">
        <f t="shared" si="17"/>
        <v>0</v>
      </c>
    </row>
    <row r="378" spans="1:10" x14ac:dyDescent="0.25">
      <c r="A378" s="99" t="s">
        <v>905</v>
      </c>
      <c r="B378" s="2"/>
      <c r="C378" s="2">
        <v>-16.57</v>
      </c>
      <c r="D378" s="2"/>
      <c r="E378" s="2"/>
      <c r="F378" s="2">
        <v>16.54</v>
      </c>
      <c r="G378" s="113">
        <f t="shared" si="15"/>
        <v>-3.0000000000001137E-2</v>
      </c>
      <c r="I378" s="2">
        <f t="shared" si="16"/>
        <v>0</v>
      </c>
      <c r="J378" s="2">
        <f t="shared" si="17"/>
        <v>-3.0000000000001137E-2</v>
      </c>
    </row>
    <row r="379" spans="1:10" x14ac:dyDescent="0.25">
      <c r="A379" s="99" t="s">
        <v>516</v>
      </c>
      <c r="B379" s="2"/>
      <c r="C379" s="2">
        <v>-450</v>
      </c>
      <c r="D379" s="2"/>
      <c r="E379" s="2"/>
      <c r="F379" s="2">
        <v>450</v>
      </c>
      <c r="G379" s="113">
        <f t="shared" si="15"/>
        <v>0</v>
      </c>
      <c r="I379" s="2">
        <f t="shared" si="16"/>
        <v>0</v>
      </c>
      <c r="J379" s="2">
        <f t="shared" si="17"/>
        <v>0</v>
      </c>
    </row>
    <row r="380" spans="1:10" x14ac:dyDescent="0.25">
      <c r="A380" s="99" t="s">
        <v>517</v>
      </c>
      <c r="B380" s="2"/>
      <c r="C380" s="2">
        <v>-73</v>
      </c>
      <c r="D380" s="2"/>
      <c r="E380" s="2"/>
      <c r="F380" s="2">
        <v>73</v>
      </c>
      <c r="G380" s="113">
        <f t="shared" si="15"/>
        <v>0</v>
      </c>
      <c r="I380" s="2">
        <f t="shared" si="16"/>
        <v>0</v>
      </c>
      <c r="J380" s="2">
        <f t="shared" si="17"/>
        <v>0</v>
      </c>
    </row>
    <row r="381" spans="1:10" x14ac:dyDescent="0.25">
      <c r="A381" s="99" t="s">
        <v>906</v>
      </c>
      <c r="B381" s="2"/>
      <c r="C381" s="2"/>
      <c r="D381" s="2"/>
      <c r="E381" s="2"/>
      <c r="F381" s="2">
        <v>290</v>
      </c>
      <c r="G381" s="113">
        <f t="shared" si="15"/>
        <v>290</v>
      </c>
      <c r="I381" s="2">
        <f t="shared" si="16"/>
        <v>0</v>
      </c>
      <c r="J381" s="2">
        <f t="shared" si="17"/>
        <v>0</v>
      </c>
    </row>
    <row r="382" spans="1:10" x14ac:dyDescent="0.25">
      <c r="A382" s="99" t="s">
        <v>519</v>
      </c>
      <c r="B382" s="2"/>
      <c r="C382" s="2">
        <v>-432</v>
      </c>
      <c r="D382" s="2"/>
      <c r="E382" s="2"/>
      <c r="F382" s="2">
        <v>432</v>
      </c>
      <c r="G382" s="113">
        <f t="shared" si="15"/>
        <v>0</v>
      </c>
      <c r="I382" s="2">
        <f t="shared" si="16"/>
        <v>0</v>
      </c>
      <c r="J382" s="2">
        <f t="shared" si="17"/>
        <v>0</v>
      </c>
    </row>
    <row r="383" spans="1:10" x14ac:dyDescent="0.25">
      <c r="A383" s="99" t="s">
        <v>520</v>
      </c>
      <c r="B383" s="2"/>
      <c r="C383" s="2">
        <v>-590</v>
      </c>
      <c r="D383" s="2"/>
      <c r="E383" s="2"/>
      <c r="F383" s="2">
        <v>590</v>
      </c>
      <c r="G383" s="113">
        <f t="shared" si="15"/>
        <v>0</v>
      </c>
      <c r="I383" s="2">
        <f t="shared" si="16"/>
        <v>0</v>
      </c>
      <c r="J383" s="2">
        <f t="shared" si="17"/>
        <v>0</v>
      </c>
    </row>
    <row r="384" spans="1:10" x14ac:dyDescent="0.25">
      <c r="A384" s="99" t="s">
        <v>521</v>
      </c>
      <c r="B384" s="2"/>
      <c r="C384" s="2">
        <v>-432</v>
      </c>
      <c r="D384" s="2"/>
      <c r="E384" s="2"/>
      <c r="F384" s="2">
        <v>432</v>
      </c>
      <c r="G384" s="113">
        <f t="shared" si="15"/>
        <v>0</v>
      </c>
      <c r="I384" s="2">
        <f t="shared" si="16"/>
        <v>0</v>
      </c>
      <c r="J384" s="2">
        <f t="shared" si="17"/>
        <v>0</v>
      </c>
    </row>
    <row r="385" spans="1:10" x14ac:dyDescent="0.25">
      <c r="A385" s="99" t="s">
        <v>522</v>
      </c>
      <c r="B385" s="2"/>
      <c r="C385" s="2">
        <v>-43.4</v>
      </c>
      <c r="D385" s="2"/>
      <c r="E385" s="2"/>
      <c r="F385" s="2">
        <v>43.5</v>
      </c>
      <c r="G385" s="113">
        <f t="shared" si="15"/>
        <v>0.10000000000000142</v>
      </c>
      <c r="I385" s="2">
        <f t="shared" si="16"/>
        <v>0</v>
      </c>
      <c r="J385" s="2">
        <f t="shared" si="17"/>
        <v>0</v>
      </c>
    </row>
    <row r="386" spans="1:10" x14ac:dyDescent="0.25">
      <c r="A386" s="99" t="s">
        <v>907</v>
      </c>
      <c r="B386" s="2"/>
      <c r="C386" s="2">
        <v>-450</v>
      </c>
      <c r="D386" s="2"/>
      <c r="E386" s="2"/>
      <c r="F386" s="2">
        <v>450</v>
      </c>
      <c r="G386" s="113">
        <f t="shared" si="15"/>
        <v>0</v>
      </c>
      <c r="I386" s="2">
        <f t="shared" si="16"/>
        <v>0</v>
      </c>
      <c r="J386" s="2">
        <f t="shared" si="17"/>
        <v>0</v>
      </c>
    </row>
    <row r="387" spans="1:10" x14ac:dyDescent="0.25">
      <c r="A387" s="99" t="s">
        <v>908</v>
      </c>
      <c r="B387" s="2"/>
      <c r="C387" s="2">
        <v>-300</v>
      </c>
      <c r="D387" s="2"/>
      <c r="E387" s="2"/>
      <c r="F387" s="2">
        <v>864</v>
      </c>
      <c r="G387" s="113">
        <f t="shared" si="15"/>
        <v>564</v>
      </c>
      <c r="I387" s="2">
        <f t="shared" si="16"/>
        <v>0</v>
      </c>
      <c r="J387" s="2">
        <f t="shared" si="17"/>
        <v>0</v>
      </c>
    </row>
    <row r="388" spans="1:10" x14ac:dyDescent="0.25">
      <c r="A388" s="99" t="s">
        <v>523</v>
      </c>
      <c r="B388" s="2"/>
      <c r="C388" s="2">
        <v>-87</v>
      </c>
      <c r="D388" s="2"/>
      <c r="E388" s="2"/>
      <c r="F388" s="2">
        <v>87</v>
      </c>
      <c r="G388" s="113">
        <f t="shared" si="15"/>
        <v>0</v>
      </c>
      <c r="I388" s="2">
        <f t="shared" si="16"/>
        <v>0</v>
      </c>
      <c r="J388" s="2">
        <f t="shared" si="17"/>
        <v>0</v>
      </c>
    </row>
    <row r="389" spans="1:10" x14ac:dyDescent="0.25">
      <c r="A389" s="99" t="s">
        <v>909</v>
      </c>
      <c r="B389" s="2"/>
      <c r="C389" s="2">
        <v>-450</v>
      </c>
      <c r="D389" s="2"/>
      <c r="E389" s="2"/>
      <c r="F389" s="2">
        <v>450</v>
      </c>
      <c r="G389" s="113">
        <f t="shared" si="15"/>
        <v>0</v>
      </c>
      <c r="I389" s="2">
        <f t="shared" si="16"/>
        <v>0</v>
      </c>
      <c r="J389" s="2">
        <f t="shared" si="17"/>
        <v>0</v>
      </c>
    </row>
    <row r="390" spans="1:10" x14ac:dyDescent="0.25">
      <c r="A390" s="99" t="s">
        <v>910</v>
      </c>
      <c r="B390" s="2"/>
      <c r="C390" s="2"/>
      <c r="D390" s="2"/>
      <c r="E390" s="2"/>
      <c r="F390" s="2">
        <v>224</v>
      </c>
      <c r="G390" s="113">
        <f t="shared" si="15"/>
        <v>224</v>
      </c>
      <c r="I390" s="2">
        <f t="shared" si="16"/>
        <v>0</v>
      </c>
      <c r="J390" s="2">
        <f t="shared" si="17"/>
        <v>0</v>
      </c>
    </row>
    <row r="391" spans="1:10" x14ac:dyDescent="0.25">
      <c r="A391" s="99" t="s">
        <v>524</v>
      </c>
      <c r="B391" s="2"/>
      <c r="C391" s="2">
        <v>-432</v>
      </c>
      <c r="D391" s="2"/>
      <c r="E391" s="2">
        <v>53.72</v>
      </c>
      <c r="F391" s="2">
        <v>378.28</v>
      </c>
      <c r="G391" s="113">
        <f t="shared" si="15"/>
        <v>0</v>
      </c>
      <c r="I391" s="2">
        <f t="shared" si="16"/>
        <v>0</v>
      </c>
      <c r="J391" s="2">
        <f t="shared" si="17"/>
        <v>0</v>
      </c>
    </row>
    <row r="392" spans="1:10" x14ac:dyDescent="0.25">
      <c r="A392" s="99" t="s">
        <v>525</v>
      </c>
      <c r="B392" s="2"/>
      <c r="C392" s="2">
        <v>-55.7</v>
      </c>
      <c r="D392" s="2"/>
      <c r="E392" s="2"/>
      <c r="F392" s="2">
        <v>55.7</v>
      </c>
      <c r="G392" s="113">
        <f t="shared" si="15"/>
        <v>0</v>
      </c>
      <c r="I392" s="2">
        <f t="shared" si="16"/>
        <v>0</v>
      </c>
      <c r="J392" s="2">
        <f t="shared" si="17"/>
        <v>0</v>
      </c>
    </row>
    <row r="393" spans="1:10" x14ac:dyDescent="0.25">
      <c r="A393" s="99" t="s">
        <v>526</v>
      </c>
      <c r="B393" s="2"/>
      <c r="C393" s="2"/>
      <c r="D393" s="2"/>
      <c r="E393" s="2"/>
      <c r="F393" s="2">
        <v>549</v>
      </c>
      <c r="G393" s="113">
        <f t="shared" si="15"/>
        <v>549</v>
      </c>
      <c r="I393" s="2">
        <f t="shared" si="16"/>
        <v>0</v>
      </c>
      <c r="J393" s="2">
        <f t="shared" si="17"/>
        <v>0</v>
      </c>
    </row>
    <row r="394" spans="1:10" x14ac:dyDescent="0.25">
      <c r="A394" s="99" t="s">
        <v>527</v>
      </c>
      <c r="B394" s="2"/>
      <c r="C394" s="2">
        <v>-450</v>
      </c>
      <c r="D394" s="2"/>
      <c r="E394" s="2"/>
      <c r="F394" s="2">
        <v>450</v>
      </c>
      <c r="G394" s="113">
        <f t="shared" si="15"/>
        <v>0</v>
      </c>
      <c r="I394" s="2">
        <f t="shared" si="16"/>
        <v>0</v>
      </c>
      <c r="J394" s="2">
        <f t="shared" si="17"/>
        <v>0</v>
      </c>
    </row>
    <row r="395" spans="1:10" x14ac:dyDescent="0.25">
      <c r="A395" s="99" t="s">
        <v>911</v>
      </c>
      <c r="B395" s="2"/>
      <c r="C395" s="2">
        <v>-430</v>
      </c>
      <c r="D395" s="2"/>
      <c r="E395" s="2"/>
      <c r="F395" s="2">
        <v>432</v>
      </c>
      <c r="G395" s="113">
        <f t="shared" si="15"/>
        <v>2</v>
      </c>
      <c r="I395" s="2">
        <f t="shared" si="16"/>
        <v>0</v>
      </c>
      <c r="J395" s="2">
        <f t="shared" si="17"/>
        <v>0</v>
      </c>
    </row>
    <row r="396" spans="1:10" x14ac:dyDescent="0.25">
      <c r="A396" s="99" t="s">
        <v>912</v>
      </c>
      <c r="B396" s="2"/>
      <c r="C396" s="2">
        <v>-432</v>
      </c>
      <c r="D396" s="2"/>
      <c r="E396" s="2"/>
      <c r="F396" s="2">
        <v>432</v>
      </c>
      <c r="G396" s="113">
        <f t="shared" si="15"/>
        <v>0</v>
      </c>
      <c r="I396" s="2">
        <f t="shared" si="16"/>
        <v>0</v>
      </c>
      <c r="J396" s="2">
        <f t="shared" si="17"/>
        <v>0</v>
      </c>
    </row>
    <row r="397" spans="1:10" x14ac:dyDescent="0.25">
      <c r="A397" s="99" t="s">
        <v>913</v>
      </c>
      <c r="B397" s="2"/>
      <c r="C397" s="2">
        <v>-483.78</v>
      </c>
      <c r="D397" s="2"/>
      <c r="E397" s="2"/>
      <c r="F397" s="2">
        <v>483.78</v>
      </c>
      <c r="G397" s="113">
        <f t="shared" si="15"/>
        <v>0</v>
      </c>
      <c r="I397" s="2">
        <f t="shared" si="16"/>
        <v>0</v>
      </c>
      <c r="J397" s="2">
        <f t="shared" si="17"/>
        <v>0</v>
      </c>
    </row>
    <row r="398" spans="1:10" x14ac:dyDescent="0.25">
      <c r="A398" s="99" t="s">
        <v>914</v>
      </c>
      <c r="B398" s="2"/>
      <c r="C398" s="2"/>
      <c r="D398" s="2"/>
      <c r="E398" s="2"/>
      <c r="F398" s="2">
        <v>432</v>
      </c>
      <c r="G398" s="113">
        <f t="shared" si="15"/>
        <v>432</v>
      </c>
      <c r="I398" s="2">
        <f t="shared" si="16"/>
        <v>0</v>
      </c>
      <c r="J398" s="2">
        <f t="shared" si="17"/>
        <v>0</v>
      </c>
    </row>
    <row r="399" spans="1:10" x14ac:dyDescent="0.25">
      <c r="A399" s="99" t="s">
        <v>528</v>
      </c>
      <c r="B399" s="2"/>
      <c r="C399" s="2">
        <v>-53</v>
      </c>
      <c r="D399" s="2"/>
      <c r="E399" s="2"/>
      <c r="F399" s="2">
        <v>53</v>
      </c>
      <c r="G399" s="113">
        <f t="shared" si="15"/>
        <v>0</v>
      </c>
      <c r="I399" s="2">
        <f t="shared" si="16"/>
        <v>0</v>
      </c>
      <c r="J399" s="2">
        <f t="shared" si="17"/>
        <v>0</v>
      </c>
    </row>
    <row r="400" spans="1:10" x14ac:dyDescent="0.25">
      <c r="A400" s="99" t="s">
        <v>529</v>
      </c>
      <c r="B400" s="2"/>
      <c r="C400" s="2">
        <v>-432</v>
      </c>
      <c r="D400" s="2"/>
      <c r="E400" s="2"/>
      <c r="F400" s="2">
        <v>864</v>
      </c>
      <c r="G400" s="113">
        <f t="shared" si="15"/>
        <v>432</v>
      </c>
      <c r="I400" s="2">
        <f t="shared" si="16"/>
        <v>0</v>
      </c>
      <c r="J400" s="2">
        <f t="shared" si="17"/>
        <v>0</v>
      </c>
    </row>
    <row r="401" spans="1:10" x14ac:dyDescent="0.25">
      <c r="A401" s="99" t="s">
        <v>915</v>
      </c>
      <c r="B401" s="2"/>
      <c r="C401" s="2"/>
      <c r="D401" s="2"/>
      <c r="E401" s="2"/>
      <c r="F401" s="2">
        <v>219</v>
      </c>
      <c r="G401" s="113">
        <f t="shared" si="15"/>
        <v>219</v>
      </c>
      <c r="I401" s="2">
        <f t="shared" si="16"/>
        <v>0</v>
      </c>
      <c r="J401" s="2">
        <f t="shared" si="17"/>
        <v>0</v>
      </c>
    </row>
    <row r="402" spans="1:10" x14ac:dyDescent="0.25">
      <c r="A402" s="99" t="s">
        <v>530</v>
      </c>
      <c r="B402" s="2"/>
      <c r="C402" s="2">
        <v>-450</v>
      </c>
      <c r="D402" s="2"/>
      <c r="E402" s="2"/>
      <c r="F402" s="2">
        <v>577.5</v>
      </c>
      <c r="G402" s="113">
        <f t="shared" si="15"/>
        <v>127.5</v>
      </c>
      <c r="I402" s="2">
        <f t="shared" si="16"/>
        <v>0</v>
      </c>
      <c r="J402" s="2">
        <f t="shared" si="17"/>
        <v>0</v>
      </c>
    </row>
    <row r="403" spans="1:10" x14ac:dyDescent="0.25">
      <c r="A403" s="99" t="s">
        <v>531</v>
      </c>
      <c r="B403" s="2"/>
      <c r="C403" s="2">
        <v>-73</v>
      </c>
      <c r="D403" s="2"/>
      <c r="E403" s="2"/>
      <c r="F403" s="2">
        <v>73</v>
      </c>
      <c r="G403" s="113">
        <f t="shared" si="15"/>
        <v>0</v>
      </c>
      <c r="I403" s="2">
        <f t="shared" si="16"/>
        <v>0</v>
      </c>
      <c r="J403" s="2">
        <f t="shared" si="17"/>
        <v>0</v>
      </c>
    </row>
    <row r="404" spans="1:10" x14ac:dyDescent="0.25">
      <c r="A404" s="99" t="s">
        <v>916</v>
      </c>
      <c r="B404" s="2"/>
      <c r="C404" s="2">
        <v>-450</v>
      </c>
      <c r="D404" s="2"/>
      <c r="E404" s="2"/>
      <c r="F404" s="2">
        <v>450</v>
      </c>
      <c r="G404" s="113">
        <f t="shared" si="15"/>
        <v>0</v>
      </c>
      <c r="I404" s="2">
        <f t="shared" si="16"/>
        <v>0</v>
      </c>
      <c r="J404" s="2">
        <f t="shared" si="17"/>
        <v>0</v>
      </c>
    </row>
    <row r="405" spans="1:10" x14ac:dyDescent="0.25">
      <c r="A405" s="99" t="s">
        <v>532</v>
      </c>
      <c r="B405" s="2"/>
      <c r="C405" s="2">
        <v>-58</v>
      </c>
      <c r="D405" s="2"/>
      <c r="E405" s="2"/>
      <c r="F405" s="2">
        <v>58</v>
      </c>
      <c r="G405" s="113">
        <f t="shared" si="15"/>
        <v>0</v>
      </c>
      <c r="I405" s="2">
        <f t="shared" si="16"/>
        <v>0</v>
      </c>
      <c r="J405" s="2">
        <f t="shared" si="17"/>
        <v>0</v>
      </c>
    </row>
    <row r="406" spans="1:10" x14ac:dyDescent="0.25">
      <c r="A406" s="99" t="s">
        <v>917</v>
      </c>
      <c r="B406" s="2"/>
      <c r="C406" s="2">
        <v>-43.5</v>
      </c>
      <c r="D406" s="2"/>
      <c r="E406" s="2"/>
      <c r="F406" s="2"/>
      <c r="G406" s="113">
        <f t="shared" si="15"/>
        <v>-43.5</v>
      </c>
      <c r="I406" s="2">
        <f t="shared" si="16"/>
        <v>-43.5</v>
      </c>
      <c r="J406" s="2">
        <f t="shared" si="17"/>
        <v>-43.5</v>
      </c>
    </row>
    <row r="407" spans="1:10" x14ac:dyDescent="0.25">
      <c r="A407" s="99" t="s">
        <v>533</v>
      </c>
      <c r="B407" s="2"/>
      <c r="C407" s="2">
        <v>-328.6</v>
      </c>
      <c r="D407" s="2"/>
      <c r="E407" s="2"/>
      <c r="F407" s="2">
        <v>328.6</v>
      </c>
      <c r="G407" s="113">
        <f t="shared" si="15"/>
        <v>0</v>
      </c>
      <c r="I407" s="2">
        <f t="shared" si="16"/>
        <v>0</v>
      </c>
      <c r="J407" s="2">
        <f t="shared" si="17"/>
        <v>0</v>
      </c>
    </row>
    <row r="408" spans="1:10" x14ac:dyDescent="0.25">
      <c r="A408" s="99" t="s">
        <v>918</v>
      </c>
      <c r="B408" s="2"/>
      <c r="C408" s="2"/>
      <c r="D408" s="2"/>
      <c r="E408" s="2"/>
      <c r="F408" s="2">
        <v>432</v>
      </c>
      <c r="G408" s="113">
        <f t="shared" si="15"/>
        <v>432</v>
      </c>
      <c r="I408" s="2">
        <f t="shared" si="16"/>
        <v>0</v>
      </c>
      <c r="J408" s="2">
        <f t="shared" si="17"/>
        <v>0</v>
      </c>
    </row>
    <row r="409" spans="1:10" x14ac:dyDescent="0.25">
      <c r="A409" s="99" t="s">
        <v>534</v>
      </c>
      <c r="B409" s="2"/>
      <c r="C409" s="2"/>
      <c r="D409" s="2"/>
      <c r="E409" s="2"/>
      <c r="F409" s="2">
        <v>290</v>
      </c>
      <c r="G409" s="113">
        <f t="shared" si="15"/>
        <v>290</v>
      </c>
      <c r="I409" s="2">
        <f t="shared" si="16"/>
        <v>0</v>
      </c>
      <c r="J409" s="2">
        <f t="shared" si="17"/>
        <v>0</v>
      </c>
    </row>
    <row r="410" spans="1:10" x14ac:dyDescent="0.25">
      <c r="A410" s="99" t="s">
        <v>919</v>
      </c>
      <c r="B410" s="2"/>
      <c r="C410" s="2">
        <v>-290</v>
      </c>
      <c r="D410" s="2"/>
      <c r="E410" s="2"/>
      <c r="F410" s="2">
        <v>290</v>
      </c>
      <c r="G410" s="113">
        <f t="shared" si="15"/>
        <v>0</v>
      </c>
      <c r="I410" s="2">
        <f t="shared" si="16"/>
        <v>0</v>
      </c>
      <c r="J410" s="2">
        <f t="shared" si="17"/>
        <v>0</v>
      </c>
    </row>
    <row r="411" spans="1:10" x14ac:dyDescent="0.25">
      <c r="A411" s="99" t="s">
        <v>535</v>
      </c>
      <c r="B411" s="2"/>
      <c r="C411" s="2">
        <v>-432</v>
      </c>
      <c r="D411" s="2"/>
      <c r="E411" s="2"/>
      <c r="F411" s="2">
        <v>864</v>
      </c>
      <c r="G411" s="113">
        <f t="shared" si="15"/>
        <v>432</v>
      </c>
      <c r="I411" s="2">
        <f t="shared" si="16"/>
        <v>0</v>
      </c>
      <c r="J411" s="2">
        <f t="shared" si="17"/>
        <v>0</v>
      </c>
    </row>
    <row r="412" spans="1:10" x14ac:dyDescent="0.25">
      <c r="A412" s="99" t="s">
        <v>536</v>
      </c>
      <c r="B412" s="2"/>
      <c r="C412" s="2"/>
      <c r="D412" s="2"/>
      <c r="E412" s="2"/>
      <c r="F412" s="2">
        <v>234</v>
      </c>
      <c r="G412" s="113">
        <f t="shared" si="15"/>
        <v>234</v>
      </c>
      <c r="I412" s="2">
        <f t="shared" si="16"/>
        <v>0</v>
      </c>
      <c r="J412" s="2">
        <f t="shared" si="17"/>
        <v>0</v>
      </c>
    </row>
    <row r="413" spans="1:10" x14ac:dyDescent="0.25">
      <c r="A413" s="99" t="s">
        <v>920</v>
      </c>
      <c r="B413" s="2"/>
      <c r="C413" s="2">
        <v>-270</v>
      </c>
      <c r="D413" s="2"/>
      <c r="E413" s="2"/>
      <c r="F413" s="2">
        <v>270</v>
      </c>
      <c r="G413" s="113">
        <f t="shared" si="15"/>
        <v>0</v>
      </c>
      <c r="I413" s="2">
        <f t="shared" si="16"/>
        <v>0</v>
      </c>
      <c r="J413" s="2">
        <f t="shared" si="17"/>
        <v>0</v>
      </c>
    </row>
    <row r="414" spans="1:10" x14ac:dyDescent="0.25">
      <c r="A414" s="99" t="s">
        <v>537</v>
      </c>
      <c r="B414" s="2"/>
      <c r="C414" s="2">
        <v>-372.68</v>
      </c>
      <c r="D414" s="2"/>
      <c r="E414" s="2"/>
      <c r="F414" s="2">
        <v>416.36</v>
      </c>
      <c r="G414" s="113">
        <f t="shared" si="15"/>
        <v>43.680000000000007</v>
      </c>
      <c r="I414" s="2">
        <f t="shared" si="16"/>
        <v>0</v>
      </c>
      <c r="J414" s="2">
        <f t="shared" si="17"/>
        <v>0</v>
      </c>
    </row>
    <row r="415" spans="1:10" x14ac:dyDescent="0.25">
      <c r="A415" s="99" t="s">
        <v>538</v>
      </c>
      <c r="B415" s="2"/>
      <c r="C415" s="2">
        <v>-30</v>
      </c>
      <c r="D415" s="2"/>
      <c r="E415" s="2"/>
      <c r="F415" s="2">
        <v>300</v>
      </c>
      <c r="G415" s="113">
        <f t="shared" si="15"/>
        <v>270</v>
      </c>
      <c r="I415" s="2">
        <f t="shared" si="16"/>
        <v>0</v>
      </c>
      <c r="J415" s="2">
        <f t="shared" si="17"/>
        <v>0</v>
      </c>
    </row>
    <row r="416" spans="1:10" x14ac:dyDescent="0.25">
      <c r="A416" s="99" t="s">
        <v>539</v>
      </c>
      <c r="B416" s="2"/>
      <c r="C416" s="2">
        <v>-432</v>
      </c>
      <c r="D416" s="2"/>
      <c r="E416" s="2"/>
      <c r="F416" s="2">
        <v>432</v>
      </c>
      <c r="G416" s="113">
        <f t="shared" si="15"/>
        <v>0</v>
      </c>
      <c r="I416" s="2">
        <f t="shared" si="16"/>
        <v>0</v>
      </c>
      <c r="J416" s="2">
        <f t="shared" si="17"/>
        <v>0</v>
      </c>
    </row>
    <row r="417" spans="1:10" x14ac:dyDescent="0.25">
      <c r="A417" s="99" t="s">
        <v>540</v>
      </c>
      <c r="B417" s="2"/>
      <c r="C417" s="2">
        <v>-145</v>
      </c>
      <c r="D417" s="2"/>
      <c r="E417" s="2"/>
      <c r="F417" s="2">
        <v>145</v>
      </c>
      <c r="G417" s="113">
        <f t="shared" si="15"/>
        <v>0</v>
      </c>
      <c r="I417" s="2">
        <f t="shared" si="16"/>
        <v>0</v>
      </c>
      <c r="J417" s="2">
        <f t="shared" si="17"/>
        <v>0</v>
      </c>
    </row>
    <row r="418" spans="1:10" x14ac:dyDescent="0.25">
      <c r="A418" s="99" t="s">
        <v>541</v>
      </c>
      <c r="B418" s="2"/>
      <c r="C418" s="2">
        <v>-29</v>
      </c>
      <c r="D418" s="2"/>
      <c r="E418" s="2"/>
      <c r="F418" s="2">
        <v>29</v>
      </c>
      <c r="G418" s="113">
        <f t="shared" si="15"/>
        <v>0</v>
      </c>
      <c r="I418" s="2">
        <f t="shared" si="16"/>
        <v>0</v>
      </c>
      <c r="J418" s="2">
        <f t="shared" si="17"/>
        <v>0</v>
      </c>
    </row>
    <row r="419" spans="1:10" x14ac:dyDescent="0.25">
      <c r="A419" s="99" t="s">
        <v>921</v>
      </c>
      <c r="B419" s="2"/>
      <c r="C419" s="2">
        <v>-100</v>
      </c>
      <c r="D419" s="2"/>
      <c r="E419" s="2"/>
      <c r="F419" s="2">
        <v>432</v>
      </c>
      <c r="G419" s="113">
        <f t="shared" si="15"/>
        <v>332</v>
      </c>
      <c r="I419" s="2">
        <f t="shared" si="16"/>
        <v>0</v>
      </c>
      <c r="J419" s="2">
        <f t="shared" si="17"/>
        <v>0</v>
      </c>
    </row>
    <row r="420" spans="1:10" x14ac:dyDescent="0.25">
      <c r="A420" s="99" t="s">
        <v>542</v>
      </c>
      <c r="B420" s="2"/>
      <c r="C420" s="2"/>
      <c r="D420" s="2"/>
      <c r="E420" s="2"/>
      <c r="F420" s="2">
        <v>464</v>
      </c>
      <c r="G420" s="113">
        <f t="shared" si="15"/>
        <v>464</v>
      </c>
      <c r="I420" s="2">
        <f t="shared" si="16"/>
        <v>0</v>
      </c>
      <c r="J420" s="2">
        <f t="shared" si="17"/>
        <v>0</v>
      </c>
    </row>
    <row r="421" spans="1:10" x14ac:dyDescent="0.25">
      <c r="A421" s="99" t="s">
        <v>543</v>
      </c>
      <c r="B421" s="2"/>
      <c r="C421" s="2">
        <v>-432</v>
      </c>
      <c r="D421" s="2"/>
      <c r="E421" s="2"/>
      <c r="F421" s="2">
        <v>432</v>
      </c>
      <c r="G421" s="113">
        <f t="shared" ref="G421:G484" si="18">SUM(B421:F421)</f>
        <v>0</v>
      </c>
      <c r="I421" s="2">
        <f t="shared" ref="I421:I484" si="19">IF(F421=0,C421+D421,0)</f>
        <v>0</v>
      </c>
      <c r="J421" s="2">
        <f t="shared" ref="J421:J484" si="20">IF(G421&lt;0,G421,0)</f>
        <v>0</v>
      </c>
    </row>
    <row r="422" spans="1:10" x14ac:dyDescent="0.25">
      <c r="A422" s="99" t="s">
        <v>544</v>
      </c>
      <c r="B422" s="2"/>
      <c r="C422" s="2">
        <v>-432</v>
      </c>
      <c r="D422" s="2"/>
      <c r="E422" s="2"/>
      <c r="F422" s="2">
        <v>432</v>
      </c>
      <c r="G422" s="113">
        <f t="shared" si="18"/>
        <v>0</v>
      </c>
      <c r="I422" s="2">
        <f t="shared" si="19"/>
        <v>0</v>
      </c>
      <c r="J422" s="2">
        <f t="shared" si="20"/>
        <v>0</v>
      </c>
    </row>
    <row r="423" spans="1:10" x14ac:dyDescent="0.25">
      <c r="A423" s="99" t="s">
        <v>922</v>
      </c>
      <c r="B423" s="2"/>
      <c r="C423" s="2"/>
      <c r="D423" s="2"/>
      <c r="E423" s="2"/>
      <c r="F423" s="2">
        <v>244</v>
      </c>
      <c r="G423" s="113">
        <f t="shared" si="18"/>
        <v>244</v>
      </c>
      <c r="I423" s="2">
        <f t="shared" si="19"/>
        <v>0</v>
      </c>
      <c r="J423" s="2">
        <f t="shared" si="20"/>
        <v>0</v>
      </c>
    </row>
    <row r="424" spans="1:10" x14ac:dyDescent="0.25">
      <c r="A424" s="99" t="s">
        <v>545</v>
      </c>
      <c r="B424" s="2"/>
      <c r="C424" s="2">
        <v>-432</v>
      </c>
      <c r="D424" s="2"/>
      <c r="E424" s="2"/>
      <c r="F424" s="2">
        <v>432</v>
      </c>
      <c r="G424" s="113">
        <f t="shared" si="18"/>
        <v>0</v>
      </c>
      <c r="I424" s="2">
        <f t="shared" si="19"/>
        <v>0</v>
      </c>
      <c r="J424" s="2">
        <f t="shared" si="20"/>
        <v>0</v>
      </c>
    </row>
    <row r="425" spans="1:10" x14ac:dyDescent="0.25">
      <c r="A425" s="99" t="s">
        <v>546</v>
      </c>
      <c r="B425" s="2"/>
      <c r="C425" s="2">
        <v>-432</v>
      </c>
      <c r="D425" s="2"/>
      <c r="E425" s="2"/>
      <c r="F425" s="2">
        <v>432</v>
      </c>
      <c r="G425" s="113">
        <f t="shared" si="18"/>
        <v>0</v>
      </c>
      <c r="I425" s="2">
        <f t="shared" si="19"/>
        <v>0</v>
      </c>
      <c r="J425" s="2">
        <f t="shared" si="20"/>
        <v>0</v>
      </c>
    </row>
    <row r="426" spans="1:10" x14ac:dyDescent="0.25">
      <c r="A426" s="99" t="s">
        <v>547</v>
      </c>
      <c r="B426" s="2"/>
      <c r="C426" s="2">
        <v>-450</v>
      </c>
      <c r="D426" s="2"/>
      <c r="E426" s="2"/>
      <c r="F426" s="2">
        <v>450</v>
      </c>
      <c r="G426" s="113">
        <f t="shared" si="18"/>
        <v>0</v>
      </c>
      <c r="I426" s="2">
        <f t="shared" si="19"/>
        <v>0</v>
      </c>
      <c r="J426" s="2">
        <f t="shared" si="20"/>
        <v>0</v>
      </c>
    </row>
    <row r="427" spans="1:10" x14ac:dyDescent="0.25">
      <c r="A427" s="99" t="s">
        <v>548</v>
      </c>
      <c r="B427" s="2"/>
      <c r="C427" s="2">
        <v>-432</v>
      </c>
      <c r="D427" s="2"/>
      <c r="E427" s="2"/>
      <c r="F427" s="2">
        <v>432</v>
      </c>
      <c r="G427" s="113">
        <f t="shared" si="18"/>
        <v>0</v>
      </c>
      <c r="I427" s="2">
        <f t="shared" si="19"/>
        <v>0</v>
      </c>
      <c r="J427" s="2">
        <f t="shared" si="20"/>
        <v>0</v>
      </c>
    </row>
    <row r="428" spans="1:10" x14ac:dyDescent="0.25">
      <c r="A428" s="99" t="s">
        <v>549</v>
      </c>
      <c r="B428" s="2"/>
      <c r="C428" s="2">
        <v>-43.5</v>
      </c>
      <c r="D428" s="2"/>
      <c r="E428" s="2"/>
      <c r="F428" s="2">
        <v>43.5</v>
      </c>
      <c r="G428" s="113">
        <f t="shared" si="18"/>
        <v>0</v>
      </c>
      <c r="I428" s="2">
        <f t="shared" si="19"/>
        <v>0</v>
      </c>
      <c r="J428" s="2">
        <f t="shared" si="20"/>
        <v>0</v>
      </c>
    </row>
    <row r="429" spans="1:10" x14ac:dyDescent="0.25">
      <c r="A429" s="99" t="s">
        <v>923</v>
      </c>
      <c r="B429" s="2"/>
      <c r="C429" s="2"/>
      <c r="D429" s="2"/>
      <c r="E429" s="2"/>
      <c r="F429" s="2">
        <v>194</v>
      </c>
      <c r="G429" s="113">
        <f t="shared" si="18"/>
        <v>194</v>
      </c>
      <c r="I429" s="2">
        <f t="shared" si="19"/>
        <v>0</v>
      </c>
      <c r="J429" s="2">
        <f t="shared" si="20"/>
        <v>0</v>
      </c>
    </row>
    <row r="430" spans="1:10" x14ac:dyDescent="0.25">
      <c r="A430" s="99" t="s">
        <v>550</v>
      </c>
      <c r="B430" s="2"/>
      <c r="C430" s="2">
        <v>-49.62</v>
      </c>
      <c r="D430" s="2"/>
      <c r="E430" s="2"/>
      <c r="F430" s="2">
        <v>49.62</v>
      </c>
      <c r="G430" s="113">
        <f t="shared" si="18"/>
        <v>0</v>
      </c>
      <c r="I430" s="2">
        <f t="shared" si="19"/>
        <v>0</v>
      </c>
      <c r="J430" s="2">
        <f t="shared" si="20"/>
        <v>0</v>
      </c>
    </row>
    <row r="431" spans="1:10" x14ac:dyDescent="0.25">
      <c r="A431" s="99" t="s">
        <v>924</v>
      </c>
      <c r="B431" s="2"/>
      <c r="C431" s="2">
        <v>-100</v>
      </c>
      <c r="D431" s="2"/>
      <c r="E431" s="2"/>
      <c r="F431" s="2">
        <v>864</v>
      </c>
      <c r="G431" s="113">
        <f t="shared" si="18"/>
        <v>764</v>
      </c>
      <c r="I431" s="2">
        <f t="shared" si="19"/>
        <v>0</v>
      </c>
      <c r="J431" s="2">
        <f t="shared" si="20"/>
        <v>0</v>
      </c>
    </row>
    <row r="432" spans="1:10" x14ac:dyDescent="0.25">
      <c r="A432" s="99" t="s">
        <v>551</v>
      </c>
      <c r="B432" s="2"/>
      <c r="C432" s="2">
        <v>-58</v>
      </c>
      <c r="D432" s="2"/>
      <c r="E432" s="2"/>
      <c r="F432" s="2">
        <v>58</v>
      </c>
      <c r="G432" s="113">
        <f t="shared" si="18"/>
        <v>0</v>
      </c>
      <c r="I432" s="2">
        <f t="shared" si="19"/>
        <v>0</v>
      </c>
      <c r="J432" s="2">
        <f t="shared" si="20"/>
        <v>0</v>
      </c>
    </row>
    <row r="433" spans="1:10" x14ac:dyDescent="0.25">
      <c r="A433" s="99" t="s">
        <v>925</v>
      </c>
      <c r="B433" s="2"/>
      <c r="C433" s="2">
        <v>-510</v>
      </c>
      <c r="D433" s="2"/>
      <c r="E433" s="2"/>
      <c r="F433" s="2">
        <v>510</v>
      </c>
      <c r="G433" s="113">
        <f t="shared" si="18"/>
        <v>0</v>
      </c>
      <c r="I433" s="2">
        <f t="shared" si="19"/>
        <v>0</v>
      </c>
      <c r="J433" s="2">
        <f t="shared" si="20"/>
        <v>0</v>
      </c>
    </row>
    <row r="434" spans="1:10" x14ac:dyDescent="0.25">
      <c r="A434" s="99" t="s">
        <v>552</v>
      </c>
      <c r="B434" s="2"/>
      <c r="C434" s="2">
        <v>-432</v>
      </c>
      <c r="D434" s="2"/>
      <c r="E434" s="2"/>
      <c r="F434" s="2">
        <v>432</v>
      </c>
      <c r="G434" s="113">
        <f t="shared" si="18"/>
        <v>0</v>
      </c>
      <c r="I434" s="2">
        <f t="shared" si="19"/>
        <v>0</v>
      </c>
      <c r="J434" s="2">
        <f t="shared" si="20"/>
        <v>0</v>
      </c>
    </row>
    <row r="435" spans="1:10" x14ac:dyDescent="0.25">
      <c r="A435" s="99" t="s">
        <v>926</v>
      </c>
      <c r="B435" s="2"/>
      <c r="C435" s="2">
        <v>-29</v>
      </c>
      <c r="D435" s="2"/>
      <c r="E435" s="2"/>
      <c r="F435" s="2">
        <v>29</v>
      </c>
      <c r="G435" s="113">
        <f t="shared" si="18"/>
        <v>0</v>
      </c>
      <c r="I435" s="2">
        <f t="shared" si="19"/>
        <v>0</v>
      </c>
      <c r="J435" s="2">
        <f t="shared" si="20"/>
        <v>0</v>
      </c>
    </row>
    <row r="436" spans="1:10" x14ac:dyDescent="0.25">
      <c r="A436" s="99" t="s">
        <v>553</v>
      </c>
      <c r="B436" s="2"/>
      <c r="C436" s="2">
        <v>-432</v>
      </c>
      <c r="D436" s="2"/>
      <c r="E436" s="2"/>
      <c r="F436" s="2">
        <v>432</v>
      </c>
      <c r="G436" s="113">
        <f t="shared" si="18"/>
        <v>0</v>
      </c>
      <c r="I436" s="2">
        <f t="shared" si="19"/>
        <v>0</v>
      </c>
      <c r="J436" s="2">
        <f t="shared" si="20"/>
        <v>0</v>
      </c>
    </row>
    <row r="437" spans="1:10" x14ac:dyDescent="0.25">
      <c r="A437" s="99" t="s">
        <v>927</v>
      </c>
      <c r="B437" s="2"/>
      <c r="C437" s="2"/>
      <c r="D437" s="2"/>
      <c r="E437" s="2"/>
      <c r="F437" s="2">
        <v>432</v>
      </c>
      <c r="G437" s="113">
        <f t="shared" si="18"/>
        <v>432</v>
      </c>
      <c r="I437" s="2">
        <f t="shared" si="19"/>
        <v>0</v>
      </c>
      <c r="J437" s="2">
        <f t="shared" si="20"/>
        <v>0</v>
      </c>
    </row>
    <row r="438" spans="1:10" x14ac:dyDescent="0.25">
      <c r="A438" s="99" t="s">
        <v>554</v>
      </c>
      <c r="B438" s="2"/>
      <c r="C438" s="2">
        <v>-432</v>
      </c>
      <c r="D438" s="2"/>
      <c r="E438" s="2"/>
      <c r="F438" s="2">
        <v>432</v>
      </c>
      <c r="G438" s="113">
        <f t="shared" si="18"/>
        <v>0</v>
      </c>
      <c r="I438" s="2">
        <f t="shared" si="19"/>
        <v>0</v>
      </c>
      <c r="J438" s="2">
        <f t="shared" si="20"/>
        <v>0</v>
      </c>
    </row>
    <row r="439" spans="1:10" x14ac:dyDescent="0.25">
      <c r="A439" s="99" t="s">
        <v>555</v>
      </c>
      <c r="B439" s="2"/>
      <c r="C439" s="2">
        <v>0</v>
      </c>
      <c r="D439" s="2"/>
      <c r="E439" s="2"/>
      <c r="F439" s="2">
        <v>245</v>
      </c>
      <c r="G439" s="113">
        <f t="shared" si="18"/>
        <v>245</v>
      </c>
      <c r="I439" s="2">
        <f t="shared" si="19"/>
        <v>0</v>
      </c>
      <c r="J439" s="2">
        <f t="shared" si="20"/>
        <v>0</v>
      </c>
    </row>
    <row r="440" spans="1:10" x14ac:dyDescent="0.25">
      <c r="A440" s="99" t="s">
        <v>556</v>
      </c>
      <c r="B440" s="2"/>
      <c r="C440" s="2">
        <v>-432</v>
      </c>
      <c r="D440" s="2"/>
      <c r="E440" s="2">
        <v>432</v>
      </c>
      <c r="F440" s="2">
        <v>0</v>
      </c>
      <c r="G440" s="113">
        <f t="shared" si="18"/>
        <v>0</v>
      </c>
      <c r="I440" s="2">
        <f t="shared" si="19"/>
        <v>-432</v>
      </c>
      <c r="J440" s="2">
        <f t="shared" si="20"/>
        <v>0</v>
      </c>
    </row>
    <row r="441" spans="1:10" x14ac:dyDescent="0.25">
      <c r="A441" s="99" t="s">
        <v>557</v>
      </c>
      <c r="B441" s="2"/>
      <c r="C441" s="2">
        <v>-24.81</v>
      </c>
      <c r="D441" s="2"/>
      <c r="E441" s="2"/>
      <c r="F441" s="2">
        <v>24.81</v>
      </c>
      <c r="G441" s="113">
        <f t="shared" si="18"/>
        <v>0</v>
      </c>
      <c r="I441" s="2">
        <f t="shared" si="19"/>
        <v>0</v>
      </c>
      <c r="J441" s="2">
        <f t="shared" si="20"/>
        <v>0</v>
      </c>
    </row>
    <row r="442" spans="1:10" x14ac:dyDescent="0.25">
      <c r="A442" s="99" t="s">
        <v>928</v>
      </c>
      <c r="B442" s="2"/>
      <c r="C442" s="2"/>
      <c r="D442" s="2"/>
      <c r="E442" s="2"/>
      <c r="F442" s="2">
        <v>290</v>
      </c>
      <c r="G442" s="113">
        <f t="shared" si="18"/>
        <v>290</v>
      </c>
      <c r="I442" s="2">
        <f t="shared" si="19"/>
        <v>0</v>
      </c>
      <c r="J442" s="2">
        <f t="shared" si="20"/>
        <v>0</v>
      </c>
    </row>
    <row r="443" spans="1:10" x14ac:dyDescent="0.25">
      <c r="A443" s="99" t="s">
        <v>929</v>
      </c>
      <c r="B443" s="2"/>
      <c r="C443" s="2">
        <v>-82.68</v>
      </c>
      <c r="D443" s="2"/>
      <c r="E443" s="2"/>
      <c r="F443" s="2">
        <v>82.68</v>
      </c>
      <c r="G443" s="113">
        <f t="shared" si="18"/>
        <v>0</v>
      </c>
      <c r="I443" s="2">
        <f t="shared" si="19"/>
        <v>0</v>
      </c>
      <c r="J443" s="2">
        <f t="shared" si="20"/>
        <v>0</v>
      </c>
    </row>
    <row r="444" spans="1:10" x14ac:dyDescent="0.25">
      <c r="A444" s="99" t="s">
        <v>558</v>
      </c>
      <c r="B444" s="2"/>
      <c r="C444" s="2">
        <v>-432</v>
      </c>
      <c r="D444" s="2"/>
      <c r="E444" s="2"/>
      <c r="F444" s="2">
        <v>432</v>
      </c>
      <c r="G444" s="113">
        <f t="shared" si="18"/>
        <v>0</v>
      </c>
      <c r="I444" s="2">
        <f t="shared" si="19"/>
        <v>0</v>
      </c>
      <c r="J444" s="2">
        <f t="shared" si="20"/>
        <v>0</v>
      </c>
    </row>
    <row r="445" spans="1:10" x14ac:dyDescent="0.25">
      <c r="A445" s="99" t="s">
        <v>559</v>
      </c>
      <c r="B445" s="2"/>
      <c r="C445" s="2">
        <v>-10.6</v>
      </c>
      <c r="D445" s="2"/>
      <c r="E445" s="2"/>
      <c r="F445" s="2">
        <v>10.6</v>
      </c>
      <c r="G445" s="113">
        <f t="shared" si="18"/>
        <v>0</v>
      </c>
      <c r="I445" s="2">
        <f t="shared" si="19"/>
        <v>0</v>
      </c>
      <c r="J445" s="2">
        <f t="shared" si="20"/>
        <v>0</v>
      </c>
    </row>
    <row r="446" spans="1:10" x14ac:dyDescent="0.25">
      <c r="A446" s="99" t="s">
        <v>930</v>
      </c>
      <c r="B446" s="2"/>
      <c r="C446" s="2">
        <v>-290</v>
      </c>
      <c r="D446" s="2"/>
      <c r="E446" s="2">
        <v>232</v>
      </c>
      <c r="F446" s="2">
        <v>58</v>
      </c>
      <c r="G446" s="113">
        <f t="shared" si="18"/>
        <v>0</v>
      </c>
      <c r="I446" s="2">
        <f t="shared" si="19"/>
        <v>0</v>
      </c>
      <c r="J446" s="2">
        <f t="shared" si="20"/>
        <v>0</v>
      </c>
    </row>
    <row r="447" spans="1:10" x14ac:dyDescent="0.25">
      <c r="A447" s="99" t="s">
        <v>560</v>
      </c>
      <c r="B447" s="2"/>
      <c r="C447" s="2">
        <v>-432</v>
      </c>
      <c r="D447" s="2"/>
      <c r="E447" s="2"/>
      <c r="F447" s="2">
        <v>432</v>
      </c>
      <c r="G447" s="113">
        <f t="shared" si="18"/>
        <v>0</v>
      </c>
      <c r="I447" s="2">
        <f t="shared" si="19"/>
        <v>0</v>
      </c>
      <c r="J447" s="2">
        <f t="shared" si="20"/>
        <v>0</v>
      </c>
    </row>
    <row r="448" spans="1:10" x14ac:dyDescent="0.25">
      <c r="A448" s="99" t="s">
        <v>562</v>
      </c>
      <c r="B448" s="2"/>
      <c r="C448" s="2">
        <v>-432</v>
      </c>
      <c r="D448" s="2"/>
      <c r="E448" s="2"/>
      <c r="F448" s="2">
        <v>432</v>
      </c>
      <c r="G448" s="113">
        <f t="shared" si="18"/>
        <v>0</v>
      </c>
      <c r="I448" s="2">
        <f t="shared" si="19"/>
        <v>0</v>
      </c>
      <c r="J448" s="2">
        <f t="shared" si="20"/>
        <v>0</v>
      </c>
    </row>
    <row r="449" spans="1:10" x14ac:dyDescent="0.25">
      <c r="A449" s="99" t="s">
        <v>563</v>
      </c>
      <c r="B449" s="2"/>
      <c r="C449" s="2">
        <v>-132</v>
      </c>
      <c r="D449" s="2"/>
      <c r="E449" s="2"/>
      <c r="F449" s="2">
        <v>132</v>
      </c>
      <c r="G449" s="113">
        <f t="shared" si="18"/>
        <v>0</v>
      </c>
      <c r="I449" s="2">
        <f t="shared" si="19"/>
        <v>0</v>
      </c>
      <c r="J449" s="2">
        <f t="shared" si="20"/>
        <v>0</v>
      </c>
    </row>
    <row r="450" spans="1:10" x14ac:dyDescent="0.25">
      <c r="A450" s="99" t="s">
        <v>931</v>
      </c>
      <c r="B450" s="2"/>
      <c r="C450" s="2">
        <v>-270</v>
      </c>
      <c r="D450" s="2"/>
      <c r="E450" s="2"/>
      <c r="F450" s="2">
        <v>270</v>
      </c>
      <c r="G450" s="113">
        <f t="shared" si="18"/>
        <v>0</v>
      </c>
      <c r="I450" s="2">
        <f t="shared" si="19"/>
        <v>0</v>
      </c>
      <c r="J450" s="2">
        <f t="shared" si="20"/>
        <v>0</v>
      </c>
    </row>
    <row r="451" spans="1:10" x14ac:dyDescent="0.25">
      <c r="A451" s="99" t="s">
        <v>565</v>
      </c>
      <c r="B451" s="2"/>
      <c r="C451" s="2">
        <v>-58</v>
      </c>
      <c r="D451" s="2"/>
      <c r="E451" s="2"/>
      <c r="F451" s="2">
        <v>58</v>
      </c>
      <c r="G451" s="113">
        <f t="shared" si="18"/>
        <v>0</v>
      </c>
      <c r="I451" s="2">
        <f t="shared" si="19"/>
        <v>0</v>
      </c>
      <c r="J451" s="2">
        <f t="shared" si="20"/>
        <v>0</v>
      </c>
    </row>
    <row r="452" spans="1:10" x14ac:dyDescent="0.25">
      <c r="A452" s="99" t="s">
        <v>932</v>
      </c>
      <c r="B452" s="2"/>
      <c r="C452" s="2">
        <v>-165.36</v>
      </c>
      <c r="D452" s="2"/>
      <c r="E452" s="2"/>
      <c r="F452" s="2">
        <v>165.36</v>
      </c>
      <c r="G452" s="113">
        <f t="shared" si="18"/>
        <v>0</v>
      </c>
      <c r="I452" s="2">
        <f t="shared" si="19"/>
        <v>0</v>
      </c>
      <c r="J452" s="2">
        <f t="shared" si="20"/>
        <v>0</v>
      </c>
    </row>
    <row r="453" spans="1:10" x14ac:dyDescent="0.25">
      <c r="A453" s="99" t="s">
        <v>566</v>
      </c>
      <c r="B453" s="2"/>
      <c r="C453" s="2"/>
      <c r="D453" s="2"/>
      <c r="E453" s="2"/>
      <c r="F453" s="2">
        <v>0</v>
      </c>
      <c r="G453" s="113">
        <f t="shared" si="18"/>
        <v>0</v>
      </c>
      <c r="I453" s="2">
        <f t="shared" si="19"/>
        <v>0</v>
      </c>
      <c r="J453" s="2">
        <f t="shared" si="20"/>
        <v>0</v>
      </c>
    </row>
    <row r="454" spans="1:10" x14ac:dyDescent="0.25">
      <c r="A454" s="99" t="s">
        <v>567</v>
      </c>
      <c r="B454" s="2"/>
      <c r="C454" s="2">
        <v>-97.5</v>
      </c>
      <c r="D454" s="2"/>
      <c r="E454" s="2"/>
      <c r="F454" s="2">
        <v>97.5</v>
      </c>
      <c r="G454" s="113">
        <f t="shared" si="18"/>
        <v>0</v>
      </c>
      <c r="I454" s="2">
        <f t="shared" si="19"/>
        <v>0</v>
      </c>
      <c r="J454" s="2">
        <f t="shared" si="20"/>
        <v>0</v>
      </c>
    </row>
    <row r="455" spans="1:10" x14ac:dyDescent="0.25">
      <c r="A455" s="99" t="s">
        <v>568</v>
      </c>
      <c r="B455" s="2"/>
      <c r="C455" s="2">
        <v>-56.6</v>
      </c>
      <c r="D455" s="2"/>
      <c r="E455" s="2"/>
      <c r="F455" s="2">
        <v>56.6</v>
      </c>
      <c r="G455" s="113">
        <f t="shared" si="18"/>
        <v>0</v>
      </c>
      <c r="I455" s="2">
        <f t="shared" si="19"/>
        <v>0</v>
      </c>
      <c r="J455" s="2">
        <f t="shared" si="20"/>
        <v>0</v>
      </c>
    </row>
    <row r="456" spans="1:10" x14ac:dyDescent="0.25">
      <c r="A456" s="99" t="s">
        <v>569</v>
      </c>
      <c r="B456" s="2"/>
      <c r="C456" s="2">
        <v>-290</v>
      </c>
      <c r="D456" s="2"/>
      <c r="E456" s="2"/>
      <c r="F456" s="2">
        <v>290</v>
      </c>
      <c r="G456" s="113">
        <f t="shared" si="18"/>
        <v>0</v>
      </c>
      <c r="I456" s="2">
        <f t="shared" si="19"/>
        <v>0</v>
      </c>
      <c r="J456" s="2">
        <f t="shared" si="20"/>
        <v>0</v>
      </c>
    </row>
    <row r="457" spans="1:10" x14ac:dyDescent="0.25">
      <c r="A457" s="99" t="s">
        <v>570</v>
      </c>
      <c r="B457" s="2"/>
      <c r="C457" s="2">
        <v>-450</v>
      </c>
      <c r="D457" s="2"/>
      <c r="E457" s="2"/>
      <c r="F457" s="2">
        <v>450</v>
      </c>
      <c r="G457" s="113">
        <f t="shared" si="18"/>
        <v>0</v>
      </c>
      <c r="I457" s="2">
        <f t="shared" si="19"/>
        <v>0</v>
      </c>
      <c r="J457" s="2">
        <f t="shared" si="20"/>
        <v>0</v>
      </c>
    </row>
    <row r="458" spans="1:10" x14ac:dyDescent="0.25">
      <c r="A458" s="99" t="s">
        <v>933</v>
      </c>
      <c r="B458" s="2"/>
      <c r="C458" s="2">
        <v>-290</v>
      </c>
      <c r="D458" s="2"/>
      <c r="E458" s="2"/>
      <c r="F458" s="2">
        <v>290</v>
      </c>
      <c r="G458" s="113">
        <f t="shared" si="18"/>
        <v>0</v>
      </c>
      <c r="I458" s="2">
        <f t="shared" si="19"/>
        <v>0</v>
      </c>
      <c r="J458" s="2">
        <f t="shared" si="20"/>
        <v>0</v>
      </c>
    </row>
    <row r="459" spans="1:10" x14ac:dyDescent="0.25">
      <c r="A459" s="99" t="s">
        <v>571</v>
      </c>
      <c r="B459" s="2"/>
      <c r="C459" s="2">
        <v>-146.28</v>
      </c>
      <c r="D459" s="2"/>
      <c r="E459" s="2"/>
      <c r="F459" s="2">
        <v>146.28</v>
      </c>
      <c r="G459" s="113">
        <f t="shared" si="18"/>
        <v>0</v>
      </c>
      <c r="I459" s="2">
        <f t="shared" si="19"/>
        <v>0</v>
      </c>
      <c r="J459" s="2">
        <f t="shared" si="20"/>
        <v>0</v>
      </c>
    </row>
    <row r="460" spans="1:10" x14ac:dyDescent="0.25">
      <c r="A460" s="99" t="s">
        <v>572</v>
      </c>
      <c r="B460" s="2"/>
      <c r="C460" s="2"/>
      <c r="D460" s="2"/>
      <c r="E460" s="2"/>
      <c r="F460" s="2">
        <v>0</v>
      </c>
      <c r="G460" s="113">
        <f t="shared" si="18"/>
        <v>0</v>
      </c>
      <c r="I460" s="2">
        <f t="shared" si="19"/>
        <v>0</v>
      </c>
      <c r="J460" s="2">
        <f t="shared" si="20"/>
        <v>0</v>
      </c>
    </row>
    <row r="461" spans="1:10" x14ac:dyDescent="0.25">
      <c r="A461" s="99" t="s">
        <v>934</v>
      </c>
      <c r="B461" s="2"/>
      <c r="C461" s="2"/>
      <c r="D461" s="2"/>
      <c r="E461" s="2"/>
      <c r="F461" s="2">
        <v>132</v>
      </c>
      <c r="G461" s="113">
        <f t="shared" si="18"/>
        <v>132</v>
      </c>
      <c r="I461" s="2">
        <f t="shared" si="19"/>
        <v>0</v>
      </c>
      <c r="J461" s="2">
        <f t="shared" si="20"/>
        <v>0</v>
      </c>
    </row>
    <row r="462" spans="1:10" x14ac:dyDescent="0.25">
      <c r="A462" s="99" t="s">
        <v>935</v>
      </c>
      <c r="B462" s="2"/>
      <c r="C462" s="2"/>
      <c r="D462" s="2"/>
      <c r="E462" s="2"/>
      <c r="F462" s="2">
        <v>150</v>
      </c>
      <c r="G462" s="113">
        <f t="shared" si="18"/>
        <v>150</v>
      </c>
      <c r="I462" s="2">
        <f t="shared" si="19"/>
        <v>0</v>
      </c>
      <c r="J462" s="2">
        <f t="shared" si="20"/>
        <v>0</v>
      </c>
    </row>
    <row r="463" spans="1:10" x14ac:dyDescent="0.25">
      <c r="A463" s="99" t="s">
        <v>573</v>
      </c>
      <c r="B463" s="2"/>
      <c r="C463" s="2">
        <v>-716</v>
      </c>
      <c r="D463" s="2"/>
      <c r="E463" s="2"/>
      <c r="F463" s="2">
        <v>1151</v>
      </c>
      <c r="G463" s="113">
        <f t="shared" si="18"/>
        <v>435</v>
      </c>
      <c r="I463" s="2">
        <f t="shared" si="19"/>
        <v>0</v>
      </c>
      <c r="J463" s="2">
        <f t="shared" si="20"/>
        <v>0</v>
      </c>
    </row>
    <row r="464" spans="1:10" x14ac:dyDescent="0.25">
      <c r="A464" s="99" t="s">
        <v>574</v>
      </c>
      <c r="B464" s="2"/>
      <c r="C464" s="2">
        <v>-146.28</v>
      </c>
      <c r="D464" s="2"/>
      <c r="E464" s="2"/>
      <c r="F464" s="2">
        <v>146.28</v>
      </c>
      <c r="G464" s="113">
        <f t="shared" si="18"/>
        <v>0</v>
      </c>
      <c r="I464" s="2">
        <f t="shared" si="19"/>
        <v>0</v>
      </c>
      <c r="J464" s="2">
        <f t="shared" si="20"/>
        <v>0</v>
      </c>
    </row>
    <row r="465" spans="1:10" x14ac:dyDescent="0.25">
      <c r="A465" s="99" t="s">
        <v>936</v>
      </c>
      <c r="B465" s="2"/>
      <c r="C465" s="2"/>
      <c r="D465" s="2"/>
      <c r="E465" s="2"/>
      <c r="F465" s="2">
        <v>450</v>
      </c>
      <c r="G465" s="113">
        <f t="shared" si="18"/>
        <v>450</v>
      </c>
      <c r="I465" s="2">
        <f t="shared" si="19"/>
        <v>0</v>
      </c>
      <c r="J465" s="2">
        <f t="shared" si="20"/>
        <v>0</v>
      </c>
    </row>
    <row r="466" spans="1:10" x14ac:dyDescent="0.25">
      <c r="A466" s="99" t="s">
        <v>575</v>
      </c>
      <c r="B466" s="2"/>
      <c r="C466" s="2">
        <v>-432</v>
      </c>
      <c r="D466" s="2"/>
      <c r="E466" s="2"/>
      <c r="F466" s="2">
        <v>432</v>
      </c>
      <c r="G466" s="113">
        <f t="shared" si="18"/>
        <v>0</v>
      </c>
      <c r="I466" s="2">
        <f t="shared" si="19"/>
        <v>0</v>
      </c>
      <c r="J466" s="2">
        <f t="shared" si="20"/>
        <v>0</v>
      </c>
    </row>
    <row r="467" spans="1:10" x14ac:dyDescent="0.25">
      <c r="A467" s="99" t="s">
        <v>937</v>
      </c>
      <c r="B467" s="2"/>
      <c r="C467" s="2">
        <v>-933.3599999999999</v>
      </c>
      <c r="D467" s="2"/>
      <c r="E467" s="2"/>
      <c r="F467" s="2">
        <v>933.36</v>
      </c>
      <c r="G467" s="113">
        <f t="shared" si="18"/>
        <v>0</v>
      </c>
      <c r="I467" s="2">
        <f t="shared" si="19"/>
        <v>0</v>
      </c>
      <c r="J467" s="2">
        <f t="shared" si="20"/>
        <v>0</v>
      </c>
    </row>
    <row r="468" spans="1:10" x14ac:dyDescent="0.25">
      <c r="A468" s="99" t="s">
        <v>576</v>
      </c>
      <c r="B468" s="2"/>
      <c r="C468" s="2">
        <v>-300</v>
      </c>
      <c r="D468" s="2"/>
      <c r="E468" s="2"/>
      <c r="F468" s="2">
        <v>300</v>
      </c>
      <c r="G468" s="113">
        <f t="shared" si="18"/>
        <v>0</v>
      </c>
      <c r="I468" s="2">
        <f t="shared" si="19"/>
        <v>0</v>
      </c>
      <c r="J468" s="2">
        <f t="shared" si="20"/>
        <v>0</v>
      </c>
    </row>
    <row r="469" spans="1:10" x14ac:dyDescent="0.25">
      <c r="A469" s="99" t="s">
        <v>938</v>
      </c>
      <c r="B469" s="2"/>
      <c r="C469" s="2">
        <v>-432</v>
      </c>
      <c r="D469" s="2"/>
      <c r="E469" s="2"/>
      <c r="F469" s="2">
        <v>432</v>
      </c>
      <c r="G469" s="113">
        <f t="shared" si="18"/>
        <v>0</v>
      </c>
      <c r="I469" s="2">
        <f t="shared" si="19"/>
        <v>0</v>
      </c>
      <c r="J469" s="2">
        <f t="shared" si="20"/>
        <v>0</v>
      </c>
    </row>
    <row r="470" spans="1:10" x14ac:dyDescent="0.25">
      <c r="A470" s="99" t="s">
        <v>939</v>
      </c>
      <c r="B470" s="2"/>
      <c r="C470" s="2">
        <v>-450</v>
      </c>
      <c r="D470" s="2"/>
      <c r="E470" s="2"/>
      <c r="F470" s="2">
        <v>450</v>
      </c>
      <c r="G470" s="113">
        <f t="shared" si="18"/>
        <v>0</v>
      </c>
      <c r="I470" s="2">
        <f t="shared" si="19"/>
        <v>0</v>
      </c>
      <c r="J470" s="2">
        <f t="shared" si="20"/>
        <v>0</v>
      </c>
    </row>
    <row r="471" spans="1:10" x14ac:dyDescent="0.25">
      <c r="A471" s="99" t="s">
        <v>577</v>
      </c>
      <c r="B471" s="2"/>
      <c r="C471" s="2">
        <v>-145</v>
      </c>
      <c r="D471" s="2"/>
      <c r="E471" s="2"/>
      <c r="F471" s="2">
        <v>145</v>
      </c>
      <c r="G471" s="113">
        <f t="shared" si="18"/>
        <v>0</v>
      </c>
      <c r="I471" s="2">
        <f t="shared" si="19"/>
        <v>0</v>
      </c>
      <c r="J471" s="2">
        <f t="shared" si="20"/>
        <v>0</v>
      </c>
    </row>
    <row r="472" spans="1:10" x14ac:dyDescent="0.25">
      <c r="A472" s="99" t="s">
        <v>940</v>
      </c>
      <c r="B472" s="2"/>
      <c r="C472" s="2"/>
      <c r="D472" s="2"/>
      <c r="E472" s="2"/>
      <c r="F472" s="2">
        <v>315</v>
      </c>
      <c r="G472" s="113">
        <f t="shared" si="18"/>
        <v>315</v>
      </c>
      <c r="I472" s="2">
        <f t="shared" si="19"/>
        <v>0</v>
      </c>
      <c r="J472" s="2">
        <f t="shared" si="20"/>
        <v>0</v>
      </c>
    </row>
    <row r="473" spans="1:10" x14ac:dyDescent="0.25">
      <c r="A473" s="99" t="s">
        <v>578</v>
      </c>
      <c r="B473" s="2"/>
      <c r="C473" s="2">
        <v>-333</v>
      </c>
      <c r="D473" s="2"/>
      <c r="E473" s="2"/>
      <c r="F473" s="2">
        <v>333</v>
      </c>
      <c r="G473" s="113">
        <f t="shared" si="18"/>
        <v>0</v>
      </c>
      <c r="I473" s="2">
        <f t="shared" si="19"/>
        <v>0</v>
      </c>
      <c r="J473" s="2">
        <f t="shared" si="20"/>
        <v>0</v>
      </c>
    </row>
    <row r="474" spans="1:10" x14ac:dyDescent="0.25">
      <c r="A474" s="99" t="s">
        <v>579</v>
      </c>
      <c r="B474" s="2"/>
      <c r="C474" s="2"/>
      <c r="D474" s="2"/>
      <c r="E474" s="2"/>
      <c r="F474" s="2">
        <v>432</v>
      </c>
      <c r="G474" s="113">
        <f t="shared" si="18"/>
        <v>432</v>
      </c>
      <c r="I474" s="2">
        <f t="shared" si="19"/>
        <v>0</v>
      </c>
      <c r="J474" s="2">
        <f t="shared" si="20"/>
        <v>0</v>
      </c>
    </row>
    <row r="475" spans="1:10" x14ac:dyDescent="0.25">
      <c r="A475" s="99" t="s">
        <v>580</v>
      </c>
      <c r="B475" s="2"/>
      <c r="C475" s="2">
        <v>-10.6</v>
      </c>
      <c r="D475" s="2"/>
      <c r="E475" s="2"/>
      <c r="F475" s="2">
        <v>10.6</v>
      </c>
      <c r="G475" s="113">
        <f t="shared" si="18"/>
        <v>0</v>
      </c>
      <c r="I475" s="2">
        <f t="shared" si="19"/>
        <v>0</v>
      </c>
      <c r="J475" s="2">
        <f t="shared" si="20"/>
        <v>0</v>
      </c>
    </row>
    <row r="476" spans="1:10" x14ac:dyDescent="0.25">
      <c r="A476" s="99" t="s">
        <v>581</v>
      </c>
      <c r="B476" s="2"/>
      <c r="C476" s="2">
        <v>-10.6</v>
      </c>
      <c r="D476" s="2"/>
      <c r="E476" s="2"/>
      <c r="F476" s="2">
        <v>10.6</v>
      </c>
      <c r="G476" s="113">
        <f t="shared" si="18"/>
        <v>0</v>
      </c>
      <c r="I476" s="2">
        <f t="shared" si="19"/>
        <v>0</v>
      </c>
      <c r="J476" s="2">
        <f t="shared" si="20"/>
        <v>0</v>
      </c>
    </row>
    <row r="477" spans="1:10" x14ac:dyDescent="0.25">
      <c r="A477" s="99" t="s">
        <v>582</v>
      </c>
      <c r="B477" s="2"/>
      <c r="C477" s="2">
        <v>-450</v>
      </c>
      <c r="D477" s="2"/>
      <c r="E477" s="2"/>
      <c r="F477" s="2">
        <v>450</v>
      </c>
      <c r="G477" s="113">
        <f t="shared" si="18"/>
        <v>0</v>
      </c>
      <c r="I477" s="2">
        <f t="shared" si="19"/>
        <v>0</v>
      </c>
      <c r="J477" s="2">
        <f t="shared" si="20"/>
        <v>0</v>
      </c>
    </row>
    <row r="478" spans="1:10" x14ac:dyDescent="0.25">
      <c r="A478" s="99" t="s">
        <v>941</v>
      </c>
      <c r="B478" s="2"/>
      <c r="C478" s="2">
        <v>-450</v>
      </c>
      <c r="D478" s="2"/>
      <c r="E478" s="2"/>
      <c r="F478" s="2">
        <v>450</v>
      </c>
      <c r="G478" s="113">
        <f t="shared" si="18"/>
        <v>0</v>
      </c>
      <c r="I478" s="2">
        <f t="shared" si="19"/>
        <v>0</v>
      </c>
      <c r="J478" s="2">
        <f t="shared" si="20"/>
        <v>0</v>
      </c>
    </row>
    <row r="479" spans="1:10" x14ac:dyDescent="0.25">
      <c r="A479" s="99" t="s">
        <v>583</v>
      </c>
      <c r="B479" s="2"/>
      <c r="C479" s="2">
        <v>-100</v>
      </c>
      <c r="D479" s="2"/>
      <c r="E479" s="2"/>
      <c r="F479" s="2">
        <v>100</v>
      </c>
      <c r="G479" s="113">
        <f t="shared" si="18"/>
        <v>0</v>
      </c>
      <c r="I479" s="2">
        <f t="shared" si="19"/>
        <v>0</v>
      </c>
      <c r="J479" s="2">
        <f t="shared" si="20"/>
        <v>0</v>
      </c>
    </row>
    <row r="480" spans="1:10" x14ac:dyDescent="0.25">
      <c r="A480" s="99" t="s">
        <v>942</v>
      </c>
      <c r="B480" s="2"/>
      <c r="C480" s="2"/>
      <c r="D480" s="2"/>
      <c r="E480" s="2"/>
      <c r="F480" s="2">
        <v>399</v>
      </c>
      <c r="G480" s="113">
        <f t="shared" si="18"/>
        <v>399</v>
      </c>
      <c r="I480" s="2">
        <f t="shared" si="19"/>
        <v>0</v>
      </c>
      <c r="J480" s="2">
        <f t="shared" si="20"/>
        <v>0</v>
      </c>
    </row>
    <row r="481" spans="1:10" x14ac:dyDescent="0.25">
      <c r="A481" s="99" t="s">
        <v>943</v>
      </c>
      <c r="B481" s="2"/>
      <c r="C481" s="2"/>
      <c r="D481" s="2"/>
      <c r="E481" s="2"/>
      <c r="F481" s="2">
        <v>224</v>
      </c>
      <c r="G481" s="113">
        <f t="shared" si="18"/>
        <v>224</v>
      </c>
      <c r="I481" s="2">
        <f t="shared" si="19"/>
        <v>0</v>
      </c>
      <c r="J481" s="2">
        <f t="shared" si="20"/>
        <v>0</v>
      </c>
    </row>
    <row r="482" spans="1:10" x14ac:dyDescent="0.25">
      <c r="A482" s="99" t="s">
        <v>944</v>
      </c>
      <c r="B482" s="2"/>
      <c r="C482" s="2">
        <v>-432</v>
      </c>
      <c r="D482" s="2"/>
      <c r="E482" s="2"/>
      <c r="F482" s="2">
        <v>432</v>
      </c>
      <c r="G482" s="113">
        <f t="shared" si="18"/>
        <v>0</v>
      </c>
      <c r="I482" s="2">
        <f t="shared" si="19"/>
        <v>0</v>
      </c>
      <c r="J482" s="2">
        <f t="shared" si="20"/>
        <v>0</v>
      </c>
    </row>
    <row r="483" spans="1:10" x14ac:dyDescent="0.25">
      <c r="A483" s="99" t="s">
        <v>945</v>
      </c>
      <c r="B483" s="2"/>
      <c r="C483" s="2"/>
      <c r="D483" s="2"/>
      <c r="E483" s="2"/>
      <c r="F483" s="2">
        <v>318</v>
      </c>
      <c r="G483" s="113">
        <f t="shared" si="18"/>
        <v>318</v>
      </c>
      <c r="I483" s="2">
        <f t="shared" si="19"/>
        <v>0</v>
      </c>
      <c r="J483" s="2">
        <f t="shared" si="20"/>
        <v>0</v>
      </c>
    </row>
    <row r="484" spans="1:10" x14ac:dyDescent="0.25">
      <c r="A484" s="99" t="s">
        <v>584</v>
      </c>
      <c r="B484" s="2"/>
      <c r="C484" s="2">
        <v>-290</v>
      </c>
      <c r="D484" s="2"/>
      <c r="E484" s="2"/>
      <c r="F484" s="2">
        <v>290</v>
      </c>
      <c r="G484" s="113">
        <f t="shared" si="18"/>
        <v>0</v>
      </c>
      <c r="I484" s="2">
        <f t="shared" si="19"/>
        <v>0</v>
      </c>
      <c r="J484" s="2">
        <f t="shared" si="20"/>
        <v>0</v>
      </c>
    </row>
    <row r="485" spans="1:10" x14ac:dyDescent="0.25">
      <c r="A485" s="99" t="s">
        <v>585</v>
      </c>
      <c r="B485" s="2"/>
      <c r="C485" s="2">
        <v>-29</v>
      </c>
      <c r="D485" s="2"/>
      <c r="E485" s="2"/>
      <c r="F485" s="2">
        <v>29</v>
      </c>
      <c r="G485" s="113">
        <f t="shared" ref="G485:G548" si="21">SUM(B485:F485)</f>
        <v>0</v>
      </c>
      <c r="I485" s="2">
        <f t="shared" ref="I485:I548" si="22">IF(F485=0,C485+D485,0)</f>
        <v>0</v>
      </c>
      <c r="J485" s="2">
        <f t="shared" ref="J485:J548" si="23">IF(G485&lt;0,G485,0)</f>
        <v>0</v>
      </c>
    </row>
    <row r="486" spans="1:10" x14ac:dyDescent="0.25">
      <c r="A486" s="99" t="s">
        <v>946</v>
      </c>
      <c r="B486" s="2"/>
      <c r="C486" s="2">
        <v>-290</v>
      </c>
      <c r="D486" s="2"/>
      <c r="E486" s="2"/>
      <c r="F486" s="2">
        <v>432</v>
      </c>
      <c r="G486" s="113">
        <f t="shared" si="21"/>
        <v>142</v>
      </c>
      <c r="I486" s="2">
        <f t="shared" si="22"/>
        <v>0</v>
      </c>
      <c r="J486" s="2">
        <f t="shared" si="23"/>
        <v>0</v>
      </c>
    </row>
    <row r="487" spans="1:10" x14ac:dyDescent="0.25">
      <c r="A487" s="99" t="s">
        <v>586</v>
      </c>
      <c r="B487" s="2"/>
      <c r="C487" s="2">
        <v>-432</v>
      </c>
      <c r="D487" s="2"/>
      <c r="E487" s="2"/>
      <c r="F487" s="2">
        <v>432</v>
      </c>
      <c r="G487" s="113">
        <f t="shared" si="21"/>
        <v>0</v>
      </c>
      <c r="I487" s="2">
        <f t="shared" si="22"/>
        <v>0</v>
      </c>
      <c r="J487" s="2">
        <f t="shared" si="23"/>
        <v>0</v>
      </c>
    </row>
    <row r="488" spans="1:10" x14ac:dyDescent="0.25">
      <c r="A488" s="99" t="s">
        <v>587</v>
      </c>
      <c r="B488" s="2"/>
      <c r="C488" s="2">
        <v>-450</v>
      </c>
      <c r="D488" s="2"/>
      <c r="E488" s="2"/>
      <c r="F488" s="2">
        <v>450</v>
      </c>
      <c r="G488" s="113">
        <f t="shared" si="21"/>
        <v>0</v>
      </c>
      <c r="I488" s="2">
        <f t="shared" si="22"/>
        <v>0</v>
      </c>
      <c r="J488" s="2">
        <f t="shared" si="23"/>
        <v>0</v>
      </c>
    </row>
    <row r="489" spans="1:10" x14ac:dyDescent="0.25">
      <c r="A489" s="99" t="s">
        <v>588</v>
      </c>
      <c r="B489" s="2"/>
      <c r="C489" s="2">
        <v>-432</v>
      </c>
      <c r="D489" s="2"/>
      <c r="E489" s="2"/>
      <c r="F489" s="2">
        <v>432</v>
      </c>
      <c r="G489" s="113">
        <f t="shared" si="21"/>
        <v>0</v>
      </c>
      <c r="I489" s="2">
        <f t="shared" si="22"/>
        <v>0</v>
      </c>
      <c r="J489" s="2">
        <f t="shared" si="23"/>
        <v>0</v>
      </c>
    </row>
    <row r="490" spans="1:10" x14ac:dyDescent="0.25">
      <c r="A490" s="99" t="s">
        <v>589</v>
      </c>
      <c r="B490" s="2"/>
      <c r="C490" s="2">
        <v>-43.5</v>
      </c>
      <c r="D490" s="2"/>
      <c r="E490" s="2"/>
      <c r="F490" s="2">
        <v>43.5</v>
      </c>
      <c r="G490" s="113">
        <f t="shared" si="21"/>
        <v>0</v>
      </c>
      <c r="I490" s="2">
        <f t="shared" si="22"/>
        <v>0</v>
      </c>
      <c r="J490" s="2">
        <f t="shared" si="23"/>
        <v>0</v>
      </c>
    </row>
    <row r="491" spans="1:10" x14ac:dyDescent="0.25">
      <c r="A491" s="99" t="s">
        <v>590</v>
      </c>
      <c r="B491" s="2"/>
      <c r="C491" s="2">
        <v>-100</v>
      </c>
      <c r="D491" s="2"/>
      <c r="E491" s="2"/>
      <c r="F491" s="2">
        <v>100</v>
      </c>
      <c r="G491" s="113">
        <f t="shared" si="21"/>
        <v>0</v>
      </c>
      <c r="I491" s="2">
        <f t="shared" si="22"/>
        <v>0</v>
      </c>
      <c r="J491" s="2">
        <f t="shared" si="23"/>
        <v>0</v>
      </c>
    </row>
    <row r="492" spans="1:10" x14ac:dyDescent="0.25">
      <c r="A492" s="99" t="s">
        <v>591</v>
      </c>
      <c r="B492" s="2"/>
      <c r="C492" s="2">
        <v>-400</v>
      </c>
      <c r="D492" s="2"/>
      <c r="E492" s="2"/>
      <c r="F492" s="2">
        <v>432</v>
      </c>
      <c r="G492" s="113">
        <f t="shared" si="21"/>
        <v>32</v>
      </c>
      <c r="I492" s="2">
        <f t="shared" si="22"/>
        <v>0</v>
      </c>
      <c r="J492" s="2">
        <f t="shared" si="23"/>
        <v>0</v>
      </c>
    </row>
    <row r="493" spans="1:10" x14ac:dyDescent="0.25">
      <c r="A493" s="99" t="s">
        <v>592</v>
      </c>
      <c r="B493" s="2"/>
      <c r="C493" s="2">
        <v>-750</v>
      </c>
      <c r="D493" s="2"/>
      <c r="E493" s="2"/>
      <c r="F493" s="2">
        <v>966</v>
      </c>
      <c r="G493" s="113">
        <f t="shared" si="21"/>
        <v>216</v>
      </c>
      <c r="I493" s="2">
        <f t="shared" si="22"/>
        <v>0</v>
      </c>
      <c r="J493" s="2">
        <f t="shared" si="23"/>
        <v>0</v>
      </c>
    </row>
    <row r="494" spans="1:10" x14ac:dyDescent="0.25">
      <c r="A494" s="99" t="s">
        <v>593</v>
      </c>
      <c r="B494" s="2"/>
      <c r="C494" s="2">
        <v>-66</v>
      </c>
      <c r="D494" s="2"/>
      <c r="E494" s="2"/>
      <c r="F494" s="2">
        <v>66</v>
      </c>
      <c r="G494" s="113">
        <f t="shared" si="21"/>
        <v>0</v>
      </c>
      <c r="I494" s="2">
        <f t="shared" si="22"/>
        <v>0</v>
      </c>
      <c r="J494" s="2">
        <f t="shared" si="23"/>
        <v>0</v>
      </c>
    </row>
    <row r="495" spans="1:10" x14ac:dyDescent="0.25">
      <c r="A495" s="99" t="s">
        <v>594</v>
      </c>
      <c r="B495" s="2"/>
      <c r="C495" s="2">
        <v>-432</v>
      </c>
      <c r="D495" s="2"/>
      <c r="E495" s="2"/>
      <c r="F495" s="2">
        <v>648</v>
      </c>
      <c r="G495" s="113">
        <f t="shared" si="21"/>
        <v>216</v>
      </c>
      <c r="I495" s="2">
        <f t="shared" si="22"/>
        <v>0</v>
      </c>
      <c r="J495" s="2">
        <f t="shared" si="23"/>
        <v>0</v>
      </c>
    </row>
    <row r="496" spans="1:10" x14ac:dyDescent="0.25">
      <c r="A496" s="99" t="s">
        <v>595</v>
      </c>
      <c r="B496" s="2"/>
      <c r="C496" s="2">
        <v>-432</v>
      </c>
      <c r="D496" s="2"/>
      <c r="E496" s="2"/>
      <c r="F496" s="2">
        <v>432</v>
      </c>
      <c r="G496" s="113">
        <f t="shared" si="21"/>
        <v>0</v>
      </c>
      <c r="I496" s="2">
        <f t="shared" si="22"/>
        <v>0</v>
      </c>
      <c r="J496" s="2">
        <f t="shared" si="23"/>
        <v>0</v>
      </c>
    </row>
    <row r="497" spans="1:10" x14ac:dyDescent="0.25">
      <c r="A497" s="99" t="s">
        <v>596</v>
      </c>
      <c r="B497" s="2"/>
      <c r="C497" s="2">
        <v>-432</v>
      </c>
      <c r="D497" s="2"/>
      <c r="E497" s="2"/>
      <c r="F497" s="2">
        <v>432</v>
      </c>
      <c r="G497" s="113">
        <f t="shared" si="21"/>
        <v>0</v>
      </c>
      <c r="I497" s="2">
        <f t="shared" si="22"/>
        <v>0</v>
      </c>
      <c r="J497" s="2">
        <f t="shared" si="23"/>
        <v>0</v>
      </c>
    </row>
    <row r="498" spans="1:10" x14ac:dyDescent="0.25">
      <c r="A498" s="99" t="s">
        <v>597</v>
      </c>
      <c r="B498" s="2"/>
      <c r="C498" s="2"/>
      <c r="D498" s="2"/>
      <c r="E498" s="2"/>
      <c r="F498" s="2">
        <v>145</v>
      </c>
      <c r="G498" s="113">
        <f t="shared" si="21"/>
        <v>145</v>
      </c>
      <c r="I498" s="2">
        <f t="shared" si="22"/>
        <v>0</v>
      </c>
      <c r="J498" s="2">
        <f t="shared" si="23"/>
        <v>0</v>
      </c>
    </row>
    <row r="499" spans="1:10" x14ac:dyDescent="0.25">
      <c r="A499" s="99" t="s">
        <v>598</v>
      </c>
      <c r="B499" s="2"/>
      <c r="C499" s="2">
        <v>-300</v>
      </c>
      <c r="D499" s="2"/>
      <c r="E499" s="2"/>
      <c r="F499" s="2"/>
      <c r="G499" s="113">
        <f t="shared" si="21"/>
        <v>-300</v>
      </c>
      <c r="I499" s="2">
        <f t="shared" si="22"/>
        <v>-300</v>
      </c>
      <c r="J499" s="2">
        <f t="shared" si="23"/>
        <v>-300</v>
      </c>
    </row>
    <row r="500" spans="1:10" x14ac:dyDescent="0.25">
      <c r="A500" s="99" t="s">
        <v>599</v>
      </c>
      <c r="B500" s="2"/>
      <c r="C500" s="2">
        <v>-66</v>
      </c>
      <c r="D500" s="2"/>
      <c r="E500" s="2"/>
      <c r="F500" s="2">
        <v>66</v>
      </c>
      <c r="G500" s="113">
        <f t="shared" si="21"/>
        <v>0</v>
      </c>
      <c r="I500" s="2">
        <f t="shared" si="22"/>
        <v>0</v>
      </c>
      <c r="J500" s="2">
        <f t="shared" si="23"/>
        <v>0</v>
      </c>
    </row>
    <row r="501" spans="1:10" x14ac:dyDescent="0.25">
      <c r="A501" s="99" t="s">
        <v>947</v>
      </c>
      <c r="B501" s="2"/>
      <c r="C501" s="2"/>
      <c r="D501" s="2"/>
      <c r="E501" s="2"/>
      <c r="F501" s="2">
        <v>18.690000000000001</v>
      </c>
      <c r="G501" s="113">
        <f t="shared" si="21"/>
        <v>18.690000000000001</v>
      </c>
      <c r="I501" s="2">
        <f t="shared" si="22"/>
        <v>0</v>
      </c>
      <c r="J501" s="2">
        <f t="shared" si="23"/>
        <v>0</v>
      </c>
    </row>
    <row r="502" spans="1:10" x14ac:dyDescent="0.25">
      <c r="A502" s="99" t="s">
        <v>948</v>
      </c>
      <c r="B502" s="2"/>
      <c r="C502" s="2"/>
      <c r="D502" s="2"/>
      <c r="E502" s="2"/>
      <c r="F502" s="2">
        <v>464</v>
      </c>
      <c r="G502" s="113">
        <f t="shared" si="21"/>
        <v>464</v>
      </c>
      <c r="I502" s="2">
        <f t="shared" si="22"/>
        <v>0</v>
      </c>
      <c r="J502" s="2">
        <f t="shared" si="23"/>
        <v>0</v>
      </c>
    </row>
    <row r="503" spans="1:10" x14ac:dyDescent="0.25">
      <c r="A503" s="99" t="s">
        <v>600</v>
      </c>
      <c r="B503" s="2"/>
      <c r="C503" s="2">
        <v>-243</v>
      </c>
      <c r="D503" s="2"/>
      <c r="E503" s="2"/>
      <c r="F503" s="2">
        <v>707</v>
      </c>
      <c r="G503" s="113">
        <f t="shared" si="21"/>
        <v>464</v>
      </c>
      <c r="I503" s="2">
        <f t="shared" si="22"/>
        <v>0</v>
      </c>
      <c r="J503" s="2">
        <f t="shared" si="23"/>
        <v>0</v>
      </c>
    </row>
    <row r="504" spans="1:10" x14ac:dyDescent="0.25">
      <c r="A504" s="99" t="s">
        <v>601</v>
      </c>
      <c r="B504" s="2"/>
      <c r="C504" s="2">
        <v>-58</v>
      </c>
      <c r="D504" s="2"/>
      <c r="E504" s="2"/>
      <c r="F504" s="2">
        <v>58</v>
      </c>
      <c r="G504" s="113">
        <f t="shared" si="21"/>
        <v>0</v>
      </c>
      <c r="I504" s="2">
        <f t="shared" si="22"/>
        <v>0</v>
      </c>
      <c r="J504" s="2">
        <f t="shared" si="23"/>
        <v>0</v>
      </c>
    </row>
    <row r="505" spans="1:10" x14ac:dyDescent="0.25">
      <c r="A505" s="99" t="s">
        <v>949</v>
      </c>
      <c r="B505" s="2"/>
      <c r="C505" s="2">
        <v>-200</v>
      </c>
      <c r="D505" s="2"/>
      <c r="E505" s="2"/>
      <c r="F505" s="2">
        <v>432</v>
      </c>
      <c r="G505" s="113">
        <f t="shared" si="21"/>
        <v>232</v>
      </c>
      <c r="I505" s="2">
        <f t="shared" si="22"/>
        <v>0</v>
      </c>
      <c r="J505" s="2">
        <f t="shared" si="23"/>
        <v>0</v>
      </c>
    </row>
    <row r="506" spans="1:10" x14ac:dyDescent="0.25">
      <c r="A506" s="99" t="s">
        <v>602</v>
      </c>
      <c r="B506" s="2"/>
      <c r="C506" s="2"/>
      <c r="D506" s="2"/>
      <c r="E506" s="2"/>
      <c r="F506" s="2">
        <v>1.999999999998181E-2</v>
      </c>
      <c r="G506" s="113">
        <f t="shared" si="21"/>
        <v>1.999999999998181E-2</v>
      </c>
      <c r="I506" s="2">
        <f t="shared" si="22"/>
        <v>0</v>
      </c>
      <c r="J506" s="2">
        <f t="shared" si="23"/>
        <v>0</v>
      </c>
    </row>
    <row r="507" spans="1:10" x14ac:dyDescent="0.25">
      <c r="A507" s="99" t="s">
        <v>950</v>
      </c>
      <c r="B507" s="2"/>
      <c r="C507" s="2">
        <v>-450</v>
      </c>
      <c r="D507" s="2"/>
      <c r="E507" s="2">
        <v>302.39999999999998</v>
      </c>
      <c r="F507" s="2">
        <v>1047.5999999999999</v>
      </c>
      <c r="G507" s="113">
        <f t="shared" si="21"/>
        <v>899.99999999999989</v>
      </c>
      <c r="I507" s="2">
        <f t="shared" si="22"/>
        <v>0</v>
      </c>
      <c r="J507" s="2">
        <f t="shared" si="23"/>
        <v>0</v>
      </c>
    </row>
    <row r="508" spans="1:10" x14ac:dyDescent="0.25">
      <c r="A508" s="99" t="s">
        <v>951</v>
      </c>
      <c r="B508" s="2"/>
      <c r="C508" s="2">
        <v>-432</v>
      </c>
      <c r="D508" s="2"/>
      <c r="E508" s="2"/>
      <c r="F508" s="2">
        <v>432</v>
      </c>
      <c r="G508" s="113">
        <f t="shared" si="21"/>
        <v>0</v>
      </c>
      <c r="I508" s="2">
        <f t="shared" si="22"/>
        <v>0</v>
      </c>
      <c r="J508" s="2">
        <f t="shared" si="23"/>
        <v>0</v>
      </c>
    </row>
    <row r="509" spans="1:10" x14ac:dyDescent="0.25">
      <c r="A509" s="99" t="s">
        <v>603</v>
      </c>
      <c r="B509" s="2"/>
      <c r="C509" s="2">
        <v>-432</v>
      </c>
      <c r="D509" s="2"/>
      <c r="E509" s="2"/>
      <c r="F509" s="2">
        <v>432</v>
      </c>
      <c r="G509" s="113">
        <f t="shared" si="21"/>
        <v>0</v>
      </c>
      <c r="I509" s="2">
        <f t="shared" si="22"/>
        <v>0</v>
      </c>
      <c r="J509" s="2">
        <f t="shared" si="23"/>
        <v>0</v>
      </c>
    </row>
    <row r="510" spans="1:10" x14ac:dyDescent="0.25">
      <c r="A510" s="99" t="s">
        <v>604</v>
      </c>
      <c r="B510" s="2"/>
      <c r="C510" s="2">
        <v>-40.6</v>
      </c>
      <c r="D510" s="2"/>
      <c r="E510" s="2"/>
      <c r="F510" s="2">
        <v>40.6</v>
      </c>
      <c r="G510" s="113">
        <f t="shared" si="21"/>
        <v>0</v>
      </c>
      <c r="I510" s="2">
        <f t="shared" si="22"/>
        <v>0</v>
      </c>
      <c r="J510" s="2">
        <f t="shared" si="23"/>
        <v>0</v>
      </c>
    </row>
    <row r="511" spans="1:10" x14ac:dyDescent="0.25">
      <c r="A511" s="99" t="s">
        <v>952</v>
      </c>
      <c r="B511" s="2"/>
      <c r="C511" s="2">
        <v>-450</v>
      </c>
      <c r="D511" s="2"/>
      <c r="E511" s="2"/>
      <c r="F511" s="2">
        <v>450</v>
      </c>
      <c r="G511" s="113">
        <f t="shared" si="21"/>
        <v>0</v>
      </c>
      <c r="I511" s="2">
        <f t="shared" si="22"/>
        <v>0</v>
      </c>
      <c r="J511" s="2">
        <f t="shared" si="23"/>
        <v>0</v>
      </c>
    </row>
    <row r="512" spans="1:10" x14ac:dyDescent="0.25">
      <c r="A512" s="99" t="s">
        <v>605</v>
      </c>
      <c r="B512" s="2"/>
      <c r="C512" s="2">
        <v>-448.54</v>
      </c>
      <c r="D512" s="2"/>
      <c r="E512" s="2"/>
      <c r="F512" s="2">
        <v>448.54</v>
      </c>
      <c r="G512" s="113">
        <f t="shared" si="21"/>
        <v>0</v>
      </c>
      <c r="I512" s="2">
        <f t="shared" si="22"/>
        <v>0</v>
      </c>
      <c r="J512" s="2">
        <f t="shared" si="23"/>
        <v>0</v>
      </c>
    </row>
    <row r="513" spans="1:10" x14ac:dyDescent="0.25">
      <c r="A513" s="99" t="s">
        <v>606</v>
      </c>
      <c r="B513" s="2">
        <v>-0.02</v>
      </c>
      <c r="C513" s="2"/>
      <c r="D513" s="2"/>
      <c r="E513" s="2"/>
      <c r="F513" s="2">
        <v>0.02</v>
      </c>
      <c r="G513" s="113">
        <f t="shared" si="21"/>
        <v>0</v>
      </c>
      <c r="I513" s="2">
        <f t="shared" si="22"/>
        <v>0</v>
      </c>
      <c r="J513" s="2">
        <f t="shared" si="23"/>
        <v>0</v>
      </c>
    </row>
    <row r="514" spans="1:10" x14ac:dyDescent="0.25">
      <c r="A514" s="99" t="s">
        <v>607</v>
      </c>
      <c r="B514" s="2"/>
      <c r="C514" s="2">
        <v>-432</v>
      </c>
      <c r="D514" s="2"/>
      <c r="E514" s="2"/>
      <c r="F514" s="2">
        <v>432</v>
      </c>
      <c r="G514" s="113">
        <f t="shared" si="21"/>
        <v>0</v>
      </c>
      <c r="I514" s="2">
        <f t="shared" si="22"/>
        <v>0</v>
      </c>
      <c r="J514" s="2">
        <f t="shared" si="23"/>
        <v>0</v>
      </c>
    </row>
    <row r="515" spans="1:10" x14ac:dyDescent="0.25">
      <c r="A515" s="99" t="s">
        <v>953</v>
      </c>
      <c r="B515" s="2"/>
      <c r="C515" s="2"/>
      <c r="D515" s="2"/>
      <c r="E515" s="2"/>
      <c r="F515" s="2">
        <v>464</v>
      </c>
      <c r="G515" s="113">
        <f t="shared" si="21"/>
        <v>464</v>
      </c>
      <c r="I515" s="2">
        <f t="shared" si="22"/>
        <v>0</v>
      </c>
      <c r="J515" s="2">
        <f t="shared" si="23"/>
        <v>0</v>
      </c>
    </row>
    <row r="516" spans="1:10" x14ac:dyDescent="0.25">
      <c r="A516" s="99" t="s">
        <v>608</v>
      </c>
      <c r="B516" s="2"/>
      <c r="C516" s="2">
        <v>-432</v>
      </c>
      <c r="D516" s="2"/>
      <c r="E516" s="2"/>
      <c r="F516" s="2">
        <v>432</v>
      </c>
      <c r="G516" s="113">
        <f t="shared" si="21"/>
        <v>0</v>
      </c>
      <c r="I516" s="2">
        <f t="shared" si="22"/>
        <v>0</v>
      </c>
      <c r="J516" s="2">
        <f t="shared" si="23"/>
        <v>0</v>
      </c>
    </row>
    <row r="517" spans="1:10" x14ac:dyDescent="0.25">
      <c r="A517" s="99" t="s">
        <v>609</v>
      </c>
      <c r="B517" s="2"/>
      <c r="C517" s="2">
        <v>-311.20000000000005</v>
      </c>
      <c r="D517" s="2"/>
      <c r="E517" s="2"/>
      <c r="F517" s="2">
        <v>311.20000000000005</v>
      </c>
      <c r="G517" s="113">
        <f t="shared" si="21"/>
        <v>0</v>
      </c>
      <c r="I517" s="2">
        <f t="shared" si="22"/>
        <v>0</v>
      </c>
      <c r="J517" s="2">
        <f t="shared" si="23"/>
        <v>0</v>
      </c>
    </row>
    <row r="518" spans="1:10" x14ac:dyDescent="0.25">
      <c r="A518" s="99" t="s">
        <v>610</v>
      </c>
      <c r="B518" s="2"/>
      <c r="C518" s="2">
        <v>-173.86</v>
      </c>
      <c r="D518" s="2"/>
      <c r="E518" s="2"/>
      <c r="F518" s="2">
        <v>184.04000000000002</v>
      </c>
      <c r="G518" s="113">
        <f t="shared" si="21"/>
        <v>10.180000000000007</v>
      </c>
      <c r="I518" s="2">
        <f t="shared" si="22"/>
        <v>0</v>
      </c>
      <c r="J518" s="2">
        <f t="shared" si="23"/>
        <v>0</v>
      </c>
    </row>
    <row r="519" spans="1:10" x14ac:dyDescent="0.25">
      <c r="A519" s="99" t="s">
        <v>611</v>
      </c>
      <c r="B519" s="2"/>
      <c r="C519" s="2">
        <v>-290</v>
      </c>
      <c r="D519" s="2"/>
      <c r="E519" s="2"/>
      <c r="F519" s="2">
        <v>290</v>
      </c>
      <c r="G519" s="113">
        <f t="shared" si="21"/>
        <v>0</v>
      </c>
      <c r="I519" s="2">
        <f t="shared" si="22"/>
        <v>0</v>
      </c>
      <c r="J519" s="2">
        <f t="shared" si="23"/>
        <v>0</v>
      </c>
    </row>
    <row r="520" spans="1:10" x14ac:dyDescent="0.25">
      <c r="A520" s="99" t="s">
        <v>612</v>
      </c>
      <c r="B520" s="2"/>
      <c r="C520" s="2">
        <v>-132</v>
      </c>
      <c r="D520" s="2"/>
      <c r="E520" s="2"/>
      <c r="F520" s="2">
        <v>396</v>
      </c>
      <c r="G520" s="113">
        <f t="shared" si="21"/>
        <v>264</v>
      </c>
      <c r="I520" s="2">
        <f t="shared" si="22"/>
        <v>0</v>
      </c>
      <c r="J520" s="2">
        <f t="shared" si="23"/>
        <v>0</v>
      </c>
    </row>
    <row r="521" spans="1:10" x14ac:dyDescent="0.25">
      <c r="A521" s="99" t="s">
        <v>613</v>
      </c>
      <c r="B521" s="2"/>
      <c r="C521" s="2">
        <v>-305</v>
      </c>
      <c r="D521" s="2"/>
      <c r="E521" s="2"/>
      <c r="F521" s="2">
        <v>305</v>
      </c>
      <c r="G521" s="113">
        <f t="shared" si="21"/>
        <v>0</v>
      </c>
      <c r="I521" s="2">
        <f t="shared" si="22"/>
        <v>0</v>
      </c>
      <c r="J521" s="2">
        <f t="shared" si="23"/>
        <v>0</v>
      </c>
    </row>
    <row r="522" spans="1:10" x14ac:dyDescent="0.25">
      <c r="A522" s="99" t="s">
        <v>614</v>
      </c>
      <c r="B522" s="2">
        <v>-0.02</v>
      </c>
      <c r="C522" s="2"/>
      <c r="D522" s="2"/>
      <c r="E522" s="2"/>
      <c r="F522" s="2">
        <v>0.04</v>
      </c>
      <c r="G522" s="113">
        <f t="shared" si="21"/>
        <v>0.02</v>
      </c>
      <c r="I522" s="2">
        <f t="shared" si="22"/>
        <v>0</v>
      </c>
      <c r="J522" s="2">
        <f t="shared" si="23"/>
        <v>0</v>
      </c>
    </row>
    <row r="523" spans="1:10" x14ac:dyDescent="0.25">
      <c r="A523" s="99" t="s">
        <v>615</v>
      </c>
      <c r="B523" s="2"/>
      <c r="C523" s="2">
        <v>-350</v>
      </c>
      <c r="D523" s="2"/>
      <c r="E523" s="2"/>
      <c r="F523" s="2">
        <v>432</v>
      </c>
      <c r="G523" s="113">
        <f t="shared" si="21"/>
        <v>82</v>
      </c>
      <c r="I523" s="2">
        <f t="shared" si="22"/>
        <v>0</v>
      </c>
      <c r="J523" s="2">
        <f t="shared" si="23"/>
        <v>0</v>
      </c>
    </row>
    <row r="524" spans="1:10" x14ac:dyDescent="0.25">
      <c r="A524" s="99" t="s">
        <v>954</v>
      </c>
      <c r="B524" s="2"/>
      <c r="C524" s="2"/>
      <c r="D524" s="2"/>
      <c r="E524" s="2"/>
      <c r="F524" s="2">
        <v>432</v>
      </c>
      <c r="G524" s="113">
        <f t="shared" si="21"/>
        <v>432</v>
      </c>
      <c r="I524" s="2">
        <f t="shared" si="22"/>
        <v>0</v>
      </c>
      <c r="J524" s="2">
        <f t="shared" si="23"/>
        <v>0</v>
      </c>
    </row>
    <row r="525" spans="1:10" x14ac:dyDescent="0.25">
      <c r="A525" s="99" t="s">
        <v>616</v>
      </c>
      <c r="B525" s="2"/>
      <c r="C525" s="2"/>
      <c r="D525" s="2"/>
      <c r="E525" s="2"/>
      <c r="F525" s="2">
        <v>0.02</v>
      </c>
      <c r="G525" s="113">
        <f t="shared" si="21"/>
        <v>0.02</v>
      </c>
      <c r="I525" s="2">
        <f t="shared" si="22"/>
        <v>0</v>
      </c>
      <c r="J525" s="2">
        <f t="shared" si="23"/>
        <v>0</v>
      </c>
    </row>
    <row r="526" spans="1:10" x14ac:dyDescent="0.25">
      <c r="A526" s="99" t="s">
        <v>617</v>
      </c>
      <c r="B526" s="2"/>
      <c r="C526" s="2">
        <v>-10.6</v>
      </c>
      <c r="D526" s="2"/>
      <c r="E526" s="2"/>
      <c r="F526" s="2">
        <v>10.6</v>
      </c>
      <c r="G526" s="113">
        <f t="shared" si="21"/>
        <v>0</v>
      </c>
      <c r="I526" s="2">
        <f t="shared" si="22"/>
        <v>0</v>
      </c>
      <c r="J526" s="2">
        <f t="shared" si="23"/>
        <v>0</v>
      </c>
    </row>
    <row r="527" spans="1:10" x14ac:dyDescent="0.25">
      <c r="A527" s="99" t="s">
        <v>618</v>
      </c>
      <c r="B527" s="2"/>
      <c r="C527" s="2">
        <v>-290</v>
      </c>
      <c r="D527" s="2"/>
      <c r="E527" s="2"/>
      <c r="F527" s="2">
        <v>290</v>
      </c>
      <c r="G527" s="113">
        <f t="shared" si="21"/>
        <v>0</v>
      </c>
      <c r="I527" s="2">
        <f t="shared" si="22"/>
        <v>0</v>
      </c>
      <c r="J527" s="2">
        <f t="shared" si="23"/>
        <v>0</v>
      </c>
    </row>
    <row r="528" spans="1:10" x14ac:dyDescent="0.25">
      <c r="A528" s="99" t="s">
        <v>619</v>
      </c>
      <c r="B528" s="2"/>
      <c r="C528" s="2"/>
      <c r="D528" s="2"/>
      <c r="E528" s="2"/>
      <c r="F528" s="2">
        <v>432</v>
      </c>
      <c r="G528" s="113">
        <f t="shared" si="21"/>
        <v>432</v>
      </c>
      <c r="I528" s="2">
        <f t="shared" si="22"/>
        <v>0</v>
      </c>
      <c r="J528" s="2">
        <f t="shared" si="23"/>
        <v>0</v>
      </c>
    </row>
    <row r="529" spans="1:10" x14ac:dyDescent="0.25">
      <c r="A529" s="99" t="s">
        <v>620</v>
      </c>
      <c r="B529" s="2"/>
      <c r="C529" s="2"/>
      <c r="D529" s="2"/>
      <c r="E529" s="2"/>
      <c r="F529" s="2">
        <v>216</v>
      </c>
      <c r="G529" s="113">
        <f t="shared" si="21"/>
        <v>216</v>
      </c>
      <c r="I529" s="2">
        <f t="shared" si="22"/>
        <v>0</v>
      </c>
      <c r="J529" s="2">
        <f t="shared" si="23"/>
        <v>0</v>
      </c>
    </row>
    <row r="530" spans="1:10" x14ac:dyDescent="0.25">
      <c r="A530" s="99" t="s">
        <v>955</v>
      </c>
      <c r="B530" s="2"/>
      <c r="C530" s="2">
        <v>-450</v>
      </c>
      <c r="D530" s="2"/>
      <c r="E530" s="2"/>
      <c r="F530" s="2">
        <v>450</v>
      </c>
      <c r="G530" s="113">
        <f t="shared" si="21"/>
        <v>0</v>
      </c>
      <c r="I530" s="2">
        <f t="shared" si="22"/>
        <v>0</v>
      </c>
      <c r="J530" s="2">
        <f t="shared" si="23"/>
        <v>0</v>
      </c>
    </row>
    <row r="531" spans="1:10" x14ac:dyDescent="0.25">
      <c r="A531" s="99" t="s">
        <v>621</v>
      </c>
      <c r="B531" s="2"/>
      <c r="C531" s="2">
        <v>-450</v>
      </c>
      <c r="D531" s="2"/>
      <c r="E531" s="2"/>
      <c r="F531" s="2">
        <v>450</v>
      </c>
      <c r="G531" s="113">
        <f t="shared" si="21"/>
        <v>0</v>
      </c>
      <c r="I531" s="2">
        <f t="shared" si="22"/>
        <v>0</v>
      </c>
      <c r="J531" s="2">
        <f t="shared" si="23"/>
        <v>0</v>
      </c>
    </row>
    <row r="532" spans="1:10" x14ac:dyDescent="0.25">
      <c r="A532" s="99" t="s">
        <v>622</v>
      </c>
      <c r="B532" s="2"/>
      <c r="C532" s="2">
        <v>-290</v>
      </c>
      <c r="D532" s="2"/>
      <c r="E532" s="2"/>
      <c r="F532" s="2">
        <v>290</v>
      </c>
      <c r="G532" s="113">
        <f t="shared" si="21"/>
        <v>0</v>
      </c>
      <c r="I532" s="2">
        <f t="shared" si="22"/>
        <v>0</v>
      </c>
      <c r="J532" s="2">
        <f t="shared" si="23"/>
        <v>0</v>
      </c>
    </row>
    <row r="533" spans="1:10" x14ac:dyDescent="0.25">
      <c r="A533" s="99" t="s">
        <v>623</v>
      </c>
      <c r="B533" s="2"/>
      <c r="C533" s="2">
        <v>-290</v>
      </c>
      <c r="D533" s="2"/>
      <c r="E533" s="2"/>
      <c r="F533" s="2">
        <v>290</v>
      </c>
      <c r="G533" s="113">
        <f t="shared" si="21"/>
        <v>0</v>
      </c>
      <c r="I533" s="2">
        <f t="shared" si="22"/>
        <v>0</v>
      </c>
      <c r="J533" s="2">
        <f t="shared" si="23"/>
        <v>0</v>
      </c>
    </row>
    <row r="534" spans="1:10" x14ac:dyDescent="0.25">
      <c r="A534" s="99" t="s">
        <v>956</v>
      </c>
      <c r="B534" s="2"/>
      <c r="C534" s="2">
        <v>-450</v>
      </c>
      <c r="D534" s="2"/>
      <c r="E534" s="2"/>
      <c r="F534" s="2">
        <v>450</v>
      </c>
      <c r="G534" s="113">
        <f t="shared" si="21"/>
        <v>0</v>
      </c>
      <c r="I534" s="2">
        <f t="shared" si="22"/>
        <v>0</v>
      </c>
      <c r="J534" s="2">
        <f t="shared" si="23"/>
        <v>0</v>
      </c>
    </row>
    <row r="535" spans="1:10" x14ac:dyDescent="0.25">
      <c r="A535" s="99" t="s">
        <v>624</v>
      </c>
      <c r="B535" s="2"/>
      <c r="C535" s="2">
        <v>-91.550000000000011</v>
      </c>
      <c r="D535" s="2"/>
      <c r="E535" s="2"/>
      <c r="F535" s="2">
        <v>110.64999999999999</v>
      </c>
      <c r="G535" s="113">
        <f t="shared" si="21"/>
        <v>19.09999999999998</v>
      </c>
      <c r="I535" s="2">
        <f t="shared" si="22"/>
        <v>0</v>
      </c>
      <c r="J535" s="2">
        <f t="shared" si="23"/>
        <v>0</v>
      </c>
    </row>
    <row r="536" spans="1:10" x14ac:dyDescent="0.25">
      <c r="A536" s="99" t="s">
        <v>625</v>
      </c>
      <c r="B536" s="2"/>
      <c r="C536" s="2">
        <v>-290</v>
      </c>
      <c r="D536" s="2"/>
      <c r="E536" s="2"/>
      <c r="F536" s="2">
        <v>290</v>
      </c>
      <c r="G536" s="113">
        <f t="shared" si="21"/>
        <v>0</v>
      </c>
      <c r="I536" s="2">
        <f t="shared" si="22"/>
        <v>0</v>
      </c>
      <c r="J536" s="2">
        <f t="shared" si="23"/>
        <v>0</v>
      </c>
    </row>
    <row r="537" spans="1:10" x14ac:dyDescent="0.25">
      <c r="A537" s="99" t="s">
        <v>626</v>
      </c>
      <c r="B537" s="2"/>
      <c r="C537" s="2">
        <v>-58</v>
      </c>
      <c r="D537" s="2"/>
      <c r="E537" s="2"/>
      <c r="F537" s="2">
        <v>58</v>
      </c>
      <c r="G537" s="113">
        <f t="shared" si="21"/>
        <v>0</v>
      </c>
      <c r="I537" s="2">
        <f t="shared" si="22"/>
        <v>0</v>
      </c>
      <c r="J537" s="2">
        <f t="shared" si="23"/>
        <v>0</v>
      </c>
    </row>
    <row r="538" spans="1:10" x14ac:dyDescent="0.25">
      <c r="A538" s="99" t="s">
        <v>627</v>
      </c>
      <c r="B538" s="2"/>
      <c r="C538" s="2">
        <v>-33</v>
      </c>
      <c r="D538" s="2"/>
      <c r="E538" s="2"/>
      <c r="F538" s="2">
        <v>33</v>
      </c>
      <c r="G538" s="113">
        <f t="shared" si="21"/>
        <v>0</v>
      </c>
      <c r="I538" s="2">
        <f t="shared" si="22"/>
        <v>0</v>
      </c>
      <c r="J538" s="2">
        <f t="shared" si="23"/>
        <v>0</v>
      </c>
    </row>
    <row r="539" spans="1:10" x14ac:dyDescent="0.25">
      <c r="A539" s="99" t="s">
        <v>957</v>
      </c>
      <c r="B539" s="2"/>
      <c r="C539" s="2"/>
      <c r="D539" s="2"/>
      <c r="E539" s="2"/>
      <c r="F539" s="2">
        <v>-4</v>
      </c>
      <c r="G539" s="113">
        <f t="shared" si="21"/>
        <v>-4</v>
      </c>
      <c r="I539" s="2">
        <f t="shared" si="22"/>
        <v>0</v>
      </c>
      <c r="J539" s="2">
        <f t="shared" si="23"/>
        <v>-4</v>
      </c>
    </row>
    <row r="540" spans="1:10" x14ac:dyDescent="0.25">
      <c r="A540" s="99" t="s">
        <v>958</v>
      </c>
      <c r="B540" s="2"/>
      <c r="C540" s="2">
        <v>-432</v>
      </c>
      <c r="D540" s="2"/>
      <c r="E540" s="2"/>
      <c r="F540" s="2">
        <v>432</v>
      </c>
      <c r="G540" s="113">
        <f t="shared" si="21"/>
        <v>0</v>
      </c>
      <c r="I540" s="2">
        <f t="shared" si="22"/>
        <v>0</v>
      </c>
      <c r="J540" s="2">
        <f t="shared" si="23"/>
        <v>0</v>
      </c>
    </row>
    <row r="541" spans="1:10" x14ac:dyDescent="0.25">
      <c r="A541" s="99" t="s">
        <v>628</v>
      </c>
      <c r="B541" s="2"/>
      <c r="C541" s="2">
        <v>-450</v>
      </c>
      <c r="D541" s="2"/>
      <c r="E541" s="2"/>
      <c r="F541" s="2">
        <v>450</v>
      </c>
      <c r="G541" s="113">
        <f t="shared" si="21"/>
        <v>0</v>
      </c>
      <c r="I541" s="2">
        <f t="shared" si="22"/>
        <v>0</v>
      </c>
      <c r="J541" s="2">
        <f t="shared" si="23"/>
        <v>0</v>
      </c>
    </row>
    <row r="542" spans="1:10" x14ac:dyDescent="0.25">
      <c r="A542" s="99" t="s">
        <v>959</v>
      </c>
      <c r="B542" s="2"/>
      <c r="C542" s="2">
        <v>-432</v>
      </c>
      <c r="D542" s="2"/>
      <c r="E542" s="2"/>
      <c r="F542" s="2">
        <v>432</v>
      </c>
      <c r="G542" s="113">
        <f t="shared" si="21"/>
        <v>0</v>
      </c>
      <c r="I542" s="2">
        <f t="shared" si="22"/>
        <v>0</v>
      </c>
      <c r="J542" s="2">
        <f t="shared" si="23"/>
        <v>0</v>
      </c>
    </row>
    <row r="543" spans="1:10" x14ac:dyDescent="0.25">
      <c r="A543" s="99" t="s">
        <v>629</v>
      </c>
      <c r="B543" s="2"/>
      <c r="C543" s="2">
        <v>-432</v>
      </c>
      <c r="D543" s="2"/>
      <c r="E543" s="2"/>
      <c r="F543" s="2">
        <v>432</v>
      </c>
      <c r="G543" s="113">
        <f t="shared" si="21"/>
        <v>0</v>
      </c>
      <c r="I543" s="2">
        <f t="shared" si="22"/>
        <v>0</v>
      </c>
      <c r="J543" s="2">
        <f t="shared" si="23"/>
        <v>0</v>
      </c>
    </row>
    <row r="544" spans="1:10" x14ac:dyDescent="0.25">
      <c r="A544" s="99" t="s">
        <v>630</v>
      </c>
      <c r="B544" s="2"/>
      <c r="C544" s="2">
        <v>-432</v>
      </c>
      <c r="D544" s="2"/>
      <c r="E544" s="2"/>
      <c r="F544" s="2">
        <v>432</v>
      </c>
      <c r="G544" s="113">
        <f t="shared" si="21"/>
        <v>0</v>
      </c>
      <c r="I544" s="2">
        <f t="shared" si="22"/>
        <v>0</v>
      </c>
      <c r="J544" s="2">
        <f t="shared" si="23"/>
        <v>0</v>
      </c>
    </row>
    <row r="545" spans="1:10" x14ac:dyDescent="0.25">
      <c r="A545" s="99" t="s">
        <v>631</v>
      </c>
      <c r="B545" s="2"/>
      <c r="C545" s="2">
        <v>-432</v>
      </c>
      <c r="D545" s="2"/>
      <c r="E545" s="2"/>
      <c r="F545" s="2">
        <v>864</v>
      </c>
      <c r="G545" s="113">
        <f t="shared" si="21"/>
        <v>432</v>
      </c>
      <c r="I545" s="2">
        <f t="shared" si="22"/>
        <v>0</v>
      </c>
      <c r="J545" s="2">
        <f t="shared" si="23"/>
        <v>0</v>
      </c>
    </row>
    <row r="546" spans="1:10" x14ac:dyDescent="0.25">
      <c r="A546" s="99" t="s">
        <v>632</v>
      </c>
      <c r="B546" s="2"/>
      <c r="C546" s="2">
        <v>-58</v>
      </c>
      <c r="D546" s="2"/>
      <c r="E546" s="2"/>
      <c r="F546" s="2">
        <v>58</v>
      </c>
      <c r="G546" s="113">
        <f t="shared" si="21"/>
        <v>0</v>
      </c>
      <c r="I546" s="2">
        <f t="shared" si="22"/>
        <v>0</v>
      </c>
      <c r="J546" s="2">
        <f t="shared" si="23"/>
        <v>0</v>
      </c>
    </row>
    <row r="547" spans="1:10" x14ac:dyDescent="0.25">
      <c r="A547" s="99" t="s">
        <v>633</v>
      </c>
      <c r="B547" s="2"/>
      <c r="C547" s="2">
        <v>-290</v>
      </c>
      <c r="D547" s="2"/>
      <c r="E547" s="2"/>
      <c r="F547" s="2">
        <v>290</v>
      </c>
      <c r="G547" s="113">
        <f t="shared" si="21"/>
        <v>0</v>
      </c>
      <c r="I547" s="2">
        <f t="shared" si="22"/>
        <v>0</v>
      </c>
      <c r="J547" s="2">
        <f t="shared" si="23"/>
        <v>0</v>
      </c>
    </row>
    <row r="548" spans="1:10" x14ac:dyDescent="0.25">
      <c r="A548" s="99" t="s">
        <v>634</v>
      </c>
      <c r="B548" s="2"/>
      <c r="C548" s="2">
        <v>-101.25</v>
      </c>
      <c r="D548" s="2"/>
      <c r="E548" s="2"/>
      <c r="F548" s="2">
        <v>101.25</v>
      </c>
      <c r="G548" s="113">
        <f t="shared" si="21"/>
        <v>0</v>
      </c>
      <c r="I548" s="2">
        <f t="shared" si="22"/>
        <v>0</v>
      </c>
      <c r="J548" s="2">
        <f t="shared" si="23"/>
        <v>0</v>
      </c>
    </row>
    <row r="549" spans="1:10" x14ac:dyDescent="0.25">
      <c r="A549" s="99" t="s">
        <v>635</v>
      </c>
      <c r="B549" s="2"/>
      <c r="C549" s="2">
        <v>-432</v>
      </c>
      <c r="D549" s="2"/>
      <c r="E549" s="2"/>
      <c r="F549" s="2">
        <v>432</v>
      </c>
      <c r="G549" s="113">
        <f t="shared" ref="G549:G612" si="24">SUM(B549:F549)</f>
        <v>0</v>
      </c>
      <c r="I549" s="2">
        <f t="shared" ref="I549:I612" si="25">IF(F549=0,C549+D549,0)</f>
        <v>0</v>
      </c>
      <c r="J549" s="2">
        <f t="shared" ref="J549:J612" si="26">IF(G549&lt;0,G549,0)</f>
        <v>0</v>
      </c>
    </row>
    <row r="550" spans="1:10" x14ac:dyDescent="0.25">
      <c r="A550" s="99" t="s">
        <v>960</v>
      </c>
      <c r="B550" s="2"/>
      <c r="C550" s="2">
        <v>-215</v>
      </c>
      <c r="D550" s="2"/>
      <c r="E550" s="2"/>
      <c r="F550" s="2">
        <v>432</v>
      </c>
      <c r="G550" s="113">
        <f t="shared" si="24"/>
        <v>217</v>
      </c>
      <c r="I550" s="2">
        <f t="shared" si="25"/>
        <v>0</v>
      </c>
      <c r="J550" s="2">
        <f t="shared" si="26"/>
        <v>0</v>
      </c>
    </row>
    <row r="551" spans="1:10" x14ac:dyDescent="0.25">
      <c r="A551" s="99" t="s">
        <v>636</v>
      </c>
      <c r="B551" s="2"/>
      <c r="C551" s="2">
        <v>-432</v>
      </c>
      <c r="D551" s="2"/>
      <c r="E551" s="2"/>
      <c r="F551" s="2">
        <v>432</v>
      </c>
      <c r="G551" s="113">
        <f t="shared" si="24"/>
        <v>0</v>
      </c>
      <c r="I551" s="2">
        <f t="shared" si="25"/>
        <v>0</v>
      </c>
      <c r="J551" s="2">
        <f t="shared" si="26"/>
        <v>0</v>
      </c>
    </row>
    <row r="552" spans="1:10" x14ac:dyDescent="0.25">
      <c r="A552" s="99" t="s">
        <v>637</v>
      </c>
      <c r="B552" s="2"/>
      <c r="C552" s="2">
        <v>-290</v>
      </c>
      <c r="D552" s="2"/>
      <c r="E552" s="2"/>
      <c r="F552" s="2">
        <v>290</v>
      </c>
      <c r="G552" s="113">
        <f t="shared" si="24"/>
        <v>0</v>
      </c>
      <c r="I552" s="2">
        <f t="shared" si="25"/>
        <v>0</v>
      </c>
      <c r="J552" s="2">
        <f t="shared" si="26"/>
        <v>0</v>
      </c>
    </row>
    <row r="553" spans="1:10" x14ac:dyDescent="0.25">
      <c r="A553" s="99" t="s">
        <v>638</v>
      </c>
      <c r="B553" s="2"/>
      <c r="C553" s="2">
        <v>-290</v>
      </c>
      <c r="D553" s="2"/>
      <c r="E553" s="2"/>
      <c r="F553" s="2">
        <v>506</v>
      </c>
      <c r="G553" s="113">
        <f t="shared" si="24"/>
        <v>216</v>
      </c>
      <c r="I553" s="2">
        <f t="shared" si="25"/>
        <v>0</v>
      </c>
      <c r="J553" s="2">
        <f t="shared" si="26"/>
        <v>0</v>
      </c>
    </row>
    <row r="554" spans="1:10" x14ac:dyDescent="0.25">
      <c r="A554" s="99" t="s">
        <v>639</v>
      </c>
      <c r="B554" s="2"/>
      <c r="C554" s="2"/>
      <c r="D554" s="2"/>
      <c r="E554" s="2"/>
      <c r="F554" s="2">
        <v>432</v>
      </c>
      <c r="G554" s="113">
        <f t="shared" si="24"/>
        <v>432</v>
      </c>
      <c r="I554" s="2">
        <f t="shared" si="25"/>
        <v>0</v>
      </c>
      <c r="J554" s="2">
        <f t="shared" si="26"/>
        <v>0</v>
      </c>
    </row>
    <row r="555" spans="1:10" x14ac:dyDescent="0.25">
      <c r="A555" s="99" t="s">
        <v>640</v>
      </c>
      <c r="B555" s="2"/>
      <c r="C555" s="2">
        <v>-600</v>
      </c>
      <c r="D555" s="2"/>
      <c r="E555" s="2"/>
      <c r="F555" s="2">
        <v>600</v>
      </c>
      <c r="G555" s="113">
        <f t="shared" si="24"/>
        <v>0</v>
      </c>
      <c r="I555" s="2">
        <f t="shared" si="25"/>
        <v>0</v>
      </c>
      <c r="J555" s="2">
        <f t="shared" si="26"/>
        <v>0</v>
      </c>
    </row>
    <row r="556" spans="1:10" x14ac:dyDescent="0.25">
      <c r="A556" s="99" t="s">
        <v>641</v>
      </c>
      <c r="B556" s="2"/>
      <c r="C556" s="2">
        <v>-450</v>
      </c>
      <c r="D556" s="2"/>
      <c r="E556" s="2"/>
      <c r="F556" s="2">
        <v>450</v>
      </c>
      <c r="G556" s="113">
        <f t="shared" si="24"/>
        <v>0</v>
      </c>
      <c r="I556" s="2">
        <f t="shared" si="25"/>
        <v>0</v>
      </c>
      <c r="J556" s="2">
        <f t="shared" si="26"/>
        <v>0</v>
      </c>
    </row>
    <row r="557" spans="1:10" x14ac:dyDescent="0.25">
      <c r="A557" s="99" t="s">
        <v>642</v>
      </c>
      <c r="B557" s="2"/>
      <c r="C557" s="2">
        <v>-654</v>
      </c>
      <c r="D557" s="2"/>
      <c r="E557" s="2"/>
      <c r="F557" s="2">
        <v>654</v>
      </c>
      <c r="G557" s="113">
        <f t="shared" si="24"/>
        <v>0</v>
      </c>
      <c r="I557" s="2">
        <f t="shared" si="25"/>
        <v>0</v>
      </c>
      <c r="J557" s="2">
        <f t="shared" si="26"/>
        <v>0</v>
      </c>
    </row>
    <row r="558" spans="1:10" x14ac:dyDescent="0.25">
      <c r="A558" s="99" t="s">
        <v>643</v>
      </c>
      <c r="B558" s="2"/>
      <c r="C558" s="2">
        <v>-432</v>
      </c>
      <c r="D558" s="2"/>
      <c r="E558" s="2"/>
      <c r="F558" s="2">
        <v>432</v>
      </c>
      <c r="G558" s="113">
        <f t="shared" si="24"/>
        <v>0</v>
      </c>
      <c r="I558" s="2">
        <f t="shared" si="25"/>
        <v>0</v>
      </c>
      <c r="J558" s="2">
        <f t="shared" si="26"/>
        <v>0</v>
      </c>
    </row>
    <row r="559" spans="1:10" x14ac:dyDescent="0.25">
      <c r="A559" s="99" t="s">
        <v>961</v>
      </c>
      <c r="B559" s="2"/>
      <c r="C559" s="2">
        <v>-432</v>
      </c>
      <c r="D559" s="2"/>
      <c r="E559" s="2"/>
      <c r="F559" s="2">
        <v>432</v>
      </c>
      <c r="G559" s="113">
        <f t="shared" si="24"/>
        <v>0</v>
      </c>
      <c r="I559" s="2">
        <f t="shared" si="25"/>
        <v>0</v>
      </c>
      <c r="J559" s="2">
        <f t="shared" si="26"/>
        <v>0</v>
      </c>
    </row>
    <row r="560" spans="1:10" x14ac:dyDescent="0.25">
      <c r="A560" s="99" t="s">
        <v>645</v>
      </c>
      <c r="B560" s="2"/>
      <c r="C560" s="2">
        <v>-432</v>
      </c>
      <c r="D560" s="2"/>
      <c r="E560" s="2"/>
      <c r="F560" s="2">
        <v>432</v>
      </c>
      <c r="G560" s="113">
        <f t="shared" si="24"/>
        <v>0</v>
      </c>
      <c r="I560" s="2">
        <f t="shared" si="25"/>
        <v>0</v>
      </c>
      <c r="J560" s="2">
        <f t="shared" si="26"/>
        <v>0</v>
      </c>
    </row>
    <row r="561" spans="1:10" x14ac:dyDescent="0.25">
      <c r="A561" s="99" t="s">
        <v>646</v>
      </c>
      <c r="B561" s="2"/>
      <c r="C561" s="2">
        <v>-750</v>
      </c>
      <c r="D561" s="2"/>
      <c r="E561" s="2"/>
      <c r="F561" s="2">
        <v>1068</v>
      </c>
      <c r="G561" s="113">
        <f t="shared" si="24"/>
        <v>318</v>
      </c>
      <c r="I561" s="2">
        <f t="shared" si="25"/>
        <v>0</v>
      </c>
      <c r="J561" s="2">
        <f t="shared" si="26"/>
        <v>0</v>
      </c>
    </row>
    <row r="562" spans="1:10" x14ac:dyDescent="0.25">
      <c r="A562" s="99" t="s">
        <v>647</v>
      </c>
      <c r="B562" s="2"/>
      <c r="C562" s="2">
        <v>-290</v>
      </c>
      <c r="D562" s="2"/>
      <c r="E562" s="2"/>
      <c r="F562" s="2">
        <v>290</v>
      </c>
      <c r="G562" s="113">
        <f t="shared" si="24"/>
        <v>0</v>
      </c>
      <c r="I562" s="2">
        <f t="shared" si="25"/>
        <v>0</v>
      </c>
      <c r="J562" s="2">
        <f t="shared" si="26"/>
        <v>0</v>
      </c>
    </row>
    <row r="563" spans="1:10" x14ac:dyDescent="0.25">
      <c r="A563" s="99" t="s">
        <v>648</v>
      </c>
      <c r="B563" s="2"/>
      <c r="C563" s="2">
        <v>-450</v>
      </c>
      <c r="D563" s="2"/>
      <c r="E563" s="2"/>
      <c r="F563" s="2">
        <v>450</v>
      </c>
      <c r="G563" s="113">
        <f t="shared" si="24"/>
        <v>0</v>
      </c>
      <c r="I563" s="2">
        <f t="shared" si="25"/>
        <v>0</v>
      </c>
      <c r="J563" s="2">
        <f t="shared" si="26"/>
        <v>0</v>
      </c>
    </row>
    <row r="564" spans="1:10" x14ac:dyDescent="0.25">
      <c r="A564" s="99" t="s">
        <v>649</v>
      </c>
      <c r="B564" s="2"/>
      <c r="C564" s="2"/>
      <c r="D564" s="2"/>
      <c r="E564" s="2"/>
      <c r="F564" s="2">
        <v>224</v>
      </c>
      <c r="G564" s="113">
        <f t="shared" si="24"/>
        <v>224</v>
      </c>
      <c r="I564" s="2">
        <f t="shared" si="25"/>
        <v>0</v>
      </c>
      <c r="J564" s="2">
        <f t="shared" si="26"/>
        <v>0</v>
      </c>
    </row>
    <row r="565" spans="1:10" x14ac:dyDescent="0.25">
      <c r="A565" s="99" t="s">
        <v>650</v>
      </c>
      <c r="B565" s="2"/>
      <c r="C565" s="2">
        <v>-432</v>
      </c>
      <c r="D565" s="2"/>
      <c r="E565" s="2"/>
      <c r="F565" s="2">
        <v>432</v>
      </c>
      <c r="G565" s="113">
        <f t="shared" si="24"/>
        <v>0</v>
      </c>
      <c r="I565" s="2">
        <f t="shared" si="25"/>
        <v>0</v>
      </c>
      <c r="J565" s="2">
        <f t="shared" si="26"/>
        <v>0</v>
      </c>
    </row>
    <row r="566" spans="1:10" x14ac:dyDescent="0.25">
      <c r="A566" s="99" t="s">
        <v>651</v>
      </c>
      <c r="B566" s="2"/>
      <c r="C566" s="2">
        <v>-510</v>
      </c>
      <c r="D566" s="2"/>
      <c r="E566" s="2"/>
      <c r="F566" s="2">
        <v>510</v>
      </c>
      <c r="G566" s="113">
        <f t="shared" si="24"/>
        <v>0</v>
      </c>
      <c r="I566" s="2">
        <f t="shared" si="25"/>
        <v>0</v>
      </c>
      <c r="J566" s="2">
        <f t="shared" si="26"/>
        <v>0</v>
      </c>
    </row>
    <row r="567" spans="1:10" x14ac:dyDescent="0.25">
      <c r="A567" s="99" t="s">
        <v>652</v>
      </c>
      <c r="B567" s="2"/>
      <c r="C567" s="2">
        <v>-588</v>
      </c>
      <c r="D567" s="2"/>
      <c r="E567" s="2"/>
      <c r="F567" s="2">
        <v>744</v>
      </c>
      <c r="G567" s="113">
        <f t="shared" si="24"/>
        <v>156</v>
      </c>
      <c r="I567" s="2">
        <f t="shared" si="25"/>
        <v>0</v>
      </c>
      <c r="J567" s="2">
        <f t="shared" si="26"/>
        <v>0</v>
      </c>
    </row>
    <row r="568" spans="1:10" x14ac:dyDescent="0.25">
      <c r="A568" s="99" t="s">
        <v>653</v>
      </c>
      <c r="B568" s="2"/>
      <c r="C568" s="2">
        <v>-29</v>
      </c>
      <c r="D568" s="2"/>
      <c r="E568" s="2"/>
      <c r="F568" s="2">
        <v>29</v>
      </c>
      <c r="G568" s="113">
        <f t="shared" si="24"/>
        <v>0</v>
      </c>
      <c r="I568" s="2">
        <f t="shared" si="25"/>
        <v>0</v>
      </c>
      <c r="J568" s="2">
        <f t="shared" si="26"/>
        <v>0</v>
      </c>
    </row>
    <row r="569" spans="1:10" x14ac:dyDescent="0.25">
      <c r="A569" s="99" t="s">
        <v>962</v>
      </c>
      <c r="B569" s="2"/>
      <c r="C569" s="2">
        <v>-290</v>
      </c>
      <c r="D569" s="2"/>
      <c r="E569" s="2"/>
      <c r="F569" s="2">
        <v>290</v>
      </c>
      <c r="G569" s="113">
        <f t="shared" si="24"/>
        <v>0</v>
      </c>
      <c r="I569" s="2">
        <f t="shared" si="25"/>
        <v>0</v>
      </c>
      <c r="J569" s="2">
        <f t="shared" si="26"/>
        <v>0</v>
      </c>
    </row>
    <row r="570" spans="1:10" x14ac:dyDescent="0.25">
      <c r="A570" s="99" t="s">
        <v>654</v>
      </c>
      <c r="B570" s="2"/>
      <c r="C570" s="2">
        <v>-115</v>
      </c>
      <c r="D570" s="2"/>
      <c r="E570" s="2"/>
      <c r="F570" s="2">
        <v>115</v>
      </c>
      <c r="G570" s="113">
        <f t="shared" si="24"/>
        <v>0</v>
      </c>
      <c r="I570" s="2">
        <f t="shared" si="25"/>
        <v>0</v>
      </c>
      <c r="J570" s="2">
        <f t="shared" si="26"/>
        <v>0</v>
      </c>
    </row>
    <row r="571" spans="1:10" x14ac:dyDescent="0.25">
      <c r="A571" s="99" t="s">
        <v>655</v>
      </c>
      <c r="B571" s="2"/>
      <c r="C571" s="2"/>
      <c r="D571" s="2"/>
      <c r="E571" s="2"/>
      <c r="F571" s="2">
        <v>216</v>
      </c>
      <c r="G571" s="113">
        <f t="shared" si="24"/>
        <v>216</v>
      </c>
      <c r="I571" s="2">
        <f t="shared" si="25"/>
        <v>0</v>
      </c>
      <c r="J571" s="2">
        <f t="shared" si="26"/>
        <v>0</v>
      </c>
    </row>
    <row r="572" spans="1:10" x14ac:dyDescent="0.25">
      <c r="A572" s="99" t="s">
        <v>656</v>
      </c>
      <c r="B572" s="2"/>
      <c r="C572" s="2">
        <v>-250</v>
      </c>
      <c r="D572" s="2"/>
      <c r="E572" s="2">
        <v>29.76</v>
      </c>
      <c r="F572" s="2">
        <v>220.24</v>
      </c>
      <c r="G572" s="113">
        <f t="shared" si="24"/>
        <v>0</v>
      </c>
      <c r="I572" s="2">
        <f t="shared" si="25"/>
        <v>0</v>
      </c>
      <c r="J572" s="2">
        <f t="shared" si="26"/>
        <v>0</v>
      </c>
    </row>
    <row r="573" spans="1:10" x14ac:dyDescent="0.25">
      <c r="A573" s="99" t="s">
        <v>963</v>
      </c>
      <c r="B573" s="2"/>
      <c r="C573" s="2"/>
      <c r="D573" s="2"/>
      <c r="E573" s="2"/>
      <c r="F573" s="2">
        <v>232</v>
      </c>
      <c r="G573" s="113">
        <f t="shared" si="24"/>
        <v>232</v>
      </c>
      <c r="I573" s="2">
        <f t="shared" si="25"/>
        <v>0</v>
      </c>
      <c r="J573" s="2">
        <f t="shared" si="26"/>
        <v>0</v>
      </c>
    </row>
    <row r="574" spans="1:10" x14ac:dyDescent="0.25">
      <c r="A574" s="99" t="s">
        <v>657</v>
      </c>
      <c r="B574" s="2">
        <v>-0.01</v>
      </c>
      <c r="C574" s="2">
        <v>-432</v>
      </c>
      <c r="D574" s="2"/>
      <c r="E574" s="2"/>
      <c r="F574" s="2">
        <v>864.01</v>
      </c>
      <c r="G574" s="113">
        <f t="shared" si="24"/>
        <v>432</v>
      </c>
      <c r="I574" s="2">
        <f t="shared" si="25"/>
        <v>0</v>
      </c>
      <c r="J574" s="2">
        <f t="shared" si="26"/>
        <v>0</v>
      </c>
    </row>
    <row r="575" spans="1:10" x14ac:dyDescent="0.25">
      <c r="A575" s="99" t="s">
        <v>658</v>
      </c>
      <c r="B575" s="2"/>
      <c r="C575" s="2">
        <v>-202.5</v>
      </c>
      <c r="D575" s="2"/>
      <c r="E575" s="2"/>
      <c r="F575" s="2">
        <v>252.5</v>
      </c>
      <c r="G575" s="113">
        <f t="shared" si="24"/>
        <v>50</v>
      </c>
      <c r="I575" s="2">
        <f t="shared" si="25"/>
        <v>0</v>
      </c>
      <c r="J575" s="2">
        <f t="shared" si="26"/>
        <v>0</v>
      </c>
    </row>
    <row r="576" spans="1:10" x14ac:dyDescent="0.25">
      <c r="A576" s="99" t="s">
        <v>964</v>
      </c>
      <c r="B576" s="2"/>
      <c r="C576" s="2">
        <v>-27.81</v>
      </c>
      <c r="D576" s="2"/>
      <c r="E576" s="2"/>
      <c r="F576" s="2">
        <v>27.81</v>
      </c>
      <c r="G576" s="113">
        <f t="shared" si="24"/>
        <v>0</v>
      </c>
      <c r="I576" s="2">
        <f t="shared" si="25"/>
        <v>0</v>
      </c>
      <c r="J576" s="2">
        <f t="shared" si="26"/>
        <v>0</v>
      </c>
    </row>
    <row r="577" spans="1:10" x14ac:dyDescent="0.25">
      <c r="A577" s="99" t="s">
        <v>965</v>
      </c>
      <c r="B577" s="2">
        <v>-0.02</v>
      </c>
      <c r="C577" s="2"/>
      <c r="D577" s="2"/>
      <c r="E577" s="2"/>
      <c r="F577" s="2">
        <v>0.02</v>
      </c>
      <c r="G577" s="113">
        <f t="shared" si="24"/>
        <v>0</v>
      </c>
      <c r="I577" s="2">
        <f t="shared" si="25"/>
        <v>0</v>
      </c>
      <c r="J577" s="2">
        <f t="shared" si="26"/>
        <v>0</v>
      </c>
    </row>
    <row r="578" spans="1:10" x14ac:dyDescent="0.25">
      <c r="A578" s="99" t="s">
        <v>659</v>
      </c>
      <c r="B578" s="2"/>
      <c r="C578" s="2">
        <v>-57.89</v>
      </c>
      <c r="D578" s="2"/>
      <c r="E578" s="2"/>
      <c r="F578" s="2">
        <v>57.89</v>
      </c>
      <c r="G578" s="113">
        <f t="shared" si="24"/>
        <v>0</v>
      </c>
      <c r="I578" s="2">
        <f t="shared" si="25"/>
        <v>0</v>
      </c>
      <c r="J578" s="2">
        <f t="shared" si="26"/>
        <v>0</v>
      </c>
    </row>
    <row r="579" spans="1:10" x14ac:dyDescent="0.25">
      <c r="A579" s="99" t="s">
        <v>660</v>
      </c>
      <c r="B579" s="2"/>
      <c r="C579" s="2">
        <v>-432</v>
      </c>
      <c r="D579" s="2"/>
      <c r="E579" s="2"/>
      <c r="F579" s="2">
        <v>432</v>
      </c>
      <c r="G579" s="113">
        <f t="shared" si="24"/>
        <v>0</v>
      </c>
      <c r="I579" s="2">
        <f t="shared" si="25"/>
        <v>0</v>
      </c>
      <c r="J579" s="2">
        <f t="shared" si="26"/>
        <v>0</v>
      </c>
    </row>
    <row r="580" spans="1:10" x14ac:dyDescent="0.25">
      <c r="A580" s="99" t="s">
        <v>661</v>
      </c>
      <c r="B580" s="2"/>
      <c r="C580" s="2">
        <v>-460.6</v>
      </c>
      <c r="D580" s="2"/>
      <c r="E580" s="2"/>
      <c r="F580" s="2">
        <v>610.59999999999991</v>
      </c>
      <c r="G580" s="113">
        <f t="shared" si="24"/>
        <v>149.99999999999989</v>
      </c>
      <c r="I580" s="2">
        <f t="shared" si="25"/>
        <v>0</v>
      </c>
      <c r="J580" s="2">
        <f t="shared" si="26"/>
        <v>0</v>
      </c>
    </row>
    <row r="581" spans="1:10" x14ac:dyDescent="0.25">
      <c r="A581" s="99" t="s">
        <v>966</v>
      </c>
      <c r="B581" s="2"/>
      <c r="C581" s="2"/>
      <c r="D581" s="2"/>
      <c r="E581" s="2"/>
      <c r="F581" s="2">
        <v>570</v>
      </c>
      <c r="G581" s="113">
        <f t="shared" si="24"/>
        <v>570</v>
      </c>
      <c r="I581" s="2">
        <f t="shared" si="25"/>
        <v>0</v>
      </c>
      <c r="J581" s="2">
        <f t="shared" si="26"/>
        <v>0</v>
      </c>
    </row>
    <row r="582" spans="1:10" x14ac:dyDescent="0.25">
      <c r="A582" s="99" t="s">
        <v>662</v>
      </c>
      <c r="B582" s="2"/>
      <c r="C582" s="2"/>
      <c r="D582" s="2"/>
      <c r="E582" s="2"/>
      <c r="F582" s="2">
        <v>224</v>
      </c>
      <c r="G582" s="113">
        <f t="shared" si="24"/>
        <v>224</v>
      </c>
      <c r="I582" s="2">
        <f t="shared" si="25"/>
        <v>0</v>
      </c>
      <c r="J582" s="2">
        <f t="shared" si="26"/>
        <v>0</v>
      </c>
    </row>
    <row r="583" spans="1:10" x14ac:dyDescent="0.25">
      <c r="A583" s="99" t="s">
        <v>967</v>
      </c>
      <c r="B583" s="2"/>
      <c r="C583" s="2"/>
      <c r="D583" s="2"/>
      <c r="E583" s="2"/>
      <c r="F583" s="2">
        <v>464</v>
      </c>
      <c r="G583" s="113">
        <f t="shared" si="24"/>
        <v>464</v>
      </c>
      <c r="I583" s="2">
        <f t="shared" si="25"/>
        <v>0</v>
      </c>
      <c r="J583" s="2">
        <f t="shared" si="26"/>
        <v>0</v>
      </c>
    </row>
    <row r="584" spans="1:10" x14ac:dyDescent="0.25">
      <c r="A584" s="99" t="s">
        <v>968</v>
      </c>
      <c r="B584" s="2"/>
      <c r="C584" s="2"/>
      <c r="D584" s="2"/>
      <c r="E584" s="2"/>
      <c r="F584" s="2">
        <v>290</v>
      </c>
      <c r="G584" s="113">
        <f t="shared" si="24"/>
        <v>290</v>
      </c>
      <c r="I584" s="2">
        <f t="shared" si="25"/>
        <v>0</v>
      </c>
      <c r="J584" s="2">
        <f t="shared" si="26"/>
        <v>0</v>
      </c>
    </row>
    <row r="585" spans="1:10" x14ac:dyDescent="0.25">
      <c r="A585" s="99" t="s">
        <v>663</v>
      </c>
      <c r="B585" s="2"/>
      <c r="C585" s="2">
        <v>-450</v>
      </c>
      <c r="D585" s="2"/>
      <c r="E585" s="2"/>
      <c r="F585" s="2">
        <v>450</v>
      </c>
      <c r="G585" s="113">
        <f t="shared" si="24"/>
        <v>0</v>
      </c>
      <c r="I585" s="2">
        <f t="shared" si="25"/>
        <v>0</v>
      </c>
      <c r="J585" s="2">
        <f t="shared" si="26"/>
        <v>0</v>
      </c>
    </row>
    <row r="586" spans="1:10" x14ac:dyDescent="0.25">
      <c r="A586" s="99" t="s">
        <v>664</v>
      </c>
      <c r="B586" s="2"/>
      <c r="C586" s="2">
        <v>-61.82</v>
      </c>
      <c r="D586" s="2"/>
      <c r="E586" s="2"/>
      <c r="F586" s="2">
        <v>61.82</v>
      </c>
      <c r="G586" s="113">
        <f t="shared" si="24"/>
        <v>0</v>
      </c>
      <c r="I586" s="2">
        <f t="shared" si="25"/>
        <v>0</v>
      </c>
      <c r="J586" s="2">
        <f t="shared" si="26"/>
        <v>0</v>
      </c>
    </row>
    <row r="587" spans="1:10" x14ac:dyDescent="0.25">
      <c r="A587" s="99" t="s">
        <v>665</v>
      </c>
      <c r="B587" s="2"/>
      <c r="C587" s="2">
        <v>-8.27</v>
      </c>
      <c r="D587" s="2"/>
      <c r="E587" s="2"/>
      <c r="F587" s="2">
        <v>8.27</v>
      </c>
      <c r="G587" s="113">
        <f t="shared" si="24"/>
        <v>0</v>
      </c>
      <c r="I587" s="2">
        <f t="shared" si="25"/>
        <v>0</v>
      </c>
      <c r="J587" s="2">
        <f t="shared" si="26"/>
        <v>0</v>
      </c>
    </row>
    <row r="588" spans="1:10" x14ac:dyDescent="0.25">
      <c r="A588" s="99" t="s">
        <v>666</v>
      </c>
      <c r="B588" s="2"/>
      <c r="C588" s="2">
        <v>-432</v>
      </c>
      <c r="D588" s="2"/>
      <c r="E588" s="2"/>
      <c r="F588" s="2">
        <v>432</v>
      </c>
      <c r="G588" s="113">
        <f t="shared" si="24"/>
        <v>0</v>
      </c>
      <c r="I588" s="2">
        <f t="shared" si="25"/>
        <v>0</v>
      </c>
      <c r="J588" s="2">
        <f t="shared" si="26"/>
        <v>0</v>
      </c>
    </row>
    <row r="589" spans="1:10" x14ac:dyDescent="0.25">
      <c r="A589" s="99" t="s">
        <v>667</v>
      </c>
      <c r="B589" s="2"/>
      <c r="C589" s="2">
        <v>-432</v>
      </c>
      <c r="D589" s="2"/>
      <c r="E589" s="2"/>
      <c r="F589" s="2">
        <v>432</v>
      </c>
      <c r="G589" s="113">
        <f t="shared" si="24"/>
        <v>0</v>
      </c>
      <c r="I589" s="2">
        <f t="shared" si="25"/>
        <v>0</v>
      </c>
      <c r="J589" s="2">
        <f t="shared" si="26"/>
        <v>0</v>
      </c>
    </row>
    <row r="590" spans="1:10" x14ac:dyDescent="0.25">
      <c r="A590" s="99" t="s">
        <v>969</v>
      </c>
      <c r="B590" s="2"/>
      <c r="C590" s="2"/>
      <c r="D590" s="2"/>
      <c r="E590" s="2"/>
      <c r="F590" s="2">
        <v>234</v>
      </c>
      <c r="G590" s="113">
        <f t="shared" si="24"/>
        <v>234</v>
      </c>
      <c r="I590" s="2">
        <f t="shared" si="25"/>
        <v>0</v>
      </c>
      <c r="J590" s="2">
        <f t="shared" si="26"/>
        <v>0</v>
      </c>
    </row>
    <row r="591" spans="1:10" x14ac:dyDescent="0.25">
      <c r="A591" s="99" t="s">
        <v>668</v>
      </c>
      <c r="B591" s="2"/>
      <c r="C591" s="2">
        <v>-39</v>
      </c>
      <c r="D591" s="2"/>
      <c r="E591" s="2"/>
      <c r="F591" s="2">
        <v>39</v>
      </c>
      <c r="G591" s="113">
        <f t="shared" si="24"/>
        <v>0</v>
      </c>
      <c r="I591" s="2">
        <f t="shared" si="25"/>
        <v>0</v>
      </c>
      <c r="J591" s="2">
        <f t="shared" si="26"/>
        <v>0</v>
      </c>
    </row>
    <row r="592" spans="1:10" x14ac:dyDescent="0.25">
      <c r="A592" s="99" t="s">
        <v>970</v>
      </c>
      <c r="B592" s="2"/>
      <c r="C592" s="2">
        <v>-25</v>
      </c>
      <c r="D592" s="2"/>
      <c r="E592" s="2"/>
      <c r="F592" s="2">
        <v>290</v>
      </c>
      <c r="G592" s="113">
        <f t="shared" si="24"/>
        <v>265</v>
      </c>
      <c r="I592" s="2">
        <f t="shared" si="25"/>
        <v>0</v>
      </c>
      <c r="J592" s="2">
        <f t="shared" si="26"/>
        <v>0</v>
      </c>
    </row>
    <row r="593" spans="1:10" x14ac:dyDescent="0.25">
      <c r="A593" s="99" t="s">
        <v>669</v>
      </c>
      <c r="B593" s="2">
        <v>-0.01</v>
      </c>
      <c r="C593" s="2">
        <v>-465</v>
      </c>
      <c r="D593" s="2"/>
      <c r="E593" s="2"/>
      <c r="F593" s="2">
        <v>146.29</v>
      </c>
      <c r="G593" s="113">
        <f t="shared" si="24"/>
        <v>-318.72000000000003</v>
      </c>
      <c r="I593" s="2">
        <f t="shared" si="25"/>
        <v>0</v>
      </c>
      <c r="J593" s="2">
        <f t="shared" si="26"/>
        <v>-318.72000000000003</v>
      </c>
    </row>
    <row r="594" spans="1:10" x14ac:dyDescent="0.25">
      <c r="A594" s="99" t="s">
        <v>971</v>
      </c>
      <c r="B594" s="2"/>
      <c r="C594" s="2">
        <v>-450</v>
      </c>
      <c r="D594" s="2"/>
      <c r="E594" s="2"/>
      <c r="F594" s="2">
        <v>450</v>
      </c>
      <c r="G594" s="113">
        <f t="shared" si="24"/>
        <v>0</v>
      </c>
      <c r="I594" s="2">
        <f t="shared" si="25"/>
        <v>0</v>
      </c>
      <c r="J594" s="2">
        <f t="shared" si="26"/>
        <v>0</v>
      </c>
    </row>
    <row r="595" spans="1:10" x14ac:dyDescent="0.25">
      <c r="A595" s="99" t="s">
        <v>670</v>
      </c>
      <c r="B595" s="2"/>
      <c r="C595" s="2">
        <v>-432</v>
      </c>
      <c r="D595" s="2"/>
      <c r="E595" s="2"/>
      <c r="F595" s="2">
        <v>432</v>
      </c>
      <c r="G595" s="113">
        <f t="shared" si="24"/>
        <v>0</v>
      </c>
      <c r="I595" s="2">
        <f t="shared" si="25"/>
        <v>0</v>
      </c>
      <c r="J595" s="2">
        <f t="shared" si="26"/>
        <v>0</v>
      </c>
    </row>
    <row r="596" spans="1:10" x14ac:dyDescent="0.25">
      <c r="A596" s="99" t="s">
        <v>671</v>
      </c>
      <c r="B596" s="2"/>
      <c r="C596" s="2">
        <v>-132</v>
      </c>
      <c r="D596" s="2"/>
      <c r="E596" s="2"/>
      <c r="F596" s="2">
        <v>132</v>
      </c>
      <c r="G596" s="113">
        <f t="shared" si="24"/>
        <v>0</v>
      </c>
      <c r="I596" s="2">
        <f t="shared" si="25"/>
        <v>0</v>
      </c>
      <c r="J596" s="2">
        <f t="shared" si="26"/>
        <v>0</v>
      </c>
    </row>
    <row r="597" spans="1:10" x14ac:dyDescent="0.25">
      <c r="A597" s="99" t="s">
        <v>972</v>
      </c>
      <c r="B597" s="2"/>
      <c r="C597" s="2"/>
      <c r="D597" s="2"/>
      <c r="E597" s="2"/>
      <c r="F597" s="2">
        <v>182.98</v>
      </c>
      <c r="G597" s="113">
        <f t="shared" si="24"/>
        <v>182.98</v>
      </c>
      <c r="I597" s="2">
        <f t="shared" si="25"/>
        <v>0</v>
      </c>
      <c r="J597" s="2">
        <f t="shared" si="26"/>
        <v>0</v>
      </c>
    </row>
    <row r="598" spans="1:10" x14ac:dyDescent="0.25">
      <c r="A598" s="99" t="s">
        <v>973</v>
      </c>
      <c r="B598" s="2"/>
      <c r="C598" s="2">
        <v>-450</v>
      </c>
      <c r="D598" s="2"/>
      <c r="E598" s="2"/>
      <c r="F598" s="2">
        <v>450</v>
      </c>
      <c r="G598" s="113">
        <f t="shared" si="24"/>
        <v>0</v>
      </c>
      <c r="I598" s="2">
        <f t="shared" si="25"/>
        <v>0</v>
      </c>
      <c r="J598" s="2">
        <f t="shared" si="26"/>
        <v>0</v>
      </c>
    </row>
    <row r="599" spans="1:10" x14ac:dyDescent="0.25">
      <c r="A599" s="99" t="s">
        <v>672</v>
      </c>
      <c r="B599" s="2"/>
      <c r="C599" s="2">
        <v>-210</v>
      </c>
      <c r="D599" s="2"/>
      <c r="E599" s="2"/>
      <c r="F599" s="2">
        <v>210</v>
      </c>
      <c r="G599" s="113">
        <f t="shared" si="24"/>
        <v>0</v>
      </c>
      <c r="I599" s="2">
        <f t="shared" si="25"/>
        <v>0</v>
      </c>
      <c r="J599" s="2">
        <f t="shared" si="26"/>
        <v>0</v>
      </c>
    </row>
    <row r="600" spans="1:10" x14ac:dyDescent="0.25">
      <c r="A600" s="99" t="s">
        <v>673</v>
      </c>
      <c r="B600" s="2"/>
      <c r="C600" s="2">
        <v>-115</v>
      </c>
      <c r="D600" s="2"/>
      <c r="E600" s="2"/>
      <c r="F600" s="2">
        <v>115</v>
      </c>
      <c r="G600" s="113">
        <f t="shared" si="24"/>
        <v>0</v>
      </c>
      <c r="I600" s="2">
        <f t="shared" si="25"/>
        <v>0</v>
      </c>
      <c r="J600" s="2">
        <f t="shared" si="26"/>
        <v>0</v>
      </c>
    </row>
    <row r="601" spans="1:10" x14ac:dyDescent="0.25">
      <c r="A601" s="99" t="s">
        <v>674</v>
      </c>
      <c r="B601" s="2"/>
      <c r="C601" s="2">
        <v>-432</v>
      </c>
      <c r="D601" s="2"/>
      <c r="E601" s="2"/>
      <c r="F601" s="2">
        <v>432</v>
      </c>
      <c r="G601" s="113">
        <f t="shared" si="24"/>
        <v>0</v>
      </c>
      <c r="I601" s="2">
        <f t="shared" si="25"/>
        <v>0</v>
      </c>
      <c r="J601" s="2">
        <f t="shared" si="26"/>
        <v>0</v>
      </c>
    </row>
    <row r="602" spans="1:10" x14ac:dyDescent="0.25">
      <c r="A602" s="99" t="s">
        <v>675</v>
      </c>
      <c r="B602" s="2"/>
      <c r="C602" s="2">
        <v>-768</v>
      </c>
      <c r="D602" s="2"/>
      <c r="E602" s="2"/>
      <c r="F602" s="2">
        <v>450</v>
      </c>
      <c r="G602" s="113">
        <f t="shared" si="24"/>
        <v>-318</v>
      </c>
      <c r="I602" s="2">
        <f t="shared" si="25"/>
        <v>0</v>
      </c>
      <c r="J602" s="2">
        <f t="shared" si="26"/>
        <v>-318</v>
      </c>
    </row>
    <row r="603" spans="1:10" x14ac:dyDescent="0.25">
      <c r="A603" s="99" t="s">
        <v>676</v>
      </c>
      <c r="B603" s="2"/>
      <c r="C603" s="2">
        <v>-432</v>
      </c>
      <c r="D603" s="2"/>
      <c r="E603" s="2"/>
      <c r="F603" s="2">
        <v>432</v>
      </c>
      <c r="G603" s="113">
        <f t="shared" si="24"/>
        <v>0</v>
      </c>
      <c r="I603" s="2">
        <f t="shared" si="25"/>
        <v>0</v>
      </c>
      <c r="J603" s="2">
        <f t="shared" si="26"/>
        <v>0</v>
      </c>
    </row>
    <row r="604" spans="1:10" x14ac:dyDescent="0.25">
      <c r="A604" s="99" t="s">
        <v>677</v>
      </c>
      <c r="B604" s="2"/>
      <c r="C604" s="2">
        <v>-318</v>
      </c>
      <c r="D604" s="2"/>
      <c r="E604" s="2"/>
      <c r="F604" s="2">
        <v>318</v>
      </c>
      <c r="G604" s="113">
        <f t="shared" si="24"/>
        <v>0</v>
      </c>
      <c r="I604" s="2">
        <f t="shared" si="25"/>
        <v>0</v>
      </c>
      <c r="J604" s="2">
        <f t="shared" si="26"/>
        <v>0</v>
      </c>
    </row>
    <row r="605" spans="1:10" x14ac:dyDescent="0.25">
      <c r="A605" s="99" t="s">
        <v>678</v>
      </c>
      <c r="B605" s="2"/>
      <c r="C605" s="2">
        <v>-290</v>
      </c>
      <c r="D605" s="2"/>
      <c r="E605" s="2"/>
      <c r="F605" s="2">
        <v>290</v>
      </c>
      <c r="G605" s="113">
        <f t="shared" si="24"/>
        <v>0</v>
      </c>
      <c r="I605" s="2">
        <f t="shared" si="25"/>
        <v>0</v>
      </c>
      <c r="J605" s="2">
        <f t="shared" si="26"/>
        <v>0</v>
      </c>
    </row>
    <row r="606" spans="1:10" x14ac:dyDescent="0.25">
      <c r="A606" s="99" t="s">
        <v>679</v>
      </c>
      <c r="B606" s="2"/>
      <c r="C606" s="2">
        <v>-115</v>
      </c>
      <c r="D606" s="2"/>
      <c r="E606" s="2"/>
      <c r="F606" s="2">
        <v>450</v>
      </c>
      <c r="G606" s="113">
        <f t="shared" si="24"/>
        <v>335</v>
      </c>
      <c r="I606" s="2">
        <f t="shared" si="25"/>
        <v>0</v>
      </c>
      <c r="J606" s="2">
        <f t="shared" si="26"/>
        <v>0</v>
      </c>
    </row>
    <row r="607" spans="1:10" x14ac:dyDescent="0.25">
      <c r="A607" s="99" t="s">
        <v>974</v>
      </c>
      <c r="B607" s="2"/>
      <c r="C607" s="2">
        <v>-300</v>
      </c>
      <c r="D607" s="2"/>
      <c r="E607" s="2"/>
      <c r="F607" s="2">
        <v>864</v>
      </c>
      <c r="G607" s="113">
        <f t="shared" si="24"/>
        <v>564</v>
      </c>
      <c r="I607" s="2">
        <f t="shared" si="25"/>
        <v>0</v>
      </c>
      <c r="J607" s="2">
        <f t="shared" si="26"/>
        <v>0</v>
      </c>
    </row>
    <row r="608" spans="1:10" x14ac:dyDescent="0.25">
      <c r="A608" s="99" t="s">
        <v>975</v>
      </c>
      <c r="B608" s="2"/>
      <c r="C608" s="2">
        <v>-300.60000000000002</v>
      </c>
      <c r="D608" s="2"/>
      <c r="E608" s="2"/>
      <c r="F608" s="2">
        <v>300.60000000000002</v>
      </c>
      <c r="G608" s="113">
        <f t="shared" si="24"/>
        <v>0</v>
      </c>
      <c r="I608" s="2">
        <f t="shared" si="25"/>
        <v>0</v>
      </c>
      <c r="J608" s="2">
        <f t="shared" si="26"/>
        <v>0</v>
      </c>
    </row>
    <row r="609" spans="1:10" x14ac:dyDescent="0.25">
      <c r="A609" s="99" t="s">
        <v>680</v>
      </c>
      <c r="B609" s="2"/>
      <c r="C609" s="2">
        <v>-432</v>
      </c>
      <c r="D609" s="2"/>
      <c r="E609" s="2"/>
      <c r="F609" s="2">
        <v>432</v>
      </c>
      <c r="G609" s="113">
        <f t="shared" si="24"/>
        <v>0</v>
      </c>
      <c r="I609" s="2">
        <f t="shared" si="25"/>
        <v>0</v>
      </c>
      <c r="J609" s="2">
        <f t="shared" si="26"/>
        <v>0</v>
      </c>
    </row>
    <row r="610" spans="1:10" x14ac:dyDescent="0.25">
      <c r="A610" s="99" t="s">
        <v>976</v>
      </c>
      <c r="B610" s="2"/>
      <c r="C610" s="2">
        <v>-318</v>
      </c>
      <c r="D610" s="2"/>
      <c r="E610" s="2"/>
      <c r="F610" s="2">
        <v>318</v>
      </c>
      <c r="G610" s="113">
        <f t="shared" si="24"/>
        <v>0</v>
      </c>
      <c r="I610" s="2">
        <f t="shared" si="25"/>
        <v>0</v>
      </c>
      <c r="J610" s="2">
        <f t="shared" si="26"/>
        <v>0</v>
      </c>
    </row>
    <row r="611" spans="1:10" x14ac:dyDescent="0.25">
      <c r="A611" s="99" t="s">
        <v>977</v>
      </c>
      <c r="B611" s="2"/>
      <c r="C611" s="2"/>
      <c r="D611" s="2"/>
      <c r="E611" s="2"/>
      <c r="F611" s="2">
        <v>224</v>
      </c>
      <c r="G611" s="113">
        <f t="shared" si="24"/>
        <v>224</v>
      </c>
      <c r="I611" s="2">
        <f t="shared" si="25"/>
        <v>0</v>
      </c>
      <c r="J611" s="2">
        <f t="shared" si="26"/>
        <v>0</v>
      </c>
    </row>
    <row r="612" spans="1:10" x14ac:dyDescent="0.25">
      <c r="A612" s="99" t="s">
        <v>978</v>
      </c>
      <c r="B612" s="2"/>
      <c r="C612" s="2">
        <v>-50</v>
      </c>
      <c r="D612" s="2"/>
      <c r="E612" s="2"/>
      <c r="F612" s="2">
        <v>318</v>
      </c>
      <c r="G612" s="113">
        <f t="shared" si="24"/>
        <v>268</v>
      </c>
      <c r="I612" s="2">
        <f t="shared" si="25"/>
        <v>0</v>
      </c>
      <c r="J612" s="2">
        <f t="shared" si="26"/>
        <v>0</v>
      </c>
    </row>
    <row r="613" spans="1:10" x14ac:dyDescent="0.25">
      <c r="A613" s="99" t="s">
        <v>682</v>
      </c>
      <c r="B613" s="2"/>
      <c r="C613" s="2">
        <v>-442.6</v>
      </c>
      <c r="D613" s="2"/>
      <c r="E613" s="2"/>
      <c r="F613" s="2">
        <v>442.6</v>
      </c>
      <c r="G613" s="113">
        <f t="shared" ref="G613:G676" si="27">SUM(B613:F613)</f>
        <v>0</v>
      </c>
      <c r="I613" s="2">
        <f t="shared" ref="I613:I676" si="28">IF(F613=0,C613+D613,0)</f>
        <v>0</v>
      </c>
      <c r="J613" s="2">
        <f t="shared" ref="J613:J676" si="29">IF(G613&lt;0,G613,0)</f>
        <v>0</v>
      </c>
    </row>
    <row r="614" spans="1:10" x14ac:dyDescent="0.25">
      <c r="A614" s="99" t="s">
        <v>683</v>
      </c>
      <c r="B614" s="2"/>
      <c r="C614" s="2">
        <v>-20</v>
      </c>
      <c r="D614" s="2"/>
      <c r="E614" s="2"/>
      <c r="F614" s="2">
        <v>432</v>
      </c>
      <c r="G614" s="113">
        <f t="shared" si="27"/>
        <v>412</v>
      </c>
      <c r="I614" s="2">
        <f t="shared" si="28"/>
        <v>0</v>
      </c>
      <c r="J614" s="2">
        <f t="shared" si="29"/>
        <v>0</v>
      </c>
    </row>
    <row r="615" spans="1:10" x14ac:dyDescent="0.25">
      <c r="A615" s="99" t="s">
        <v>979</v>
      </c>
      <c r="B615" s="2"/>
      <c r="C615" s="2">
        <v>-43.5</v>
      </c>
      <c r="D615" s="2"/>
      <c r="E615" s="2"/>
      <c r="F615" s="2">
        <v>43.5</v>
      </c>
      <c r="G615" s="113">
        <f t="shared" si="27"/>
        <v>0</v>
      </c>
      <c r="I615" s="2">
        <f t="shared" si="28"/>
        <v>0</v>
      </c>
      <c r="J615" s="2">
        <f t="shared" si="29"/>
        <v>0</v>
      </c>
    </row>
    <row r="616" spans="1:10" x14ac:dyDescent="0.25">
      <c r="A616" s="99" t="s">
        <v>684</v>
      </c>
      <c r="B616" s="2"/>
      <c r="C616" s="2"/>
      <c r="D616" s="2"/>
      <c r="E616" s="2"/>
      <c r="F616" s="2">
        <v>58</v>
      </c>
      <c r="G616" s="113">
        <f t="shared" si="27"/>
        <v>58</v>
      </c>
      <c r="I616" s="2">
        <f t="shared" si="28"/>
        <v>0</v>
      </c>
      <c r="J616" s="2">
        <f t="shared" si="29"/>
        <v>0</v>
      </c>
    </row>
    <row r="617" spans="1:10" x14ac:dyDescent="0.25">
      <c r="A617" s="99" t="s">
        <v>980</v>
      </c>
      <c r="B617" s="2"/>
      <c r="C617" s="2">
        <v>-432</v>
      </c>
      <c r="D617" s="2"/>
      <c r="E617" s="2"/>
      <c r="F617" s="2">
        <v>432</v>
      </c>
      <c r="G617" s="113">
        <f t="shared" si="27"/>
        <v>0</v>
      </c>
      <c r="I617" s="2">
        <f t="shared" si="28"/>
        <v>0</v>
      </c>
      <c r="J617" s="2">
        <f t="shared" si="29"/>
        <v>0</v>
      </c>
    </row>
    <row r="618" spans="1:10" x14ac:dyDescent="0.25">
      <c r="A618" s="99" t="s">
        <v>685</v>
      </c>
      <c r="B618" s="2"/>
      <c r="C618" s="2">
        <v>-379.8</v>
      </c>
      <c r="D618" s="2"/>
      <c r="E618" s="2"/>
      <c r="F618" s="2">
        <v>379.8</v>
      </c>
      <c r="G618" s="113">
        <f t="shared" si="27"/>
        <v>0</v>
      </c>
      <c r="I618" s="2">
        <f t="shared" si="28"/>
        <v>0</v>
      </c>
      <c r="J618" s="2">
        <f t="shared" si="29"/>
        <v>0</v>
      </c>
    </row>
    <row r="619" spans="1:10" x14ac:dyDescent="0.25">
      <c r="A619" s="99" t="s">
        <v>981</v>
      </c>
      <c r="B619" s="2"/>
      <c r="C619" s="2">
        <v>-432</v>
      </c>
      <c r="D619" s="2"/>
      <c r="E619" s="2"/>
      <c r="F619" s="2">
        <v>732</v>
      </c>
      <c r="G619" s="113">
        <f t="shared" si="27"/>
        <v>300</v>
      </c>
      <c r="I619" s="2">
        <f t="shared" si="28"/>
        <v>0</v>
      </c>
      <c r="J619" s="2">
        <f t="shared" si="29"/>
        <v>0</v>
      </c>
    </row>
    <row r="620" spans="1:10" x14ac:dyDescent="0.25">
      <c r="A620" s="99" t="s">
        <v>686</v>
      </c>
      <c r="B620" s="2"/>
      <c r="C620" s="2">
        <v>-432</v>
      </c>
      <c r="D620" s="2"/>
      <c r="E620" s="2"/>
      <c r="F620" s="2">
        <v>432</v>
      </c>
      <c r="G620" s="113">
        <f t="shared" si="27"/>
        <v>0</v>
      </c>
      <c r="I620" s="2">
        <f t="shared" si="28"/>
        <v>0</v>
      </c>
      <c r="J620" s="2">
        <f t="shared" si="29"/>
        <v>0</v>
      </c>
    </row>
    <row r="621" spans="1:10" x14ac:dyDescent="0.25">
      <c r="A621" s="99" t="s">
        <v>687</v>
      </c>
      <c r="B621" s="2"/>
      <c r="C621" s="2">
        <v>-450</v>
      </c>
      <c r="D621" s="2"/>
      <c r="E621" s="2"/>
      <c r="F621" s="2">
        <v>450</v>
      </c>
      <c r="G621" s="113">
        <f t="shared" si="27"/>
        <v>0</v>
      </c>
      <c r="I621" s="2">
        <f t="shared" si="28"/>
        <v>0</v>
      </c>
      <c r="J621" s="2">
        <f t="shared" si="29"/>
        <v>0</v>
      </c>
    </row>
    <row r="622" spans="1:10" x14ac:dyDescent="0.25">
      <c r="A622" s="99" t="s">
        <v>982</v>
      </c>
      <c r="B622" s="2"/>
      <c r="C622" s="2">
        <v>-113.48</v>
      </c>
      <c r="D622" s="2"/>
      <c r="E622" s="2"/>
      <c r="F622" s="2">
        <v>113.48</v>
      </c>
      <c r="G622" s="113">
        <f t="shared" si="27"/>
        <v>0</v>
      </c>
      <c r="I622" s="2">
        <f t="shared" si="28"/>
        <v>0</v>
      </c>
      <c r="J622" s="2">
        <f t="shared" si="29"/>
        <v>0</v>
      </c>
    </row>
    <row r="623" spans="1:10" x14ac:dyDescent="0.25">
      <c r="A623" s="99" t="s">
        <v>983</v>
      </c>
      <c r="B623" s="2"/>
      <c r="C623" s="2">
        <v>-432</v>
      </c>
      <c r="D623" s="2"/>
      <c r="E623" s="2"/>
      <c r="F623" s="2">
        <v>432</v>
      </c>
      <c r="G623" s="113">
        <f t="shared" si="27"/>
        <v>0</v>
      </c>
      <c r="I623" s="2">
        <f t="shared" si="28"/>
        <v>0</v>
      </c>
      <c r="J623" s="2">
        <f t="shared" si="29"/>
        <v>0</v>
      </c>
    </row>
    <row r="624" spans="1:10" x14ac:dyDescent="0.25">
      <c r="A624" s="99" t="s">
        <v>688</v>
      </c>
      <c r="B624" s="2"/>
      <c r="C624" s="2">
        <v>-87</v>
      </c>
      <c r="D624" s="2"/>
      <c r="E624" s="2"/>
      <c r="F624" s="2">
        <v>87</v>
      </c>
      <c r="G624" s="113">
        <f t="shared" si="27"/>
        <v>0</v>
      </c>
      <c r="I624" s="2">
        <f t="shared" si="28"/>
        <v>0</v>
      </c>
      <c r="J624" s="2">
        <f t="shared" si="29"/>
        <v>0</v>
      </c>
    </row>
    <row r="625" spans="1:10" x14ac:dyDescent="0.25">
      <c r="A625" s="99" t="s">
        <v>689</v>
      </c>
      <c r="B625" s="2"/>
      <c r="C625" s="2">
        <v>-450</v>
      </c>
      <c r="D625" s="2"/>
      <c r="E625" s="2"/>
      <c r="F625" s="2">
        <v>450</v>
      </c>
      <c r="G625" s="113">
        <f t="shared" si="27"/>
        <v>0</v>
      </c>
      <c r="I625" s="2">
        <f t="shared" si="28"/>
        <v>0</v>
      </c>
      <c r="J625" s="2">
        <f t="shared" si="29"/>
        <v>0</v>
      </c>
    </row>
    <row r="626" spans="1:10" x14ac:dyDescent="0.25">
      <c r="A626" s="99" t="s">
        <v>984</v>
      </c>
      <c r="B626" s="2"/>
      <c r="C626" s="2">
        <v>-315</v>
      </c>
      <c r="D626" s="2"/>
      <c r="E626" s="2"/>
      <c r="F626" s="2">
        <v>315</v>
      </c>
      <c r="G626" s="113">
        <f t="shared" si="27"/>
        <v>0</v>
      </c>
      <c r="I626" s="2">
        <f t="shared" si="28"/>
        <v>0</v>
      </c>
      <c r="J626" s="2">
        <f t="shared" si="29"/>
        <v>0</v>
      </c>
    </row>
    <row r="627" spans="1:10" x14ac:dyDescent="0.25">
      <c r="A627" s="99" t="s">
        <v>690</v>
      </c>
      <c r="B627" s="2"/>
      <c r="C627" s="2"/>
      <c r="D627" s="2"/>
      <c r="E627" s="2"/>
      <c r="F627" s="2">
        <v>224</v>
      </c>
      <c r="G627" s="113">
        <f t="shared" si="27"/>
        <v>224</v>
      </c>
      <c r="I627" s="2">
        <f t="shared" si="28"/>
        <v>0</v>
      </c>
      <c r="J627" s="2">
        <f t="shared" si="29"/>
        <v>0</v>
      </c>
    </row>
    <row r="628" spans="1:10" x14ac:dyDescent="0.25">
      <c r="A628" s="99" t="s">
        <v>985</v>
      </c>
      <c r="B628" s="2"/>
      <c r="C628" s="2"/>
      <c r="D628" s="2"/>
      <c r="E628" s="2"/>
      <c r="F628" s="2">
        <v>195</v>
      </c>
      <c r="G628" s="113">
        <f t="shared" si="27"/>
        <v>195</v>
      </c>
      <c r="I628" s="2">
        <f t="shared" si="28"/>
        <v>0</v>
      </c>
      <c r="J628" s="2">
        <f t="shared" si="29"/>
        <v>0</v>
      </c>
    </row>
    <row r="629" spans="1:10" x14ac:dyDescent="0.25">
      <c r="A629" s="99" t="s">
        <v>986</v>
      </c>
      <c r="B629" s="2"/>
      <c r="C629" s="2">
        <v>-318</v>
      </c>
      <c r="D629" s="2"/>
      <c r="E629" s="2"/>
      <c r="F629" s="2">
        <v>318</v>
      </c>
      <c r="G629" s="113">
        <f t="shared" si="27"/>
        <v>0</v>
      </c>
      <c r="I629" s="2">
        <f t="shared" si="28"/>
        <v>0</v>
      </c>
      <c r="J629" s="2">
        <f t="shared" si="29"/>
        <v>0</v>
      </c>
    </row>
    <row r="630" spans="1:10" x14ac:dyDescent="0.25">
      <c r="A630" s="99" t="s">
        <v>691</v>
      </c>
      <c r="B630" s="2"/>
      <c r="C630" s="2">
        <v>-15</v>
      </c>
      <c r="D630" s="2"/>
      <c r="E630" s="2"/>
      <c r="F630" s="2">
        <v>15</v>
      </c>
      <c r="G630" s="113">
        <f t="shared" si="27"/>
        <v>0</v>
      </c>
      <c r="I630" s="2">
        <f t="shared" si="28"/>
        <v>0</v>
      </c>
      <c r="J630" s="2">
        <f t="shared" si="29"/>
        <v>0</v>
      </c>
    </row>
    <row r="631" spans="1:10" x14ac:dyDescent="0.25">
      <c r="A631" s="99" t="s">
        <v>693</v>
      </c>
      <c r="B631" s="2"/>
      <c r="C631" s="2">
        <v>-290</v>
      </c>
      <c r="D631" s="2"/>
      <c r="E631" s="2"/>
      <c r="F631" s="2">
        <v>290</v>
      </c>
      <c r="G631" s="113">
        <f t="shared" si="27"/>
        <v>0</v>
      </c>
      <c r="I631" s="2">
        <f t="shared" si="28"/>
        <v>0</v>
      </c>
      <c r="J631" s="2">
        <f t="shared" si="29"/>
        <v>0</v>
      </c>
    </row>
    <row r="632" spans="1:10" x14ac:dyDescent="0.25">
      <c r="A632" s="99" t="s">
        <v>694</v>
      </c>
      <c r="B632" s="2"/>
      <c r="C632" s="2">
        <v>-450</v>
      </c>
      <c r="D632" s="2"/>
      <c r="E632" s="2"/>
      <c r="F632" s="2">
        <v>450</v>
      </c>
      <c r="G632" s="113">
        <f t="shared" si="27"/>
        <v>0</v>
      </c>
      <c r="I632" s="2">
        <f t="shared" si="28"/>
        <v>0</v>
      </c>
      <c r="J632" s="2">
        <f t="shared" si="29"/>
        <v>0</v>
      </c>
    </row>
    <row r="633" spans="1:10" x14ac:dyDescent="0.25">
      <c r="A633" s="99" t="s">
        <v>695</v>
      </c>
      <c r="B633" s="2"/>
      <c r="C633" s="2">
        <v>-400.68</v>
      </c>
      <c r="D633" s="2"/>
      <c r="E633" s="2"/>
      <c r="F633" s="2">
        <v>400.68</v>
      </c>
      <c r="G633" s="113">
        <f t="shared" si="27"/>
        <v>0</v>
      </c>
      <c r="I633" s="2">
        <f t="shared" si="28"/>
        <v>0</v>
      </c>
      <c r="J633" s="2">
        <f t="shared" si="29"/>
        <v>0</v>
      </c>
    </row>
    <row r="634" spans="1:10" x14ac:dyDescent="0.25">
      <c r="A634" s="99" t="s">
        <v>696</v>
      </c>
      <c r="B634" s="2"/>
      <c r="C634" s="2">
        <v>-29</v>
      </c>
      <c r="D634" s="2"/>
      <c r="E634" s="2"/>
      <c r="F634" s="2">
        <v>29</v>
      </c>
      <c r="G634" s="113">
        <f t="shared" si="27"/>
        <v>0</v>
      </c>
      <c r="I634" s="2">
        <f t="shared" si="28"/>
        <v>0</v>
      </c>
      <c r="J634" s="2">
        <f t="shared" si="29"/>
        <v>0</v>
      </c>
    </row>
    <row r="635" spans="1:10" x14ac:dyDescent="0.25">
      <c r="A635" s="99" t="s">
        <v>697</v>
      </c>
      <c r="B635" s="2"/>
      <c r="C635" s="2">
        <v>-432</v>
      </c>
      <c r="D635" s="2"/>
      <c r="E635" s="2"/>
      <c r="F635" s="2">
        <v>864</v>
      </c>
      <c r="G635" s="113">
        <f t="shared" si="27"/>
        <v>432</v>
      </c>
      <c r="I635" s="2">
        <f t="shared" si="28"/>
        <v>0</v>
      </c>
      <c r="J635" s="2">
        <f t="shared" si="29"/>
        <v>0</v>
      </c>
    </row>
    <row r="636" spans="1:10" x14ac:dyDescent="0.25">
      <c r="A636" s="99" t="s">
        <v>698</v>
      </c>
      <c r="B636" s="2"/>
      <c r="C636" s="2"/>
      <c r="D636" s="2"/>
      <c r="E636" s="2"/>
      <c r="F636" s="2">
        <v>78</v>
      </c>
      <c r="G636" s="113">
        <f t="shared" si="27"/>
        <v>78</v>
      </c>
      <c r="I636" s="2">
        <f t="shared" si="28"/>
        <v>0</v>
      </c>
      <c r="J636" s="2">
        <f t="shared" si="29"/>
        <v>0</v>
      </c>
    </row>
    <row r="637" spans="1:10" x14ac:dyDescent="0.25">
      <c r="A637" s="99" t="s">
        <v>699</v>
      </c>
      <c r="B637" s="2"/>
      <c r="C637" s="2">
        <v>-679.2</v>
      </c>
      <c r="D637" s="2"/>
      <c r="E637" s="2"/>
      <c r="F637" s="2">
        <v>1111.2</v>
      </c>
      <c r="G637" s="113">
        <f t="shared" si="27"/>
        <v>432</v>
      </c>
      <c r="I637" s="2">
        <f t="shared" si="28"/>
        <v>0</v>
      </c>
      <c r="J637" s="2">
        <f t="shared" si="29"/>
        <v>0</v>
      </c>
    </row>
    <row r="638" spans="1:10" x14ac:dyDescent="0.25">
      <c r="A638" s="99" t="s">
        <v>987</v>
      </c>
      <c r="B638" s="2"/>
      <c r="C638" s="2">
        <v>-215</v>
      </c>
      <c r="D638" s="2"/>
      <c r="E638" s="2"/>
      <c r="F638" s="2">
        <v>432</v>
      </c>
      <c r="G638" s="113">
        <f t="shared" si="27"/>
        <v>217</v>
      </c>
      <c r="I638" s="2">
        <f t="shared" si="28"/>
        <v>0</v>
      </c>
      <c r="J638" s="2">
        <f t="shared" si="29"/>
        <v>0</v>
      </c>
    </row>
    <row r="639" spans="1:10" x14ac:dyDescent="0.25">
      <c r="A639" s="99" t="s">
        <v>700</v>
      </c>
      <c r="B639" s="2"/>
      <c r="C639" s="2">
        <v>-290</v>
      </c>
      <c r="D639" s="2"/>
      <c r="E639" s="2"/>
      <c r="F639" s="2">
        <v>290</v>
      </c>
      <c r="G639" s="113">
        <f t="shared" si="27"/>
        <v>0</v>
      </c>
      <c r="I639" s="2">
        <f t="shared" si="28"/>
        <v>0</v>
      </c>
      <c r="J639" s="2">
        <f t="shared" si="29"/>
        <v>0</v>
      </c>
    </row>
    <row r="640" spans="1:10" x14ac:dyDescent="0.25">
      <c r="A640" s="99" t="s">
        <v>701</v>
      </c>
      <c r="B640" s="2"/>
      <c r="C640" s="2">
        <v>-432</v>
      </c>
      <c r="D640" s="2"/>
      <c r="E640" s="2"/>
      <c r="F640" s="2">
        <v>432</v>
      </c>
      <c r="G640" s="113">
        <f t="shared" si="27"/>
        <v>0</v>
      </c>
      <c r="I640" s="2">
        <f t="shared" si="28"/>
        <v>0</v>
      </c>
      <c r="J640" s="2">
        <f t="shared" si="29"/>
        <v>0</v>
      </c>
    </row>
    <row r="641" spans="1:10" x14ac:dyDescent="0.25">
      <c r="A641" s="99" t="s">
        <v>702</v>
      </c>
      <c r="B641" s="2"/>
      <c r="C641" s="2">
        <v>-432</v>
      </c>
      <c r="D641" s="2"/>
      <c r="E641" s="2"/>
      <c r="F641" s="2">
        <v>432</v>
      </c>
      <c r="G641" s="113">
        <f t="shared" si="27"/>
        <v>0</v>
      </c>
      <c r="I641" s="2">
        <f t="shared" si="28"/>
        <v>0</v>
      </c>
      <c r="J641" s="2">
        <f t="shared" si="29"/>
        <v>0</v>
      </c>
    </row>
    <row r="642" spans="1:10" x14ac:dyDescent="0.25">
      <c r="A642" s="99" t="s">
        <v>703</v>
      </c>
      <c r="B642" s="2"/>
      <c r="C642" s="2">
        <v>-99</v>
      </c>
      <c r="D642" s="2"/>
      <c r="E642" s="2"/>
      <c r="F642" s="2">
        <v>75</v>
      </c>
      <c r="G642" s="113">
        <f t="shared" si="27"/>
        <v>-24</v>
      </c>
      <c r="I642" s="2">
        <f t="shared" si="28"/>
        <v>0</v>
      </c>
      <c r="J642" s="2">
        <f t="shared" si="29"/>
        <v>-24</v>
      </c>
    </row>
    <row r="643" spans="1:10" x14ac:dyDescent="0.25">
      <c r="A643" s="99" t="s">
        <v>704</v>
      </c>
      <c r="B643" s="2"/>
      <c r="C643" s="2">
        <v>-450</v>
      </c>
      <c r="D643" s="2"/>
      <c r="E643" s="2"/>
      <c r="F643" s="2">
        <v>450</v>
      </c>
      <c r="G643" s="113">
        <f t="shared" si="27"/>
        <v>0</v>
      </c>
      <c r="I643" s="2">
        <f t="shared" si="28"/>
        <v>0</v>
      </c>
      <c r="J643" s="2">
        <f t="shared" si="29"/>
        <v>0</v>
      </c>
    </row>
    <row r="644" spans="1:10" x14ac:dyDescent="0.25">
      <c r="A644" s="99" t="s">
        <v>705</v>
      </c>
      <c r="B644" s="2"/>
      <c r="C644" s="2">
        <v>-315</v>
      </c>
      <c r="D644" s="2">
        <v>-35</v>
      </c>
      <c r="E644" s="2">
        <v>35</v>
      </c>
      <c r="F644" s="2">
        <v>315</v>
      </c>
      <c r="G644" s="113">
        <f t="shared" si="27"/>
        <v>0</v>
      </c>
      <c r="I644" s="2">
        <f t="shared" si="28"/>
        <v>0</v>
      </c>
      <c r="J644" s="2">
        <f t="shared" si="29"/>
        <v>0</v>
      </c>
    </row>
    <row r="645" spans="1:10" x14ac:dyDescent="0.25">
      <c r="A645" s="99" t="s">
        <v>988</v>
      </c>
      <c r="B645" s="2"/>
      <c r="C645" s="2">
        <v>-432</v>
      </c>
      <c r="D645" s="2"/>
      <c r="E645" s="2"/>
      <c r="F645" s="2">
        <v>432</v>
      </c>
      <c r="G645" s="113">
        <f t="shared" si="27"/>
        <v>0</v>
      </c>
      <c r="I645" s="2">
        <f t="shared" si="28"/>
        <v>0</v>
      </c>
      <c r="J645" s="2">
        <f t="shared" si="29"/>
        <v>0</v>
      </c>
    </row>
    <row r="646" spans="1:10" x14ac:dyDescent="0.25">
      <c r="A646" s="99" t="s">
        <v>706</v>
      </c>
      <c r="B646" s="2"/>
      <c r="C646" s="2">
        <v>-432</v>
      </c>
      <c r="D646" s="2"/>
      <c r="E646" s="2"/>
      <c r="F646" s="2">
        <v>864</v>
      </c>
      <c r="G646" s="113">
        <f t="shared" si="27"/>
        <v>432</v>
      </c>
      <c r="I646" s="2">
        <f t="shared" si="28"/>
        <v>0</v>
      </c>
      <c r="J646" s="2">
        <f t="shared" si="29"/>
        <v>0</v>
      </c>
    </row>
    <row r="647" spans="1:10" x14ac:dyDescent="0.25">
      <c r="A647" s="99" t="s">
        <v>707</v>
      </c>
      <c r="B647" s="2"/>
      <c r="C647" s="2">
        <v>-43.5</v>
      </c>
      <c r="D647" s="2"/>
      <c r="E647" s="2"/>
      <c r="F647" s="2">
        <v>43.5</v>
      </c>
      <c r="G647" s="113">
        <f t="shared" si="27"/>
        <v>0</v>
      </c>
      <c r="I647" s="2">
        <f t="shared" si="28"/>
        <v>0</v>
      </c>
      <c r="J647" s="2">
        <f t="shared" si="29"/>
        <v>0</v>
      </c>
    </row>
    <row r="648" spans="1:10" x14ac:dyDescent="0.25">
      <c r="A648" s="99" t="s">
        <v>708</v>
      </c>
      <c r="B648" s="2">
        <v>-0.05</v>
      </c>
      <c r="C648" s="2"/>
      <c r="D648" s="2"/>
      <c r="E648" s="2"/>
      <c r="F648" s="2">
        <v>78.050000000000011</v>
      </c>
      <c r="G648" s="113">
        <f t="shared" si="27"/>
        <v>78.000000000000014</v>
      </c>
      <c r="I648" s="2">
        <f t="shared" si="28"/>
        <v>0</v>
      </c>
      <c r="J648" s="2">
        <f t="shared" si="29"/>
        <v>0</v>
      </c>
    </row>
    <row r="649" spans="1:10" x14ac:dyDescent="0.25">
      <c r="A649" s="99" t="s">
        <v>709</v>
      </c>
      <c r="B649" s="2"/>
      <c r="C649" s="2">
        <v>-432</v>
      </c>
      <c r="D649" s="2"/>
      <c r="E649" s="2"/>
      <c r="F649" s="2">
        <v>432</v>
      </c>
      <c r="G649" s="113">
        <f t="shared" si="27"/>
        <v>0</v>
      </c>
      <c r="I649" s="2">
        <f t="shared" si="28"/>
        <v>0</v>
      </c>
      <c r="J649" s="2">
        <f t="shared" si="29"/>
        <v>0</v>
      </c>
    </row>
    <row r="650" spans="1:10" x14ac:dyDescent="0.25">
      <c r="A650" s="99" t="s">
        <v>710</v>
      </c>
      <c r="B650" s="2"/>
      <c r="C650" s="2"/>
      <c r="D650" s="2"/>
      <c r="E650" s="2"/>
      <c r="F650" s="2">
        <v>216</v>
      </c>
      <c r="G650" s="113">
        <f t="shared" si="27"/>
        <v>216</v>
      </c>
      <c r="I650" s="2">
        <f t="shared" si="28"/>
        <v>0</v>
      </c>
      <c r="J650" s="2">
        <f t="shared" si="29"/>
        <v>0</v>
      </c>
    </row>
    <row r="651" spans="1:10" x14ac:dyDescent="0.25">
      <c r="A651" s="99" t="s">
        <v>712</v>
      </c>
      <c r="B651" s="2"/>
      <c r="C651" s="2">
        <v>-258</v>
      </c>
      <c r="D651" s="2"/>
      <c r="E651" s="2"/>
      <c r="F651" s="2">
        <v>258</v>
      </c>
      <c r="G651" s="113">
        <f t="shared" si="27"/>
        <v>0</v>
      </c>
      <c r="I651" s="2">
        <f t="shared" si="28"/>
        <v>0</v>
      </c>
      <c r="J651" s="2">
        <f t="shared" si="29"/>
        <v>0</v>
      </c>
    </row>
    <row r="652" spans="1:10" x14ac:dyDescent="0.25">
      <c r="A652" s="99" t="s">
        <v>713</v>
      </c>
      <c r="B652" s="2"/>
      <c r="C652" s="2">
        <v>0</v>
      </c>
      <c r="D652" s="2"/>
      <c r="E652" s="2"/>
      <c r="F652" s="2">
        <v>0</v>
      </c>
      <c r="G652" s="113">
        <f t="shared" si="27"/>
        <v>0</v>
      </c>
      <c r="I652" s="2">
        <f t="shared" si="28"/>
        <v>0</v>
      </c>
      <c r="J652" s="2">
        <f t="shared" si="29"/>
        <v>0</v>
      </c>
    </row>
    <row r="653" spans="1:10" x14ac:dyDescent="0.25">
      <c r="A653" s="99" t="s">
        <v>714</v>
      </c>
      <c r="B653" s="2"/>
      <c r="C653" s="2">
        <v>-10.6</v>
      </c>
      <c r="D653" s="2"/>
      <c r="E653" s="2"/>
      <c r="F653" s="2">
        <v>10.6</v>
      </c>
      <c r="G653" s="113">
        <f t="shared" si="27"/>
        <v>0</v>
      </c>
      <c r="I653" s="2">
        <f t="shared" si="28"/>
        <v>0</v>
      </c>
      <c r="J653" s="2">
        <f t="shared" si="29"/>
        <v>0</v>
      </c>
    </row>
    <row r="654" spans="1:10" x14ac:dyDescent="0.25">
      <c r="A654" s="99" t="s">
        <v>989</v>
      </c>
      <c r="B654" s="2"/>
      <c r="C654" s="2">
        <v>-432</v>
      </c>
      <c r="D654" s="2"/>
      <c r="E654" s="2"/>
      <c r="F654" s="2">
        <v>432</v>
      </c>
      <c r="G654" s="113">
        <f t="shared" si="27"/>
        <v>0</v>
      </c>
      <c r="I654" s="2">
        <f t="shared" si="28"/>
        <v>0</v>
      </c>
      <c r="J654" s="2">
        <f t="shared" si="29"/>
        <v>0</v>
      </c>
    </row>
    <row r="655" spans="1:10" x14ac:dyDescent="0.25">
      <c r="A655" s="99" t="s">
        <v>715</v>
      </c>
      <c r="B655" s="2"/>
      <c r="C655" s="2">
        <v>-58</v>
      </c>
      <c r="D655" s="2"/>
      <c r="E655" s="2"/>
      <c r="F655" s="2">
        <v>58</v>
      </c>
      <c r="G655" s="113">
        <f t="shared" si="27"/>
        <v>0</v>
      </c>
      <c r="I655" s="2">
        <f t="shared" si="28"/>
        <v>0</v>
      </c>
      <c r="J655" s="2">
        <f t="shared" si="29"/>
        <v>0</v>
      </c>
    </row>
    <row r="656" spans="1:10" x14ac:dyDescent="0.25">
      <c r="A656" s="99" t="s">
        <v>990</v>
      </c>
      <c r="B656" s="2"/>
      <c r="C656" s="2">
        <v>-206.7</v>
      </c>
      <c r="D656" s="2"/>
      <c r="E656" s="2"/>
      <c r="F656" s="2">
        <v>206.7</v>
      </c>
      <c r="G656" s="113">
        <f t="shared" si="27"/>
        <v>0</v>
      </c>
      <c r="I656" s="2">
        <f t="shared" si="28"/>
        <v>0</v>
      </c>
      <c r="J656" s="2">
        <f t="shared" si="29"/>
        <v>0</v>
      </c>
    </row>
    <row r="657" spans="1:10" x14ac:dyDescent="0.25">
      <c r="A657" s="99" t="s">
        <v>991</v>
      </c>
      <c r="B657" s="2"/>
      <c r="C657" s="2"/>
      <c r="D657" s="2"/>
      <c r="E657" s="2"/>
      <c r="F657" s="2">
        <v>432</v>
      </c>
      <c r="G657" s="113">
        <f t="shared" si="27"/>
        <v>432</v>
      </c>
      <c r="I657" s="2">
        <f t="shared" si="28"/>
        <v>0</v>
      </c>
      <c r="J657" s="2">
        <f t="shared" si="29"/>
        <v>0</v>
      </c>
    </row>
    <row r="658" spans="1:10" x14ac:dyDescent="0.25">
      <c r="A658" s="99" t="s">
        <v>992</v>
      </c>
      <c r="B658" s="2"/>
      <c r="C658" s="2"/>
      <c r="D658" s="2"/>
      <c r="E658" s="2"/>
      <c r="F658" s="2">
        <v>300</v>
      </c>
      <c r="G658" s="113">
        <f t="shared" si="27"/>
        <v>300</v>
      </c>
      <c r="I658" s="2">
        <f t="shared" si="28"/>
        <v>0</v>
      </c>
      <c r="J658" s="2">
        <f t="shared" si="29"/>
        <v>0</v>
      </c>
    </row>
    <row r="659" spans="1:10" x14ac:dyDescent="0.25">
      <c r="A659" s="99" t="s">
        <v>716</v>
      </c>
      <c r="B659" s="2"/>
      <c r="C659" s="2">
        <v>-290</v>
      </c>
      <c r="D659" s="2"/>
      <c r="E659" s="2"/>
      <c r="F659" s="2">
        <v>290</v>
      </c>
      <c r="G659" s="113">
        <f t="shared" si="27"/>
        <v>0</v>
      </c>
      <c r="I659" s="2">
        <f t="shared" si="28"/>
        <v>0</v>
      </c>
      <c r="J659" s="2">
        <f t="shared" si="29"/>
        <v>0</v>
      </c>
    </row>
    <row r="660" spans="1:10" x14ac:dyDescent="0.25">
      <c r="A660" s="99" t="s">
        <v>717</v>
      </c>
      <c r="B660" s="2"/>
      <c r="C660" s="2">
        <v>-432</v>
      </c>
      <c r="D660" s="2"/>
      <c r="E660" s="2"/>
      <c r="F660" s="2">
        <v>432</v>
      </c>
      <c r="G660" s="113">
        <f t="shared" si="27"/>
        <v>0</v>
      </c>
      <c r="I660" s="2">
        <f t="shared" si="28"/>
        <v>0</v>
      </c>
      <c r="J660" s="2">
        <f t="shared" si="29"/>
        <v>0</v>
      </c>
    </row>
    <row r="661" spans="1:10" x14ac:dyDescent="0.25">
      <c r="A661" s="99" t="s">
        <v>718</v>
      </c>
      <c r="B661" s="2"/>
      <c r="C661" s="2">
        <v>-87</v>
      </c>
      <c r="D661" s="2"/>
      <c r="E661" s="2"/>
      <c r="F661" s="2">
        <v>87</v>
      </c>
      <c r="G661" s="113">
        <f t="shared" si="27"/>
        <v>0</v>
      </c>
      <c r="I661" s="2">
        <f t="shared" si="28"/>
        <v>0</v>
      </c>
      <c r="J661" s="2">
        <f t="shared" si="29"/>
        <v>0</v>
      </c>
    </row>
    <row r="662" spans="1:10" x14ac:dyDescent="0.25">
      <c r="A662" s="99" t="s">
        <v>993</v>
      </c>
      <c r="B662" s="2"/>
      <c r="C662" s="2"/>
      <c r="D662" s="2"/>
      <c r="E662" s="2"/>
      <c r="F662" s="2">
        <v>300</v>
      </c>
      <c r="G662" s="113">
        <f t="shared" si="27"/>
        <v>300</v>
      </c>
      <c r="I662" s="2">
        <f t="shared" si="28"/>
        <v>0</v>
      </c>
      <c r="J662" s="2">
        <f t="shared" si="29"/>
        <v>0</v>
      </c>
    </row>
    <row r="663" spans="1:10" x14ac:dyDescent="0.25">
      <c r="A663" s="99" t="s">
        <v>719</v>
      </c>
      <c r="B663" s="2"/>
      <c r="C663" s="2">
        <v>-328.6</v>
      </c>
      <c r="D663" s="2"/>
      <c r="E663" s="2"/>
      <c r="F663" s="2">
        <v>328.6</v>
      </c>
      <c r="G663" s="113">
        <f t="shared" si="27"/>
        <v>0</v>
      </c>
      <c r="I663" s="2">
        <f t="shared" si="28"/>
        <v>0</v>
      </c>
      <c r="J663" s="2">
        <f t="shared" si="29"/>
        <v>0</v>
      </c>
    </row>
    <row r="664" spans="1:10" x14ac:dyDescent="0.25">
      <c r="A664" s="99" t="s">
        <v>720</v>
      </c>
      <c r="B664" s="2"/>
      <c r="C664" s="2">
        <v>-305</v>
      </c>
      <c r="D664" s="2"/>
      <c r="E664" s="2"/>
      <c r="F664" s="2">
        <v>320</v>
      </c>
      <c r="G664" s="113">
        <f t="shared" si="27"/>
        <v>15</v>
      </c>
      <c r="I664" s="2">
        <f t="shared" si="28"/>
        <v>0</v>
      </c>
      <c r="J664" s="2">
        <f t="shared" si="29"/>
        <v>0</v>
      </c>
    </row>
    <row r="665" spans="1:10" x14ac:dyDescent="0.25">
      <c r="A665" s="99" t="s">
        <v>721</v>
      </c>
      <c r="B665" s="2"/>
      <c r="C665" s="2">
        <v>-318</v>
      </c>
      <c r="D665" s="2"/>
      <c r="E665" s="2"/>
      <c r="F665" s="2">
        <v>318</v>
      </c>
      <c r="G665" s="113">
        <f t="shared" si="27"/>
        <v>0</v>
      </c>
      <c r="I665" s="2">
        <f t="shared" si="28"/>
        <v>0</v>
      </c>
      <c r="J665" s="2">
        <f t="shared" si="29"/>
        <v>0</v>
      </c>
    </row>
    <row r="666" spans="1:10" x14ac:dyDescent="0.25">
      <c r="A666" s="99" t="s">
        <v>722</v>
      </c>
      <c r="B666" s="2"/>
      <c r="C666" s="2">
        <v>-113.94</v>
      </c>
      <c r="D666" s="2"/>
      <c r="E666" s="2"/>
      <c r="F666" s="2">
        <v>113.94</v>
      </c>
      <c r="G666" s="113">
        <f t="shared" si="27"/>
        <v>0</v>
      </c>
      <c r="I666" s="2">
        <f t="shared" si="28"/>
        <v>0</v>
      </c>
      <c r="J666" s="2">
        <f t="shared" si="29"/>
        <v>0</v>
      </c>
    </row>
    <row r="667" spans="1:10" x14ac:dyDescent="0.25">
      <c r="A667" s="99" t="s">
        <v>723</v>
      </c>
      <c r="B667" s="2"/>
      <c r="C667" s="2"/>
      <c r="D667" s="2"/>
      <c r="E667" s="2"/>
      <c r="F667" s="2">
        <v>0.02</v>
      </c>
      <c r="G667" s="113">
        <f t="shared" si="27"/>
        <v>0.02</v>
      </c>
      <c r="I667" s="2">
        <f t="shared" si="28"/>
        <v>0</v>
      </c>
      <c r="J667" s="2">
        <f t="shared" si="29"/>
        <v>0</v>
      </c>
    </row>
    <row r="668" spans="1:10" x14ac:dyDescent="0.25">
      <c r="A668" s="99" t="s">
        <v>994</v>
      </c>
      <c r="B668" s="2"/>
      <c r="C668" s="2">
        <v>-432</v>
      </c>
      <c r="D668" s="2"/>
      <c r="E668" s="2"/>
      <c r="F668" s="2">
        <v>432</v>
      </c>
      <c r="G668" s="113">
        <f t="shared" si="27"/>
        <v>0</v>
      </c>
      <c r="I668" s="2">
        <f t="shared" si="28"/>
        <v>0</v>
      </c>
      <c r="J668" s="2">
        <f t="shared" si="29"/>
        <v>0</v>
      </c>
    </row>
    <row r="669" spans="1:10" x14ac:dyDescent="0.25">
      <c r="A669" s="99" t="s">
        <v>724</v>
      </c>
      <c r="B669" s="2"/>
      <c r="C669" s="2"/>
      <c r="D669" s="2"/>
      <c r="E669" s="2"/>
      <c r="F669" s="2">
        <v>432</v>
      </c>
      <c r="G669" s="113">
        <f t="shared" si="27"/>
        <v>432</v>
      </c>
      <c r="I669" s="2">
        <f t="shared" si="28"/>
        <v>0</v>
      </c>
      <c r="J669" s="2">
        <f t="shared" si="29"/>
        <v>0</v>
      </c>
    </row>
    <row r="670" spans="1:10" x14ac:dyDescent="0.25">
      <c r="A670" s="99" t="s">
        <v>995</v>
      </c>
      <c r="B670" s="2"/>
      <c r="C670" s="2">
        <v>-315</v>
      </c>
      <c r="D670" s="2"/>
      <c r="E670" s="2"/>
      <c r="F670" s="2">
        <v>315</v>
      </c>
      <c r="G670" s="113">
        <f t="shared" si="27"/>
        <v>0</v>
      </c>
      <c r="I670" s="2">
        <f t="shared" si="28"/>
        <v>0</v>
      </c>
      <c r="J670" s="2">
        <f t="shared" si="29"/>
        <v>0</v>
      </c>
    </row>
    <row r="671" spans="1:10" x14ac:dyDescent="0.25">
      <c r="A671" s="99" t="s">
        <v>996</v>
      </c>
      <c r="B671" s="2"/>
      <c r="C671" s="2">
        <v>-432</v>
      </c>
      <c r="D671" s="2"/>
      <c r="E671" s="2"/>
      <c r="F671" s="2">
        <v>432</v>
      </c>
      <c r="G671" s="113">
        <f t="shared" si="27"/>
        <v>0</v>
      </c>
      <c r="I671" s="2">
        <f t="shared" si="28"/>
        <v>0</v>
      </c>
      <c r="J671" s="2">
        <f t="shared" si="29"/>
        <v>0</v>
      </c>
    </row>
    <row r="672" spans="1:10" x14ac:dyDescent="0.25">
      <c r="A672" s="99" t="s">
        <v>997</v>
      </c>
      <c r="B672" s="2"/>
      <c r="C672" s="2">
        <v>-432</v>
      </c>
      <c r="D672" s="2"/>
      <c r="E672" s="2"/>
      <c r="F672" s="2">
        <v>432</v>
      </c>
      <c r="G672" s="113">
        <f t="shared" si="27"/>
        <v>0</v>
      </c>
      <c r="I672" s="2">
        <f t="shared" si="28"/>
        <v>0</v>
      </c>
      <c r="J672" s="2">
        <f t="shared" si="29"/>
        <v>0</v>
      </c>
    </row>
    <row r="673" spans="1:10" x14ac:dyDescent="0.25">
      <c r="A673" s="99" t="s">
        <v>727</v>
      </c>
      <c r="B673" s="2"/>
      <c r="C673" s="2">
        <v>-432</v>
      </c>
      <c r="D673" s="2"/>
      <c r="E673" s="2"/>
      <c r="F673" s="2">
        <v>432</v>
      </c>
      <c r="G673" s="113">
        <f t="shared" si="27"/>
        <v>0</v>
      </c>
      <c r="I673" s="2">
        <f t="shared" si="28"/>
        <v>0</v>
      </c>
      <c r="J673" s="2">
        <f t="shared" si="29"/>
        <v>0</v>
      </c>
    </row>
    <row r="674" spans="1:10" x14ac:dyDescent="0.25">
      <c r="A674" s="99" t="s">
        <v>728</v>
      </c>
      <c r="B674" s="2"/>
      <c r="C674" s="2">
        <v>-113.94</v>
      </c>
      <c r="D674" s="2"/>
      <c r="E674" s="2"/>
      <c r="F674" s="2">
        <v>113.94</v>
      </c>
      <c r="G674" s="113">
        <f t="shared" si="27"/>
        <v>0</v>
      </c>
      <c r="I674" s="2">
        <f t="shared" si="28"/>
        <v>0</v>
      </c>
      <c r="J674" s="2">
        <f t="shared" si="29"/>
        <v>0</v>
      </c>
    </row>
    <row r="675" spans="1:10" x14ac:dyDescent="0.25">
      <c r="A675" s="99" t="s">
        <v>998</v>
      </c>
      <c r="B675" s="2"/>
      <c r="C675" s="2">
        <v>-432</v>
      </c>
      <c r="D675" s="2"/>
      <c r="E675" s="2"/>
      <c r="F675" s="2">
        <v>450</v>
      </c>
      <c r="G675" s="113">
        <f t="shared" si="27"/>
        <v>18</v>
      </c>
      <c r="I675" s="2">
        <f t="shared" si="28"/>
        <v>0</v>
      </c>
      <c r="J675" s="2">
        <f t="shared" si="29"/>
        <v>0</v>
      </c>
    </row>
    <row r="676" spans="1:10" x14ac:dyDescent="0.25">
      <c r="A676" s="99" t="s">
        <v>999</v>
      </c>
      <c r="B676" s="2"/>
      <c r="C676" s="2">
        <v>-432</v>
      </c>
      <c r="D676" s="2"/>
      <c r="E676" s="2"/>
      <c r="F676" s="2">
        <v>432</v>
      </c>
      <c r="G676" s="113">
        <f t="shared" si="27"/>
        <v>0</v>
      </c>
      <c r="I676" s="2">
        <f t="shared" si="28"/>
        <v>0</v>
      </c>
      <c r="J676" s="2">
        <f t="shared" si="29"/>
        <v>0</v>
      </c>
    </row>
    <row r="677" spans="1:10" x14ac:dyDescent="0.25">
      <c r="A677" s="99" t="s">
        <v>1000</v>
      </c>
      <c r="B677" s="2"/>
      <c r="C677" s="2">
        <v>-100</v>
      </c>
      <c r="D677" s="2"/>
      <c r="E677" s="2"/>
      <c r="F677" s="2">
        <v>432</v>
      </c>
      <c r="G677" s="113">
        <f t="shared" ref="G677:G737" si="30">SUM(B677:F677)</f>
        <v>332</v>
      </c>
      <c r="I677" s="2">
        <f t="shared" ref="I677:I737" si="31">IF(F677=0,C677+D677,0)</f>
        <v>0</v>
      </c>
      <c r="J677" s="2">
        <f t="shared" ref="J677:J737" si="32">IF(G677&lt;0,G677,0)</f>
        <v>0</v>
      </c>
    </row>
    <row r="678" spans="1:10" x14ac:dyDescent="0.25">
      <c r="A678" s="99" t="s">
        <v>729</v>
      </c>
      <c r="B678" s="2"/>
      <c r="C678" s="2">
        <v>-432</v>
      </c>
      <c r="D678" s="2"/>
      <c r="E678" s="2"/>
      <c r="F678" s="2">
        <v>432</v>
      </c>
      <c r="G678" s="113">
        <f t="shared" si="30"/>
        <v>0</v>
      </c>
      <c r="I678" s="2">
        <f t="shared" si="31"/>
        <v>0</v>
      </c>
      <c r="J678" s="2">
        <f t="shared" si="32"/>
        <v>0</v>
      </c>
    </row>
    <row r="679" spans="1:10" x14ac:dyDescent="0.25">
      <c r="A679" s="99" t="s">
        <v>730</v>
      </c>
      <c r="B679" s="2"/>
      <c r="C679" s="2">
        <v>-75</v>
      </c>
      <c r="D679" s="2"/>
      <c r="E679" s="2"/>
      <c r="F679" s="2">
        <v>290</v>
      </c>
      <c r="G679" s="113">
        <f t="shared" si="30"/>
        <v>215</v>
      </c>
      <c r="I679" s="2">
        <f t="shared" si="31"/>
        <v>0</v>
      </c>
      <c r="J679" s="2">
        <f t="shared" si="32"/>
        <v>0</v>
      </c>
    </row>
    <row r="680" spans="1:10" x14ac:dyDescent="0.25">
      <c r="A680" s="99" t="s">
        <v>1001</v>
      </c>
      <c r="B680" s="2"/>
      <c r="C680" s="2">
        <v>-66</v>
      </c>
      <c r="D680" s="2"/>
      <c r="E680" s="2"/>
      <c r="F680" s="2">
        <v>66</v>
      </c>
      <c r="G680" s="113">
        <f t="shared" si="30"/>
        <v>0</v>
      </c>
      <c r="I680" s="2">
        <f t="shared" si="31"/>
        <v>0</v>
      </c>
      <c r="J680" s="2">
        <f t="shared" si="32"/>
        <v>0</v>
      </c>
    </row>
    <row r="681" spans="1:10" x14ac:dyDescent="0.25">
      <c r="A681" s="99" t="s">
        <v>731</v>
      </c>
      <c r="B681" s="2"/>
      <c r="C681" s="2">
        <v>-333</v>
      </c>
      <c r="D681" s="2"/>
      <c r="E681" s="2"/>
      <c r="F681" s="2">
        <v>333</v>
      </c>
      <c r="G681" s="113">
        <f t="shared" si="30"/>
        <v>0</v>
      </c>
      <c r="I681" s="2">
        <f t="shared" si="31"/>
        <v>0</v>
      </c>
      <c r="J681" s="2">
        <f t="shared" si="32"/>
        <v>0</v>
      </c>
    </row>
    <row r="682" spans="1:10" x14ac:dyDescent="0.25">
      <c r="A682" s="99" t="s">
        <v>732</v>
      </c>
      <c r="B682" s="2"/>
      <c r="C682" s="2">
        <v>-432</v>
      </c>
      <c r="D682" s="2"/>
      <c r="E682" s="2"/>
      <c r="F682" s="2">
        <v>432</v>
      </c>
      <c r="G682" s="113">
        <f t="shared" si="30"/>
        <v>0</v>
      </c>
      <c r="I682" s="2">
        <f t="shared" si="31"/>
        <v>0</v>
      </c>
      <c r="J682" s="2">
        <f t="shared" si="32"/>
        <v>0</v>
      </c>
    </row>
    <row r="683" spans="1:10" x14ac:dyDescent="0.25">
      <c r="A683" s="99" t="s">
        <v>733</v>
      </c>
      <c r="B683" s="2"/>
      <c r="C683" s="2">
        <v>-442.6</v>
      </c>
      <c r="D683" s="2"/>
      <c r="E683" s="2"/>
      <c r="F683" s="2">
        <v>442.6</v>
      </c>
      <c r="G683" s="113">
        <f t="shared" si="30"/>
        <v>0</v>
      </c>
      <c r="I683" s="2">
        <f t="shared" si="31"/>
        <v>0</v>
      </c>
      <c r="J683" s="2">
        <f t="shared" si="32"/>
        <v>0</v>
      </c>
    </row>
    <row r="684" spans="1:10" x14ac:dyDescent="0.25">
      <c r="A684" s="99" t="s">
        <v>734</v>
      </c>
      <c r="B684" s="2"/>
      <c r="C684" s="2">
        <v>-450</v>
      </c>
      <c r="D684" s="2"/>
      <c r="E684" s="2"/>
      <c r="F684" s="2">
        <v>450</v>
      </c>
      <c r="G684" s="113">
        <f t="shared" si="30"/>
        <v>0</v>
      </c>
      <c r="I684" s="2">
        <f t="shared" si="31"/>
        <v>0</v>
      </c>
      <c r="J684" s="2">
        <f t="shared" si="32"/>
        <v>0</v>
      </c>
    </row>
    <row r="685" spans="1:10" x14ac:dyDescent="0.25">
      <c r="A685" s="99" t="s">
        <v>735</v>
      </c>
      <c r="B685" s="2"/>
      <c r="C685" s="2">
        <v>-87</v>
      </c>
      <c r="D685" s="2"/>
      <c r="E685" s="2"/>
      <c r="F685" s="2"/>
      <c r="G685" s="113">
        <f t="shared" si="30"/>
        <v>-87</v>
      </c>
      <c r="I685" s="2">
        <f t="shared" si="31"/>
        <v>-87</v>
      </c>
      <c r="J685" s="2">
        <f t="shared" si="32"/>
        <v>-87</v>
      </c>
    </row>
    <row r="686" spans="1:10" x14ac:dyDescent="0.25">
      <c r="A686" s="99" t="s">
        <v>1002</v>
      </c>
      <c r="B686" s="2"/>
      <c r="C686" s="2">
        <v>-450</v>
      </c>
      <c r="D686" s="2"/>
      <c r="E686" s="2"/>
      <c r="F686" s="2">
        <v>450</v>
      </c>
      <c r="G686" s="113">
        <f t="shared" si="30"/>
        <v>0</v>
      </c>
      <c r="I686" s="2">
        <f t="shared" si="31"/>
        <v>0</v>
      </c>
      <c r="J686" s="2">
        <f t="shared" si="32"/>
        <v>0</v>
      </c>
    </row>
    <row r="687" spans="1:10" x14ac:dyDescent="0.25">
      <c r="A687" s="99" t="s">
        <v>736</v>
      </c>
      <c r="B687" s="2"/>
      <c r="C687" s="2">
        <v>-450</v>
      </c>
      <c r="D687" s="2"/>
      <c r="E687" s="2"/>
      <c r="F687" s="2">
        <v>450</v>
      </c>
      <c r="G687" s="113">
        <f t="shared" si="30"/>
        <v>0</v>
      </c>
      <c r="I687" s="2">
        <f t="shared" si="31"/>
        <v>0</v>
      </c>
      <c r="J687" s="2">
        <f t="shared" si="32"/>
        <v>0</v>
      </c>
    </row>
    <row r="688" spans="1:10" x14ac:dyDescent="0.25">
      <c r="A688" s="99" t="s">
        <v>737</v>
      </c>
      <c r="B688" s="2"/>
      <c r="C688" s="2">
        <v>-300</v>
      </c>
      <c r="D688" s="2"/>
      <c r="E688" s="2"/>
      <c r="F688" s="2">
        <v>432</v>
      </c>
      <c r="G688" s="113">
        <f t="shared" si="30"/>
        <v>132</v>
      </c>
      <c r="I688" s="2">
        <f t="shared" si="31"/>
        <v>0</v>
      </c>
      <c r="J688" s="2">
        <f t="shared" si="32"/>
        <v>0</v>
      </c>
    </row>
    <row r="689" spans="1:10" x14ac:dyDescent="0.25">
      <c r="A689" s="99" t="s">
        <v>738</v>
      </c>
      <c r="B689" s="2"/>
      <c r="C689" s="2">
        <v>-750</v>
      </c>
      <c r="D689" s="2"/>
      <c r="E689" s="2"/>
      <c r="F689" s="2">
        <v>1068</v>
      </c>
      <c r="G689" s="113">
        <f t="shared" si="30"/>
        <v>318</v>
      </c>
      <c r="I689" s="2">
        <f t="shared" si="31"/>
        <v>0</v>
      </c>
      <c r="J689" s="2">
        <f t="shared" si="32"/>
        <v>0</v>
      </c>
    </row>
    <row r="690" spans="1:10" x14ac:dyDescent="0.25">
      <c r="A690" s="99" t="s">
        <v>739</v>
      </c>
      <c r="B690" s="2">
        <v>-0.02</v>
      </c>
      <c r="C690" s="2"/>
      <c r="D690" s="2"/>
      <c r="E690" s="2"/>
      <c r="F690" s="2">
        <v>0.02</v>
      </c>
      <c r="G690" s="113">
        <f t="shared" si="30"/>
        <v>0</v>
      </c>
      <c r="I690" s="2">
        <f t="shared" si="31"/>
        <v>0</v>
      </c>
      <c r="J690" s="2">
        <f t="shared" si="32"/>
        <v>0</v>
      </c>
    </row>
    <row r="691" spans="1:10" x14ac:dyDescent="0.25">
      <c r="A691" s="99" t="s">
        <v>740</v>
      </c>
      <c r="B691" s="2"/>
      <c r="C691" s="2">
        <v>-450</v>
      </c>
      <c r="D691" s="2"/>
      <c r="E691" s="2"/>
      <c r="F691" s="2">
        <v>450</v>
      </c>
      <c r="G691" s="113">
        <f t="shared" si="30"/>
        <v>0</v>
      </c>
      <c r="I691" s="2">
        <f t="shared" si="31"/>
        <v>0</v>
      </c>
      <c r="J691" s="2">
        <f t="shared" si="32"/>
        <v>0</v>
      </c>
    </row>
    <row r="692" spans="1:10" x14ac:dyDescent="0.25">
      <c r="A692" s="99" t="s">
        <v>741</v>
      </c>
      <c r="B692" s="2"/>
      <c r="C692" s="2">
        <v>-162.82</v>
      </c>
      <c r="D692" s="2"/>
      <c r="E692" s="2"/>
      <c r="F692" s="2">
        <v>171.1</v>
      </c>
      <c r="G692" s="113">
        <f t="shared" si="30"/>
        <v>8.2800000000000011</v>
      </c>
      <c r="I692" s="2">
        <f t="shared" si="31"/>
        <v>0</v>
      </c>
      <c r="J692" s="2">
        <f t="shared" si="32"/>
        <v>0</v>
      </c>
    </row>
    <row r="693" spans="1:10" x14ac:dyDescent="0.25">
      <c r="A693" s="99" t="s">
        <v>742</v>
      </c>
      <c r="B693" s="2"/>
      <c r="C693" s="2">
        <v>-333.5</v>
      </c>
      <c r="D693" s="2"/>
      <c r="E693" s="2"/>
      <c r="F693" s="2">
        <v>333.5</v>
      </c>
      <c r="G693" s="113">
        <f t="shared" si="30"/>
        <v>0</v>
      </c>
      <c r="I693" s="2">
        <f t="shared" si="31"/>
        <v>0</v>
      </c>
      <c r="J693" s="2">
        <f t="shared" si="32"/>
        <v>0</v>
      </c>
    </row>
    <row r="694" spans="1:10" x14ac:dyDescent="0.25">
      <c r="A694" s="99" t="s">
        <v>743</v>
      </c>
      <c r="B694" s="2"/>
      <c r="C694" s="2"/>
      <c r="D694" s="2"/>
      <c r="E694" s="2"/>
      <c r="F694" s="2">
        <v>0</v>
      </c>
      <c r="G694" s="113">
        <f t="shared" si="30"/>
        <v>0</v>
      </c>
      <c r="I694" s="2">
        <f t="shared" si="31"/>
        <v>0</v>
      </c>
      <c r="J694" s="2">
        <f t="shared" si="32"/>
        <v>0</v>
      </c>
    </row>
    <row r="695" spans="1:10" x14ac:dyDescent="0.25">
      <c r="A695" s="99" t="s">
        <v>744</v>
      </c>
      <c r="B695" s="2"/>
      <c r="C695" s="2">
        <v>-432</v>
      </c>
      <c r="D695" s="2"/>
      <c r="E695" s="2">
        <v>131.76</v>
      </c>
      <c r="F695" s="2">
        <v>300.24</v>
      </c>
      <c r="G695" s="113">
        <f t="shared" si="30"/>
        <v>0</v>
      </c>
      <c r="I695" s="2">
        <f t="shared" si="31"/>
        <v>0</v>
      </c>
      <c r="J695" s="2">
        <f t="shared" si="32"/>
        <v>0</v>
      </c>
    </row>
    <row r="696" spans="1:10" x14ac:dyDescent="0.25">
      <c r="A696" s="99" t="s">
        <v>745</v>
      </c>
      <c r="B696" s="2"/>
      <c r="C696" s="2">
        <v>-432</v>
      </c>
      <c r="D696" s="2"/>
      <c r="E696" s="2"/>
      <c r="F696" s="2">
        <v>432</v>
      </c>
      <c r="G696" s="113">
        <f t="shared" si="30"/>
        <v>0</v>
      </c>
      <c r="I696" s="2">
        <f t="shared" si="31"/>
        <v>0</v>
      </c>
      <c r="J696" s="2">
        <f t="shared" si="32"/>
        <v>0</v>
      </c>
    </row>
    <row r="697" spans="1:10" x14ac:dyDescent="0.25">
      <c r="A697" s="99" t="s">
        <v>746</v>
      </c>
      <c r="B697" s="2"/>
      <c r="C697" s="2">
        <v>-450</v>
      </c>
      <c r="D697" s="2"/>
      <c r="E697" s="2"/>
      <c r="F697" s="2">
        <v>450</v>
      </c>
      <c r="G697" s="113">
        <f t="shared" si="30"/>
        <v>0</v>
      </c>
      <c r="I697" s="2">
        <f t="shared" si="31"/>
        <v>0</v>
      </c>
      <c r="J697" s="2">
        <f t="shared" si="32"/>
        <v>0</v>
      </c>
    </row>
    <row r="698" spans="1:10" x14ac:dyDescent="0.25">
      <c r="A698" s="99" t="s">
        <v>747</v>
      </c>
      <c r="B698" s="2"/>
      <c r="C698" s="2">
        <v>-58</v>
      </c>
      <c r="D698" s="2"/>
      <c r="E698" s="2"/>
      <c r="F698" s="2">
        <v>58</v>
      </c>
      <c r="G698" s="113">
        <f t="shared" si="30"/>
        <v>0</v>
      </c>
      <c r="I698" s="2">
        <f t="shared" si="31"/>
        <v>0</v>
      </c>
      <c r="J698" s="2">
        <f t="shared" si="32"/>
        <v>0</v>
      </c>
    </row>
    <row r="699" spans="1:10" x14ac:dyDescent="0.25">
      <c r="A699" s="99" t="s">
        <v>748</v>
      </c>
      <c r="B699" s="2"/>
      <c r="C699" s="2"/>
      <c r="D699" s="2"/>
      <c r="E699" s="2"/>
      <c r="F699" s="2">
        <v>0</v>
      </c>
      <c r="G699" s="113">
        <f t="shared" si="30"/>
        <v>0</v>
      </c>
      <c r="I699" s="2">
        <f t="shared" si="31"/>
        <v>0</v>
      </c>
      <c r="J699" s="2">
        <f t="shared" si="32"/>
        <v>0</v>
      </c>
    </row>
    <row r="700" spans="1:10" x14ac:dyDescent="0.25">
      <c r="A700" s="99" t="s">
        <v>749</v>
      </c>
      <c r="B700" s="2">
        <v>-0.02</v>
      </c>
      <c r="C700" s="2">
        <v>-165.36</v>
      </c>
      <c r="D700" s="2"/>
      <c r="E700" s="2"/>
      <c r="F700" s="2">
        <v>381.39</v>
      </c>
      <c r="G700" s="113">
        <f t="shared" si="30"/>
        <v>216.00999999999996</v>
      </c>
      <c r="I700" s="2">
        <f t="shared" si="31"/>
        <v>0</v>
      </c>
      <c r="J700" s="2">
        <f t="shared" si="32"/>
        <v>0</v>
      </c>
    </row>
    <row r="701" spans="1:10" x14ac:dyDescent="0.25">
      <c r="A701" s="99" t="s">
        <v>1003</v>
      </c>
      <c r="B701" s="2"/>
      <c r="C701" s="2">
        <v>-315</v>
      </c>
      <c r="D701" s="2"/>
      <c r="E701" s="2"/>
      <c r="F701" s="2">
        <v>330</v>
      </c>
      <c r="G701" s="113">
        <f t="shared" si="30"/>
        <v>15</v>
      </c>
      <c r="I701" s="2">
        <f t="shared" si="31"/>
        <v>0</v>
      </c>
      <c r="J701" s="2">
        <f t="shared" si="32"/>
        <v>0</v>
      </c>
    </row>
    <row r="702" spans="1:10" x14ac:dyDescent="0.25">
      <c r="A702" s="99" t="s">
        <v>1004</v>
      </c>
      <c r="B702" s="2"/>
      <c r="C702" s="2"/>
      <c r="D702" s="2"/>
      <c r="E702" s="2"/>
      <c r="F702" s="2">
        <v>315</v>
      </c>
      <c r="G702" s="113">
        <f t="shared" si="30"/>
        <v>315</v>
      </c>
      <c r="I702" s="2">
        <f t="shared" si="31"/>
        <v>0</v>
      </c>
      <c r="J702" s="2">
        <f t="shared" si="32"/>
        <v>0</v>
      </c>
    </row>
    <row r="703" spans="1:10" x14ac:dyDescent="0.25">
      <c r="A703" s="99" t="s">
        <v>1005</v>
      </c>
      <c r="B703" s="2"/>
      <c r="C703" s="2">
        <v>-290</v>
      </c>
      <c r="D703" s="2"/>
      <c r="E703" s="2"/>
      <c r="F703" s="2">
        <v>290</v>
      </c>
      <c r="G703" s="113">
        <f t="shared" si="30"/>
        <v>0</v>
      </c>
      <c r="I703" s="2">
        <f t="shared" si="31"/>
        <v>0</v>
      </c>
      <c r="J703" s="2">
        <f t="shared" si="32"/>
        <v>0</v>
      </c>
    </row>
    <row r="704" spans="1:10" x14ac:dyDescent="0.25">
      <c r="A704" s="99" t="s">
        <v>1006</v>
      </c>
      <c r="B704" s="2"/>
      <c r="C704" s="2">
        <v>-450</v>
      </c>
      <c r="D704" s="2"/>
      <c r="E704" s="2"/>
      <c r="F704" s="2">
        <v>450</v>
      </c>
      <c r="G704" s="113">
        <f t="shared" si="30"/>
        <v>0</v>
      </c>
      <c r="I704" s="2">
        <f t="shared" si="31"/>
        <v>0</v>
      </c>
      <c r="J704" s="2">
        <f t="shared" si="32"/>
        <v>0</v>
      </c>
    </row>
    <row r="705" spans="1:10" x14ac:dyDescent="0.25">
      <c r="A705" s="99" t="s">
        <v>750</v>
      </c>
      <c r="B705" s="2"/>
      <c r="C705" s="2"/>
      <c r="D705" s="2"/>
      <c r="E705" s="2"/>
      <c r="F705" s="2">
        <v>224</v>
      </c>
      <c r="G705" s="113">
        <f t="shared" si="30"/>
        <v>224</v>
      </c>
      <c r="I705" s="2">
        <f t="shared" si="31"/>
        <v>0</v>
      </c>
      <c r="J705" s="2">
        <f t="shared" si="32"/>
        <v>0</v>
      </c>
    </row>
    <row r="706" spans="1:10" x14ac:dyDescent="0.25">
      <c r="A706" s="99" t="s">
        <v>751</v>
      </c>
      <c r="B706" s="2"/>
      <c r="C706" s="2"/>
      <c r="D706" s="2"/>
      <c r="E706" s="2"/>
      <c r="F706" s="2">
        <v>464</v>
      </c>
      <c r="G706" s="113">
        <f t="shared" si="30"/>
        <v>464</v>
      </c>
      <c r="I706" s="2">
        <f t="shared" si="31"/>
        <v>0</v>
      </c>
      <c r="J706" s="2">
        <f t="shared" si="32"/>
        <v>0</v>
      </c>
    </row>
    <row r="707" spans="1:10" x14ac:dyDescent="0.25">
      <c r="A707" s="99" t="s">
        <v>752</v>
      </c>
      <c r="B707" s="2"/>
      <c r="C707" s="2"/>
      <c r="D707" s="2"/>
      <c r="E707" s="2"/>
      <c r="F707" s="2">
        <v>0</v>
      </c>
      <c r="G707" s="113">
        <f t="shared" si="30"/>
        <v>0</v>
      </c>
      <c r="I707" s="2">
        <f t="shared" si="31"/>
        <v>0</v>
      </c>
      <c r="J707" s="2">
        <f t="shared" si="32"/>
        <v>0</v>
      </c>
    </row>
    <row r="708" spans="1:10" x14ac:dyDescent="0.25">
      <c r="A708" s="99" t="s">
        <v>753</v>
      </c>
      <c r="B708" s="2"/>
      <c r="C708" s="2"/>
      <c r="D708" s="2"/>
      <c r="E708" s="2"/>
      <c r="F708" s="2">
        <v>364.5</v>
      </c>
      <c r="G708" s="113">
        <f t="shared" si="30"/>
        <v>364.5</v>
      </c>
      <c r="I708" s="2">
        <f t="shared" si="31"/>
        <v>0</v>
      </c>
      <c r="J708" s="2">
        <f t="shared" si="32"/>
        <v>0</v>
      </c>
    </row>
    <row r="709" spans="1:10" x14ac:dyDescent="0.25">
      <c r="A709" s="99" t="s">
        <v>1007</v>
      </c>
      <c r="B709" s="2"/>
      <c r="C709" s="2">
        <v>-315</v>
      </c>
      <c r="D709" s="2"/>
      <c r="E709" s="2"/>
      <c r="F709" s="2">
        <v>315</v>
      </c>
      <c r="G709" s="113">
        <f t="shared" si="30"/>
        <v>0</v>
      </c>
      <c r="I709" s="2">
        <f t="shared" si="31"/>
        <v>0</v>
      </c>
      <c r="J709" s="2">
        <f t="shared" si="32"/>
        <v>0</v>
      </c>
    </row>
    <row r="710" spans="1:10" x14ac:dyDescent="0.25">
      <c r="A710" s="99" t="s">
        <v>754</v>
      </c>
      <c r="B710" s="2"/>
      <c r="C710" s="2"/>
      <c r="D710" s="2"/>
      <c r="E710" s="2"/>
      <c r="F710" s="2">
        <v>232</v>
      </c>
      <c r="G710" s="113">
        <f t="shared" si="30"/>
        <v>232</v>
      </c>
      <c r="I710" s="2">
        <f t="shared" si="31"/>
        <v>0</v>
      </c>
      <c r="J710" s="2">
        <f t="shared" si="32"/>
        <v>0</v>
      </c>
    </row>
    <row r="711" spans="1:10" x14ac:dyDescent="0.25">
      <c r="A711" s="99" t="s">
        <v>755</v>
      </c>
      <c r="B711" s="2"/>
      <c r="C711" s="2">
        <v>-8.27</v>
      </c>
      <c r="D711" s="2"/>
      <c r="E711" s="2"/>
      <c r="F711" s="2">
        <v>8.27</v>
      </c>
      <c r="G711" s="113">
        <f t="shared" si="30"/>
        <v>0</v>
      </c>
      <c r="I711" s="2">
        <f t="shared" si="31"/>
        <v>0</v>
      </c>
      <c r="J711" s="2">
        <f t="shared" si="32"/>
        <v>0</v>
      </c>
    </row>
    <row r="712" spans="1:10" x14ac:dyDescent="0.25">
      <c r="A712" s="99" t="s">
        <v>756</v>
      </c>
      <c r="B712" s="2"/>
      <c r="C712" s="2">
        <v>-290</v>
      </c>
      <c r="D712" s="2"/>
      <c r="E712" s="2"/>
      <c r="F712" s="2">
        <v>938</v>
      </c>
      <c r="G712" s="113">
        <f t="shared" si="30"/>
        <v>648</v>
      </c>
      <c r="I712" s="2">
        <f t="shared" si="31"/>
        <v>0</v>
      </c>
      <c r="J712" s="2">
        <f t="shared" si="32"/>
        <v>0</v>
      </c>
    </row>
    <row r="713" spans="1:10" x14ac:dyDescent="0.25">
      <c r="A713" s="99" t="s">
        <v>1008</v>
      </c>
      <c r="B713" s="2"/>
      <c r="C713" s="2">
        <v>-315</v>
      </c>
      <c r="D713" s="2"/>
      <c r="E713" s="2"/>
      <c r="F713" s="2">
        <v>315</v>
      </c>
      <c r="G713" s="113">
        <f t="shared" si="30"/>
        <v>0</v>
      </c>
      <c r="I713" s="2">
        <f t="shared" si="31"/>
        <v>0</v>
      </c>
      <c r="J713" s="2">
        <f t="shared" si="32"/>
        <v>0</v>
      </c>
    </row>
    <row r="714" spans="1:10" x14ac:dyDescent="0.25">
      <c r="A714" s="99" t="s">
        <v>757</v>
      </c>
      <c r="B714" s="2"/>
      <c r="C714" s="2">
        <v>-290</v>
      </c>
      <c r="D714" s="2"/>
      <c r="E714" s="2"/>
      <c r="F714" s="2">
        <v>290</v>
      </c>
      <c r="G714" s="113">
        <f t="shared" si="30"/>
        <v>0</v>
      </c>
      <c r="I714" s="2">
        <f t="shared" si="31"/>
        <v>0</v>
      </c>
      <c r="J714" s="2">
        <f t="shared" si="32"/>
        <v>0</v>
      </c>
    </row>
    <row r="715" spans="1:10" x14ac:dyDescent="0.25">
      <c r="A715" s="99" t="s">
        <v>758</v>
      </c>
      <c r="B715" s="2"/>
      <c r="C715" s="2">
        <v>-85.37</v>
      </c>
      <c r="D715" s="2"/>
      <c r="E715" s="2"/>
      <c r="F715" s="2">
        <v>85.37</v>
      </c>
      <c r="G715" s="113">
        <f t="shared" si="30"/>
        <v>0</v>
      </c>
      <c r="I715" s="2">
        <f t="shared" si="31"/>
        <v>0</v>
      </c>
      <c r="J715" s="2">
        <f t="shared" si="32"/>
        <v>0</v>
      </c>
    </row>
    <row r="716" spans="1:10" x14ac:dyDescent="0.25">
      <c r="A716" s="99" t="s">
        <v>759</v>
      </c>
      <c r="B716" s="2"/>
      <c r="C716" s="2">
        <v>-29</v>
      </c>
      <c r="D716" s="2"/>
      <c r="E716" s="2"/>
      <c r="F716" s="2">
        <v>29</v>
      </c>
      <c r="G716" s="113">
        <f t="shared" si="30"/>
        <v>0</v>
      </c>
      <c r="I716" s="2">
        <f t="shared" si="31"/>
        <v>0</v>
      </c>
      <c r="J716" s="2">
        <f t="shared" si="32"/>
        <v>0</v>
      </c>
    </row>
    <row r="717" spans="1:10" x14ac:dyDescent="0.25">
      <c r="A717" s="99" t="s">
        <v>1009</v>
      </c>
      <c r="B717" s="2"/>
      <c r="C717" s="2"/>
      <c r="D717" s="2"/>
      <c r="E717" s="2"/>
      <c r="F717" s="2">
        <v>282</v>
      </c>
      <c r="G717" s="113">
        <f t="shared" si="30"/>
        <v>282</v>
      </c>
      <c r="I717" s="2">
        <f t="shared" si="31"/>
        <v>0</v>
      </c>
      <c r="J717" s="2">
        <f t="shared" si="32"/>
        <v>0</v>
      </c>
    </row>
    <row r="718" spans="1:10" x14ac:dyDescent="0.25">
      <c r="A718" s="99" t="s">
        <v>760</v>
      </c>
      <c r="B718" s="2"/>
      <c r="C718" s="2">
        <v>-432</v>
      </c>
      <c r="D718" s="2"/>
      <c r="E718" s="2"/>
      <c r="F718" s="2">
        <v>432</v>
      </c>
      <c r="G718" s="113">
        <f t="shared" si="30"/>
        <v>0</v>
      </c>
      <c r="I718" s="2">
        <f t="shared" si="31"/>
        <v>0</v>
      </c>
      <c r="J718" s="2">
        <f t="shared" si="32"/>
        <v>0</v>
      </c>
    </row>
    <row r="719" spans="1:10" x14ac:dyDescent="0.25">
      <c r="A719" s="99" t="s">
        <v>761</v>
      </c>
      <c r="B719" s="2"/>
      <c r="C719" s="2">
        <v>-290</v>
      </c>
      <c r="D719" s="2"/>
      <c r="E719" s="2">
        <v>259.06</v>
      </c>
      <c r="F719" s="2">
        <v>30.939999999999998</v>
      </c>
      <c r="G719" s="113">
        <f t="shared" si="30"/>
        <v>0</v>
      </c>
      <c r="I719" s="2">
        <f t="shared" si="31"/>
        <v>0</v>
      </c>
      <c r="J719" s="2">
        <f t="shared" si="32"/>
        <v>0</v>
      </c>
    </row>
    <row r="720" spans="1:10" x14ac:dyDescent="0.25">
      <c r="A720" s="99" t="s">
        <v>1010</v>
      </c>
      <c r="B720" s="2"/>
      <c r="C720" s="2">
        <v>-450</v>
      </c>
      <c r="D720" s="2"/>
      <c r="E720" s="2"/>
      <c r="F720" s="2">
        <v>450</v>
      </c>
      <c r="G720" s="113">
        <f t="shared" si="30"/>
        <v>0</v>
      </c>
      <c r="I720" s="2">
        <f t="shared" si="31"/>
        <v>0</v>
      </c>
      <c r="J720" s="2">
        <f t="shared" si="32"/>
        <v>0</v>
      </c>
    </row>
    <row r="721" spans="1:10" x14ac:dyDescent="0.25">
      <c r="A721" s="99" t="s">
        <v>1011</v>
      </c>
      <c r="B721" s="2"/>
      <c r="C721" s="2"/>
      <c r="D721" s="2"/>
      <c r="E721" s="2"/>
      <c r="F721" s="2">
        <v>432</v>
      </c>
      <c r="G721" s="113">
        <f t="shared" si="30"/>
        <v>432</v>
      </c>
      <c r="I721" s="2">
        <f t="shared" si="31"/>
        <v>0</v>
      </c>
      <c r="J721" s="2">
        <f t="shared" si="32"/>
        <v>0</v>
      </c>
    </row>
    <row r="722" spans="1:10" x14ac:dyDescent="0.25">
      <c r="A722" s="99" t="s">
        <v>762</v>
      </c>
      <c r="B722" s="2"/>
      <c r="C722" s="2">
        <v>-159.38999999999999</v>
      </c>
      <c r="D722" s="2"/>
      <c r="E722" s="2"/>
      <c r="F722" s="2">
        <v>159.38999999999999</v>
      </c>
      <c r="G722" s="113">
        <f t="shared" si="30"/>
        <v>0</v>
      </c>
      <c r="I722" s="2">
        <f t="shared" si="31"/>
        <v>0</v>
      </c>
      <c r="J722" s="2">
        <f t="shared" si="32"/>
        <v>0</v>
      </c>
    </row>
    <row r="723" spans="1:10" x14ac:dyDescent="0.25">
      <c r="A723" s="99" t="s">
        <v>1012</v>
      </c>
      <c r="B723" s="2"/>
      <c r="C723" s="2">
        <v>-305</v>
      </c>
      <c r="D723" s="2"/>
      <c r="E723" s="2"/>
      <c r="F723" s="2">
        <v>305</v>
      </c>
      <c r="G723" s="113">
        <f t="shared" si="30"/>
        <v>0</v>
      </c>
      <c r="I723" s="2">
        <f t="shared" si="31"/>
        <v>0</v>
      </c>
      <c r="J723" s="2">
        <f t="shared" si="32"/>
        <v>0</v>
      </c>
    </row>
    <row r="724" spans="1:10" x14ac:dyDescent="0.25">
      <c r="A724" s="99" t="s">
        <v>1013</v>
      </c>
      <c r="B724" s="2"/>
      <c r="C724" s="2">
        <v>-290</v>
      </c>
      <c r="D724" s="2"/>
      <c r="E724" s="2"/>
      <c r="F724" s="2">
        <v>290</v>
      </c>
      <c r="G724" s="113">
        <f t="shared" si="30"/>
        <v>0</v>
      </c>
      <c r="I724" s="2">
        <f t="shared" si="31"/>
        <v>0</v>
      </c>
      <c r="J724" s="2">
        <f t="shared" si="32"/>
        <v>0</v>
      </c>
    </row>
    <row r="725" spans="1:10" x14ac:dyDescent="0.25">
      <c r="A725" s="99" t="s">
        <v>1014</v>
      </c>
      <c r="B725" s="2"/>
      <c r="C725" s="2">
        <v>-432</v>
      </c>
      <c r="D725" s="2"/>
      <c r="E725" s="2"/>
      <c r="F725" s="2">
        <v>432</v>
      </c>
      <c r="G725" s="113">
        <f t="shared" si="30"/>
        <v>0</v>
      </c>
      <c r="I725" s="2">
        <f t="shared" si="31"/>
        <v>0</v>
      </c>
      <c r="J725" s="2">
        <f t="shared" si="32"/>
        <v>0</v>
      </c>
    </row>
    <row r="726" spans="1:10" x14ac:dyDescent="0.25">
      <c r="A726" s="99" t="s">
        <v>1015</v>
      </c>
      <c r="B726" s="2"/>
      <c r="C726" s="2">
        <v>-432</v>
      </c>
      <c r="D726" s="2"/>
      <c r="E726" s="2"/>
      <c r="F726" s="2">
        <v>432</v>
      </c>
      <c r="G726" s="113">
        <f t="shared" si="30"/>
        <v>0</v>
      </c>
      <c r="I726" s="2">
        <f t="shared" si="31"/>
        <v>0</v>
      </c>
      <c r="J726" s="2">
        <f t="shared" si="32"/>
        <v>0</v>
      </c>
    </row>
    <row r="727" spans="1:10" x14ac:dyDescent="0.25">
      <c r="A727" s="99" t="s">
        <v>763</v>
      </c>
      <c r="B727" s="2"/>
      <c r="C727" s="2">
        <v>-61.06</v>
      </c>
      <c r="D727" s="2"/>
      <c r="E727" s="2"/>
      <c r="F727" s="2">
        <v>61.06</v>
      </c>
      <c r="G727" s="113">
        <f t="shared" si="30"/>
        <v>0</v>
      </c>
      <c r="I727" s="2">
        <f t="shared" si="31"/>
        <v>0</v>
      </c>
      <c r="J727" s="2">
        <f t="shared" si="32"/>
        <v>0</v>
      </c>
    </row>
    <row r="728" spans="1:10" x14ac:dyDescent="0.25">
      <c r="A728" s="99" t="s">
        <v>764</v>
      </c>
      <c r="B728" s="2"/>
      <c r="C728" s="2">
        <v>-432</v>
      </c>
      <c r="D728" s="2"/>
      <c r="E728" s="2"/>
      <c r="F728" s="2">
        <v>432</v>
      </c>
      <c r="G728" s="113">
        <f t="shared" si="30"/>
        <v>0</v>
      </c>
      <c r="I728" s="2">
        <f t="shared" si="31"/>
        <v>0</v>
      </c>
      <c r="J728" s="2">
        <f t="shared" si="32"/>
        <v>0</v>
      </c>
    </row>
    <row r="729" spans="1:10" x14ac:dyDescent="0.25">
      <c r="A729" s="99" t="s">
        <v>765</v>
      </c>
      <c r="B729" s="2"/>
      <c r="C729" s="2">
        <v>-768</v>
      </c>
      <c r="D729" s="2"/>
      <c r="E729" s="2"/>
      <c r="F729" s="2">
        <v>1170</v>
      </c>
      <c r="G729" s="113">
        <f t="shared" si="30"/>
        <v>402</v>
      </c>
      <c r="I729" s="2">
        <f t="shared" si="31"/>
        <v>0</v>
      </c>
      <c r="J729" s="2">
        <f t="shared" si="32"/>
        <v>0</v>
      </c>
    </row>
    <row r="730" spans="1:10" x14ac:dyDescent="0.25">
      <c r="A730" s="99" t="s">
        <v>766</v>
      </c>
      <c r="B730" s="2"/>
      <c r="C730" s="2">
        <v>-361</v>
      </c>
      <c r="D730" s="2"/>
      <c r="E730" s="2"/>
      <c r="F730" s="2">
        <v>361</v>
      </c>
      <c r="G730" s="113">
        <f t="shared" si="30"/>
        <v>0</v>
      </c>
      <c r="I730" s="2">
        <f t="shared" si="31"/>
        <v>0</v>
      </c>
      <c r="J730" s="2">
        <f t="shared" si="32"/>
        <v>0</v>
      </c>
    </row>
    <row r="731" spans="1:10" x14ac:dyDescent="0.25">
      <c r="A731" s="99" t="s">
        <v>767</v>
      </c>
      <c r="B731" s="2"/>
      <c r="C731" s="2">
        <v>-507</v>
      </c>
      <c r="D731" s="2"/>
      <c r="E731" s="2"/>
      <c r="F731" s="2">
        <v>432</v>
      </c>
      <c r="G731" s="113">
        <f t="shared" si="30"/>
        <v>-75</v>
      </c>
      <c r="I731" s="2">
        <f t="shared" si="31"/>
        <v>0</v>
      </c>
      <c r="J731" s="2">
        <f t="shared" si="32"/>
        <v>-75</v>
      </c>
    </row>
    <row r="732" spans="1:10" x14ac:dyDescent="0.25">
      <c r="A732" s="99" t="s">
        <v>1016</v>
      </c>
      <c r="B732" s="2"/>
      <c r="C732" s="2"/>
      <c r="D732" s="2"/>
      <c r="E732" s="2"/>
      <c r="F732" s="2">
        <v>432</v>
      </c>
      <c r="G732" s="113">
        <f t="shared" si="30"/>
        <v>432</v>
      </c>
      <c r="I732" s="2">
        <f t="shared" si="31"/>
        <v>0</v>
      </c>
      <c r="J732" s="2">
        <f t="shared" si="32"/>
        <v>0</v>
      </c>
    </row>
    <row r="733" spans="1:10" x14ac:dyDescent="0.25">
      <c r="A733" s="99" t="s">
        <v>768</v>
      </c>
      <c r="B733" s="2"/>
      <c r="C733" s="2">
        <v>-432</v>
      </c>
      <c r="D733" s="2"/>
      <c r="E733" s="2"/>
      <c r="F733" s="2">
        <v>648</v>
      </c>
      <c r="G733" s="113">
        <f t="shared" si="30"/>
        <v>216</v>
      </c>
      <c r="I733" s="2">
        <f t="shared" si="31"/>
        <v>0</v>
      </c>
      <c r="J733" s="2">
        <f t="shared" si="32"/>
        <v>0</v>
      </c>
    </row>
    <row r="734" spans="1:10" x14ac:dyDescent="0.25">
      <c r="A734" s="99" t="s">
        <v>1017</v>
      </c>
      <c r="B734" s="2"/>
      <c r="C734" s="2">
        <v>-290</v>
      </c>
      <c r="D734" s="2"/>
      <c r="E734" s="2"/>
      <c r="F734" s="2">
        <v>432</v>
      </c>
      <c r="G734" s="113">
        <f t="shared" si="30"/>
        <v>142</v>
      </c>
      <c r="I734" s="2">
        <f t="shared" si="31"/>
        <v>0</v>
      </c>
      <c r="J734" s="2">
        <f t="shared" si="32"/>
        <v>0</v>
      </c>
    </row>
    <row r="735" spans="1:10" x14ac:dyDescent="0.25">
      <c r="A735" s="99" t="s">
        <v>769</v>
      </c>
      <c r="B735" s="2"/>
      <c r="C735" s="2"/>
      <c r="D735" s="2"/>
      <c r="E735" s="2"/>
      <c r="F735" s="2">
        <v>224</v>
      </c>
      <c r="G735" s="113">
        <f t="shared" si="30"/>
        <v>224</v>
      </c>
      <c r="I735" s="2">
        <f t="shared" si="31"/>
        <v>0</v>
      </c>
      <c r="J735" s="2">
        <f t="shared" si="32"/>
        <v>0</v>
      </c>
    </row>
    <row r="736" spans="1:10" x14ac:dyDescent="0.25">
      <c r="A736" s="99" t="s">
        <v>770</v>
      </c>
      <c r="B736" s="2"/>
      <c r="C736" s="2"/>
      <c r="D736" s="2"/>
      <c r="E736" s="2"/>
      <c r="F736" s="2">
        <v>234</v>
      </c>
      <c r="G736" s="113">
        <f t="shared" si="30"/>
        <v>234</v>
      </c>
      <c r="I736" s="2">
        <f t="shared" si="31"/>
        <v>0</v>
      </c>
      <c r="J736" s="2">
        <f t="shared" si="32"/>
        <v>0</v>
      </c>
    </row>
    <row r="737" spans="1:10" x14ac:dyDescent="0.25">
      <c r="A737" s="99" t="s">
        <v>771</v>
      </c>
      <c r="B737" s="2"/>
      <c r="C737" s="2">
        <v>-290</v>
      </c>
      <c r="D737" s="2"/>
      <c r="E737" s="2"/>
      <c r="F737" s="2">
        <v>290</v>
      </c>
      <c r="G737" s="113">
        <f t="shared" si="30"/>
        <v>0</v>
      </c>
      <c r="I737" s="2">
        <f t="shared" si="31"/>
        <v>0</v>
      </c>
      <c r="J737" s="2">
        <f t="shared" si="32"/>
        <v>0</v>
      </c>
    </row>
    <row r="739" spans="1:10" ht="15.75" thickBot="1" x14ac:dyDescent="0.3">
      <c r="A739" t="s">
        <v>780</v>
      </c>
      <c r="B739" s="120">
        <f>SUM(B259:B738)</f>
        <v>-0.18999999999999997</v>
      </c>
      <c r="C739" s="120">
        <f t="shared" ref="C739:J739" si="33">SUM(C259:C738)</f>
        <v>-120042.31000000003</v>
      </c>
      <c r="D739" s="120">
        <f t="shared" si="33"/>
        <v>-35</v>
      </c>
      <c r="E739" s="120">
        <f t="shared" si="33"/>
        <v>1600.6999999999998</v>
      </c>
      <c r="F739" s="120">
        <f t="shared" si="33"/>
        <v>158556.28000000003</v>
      </c>
      <c r="G739" s="120">
        <f t="shared" si="33"/>
        <v>40079.479999999996</v>
      </c>
      <c r="I739" s="120">
        <f t="shared" si="33"/>
        <v>-891.5</v>
      </c>
      <c r="J739" s="120">
        <f t="shared" si="33"/>
        <v>-1582.5700000000002</v>
      </c>
    </row>
    <row r="740" spans="1:10" ht="15.75" thickTop="1" x14ac:dyDescent="0.25"/>
  </sheetData>
  <mergeCells count="5">
    <mergeCell ref="A1:M1"/>
    <mergeCell ref="A2:M2"/>
    <mergeCell ref="A3:M3"/>
    <mergeCell ref="A5:Q5"/>
    <mergeCell ref="A34:P34"/>
  </mergeCell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7">
    <tabColor theme="6"/>
  </sheetPr>
  <dimension ref="A1:Q500"/>
  <sheetViews>
    <sheetView zoomScaleNormal="100" workbookViewId="0">
      <selection activeCell="A499" sqref="A499:J499"/>
    </sheetView>
  </sheetViews>
  <sheetFormatPr defaultRowHeight="15" x14ac:dyDescent="0.25"/>
  <cols>
    <col min="1" max="1" width="20.7109375" customWidth="1"/>
    <col min="2" max="3" width="15.7109375" customWidth="1"/>
    <col min="4" max="5" width="18.7109375" customWidth="1"/>
    <col min="6" max="7" width="15.7109375" customWidth="1"/>
    <col min="8" max="8" width="8.7109375" customWidth="1"/>
    <col min="9" max="9" width="15.7109375" customWidth="1"/>
    <col min="10" max="10" width="25.7109375" customWidth="1"/>
  </cols>
  <sheetData>
    <row r="1" spans="1:17" ht="18.75" x14ac:dyDescent="0.3">
      <c r="A1" s="173" t="s">
        <v>17</v>
      </c>
      <c r="B1" s="173"/>
      <c r="C1" s="173"/>
      <c r="D1" s="173"/>
      <c r="E1" s="173"/>
      <c r="F1" s="173"/>
      <c r="G1" s="173"/>
      <c r="H1" s="173"/>
      <c r="I1" s="173"/>
      <c r="J1" s="173"/>
      <c r="K1" s="173"/>
      <c r="L1" s="173"/>
      <c r="M1" s="173"/>
    </row>
    <row r="2" spans="1:17" ht="15.75" x14ac:dyDescent="0.25">
      <c r="A2" s="174" t="str">
        <f>'Reimbursement Rates &lt;-INPUT'!A2:AY2</f>
        <v>Biocorrect</v>
      </c>
      <c r="B2" s="174"/>
      <c r="C2" s="174"/>
      <c r="D2" s="174"/>
      <c r="E2" s="174"/>
      <c r="F2" s="174"/>
      <c r="G2" s="174"/>
      <c r="H2" s="174"/>
      <c r="I2" s="174"/>
      <c r="J2" s="174"/>
      <c r="K2" s="174"/>
      <c r="L2" s="174"/>
      <c r="M2" s="174"/>
    </row>
    <row r="3" spans="1:17" x14ac:dyDescent="0.25">
      <c r="A3" s="175" t="s">
        <v>219</v>
      </c>
      <c r="B3" s="175"/>
      <c r="C3" s="175"/>
      <c r="D3" s="175"/>
      <c r="E3" s="175"/>
      <c r="F3" s="175"/>
      <c r="G3" s="175"/>
      <c r="H3" s="175"/>
      <c r="I3" s="175"/>
      <c r="J3" s="175"/>
      <c r="K3" s="175"/>
      <c r="L3" s="175"/>
      <c r="M3" s="175"/>
    </row>
    <row r="4" spans="1:17" ht="15.75" thickBot="1" x14ac:dyDescent="0.3">
      <c r="A4" s="35"/>
      <c r="B4" s="35"/>
      <c r="C4" s="35"/>
      <c r="D4" s="35"/>
      <c r="E4" s="35"/>
      <c r="F4" s="35"/>
      <c r="G4" s="35"/>
      <c r="H4" s="35"/>
      <c r="I4" s="35"/>
      <c r="J4" s="35"/>
      <c r="K4" s="35"/>
      <c r="L4" s="35"/>
      <c r="M4" s="35"/>
    </row>
    <row r="5" spans="1:17" ht="15.75" thickBot="1" x14ac:dyDescent="0.3">
      <c r="A5" s="189" t="s">
        <v>130</v>
      </c>
      <c r="B5" s="190"/>
      <c r="C5" s="190"/>
      <c r="D5" s="190"/>
      <c r="E5" s="190"/>
      <c r="F5" s="190"/>
      <c r="G5" s="190"/>
      <c r="H5" s="190"/>
      <c r="I5" s="190"/>
      <c r="J5" s="190"/>
      <c r="K5" s="190"/>
      <c r="L5" s="190"/>
      <c r="M5" s="190"/>
      <c r="N5" s="190"/>
      <c r="O5" s="190"/>
      <c r="P5" s="190"/>
      <c r="Q5" s="191"/>
    </row>
    <row r="7" spans="1:17" x14ac:dyDescent="0.25">
      <c r="A7" s="65" t="s">
        <v>134</v>
      </c>
    </row>
    <row r="8" spans="1:17" x14ac:dyDescent="0.25">
      <c r="A8" s="85" t="s">
        <v>258</v>
      </c>
    </row>
    <row r="9" spans="1:17" x14ac:dyDescent="0.25">
      <c r="A9" s="85" t="s">
        <v>228</v>
      </c>
    </row>
    <row r="10" spans="1:17" x14ac:dyDescent="0.25">
      <c r="A10" s="85" t="s">
        <v>229</v>
      </c>
    </row>
    <row r="11" spans="1:17" x14ac:dyDescent="0.25">
      <c r="A11" s="85"/>
    </row>
    <row r="12" spans="1:17" x14ac:dyDescent="0.25">
      <c r="A12" s="89" t="s">
        <v>230</v>
      </c>
    </row>
    <row r="13" spans="1:17" x14ac:dyDescent="0.25">
      <c r="A13" s="85" t="s">
        <v>275</v>
      </c>
    </row>
    <row r="18" spans="1:10" ht="15.75" thickBot="1" x14ac:dyDescent="0.3">
      <c r="A18" s="43" t="s">
        <v>220</v>
      </c>
      <c r="B18" s="43" t="s">
        <v>221</v>
      </c>
      <c r="C18" s="43" t="s">
        <v>222</v>
      </c>
      <c r="D18" s="43" t="s">
        <v>223</v>
      </c>
      <c r="E18" s="43" t="s">
        <v>103</v>
      </c>
      <c r="F18" s="43" t="s">
        <v>99</v>
      </c>
      <c r="G18" s="43" t="s">
        <v>224</v>
      </c>
      <c r="I18" s="43" t="s">
        <v>225</v>
      </c>
      <c r="J18" s="43" t="s">
        <v>226</v>
      </c>
    </row>
    <row r="19" spans="1:10" x14ac:dyDescent="0.25">
      <c r="A19" t="s">
        <v>293</v>
      </c>
      <c r="B19" s="2"/>
      <c r="C19" s="2"/>
      <c r="D19" s="2"/>
      <c r="E19" s="2"/>
      <c r="F19" s="2">
        <v>432</v>
      </c>
      <c r="G19" s="2">
        <f>SUM(B19:F19)</f>
        <v>432</v>
      </c>
      <c r="I19" s="2">
        <f>IF(F19=0,C19+D19,0)</f>
        <v>0</v>
      </c>
      <c r="J19" s="2">
        <f>IF(G19&lt;0,G19,0)</f>
        <v>0</v>
      </c>
    </row>
    <row r="20" spans="1:10" x14ac:dyDescent="0.25">
      <c r="A20" t="s">
        <v>294</v>
      </c>
      <c r="F20">
        <v>464</v>
      </c>
      <c r="G20" s="2">
        <f t="shared" ref="G20:G83" si="0">SUM(B20:F20)</f>
        <v>464</v>
      </c>
      <c r="I20" s="2">
        <f t="shared" ref="I20:I83" si="1">IF(F20=0,C20+D20,0)</f>
        <v>0</v>
      </c>
      <c r="J20" s="2">
        <f t="shared" ref="J20:J83" si="2">IF(G20&lt;0,G20,0)</f>
        <v>0</v>
      </c>
    </row>
    <row r="21" spans="1:10" x14ac:dyDescent="0.25">
      <c r="A21" t="s">
        <v>295</v>
      </c>
      <c r="F21">
        <v>432</v>
      </c>
      <c r="G21" s="2">
        <f t="shared" si="0"/>
        <v>432</v>
      </c>
      <c r="I21" s="2">
        <f t="shared" si="1"/>
        <v>0</v>
      </c>
      <c r="J21" s="2">
        <f t="shared" si="2"/>
        <v>0</v>
      </c>
    </row>
    <row r="22" spans="1:10" x14ac:dyDescent="0.25">
      <c r="A22" t="s">
        <v>296</v>
      </c>
      <c r="C22">
        <v>-450</v>
      </c>
      <c r="F22">
        <v>450</v>
      </c>
      <c r="G22" s="2">
        <f t="shared" si="0"/>
        <v>0</v>
      </c>
      <c r="I22" s="2">
        <f t="shared" si="1"/>
        <v>0</v>
      </c>
      <c r="J22" s="2">
        <f t="shared" si="2"/>
        <v>0</v>
      </c>
    </row>
    <row r="23" spans="1:10" x14ac:dyDescent="0.25">
      <c r="A23" t="s">
        <v>297</v>
      </c>
      <c r="C23">
        <v>-200</v>
      </c>
      <c r="F23">
        <v>432</v>
      </c>
      <c r="G23" s="2">
        <f t="shared" si="0"/>
        <v>232</v>
      </c>
      <c r="I23" s="2">
        <f t="shared" si="1"/>
        <v>0</v>
      </c>
      <c r="J23" s="2">
        <f t="shared" si="2"/>
        <v>0</v>
      </c>
    </row>
    <row r="24" spans="1:10" x14ac:dyDescent="0.25">
      <c r="A24" t="s">
        <v>298</v>
      </c>
      <c r="F24">
        <v>148.19999999999999</v>
      </c>
      <c r="G24" s="2">
        <f t="shared" si="0"/>
        <v>148.19999999999999</v>
      </c>
      <c r="I24" s="2">
        <f t="shared" si="1"/>
        <v>0</v>
      </c>
      <c r="J24" s="2">
        <f t="shared" si="2"/>
        <v>0</v>
      </c>
    </row>
    <row r="25" spans="1:10" x14ac:dyDescent="0.25">
      <c r="A25" t="s">
        <v>299</v>
      </c>
      <c r="C25">
        <v>-432</v>
      </c>
      <c r="F25">
        <v>432</v>
      </c>
      <c r="G25" s="2">
        <f t="shared" si="0"/>
        <v>0</v>
      </c>
      <c r="I25" s="2">
        <f t="shared" si="1"/>
        <v>0</v>
      </c>
      <c r="J25" s="2">
        <f t="shared" si="2"/>
        <v>0</v>
      </c>
    </row>
    <row r="26" spans="1:10" x14ac:dyDescent="0.25">
      <c r="A26" t="s">
        <v>300</v>
      </c>
      <c r="B26">
        <v>-0.02</v>
      </c>
      <c r="F26">
        <v>0.02</v>
      </c>
      <c r="G26" s="2">
        <f t="shared" si="0"/>
        <v>0</v>
      </c>
      <c r="I26" s="2">
        <f t="shared" si="1"/>
        <v>0</v>
      </c>
      <c r="J26" s="2">
        <f t="shared" si="2"/>
        <v>0</v>
      </c>
    </row>
    <row r="27" spans="1:10" x14ac:dyDescent="0.25">
      <c r="A27" t="s">
        <v>301</v>
      </c>
      <c r="F27">
        <v>234</v>
      </c>
      <c r="G27" s="2">
        <f t="shared" si="0"/>
        <v>234</v>
      </c>
      <c r="I27" s="2">
        <f t="shared" si="1"/>
        <v>0</v>
      </c>
      <c r="J27" s="2">
        <f t="shared" si="2"/>
        <v>0</v>
      </c>
    </row>
    <row r="28" spans="1:10" x14ac:dyDescent="0.25">
      <c r="A28" t="s">
        <v>302</v>
      </c>
      <c r="C28">
        <v>-132</v>
      </c>
      <c r="F28">
        <v>132</v>
      </c>
      <c r="G28" s="2">
        <f t="shared" si="0"/>
        <v>0</v>
      </c>
      <c r="I28" s="2">
        <f t="shared" si="1"/>
        <v>0</v>
      </c>
      <c r="J28" s="2">
        <f t="shared" si="2"/>
        <v>0</v>
      </c>
    </row>
    <row r="29" spans="1:10" x14ac:dyDescent="0.25">
      <c r="A29" t="s">
        <v>303</v>
      </c>
      <c r="C29">
        <v>-432</v>
      </c>
      <c r="F29">
        <v>432</v>
      </c>
      <c r="G29" s="2">
        <f t="shared" si="0"/>
        <v>0</v>
      </c>
      <c r="I29" s="2">
        <f t="shared" si="1"/>
        <v>0</v>
      </c>
      <c r="J29" s="2">
        <f t="shared" si="2"/>
        <v>0</v>
      </c>
    </row>
    <row r="30" spans="1:10" x14ac:dyDescent="0.25">
      <c r="A30" t="s">
        <v>304</v>
      </c>
      <c r="C30">
        <v>-290</v>
      </c>
      <c r="F30">
        <v>290</v>
      </c>
      <c r="G30" s="2">
        <f t="shared" si="0"/>
        <v>0</v>
      </c>
      <c r="I30" s="2">
        <f t="shared" si="1"/>
        <v>0</v>
      </c>
      <c r="J30" s="2">
        <f t="shared" si="2"/>
        <v>0</v>
      </c>
    </row>
    <row r="31" spans="1:10" x14ac:dyDescent="0.25">
      <c r="A31" t="s">
        <v>305</v>
      </c>
      <c r="C31">
        <v>-432</v>
      </c>
      <c r="F31">
        <v>432</v>
      </c>
      <c r="G31" s="2">
        <f t="shared" si="0"/>
        <v>0</v>
      </c>
      <c r="I31" s="2">
        <f t="shared" si="1"/>
        <v>0</v>
      </c>
      <c r="J31" s="2">
        <f t="shared" si="2"/>
        <v>0</v>
      </c>
    </row>
    <row r="32" spans="1:10" x14ac:dyDescent="0.25">
      <c r="A32" t="s">
        <v>306</v>
      </c>
      <c r="C32">
        <v>-58</v>
      </c>
      <c r="F32">
        <v>58</v>
      </c>
      <c r="G32" s="2">
        <f t="shared" si="0"/>
        <v>0</v>
      </c>
      <c r="I32" s="2">
        <f t="shared" si="1"/>
        <v>0</v>
      </c>
      <c r="J32" s="2">
        <f t="shared" si="2"/>
        <v>0</v>
      </c>
    </row>
    <row r="33" spans="1:10" x14ac:dyDescent="0.25">
      <c r="A33" t="s">
        <v>307</v>
      </c>
      <c r="C33">
        <v>-41.35</v>
      </c>
      <c r="F33">
        <v>80.349999999999994</v>
      </c>
      <c r="G33" s="2">
        <f t="shared" si="0"/>
        <v>38.999999999999993</v>
      </c>
      <c r="I33" s="2">
        <f t="shared" si="1"/>
        <v>0</v>
      </c>
      <c r="J33" s="2">
        <f t="shared" si="2"/>
        <v>0</v>
      </c>
    </row>
    <row r="34" spans="1:10" x14ac:dyDescent="0.25">
      <c r="A34" t="s">
        <v>308</v>
      </c>
      <c r="C34">
        <v>-450</v>
      </c>
      <c r="F34">
        <v>450</v>
      </c>
      <c r="G34" s="2">
        <f t="shared" si="0"/>
        <v>0</v>
      </c>
      <c r="I34" s="2">
        <f t="shared" si="1"/>
        <v>0</v>
      </c>
      <c r="J34" s="2">
        <f t="shared" si="2"/>
        <v>0</v>
      </c>
    </row>
    <row r="35" spans="1:10" x14ac:dyDescent="0.25">
      <c r="A35" t="s">
        <v>309</v>
      </c>
      <c r="C35">
        <v>-450</v>
      </c>
      <c r="F35">
        <v>450</v>
      </c>
      <c r="G35" s="2">
        <f t="shared" si="0"/>
        <v>0</v>
      </c>
      <c r="I35" s="2">
        <f t="shared" si="1"/>
        <v>0</v>
      </c>
      <c r="J35" s="2">
        <f t="shared" si="2"/>
        <v>0</v>
      </c>
    </row>
    <row r="36" spans="1:10" x14ac:dyDescent="0.25">
      <c r="A36" t="s">
        <v>310</v>
      </c>
      <c r="C36">
        <v>-318</v>
      </c>
      <c r="F36">
        <v>750</v>
      </c>
      <c r="G36" s="2">
        <f t="shared" si="0"/>
        <v>432</v>
      </c>
      <c r="I36" s="2">
        <f t="shared" si="1"/>
        <v>0</v>
      </c>
      <c r="J36" s="2">
        <f t="shared" si="2"/>
        <v>0</v>
      </c>
    </row>
    <row r="37" spans="1:10" x14ac:dyDescent="0.25">
      <c r="A37" t="s">
        <v>311</v>
      </c>
      <c r="C37">
        <v>-432</v>
      </c>
      <c r="F37">
        <v>432</v>
      </c>
      <c r="G37" s="2">
        <f t="shared" si="0"/>
        <v>0</v>
      </c>
      <c r="I37" s="2">
        <f t="shared" si="1"/>
        <v>0</v>
      </c>
      <c r="J37" s="2">
        <f t="shared" si="2"/>
        <v>0</v>
      </c>
    </row>
    <row r="38" spans="1:10" x14ac:dyDescent="0.25">
      <c r="A38" t="s">
        <v>312</v>
      </c>
      <c r="C38">
        <v>-58</v>
      </c>
      <c r="F38">
        <v>58</v>
      </c>
      <c r="G38" s="2">
        <f t="shared" si="0"/>
        <v>0</v>
      </c>
      <c r="I38" s="2">
        <f t="shared" si="1"/>
        <v>0</v>
      </c>
      <c r="J38" s="2">
        <f t="shared" si="2"/>
        <v>0</v>
      </c>
    </row>
    <row r="39" spans="1:10" x14ac:dyDescent="0.25">
      <c r="A39" t="s">
        <v>313</v>
      </c>
      <c r="C39">
        <v>-432</v>
      </c>
      <c r="F39">
        <v>290</v>
      </c>
      <c r="G39" s="2">
        <f t="shared" si="0"/>
        <v>-142</v>
      </c>
      <c r="I39" s="2">
        <f t="shared" si="1"/>
        <v>0</v>
      </c>
      <c r="J39" s="2">
        <f t="shared" si="2"/>
        <v>-142</v>
      </c>
    </row>
    <row r="40" spans="1:10" x14ac:dyDescent="0.25">
      <c r="A40" t="s">
        <v>314</v>
      </c>
      <c r="C40">
        <v>-28.31</v>
      </c>
      <c r="F40">
        <v>28.31</v>
      </c>
      <c r="G40" s="2">
        <f t="shared" si="0"/>
        <v>0</v>
      </c>
      <c r="I40" s="2">
        <f t="shared" si="1"/>
        <v>0</v>
      </c>
      <c r="J40" s="2">
        <f t="shared" si="2"/>
        <v>0</v>
      </c>
    </row>
    <row r="41" spans="1:10" x14ac:dyDescent="0.25">
      <c r="A41" t="s">
        <v>315</v>
      </c>
      <c r="C41">
        <v>-333.9</v>
      </c>
      <c r="F41">
        <v>348.9</v>
      </c>
      <c r="G41" s="2">
        <f t="shared" si="0"/>
        <v>15</v>
      </c>
      <c r="I41" s="2">
        <f t="shared" si="1"/>
        <v>0</v>
      </c>
      <c r="J41" s="2">
        <f t="shared" si="2"/>
        <v>0</v>
      </c>
    </row>
    <row r="42" spans="1:10" x14ac:dyDescent="0.25">
      <c r="A42" t="s">
        <v>316</v>
      </c>
      <c r="C42">
        <v>-87</v>
      </c>
      <c r="F42">
        <v>87</v>
      </c>
      <c r="G42" s="2">
        <f t="shared" si="0"/>
        <v>0</v>
      </c>
      <c r="I42" s="2">
        <f t="shared" si="1"/>
        <v>0</v>
      </c>
      <c r="J42" s="2">
        <f t="shared" si="2"/>
        <v>0</v>
      </c>
    </row>
    <row r="43" spans="1:10" x14ac:dyDescent="0.25">
      <c r="A43" t="s">
        <v>317</v>
      </c>
      <c r="F43">
        <v>432</v>
      </c>
      <c r="G43" s="2">
        <f t="shared" si="0"/>
        <v>432</v>
      </c>
      <c r="I43" s="2">
        <f t="shared" si="1"/>
        <v>0</v>
      </c>
      <c r="J43" s="2">
        <f t="shared" si="2"/>
        <v>0</v>
      </c>
    </row>
    <row r="44" spans="1:10" x14ac:dyDescent="0.25">
      <c r="A44" t="s">
        <v>318</v>
      </c>
      <c r="C44">
        <v>-450</v>
      </c>
      <c r="F44">
        <v>450</v>
      </c>
      <c r="G44" s="2">
        <f t="shared" si="0"/>
        <v>0</v>
      </c>
      <c r="I44" s="2">
        <f t="shared" si="1"/>
        <v>0</v>
      </c>
      <c r="J44" s="2">
        <f t="shared" si="2"/>
        <v>0</v>
      </c>
    </row>
    <row r="45" spans="1:10" x14ac:dyDescent="0.25">
      <c r="A45" t="s">
        <v>319</v>
      </c>
      <c r="F45">
        <v>232</v>
      </c>
      <c r="G45" s="2">
        <f t="shared" si="0"/>
        <v>232</v>
      </c>
      <c r="I45" s="2">
        <f t="shared" si="1"/>
        <v>0</v>
      </c>
      <c r="J45" s="2">
        <f t="shared" si="2"/>
        <v>0</v>
      </c>
    </row>
    <row r="46" spans="1:10" x14ac:dyDescent="0.25">
      <c r="A46" t="s">
        <v>320</v>
      </c>
      <c r="C46">
        <v>-432</v>
      </c>
      <c r="F46">
        <v>432</v>
      </c>
      <c r="G46" s="2">
        <f t="shared" si="0"/>
        <v>0</v>
      </c>
      <c r="I46" s="2">
        <f t="shared" si="1"/>
        <v>0</v>
      </c>
      <c r="J46" s="2">
        <f t="shared" si="2"/>
        <v>0</v>
      </c>
    </row>
    <row r="47" spans="1:10" x14ac:dyDescent="0.25">
      <c r="A47" t="s">
        <v>321</v>
      </c>
      <c r="C47">
        <v>-384</v>
      </c>
      <c r="F47">
        <v>384</v>
      </c>
      <c r="G47" s="2">
        <f t="shared" si="0"/>
        <v>0</v>
      </c>
      <c r="I47" s="2">
        <f t="shared" si="1"/>
        <v>0</v>
      </c>
      <c r="J47" s="2">
        <f t="shared" si="2"/>
        <v>0</v>
      </c>
    </row>
    <row r="48" spans="1:10" x14ac:dyDescent="0.25">
      <c r="A48" t="s">
        <v>322</v>
      </c>
      <c r="C48">
        <v>-141.18</v>
      </c>
      <c r="F48">
        <v>141.18</v>
      </c>
      <c r="G48" s="2">
        <f t="shared" si="0"/>
        <v>0</v>
      </c>
      <c r="I48" s="2">
        <f t="shared" si="1"/>
        <v>0</v>
      </c>
      <c r="J48" s="2">
        <f t="shared" si="2"/>
        <v>0</v>
      </c>
    </row>
    <row r="49" spans="1:10" x14ac:dyDescent="0.25">
      <c r="A49" t="s">
        <v>323</v>
      </c>
      <c r="C49">
        <v>-651</v>
      </c>
      <c r="F49">
        <v>651</v>
      </c>
      <c r="G49" s="2">
        <f t="shared" si="0"/>
        <v>0</v>
      </c>
      <c r="I49" s="2">
        <f t="shared" si="1"/>
        <v>0</v>
      </c>
      <c r="J49" s="2">
        <f t="shared" si="2"/>
        <v>0</v>
      </c>
    </row>
    <row r="50" spans="1:10" x14ac:dyDescent="0.25">
      <c r="A50" t="s">
        <v>324</v>
      </c>
      <c r="F50">
        <v>0</v>
      </c>
      <c r="G50" s="2">
        <f t="shared" si="0"/>
        <v>0</v>
      </c>
      <c r="I50" s="2">
        <f t="shared" si="1"/>
        <v>0</v>
      </c>
      <c r="J50" s="2">
        <f t="shared" si="2"/>
        <v>0</v>
      </c>
    </row>
    <row r="51" spans="1:10" x14ac:dyDescent="0.25">
      <c r="A51" t="s">
        <v>325</v>
      </c>
      <c r="C51">
        <v>-25</v>
      </c>
      <c r="F51">
        <v>25</v>
      </c>
      <c r="G51" s="2">
        <f t="shared" si="0"/>
        <v>0</v>
      </c>
      <c r="I51" s="2">
        <f t="shared" si="1"/>
        <v>0</v>
      </c>
      <c r="J51" s="2">
        <f t="shared" si="2"/>
        <v>0</v>
      </c>
    </row>
    <row r="52" spans="1:10" x14ac:dyDescent="0.25">
      <c r="A52" t="s">
        <v>326</v>
      </c>
      <c r="F52">
        <v>450</v>
      </c>
      <c r="G52" s="2">
        <f t="shared" si="0"/>
        <v>450</v>
      </c>
      <c r="I52" s="2">
        <f t="shared" si="1"/>
        <v>0</v>
      </c>
      <c r="J52" s="2">
        <f t="shared" si="2"/>
        <v>0</v>
      </c>
    </row>
    <row r="53" spans="1:10" x14ac:dyDescent="0.25">
      <c r="A53" t="s">
        <v>327</v>
      </c>
      <c r="F53">
        <v>0</v>
      </c>
      <c r="G53" s="2">
        <f t="shared" si="0"/>
        <v>0</v>
      </c>
      <c r="I53" s="2">
        <f t="shared" si="1"/>
        <v>0</v>
      </c>
      <c r="J53" s="2">
        <f t="shared" si="2"/>
        <v>0</v>
      </c>
    </row>
    <row r="54" spans="1:10" x14ac:dyDescent="0.25">
      <c r="A54" t="s">
        <v>328</v>
      </c>
      <c r="C54">
        <v>-100</v>
      </c>
      <c r="F54">
        <v>100</v>
      </c>
      <c r="G54" s="2">
        <f t="shared" si="0"/>
        <v>0</v>
      </c>
      <c r="I54" s="2">
        <f t="shared" si="1"/>
        <v>0</v>
      </c>
      <c r="J54" s="2">
        <f t="shared" si="2"/>
        <v>0</v>
      </c>
    </row>
    <row r="55" spans="1:10" x14ac:dyDescent="0.25">
      <c r="A55" t="s">
        <v>329</v>
      </c>
      <c r="F55">
        <v>432</v>
      </c>
      <c r="G55" s="2">
        <f t="shared" si="0"/>
        <v>432</v>
      </c>
      <c r="I55" s="2">
        <f t="shared" si="1"/>
        <v>0</v>
      </c>
      <c r="J55" s="2">
        <f t="shared" si="2"/>
        <v>0</v>
      </c>
    </row>
    <row r="56" spans="1:10" x14ac:dyDescent="0.25">
      <c r="A56" t="s">
        <v>330</v>
      </c>
      <c r="C56">
        <v>-318</v>
      </c>
      <c r="F56">
        <v>318</v>
      </c>
      <c r="G56" s="2">
        <f t="shared" si="0"/>
        <v>0</v>
      </c>
      <c r="I56" s="2">
        <f t="shared" si="1"/>
        <v>0</v>
      </c>
      <c r="J56" s="2">
        <f t="shared" si="2"/>
        <v>0</v>
      </c>
    </row>
    <row r="57" spans="1:10" x14ac:dyDescent="0.25">
      <c r="A57" t="s">
        <v>331</v>
      </c>
      <c r="C57">
        <v>-615</v>
      </c>
      <c r="F57">
        <v>615</v>
      </c>
      <c r="G57" s="2">
        <f t="shared" si="0"/>
        <v>0</v>
      </c>
      <c r="I57" s="2">
        <f t="shared" si="1"/>
        <v>0</v>
      </c>
      <c r="J57" s="2">
        <f t="shared" si="2"/>
        <v>0</v>
      </c>
    </row>
    <row r="58" spans="1:10" x14ac:dyDescent="0.25">
      <c r="A58" t="s">
        <v>332</v>
      </c>
      <c r="F58">
        <v>290</v>
      </c>
      <c r="G58" s="2">
        <f t="shared" si="0"/>
        <v>290</v>
      </c>
      <c r="I58" s="2">
        <f t="shared" si="1"/>
        <v>0</v>
      </c>
      <c r="J58" s="2">
        <f t="shared" si="2"/>
        <v>0</v>
      </c>
    </row>
    <row r="59" spans="1:10" x14ac:dyDescent="0.25">
      <c r="A59" t="s">
        <v>333</v>
      </c>
      <c r="C59">
        <v>-432</v>
      </c>
      <c r="F59">
        <v>432</v>
      </c>
      <c r="G59" s="2">
        <f t="shared" si="0"/>
        <v>0</v>
      </c>
      <c r="I59" s="2">
        <f t="shared" si="1"/>
        <v>0</v>
      </c>
      <c r="J59" s="2">
        <f t="shared" si="2"/>
        <v>0</v>
      </c>
    </row>
    <row r="60" spans="1:10" x14ac:dyDescent="0.25">
      <c r="A60" t="s">
        <v>334</v>
      </c>
      <c r="C60">
        <v>-450</v>
      </c>
      <c r="F60">
        <v>450</v>
      </c>
      <c r="G60" s="2">
        <f t="shared" si="0"/>
        <v>0</v>
      </c>
      <c r="I60" s="2">
        <f t="shared" si="1"/>
        <v>0</v>
      </c>
      <c r="J60" s="2">
        <f t="shared" si="2"/>
        <v>0</v>
      </c>
    </row>
    <row r="61" spans="1:10" x14ac:dyDescent="0.25">
      <c r="A61" t="s">
        <v>335</v>
      </c>
      <c r="C61">
        <v>-432</v>
      </c>
      <c r="F61">
        <v>432</v>
      </c>
      <c r="G61" s="2">
        <f t="shared" si="0"/>
        <v>0</v>
      </c>
      <c r="I61" s="2">
        <f t="shared" si="1"/>
        <v>0</v>
      </c>
      <c r="J61" s="2">
        <f t="shared" si="2"/>
        <v>0</v>
      </c>
    </row>
    <row r="62" spans="1:10" x14ac:dyDescent="0.25">
      <c r="A62" t="s">
        <v>336</v>
      </c>
      <c r="C62">
        <v>-315</v>
      </c>
      <c r="F62">
        <v>315</v>
      </c>
      <c r="G62" s="2">
        <f t="shared" si="0"/>
        <v>0</v>
      </c>
      <c r="I62" s="2">
        <f t="shared" si="1"/>
        <v>0</v>
      </c>
      <c r="J62" s="2">
        <f t="shared" si="2"/>
        <v>0</v>
      </c>
    </row>
    <row r="63" spans="1:10" x14ac:dyDescent="0.25">
      <c r="A63" t="s">
        <v>337</v>
      </c>
      <c r="F63">
        <v>300</v>
      </c>
      <c r="G63" s="2">
        <f t="shared" si="0"/>
        <v>300</v>
      </c>
      <c r="I63" s="2">
        <f t="shared" si="1"/>
        <v>0</v>
      </c>
      <c r="J63" s="2">
        <f t="shared" si="2"/>
        <v>0</v>
      </c>
    </row>
    <row r="64" spans="1:10" x14ac:dyDescent="0.25">
      <c r="A64" t="s">
        <v>338</v>
      </c>
      <c r="F64">
        <v>224</v>
      </c>
      <c r="G64" s="2">
        <f t="shared" si="0"/>
        <v>224</v>
      </c>
      <c r="I64" s="2">
        <f t="shared" si="1"/>
        <v>0</v>
      </c>
      <c r="J64" s="2">
        <f t="shared" si="2"/>
        <v>0</v>
      </c>
    </row>
    <row r="65" spans="1:10" x14ac:dyDescent="0.25">
      <c r="A65" t="s">
        <v>339</v>
      </c>
      <c r="C65">
        <v>-100</v>
      </c>
      <c r="F65">
        <v>100</v>
      </c>
      <c r="G65" s="2">
        <f t="shared" si="0"/>
        <v>0</v>
      </c>
      <c r="I65" s="2">
        <f t="shared" si="1"/>
        <v>0</v>
      </c>
      <c r="J65" s="2">
        <f t="shared" si="2"/>
        <v>0</v>
      </c>
    </row>
    <row r="66" spans="1:10" x14ac:dyDescent="0.25">
      <c r="A66" t="s">
        <v>340</v>
      </c>
      <c r="F66">
        <v>432</v>
      </c>
      <c r="G66" s="2">
        <f t="shared" si="0"/>
        <v>432</v>
      </c>
      <c r="I66" s="2">
        <f t="shared" si="1"/>
        <v>0</v>
      </c>
      <c r="J66" s="2">
        <f t="shared" si="2"/>
        <v>0</v>
      </c>
    </row>
    <row r="67" spans="1:10" x14ac:dyDescent="0.25">
      <c r="A67" t="s">
        <v>341</v>
      </c>
      <c r="F67">
        <v>0</v>
      </c>
      <c r="G67" s="2">
        <f t="shared" si="0"/>
        <v>0</v>
      </c>
      <c r="I67" s="2">
        <f t="shared" si="1"/>
        <v>0</v>
      </c>
      <c r="J67" s="2">
        <f t="shared" si="2"/>
        <v>0</v>
      </c>
    </row>
    <row r="68" spans="1:10" x14ac:dyDescent="0.25">
      <c r="A68" t="s">
        <v>342</v>
      </c>
      <c r="F68">
        <v>432</v>
      </c>
      <c r="G68" s="2">
        <f t="shared" si="0"/>
        <v>432</v>
      </c>
      <c r="I68" s="2">
        <f t="shared" si="1"/>
        <v>0</v>
      </c>
      <c r="J68" s="2">
        <f t="shared" si="2"/>
        <v>0</v>
      </c>
    </row>
    <row r="69" spans="1:10" x14ac:dyDescent="0.25">
      <c r="A69" t="s">
        <v>343</v>
      </c>
      <c r="C69">
        <v>-41.35</v>
      </c>
      <c r="F69">
        <v>41.35</v>
      </c>
      <c r="G69" s="2">
        <f t="shared" si="0"/>
        <v>0</v>
      </c>
      <c r="I69" s="2">
        <f t="shared" si="1"/>
        <v>0</v>
      </c>
      <c r="J69" s="2">
        <f t="shared" si="2"/>
        <v>0</v>
      </c>
    </row>
    <row r="70" spans="1:10" x14ac:dyDescent="0.25">
      <c r="A70" t="s">
        <v>344</v>
      </c>
      <c r="C70">
        <v>-432</v>
      </c>
      <c r="F70">
        <v>432</v>
      </c>
      <c r="G70" s="2">
        <f t="shared" si="0"/>
        <v>0</v>
      </c>
      <c r="I70" s="2">
        <f t="shared" si="1"/>
        <v>0</v>
      </c>
      <c r="J70" s="2">
        <f t="shared" si="2"/>
        <v>0</v>
      </c>
    </row>
    <row r="71" spans="1:10" x14ac:dyDescent="0.25">
      <c r="A71" t="s">
        <v>345</v>
      </c>
      <c r="C71">
        <v>-432</v>
      </c>
      <c r="F71">
        <v>864</v>
      </c>
      <c r="G71" s="2">
        <f t="shared" si="0"/>
        <v>432</v>
      </c>
      <c r="I71" s="2">
        <f t="shared" si="1"/>
        <v>0</v>
      </c>
      <c r="J71" s="2">
        <f t="shared" si="2"/>
        <v>0</v>
      </c>
    </row>
    <row r="72" spans="1:10" x14ac:dyDescent="0.25">
      <c r="A72" t="s">
        <v>346</v>
      </c>
      <c r="C72">
        <v>-300</v>
      </c>
      <c r="F72">
        <v>450</v>
      </c>
      <c r="G72" s="2">
        <f t="shared" si="0"/>
        <v>150</v>
      </c>
      <c r="I72" s="2">
        <f t="shared" si="1"/>
        <v>0</v>
      </c>
      <c r="J72" s="2">
        <f t="shared" si="2"/>
        <v>0</v>
      </c>
    </row>
    <row r="73" spans="1:10" x14ac:dyDescent="0.25">
      <c r="A73" t="s">
        <v>347</v>
      </c>
      <c r="C73">
        <v>-627</v>
      </c>
      <c r="F73">
        <v>627</v>
      </c>
      <c r="G73" s="2">
        <f t="shared" si="0"/>
        <v>0</v>
      </c>
      <c r="I73" s="2">
        <f t="shared" si="1"/>
        <v>0</v>
      </c>
      <c r="J73" s="2">
        <f t="shared" si="2"/>
        <v>0</v>
      </c>
    </row>
    <row r="74" spans="1:10" x14ac:dyDescent="0.25">
      <c r="A74" t="s">
        <v>348</v>
      </c>
      <c r="C74">
        <v>-270</v>
      </c>
      <c r="F74">
        <v>270</v>
      </c>
      <c r="G74" s="2">
        <f t="shared" si="0"/>
        <v>0</v>
      </c>
      <c r="I74" s="2">
        <f t="shared" si="1"/>
        <v>0</v>
      </c>
      <c r="J74" s="2">
        <f t="shared" si="2"/>
        <v>0</v>
      </c>
    </row>
    <row r="75" spans="1:10" x14ac:dyDescent="0.25">
      <c r="A75" t="s">
        <v>349</v>
      </c>
      <c r="F75">
        <v>0</v>
      </c>
      <c r="G75" s="2">
        <f t="shared" si="0"/>
        <v>0</v>
      </c>
      <c r="I75" s="2">
        <f t="shared" si="1"/>
        <v>0</v>
      </c>
      <c r="J75" s="2">
        <f t="shared" si="2"/>
        <v>0</v>
      </c>
    </row>
    <row r="76" spans="1:10" x14ac:dyDescent="0.25">
      <c r="A76" t="s">
        <v>350</v>
      </c>
      <c r="F76">
        <v>290</v>
      </c>
      <c r="G76" s="2">
        <f t="shared" si="0"/>
        <v>290</v>
      </c>
      <c r="I76" s="2">
        <f t="shared" si="1"/>
        <v>0</v>
      </c>
      <c r="J76" s="2">
        <f t="shared" si="2"/>
        <v>0</v>
      </c>
    </row>
    <row r="77" spans="1:10" x14ac:dyDescent="0.25">
      <c r="A77" t="s">
        <v>351</v>
      </c>
      <c r="F77">
        <v>0</v>
      </c>
      <c r="G77" s="2">
        <f t="shared" si="0"/>
        <v>0</v>
      </c>
      <c r="I77" s="2">
        <f t="shared" si="1"/>
        <v>0</v>
      </c>
      <c r="J77" s="2">
        <f t="shared" si="2"/>
        <v>0</v>
      </c>
    </row>
    <row r="78" spans="1:10" x14ac:dyDescent="0.25">
      <c r="A78" t="s">
        <v>352</v>
      </c>
      <c r="B78">
        <v>-0.02</v>
      </c>
      <c r="C78">
        <v>-16.54</v>
      </c>
      <c r="F78">
        <v>16.560000000000002</v>
      </c>
      <c r="G78" s="2">
        <f t="shared" si="0"/>
        <v>0</v>
      </c>
      <c r="I78" s="2">
        <f t="shared" si="1"/>
        <v>0</v>
      </c>
      <c r="J78" s="2">
        <f t="shared" si="2"/>
        <v>0</v>
      </c>
    </row>
    <row r="79" spans="1:10" x14ac:dyDescent="0.25">
      <c r="A79" t="s">
        <v>353</v>
      </c>
      <c r="F79">
        <v>432</v>
      </c>
      <c r="G79" s="2">
        <f t="shared" si="0"/>
        <v>432</v>
      </c>
      <c r="I79" s="2">
        <f t="shared" si="1"/>
        <v>0</v>
      </c>
      <c r="J79" s="2">
        <f t="shared" si="2"/>
        <v>0</v>
      </c>
    </row>
    <row r="80" spans="1:10" x14ac:dyDescent="0.25">
      <c r="A80" t="s">
        <v>354</v>
      </c>
      <c r="C80">
        <v>-300</v>
      </c>
      <c r="F80">
        <v>450</v>
      </c>
      <c r="G80" s="2">
        <f t="shared" si="0"/>
        <v>150</v>
      </c>
      <c r="I80" s="2">
        <f t="shared" si="1"/>
        <v>0</v>
      </c>
      <c r="J80" s="2">
        <f t="shared" si="2"/>
        <v>0</v>
      </c>
    </row>
    <row r="81" spans="1:10" x14ac:dyDescent="0.25">
      <c r="A81" t="s">
        <v>355</v>
      </c>
      <c r="C81">
        <v>-483.08</v>
      </c>
      <c r="F81">
        <v>483.08</v>
      </c>
      <c r="G81" s="2">
        <f t="shared" si="0"/>
        <v>0</v>
      </c>
      <c r="I81" s="2">
        <f t="shared" si="1"/>
        <v>0</v>
      </c>
      <c r="J81" s="2">
        <f t="shared" si="2"/>
        <v>0</v>
      </c>
    </row>
    <row r="82" spans="1:10" x14ac:dyDescent="0.25">
      <c r="A82" t="s">
        <v>356</v>
      </c>
      <c r="C82">
        <v>-318</v>
      </c>
      <c r="F82">
        <v>318</v>
      </c>
      <c r="G82" s="2">
        <f t="shared" si="0"/>
        <v>0</v>
      </c>
      <c r="I82" s="2">
        <f t="shared" si="1"/>
        <v>0</v>
      </c>
      <c r="J82" s="2">
        <f t="shared" si="2"/>
        <v>0</v>
      </c>
    </row>
    <row r="83" spans="1:10" x14ac:dyDescent="0.25">
      <c r="A83" t="s">
        <v>357</v>
      </c>
      <c r="C83">
        <v>-290</v>
      </c>
      <c r="F83">
        <v>300</v>
      </c>
      <c r="G83" s="2">
        <f t="shared" si="0"/>
        <v>10</v>
      </c>
      <c r="I83" s="2">
        <f t="shared" si="1"/>
        <v>0</v>
      </c>
      <c r="J83" s="2">
        <f t="shared" si="2"/>
        <v>0</v>
      </c>
    </row>
    <row r="84" spans="1:10" x14ac:dyDescent="0.25">
      <c r="A84" t="s">
        <v>358</v>
      </c>
      <c r="C84">
        <v>-450</v>
      </c>
      <c r="F84">
        <v>450</v>
      </c>
      <c r="G84" s="2">
        <f t="shared" ref="G84:G147" si="3">SUM(B84:F84)</f>
        <v>0</v>
      </c>
      <c r="I84" s="2">
        <f t="shared" ref="I84:I147" si="4">IF(F84=0,C84+D84,0)</f>
        <v>0</v>
      </c>
      <c r="J84" s="2">
        <f t="shared" ref="J84:J147" si="5">IF(G84&lt;0,G84,0)</f>
        <v>0</v>
      </c>
    </row>
    <row r="85" spans="1:10" x14ac:dyDescent="0.25">
      <c r="A85" t="s">
        <v>359</v>
      </c>
      <c r="C85">
        <v>-432</v>
      </c>
      <c r="F85">
        <v>864</v>
      </c>
      <c r="G85" s="2">
        <f t="shared" si="3"/>
        <v>432</v>
      </c>
      <c r="I85" s="2">
        <f t="shared" si="4"/>
        <v>0</v>
      </c>
      <c r="J85" s="2">
        <f t="shared" si="5"/>
        <v>0</v>
      </c>
    </row>
    <row r="86" spans="1:10" x14ac:dyDescent="0.25">
      <c r="A86" t="s">
        <v>360</v>
      </c>
      <c r="F86">
        <v>432</v>
      </c>
      <c r="G86" s="2">
        <f t="shared" si="3"/>
        <v>432</v>
      </c>
      <c r="I86" s="2">
        <f t="shared" si="4"/>
        <v>0</v>
      </c>
      <c r="J86" s="2">
        <f t="shared" si="5"/>
        <v>0</v>
      </c>
    </row>
    <row r="87" spans="1:10" x14ac:dyDescent="0.25">
      <c r="A87" t="s">
        <v>361</v>
      </c>
      <c r="C87">
        <v>-600</v>
      </c>
      <c r="F87">
        <v>900</v>
      </c>
      <c r="G87" s="2">
        <f t="shared" si="3"/>
        <v>300</v>
      </c>
      <c r="I87" s="2">
        <f t="shared" si="4"/>
        <v>0</v>
      </c>
      <c r="J87" s="2">
        <f t="shared" si="5"/>
        <v>0</v>
      </c>
    </row>
    <row r="88" spans="1:10" x14ac:dyDescent="0.25">
      <c r="A88" t="s">
        <v>362</v>
      </c>
      <c r="F88">
        <v>224</v>
      </c>
      <c r="G88" s="2">
        <f t="shared" si="3"/>
        <v>224</v>
      </c>
      <c r="I88" s="2">
        <f t="shared" si="4"/>
        <v>0</v>
      </c>
      <c r="J88" s="2">
        <f t="shared" si="5"/>
        <v>0</v>
      </c>
    </row>
    <row r="89" spans="1:10" x14ac:dyDescent="0.25">
      <c r="A89" t="s">
        <v>363</v>
      </c>
      <c r="C89">
        <v>-432</v>
      </c>
      <c r="F89">
        <v>864</v>
      </c>
      <c r="G89" s="2">
        <f t="shared" si="3"/>
        <v>432</v>
      </c>
      <c r="I89" s="2">
        <f t="shared" si="4"/>
        <v>0</v>
      </c>
      <c r="J89" s="2">
        <f t="shared" si="5"/>
        <v>0</v>
      </c>
    </row>
    <row r="90" spans="1:10" x14ac:dyDescent="0.25">
      <c r="A90" t="s">
        <v>364</v>
      </c>
      <c r="C90">
        <v>-432</v>
      </c>
      <c r="F90">
        <v>432</v>
      </c>
      <c r="G90" s="2">
        <f t="shared" si="3"/>
        <v>0</v>
      </c>
      <c r="I90" s="2">
        <f t="shared" si="4"/>
        <v>0</v>
      </c>
      <c r="J90" s="2">
        <f t="shared" si="5"/>
        <v>0</v>
      </c>
    </row>
    <row r="91" spans="1:10" x14ac:dyDescent="0.25">
      <c r="A91" t="s">
        <v>365</v>
      </c>
      <c r="C91">
        <v>-315</v>
      </c>
      <c r="F91">
        <v>315</v>
      </c>
      <c r="G91" s="2">
        <f t="shared" si="3"/>
        <v>0</v>
      </c>
      <c r="I91" s="2">
        <f t="shared" si="4"/>
        <v>0</v>
      </c>
      <c r="J91" s="2">
        <f t="shared" si="5"/>
        <v>0</v>
      </c>
    </row>
    <row r="92" spans="1:10" x14ac:dyDescent="0.25">
      <c r="A92" t="s">
        <v>366</v>
      </c>
      <c r="C92">
        <v>-432</v>
      </c>
      <c r="F92">
        <v>432</v>
      </c>
      <c r="G92" s="2">
        <f t="shared" si="3"/>
        <v>0</v>
      </c>
      <c r="I92" s="2">
        <f t="shared" si="4"/>
        <v>0</v>
      </c>
      <c r="J92" s="2">
        <f t="shared" si="5"/>
        <v>0</v>
      </c>
    </row>
    <row r="93" spans="1:10" x14ac:dyDescent="0.25">
      <c r="A93" t="s">
        <v>367</v>
      </c>
      <c r="C93">
        <v>-450</v>
      </c>
      <c r="F93">
        <v>450</v>
      </c>
      <c r="G93" s="2">
        <f t="shared" si="3"/>
        <v>0</v>
      </c>
      <c r="I93" s="2">
        <f t="shared" si="4"/>
        <v>0</v>
      </c>
      <c r="J93" s="2">
        <f t="shared" si="5"/>
        <v>0</v>
      </c>
    </row>
    <row r="94" spans="1:10" x14ac:dyDescent="0.25">
      <c r="A94" t="s">
        <v>368</v>
      </c>
      <c r="F94">
        <v>432</v>
      </c>
      <c r="G94" s="2">
        <f t="shared" si="3"/>
        <v>432</v>
      </c>
      <c r="I94" s="2">
        <f t="shared" si="4"/>
        <v>0</v>
      </c>
      <c r="J94" s="2">
        <f t="shared" si="5"/>
        <v>0</v>
      </c>
    </row>
    <row r="95" spans="1:10" x14ac:dyDescent="0.25">
      <c r="A95" t="s">
        <v>369</v>
      </c>
      <c r="F95">
        <v>648</v>
      </c>
      <c r="G95" s="2">
        <f t="shared" si="3"/>
        <v>648</v>
      </c>
      <c r="I95" s="2">
        <f t="shared" si="4"/>
        <v>0</v>
      </c>
      <c r="J95" s="2">
        <f t="shared" si="5"/>
        <v>0</v>
      </c>
    </row>
    <row r="96" spans="1:10" x14ac:dyDescent="0.25">
      <c r="A96" t="s">
        <v>370</v>
      </c>
      <c r="C96">
        <v>-290</v>
      </c>
      <c r="F96">
        <v>432</v>
      </c>
      <c r="G96" s="2">
        <f t="shared" si="3"/>
        <v>142</v>
      </c>
      <c r="I96" s="2">
        <f t="shared" si="4"/>
        <v>0</v>
      </c>
      <c r="J96" s="2">
        <f t="shared" si="5"/>
        <v>0</v>
      </c>
    </row>
    <row r="97" spans="1:10" x14ac:dyDescent="0.25">
      <c r="A97" t="s">
        <v>371</v>
      </c>
      <c r="C97">
        <v>-82.68</v>
      </c>
      <c r="F97">
        <v>82.68</v>
      </c>
      <c r="G97" s="2">
        <f t="shared" si="3"/>
        <v>0</v>
      </c>
      <c r="I97" s="2">
        <f t="shared" si="4"/>
        <v>0</v>
      </c>
      <c r="J97" s="2">
        <f t="shared" si="5"/>
        <v>0</v>
      </c>
    </row>
    <row r="98" spans="1:10" x14ac:dyDescent="0.25">
      <c r="A98" t="s">
        <v>372</v>
      </c>
      <c r="F98">
        <v>330</v>
      </c>
      <c r="G98" s="2">
        <f t="shared" si="3"/>
        <v>330</v>
      </c>
      <c r="I98" s="2">
        <f t="shared" si="4"/>
        <v>0</v>
      </c>
      <c r="J98" s="2">
        <f t="shared" si="5"/>
        <v>0</v>
      </c>
    </row>
    <row r="99" spans="1:10" x14ac:dyDescent="0.25">
      <c r="A99" t="s">
        <v>373</v>
      </c>
      <c r="C99">
        <v>-15</v>
      </c>
      <c r="F99">
        <v>15</v>
      </c>
      <c r="G99" s="2">
        <f t="shared" si="3"/>
        <v>0</v>
      </c>
      <c r="I99" s="2">
        <f t="shared" si="4"/>
        <v>0</v>
      </c>
      <c r="J99" s="2">
        <f t="shared" si="5"/>
        <v>0</v>
      </c>
    </row>
    <row r="100" spans="1:10" x14ac:dyDescent="0.25">
      <c r="A100" t="s">
        <v>374</v>
      </c>
      <c r="C100">
        <v>-29</v>
      </c>
      <c r="F100">
        <v>29</v>
      </c>
      <c r="G100" s="2">
        <f t="shared" si="3"/>
        <v>0</v>
      </c>
      <c r="I100" s="2">
        <f t="shared" si="4"/>
        <v>0</v>
      </c>
      <c r="J100" s="2">
        <f t="shared" si="5"/>
        <v>0</v>
      </c>
    </row>
    <row r="101" spans="1:10" x14ac:dyDescent="0.25">
      <c r="A101" t="s">
        <v>375</v>
      </c>
      <c r="C101">
        <v>-450</v>
      </c>
      <c r="F101">
        <v>1098</v>
      </c>
      <c r="G101" s="2">
        <f t="shared" si="3"/>
        <v>648</v>
      </c>
      <c r="I101" s="2">
        <f t="shared" si="4"/>
        <v>0</v>
      </c>
      <c r="J101" s="2">
        <f t="shared" si="5"/>
        <v>0</v>
      </c>
    </row>
    <row r="102" spans="1:10" x14ac:dyDescent="0.25">
      <c r="A102" t="s">
        <v>376</v>
      </c>
      <c r="C102">
        <v>-132</v>
      </c>
      <c r="F102">
        <v>132</v>
      </c>
      <c r="G102" s="2">
        <f t="shared" si="3"/>
        <v>0</v>
      </c>
      <c r="I102" s="2">
        <f t="shared" si="4"/>
        <v>0</v>
      </c>
      <c r="J102" s="2">
        <f t="shared" si="5"/>
        <v>0</v>
      </c>
    </row>
    <row r="103" spans="1:10" x14ac:dyDescent="0.25">
      <c r="A103" t="s">
        <v>377</v>
      </c>
      <c r="C103">
        <v>-432</v>
      </c>
      <c r="F103">
        <v>432</v>
      </c>
      <c r="G103" s="2">
        <f t="shared" si="3"/>
        <v>0</v>
      </c>
      <c r="I103" s="2">
        <f t="shared" si="4"/>
        <v>0</v>
      </c>
      <c r="J103" s="2">
        <f t="shared" si="5"/>
        <v>0</v>
      </c>
    </row>
    <row r="104" spans="1:10" x14ac:dyDescent="0.25">
      <c r="A104" t="s">
        <v>378</v>
      </c>
      <c r="C104">
        <v>-40</v>
      </c>
      <c r="F104">
        <v>86.4</v>
      </c>
      <c r="G104" s="2">
        <f t="shared" si="3"/>
        <v>46.400000000000006</v>
      </c>
      <c r="I104" s="2">
        <f t="shared" si="4"/>
        <v>0</v>
      </c>
      <c r="J104" s="2">
        <f t="shared" si="5"/>
        <v>0</v>
      </c>
    </row>
    <row r="105" spans="1:10" x14ac:dyDescent="0.25">
      <c r="A105" t="s">
        <v>379</v>
      </c>
      <c r="C105">
        <v>-145</v>
      </c>
      <c r="F105">
        <v>145</v>
      </c>
      <c r="G105" s="2">
        <f t="shared" si="3"/>
        <v>0</v>
      </c>
      <c r="I105" s="2">
        <f t="shared" si="4"/>
        <v>0</v>
      </c>
      <c r="J105" s="2">
        <f t="shared" si="5"/>
        <v>0</v>
      </c>
    </row>
    <row r="106" spans="1:10" x14ac:dyDescent="0.25">
      <c r="A106" t="s">
        <v>380</v>
      </c>
      <c r="F106">
        <v>66</v>
      </c>
      <c r="G106" s="2">
        <f t="shared" si="3"/>
        <v>66</v>
      </c>
      <c r="I106" s="2">
        <f t="shared" si="4"/>
        <v>0</v>
      </c>
      <c r="J106" s="2">
        <f t="shared" si="5"/>
        <v>0</v>
      </c>
    </row>
    <row r="107" spans="1:10" x14ac:dyDescent="0.25">
      <c r="A107" t="s">
        <v>381</v>
      </c>
      <c r="C107">
        <v>-468</v>
      </c>
      <c r="F107">
        <v>450</v>
      </c>
      <c r="G107" s="2">
        <f t="shared" si="3"/>
        <v>-18</v>
      </c>
      <c r="I107" s="2">
        <f t="shared" si="4"/>
        <v>0</v>
      </c>
      <c r="J107" s="2">
        <f t="shared" si="5"/>
        <v>-18</v>
      </c>
    </row>
    <row r="108" spans="1:10" x14ac:dyDescent="0.25">
      <c r="A108" t="s">
        <v>382</v>
      </c>
      <c r="C108">
        <v>-450</v>
      </c>
      <c r="F108">
        <v>450</v>
      </c>
      <c r="G108" s="2">
        <f t="shared" si="3"/>
        <v>0</v>
      </c>
      <c r="I108" s="2">
        <f t="shared" si="4"/>
        <v>0</v>
      </c>
      <c r="J108" s="2">
        <f t="shared" si="5"/>
        <v>0</v>
      </c>
    </row>
    <row r="109" spans="1:10" x14ac:dyDescent="0.25">
      <c r="A109" t="s">
        <v>383</v>
      </c>
      <c r="C109">
        <v>-113.94</v>
      </c>
      <c r="F109">
        <v>113.94000000000003</v>
      </c>
      <c r="G109" s="2">
        <f t="shared" si="3"/>
        <v>0</v>
      </c>
      <c r="I109" s="2">
        <f t="shared" si="4"/>
        <v>0</v>
      </c>
      <c r="J109" s="2">
        <f t="shared" si="5"/>
        <v>0</v>
      </c>
    </row>
    <row r="110" spans="1:10" x14ac:dyDescent="0.25">
      <c r="A110" t="s">
        <v>384</v>
      </c>
      <c r="C110">
        <v>-432</v>
      </c>
      <c r="F110">
        <v>432</v>
      </c>
      <c r="G110" s="2">
        <f t="shared" si="3"/>
        <v>0</v>
      </c>
      <c r="I110" s="2">
        <f t="shared" si="4"/>
        <v>0</v>
      </c>
      <c r="J110" s="2">
        <f t="shared" si="5"/>
        <v>0</v>
      </c>
    </row>
    <row r="111" spans="1:10" x14ac:dyDescent="0.25">
      <c r="A111" t="s">
        <v>385</v>
      </c>
      <c r="F111">
        <v>0</v>
      </c>
      <c r="G111" s="2">
        <f t="shared" si="3"/>
        <v>0</v>
      </c>
      <c r="I111" s="2">
        <f t="shared" si="4"/>
        <v>0</v>
      </c>
      <c r="J111" s="2">
        <f t="shared" si="5"/>
        <v>0</v>
      </c>
    </row>
    <row r="112" spans="1:10" x14ac:dyDescent="0.25">
      <c r="A112" t="s">
        <v>386</v>
      </c>
      <c r="C112">
        <v>-432</v>
      </c>
      <c r="F112">
        <v>432</v>
      </c>
      <c r="G112" s="2">
        <f t="shared" si="3"/>
        <v>0</v>
      </c>
      <c r="I112" s="2">
        <f t="shared" si="4"/>
        <v>0</v>
      </c>
      <c r="J112" s="2">
        <f t="shared" si="5"/>
        <v>0</v>
      </c>
    </row>
    <row r="113" spans="1:10" x14ac:dyDescent="0.25">
      <c r="A113" t="s">
        <v>387</v>
      </c>
      <c r="C113">
        <v>-29</v>
      </c>
      <c r="F113">
        <v>212.61</v>
      </c>
      <c r="G113" s="2">
        <f t="shared" si="3"/>
        <v>183.61</v>
      </c>
      <c r="I113" s="2">
        <f t="shared" si="4"/>
        <v>0</v>
      </c>
      <c r="J113" s="2">
        <f t="shared" si="5"/>
        <v>0</v>
      </c>
    </row>
    <row r="114" spans="1:10" x14ac:dyDescent="0.25">
      <c r="A114" t="s">
        <v>388</v>
      </c>
      <c r="C114">
        <v>-432</v>
      </c>
      <c r="F114">
        <v>432</v>
      </c>
      <c r="G114" s="2">
        <f t="shared" si="3"/>
        <v>0</v>
      </c>
      <c r="I114" s="2">
        <f t="shared" si="4"/>
        <v>0</v>
      </c>
      <c r="J114" s="2">
        <f t="shared" si="5"/>
        <v>0</v>
      </c>
    </row>
    <row r="115" spans="1:10" x14ac:dyDescent="0.25">
      <c r="A115" t="s">
        <v>389</v>
      </c>
      <c r="C115">
        <v>-450</v>
      </c>
      <c r="F115">
        <v>450</v>
      </c>
      <c r="G115" s="2">
        <f t="shared" si="3"/>
        <v>0</v>
      </c>
      <c r="I115" s="2">
        <f t="shared" si="4"/>
        <v>0</v>
      </c>
      <c r="J115" s="2">
        <f t="shared" si="5"/>
        <v>0</v>
      </c>
    </row>
    <row r="116" spans="1:10" x14ac:dyDescent="0.25">
      <c r="A116" t="s">
        <v>390</v>
      </c>
      <c r="C116">
        <v>-290</v>
      </c>
      <c r="F116">
        <v>290</v>
      </c>
      <c r="G116" s="2">
        <f t="shared" si="3"/>
        <v>0</v>
      </c>
      <c r="I116" s="2">
        <f t="shared" si="4"/>
        <v>0</v>
      </c>
      <c r="J116" s="2">
        <f t="shared" si="5"/>
        <v>0</v>
      </c>
    </row>
    <row r="117" spans="1:10" x14ac:dyDescent="0.25">
      <c r="A117" t="s">
        <v>391</v>
      </c>
      <c r="F117">
        <v>432</v>
      </c>
      <c r="G117" s="2">
        <f t="shared" si="3"/>
        <v>432</v>
      </c>
      <c r="I117" s="2">
        <f t="shared" si="4"/>
        <v>0</v>
      </c>
      <c r="J117" s="2">
        <f t="shared" si="5"/>
        <v>0</v>
      </c>
    </row>
    <row r="118" spans="1:10" x14ac:dyDescent="0.25">
      <c r="A118" t="s">
        <v>392</v>
      </c>
      <c r="C118">
        <v>-450</v>
      </c>
      <c r="F118">
        <v>450</v>
      </c>
      <c r="G118" s="2">
        <f t="shared" si="3"/>
        <v>0</v>
      </c>
      <c r="I118" s="2">
        <f t="shared" si="4"/>
        <v>0</v>
      </c>
      <c r="J118" s="2">
        <f t="shared" si="5"/>
        <v>0</v>
      </c>
    </row>
    <row r="119" spans="1:10" x14ac:dyDescent="0.25">
      <c r="A119" t="s">
        <v>393</v>
      </c>
      <c r="F119">
        <v>348</v>
      </c>
      <c r="G119" s="2">
        <f t="shared" si="3"/>
        <v>348</v>
      </c>
      <c r="I119" s="2">
        <f t="shared" si="4"/>
        <v>0</v>
      </c>
      <c r="J119" s="2">
        <f t="shared" si="5"/>
        <v>0</v>
      </c>
    </row>
    <row r="120" spans="1:10" x14ac:dyDescent="0.25">
      <c r="A120" t="s">
        <v>394</v>
      </c>
      <c r="C120">
        <v>-432</v>
      </c>
      <c r="F120">
        <v>432</v>
      </c>
      <c r="G120" s="2">
        <f t="shared" si="3"/>
        <v>0</v>
      </c>
      <c r="I120" s="2">
        <f t="shared" si="4"/>
        <v>0</v>
      </c>
      <c r="J120" s="2">
        <f t="shared" si="5"/>
        <v>0</v>
      </c>
    </row>
    <row r="121" spans="1:10" x14ac:dyDescent="0.25">
      <c r="A121" t="s">
        <v>395</v>
      </c>
      <c r="F121">
        <v>379.8</v>
      </c>
      <c r="G121" s="2">
        <f t="shared" si="3"/>
        <v>379.8</v>
      </c>
      <c r="I121" s="2">
        <f t="shared" si="4"/>
        <v>0</v>
      </c>
      <c r="J121" s="2">
        <f t="shared" si="5"/>
        <v>0</v>
      </c>
    </row>
    <row r="122" spans="1:10" x14ac:dyDescent="0.25">
      <c r="A122" t="s">
        <v>396</v>
      </c>
      <c r="C122">
        <v>-432</v>
      </c>
      <c r="F122">
        <v>432</v>
      </c>
      <c r="G122" s="2">
        <f t="shared" si="3"/>
        <v>0</v>
      </c>
      <c r="I122" s="2">
        <f t="shared" si="4"/>
        <v>0</v>
      </c>
      <c r="J122" s="2">
        <f t="shared" si="5"/>
        <v>0</v>
      </c>
    </row>
    <row r="123" spans="1:10" x14ac:dyDescent="0.25">
      <c r="A123" t="s">
        <v>397</v>
      </c>
      <c r="C123">
        <v>-432</v>
      </c>
      <c r="F123">
        <v>432</v>
      </c>
      <c r="G123" s="2">
        <f t="shared" si="3"/>
        <v>0</v>
      </c>
      <c r="I123" s="2">
        <f t="shared" si="4"/>
        <v>0</v>
      </c>
      <c r="J123" s="2">
        <f t="shared" si="5"/>
        <v>0</v>
      </c>
    </row>
    <row r="124" spans="1:10" x14ac:dyDescent="0.25">
      <c r="A124" t="s">
        <v>398</v>
      </c>
      <c r="C124">
        <v>-432</v>
      </c>
      <c r="G124" s="2">
        <f t="shared" si="3"/>
        <v>-432</v>
      </c>
      <c r="I124" s="2">
        <f t="shared" si="4"/>
        <v>-432</v>
      </c>
      <c r="J124" s="2">
        <f t="shared" si="5"/>
        <v>-432</v>
      </c>
    </row>
    <row r="125" spans="1:10" x14ac:dyDescent="0.25">
      <c r="A125" t="s">
        <v>399</v>
      </c>
      <c r="C125">
        <v>-290</v>
      </c>
      <c r="F125">
        <v>290</v>
      </c>
      <c r="G125" s="2">
        <f t="shared" si="3"/>
        <v>0</v>
      </c>
      <c r="I125" s="2">
        <f t="shared" si="4"/>
        <v>0</v>
      </c>
      <c r="J125" s="2">
        <f t="shared" si="5"/>
        <v>0</v>
      </c>
    </row>
    <row r="126" spans="1:10" x14ac:dyDescent="0.25">
      <c r="A126" t="s">
        <v>400</v>
      </c>
      <c r="C126">
        <v>-432</v>
      </c>
      <c r="F126">
        <v>432</v>
      </c>
      <c r="G126" s="2">
        <f t="shared" si="3"/>
        <v>0</v>
      </c>
      <c r="I126" s="2">
        <f t="shared" si="4"/>
        <v>0</v>
      </c>
      <c r="J126" s="2">
        <f t="shared" si="5"/>
        <v>0</v>
      </c>
    </row>
    <row r="127" spans="1:10" x14ac:dyDescent="0.25">
      <c r="A127" t="s">
        <v>401</v>
      </c>
      <c r="C127">
        <v>-432</v>
      </c>
      <c r="F127">
        <v>432</v>
      </c>
      <c r="G127" s="2">
        <f t="shared" si="3"/>
        <v>0</v>
      </c>
      <c r="I127" s="2">
        <f t="shared" si="4"/>
        <v>0</v>
      </c>
      <c r="J127" s="2">
        <f t="shared" si="5"/>
        <v>0</v>
      </c>
    </row>
    <row r="128" spans="1:10" x14ac:dyDescent="0.25">
      <c r="A128" t="s">
        <v>402</v>
      </c>
      <c r="C128">
        <v>-432</v>
      </c>
      <c r="F128">
        <v>432</v>
      </c>
      <c r="G128" s="2">
        <f t="shared" si="3"/>
        <v>0</v>
      </c>
      <c r="I128" s="2">
        <f t="shared" si="4"/>
        <v>0</v>
      </c>
      <c r="J128" s="2">
        <f t="shared" si="5"/>
        <v>0</v>
      </c>
    </row>
    <row r="129" spans="1:10" x14ac:dyDescent="0.25">
      <c r="A129" t="s">
        <v>403</v>
      </c>
      <c r="C129">
        <v>-10.6</v>
      </c>
      <c r="F129">
        <v>10.6</v>
      </c>
      <c r="G129" s="2">
        <f t="shared" si="3"/>
        <v>0</v>
      </c>
      <c r="I129" s="2">
        <f t="shared" si="4"/>
        <v>0</v>
      </c>
      <c r="J129" s="2">
        <f t="shared" si="5"/>
        <v>0</v>
      </c>
    </row>
    <row r="130" spans="1:10" x14ac:dyDescent="0.25">
      <c r="A130" t="s">
        <v>404</v>
      </c>
      <c r="C130">
        <v>-295</v>
      </c>
      <c r="F130">
        <v>432</v>
      </c>
      <c r="G130" s="2">
        <f t="shared" si="3"/>
        <v>137</v>
      </c>
      <c r="I130" s="2">
        <f t="shared" si="4"/>
        <v>0</v>
      </c>
      <c r="J130" s="2">
        <f t="shared" si="5"/>
        <v>0</v>
      </c>
    </row>
    <row r="131" spans="1:10" x14ac:dyDescent="0.25">
      <c r="A131" t="s">
        <v>405</v>
      </c>
      <c r="C131">
        <v>-315</v>
      </c>
      <c r="E131">
        <v>256.5</v>
      </c>
      <c r="F131">
        <v>73.5</v>
      </c>
      <c r="G131" s="2">
        <f t="shared" si="3"/>
        <v>15</v>
      </c>
      <c r="I131" s="2">
        <f t="shared" si="4"/>
        <v>0</v>
      </c>
      <c r="J131" s="2">
        <f t="shared" si="5"/>
        <v>0</v>
      </c>
    </row>
    <row r="132" spans="1:10" x14ac:dyDescent="0.25">
      <c r="A132" t="s">
        <v>406</v>
      </c>
      <c r="C132">
        <v>-290</v>
      </c>
      <c r="F132">
        <v>290</v>
      </c>
      <c r="G132" s="2">
        <f t="shared" si="3"/>
        <v>0</v>
      </c>
      <c r="I132" s="2">
        <f t="shared" si="4"/>
        <v>0</v>
      </c>
      <c r="J132" s="2">
        <f t="shared" si="5"/>
        <v>0</v>
      </c>
    </row>
    <row r="133" spans="1:10" x14ac:dyDescent="0.25">
      <c r="A133" t="s">
        <v>407</v>
      </c>
      <c r="C133">
        <v>-290</v>
      </c>
      <c r="F133">
        <v>290</v>
      </c>
      <c r="G133" s="2">
        <f t="shared" si="3"/>
        <v>0</v>
      </c>
      <c r="I133" s="2">
        <f t="shared" si="4"/>
        <v>0</v>
      </c>
      <c r="J133" s="2">
        <f t="shared" si="5"/>
        <v>0</v>
      </c>
    </row>
    <row r="134" spans="1:10" x14ac:dyDescent="0.25">
      <c r="A134" t="s">
        <v>408</v>
      </c>
      <c r="C134">
        <v>-432</v>
      </c>
      <c r="F134">
        <v>432</v>
      </c>
      <c r="G134" s="2">
        <f t="shared" si="3"/>
        <v>0</v>
      </c>
      <c r="I134" s="2">
        <f t="shared" si="4"/>
        <v>0</v>
      </c>
      <c r="J134" s="2">
        <f t="shared" si="5"/>
        <v>0</v>
      </c>
    </row>
    <row r="135" spans="1:10" x14ac:dyDescent="0.25">
      <c r="A135" t="s">
        <v>409</v>
      </c>
      <c r="C135">
        <v>-300</v>
      </c>
      <c r="F135">
        <v>300</v>
      </c>
      <c r="G135" s="2">
        <f t="shared" si="3"/>
        <v>0</v>
      </c>
      <c r="I135" s="2">
        <f t="shared" si="4"/>
        <v>0</v>
      </c>
      <c r="J135" s="2">
        <f t="shared" si="5"/>
        <v>0</v>
      </c>
    </row>
    <row r="136" spans="1:10" x14ac:dyDescent="0.25">
      <c r="A136" t="s">
        <v>410</v>
      </c>
      <c r="C136">
        <v>-750</v>
      </c>
      <c r="F136">
        <v>750</v>
      </c>
      <c r="G136" s="2">
        <f t="shared" si="3"/>
        <v>0</v>
      </c>
      <c r="I136" s="2">
        <f t="shared" si="4"/>
        <v>0</v>
      </c>
      <c r="J136" s="2">
        <f t="shared" si="5"/>
        <v>0</v>
      </c>
    </row>
    <row r="137" spans="1:10" x14ac:dyDescent="0.25">
      <c r="A137" t="s">
        <v>411</v>
      </c>
      <c r="C137">
        <v>-450</v>
      </c>
      <c r="F137">
        <v>450</v>
      </c>
      <c r="G137" s="2">
        <f t="shared" si="3"/>
        <v>0</v>
      </c>
      <c r="I137" s="2">
        <f t="shared" si="4"/>
        <v>0</v>
      </c>
      <c r="J137" s="2">
        <f t="shared" si="5"/>
        <v>0</v>
      </c>
    </row>
    <row r="138" spans="1:10" x14ac:dyDescent="0.25">
      <c r="A138" t="s">
        <v>412</v>
      </c>
      <c r="B138">
        <v>-0.02</v>
      </c>
      <c r="F138">
        <v>0.02</v>
      </c>
      <c r="G138" s="2">
        <f t="shared" si="3"/>
        <v>0</v>
      </c>
      <c r="I138" s="2">
        <f t="shared" si="4"/>
        <v>0</v>
      </c>
      <c r="J138" s="2">
        <f t="shared" si="5"/>
        <v>0</v>
      </c>
    </row>
    <row r="139" spans="1:10" x14ac:dyDescent="0.25">
      <c r="A139" t="s">
        <v>413</v>
      </c>
      <c r="F139">
        <v>432</v>
      </c>
      <c r="G139" s="2">
        <f t="shared" si="3"/>
        <v>432</v>
      </c>
      <c r="I139" s="2">
        <f t="shared" si="4"/>
        <v>0</v>
      </c>
      <c r="J139" s="2">
        <f t="shared" si="5"/>
        <v>0</v>
      </c>
    </row>
    <row r="140" spans="1:10" x14ac:dyDescent="0.25">
      <c r="A140" t="s">
        <v>414</v>
      </c>
      <c r="C140">
        <v>-175</v>
      </c>
      <c r="F140">
        <v>432</v>
      </c>
      <c r="G140" s="2">
        <f t="shared" si="3"/>
        <v>257</v>
      </c>
      <c r="I140" s="2">
        <f t="shared" si="4"/>
        <v>0</v>
      </c>
      <c r="J140" s="2">
        <f t="shared" si="5"/>
        <v>0</v>
      </c>
    </row>
    <row r="141" spans="1:10" x14ac:dyDescent="0.25">
      <c r="A141" t="s">
        <v>415</v>
      </c>
      <c r="C141">
        <v>-432</v>
      </c>
      <c r="F141">
        <v>432</v>
      </c>
      <c r="G141" s="2">
        <f t="shared" si="3"/>
        <v>0</v>
      </c>
      <c r="I141" s="2">
        <f t="shared" si="4"/>
        <v>0</v>
      </c>
      <c r="J141" s="2">
        <f t="shared" si="5"/>
        <v>0</v>
      </c>
    </row>
    <row r="142" spans="1:10" x14ac:dyDescent="0.25">
      <c r="A142" t="s">
        <v>416</v>
      </c>
      <c r="C142">
        <v>-450</v>
      </c>
      <c r="F142">
        <v>450</v>
      </c>
      <c r="G142" s="2">
        <f t="shared" si="3"/>
        <v>0</v>
      </c>
      <c r="I142" s="2">
        <f t="shared" si="4"/>
        <v>0</v>
      </c>
      <c r="J142" s="2">
        <f t="shared" si="5"/>
        <v>0</v>
      </c>
    </row>
    <row r="143" spans="1:10" x14ac:dyDescent="0.25">
      <c r="A143" t="s">
        <v>417</v>
      </c>
      <c r="C143">
        <v>-8.27</v>
      </c>
      <c r="F143">
        <v>8.27</v>
      </c>
      <c r="G143" s="2">
        <f t="shared" si="3"/>
        <v>0</v>
      </c>
      <c r="I143" s="2">
        <f t="shared" si="4"/>
        <v>0</v>
      </c>
      <c r="J143" s="2">
        <f t="shared" si="5"/>
        <v>0</v>
      </c>
    </row>
    <row r="144" spans="1:10" x14ac:dyDescent="0.25">
      <c r="A144" t="s">
        <v>418</v>
      </c>
      <c r="C144">
        <v>-290</v>
      </c>
      <c r="F144">
        <v>290</v>
      </c>
      <c r="G144" s="2">
        <f t="shared" si="3"/>
        <v>0</v>
      </c>
      <c r="I144" s="2">
        <f t="shared" si="4"/>
        <v>0</v>
      </c>
      <c r="J144" s="2">
        <f t="shared" si="5"/>
        <v>0</v>
      </c>
    </row>
    <row r="145" spans="1:10" x14ac:dyDescent="0.25">
      <c r="A145" t="s">
        <v>419</v>
      </c>
      <c r="C145">
        <v>-132</v>
      </c>
      <c r="F145">
        <v>132</v>
      </c>
      <c r="G145" s="2">
        <f t="shared" si="3"/>
        <v>0</v>
      </c>
      <c r="I145" s="2">
        <f t="shared" si="4"/>
        <v>0</v>
      </c>
      <c r="J145" s="2">
        <f t="shared" si="5"/>
        <v>0</v>
      </c>
    </row>
    <row r="146" spans="1:10" x14ac:dyDescent="0.25">
      <c r="A146" t="s">
        <v>420</v>
      </c>
      <c r="C146">
        <v>-450</v>
      </c>
      <c r="F146">
        <v>450</v>
      </c>
      <c r="G146" s="2">
        <f t="shared" si="3"/>
        <v>0</v>
      </c>
      <c r="I146" s="2">
        <f t="shared" si="4"/>
        <v>0</v>
      </c>
      <c r="J146" s="2">
        <f t="shared" si="5"/>
        <v>0</v>
      </c>
    </row>
    <row r="147" spans="1:10" x14ac:dyDescent="0.25">
      <c r="A147" t="s">
        <v>421</v>
      </c>
      <c r="C147">
        <v>-432</v>
      </c>
      <c r="F147">
        <v>432</v>
      </c>
      <c r="G147" s="2">
        <f t="shared" si="3"/>
        <v>0</v>
      </c>
      <c r="I147" s="2">
        <f t="shared" si="4"/>
        <v>0</v>
      </c>
      <c r="J147" s="2">
        <f t="shared" si="5"/>
        <v>0</v>
      </c>
    </row>
    <row r="148" spans="1:10" x14ac:dyDescent="0.25">
      <c r="A148" t="s">
        <v>422</v>
      </c>
      <c r="C148">
        <v>-58</v>
      </c>
      <c r="F148">
        <v>432</v>
      </c>
      <c r="G148" s="2">
        <f t="shared" ref="G148:G211" si="6">SUM(B148:F148)</f>
        <v>374</v>
      </c>
      <c r="I148" s="2">
        <f t="shared" ref="I148:I211" si="7">IF(F148=0,C148+D148,0)</f>
        <v>0</v>
      </c>
      <c r="J148" s="2">
        <f t="shared" ref="J148:J211" si="8">IF(G148&lt;0,G148,0)</f>
        <v>0</v>
      </c>
    </row>
    <row r="149" spans="1:10" x14ac:dyDescent="0.25">
      <c r="A149" t="s">
        <v>423</v>
      </c>
      <c r="C149">
        <v>-432</v>
      </c>
      <c r="F149">
        <v>432</v>
      </c>
      <c r="G149" s="2">
        <f t="shared" si="6"/>
        <v>0</v>
      </c>
      <c r="I149" s="2">
        <f t="shared" si="7"/>
        <v>0</v>
      </c>
      <c r="J149" s="2">
        <f t="shared" si="8"/>
        <v>0</v>
      </c>
    </row>
    <row r="150" spans="1:10" x14ac:dyDescent="0.25">
      <c r="A150" t="s">
        <v>424</v>
      </c>
      <c r="F150">
        <v>864</v>
      </c>
      <c r="G150" s="2">
        <f t="shared" si="6"/>
        <v>864</v>
      </c>
      <c r="I150" s="2">
        <f t="shared" si="7"/>
        <v>0</v>
      </c>
      <c r="J150" s="2">
        <f t="shared" si="8"/>
        <v>0</v>
      </c>
    </row>
    <row r="151" spans="1:10" x14ac:dyDescent="0.25">
      <c r="A151" t="s">
        <v>425</v>
      </c>
      <c r="C151">
        <v>-857.8</v>
      </c>
      <c r="F151">
        <v>857.31</v>
      </c>
      <c r="G151" s="2">
        <f t="shared" si="6"/>
        <v>-0.49000000000000909</v>
      </c>
      <c r="I151" s="2">
        <f t="shared" si="7"/>
        <v>0</v>
      </c>
      <c r="J151" s="2">
        <f t="shared" si="8"/>
        <v>-0.49000000000000909</v>
      </c>
    </row>
    <row r="152" spans="1:10" x14ac:dyDescent="0.25">
      <c r="A152" t="s">
        <v>426</v>
      </c>
      <c r="C152">
        <v>-350</v>
      </c>
      <c r="F152">
        <v>432</v>
      </c>
      <c r="G152" s="2">
        <f t="shared" si="6"/>
        <v>82</v>
      </c>
      <c r="I152" s="2">
        <f t="shared" si="7"/>
        <v>0</v>
      </c>
      <c r="J152" s="2">
        <f t="shared" si="8"/>
        <v>0</v>
      </c>
    </row>
    <row r="153" spans="1:10" x14ac:dyDescent="0.25">
      <c r="A153" t="s">
        <v>427</v>
      </c>
      <c r="C153">
        <v>-290</v>
      </c>
      <c r="F153">
        <v>290</v>
      </c>
      <c r="G153" s="2">
        <f t="shared" si="6"/>
        <v>0</v>
      </c>
      <c r="I153" s="2">
        <f t="shared" si="7"/>
        <v>0</v>
      </c>
      <c r="J153" s="2">
        <f t="shared" si="8"/>
        <v>0</v>
      </c>
    </row>
    <row r="154" spans="1:10" x14ac:dyDescent="0.25">
      <c r="A154" t="s">
        <v>428</v>
      </c>
      <c r="C154">
        <v>-439</v>
      </c>
      <c r="F154">
        <v>432</v>
      </c>
      <c r="G154" s="2">
        <f t="shared" si="6"/>
        <v>-7</v>
      </c>
      <c r="I154" s="2">
        <f t="shared" si="7"/>
        <v>0</v>
      </c>
      <c r="J154" s="2">
        <f t="shared" si="8"/>
        <v>-7</v>
      </c>
    </row>
    <row r="155" spans="1:10" x14ac:dyDescent="0.25">
      <c r="A155" t="s">
        <v>429</v>
      </c>
      <c r="C155">
        <v>-132</v>
      </c>
      <c r="F155">
        <v>132</v>
      </c>
      <c r="G155" s="2">
        <f t="shared" si="6"/>
        <v>0</v>
      </c>
      <c r="I155" s="2">
        <f t="shared" si="7"/>
        <v>0</v>
      </c>
      <c r="J155" s="2">
        <f t="shared" si="8"/>
        <v>0</v>
      </c>
    </row>
    <row r="156" spans="1:10" x14ac:dyDescent="0.25">
      <c r="A156" t="s">
        <v>430</v>
      </c>
      <c r="F156">
        <v>432</v>
      </c>
      <c r="G156" s="2">
        <f t="shared" si="6"/>
        <v>432</v>
      </c>
      <c r="I156" s="2">
        <f t="shared" si="7"/>
        <v>0</v>
      </c>
      <c r="J156" s="2">
        <f t="shared" si="8"/>
        <v>0</v>
      </c>
    </row>
    <row r="157" spans="1:10" x14ac:dyDescent="0.25">
      <c r="A157" t="s">
        <v>431</v>
      </c>
      <c r="C157">
        <v>-450</v>
      </c>
      <c r="F157">
        <v>450</v>
      </c>
      <c r="G157" s="2">
        <f t="shared" si="6"/>
        <v>0</v>
      </c>
      <c r="I157" s="2">
        <f t="shared" si="7"/>
        <v>0</v>
      </c>
      <c r="J157" s="2">
        <f t="shared" si="8"/>
        <v>0</v>
      </c>
    </row>
    <row r="158" spans="1:10" x14ac:dyDescent="0.25">
      <c r="A158" t="s">
        <v>432</v>
      </c>
      <c r="C158">
        <v>-66</v>
      </c>
      <c r="F158">
        <v>66</v>
      </c>
      <c r="G158" s="2">
        <f t="shared" si="6"/>
        <v>0</v>
      </c>
      <c r="I158" s="2">
        <f t="shared" si="7"/>
        <v>0</v>
      </c>
      <c r="J158" s="2">
        <f t="shared" si="8"/>
        <v>0</v>
      </c>
    </row>
    <row r="159" spans="1:10" x14ac:dyDescent="0.25">
      <c r="A159" t="s">
        <v>433</v>
      </c>
      <c r="C159">
        <v>-432</v>
      </c>
      <c r="F159">
        <v>432</v>
      </c>
      <c r="G159" s="2">
        <f t="shared" si="6"/>
        <v>0</v>
      </c>
      <c r="I159" s="2">
        <f t="shared" si="7"/>
        <v>0</v>
      </c>
      <c r="J159" s="2">
        <f t="shared" si="8"/>
        <v>0</v>
      </c>
    </row>
    <row r="160" spans="1:10" x14ac:dyDescent="0.25">
      <c r="A160" t="s">
        <v>434</v>
      </c>
      <c r="C160">
        <v>-432</v>
      </c>
      <c r="F160">
        <v>432</v>
      </c>
      <c r="G160" s="2">
        <f t="shared" si="6"/>
        <v>0</v>
      </c>
      <c r="I160" s="2">
        <f t="shared" si="7"/>
        <v>0</v>
      </c>
      <c r="J160" s="2">
        <f t="shared" si="8"/>
        <v>0</v>
      </c>
    </row>
    <row r="161" spans="1:10" x14ac:dyDescent="0.25">
      <c r="A161" t="s">
        <v>435</v>
      </c>
      <c r="C161">
        <v>-432</v>
      </c>
      <c r="F161">
        <v>864</v>
      </c>
      <c r="G161" s="2">
        <f t="shared" si="6"/>
        <v>432</v>
      </c>
      <c r="I161" s="2">
        <f t="shared" si="7"/>
        <v>0</v>
      </c>
      <c r="J161" s="2">
        <f t="shared" si="8"/>
        <v>0</v>
      </c>
    </row>
    <row r="162" spans="1:10" x14ac:dyDescent="0.25">
      <c r="A162" t="s">
        <v>436</v>
      </c>
      <c r="C162">
        <v>-290</v>
      </c>
      <c r="F162">
        <v>290</v>
      </c>
      <c r="G162" s="2">
        <f t="shared" si="6"/>
        <v>0</v>
      </c>
      <c r="I162" s="2">
        <f t="shared" si="7"/>
        <v>0</v>
      </c>
      <c r="J162" s="2">
        <f t="shared" si="8"/>
        <v>0</v>
      </c>
    </row>
    <row r="163" spans="1:10" x14ac:dyDescent="0.25">
      <c r="A163" t="s">
        <v>437</v>
      </c>
      <c r="C163">
        <v>-305</v>
      </c>
      <c r="F163">
        <v>521</v>
      </c>
      <c r="G163" s="2">
        <f t="shared" si="6"/>
        <v>216</v>
      </c>
      <c r="I163" s="2">
        <f t="shared" si="7"/>
        <v>0</v>
      </c>
      <c r="J163" s="2">
        <f t="shared" si="8"/>
        <v>0</v>
      </c>
    </row>
    <row r="164" spans="1:10" x14ac:dyDescent="0.25">
      <c r="A164" t="s">
        <v>438</v>
      </c>
      <c r="C164">
        <v>-927</v>
      </c>
      <c r="F164">
        <v>927</v>
      </c>
      <c r="G164" s="2">
        <f t="shared" si="6"/>
        <v>0</v>
      </c>
      <c r="I164" s="2">
        <f t="shared" si="7"/>
        <v>0</v>
      </c>
      <c r="J164" s="2">
        <f t="shared" si="8"/>
        <v>0</v>
      </c>
    </row>
    <row r="165" spans="1:10" x14ac:dyDescent="0.25">
      <c r="A165" t="s">
        <v>439</v>
      </c>
      <c r="C165">
        <v>-58</v>
      </c>
      <c r="F165">
        <v>58</v>
      </c>
      <c r="G165" s="2">
        <f t="shared" si="6"/>
        <v>0</v>
      </c>
      <c r="I165" s="2">
        <f t="shared" si="7"/>
        <v>0</v>
      </c>
      <c r="J165" s="2">
        <f t="shared" si="8"/>
        <v>0</v>
      </c>
    </row>
    <row r="166" spans="1:10" x14ac:dyDescent="0.25">
      <c r="A166" t="s">
        <v>440</v>
      </c>
      <c r="F166">
        <v>232</v>
      </c>
      <c r="G166" s="2">
        <f t="shared" si="6"/>
        <v>232</v>
      </c>
      <c r="I166" s="2">
        <f t="shared" si="7"/>
        <v>0</v>
      </c>
      <c r="J166" s="2">
        <f t="shared" si="8"/>
        <v>0</v>
      </c>
    </row>
    <row r="167" spans="1:10" x14ac:dyDescent="0.25">
      <c r="A167" t="s">
        <v>441</v>
      </c>
      <c r="C167">
        <v>-432</v>
      </c>
      <c r="F167">
        <v>432</v>
      </c>
      <c r="G167" s="2">
        <f t="shared" si="6"/>
        <v>0</v>
      </c>
      <c r="I167" s="2">
        <f t="shared" si="7"/>
        <v>0</v>
      </c>
      <c r="J167" s="2">
        <f t="shared" si="8"/>
        <v>0</v>
      </c>
    </row>
    <row r="168" spans="1:10" x14ac:dyDescent="0.25">
      <c r="A168" t="s">
        <v>442</v>
      </c>
      <c r="F168">
        <v>432</v>
      </c>
      <c r="G168" s="2">
        <f t="shared" si="6"/>
        <v>432</v>
      </c>
      <c r="I168" s="2">
        <f t="shared" si="7"/>
        <v>0</v>
      </c>
      <c r="J168" s="2">
        <f t="shared" si="8"/>
        <v>0</v>
      </c>
    </row>
    <row r="169" spans="1:10" x14ac:dyDescent="0.25">
      <c r="A169" t="s">
        <v>443</v>
      </c>
      <c r="C169">
        <v>-58</v>
      </c>
      <c r="F169">
        <v>245</v>
      </c>
      <c r="G169" s="2">
        <f t="shared" si="6"/>
        <v>187</v>
      </c>
      <c r="I169" s="2">
        <f t="shared" si="7"/>
        <v>0</v>
      </c>
      <c r="J169" s="2">
        <f t="shared" si="8"/>
        <v>0</v>
      </c>
    </row>
    <row r="170" spans="1:10" x14ac:dyDescent="0.25">
      <c r="A170" t="s">
        <v>444</v>
      </c>
      <c r="C170">
        <v>-432</v>
      </c>
      <c r="F170">
        <v>432</v>
      </c>
      <c r="G170" s="2">
        <f t="shared" si="6"/>
        <v>0</v>
      </c>
      <c r="I170" s="2">
        <f t="shared" si="7"/>
        <v>0</v>
      </c>
      <c r="J170" s="2">
        <f t="shared" si="8"/>
        <v>0</v>
      </c>
    </row>
    <row r="171" spans="1:10" x14ac:dyDescent="0.25">
      <c r="A171" t="s">
        <v>445</v>
      </c>
      <c r="C171">
        <v>-58</v>
      </c>
      <c r="F171">
        <v>58</v>
      </c>
      <c r="G171" s="2">
        <f t="shared" si="6"/>
        <v>0</v>
      </c>
      <c r="I171" s="2">
        <f t="shared" si="7"/>
        <v>0</v>
      </c>
      <c r="J171" s="2">
        <f t="shared" si="8"/>
        <v>0</v>
      </c>
    </row>
    <row r="172" spans="1:10" x14ac:dyDescent="0.25">
      <c r="A172" t="s">
        <v>446</v>
      </c>
      <c r="F172">
        <v>432</v>
      </c>
      <c r="G172" s="2">
        <f t="shared" si="6"/>
        <v>432</v>
      </c>
      <c r="I172" s="2">
        <f t="shared" si="7"/>
        <v>0</v>
      </c>
      <c r="J172" s="2">
        <f t="shared" si="8"/>
        <v>0</v>
      </c>
    </row>
    <row r="173" spans="1:10" x14ac:dyDescent="0.25">
      <c r="A173" t="s">
        <v>447</v>
      </c>
      <c r="F173">
        <v>432</v>
      </c>
      <c r="G173" s="2">
        <f t="shared" si="6"/>
        <v>432</v>
      </c>
      <c r="I173" s="2">
        <f t="shared" si="7"/>
        <v>0</v>
      </c>
      <c r="J173" s="2">
        <f t="shared" si="8"/>
        <v>0</v>
      </c>
    </row>
    <row r="174" spans="1:10" x14ac:dyDescent="0.25">
      <c r="A174" t="s">
        <v>448</v>
      </c>
      <c r="C174">
        <v>-432</v>
      </c>
      <c r="F174">
        <v>432</v>
      </c>
      <c r="G174" s="2">
        <f t="shared" si="6"/>
        <v>0</v>
      </c>
      <c r="I174" s="2">
        <f t="shared" si="7"/>
        <v>0</v>
      </c>
      <c r="J174" s="2">
        <f t="shared" si="8"/>
        <v>0</v>
      </c>
    </row>
    <row r="175" spans="1:10" x14ac:dyDescent="0.25">
      <c r="A175" t="s">
        <v>449</v>
      </c>
      <c r="C175">
        <v>-618</v>
      </c>
      <c r="F175">
        <v>608</v>
      </c>
      <c r="G175" s="2">
        <f t="shared" si="6"/>
        <v>-10</v>
      </c>
      <c r="I175" s="2">
        <f t="shared" si="7"/>
        <v>0</v>
      </c>
      <c r="J175" s="2">
        <f t="shared" si="8"/>
        <v>-10</v>
      </c>
    </row>
    <row r="176" spans="1:10" x14ac:dyDescent="0.25">
      <c r="A176" t="s">
        <v>450</v>
      </c>
      <c r="F176">
        <v>224</v>
      </c>
      <c r="G176" s="2">
        <f t="shared" si="6"/>
        <v>224</v>
      </c>
      <c r="I176" s="2">
        <f t="shared" si="7"/>
        <v>0</v>
      </c>
      <c r="J176" s="2">
        <f t="shared" si="8"/>
        <v>0</v>
      </c>
    </row>
    <row r="177" spans="1:10" x14ac:dyDescent="0.25">
      <c r="A177" t="s">
        <v>451</v>
      </c>
      <c r="C177">
        <v>-432</v>
      </c>
      <c r="F177">
        <v>432</v>
      </c>
      <c r="G177" s="2">
        <f t="shared" si="6"/>
        <v>0</v>
      </c>
      <c r="I177" s="2">
        <f t="shared" si="7"/>
        <v>0</v>
      </c>
      <c r="J177" s="2">
        <f t="shared" si="8"/>
        <v>0</v>
      </c>
    </row>
    <row r="178" spans="1:10" x14ac:dyDescent="0.25">
      <c r="A178" t="s">
        <v>452</v>
      </c>
      <c r="F178">
        <v>1464</v>
      </c>
      <c r="G178" s="2">
        <f t="shared" si="6"/>
        <v>1464</v>
      </c>
      <c r="I178" s="2">
        <f t="shared" si="7"/>
        <v>0</v>
      </c>
      <c r="J178" s="2">
        <f t="shared" si="8"/>
        <v>0</v>
      </c>
    </row>
    <row r="179" spans="1:10" x14ac:dyDescent="0.25">
      <c r="A179" t="s">
        <v>453</v>
      </c>
      <c r="C179">
        <v>-125</v>
      </c>
      <c r="F179">
        <v>379.8</v>
      </c>
      <c r="G179" s="2">
        <f t="shared" si="6"/>
        <v>254.8</v>
      </c>
      <c r="I179" s="2">
        <f t="shared" si="7"/>
        <v>0</v>
      </c>
      <c r="J179" s="2">
        <f t="shared" si="8"/>
        <v>0</v>
      </c>
    </row>
    <row r="180" spans="1:10" x14ac:dyDescent="0.25">
      <c r="A180" t="s">
        <v>454</v>
      </c>
      <c r="C180">
        <v>-290</v>
      </c>
      <c r="F180">
        <v>290</v>
      </c>
      <c r="G180" s="2">
        <f t="shared" si="6"/>
        <v>0</v>
      </c>
      <c r="I180" s="2">
        <f t="shared" si="7"/>
        <v>0</v>
      </c>
      <c r="J180" s="2">
        <f t="shared" si="8"/>
        <v>0</v>
      </c>
    </row>
    <row r="181" spans="1:10" x14ac:dyDescent="0.25">
      <c r="A181" t="s">
        <v>455</v>
      </c>
      <c r="C181">
        <v>-432</v>
      </c>
      <c r="F181">
        <v>432</v>
      </c>
      <c r="G181" s="2">
        <f t="shared" si="6"/>
        <v>0</v>
      </c>
      <c r="I181" s="2">
        <f t="shared" si="7"/>
        <v>0</v>
      </c>
      <c r="J181" s="2">
        <f t="shared" si="8"/>
        <v>0</v>
      </c>
    </row>
    <row r="182" spans="1:10" x14ac:dyDescent="0.25">
      <c r="A182" t="s">
        <v>456</v>
      </c>
      <c r="C182">
        <v>-428</v>
      </c>
      <c r="F182">
        <v>428</v>
      </c>
      <c r="G182" s="2">
        <f t="shared" si="6"/>
        <v>0</v>
      </c>
      <c r="I182" s="2">
        <f t="shared" si="7"/>
        <v>0</v>
      </c>
      <c r="J182" s="2">
        <f t="shared" si="8"/>
        <v>0</v>
      </c>
    </row>
    <row r="183" spans="1:10" x14ac:dyDescent="0.25">
      <c r="A183" t="s">
        <v>457</v>
      </c>
      <c r="F183">
        <v>230.28</v>
      </c>
      <c r="G183" s="2">
        <f t="shared" si="6"/>
        <v>230.28</v>
      </c>
      <c r="I183" s="2">
        <f t="shared" si="7"/>
        <v>0</v>
      </c>
      <c r="J183" s="2">
        <f t="shared" si="8"/>
        <v>0</v>
      </c>
    </row>
    <row r="184" spans="1:10" x14ac:dyDescent="0.25">
      <c r="A184" t="s">
        <v>458</v>
      </c>
      <c r="C184">
        <v>-450</v>
      </c>
      <c r="F184">
        <v>450</v>
      </c>
      <c r="G184" s="2">
        <f t="shared" si="6"/>
        <v>0</v>
      </c>
      <c r="I184" s="2">
        <f t="shared" si="7"/>
        <v>0</v>
      </c>
      <c r="J184" s="2">
        <f t="shared" si="8"/>
        <v>0</v>
      </c>
    </row>
    <row r="185" spans="1:10" x14ac:dyDescent="0.25">
      <c r="A185" t="s">
        <v>459</v>
      </c>
      <c r="C185">
        <v>-132</v>
      </c>
      <c r="F185">
        <v>432</v>
      </c>
      <c r="G185" s="2">
        <f t="shared" si="6"/>
        <v>300</v>
      </c>
      <c r="I185" s="2">
        <f t="shared" si="7"/>
        <v>0</v>
      </c>
      <c r="J185" s="2">
        <f t="shared" si="8"/>
        <v>0</v>
      </c>
    </row>
    <row r="186" spans="1:10" x14ac:dyDescent="0.25">
      <c r="A186" t="s">
        <v>460</v>
      </c>
      <c r="C186">
        <v>-305</v>
      </c>
      <c r="F186">
        <v>305.01</v>
      </c>
      <c r="G186" s="2">
        <f t="shared" si="6"/>
        <v>9.9999999999909051E-3</v>
      </c>
      <c r="I186" s="2">
        <f t="shared" si="7"/>
        <v>0</v>
      </c>
      <c r="J186" s="2">
        <f t="shared" si="8"/>
        <v>0</v>
      </c>
    </row>
    <row r="187" spans="1:10" x14ac:dyDescent="0.25">
      <c r="A187" t="s">
        <v>461</v>
      </c>
      <c r="C187">
        <v>-58</v>
      </c>
      <c r="F187">
        <v>432</v>
      </c>
      <c r="G187" s="2">
        <f t="shared" si="6"/>
        <v>374</v>
      </c>
      <c r="I187" s="2">
        <f t="shared" si="7"/>
        <v>0</v>
      </c>
      <c r="J187" s="2">
        <f t="shared" si="8"/>
        <v>0</v>
      </c>
    </row>
    <row r="188" spans="1:10" x14ac:dyDescent="0.25">
      <c r="A188" t="s">
        <v>462</v>
      </c>
      <c r="C188">
        <v>-305</v>
      </c>
      <c r="F188">
        <v>305</v>
      </c>
      <c r="G188" s="2">
        <f t="shared" si="6"/>
        <v>0</v>
      </c>
      <c r="I188" s="2">
        <f t="shared" si="7"/>
        <v>0</v>
      </c>
      <c r="J188" s="2">
        <f t="shared" si="8"/>
        <v>0</v>
      </c>
    </row>
    <row r="189" spans="1:10" x14ac:dyDescent="0.25">
      <c r="A189" t="s">
        <v>463</v>
      </c>
      <c r="C189">
        <v>-113.94</v>
      </c>
      <c r="F189">
        <v>113.94</v>
      </c>
      <c r="G189" s="2">
        <f t="shared" si="6"/>
        <v>0</v>
      </c>
      <c r="I189" s="2">
        <f t="shared" si="7"/>
        <v>0</v>
      </c>
      <c r="J189" s="2">
        <f t="shared" si="8"/>
        <v>0</v>
      </c>
    </row>
    <row r="190" spans="1:10" x14ac:dyDescent="0.25">
      <c r="A190" t="s">
        <v>464</v>
      </c>
      <c r="C190">
        <v>-318</v>
      </c>
      <c r="F190">
        <v>318</v>
      </c>
      <c r="G190" s="2">
        <f t="shared" si="6"/>
        <v>0</v>
      </c>
      <c r="I190" s="2">
        <f t="shared" si="7"/>
        <v>0</v>
      </c>
      <c r="J190" s="2">
        <f t="shared" si="8"/>
        <v>0</v>
      </c>
    </row>
    <row r="191" spans="1:10" x14ac:dyDescent="0.25">
      <c r="A191" t="s">
        <v>465</v>
      </c>
      <c r="C191">
        <v>-432</v>
      </c>
      <c r="F191">
        <v>432</v>
      </c>
      <c r="G191" s="2">
        <f t="shared" si="6"/>
        <v>0</v>
      </c>
      <c r="I191" s="2">
        <f t="shared" si="7"/>
        <v>0</v>
      </c>
      <c r="J191" s="2">
        <f t="shared" si="8"/>
        <v>0</v>
      </c>
    </row>
    <row r="192" spans="1:10" x14ac:dyDescent="0.25">
      <c r="A192" t="s">
        <v>466</v>
      </c>
      <c r="F192">
        <v>58</v>
      </c>
      <c r="G192" s="2">
        <f t="shared" si="6"/>
        <v>58</v>
      </c>
      <c r="I192" s="2">
        <f t="shared" si="7"/>
        <v>0</v>
      </c>
      <c r="J192" s="2">
        <f t="shared" si="8"/>
        <v>0</v>
      </c>
    </row>
    <row r="193" spans="1:10" x14ac:dyDescent="0.25">
      <c r="A193" t="s">
        <v>467</v>
      </c>
      <c r="C193">
        <v>-146.28</v>
      </c>
      <c r="F193">
        <v>146.28</v>
      </c>
      <c r="G193" s="2">
        <f t="shared" si="6"/>
        <v>0</v>
      </c>
      <c r="I193" s="2">
        <f t="shared" si="7"/>
        <v>0</v>
      </c>
      <c r="J193" s="2">
        <f t="shared" si="8"/>
        <v>0</v>
      </c>
    </row>
    <row r="194" spans="1:10" x14ac:dyDescent="0.25">
      <c r="A194" t="s">
        <v>468</v>
      </c>
      <c r="C194">
        <v>-432</v>
      </c>
      <c r="F194">
        <v>432</v>
      </c>
      <c r="G194" s="2">
        <f t="shared" si="6"/>
        <v>0</v>
      </c>
      <c r="I194" s="2">
        <f t="shared" si="7"/>
        <v>0</v>
      </c>
      <c r="J194" s="2">
        <f t="shared" si="8"/>
        <v>0</v>
      </c>
    </row>
    <row r="195" spans="1:10" x14ac:dyDescent="0.25">
      <c r="A195" t="s">
        <v>469</v>
      </c>
      <c r="C195">
        <v>-58</v>
      </c>
      <c r="F195">
        <v>290</v>
      </c>
      <c r="G195" s="2">
        <f t="shared" si="6"/>
        <v>232</v>
      </c>
      <c r="I195" s="2">
        <f t="shared" si="7"/>
        <v>0</v>
      </c>
      <c r="J195" s="2">
        <f t="shared" si="8"/>
        <v>0</v>
      </c>
    </row>
    <row r="196" spans="1:10" x14ac:dyDescent="0.25">
      <c r="A196" t="s">
        <v>470</v>
      </c>
      <c r="C196">
        <v>-290</v>
      </c>
      <c r="F196">
        <v>290</v>
      </c>
      <c r="G196" s="2">
        <f t="shared" si="6"/>
        <v>0</v>
      </c>
      <c r="I196" s="2">
        <f t="shared" si="7"/>
        <v>0</v>
      </c>
      <c r="J196" s="2">
        <f t="shared" si="8"/>
        <v>0</v>
      </c>
    </row>
    <row r="197" spans="1:10" x14ac:dyDescent="0.25">
      <c r="A197" t="s">
        <v>471</v>
      </c>
      <c r="C197">
        <v>-498</v>
      </c>
      <c r="F197">
        <v>498</v>
      </c>
      <c r="G197" s="2">
        <f t="shared" si="6"/>
        <v>0</v>
      </c>
      <c r="I197" s="2">
        <f t="shared" si="7"/>
        <v>0</v>
      </c>
      <c r="J197" s="2">
        <f t="shared" si="8"/>
        <v>0</v>
      </c>
    </row>
    <row r="198" spans="1:10" x14ac:dyDescent="0.25">
      <c r="A198" t="s">
        <v>472</v>
      </c>
      <c r="C198">
        <v>-450</v>
      </c>
      <c r="F198">
        <v>450</v>
      </c>
      <c r="G198" s="2">
        <f t="shared" si="6"/>
        <v>0</v>
      </c>
      <c r="I198" s="2">
        <f t="shared" si="7"/>
        <v>0</v>
      </c>
      <c r="J198" s="2">
        <f t="shared" si="8"/>
        <v>0</v>
      </c>
    </row>
    <row r="199" spans="1:10" x14ac:dyDescent="0.25">
      <c r="A199" t="s">
        <v>473</v>
      </c>
      <c r="F199">
        <v>207</v>
      </c>
      <c r="G199" s="2">
        <f t="shared" si="6"/>
        <v>207</v>
      </c>
      <c r="I199" s="2">
        <f t="shared" si="7"/>
        <v>0</v>
      </c>
      <c r="J199" s="2">
        <f t="shared" si="8"/>
        <v>0</v>
      </c>
    </row>
    <row r="200" spans="1:10" x14ac:dyDescent="0.25">
      <c r="A200" t="s">
        <v>474</v>
      </c>
      <c r="C200">
        <v>-10.6</v>
      </c>
      <c r="F200">
        <v>10.6</v>
      </c>
      <c r="G200" s="2">
        <f t="shared" si="6"/>
        <v>0</v>
      </c>
      <c r="I200" s="2">
        <f t="shared" si="7"/>
        <v>0</v>
      </c>
      <c r="J200" s="2">
        <f t="shared" si="8"/>
        <v>0</v>
      </c>
    </row>
    <row r="201" spans="1:10" x14ac:dyDescent="0.25">
      <c r="A201" t="s">
        <v>475</v>
      </c>
      <c r="C201">
        <v>-69.61</v>
      </c>
      <c r="F201">
        <v>69.61</v>
      </c>
      <c r="G201" s="2">
        <f t="shared" si="6"/>
        <v>0</v>
      </c>
      <c r="I201" s="2">
        <f t="shared" si="7"/>
        <v>0</v>
      </c>
      <c r="J201" s="2">
        <f t="shared" si="8"/>
        <v>0</v>
      </c>
    </row>
    <row r="202" spans="1:10" x14ac:dyDescent="0.25">
      <c r="A202" t="s">
        <v>476</v>
      </c>
      <c r="C202">
        <v>-29</v>
      </c>
      <c r="F202">
        <v>29</v>
      </c>
      <c r="G202" s="2">
        <f t="shared" si="6"/>
        <v>0</v>
      </c>
      <c r="I202" s="2">
        <f t="shared" si="7"/>
        <v>0</v>
      </c>
      <c r="J202" s="2">
        <f t="shared" si="8"/>
        <v>0</v>
      </c>
    </row>
    <row r="203" spans="1:10" x14ac:dyDescent="0.25">
      <c r="A203" t="s">
        <v>477</v>
      </c>
      <c r="C203">
        <v>-432</v>
      </c>
      <c r="F203">
        <v>432</v>
      </c>
      <c r="G203" s="2">
        <f t="shared" si="6"/>
        <v>0</v>
      </c>
      <c r="I203" s="2">
        <f t="shared" si="7"/>
        <v>0</v>
      </c>
      <c r="J203" s="2">
        <f t="shared" si="8"/>
        <v>0</v>
      </c>
    </row>
    <row r="204" spans="1:10" x14ac:dyDescent="0.25">
      <c r="A204" t="s">
        <v>478</v>
      </c>
      <c r="C204">
        <v>-432</v>
      </c>
      <c r="F204">
        <v>432</v>
      </c>
      <c r="G204" s="2">
        <f t="shared" si="6"/>
        <v>0</v>
      </c>
      <c r="I204" s="2">
        <f t="shared" si="7"/>
        <v>0</v>
      </c>
      <c r="J204" s="2">
        <f t="shared" si="8"/>
        <v>0</v>
      </c>
    </row>
    <row r="205" spans="1:10" x14ac:dyDescent="0.25">
      <c r="A205" t="s">
        <v>479</v>
      </c>
      <c r="C205">
        <v>-29</v>
      </c>
      <c r="F205">
        <v>29</v>
      </c>
      <c r="G205" s="2">
        <f t="shared" si="6"/>
        <v>0</v>
      </c>
      <c r="I205" s="2">
        <f t="shared" si="7"/>
        <v>0</v>
      </c>
      <c r="J205" s="2">
        <f t="shared" si="8"/>
        <v>0</v>
      </c>
    </row>
    <row r="206" spans="1:10" x14ac:dyDescent="0.25">
      <c r="A206" t="s">
        <v>480</v>
      </c>
      <c r="C206">
        <v>-145</v>
      </c>
      <c r="F206">
        <v>290</v>
      </c>
      <c r="G206" s="2">
        <f t="shared" si="6"/>
        <v>145</v>
      </c>
      <c r="I206" s="2">
        <f t="shared" si="7"/>
        <v>0</v>
      </c>
      <c r="J206" s="2">
        <f t="shared" si="8"/>
        <v>0</v>
      </c>
    </row>
    <row r="207" spans="1:10" x14ac:dyDescent="0.25">
      <c r="A207" t="s">
        <v>481</v>
      </c>
      <c r="C207">
        <v>-150</v>
      </c>
      <c r="F207">
        <v>270</v>
      </c>
      <c r="G207" s="2">
        <f t="shared" si="6"/>
        <v>120</v>
      </c>
      <c r="I207" s="2">
        <f t="shared" si="7"/>
        <v>0</v>
      </c>
      <c r="J207" s="2">
        <f t="shared" si="8"/>
        <v>0</v>
      </c>
    </row>
    <row r="208" spans="1:10" x14ac:dyDescent="0.25">
      <c r="A208" t="s">
        <v>482</v>
      </c>
      <c r="C208">
        <v>-29</v>
      </c>
      <c r="G208" s="2">
        <f t="shared" si="6"/>
        <v>-29</v>
      </c>
      <c r="I208" s="2">
        <f t="shared" si="7"/>
        <v>-29</v>
      </c>
      <c r="J208" s="2">
        <f t="shared" si="8"/>
        <v>-29</v>
      </c>
    </row>
    <row r="209" spans="1:10" x14ac:dyDescent="0.25">
      <c r="A209" t="s">
        <v>483</v>
      </c>
      <c r="C209">
        <v>-432</v>
      </c>
      <c r="F209">
        <v>432</v>
      </c>
      <c r="G209" s="2">
        <f t="shared" si="6"/>
        <v>0</v>
      </c>
      <c r="I209" s="2">
        <f t="shared" si="7"/>
        <v>0</v>
      </c>
      <c r="J209" s="2">
        <f t="shared" si="8"/>
        <v>0</v>
      </c>
    </row>
    <row r="210" spans="1:10" x14ac:dyDescent="0.25">
      <c r="A210" t="s">
        <v>484</v>
      </c>
      <c r="C210">
        <v>-432</v>
      </c>
      <c r="F210">
        <v>432</v>
      </c>
      <c r="G210" s="2">
        <f t="shared" si="6"/>
        <v>0</v>
      </c>
      <c r="I210" s="2">
        <f t="shared" si="7"/>
        <v>0</v>
      </c>
      <c r="J210" s="2">
        <f t="shared" si="8"/>
        <v>0</v>
      </c>
    </row>
    <row r="211" spans="1:10" x14ac:dyDescent="0.25">
      <c r="A211" t="s">
        <v>485</v>
      </c>
      <c r="C211">
        <v>-16.54</v>
      </c>
      <c r="F211">
        <v>17.010000000000002</v>
      </c>
      <c r="G211" s="2">
        <f t="shared" si="6"/>
        <v>0.47000000000000242</v>
      </c>
      <c r="I211" s="2">
        <f t="shared" si="7"/>
        <v>0</v>
      </c>
      <c r="J211" s="2">
        <f t="shared" si="8"/>
        <v>0</v>
      </c>
    </row>
    <row r="212" spans="1:10" x14ac:dyDescent="0.25">
      <c r="A212" t="s">
        <v>486</v>
      </c>
      <c r="C212">
        <v>-290</v>
      </c>
      <c r="F212">
        <v>898</v>
      </c>
      <c r="G212" s="2">
        <f t="shared" ref="G212:G275" si="9">SUM(B212:F212)</f>
        <v>608</v>
      </c>
      <c r="I212" s="2">
        <f t="shared" ref="I212:I275" si="10">IF(F212=0,C212+D212,0)</f>
        <v>0</v>
      </c>
      <c r="J212" s="2">
        <f t="shared" ref="J212:J275" si="11">IF(G212&lt;0,G212,0)</f>
        <v>0</v>
      </c>
    </row>
    <row r="213" spans="1:10" x14ac:dyDescent="0.25">
      <c r="A213" t="s">
        <v>487</v>
      </c>
      <c r="C213">
        <v>-290</v>
      </c>
      <c r="F213">
        <v>290</v>
      </c>
      <c r="G213" s="2">
        <f t="shared" si="9"/>
        <v>0</v>
      </c>
      <c r="I213" s="2">
        <f t="shared" si="10"/>
        <v>0</v>
      </c>
      <c r="J213" s="2">
        <f t="shared" si="11"/>
        <v>0</v>
      </c>
    </row>
    <row r="214" spans="1:10" x14ac:dyDescent="0.25">
      <c r="A214" t="s">
        <v>488</v>
      </c>
      <c r="F214">
        <v>58</v>
      </c>
      <c r="G214" s="2">
        <f t="shared" si="9"/>
        <v>58</v>
      </c>
      <c r="I214" s="2">
        <f t="shared" si="10"/>
        <v>0</v>
      </c>
      <c r="J214" s="2">
        <f t="shared" si="11"/>
        <v>0</v>
      </c>
    </row>
    <row r="215" spans="1:10" x14ac:dyDescent="0.25">
      <c r="A215" t="s">
        <v>489</v>
      </c>
      <c r="B215">
        <v>-0.02</v>
      </c>
      <c r="F215">
        <v>0.03</v>
      </c>
      <c r="G215" s="2">
        <f t="shared" si="9"/>
        <v>9.9999999999999985E-3</v>
      </c>
      <c r="I215" s="2">
        <f t="shared" si="10"/>
        <v>0</v>
      </c>
      <c r="J215" s="2">
        <f t="shared" si="11"/>
        <v>0</v>
      </c>
    </row>
    <row r="216" spans="1:10" x14ac:dyDescent="0.25">
      <c r="A216" t="s">
        <v>490</v>
      </c>
      <c r="C216">
        <v>-450</v>
      </c>
      <c r="F216">
        <v>450</v>
      </c>
      <c r="G216" s="2">
        <f t="shared" si="9"/>
        <v>0</v>
      </c>
      <c r="I216" s="2">
        <f t="shared" si="10"/>
        <v>0</v>
      </c>
      <c r="J216" s="2">
        <f t="shared" si="11"/>
        <v>0</v>
      </c>
    </row>
    <row r="217" spans="1:10" x14ac:dyDescent="0.25">
      <c r="A217" t="s">
        <v>491</v>
      </c>
      <c r="C217">
        <v>-432</v>
      </c>
      <c r="F217">
        <v>432</v>
      </c>
      <c r="G217" s="2">
        <f t="shared" si="9"/>
        <v>0</v>
      </c>
      <c r="I217" s="2">
        <f t="shared" si="10"/>
        <v>0</v>
      </c>
      <c r="J217" s="2">
        <f t="shared" si="11"/>
        <v>0</v>
      </c>
    </row>
    <row r="218" spans="1:10" x14ac:dyDescent="0.25">
      <c r="A218" t="s">
        <v>492</v>
      </c>
      <c r="F218">
        <v>432</v>
      </c>
      <c r="G218" s="2">
        <f t="shared" si="9"/>
        <v>432</v>
      </c>
      <c r="I218" s="2">
        <f t="shared" si="10"/>
        <v>0</v>
      </c>
      <c r="J218" s="2">
        <f t="shared" si="11"/>
        <v>0</v>
      </c>
    </row>
    <row r="219" spans="1:10" x14ac:dyDescent="0.25">
      <c r="A219" t="s">
        <v>493</v>
      </c>
      <c r="C219">
        <v>-432</v>
      </c>
      <c r="F219">
        <v>432</v>
      </c>
      <c r="G219" s="2">
        <f t="shared" si="9"/>
        <v>0</v>
      </c>
      <c r="I219" s="2">
        <f t="shared" si="10"/>
        <v>0</v>
      </c>
      <c r="J219" s="2">
        <f t="shared" si="11"/>
        <v>0</v>
      </c>
    </row>
    <row r="220" spans="1:10" x14ac:dyDescent="0.25">
      <c r="A220" t="s">
        <v>494</v>
      </c>
      <c r="C220">
        <v>-58</v>
      </c>
      <c r="F220">
        <v>58</v>
      </c>
      <c r="G220" s="2">
        <f t="shared" si="9"/>
        <v>0</v>
      </c>
      <c r="I220" s="2">
        <f t="shared" si="10"/>
        <v>0</v>
      </c>
      <c r="J220" s="2">
        <f t="shared" si="11"/>
        <v>0</v>
      </c>
    </row>
    <row r="221" spans="1:10" x14ac:dyDescent="0.25">
      <c r="A221" t="s">
        <v>495</v>
      </c>
      <c r="F221">
        <v>450</v>
      </c>
      <c r="G221" s="2">
        <f t="shared" si="9"/>
        <v>450</v>
      </c>
      <c r="I221" s="2">
        <f t="shared" si="10"/>
        <v>0</v>
      </c>
      <c r="J221" s="2">
        <f t="shared" si="11"/>
        <v>0</v>
      </c>
    </row>
    <row r="222" spans="1:10" x14ac:dyDescent="0.25">
      <c r="A222" t="s">
        <v>496</v>
      </c>
      <c r="C222">
        <v>-318</v>
      </c>
      <c r="F222">
        <v>318</v>
      </c>
      <c r="G222" s="2">
        <f t="shared" si="9"/>
        <v>0</v>
      </c>
      <c r="I222" s="2">
        <f t="shared" si="10"/>
        <v>0</v>
      </c>
      <c r="J222" s="2">
        <f t="shared" si="11"/>
        <v>0</v>
      </c>
    </row>
    <row r="223" spans="1:10" x14ac:dyDescent="0.25">
      <c r="A223" t="s">
        <v>497</v>
      </c>
      <c r="C223">
        <v>-379.8</v>
      </c>
      <c r="F223">
        <v>379.8</v>
      </c>
      <c r="G223" s="2">
        <f t="shared" si="9"/>
        <v>0</v>
      </c>
      <c r="I223" s="2">
        <f t="shared" si="10"/>
        <v>0</v>
      </c>
      <c r="J223" s="2">
        <f t="shared" si="11"/>
        <v>0</v>
      </c>
    </row>
    <row r="224" spans="1:10" x14ac:dyDescent="0.25">
      <c r="A224" t="s">
        <v>498</v>
      </c>
      <c r="C224">
        <v>-215</v>
      </c>
      <c r="F224">
        <v>432</v>
      </c>
      <c r="G224" s="2">
        <f t="shared" si="9"/>
        <v>217</v>
      </c>
      <c r="I224" s="2">
        <f t="shared" si="10"/>
        <v>0</v>
      </c>
      <c r="J224" s="2">
        <f t="shared" si="11"/>
        <v>0</v>
      </c>
    </row>
    <row r="225" spans="1:10" x14ac:dyDescent="0.25">
      <c r="A225" t="s">
        <v>499</v>
      </c>
      <c r="C225">
        <v>-290</v>
      </c>
      <c r="F225">
        <v>590</v>
      </c>
      <c r="G225" s="2">
        <f t="shared" si="9"/>
        <v>300</v>
      </c>
      <c r="I225" s="2">
        <f t="shared" si="10"/>
        <v>0</v>
      </c>
      <c r="J225" s="2">
        <f t="shared" si="11"/>
        <v>0</v>
      </c>
    </row>
    <row r="226" spans="1:10" x14ac:dyDescent="0.25">
      <c r="A226" t="s">
        <v>500</v>
      </c>
      <c r="C226">
        <v>-225</v>
      </c>
      <c r="F226">
        <v>864</v>
      </c>
      <c r="G226" s="2">
        <f t="shared" si="9"/>
        <v>639</v>
      </c>
      <c r="I226" s="2">
        <f t="shared" si="10"/>
        <v>0</v>
      </c>
      <c r="J226" s="2">
        <f t="shared" si="11"/>
        <v>0</v>
      </c>
    </row>
    <row r="227" spans="1:10" x14ac:dyDescent="0.25">
      <c r="A227" t="s">
        <v>501</v>
      </c>
      <c r="C227">
        <v>-450</v>
      </c>
      <c r="F227">
        <v>450</v>
      </c>
      <c r="G227" s="2">
        <f t="shared" si="9"/>
        <v>0</v>
      </c>
      <c r="I227" s="2">
        <f t="shared" si="10"/>
        <v>0</v>
      </c>
      <c r="J227" s="2">
        <f t="shared" si="11"/>
        <v>0</v>
      </c>
    </row>
    <row r="228" spans="1:10" x14ac:dyDescent="0.25">
      <c r="A228" t="s">
        <v>502</v>
      </c>
      <c r="C228">
        <v>-305</v>
      </c>
      <c r="F228">
        <v>305</v>
      </c>
      <c r="G228" s="2">
        <f t="shared" si="9"/>
        <v>0</v>
      </c>
      <c r="I228" s="2">
        <f t="shared" si="10"/>
        <v>0</v>
      </c>
      <c r="J228" s="2">
        <f t="shared" si="11"/>
        <v>0</v>
      </c>
    </row>
    <row r="229" spans="1:10" x14ac:dyDescent="0.25">
      <c r="A229" t="s">
        <v>503</v>
      </c>
      <c r="C229">
        <v>-432</v>
      </c>
      <c r="F229">
        <v>432</v>
      </c>
      <c r="G229" s="2">
        <f t="shared" si="9"/>
        <v>0</v>
      </c>
      <c r="I229" s="2">
        <f t="shared" si="10"/>
        <v>0</v>
      </c>
      <c r="J229" s="2">
        <f t="shared" si="11"/>
        <v>0</v>
      </c>
    </row>
    <row r="230" spans="1:10" x14ac:dyDescent="0.25">
      <c r="A230" t="s">
        <v>504</v>
      </c>
      <c r="C230">
        <v>-450</v>
      </c>
      <c r="F230">
        <v>450</v>
      </c>
      <c r="G230" s="2">
        <f t="shared" si="9"/>
        <v>0</v>
      </c>
      <c r="I230" s="2">
        <f t="shared" si="10"/>
        <v>0</v>
      </c>
      <c r="J230" s="2">
        <f t="shared" si="11"/>
        <v>0</v>
      </c>
    </row>
    <row r="231" spans="1:10" x14ac:dyDescent="0.25">
      <c r="A231" t="s">
        <v>505</v>
      </c>
      <c r="F231">
        <v>432</v>
      </c>
      <c r="G231" s="2">
        <f t="shared" si="9"/>
        <v>432</v>
      </c>
      <c r="I231" s="2">
        <f t="shared" si="10"/>
        <v>0</v>
      </c>
      <c r="J231" s="2">
        <f t="shared" si="11"/>
        <v>0</v>
      </c>
    </row>
    <row r="232" spans="1:10" x14ac:dyDescent="0.25">
      <c r="A232" t="s">
        <v>506</v>
      </c>
      <c r="F232">
        <v>0</v>
      </c>
      <c r="G232" s="2">
        <f t="shared" si="9"/>
        <v>0</v>
      </c>
      <c r="I232" s="2">
        <f t="shared" si="10"/>
        <v>0</v>
      </c>
      <c r="J232" s="2">
        <f t="shared" si="11"/>
        <v>0</v>
      </c>
    </row>
    <row r="233" spans="1:10" x14ac:dyDescent="0.25">
      <c r="A233" t="s">
        <v>507</v>
      </c>
      <c r="C233">
        <v>-132</v>
      </c>
      <c r="F233">
        <v>132</v>
      </c>
      <c r="G233" s="2">
        <f t="shared" si="9"/>
        <v>0</v>
      </c>
      <c r="I233" s="2">
        <f t="shared" si="10"/>
        <v>0</v>
      </c>
      <c r="J233" s="2">
        <f t="shared" si="11"/>
        <v>0</v>
      </c>
    </row>
    <row r="234" spans="1:10" x14ac:dyDescent="0.25">
      <c r="A234" t="s">
        <v>508</v>
      </c>
      <c r="C234">
        <v>-10.6</v>
      </c>
      <c r="F234">
        <v>460.6</v>
      </c>
      <c r="G234" s="2">
        <f t="shared" si="9"/>
        <v>450</v>
      </c>
      <c r="I234" s="2">
        <f t="shared" si="10"/>
        <v>0</v>
      </c>
      <c r="J234" s="2">
        <f t="shared" si="11"/>
        <v>0</v>
      </c>
    </row>
    <row r="235" spans="1:10" x14ac:dyDescent="0.25">
      <c r="A235" t="s">
        <v>509</v>
      </c>
      <c r="C235">
        <v>-432</v>
      </c>
      <c r="F235">
        <v>432</v>
      </c>
      <c r="G235" s="2">
        <f t="shared" si="9"/>
        <v>0</v>
      </c>
      <c r="I235" s="2">
        <f t="shared" si="10"/>
        <v>0</v>
      </c>
      <c r="J235" s="2">
        <f t="shared" si="11"/>
        <v>0</v>
      </c>
    </row>
    <row r="236" spans="1:10" x14ac:dyDescent="0.25">
      <c r="A236" t="s">
        <v>510</v>
      </c>
      <c r="F236">
        <v>234</v>
      </c>
      <c r="G236" s="2">
        <f t="shared" si="9"/>
        <v>234</v>
      </c>
      <c r="I236" s="2">
        <f t="shared" si="10"/>
        <v>0</v>
      </c>
      <c r="J236" s="2">
        <f t="shared" si="11"/>
        <v>0</v>
      </c>
    </row>
    <row r="237" spans="1:10" x14ac:dyDescent="0.25">
      <c r="A237" t="s">
        <v>511</v>
      </c>
      <c r="F237">
        <v>99</v>
      </c>
      <c r="G237" s="2">
        <f t="shared" si="9"/>
        <v>99</v>
      </c>
      <c r="I237" s="2">
        <f t="shared" si="10"/>
        <v>0</v>
      </c>
      <c r="J237" s="2">
        <f t="shared" si="11"/>
        <v>0</v>
      </c>
    </row>
    <row r="238" spans="1:10" x14ac:dyDescent="0.25">
      <c r="A238" t="s">
        <v>512</v>
      </c>
      <c r="C238">
        <v>-432</v>
      </c>
      <c r="F238">
        <v>432</v>
      </c>
      <c r="G238" s="2">
        <f t="shared" si="9"/>
        <v>0</v>
      </c>
      <c r="I238" s="2">
        <f t="shared" si="10"/>
        <v>0</v>
      </c>
      <c r="J238" s="2">
        <f t="shared" si="11"/>
        <v>0</v>
      </c>
    </row>
    <row r="239" spans="1:10" x14ac:dyDescent="0.25">
      <c r="A239" t="s">
        <v>513</v>
      </c>
      <c r="C239">
        <v>-432</v>
      </c>
      <c r="F239">
        <v>432</v>
      </c>
      <c r="G239" s="2">
        <f t="shared" si="9"/>
        <v>0</v>
      </c>
      <c r="I239" s="2">
        <f t="shared" si="10"/>
        <v>0</v>
      </c>
      <c r="J239" s="2">
        <f t="shared" si="11"/>
        <v>0</v>
      </c>
    </row>
    <row r="240" spans="1:10" x14ac:dyDescent="0.25">
      <c r="A240" t="s">
        <v>514</v>
      </c>
      <c r="C240">
        <v>-8.27</v>
      </c>
      <c r="F240">
        <v>8.27</v>
      </c>
      <c r="G240" s="2">
        <f t="shared" si="9"/>
        <v>0</v>
      </c>
      <c r="I240" s="2">
        <f t="shared" si="10"/>
        <v>0</v>
      </c>
      <c r="J240" s="2">
        <f t="shared" si="11"/>
        <v>0</v>
      </c>
    </row>
    <row r="241" spans="1:10" x14ac:dyDescent="0.25">
      <c r="A241" t="s">
        <v>515</v>
      </c>
      <c r="F241">
        <v>232</v>
      </c>
      <c r="G241" s="2">
        <f t="shared" si="9"/>
        <v>232</v>
      </c>
      <c r="I241" s="2">
        <f t="shared" si="10"/>
        <v>0</v>
      </c>
      <c r="J241" s="2">
        <f t="shared" si="11"/>
        <v>0</v>
      </c>
    </row>
    <row r="242" spans="1:10" x14ac:dyDescent="0.25">
      <c r="A242" t="s">
        <v>516</v>
      </c>
      <c r="C242">
        <v>-200</v>
      </c>
      <c r="F242">
        <v>450</v>
      </c>
      <c r="G242" s="2">
        <f t="shared" si="9"/>
        <v>250</v>
      </c>
      <c r="I242" s="2">
        <f t="shared" si="10"/>
        <v>0</v>
      </c>
      <c r="J242" s="2">
        <f t="shared" si="11"/>
        <v>0</v>
      </c>
    </row>
    <row r="243" spans="1:10" x14ac:dyDescent="0.25">
      <c r="A243" t="s">
        <v>517</v>
      </c>
      <c r="C243">
        <v>-73</v>
      </c>
      <c r="F243">
        <v>73</v>
      </c>
      <c r="G243" s="2">
        <f t="shared" si="9"/>
        <v>0</v>
      </c>
      <c r="I243" s="2">
        <f t="shared" si="10"/>
        <v>0</v>
      </c>
      <c r="J243" s="2">
        <f t="shared" si="11"/>
        <v>0</v>
      </c>
    </row>
    <row r="244" spans="1:10" x14ac:dyDescent="0.25">
      <c r="A244" t="s">
        <v>518</v>
      </c>
      <c r="F244">
        <v>224</v>
      </c>
      <c r="G244" s="2">
        <f t="shared" si="9"/>
        <v>224</v>
      </c>
      <c r="I244" s="2">
        <f t="shared" si="10"/>
        <v>0</v>
      </c>
      <c r="J244" s="2">
        <f t="shared" si="11"/>
        <v>0</v>
      </c>
    </row>
    <row r="245" spans="1:10" x14ac:dyDescent="0.25">
      <c r="A245" t="s">
        <v>519</v>
      </c>
      <c r="C245">
        <v>-432</v>
      </c>
      <c r="F245">
        <v>432</v>
      </c>
      <c r="G245" s="2">
        <f t="shared" si="9"/>
        <v>0</v>
      </c>
      <c r="I245" s="2">
        <f t="shared" si="10"/>
        <v>0</v>
      </c>
      <c r="J245" s="2">
        <f t="shared" si="11"/>
        <v>0</v>
      </c>
    </row>
    <row r="246" spans="1:10" x14ac:dyDescent="0.25">
      <c r="A246" t="s">
        <v>520</v>
      </c>
      <c r="C246">
        <v>-290</v>
      </c>
      <c r="F246">
        <v>290</v>
      </c>
      <c r="G246" s="2">
        <f t="shared" si="9"/>
        <v>0</v>
      </c>
      <c r="I246" s="2">
        <f t="shared" si="10"/>
        <v>0</v>
      </c>
      <c r="J246" s="2">
        <f t="shared" si="11"/>
        <v>0</v>
      </c>
    </row>
    <row r="247" spans="1:10" x14ac:dyDescent="0.25">
      <c r="A247" t="s">
        <v>521</v>
      </c>
      <c r="C247">
        <v>-280</v>
      </c>
      <c r="F247">
        <v>432</v>
      </c>
      <c r="G247" s="2">
        <f t="shared" si="9"/>
        <v>152</v>
      </c>
      <c r="I247" s="2">
        <f t="shared" si="10"/>
        <v>0</v>
      </c>
      <c r="J247" s="2">
        <f t="shared" si="11"/>
        <v>0</v>
      </c>
    </row>
    <row r="248" spans="1:10" x14ac:dyDescent="0.25">
      <c r="A248" t="s">
        <v>522</v>
      </c>
      <c r="C248">
        <v>-43.4</v>
      </c>
      <c r="F248">
        <v>43.5</v>
      </c>
      <c r="G248" s="2">
        <f t="shared" si="9"/>
        <v>0.10000000000000142</v>
      </c>
      <c r="I248" s="2">
        <f t="shared" si="10"/>
        <v>0</v>
      </c>
      <c r="J248" s="2">
        <f t="shared" si="11"/>
        <v>0</v>
      </c>
    </row>
    <row r="249" spans="1:10" x14ac:dyDescent="0.25">
      <c r="A249" t="s">
        <v>523</v>
      </c>
      <c r="C249">
        <v>-87</v>
      </c>
      <c r="F249">
        <v>87</v>
      </c>
      <c r="G249" s="2">
        <f t="shared" si="9"/>
        <v>0</v>
      </c>
      <c r="I249" s="2">
        <f t="shared" si="10"/>
        <v>0</v>
      </c>
      <c r="J249" s="2">
        <f t="shared" si="11"/>
        <v>0</v>
      </c>
    </row>
    <row r="250" spans="1:10" x14ac:dyDescent="0.25">
      <c r="A250" t="s">
        <v>524</v>
      </c>
      <c r="C250">
        <v>-432</v>
      </c>
      <c r="F250">
        <v>378.28</v>
      </c>
      <c r="G250" s="2">
        <f t="shared" si="9"/>
        <v>-53.720000000000027</v>
      </c>
      <c r="I250" s="2">
        <f t="shared" si="10"/>
        <v>0</v>
      </c>
      <c r="J250" s="2">
        <f t="shared" si="11"/>
        <v>-53.720000000000027</v>
      </c>
    </row>
    <row r="251" spans="1:10" x14ac:dyDescent="0.25">
      <c r="A251" t="s">
        <v>525</v>
      </c>
      <c r="C251">
        <v>-26.7</v>
      </c>
      <c r="F251">
        <v>316.7</v>
      </c>
      <c r="G251" s="2">
        <f t="shared" si="9"/>
        <v>290</v>
      </c>
      <c r="I251" s="2">
        <f t="shared" si="10"/>
        <v>0</v>
      </c>
      <c r="J251" s="2">
        <f t="shared" si="11"/>
        <v>0</v>
      </c>
    </row>
    <row r="252" spans="1:10" x14ac:dyDescent="0.25">
      <c r="A252" t="s">
        <v>526</v>
      </c>
      <c r="F252">
        <v>549</v>
      </c>
      <c r="G252" s="2">
        <f t="shared" si="9"/>
        <v>549</v>
      </c>
      <c r="I252" s="2">
        <f t="shared" si="10"/>
        <v>0</v>
      </c>
      <c r="J252" s="2">
        <f t="shared" si="11"/>
        <v>0</v>
      </c>
    </row>
    <row r="253" spans="1:10" x14ac:dyDescent="0.25">
      <c r="A253" t="s">
        <v>527</v>
      </c>
      <c r="C253">
        <v>-450</v>
      </c>
      <c r="F253">
        <v>450</v>
      </c>
      <c r="G253" s="2">
        <f t="shared" si="9"/>
        <v>0</v>
      </c>
      <c r="I253" s="2">
        <f t="shared" si="10"/>
        <v>0</v>
      </c>
      <c r="J253" s="2">
        <f t="shared" si="11"/>
        <v>0</v>
      </c>
    </row>
    <row r="254" spans="1:10" x14ac:dyDescent="0.25">
      <c r="A254" t="s">
        <v>528</v>
      </c>
      <c r="C254">
        <v>-53</v>
      </c>
      <c r="F254">
        <v>53</v>
      </c>
      <c r="G254" s="2">
        <f t="shared" si="9"/>
        <v>0</v>
      </c>
      <c r="I254" s="2">
        <f t="shared" si="10"/>
        <v>0</v>
      </c>
      <c r="J254" s="2">
        <f t="shared" si="11"/>
        <v>0</v>
      </c>
    </row>
    <row r="255" spans="1:10" x14ac:dyDescent="0.25">
      <c r="A255" t="s">
        <v>529</v>
      </c>
      <c r="C255">
        <v>-432</v>
      </c>
      <c r="F255">
        <v>864</v>
      </c>
      <c r="G255" s="2">
        <f t="shared" si="9"/>
        <v>432</v>
      </c>
      <c r="I255" s="2">
        <f t="shared" si="10"/>
        <v>0</v>
      </c>
      <c r="J255" s="2">
        <f t="shared" si="11"/>
        <v>0</v>
      </c>
    </row>
    <row r="256" spans="1:10" x14ac:dyDescent="0.25">
      <c r="A256" t="s">
        <v>530</v>
      </c>
      <c r="C256">
        <v>-450</v>
      </c>
      <c r="F256">
        <v>577.5</v>
      </c>
      <c r="G256" s="2">
        <f t="shared" si="9"/>
        <v>127.5</v>
      </c>
      <c r="I256" s="2">
        <f t="shared" si="10"/>
        <v>0</v>
      </c>
      <c r="J256" s="2">
        <f t="shared" si="11"/>
        <v>0</v>
      </c>
    </row>
    <row r="257" spans="1:10" x14ac:dyDescent="0.25">
      <c r="A257" t="s">
        <v>531</v>
      </c>
      <c r="C257">
        <v>-73</v>
      </c>
      <c r="F257">
        <v>315</v>
      </c>
      <c r="G257" s="2">
        <f t="shared" si="9"/>
        <v>242</v>
      </c>
      <c r="I257" s="2">
        <f t="shared" si="10"/>
        <v>0</v>
      </c>
      <c r="J257" s="2">
        <f t="shared" si="11"/>
        <v>0</v>
      </c>
    </row>
    <row r="258" spans="1:10" x14ac:dyDescent="0.25">
      <c r="A258" t="s">
        <v>532</v>
      </c>
      <c r="C258">
        <v>-58</v>
      </c>
      <c r="F258">
        <v>58</v>
      </c>
      <c r="G258" s="2">
        <f t="shared" si="9"/>
        <v>0</v>
      </c>
      <c r="I258" s="2">
        <f t="shared" si="10"/>
        <v>0</v>
      </c>
      <c r="J258" s="2">
        <f t="shared" si="11"/>
        <v>0</v>
      </c>
    </row>
    <row r="259" spans="1:10" x14ac:dyDescent="0.25">
      <c r="A259" t="s">
        <v>533</v>
      </c>
      <c r="C259">
        <v>-328.6</v>
      </c>
      <c r="F259">
        <v>328.6</v>
      </c>
      <c r="G259" s="2">
        <f t="shared" si="9"/>
        <v>0</v>
      </c>
      <c r="I259" s="2">
        <f t="shared" si="10"/>
        <v>0</v>
      </c>
      <c r="J259" s="2">
        <f t="shared" si="11"/>
        <v>0</v>
      </c>
    </row>
    <row r="260" spans="1:10" x14ac:dyDescent="0.25">
      <c r="A260" t="s">
        <v>534</v>
      </c>
      <c r="F260">
        <v>432</v>
      </c>
      <c r="G260" s="2">
        <f t="shared" si="9"/>
        <v>432</v>
      </c>
      <c r="I260" s="2">
        <f t="shared" si="10"/>
        <v>0</v>
      </c>
      <c r="J260" s="2">
        <f t="shared" si="11"/>
        <v>0</v>
      </c>
    </row>
    <row r="261" spans="1:10" x14ac:dyDescent="0.25">
      <c r="A261" t="s">
        <v>535</v>
      </c>
      <c r="C261">
        <v>-432</v>
      </c>
      <c r="F261">
        <v>864</v>
      </c>
      <c r="G261" s="2">
        <f t="shared" si="9"/>
        <v>432</v>
      </c>
      <c r="I261" s="2">
        <f t="shared" si="10"/>
        <v>0</v>
      </c>
      <c r="J261" s="2">
        <f t="shared" si="11"/>
        <v>0</v>
      </c>
    </row>
    <row r="262" spans="1:10" x14ac:dyDescent="0.25">
      <c r="A262" t="s">
        <v>536</v>
      </c>
      <c r="F262">
        <v>234</v>
      </c>
      <c r="G262" s="2">
        <f t="shared" si="9"/>
        <v>234</v>
      </c>
      <c r="I262" s="2">
        <f t="shared" si="10"/>
        <v>0</v>
      </c>
      <c r="J262" s="2">
        <f t="shared" si="11"/>
        <v>0</v>
      </c>
    </row>
    <row r="263" spans="1:10" x14ac:dyDescent="0.25">
      <c r="A263" t="s">
        <v>537</v>
      </c>
      <c r="F263">
        <v>558.3599999999999</v>
      </c>
      <c r="G263" s="2">
        <f t="shared" si="9"/>
        <v>558.3599999999999</v>
      </c>
      <c r="I263" s="2">
        <f t="shared" si="10"/>
        <v>0</v>
      </c>
      <c r="J263" s="2">
        <f t="shared" si="11"/>
        <v>0</v>
      </c>
    </row>
    <row r="264" spans="1:10" x14ac:dyDescent="0.25">
      <c r="A264" t="s">
        <v>538</v>
      </c>
      <c r="C264">
        <v>-30</v>
      </c>
      <c r="F264">
        <v>300</v>
      </c>
      <c r="G264" s="2">
        <f t="shared" si="9"/>
        <v>270</v>
      </c>
      <c r="I264" s="2">
        <f t="shared" si="10"/>
        <v>0</v>
      </c>
      <c r="J264" s="2">
        <f t="shared" si="11"/>
        <v>0</v>
      </c>
    </row>
    <row r="265" spans="1:10" x14ac:dyDescent="0.25">
      <c r="A265" t="s">
        <v>539</v>
      </c>
      <c r="C265">
        <v>-432</v>
      </c>
      <c r="F265">
        <v>432</v>
      </c>
      <c r="G265" s="2">
        <f t="shared" si="9"/>
        <v>0</v>
      </c>
      <c r="I265" s="2">
        <f t="shared" si="10"/>
        <v>0</v>
      </c>
      <c r="J265" s="2">
        <f t="shared" si="11"/>
        <v>0</v>
      </c>
    </row>
    <row r="266" spans="1:10" x14ac:dyDescent="0.25">
      <c r="A266" t="s">
        <v>540</v>
      </c>
      <c r="C266">
        <v>-145</v>
      </c>
      <c r="F266">
        <v>145</v>
      </c>
      <c r="G266" s="2">
        <f t="shared" si="9"/>
        <v>0</v>
      </c>
      <c r="I266" s="2">
        <f t="shared" si="10"/>
        <v>0</v>
      </c>
      <c r="J266" s="2">
        <f t="shared" si="11"/>
        <v>0</v>
      </c>
    </row>
    <row r="267" spans="1:10" x14ac:dyDescent="0.25">
      <c r="A267" t="s">
        <v>541</v>
      </c>
      <c r="C267">
        <v>-29</v>
      </c>
      <c r="F267">
        <v>29</v>
      </c>
      <c r="G267" s="2">
        <f t="shared" si="9"/>
        <v>0</v>
      </c>
      <c r="I267" s="2">
        <f t="shared" si="10"/>
        <v>0</v>
      </c>
      <c r="J267" s="2">
        <f t="shared" si="11"/>
        <v>0</v>
      </c>
    </row>
    <row r="268" spans="1:10" x14ac:dyDescent="0.25">
      <c r="A268" t="s">
        <v>542</v>
      </c>
      <c r="F268">
        <v>464</v>
      </c>
      <c r="G268" s="2">
        <f t="shared" si="9"/>
        <v>464</v>
      </c>
      <c r="I268" s="2">
        <f t="shared" si="10"/>
        <v>0</v>
      </c>
      <c r="J268" s="2">
        <f t="shared" si="11"/>
        <v>0</v>
      </c>
    </row>
    <row r="269" spans="1:10" x14ac:dyDescent="0.25">
      <c r="A269" t="s">
        <v>543</v>
      </c>
      <c r="C269">
        <v>-432</v>
      </c>
      <c r="F269">
        <v>432</v>
      </c>
      <c r="G269" s="2">
        <f t="shared" si="9"/>
        <v>0</v>
      </c>
      <c r="I269" s="2">
        <f t="shared" si="10"/>
        <v>0</v>
      </c>
      <c r="J269" s="2">
        <f t="shared" si="11"/>
        <v>0</v>
      </c>
    </row>
    <row r="270" spans="1:10" x14ac:dyDescent="0.25">
      <c r="A270" t="s">
        <v>544</v>
      </c>
      <c r="C270">
        <v>-432</v>
      </c>
      <c r="F270">
        <v>432</v>
      </c>
      <c r="G270" s="2">
        <f t="shared" si="9"/>
        <v>0</v>
      </c>
      <c r="I270" s="2">
        <f t="shared" si="10"/>
        <v>0</v>
      </c>
      <c r="J270" s="2">
        <f t="shared" si="11"/>
        <v>0</v>
      </c>
    </row>
    <row r="271" spans="1:10" x14ac:dyDescent="0.25">
      <c r="A271" t="s">
        <v>545</v>
      </c>
      <c r="C271">
        <v>-432</v>
      </c>
      <c r="F271">
        <v>432</v>
      </c>
      <c r="G271" s="2">
        <f t="shared" si="9"/>
        <v>0</v>
      </c>
      <c r="I271" s="2">
        <f t="shared" si="10"/>
        <v>0</v>
      </c>
      <c r="J271" s="2">
        <f t="shared" si="11"/>
        <v>0</v>
      </c>
    </row>
    <row r="272" spans="1:10" x14ac:dyDescent="0.25">
      <c r="A272" t="s">
        <v>546</v>
      </c>
      <c r="F272">
        <v>432</v>
      </c>
      <c r="G272" s="2">
        <f t="shared" si="9"/>
        <v>432</v>
      </c>
      <c r="I272" s="2">
        <f t="shared" si="10"/>
        <v>0</v>
      </c>
      <c r="J272" s="2">
        <f t="shared" si="11"/>
        <v>0</v>
      </c>
    </row>
    <row r="273" spans="1:10" x14ac:dyDescent="0.25">
      <c r="A273" t="s">
        <v>547</v>
      </c>
      <c r="C273">
        <v>-450</v>
      </c>
      <c r="F273">
        <v>450</v>
      </c>
      <c r="G273" s="2">
        <f t="shared" si="9"/>
        <v>0</v>
      </c>
      <c r="I273" s="2">
        <f t="shared" si="10"/>
        <v>0</v>
      </c>
      <c r="J273" s="2">
        <f t="shared" si="11"/>
        <v>0</v>
      </c>
    </row>
    <row r="274" spans="1:10" x14ac:dyDescent="0.25">
      <c r="A274" t="s">
        <v>548</v>
      </c>
      <c r="C274">
        <v>-150</v>
      </c>
      <c r="F274">
        <v>432</v>
      </c>
      <c r="G274" s="2">
        <f t="shared" si="9"/>
        <v>282</v>
      </c>
      <c r="I274" s="2">
        <f t="shared" si="10"/>
        <v>0</v>
      </c>
      <c r="J274" s="2">
        <f t="shared" si="11"/>
        <v>0</v>
      </c>
    </row>
    <row r="275" spans="1:10" x14ac:dyDescent="0.25">
      <c r="A275" t="s">
        <v>549</v>
      </c>
      <c r="F275">
        <v>300</v>
      </c>
      <c r="G275" s="2">
        <f t="shared" si="9"/>
        <v>300</v>
      </c>
      <c r="I275" s="2">
        <f t="shared" si="10"/>
        <v>0</v>
      </c>
      <c r="J275" s="2">
        <f t="shared" si="11"/>
        <v>0</v>
      </c>
    </row>
    <row r="276" spans="1:10" x14ac:dyDescent="0.25">
      <c r="A276" t="s">
        <v>550</v>
      </c>
      <c r="C276">
        <v>-49.62</v>
      </c>
      <c r="F276">
        <v>49.62</v>
      </c>
      <c r="G276" s="2">
        <f t="shared" ref="G276:G339" si="12">SUM(B276:F276)</f>
        <v>0</v>
      </c>
      <c r="I276" s="2">
        <f t="shared" ref="I276:I339" si="13">IF(F276=0,C276+D276,0)</f>
        <v>0</v>
      </c>
      <c r="J276" s="2">
        <f t="shared" ref="J276:J339" si="14">IF(G276&lt;0,G276,0)</f>
        <v>0</v>
      </c>
    </row>
    <row r="277" spans="1:10" x14ac:dyDescent="0.25">
      <c r="A277" t="s">
        <v>551</v>
      </c>
      <c r="C277">
        <v>-58</v>
      </c>
      <c r="F277">
        <v>58</v>
      </c>
      <c r="G277" s="2">
        <f t="shared" si="12"/>
        <v>0</v>
      </c>
      <c r="I277" s="2">
        <f t="shared" si="13"/>
        <v>0</v>
      </c>
      <c r="J277" s="2">
        <f t="shared" si="14"/>
        <v>0</v>
      </c>
    </row>
    <row r="278" spans="1:10" x14ac:dyDescent="0.25">
      <c r="A278" t="s">
        <v>552</v>
      </c>
      <c r="C278">
        <v>-432</v>
      </c>
      <c r="F278">
        <v>432</v>
      </c>
      <c r="G278" s="2">
        <f t="shared" si="12"/>
        <v>0</v>
      </c>
      <c r="I278" s="2">
        <f t="shared" si="13"/>
        <v>0</v>
      </c>
      <c r="J278" s="2">
        <f t="shared" si="14"/>
        <v>0</v>
      </c>
    </row>
    <row r="279" spans="1:10" x14ac:dyDescent="0.25">
      <c r="A279" t="s">
        <v>553</v>
      </c>
      <c r="C279">
        <v>-432</v>
      </c>
      <c r="F279">
        <v>432</v>
      </c>
      <c r="G279" s="2">
        <f t="shared" si="12"/>
        <v>0</v>
      </c>
      <c r="I279" s="2">
        <f t="shared" si="13"/>
        <v>0</v>
      </c>
      <c r="J279" s="2">
        <f t="shared" si="14"/>
        <v>0</v>
      </c>
    </row>
    <row r="280" spans="1:10" x14ac:dyDescent="0.25">
      <c r="A280" t="s">
        <v>554</v>
      </c>
      <c r="C280">
        <v>-432</v>
      </c>
      <c r="F280">
        <v>432</v>
      </c>
      <c r="G280" s="2">
        <f t="shared" si="12"/>
        <v>0</v>
      </c>
      <c r="I280" s="2">
        <f t="shared" si="13"/>
        <v>0</v>
      </c>
      <c r="J280" s="2">
        <f t="shared" si="14"/>
        <v>0</v>
      </c>
    </row>
    <row r="281" spans="1:10" x14ac:dyDescent="0.25">
      <c r="A281" t="s">
        <v>555</v>
      </c>
      <c r="C281">
        <v>0</v>
      </c>
      <c r="F281">
        <v>245</v>
      </c>
      <c r="G281" s="2">
        <f t="shared" si="12"/>
        <v>245</v>
      </c>
      <c r="I281" s="2">
        <f t="shared" si="13"/>
        <v>0</v>
      </c>
      <c r="J281" s="2">
        <f t="shared" si="14"/>
        <v>0</v>
      </c>
    </row>
    <row r="282" spans="1:10" x14ac:dyDescent="0.25">
      <c r="A282" t="s">
        <v>556</v>
      </c>
      <c r="F282">
        <v>432</v>
      </c>
      <c r="G282" s="2">
        <f t="shared" si="12"/>
        <v>432</v>
      </c>
      <c r="I282" s="2">
        <f t="shared" si="13"/>
        <v>0</v>
      </c>
      <c r="J282" s="2">
        <f t="shared" si="14"/>
        <v>0</v>
      </c>
    </row>
    <row r="283" spans="1:10" x14ac:dyDescent="0.25">
      <c r="A283" t="s">
        <v>557</v>
      </c>
      <c r="C283">
        <v>-24.81</v>
      </c>
      <c r="F283">
        <v>24.81</v>
      </c>
      <c r="G283" s="2">
        <f t="shared" si="12"/>
        <v>0</v>
      </c>
      <c r="I283" s="2">
        <f t="shared" si="13"/>
        <v>0</v>
      </c>
      <c r="J283" s="2">
        <f t="shared" si="14"/>
        <v>0</v>
      </c>
    </row>
    <row r="284" spans="1:10" x14ac:dyDescent="0.25">
      <c r="A284" t="s">
        <v>558</v>
      </c>
      <c r="C284">
        <v>-432</v>
      </c>
      <c r="F284">
        <v>432</v>
      </c>
      <c r="G284" s="2">
        <f t="shared" si="12"/>
        <v>0</v>
      </c>
      <c r="I284" s="2">
        <f t="shared" si="13"/>
        <v>0</v>
      </c>
      <c r="J284" s="2">
        <f t="shared" si="14"/>
        <v>0</v>
      </c>
    </row>
    <row r="285" spans="1:10" x14ac:dyDescent="0.25">
      <c r="A285" t="s">
        <v>559</v>
      </c>
      <c r="C285">
        <v>-10.6</v>
      </c>
      <c r="F285">
        <v>10.6</v>
      </c>
      <c r="G285" s="2">
        <f t="shared" si="12"/>
        <v>0</v>
      </c>
      <c r="I285" s="2">
        <f t="shared" si="13"/>
        <v>0</v>
      </c>
      <c r="J285" s="2">
        <f t="shared" si="14"/>
        <v>0</v>
      </c>
    </row>
    <row r="286" spans="1:10" x14ac:dyDescent="0.25">
      <c r="A286" t="s">
        <v>560</v>
      </c>
      <c r="C286">
        <v>-432</v>
      </c>
      <c r="F286">
        <v>432</v>
      </c>
      <c r="G286" s="2">
        <f t="shared" si="12"/>
        <v>0</v>
      </c>
      <c r="I286" s="2">
        <f t="shared" si="13"/>
        <v>0</v>
      </c>
      <c r="J286" s="2">
        <f t="shared" si="14"/>
        <v>0</v>
      </c>
    </row>
    <row r="287" spans="1:10" x14ac:dyDescent="0.25">
      <c r="A287" t="s">
        <v>561</v>
      </c>
      <c r="F287">
        <v>300</v>
      </c>
      <c r="G287" s="2">
        <f t="shared" si="12"/>
        <v>300</v>
      </c>
      <c r="I287" s="2">
        <f t="shared" si="13"/>
        <v>0</v>
      </c>
      <c r="J287" s="2">
        <f t="shared" si="14"/>
        <v>0</v>
      </c>
    </row>
    <row r="288" spans="1:10" x14ac:dyDescent="0.25">
      <c r="A288" t="s">
        <v>562</v>
      </c>
      <c r="C288">
        <v>-432</v>
      </c>
      <c r="F288">
        <v>432</v>
      </c>
      <c r="G288" s="2">
        <f t="shared" si="12"/>
        <v>0</v>
      </c>
      <c r="I288" s="2">
        <f t="shared" si="13"/>
        <v>0</v>
      </c>
      <c r="J288" s="2">
        <f t="shared" si="14"/>
        <v>0</v>
      </c>
    </row>
    <row r="289" spans="1:10" x14ac:dyDescent="0.25">
      <c r="A289" t="s">
        <v>563</v>
      </c>
      <c r="C289">
        <v>-132</v>
      </c>
      <c r="F289">
        <v>132</v>
      </c>
      <c r="G289" s="2">
        <f t="shared" si="12"/>
        <v>0</v>
      </c>
      <c r="I289" s="2">
        <f t="shared" si="13"/>
        <v>0</v>
      </c>
      <c r="J289" s="2">
        <f t="shared" si="14"/>
        <v>0</v>
      </c>
    </row>
    <row r="290" spans="1:10" x14ac:dyDescent="0.25">
      <c r="A290" t="s">
        <v>564</v>
      </c>
      <c r="F290">
        <v>432</v>
      </c>
      <c r="G290" s="2">
        <f t="shared" si="12"/>
        <v>432</v>
      </c>
      <c r="I290" s="2">
        <f t="shared" si="13"/>
        <v>0</v>
      </c>
      <c r="J290" s="2">
        <f t="shared" si="14"/>
        <v>0</v>
      </c>
    </row>
    <row r="291" spans="1:10" x14ac:dyDescent="0.25">
      <c r="A291" t="s">
        <v>565</v>
      </c>
      <c r="C291">
        <v>-58</v>
      </c>
      <c r="F291">
        <v>58</v>
      </c>
      <c r="G291" s="2">
        <f t="shared" si="12"/>
        <v>0</v>
      </c>
      <c r="I291" s="2">
        <f t="shared" si="13"/>
        <v>0</v>
      </c>
      <c r="J291" s="2">
        <f t="shared" si="14"/>
        <v>0</v>
      </c>
    </row>
    <row r="292" spans="1:10" x14ac:dyDescent="0.25">
      <c r="A292" t="s">
        <v>566</v>
      </c>
      <c r="F292">
        <v>432</v>
      </c>
      <c r="G292" s="2">
        <f t="shared" si="12"/>
        <v>432</v>
      </c>
      <c r="I292" s="2">
        <f t="shared" si="13"/>
        <v>0</v>
      </c>
      <c r="J292" s="2">
        <f t="shared" si="14"/>
        <v>0</v>
      </c>
    </row>
    <row r="293" spans="1:10" x14ac:dyDescent="0.25">
      <c r="A293" t="s">
        <v>567</v>
      </c>
      <c r="C293">
        <v>-97.5</v>
      </c>
      <c r="F293">
        <v>97.5</v>
      </c>
      <c r="G293" s="2">
        <f t="shared" si="12"/>
        <v>0</v>
      </c>
      <c r="I293" s="2">
        <f t="shared" si="13"/>
        <v>0</v>
      </c>
      <c r="J293" s="2">
        <f t="shared" si="14"/>
        <v>0</v>
      </c>
    </row>
    <row r="294" spans="1:10" x14ac:dyDescent="0.25">
      <c r="A294" t="s">
        <v>568</v>
      </c>
      <c r="C294">
        <v>-56.6</v>
      </c>
      <c r="F294">
        <v>56.6</v>
      </c>
      <c r="G294" s="2">
        <f t="shared" si="12"/>
        <v>0</v>
      </c>
      <c r="I294" s="2">
        <f t="shared" si="13"/>
        <v>0</v>
      </c>
      <c r="J294" s="2">
        <f t="shared" si="14"/>
        <v>0</v>
      </c>
    </row>
    <row r="295" spans="1:10" x14ac:dyDescent="0.25">
      <c r="A295" t="s">
        <v>569</v>
      </c>
      <c r="C295">
        <v>-290</v>
      </c>
      <c r="F295">
        <v>290</v>
      </c>
      <c r="G295" s="2">
        <f t="shared" si="12"/>
        <v>0</v>
      </c>
      <c r="I295" s="2">
        <f t="shared" si="13"/>
        <v>0</v>
      </c>
      <c r="J295" s="2">
        <f t="shared" si="14"/>
        <v>0</v>
      </c>
    </row>
    <row r="296" spans="1:10" x14ac:dyDescent="0.25">
      <c r="A296" t="s">
        <v>570</v>
      </c>
      <c r="C296">
        <v>-450</v>
      </c>
      <c r="F296">
        <v>450</v>
      </c>
      <c r="G296" s="2">
        <f t="shared" si="12"/>
        <v>0</v>
      </c>
      <c r="I296" s="2">
        <f t="shared" si="13"/>
        <v>0</v>
      </c>
      <c r="J296" s="2">
        <f t="shared" si="14"/>
        <v>0</v>
      </c>
    </row>
    <row r="297" spans="1:10" x14ac:dyDescent="0.25">
      <c r="A297" t="s">
        <v>571</v>
      </c>
      <c r="C297">
        <v>-146.28</v>
      </c>
      <c r="F297">
        <v>146.28</v>
      </c>
      <c r="G297" s="2">
        <f t="shared" si="12"/>
        <v>0</v>
      </c>
      <c r="I297" s="2">
        <f t="shared" si="13"/>
        <v>0</v>
      </c>
      <c r="J297" s="2">
        <f t="shared" si="14"/>
        <v>0</v>
      </c>
    </row>
    <row r="298" spans="1:10" x14ac:dyDescent="0.25">
      <c r="A298" t="s">
        <v>572</v>
      </c>
      <c r="F298">
        <v>0</v>
      </c>
      <c r="G298" s="2">
        <f t="shared" si="12"/>
        <v>0</v>
      </c>
      <c r="I298" s="2">
        <f t="shared" si="13"/>
        <v>0</v>
      </c>
      <c r="J298" s="2">
        <f t="shared" si="14"/>
        <v>0</v>
      </c>
    </row>
    <row r="299" spans="1:10" x14ac:dyDescent="0.25">
      <c r="A299" t="s">
        <v>573</v>
      </c>
      <c r="C299">
        <v>-58</v>
      </c>
      <c r="F299">
        <v>277</v>
      </c>
      <c r="G299" s="2">
        <f t="shared" si="12"/>
        <v>219</v>
      </c>
      <c r="I299" s="2">
        <f t="shared" si="13"/>
        <v>0</v>
      </c>
      <c r="J299" s="2">
        <f t="shared" si="14"/>
        <v>0</v>
      </c>
    </row>
    <row r="300" spans="1:10" x14ac:dyDescent="0.25">
      <c r="A300" t="s">
        <v>574</v>
      </c>
      <c r="F300">
        <v>146.28</v>
      </c>
      <c r="G300" s="2">
        <f t="shared" si="12"/>
        <v>146.28</v>
      </c>
      <c r="I300" s="2">
        <f t="shared" si="13"/>
        <v>0</v>
      </c>
      <c r="J300" s="2">
        <f t="shared" si="14"/>
        <v>0</v>
      </c>
    </row>
    <row r="301" spans="1:10" x14ac:dyDescent="0.25">
      <c r="A301" t="s">
        <v>575</v>
      </c>
      <c r="C301">
        <v>-432</v>
      </c>
      <c r="F301">
        <v>432</v>
      </c>
      <c r="G301" s="2">
        <f t="shared" si="12"/>
        <v>0</v>
      </c>
      <c r="I301" s="2">
        <f t="shared" si="13"/>
        <v>0</v>
      </c>
      <c r="J301" s="2">
        <f t="shared" si="14"/>
        <v>0</v>
      </c>
    </row>
    <row r="302" spans="1:10" x14ac:dyDescent="0.25">
      <c r="A302" t="s">
        <v>576</v>
      </c>
      <c r="C302">
        <v>-300</v>
      </c>
      <c r="F302">
        <v>300</v>
      </c>
      <c r="G302" s="2">
        <f t="shared" si="12"/>
        <v>0</v>
      </c>
      <c r="I302" s="2">
        <f t="shared" si="13"/>
        <v>0</v>
      </c>
      <c r="J302" s="2">
        <f t="shared" si="14"/>
        <v>0</v>
      </c>
    </row>
    <row r="303" spans="1:10" x14ac:dyDescent="0.25">
      <c r="A303" t="s">
        <v>577</v>
      </c>
      <c r="C303">
        <v>-145</v>
      </c>
      <c r="F303">
        <v>145</v>
      </c>
      <c r="G303" s="2">
        <f t="shared" si="12"/>
        <v>0</v>
      </c>
      <c r="I303" s="2">
        <f t="shared" si="13"/>
        <v>0</v>
      </c>
      <c r="J303" s="2">
        <f t="shared" si="14"/>
        <v>0</v>
      </c>
    </row>
    <row r="304" spans="1:10" x14ac:dyDescent="0.25">
      <c r="A304" t="s">
        <v>578</v>
      </c>
      <c r="C304">
        <v>-333</v>
      </c>
      <c r="F304">
        <v>333</v>
      </c>
      <c r="G304" s="2">
        <f t="shared" si="12"/>
        <v>0</v>
      </c>
      <c r="I304" s="2">
        <f t="shared" si="13"/>
        <v>0</v>
      </c>
      <c r="J304" s="2">
        <f t="shared" si="14"/>
        <v>0</v>
      </c>
    </row>
    <row r="305" spans="1:10" x14ac:dyDescent="0.25">
      <c r="A305" t="s">
        <v>579</v>
      </c>
      <c r="F305">
        <v>432</v>
      </c>
      <c r="G305" s="2">
        <f t="shared" si="12"/>
        <v>432</v>
      </c>
      <c r="I305" s="2">
        <f t="shared" si="13"/>
        <v>0</v>
      </c>
      <c r="J305" s="2">
        <f t="shared" si="14"/>
        <v>0</v>
      </c>
    </row>
    <row r="306" spans="1:10" x14ac:dyDescent="0.25">
      <c r="A306" t="s">
        <v>580</v>
      </c>
      <c r="C306">
        <v>-10.6</v>
      </c>
      <c r="F306">
        <v>10.6</v>
      </c>
      <c r="G306" s="2">
        <f t="shared" si="12"/>
        <v>0</v>
      </c>
      <c r="I306" s="2">
        <f t="shared" si="13"/>
        <v>0</v>
      </c>
      <c r="J306" s="2">
        <f t="shared" si="14"/>
        <v>0</v>
      </c>
    </row>
    <row r="307" spans="1:10" x14ac:dyDescent="0.25">
      <c r="A307" t="s">
        <v>581</v>
      </c>
      <c r="C307">
        <v>-10.6</v>
      </c>
      <c r="F307">
        <v>10.6</v>
      </c>
      <c r="G307" s="2">
        <f t="shared" si="12"/>
        <v>0</v>
      </c>
      <c r="I307" s="2">
        <f t="shared" si="13"/>
        <v>0</v>
      </c>
      <c r="J307" s="2">
        <f t="shared" si="14"/>
        <v>0</v>
      </c>
    </row>
    <row r="308" spans="1:10" x14ac:dyDescent="0.25">
      <c r="A308" t="s">
        <v>582</v>
      </c>
      <c r="C308">
        <v>-450</v>
      </c>
      <c r="F308">
        <v>450</v>
      </c>
      <c r="G308" s="2">
        <f t="shared" si="12"/>
        <v>0</v>
      </c>
      <c r="I308" s="2">
        <f t="shared" si="13"/>
        <v>0</v>
      </c>
      <c r="J308" s="2">
        <f t="shared" si="14"/>
        <v>0</v>
      </c>
    </row>
    <row r="309" spans="1:10" x14ac:dyDescent="0.25">
      <c r="A309" t="s">
        <v>583</v>
      </c>
      <c r="C309">
        <v>-100</v>
      </c>
      <c r="F309">
        <v>100</v>
      </c>
      <c r="G309" s="2">
        <f t="shared" si="12"/>
        <v>0</v>
      </c>
      <c r="I309" s="2">
        <f t="shared" si="13"/>
        <v>0</v>
      </c>
      <c r="J309" s="2">
        <f t="shared" si="14"/>
        <v>0</v>
      </c>
    </row>
    <row r="310" spans="1:10" x14ac:dyDescent="0.25">
      <c r="A310" t="s">
        <v>584</v>
      </c>
      <c r="F310">
        <v>290</v>
      </c>
      <c r="G310" s="2">
        <f t="shared" si="12"/>
        <v>290</v>
      </c>
      <c r="I310" s="2">
        <f t="shared" si="13"/>
        <v>0</v>
      </c>
      <c r="J310" s="2">
        <f t="shared" si="14"/>
        <v>0</v>
      </c>
    </row>
    <row r="311" spans="1:10" x14ac:dyDescent="0.25">
      <c r="A311" t="s">
        <v>585</v>
      </c>
      <c r="C311">
        <v>-29</v>
      </c>
      <c r="F311">
        <v>29</v>
      </c>
      <c r="G311" s="2">
        <f t="shared" si="12"/>
        <v>0</v>
      </c>
      <c r="I311" s="2">
        <f t="shared" si="13"/>
        <v>0</v>
      </c>
      <c r="J311" s="2">
        <f t="shared" si="14"/>
        <v>0</v>
      </c>
    </row>
    <row r="312" spans="1:10" x14ac:dyDescent="0.25">
      <c r="A312" t="s">
        <v>586</v>
      </c>
      <c r="C312">
        <v>-432</v>
      </c>
      <c r="F312">
        <v>432</v>
      </c>
      <c r="G312" s="2">
        <f t="shared" si="12"/>
        <v>0</v>
      </c>
      <c r="I312" s="2">
        <f t="shared" si="13"/>
        <v>0</v>
      </c>
      <c r="J312" s="2">
        <f t="shared" si="14"/>
        <v>0</v>
      </c>
    </row>
    <row r="313" spans="1:10" x14ac:dyDescent="0.25">
      <c r="A313" t="s">
        <v>587</v>
      </c>
      <c r="C313">
        <v>-450</v>
      </c>
      <c r="F313">
        <v>450</v>
      </c>
      <c r="G313" s="2">
        <f t="shared" si="12"/>
        <v>0</v>
      </c>
      <c r="I313" s="2">
        <f t="shared" si="13"/>
        <v>0</v>
      </c>
      <c r="J313" s="2">
        <f t="shared" si="14"/>
        <v>0</v>
      </c>
    </row>
    <row r="314" spans="1:10" x14ac:dyDescent="0.25">
      <c r="A314" t="s">
        <v>588</v>
      </c>
      <c r="C314">
        <v>-432</v>
      </c>
      <c r="F314">
        <v>432</v>
      </c>
      <c r="G314" s="2">
        <f t="shared" si="12"/>
        <v>0</v>
      </c>
      <c r="I314" s="2">
        <f t="shared" si="13"/>
        <v>0</v>
      </c>
      <c r="J314" s="2">
        <f t="shared" si="14"/>
        <v>0</v>
      </c>
    </row>
    <row r="315" spans="1:10" x14ac:dyDescent="0.25">
      <c r="A315" t="s">
        <v>589</v>
      </c>
      <c r="C315">
        <v>-43.5</v>
      </c>
      <c r="F315">
        <v>43.5</v>
      </c>
      <c r="G315" s="2">
        <f t="shared" si="12"/>
        <v>0</v>
      </c>
      <c r="I315" s="2">
        <f t="shared" si="13"/>
        <v>0</v>
      </c>
      <c r="J315" s="2">
        <f t="shared" si="14"/>
        <v>0</v>
      </c>
    </row>
    <row r="316" spans="1:10" x14ac:dyDescent="0.25">
      <c r="A316" t="s">
        <v>590</v>
      </c>
      <c r="C316">
        <v>-100</v>
      </c>
      <c r="F316">
        <v>100</v>
      </c>
      <c r="G316" s="2">
        <f t="shared" si="12"/>
        <v>0</v>
      </c>
      <c r="I316" s="2">
        <f t="shared" si="13"/>
        <v>0</v>
      </c>
      <c r="J316" s="2">
        <f t="shared" si="14"/>
        <v>0</v>
      </c>
    </row>
    <row r="317" spans="1:10" x14ac:dyDescent="0.25">
      <c r="A317" t="s">
        <v>591</v>
      </c>
      <c r="C317">
        <v>-200</v>
      </c>
      <c r="F317">
        <v>432</v>
      </c>
      <c r="G317" s="2">
        <f t="shared" si="12"/>
        <v>232</v>
      </c>
      <c r="I317" s="2">
        <f t="shared" si="13"/>
        <v>0</v>
      </c>
      <c r="J317" s="2">
        <f t="shared" si="14"/>
        <v>0</v>
      </c>
    </row>
    <row r="318" spans="1:10" x14ac:dyDescent="0.25">
      <c r="A318" t="s">
        <v>592</v>
      </c>
      <c r="C318">
        <v>-432</v>
      </c>
      <c r="F318">
        <v>648</v>
      </c>
      <c r="G318" s="2">
        <f t="shared" si="12"/>
        <v>216</v>
      </c>
      <c r="I318" s="2">
        <f t="shared" si="13"/>
        <v>0</v>
      </c>
      <c r="J318" s="2">
        <f t="shared" si="14"/>
        <v>0</v>
      </c>
    </row>
    <row r="319" spans="1:10" x14ac:dyDescent="0.25">
      <c r="A319" t="s">
        <v>593</v>
      </c>
      <c r="C319">
        <v>-66</v>
      </c>
      <c r="F319">
        <v>66</v>
      </c>
      <c r="G319" s="2">
        <f t="shared" si="12"/>
        <v>0</v>
      </c>
      <c r="I319" s="2">
        <f t="shared" si="13"/>
        <v>0</v>
      </c>
      <c r="J319" s="2">
        <f t="shared" si="14"/>
        <v>0</v>
      </c>
    </row>
    <row r="320" spans="1:10" x14ac:dyDescent="0.25">
      <c r="A320" t="s">
        <v>594</v>
      </c>
      <c r="C320">
        <v>-432</v>
      </c>
      <c r="F320">
        <v>648</v>
      </c>
      <c r="G320" s="2">
        <f t="shared" si="12"/>
        <v>216</v>
      </c>
      <c r="I320" s="2">
        <f t="shared" si="13"/>
        <v>0</v>
      </c>
      <c r="J320" s="2">
        <f t="shared" si="14"/>
        <v>0</v>
      </c>
    </row>
    <row r="321" spans="1:10" x14ac:dyDescent="0.25">
      <c r="A321" t="s">
        <v>595</v>
      </c>
      <c r="C321">
        <v>-432</v>
      </c>
      <c r="F321">
        <v>432</v>
      </c>
      <c r="G321" s="2">
        <f t="shared" si="12"/>
        <v>0</v>
      </c>
      <c r="I321" s="2">
        <f t="shared" si="13"/>
        <v>0</v>
      </c>
      <c r="J321" s="2">
        <f t="shared" si="14"/>
        <v>0</v>
      </c>
    </row>
    <row r="322" spans="1:10" x14ac:dyDescent="0.25">
      <c r="A322" t="s">
        <v>596</v>
      </c>
      <c r="C322">
        <v>-432</v>
      </c>
      <c r="F322">
        <v>432</v>
      </c>
      <c r="G322" s="2">
        <f t="shared" si="12"/>
        <v>0</v>
      </c>
      <c r="I322" s="2">
        <f t="shared" si="13"/>
        <v>0</v>
      </c>
      <c r="J322" s="2">
        <f t="shared" si="14"/>
        <v>0</v>
      </c>
    </row>
    <row r="323" spans="1:10" x14ac:dyDescent="0.25">
      <c r="A323" t="s">
        <v>597</v>
      </c>
      <c r="F323">
        <v>145</v>
      </c>
      <c r="G323" s="2">
        <f t="shared" si="12"/>
        <v>145</v>
      </c>
      <c r="I323" s="2">
        <f t="shared" si="13"/>
        <v>0</v>
      </c>
      <c r="J323" s="2">
        <f t="shared" si="14"/>
        <v>0</v>
      </c>
    </row>
    <row r="324" spans="1:10" x14ac:dyDescent="0.25">
      <c r="A324" t="s">
        <v>598</v>
      </c>
      <c r="C324">
        <v>-300</v>
      </c>
      <c r="G324" s="2">
        <f t="shared" si="12"/>
        <v>-300</v>
      </c>
      <c r="I324" s="2">
        <f t="shared" si="13"/>
        <v>-300</v>
      </c>
      <c r="J324" s="2">
        <f t="shared" si="14"/>
        <v>-300</v>
      </c>
    </row>
    <row r="325" spans="1:10" x14ac:dyDescent="0.25">
      <c r="A325" t="s">
        <v>599</v>
      </c>
      <c r="C325">
        <v>-66</v>
      </c>
      <c r="F325">
        <v>66</v>
      </c>
      <c r="G325" s="2">
        <f t="shared" si="12"/>
        <v>0</v>
      </c>
      <c r="I325" s="2">
        <f t="shared" si="13"/>
        <v>0</v>
      </c>
      <c r="J325" s="2">
        <f t="shared" si="14"/>
        <v>0</v>
      </c>
    </row>
    <row r="326" spans="1:10" x14ac:dyDescent="0.25">
      <c r="A326" t="s">
        <v>600</v>
      </c>
      <c r="F326">
        <v>243</v>
      </c>
      <c r="G326" s="2">
        <f t="shared" si="12"/>
        <v>243</v>
      </c>
      <c r="I326" s="2">
        <f t="shared" si="13"/>
        <v>0</v>
      </c>
      <c r="J326" s="2">
        <f t="shared" si="14"/>
        <v>0</v>
      </c>
    </row>
    <row r="327" spans="1:10" x14ac:dyDescent="0.25">
      <c r="A327" t="s">
        <v>601</v>
      </c>
      <c r="F327">
        <v>432</v>
      </c>
      <c r="G327" s="2">
        <f t="shared" si="12"/>
        <v>432</v>
      </c>
      <c r="I327" s="2">
        <f t="shared" si="13"/>
        <v>0</v>
      </c>
      <c r="J327" s="2">
        <f t="shared" si="14"/>
        <v>0</v>
      </c>
    </row>
    <row r="328" spans="1:10" x14ac:dyDescent="0.25">
      <c r="A328" t="s">
        <v>602</v>
      </c>
      <c r="F328">
        <v>1.999999999998181E-2</v>
      </c>
      <c r="G328" s="2">
        <f t="shared" si="12"/>
        <v>1.999999999998181E-2</v>
      </c>
      <c r="I328" s="2">
        <f t="shared" si="13"/>
        <v>0</v>
      </c>
      <c r="J328" s="2">
        <f t="shared" si="14"/>
        <v>0</v>
      </c>
    </row>
    <row r="329" spans="1:10" x14ac:dyDescent="0.25">
      <c r="A329" t="s">
        <v>603</v>
      </c>
      <c r="C329">
        <v>-432</v>
      </c>
      <c r="F329">
        <v>432</v>
      </c>
      <c r="G329" s="2">
        <f t="shared" si="12"/>
        <v>0</v>
      </c>
      <c r="I329" s="2">
        <f t="shared" si="13"/>
        <v>0</v>
      </c>
      <c r="J329" s="2">
        <f t="shared" si="14"/>
        <v>0</v>
      </c>
    </row>
    <row r="330" spans="1:10" x14ac:dyDescent="0.25">
      <c r="A330" t="s">
        <v>604</v>
      </c>
      <c r="C330">
        <v>-40.6</v>
      </c>
      <c r="F330">
        <v>40.6</v>
      </c>
      <c r="G330" s="2">
        <f t="shared" si="12"/>
        <v>0</v>
      </c>
      <c r="I330" s="2">
        <f t="shared" si="13"/>
        <v>0</v>
      </c>
      <c r="J330" s="2">
        <f t="shared" si="14"/>
        <v>0</v>
      </c>
    </row>
    <row r="331" spans="1:10" x14ac:dyDescent="0.25">
      <c r="A331" t="s">
        <v>605</v>
      </c>
      <c r="C331">
        <v>-448.54</v>
      </c>
      <c r="F331">
        <v>448.54</v>
      </c>
      <c r="G331" s="2">
        <f t="shared" si="12"/>
        <v>0</v>
      </c>
      <c r="I331" s="2">
        <f t="shared" si="13"/>
        <v>0</v>
      </c>
      <c r="J331" s="2">
        <f t="shared" si="14"/>
        <v>0</v>
      </c>
    </row>
    <row r="332" spans="1:10" x14ac:dyDescent="0.25">
      <c r="A332" t="s">
        <v>606</v>
      </c>
      <c r="B332">
        <v>-0.02</v>
      </c>
      <c r="F332">
        <v>0.02</v>
      </c>
      <c r="G332" s="2">
        <f t="shared" si="12"/>
        <v>0</v>
      </c>
      <c r="I332" s="2">
        <f t="shared" si="13"/>
        <v>0</v>
      </c>
      <c r="J332" s="2">
        <f t="shared" si="14"/>
        <v>0</v>
      </c>
    </row>
    <row r="333" spans="1:10" x14ac:dyDescent="0.25">
      <c r="A333" t="s">
        <v>607</v>
      </c>
      <c r="C333">
        <v>-432</v>
      </c>
      <c r="F333">
        <v>432</v>
      </c>
      <c r="G333" s="2">
        <f t="shared" si="12"/>
        <v>0</v>
      </c>
      <c r="I333" s="2">
        <f t="shared" si="13"/>
        <v>0</v>
      </c>
      <c r="J333" s="2">
        <f t="shared" si="14"/>
        <v>0</v>
      </c>
    </row>
    <row r="334" spans="1:10" x14ac:dyDescent="0.25">
      <c r="A334" t="s">
        <v>608</v>
      </c>
      <c r="C334">
        <v>-432</v>
      </c>
      <c r="F334">
        <v>432</v>
      </c>
      <c r="G334" s="2">
        <f t="shared" si="12"/>
        <v>0</v>
      </c>
      <c r="I334" s="2">
        <f t="shared" si="13"/>
        <v>0</v>
      </c>
      <c r="J334" s="2">
        <f t="shared" si="14"/>
        <v>0</v>
      </c>
    </row>
    <row r="335" spans="1:10" x14ac:dyDescent="0.25">
      <c r="A335" t="s">
        <v>609</v>
      </c>
      <c r="C335">
        <v>-10.6</v>
      </c>
      <c r="F335">
        <v>310.60000000000002</v>
      </c>
      <c r="G335" s="2">
        <f t="shared" si="12"/>
        <v>300</v>
      </c>
      <c r="I335" s="2">
        <f t="shared" si="13"/>
        <v>0</v>
      </c>
      <c r="J335" s="2">
        <f t="shared" si="14"/>
        <v>0</v>
      </c>
    </row>
    <row r="336" spans="1:10" x14ac:dyDescent="0.25">
      <c r="A336" t="s">
        <v>610</v>
      </c>
      <c r="C336">
        <v>-173.86</v>
      </c>
      <c r="F336">
        <v>184.04000000000002</v>
      </c>
      <c r="G336" s="2">
        <f t="shared" si="12"/>
        <v>10.180000000000007</v>
      </c>
      <c r="I336" s="2">
        <f t="shared" si="13"/>
        <v>0</v>
      </c>
      <c r="J336" s="2">
        <f t="shared" si="14"/>
        <v>0</v>
      </c>
    </row>
    <row r="337" spans="1:10" x14ac:dyDescent="0.25">
      <c r="A337" t="s">
        <v>611</v>
      </c>
      <c r="C337">
        <v>-290</v>
      </c>
      <c r="F337">
        <v>432</v>
      </c>
      <c r="G337" s="2">
        <f t="shared" si="12"/>
        <v>142</v>
      </c>
      <c r="I337" s="2">
        <f t="shared" si="13"/>
        <v>0</v>
      </c>
      <c r="J337" s="2">
        <f t="shared" si="14"/>
        <v>0</v>
      </c>
    </row>
    <row r="338" spans="1:10" x14ac:dyDescent="0.25">
      <c r="A338" t="s">
        <v>612</v>
      </c>
      <c r="C338">
        <v>-132</v>
      </c>
      <c r="F338">
        <v>396</v>
      </c>
      <c r="G338" s="2">
        <f t="shared" si="12"/>
        <v>264</v>
      </c>
      <c r="I338" s="2">
        <f t="shared" si="13"/>
        <v>0</v>
      </c>
      <c r="J338" s="2">
        <f t="shared" si="14"/>
        <v>0</v>
      </c>
    </row>
    <row r="339" spans="1:10" x14ac:dyDescent="0.25">
      <c r="A339" t="s">
        <v>613</v>
      </c>
      <c r="F339">
        <v>305</v>
      </c>
      <c r="G339" s="2">
        <f t="shared" si="12"/>
        <v>305</v>
      </c>
      <c r="I339" s="2">
        <f t="shared" si="13"/>
        <v>0</v>
      </c>
      <c r="J339" s="2">
        <f t="shared" si="14"/>
        <v>0</v>
      </c>
    </row>
    <row r="340" spans="1:10" x14ac:dyDescent="0.25">
      <c r="A340" t="s">
        <v>614</v>
      </c>
      <c r="B340">
        <v>-0.02</v>
      </c>
      <c r="F340">
        <v>224.03999999999996</v>
      </c>
      <c r="G340" s="2">
        <f t="shared" ref="G340:G403" si="15">SUM(B340:F340)</f>
        <v>224.01999999999995</v>
      </c>
      <c r="I340" s="2">
        <f t="shared" ref="I340:I403" si="16">IF(F340=0,C340+D340,0)</f>
        <v>0</v>
      </c>
      <c r="J340" s="2">
        <f t="shared" ref="J340:J403" si="17">IF(G340&lt;0,G340,0)</f>
        <v>0</v>
      </c>
    </row>
    <row r="341" spans="1:10" x14ac:dyDescent="0.25">
      <c r="A341" t="s">
        <v>615</v>
      </c>
      <c r="C341">
        <v>-250</v>
      </c>
      <c r="F341">
        <v>432</v>
      </c>
      <c r="G341" s="2">
        <f t="shared" si="15"/>
        <v>182</v>
      </c>
      <c r="I341" s="2">
        <f t="shared" si="16"/>
        <v>0</v>
      </c>
      <c r="J341" s="2">
        <f t="shared" si="17"/>
        <v>0</v>
      </c>
    </row>
    <row r="342" spans="1:10" x14ac:dyDescent="0.25">
      <c r="A342" t="s">
        <v>616</v>
      </c>
      <c r="F342">
        <v>0.02</v>
      </c>
      <c r="G342" s="2">
        <f t="shared" si="15"/>
        <v>0.02</v>
      </c>
      <c r="I342" s="2">
        <f t="shared" si="16"/>
        <v>0</v>
      </c>
      <c r="J342" s="2">
        <f t="shared" si="17"/>
        <v>0</v>
      </c>
    </row>
    <row r="343" spans="1:10" x14ac:dyDescent="0.25">
      <c r="A343" t="s">
        <v>617</v>
      </c>
      <c r="C343">
        <v>-10.6</v>
      </c>
      <c r="F343">
        <v>10.6</v>
      </c>
      <c r="G343" s="2">
        <f t="shared" si="15"/>
        <v>0</v>
      </c>
      <c r="I343" s="2">
        <f t="shared" si="16"/>
        <v>0</v>
      </c>
      <c r="J343" s="2">
        <f t="shared" si="17"/>
        <v>0</v>
      </c>
    </row>
    <row r="344" spans="1:10" x14ac:dyDescent="0.25">
      <c r="A344" t="s">
        <v>618</v>
      </c>
      <c r="C344">
        <v>-290</v>
      </c>
      <c r="F344">
        <v>290</v>
      </c>
      <c r="G344" s="2">
        <f t="shared" si="15"/>
        <v>0</v>
      </c>
      <c r="I344" s="2">
        <f t="shared" si="16"/>
        <v>0</v>
      </c>
      <c r="J344" s="2">
        <f t="shared" si="17"/>
        <v>0</v>
      </c>
    </row>
    <row r="345" spans="1:10" x14ac:dyDescent="0.25">
      <c r="A345" t="s">
        <v>619</v>
      </c>
      <c r="F345">
        <v>432</v>
      </c>
      <c r="G345" s="2">
        <f t="shared" si="15"/>
        <v>432</v>
      </c>
      <c r="I345" s="2">
        <f t="shared" si="16"/>
        <v>0</v>
      </c>
      <c r="J345" s="2">
        <f t="shared" si="17"/>
        <v>0</v>
      </c>
    </row>
    <row r="346" spans="1:10" x14ac:dyDescent="0.25">
      <c r="A346" t="s">
        <v>620</v>
      </c>
      <c r="F346">
        <v>216</v>
      </c>
      <c r="G346" s="2">
        <f t="shared" si="15"/>
        <v>216</v>
      </c>
      <c r="I346" s="2">
        <f t="shared" si="16"/>
        <v>0</v>
      </c>
      <c r="J346" s="2">
        <f t="shared" si="17"/>
        <v>0</v>
      </c>
    </row>
    <row r="347" spans="1:10" x14ac:dyDescent="0.25">
      <c r="A347" t="s">
        <v>621</v>
      </c>
      <c r="C347">
        <v>-225</v>
      </c>
      <c r="F347">
        <v>450</v>
      </c>
      <c r="G347" s="2">
        <f t="shared" si="15"/>
        <v>225</v>
      </c>
      <c r="I347" s="2">
        <f t="shared" si="16"/>
        <v>0</v>
      </c>
      <c r="J347" s="2">
        <f t="shared" si="17"/>
        <v>0</v>
      </c>
    </row>
    <row r="348" spans="1:10" x14ac:dyDescent="0.25">
      <c r="A348" t="s">
        <v>622</v>
      </c>
      <c r="F348">
        <v>432</v>
      </c>
      <c r="G348" s="2">
        <f t="shared" si="15"/>
        <v>432</v>
      </c>
      <c r="I348" s="2">
        <f t="shared" si="16"/>
        <v>0</v>
      </c>
      <c r="J348" s="2">
        <f t="shared" si="17"/>
        <v>0</v>
      </c>
    </row>
    <row r="349" spans="1:10" x14ac:dyDescent="0.25">
      <c r="A349" t="s">
        <v>623</v>
      </c>
      <c r="C349">
        <v>-150</v>
      </c>
      <c r="F349">
        <v>290</v>
      </c>
      <c r="G349" s="2">
        <f t="shared" si="15"/>
        <v>140</v>
      </c>
      <c r="I349" s="2">
        <f t="shared" si="16"/>
        <v>0</v>
      </c>
      <c r="J349" s="2">
        <f t="shared" si="17"/>
        <v>0</v>
      </c>
    </row>
    <row r="350" spans="1:10" x14ac:dyDescent="0.25">
      <c r="A350" t="s">
        <v>624</v>
      </c>
      <c r="C350">
        <v>-82.68</v>
      </c>
      <c r="F350">
        <v>82.68</v>
      </c>
      <c r="G350" s="2">
        <f t="shared" si="15"/>
        <v>0</v>
      </c>
      <c r="I350" s="2">
        <f t="shared" si="16"/>
        <v>0</v>
      </c>
      <c r="J350" s="2">
        <f t="shared" si="17"/>
        <v>0</v>
      </c>
    </row>
    <row r="351" spans="1:10" x14ac:dyDescent="0.25">
      <c r="A351" t="s">
        <v>625</v>
      </c>
      <c r="F351">
        <v>432</v>
      </c>
      <c r="G351" s="2">
        <f t="shared" si="15"/>
        <v>432</v>
      </c>
      <c r="I351" s="2">
        <f t="shared" si="16"/>
        <v>0</v>
      </c>
      <c r="J351" s="2">
        <f t="shared" si="17"/>
        <v>0</v>
      </c>
    </row>
    <row r="352" spans="1:10" x14ac:dyDescent="0.25">
      <c r="A352" t="s">
        <v>626</v>
      </c>
      <c r="C352">
        <v>-58</v>
      </c>
      <c r="F352">
        <v>58</v>
      </c>
      <c r="G352" s="2">
        <f t="shared" si="15"/>
        <v>0</v>
      </c>
      <c r="I352" s="2">
        <f t="shared" si="16"/>
        <v>0</v>
      </c>
      <c r="J352" s="2">
        <f t="shared" si="17"/>
        <v>0</v>
      </c>
    </row>
    <row r="353" spans="1:10" x14ac:dyDescent="0.25">
      <c r="A353" t="s">
        <v>627</v>
      </c>
      <c r="C353">
        <v>-33</v>
      </c>
      <c r="F353">
        <v>33</v>
      </c>
      <c r="G353" s="2">
        <f t="shared" si="15"/>
        <v>0</v>
      </c>
      <c r="I353" s="2">
        <f t="shared" si="16"/>
        <v>0</v>
      </c>
      <c r="J353" s="2">
        <f t="shared" si="17"/>
        <v>0</v>
      </c>
    </row>
    <row r="354" spans="1:10" x14ac:dyDescent="0.25">
      <c r="A354" t="s">
        <v>628</v>
      </c>
      <c r="C354">
        <v>-450</v>
      </c>
      <c r="F354">
        <v>450</v>
      </c>
      <c r="G354" s="2">
        <f t="shared" si="15"/>
        <v>0</v>
      </c>
      <c r="I354" s="2">
        <f t="shared" si="16"/>
        <v>0</v>
      </c>
      <c r="J354" s="2">
        <f t="shared" si="17"/>
        <v>0</v>
      </c>
    </row>
    <row r="355" spans="1:10" x14ac:dyDescent="0.25">
      <c r="A355" t="s">
        <v>629</v>
      </c>
      <c r="C355">
        <v>-432</v>
      </c>
      <c r="F355">
        <v>432</v>
      </c>
      <c r="G355" s="2">
        <f t="shared" si="15"/>
        <v>0</v>
      </c>
      <c r="I355" s="2">
        <f t="shared" si="16"/>
        <v>0</v>
      </c>
      <c r="J355" s="2">
        <f t="shared" si="17"/>
        <v>0</v>
      </c>
    </row>
    <row r="356" spans="1:10" x14ac:dyDescent="0.25">
      <c r="A356" t="s">
        <v>630</v>
      </c>
      <c r="C356">
        <v>-432</v>
      </c>
      <c r="F356">
        <v>432</v>
      </c>
      <c r="G356" s="2">
        <f t="shared" si="15"/>
        <v>0</v>
      </c>
      <c r="I356" s="2">
        <f t="shared" si="16"/>
        <v>0</v>
      </c>
      <c r="J356" s="2">
        <f t="shared" si="17"/>
        <v>0</v>
      </c>
    </row>
    <row r="357" spans="1:10" x14ac:dyDescent="0.25">
      <c r="A357" t="s">
        <v>631</v>
      </c>
      <c r="C357">
        <v>-432</v>
      </c>
      <c r="F357">
        <v>864</v>
      </c>
      <c r="G357" s="2">
        <f t="shared" si="15"/>
        <v>432</v>
      </c>
      <c r="I357" s="2">
        <f t="shared" si="16"/>
        <v>0</v>
      </c>
      <c r="J357" s="2">
        <f t="shared" si="17"/>
        <v>0</v>
      </c>
    </row>
    <row r="358" spans="1:10" x14ac:dyDescent="0.25">
      <c r="A358" t="s">
        <v>632</v>
      </c>
      <c r="C358">
        <v>-58</v>
      </c>
      <c r="F358">
        <v>58</v>
      </c>
      <c r="G358" s="2">
        <f t="shared" si="15"/>
        <v>0</v>
      </c>
      <c r="I358" s="2">
        <f t="shared" si="16"/>
        <v>0</v>
      </c>
      <c r="J358" s="2">
        <f t="shared" si="17"/>
        <v>0</v>
      </c>
    </row>
    <row r="359" spans="1:10" x14ac:dyDescent="0.25">
      <c r="A359" t="s">
        <v>633</v>
      </c>
      <c r="F359">
        <v>432</v>
      </c>
      <c r="G359" s="2">
        <f t="shared" si="15"/>
        <v>432</v>
      </c>
      <c r="I359" s="2">
        <f t="shared" si="16"/>
        <v>0</v>
      </c>
      <c r="J359" s="2">
        <f t="shared" si="17"/>
        <v>0</v>
      </c>
    </row>
    <row r="360" spans="1:10" x14ac:dyDescent="0.25">
      <c r="A360" t="s">
        <v>634</v>
      </c>
      <c r="C360">
        <v>-101.25</v>
      </c>
      <c r="F360">
        <v>101.25</v>
      </c>
      <c r="G360" s="2">
        <f t="shared" si="15"/>
        <v>0</v>
      </c>
      <c r="I360" s="2">
        <f t="shared" si="16"/>
        <v>0</v>
      </c>
      <c r="J360" s="2">
        <f t="shared" si="17"/>
        <v>0</v>
      </c>
    </row>
    <row r="361" spans="1:10" x14ac:dyDescent="0.25">
      <c r="A361" t="s">
        <v>635</v>
      </c>
      <c r="C361">
        <v>-432</v>
      </c>
      <c r="F361">
        <v>432</v>
      </c>
      <c r="G361" s="2">
        <f t="shared" si="15"/>
        <v>0</v>
      </c>
      <c r="I361" s="2">
        <f t="shared" si="16"/>
        <v>0</v>
      </c>
      <c r="J361" s="2">
        <f t="shared" si="17"/>
        <v>0</v>
      </c>
    </row>
    <row r="362" spans="1:10" x14ac:dyDescent="0.25">
      <c r="A362" t="s">
        <v>636</v>
      </c>
      <c r="C362">
        <v>-432</v>
      </c>
      <c r="F362">
        <v>432</v>
      </c>
      <c r="G362" s="2">
        <f t="shared" si="15"/>
        <v>0</v>
      </c>
      <c r="I362" s="2">
        <f t="shared" si="16"/>
        <v>0</v>
      </c>
      <c r="J362" s="2">
        <f t="shared" si="17"/>
        <v>0</v>
      </c>
    </row>
    <row r="363" spans="1:10" x14ac:dyDescent="0.25">
      <c r="A363" t="s">
        <v>637</v>
      </c>
      <c r="C363">
        <v>-290</v>
      </c>
      <c r="F363">
        <v>290</v>
      </c>
      <c r="G363" s="2">
        <f t="shared" si="15"/>
        <v>0</v>
      </c>
      <c r="I363" s="2">
        <f t="shared" si="16"/>
        <v>0</v>
      </c>
      <c r="J363" s="2">
        <f t="shared" si="17"/>
        <v>0</v>
      </c>
    </row>
    <row r="364" spans="1:10" x14ac:dyDescent="0.25">
      <c r="A364" t="s">
        <v>638</v>
      </c>
      <c r="C364">
        <v>-290</v>
      </c>
      <c r="F364">
        <v>506</v>
      </c>
      <c r="G364" s="2">
        <f t="shared" si="15"/>
        <v>216</v>
      </c>
      <c r="I364" s="2">
        <f t="shared" si="16"/>
        <v>0</v>
      </c>
      <c r="J364" s="2">
        <f t="shared" si="17"/>
        <v>0</v>
      </c>
    </row>
    <row r="365" spans="1:10" x14ac:dyDescent="0.25">
      <c r="A365" t="s">
        <v>639</v>
      </c>
      <c r="F365">
        <v>432</v>
      </c>
      <c r="G365" s="2">
        <f t="shared" si="15"/>
        <v>432</v>
      </c>
      <c r="I365" s="2">
        <f t="shared" si="16"/>
        <v>0</v>
      </c>
      <c r="J365" s="2">
        <f t="shared" si="17"/>
        <v>0</v>
      </c>
    </row>
    <row r="366" spans="1:10" x14ac:dyDescent="0.25">
      <c r="A366" t="s">
        <v>640</v>
      </c>
      <c r="C366">
        <v>-600</v>
      </c>
      <c r="F366">
        <v>600</v>
      </c>
      <c r="G366" s="2">
        <f t="shared" si="15"/>
        <v>0</v>
      </c>
      <c r="I366" s="2">
        <f t="shared" si="16"/>
        <v>0</v>
      </c>
      <c r="J366" s="2">
        <f t="shared" si="17"/>
        <v>0</v>
      </c>
    </row>
    <row r="367" spans="1:10" x14ac:dyDescent="0.25">
      <c r="A367" t="s">
        <v>641</v>
      </c>
      <c r="C367">
        <v>-450</v>
      </c>
      <c r="F367">
        <v>450</v>
      </c>
      <c r="G367" s="2">
        <f t="shared" si="15"/>
        <v>0</v>
      </c>
      <c r="I367" s="2">
        <f t="shared" si="16"/>
        <v>0</v>
      </c>
      <c r="J367" s="2">
        <f t="shared" si="17"/>
        <v>0</v>
      </c>
    </row>
    <row r="368" spans="1:10" x14ac:dyDescent="0.25">
      <c r="A368" t="s">
        <v>642</v>
      </c>
      <c r="C368">
        <v>-654</v>
      </c>
      <c r="F368">
        <v>654</v>
      </c>
      <c r="G368" s="2">
        <f t="shared" si="15"/>
        <v>0</v>
      </c>
      <c r="I368" s="2">
        <f t="shared" si="16"/>
        <v>0</v>
      </c>
      <c r="J368" s="2">
        <f t="shared" si="17"/>
        <v>0</v>
      </c>
    </row>
    <row r="369" spans="1:10" x14ac:dyDescent="0.25">
      <c r="A369" t="s">
        <v>643</v>
      </c>
      <c r="C369">
        <v>-432</v>
      </c>
      <c r="F369">
        <v>432</v>
      </c>
      <c r="G369" s="2">
        <f t="shared" si="15"/>
        <v>0</v>
      </c>
      <c r="I369" s="2">
        <f t="shared" si="16"/>
        <v>0</v>
      </c>
      <c r="J369" s="2">
        <f t="shared" si="17"/>
        <v>0</v>
      </c>
    </row>
    <row r="370" spans="1:10" x14ac:dyDescent="0.25">
      <c r="A370" t="s">
        <v>644</v>
      </c>
      <c r="F370">
        <v>224</v>
      </c>
      <c r="G370" s="2">
        <f t="shared" si="15"/>
        <v>224</v>
      </c>
      <c r="I370" s="2">
        <f t="shared" si="16"/>
        <v>0</v>
      </c>
      <c r="J370" s="2">
        <f t="shared" si="17"/>
        <v>0</v>
      </c>
    </row>
    <row r="371" spans="1:10" x14ac:dyDescent="0.25">
      <c r="A371" t="s">
        <v>645</v>
      </c>
      <c r="C371">
        <v>-432</v>
      </c>
      <c r="F371">
        <v>432</v>
      </c>
      <c r="G371" s="2">
        <f t="shared" si="15"/>
        <v>0</v>
      </c>
      <c r="I371" s="2">
        <f t="shared" si="16"/>
        <v>0</v>
      </c>
      <c r="J371" s="2">
        <f t="shared" si="17"/>
        <v>0</v>
      </c>
    </row>
    <row r="372" spans="1:10" x14ac:dyDescent="0.25">
      <c r="A372" t="s">
        <v>646</v>
      </c>
      <c r="C372">
        <v>-432</v>
      </c>
      <c r="F372">
        <v>432</v>
      </c>
      <c r="G372" s="2">
        <f t="shared" si="15"/>
        <v>0</v>
      </c>
      <c r="I372" s="2">
        <f t="shared" si="16"/>
        <v>0</v>
      </c>
      <c r="J372" s="2">
        <f t="shared" si="17"/>
        <v>0</v>
      </c>
    </row>
    <row r="373" spans="1:10" x14ac:dyDescent="0.25">
      <c r="A373" t="s">
        <v>647</v>
      </c>
      <c r="C373">
        <v>-290</v>
      </c>
      <c r="F373">
        <v>290</v>
      </c>
      <c r="G373" s="2">
        <f t="shared" si="15"/>
        <v>0</v>
      </c>
      <c r="I373" s="2">
        <f t="shared" si="16"/>
        <v>0</v>
      </c>
      <c r="J373" s="2">
        <f t="shared" si="17"/>
        <v>0</v>
      </c>
    </row>
    <row r="374" spans="1:10" x14ac:dyDescent="0.25">
      <c r="A374" t="s">
        <v>648</v>
      </c>
      <c r="C374">
        <v>-450</v>
      </c>
      <c r="F374">
        <v>450</v>
      </c>
      <c r="G374" s="2">
        <f t="shared" si="15"/>
        <v>0</v>
      </c>
      <c r="I374" s="2">
        <f t="shared" si="16"/>
        <v>0</v>
      </c>
      <c r="J374" s="2">
        <f t="shared" si="17"/>
        <v>0</v>
      </c>
    </row>
    <row r="375" spans="1:10" x14ac:dyDescent="0.25">
      <c r="A375" t="s">
        <v>649</v>
      </c>
      <c r="F375">
        <v>224</v>
      </c>
      <c r="G375" s="2">
        <f t="shared" si="15"/>
        <v>224</v>
      </c>
      <c r="I375" s="2">
        <f t="shared" si="16"/>
        <v>0</v>
      </c>
      <c r="J375" s="2">
        <f t="shared" si="17"/>
        <v>0</v>
      </c>
    </row>
    <row r="376" spans="1:10" x14ac:dyDescent="0.25">
      <c r="A376" t="s">
        <v>650</v>
      </c>
      <c r="C376">
        <v>-432</v>
      </c>
      <c r="F376">
        <v>432</v>
      </c>
      <c r="G376" s="2">
        <f t="shared" si="15"/>
        <v>0</v>
      </c>
      <c r="I376" s="2">
        <f t="shared" si="16"/>
        <v>0</v>
      </c>
      <c r="J376" s="2">
        <f t="shared" si="17"/>
        <v>0</v>
      </c>
    </row>
    <row r="377" spans="1:10" x14ac:dyDescent="0.25">
      <c r="A377" t="s">
        <v>651</v>
      </c>
      <c r="C377">
        <v>-510</v>
      </c>
      <c r="F377">
        <v>510</v>
      </c>
      <c r="G377" s="2">
        <f t="shared" si="15"/>
        <v>0</v>
      </c>
      <c r="I377" s="2">
        <f t="shared" si="16"/>
        <v>0</v>
      </c>
      <c r="J377" s="2">
        <f t="shared" si="17"/>
        <v>0</v>
      </c>
    </row>
    <row r="378" spans="1:10" x14ac:dyDescent="0.25">
      <c r="A378" t="s">
        <v>652</v>
      </c>
      <c r="C378">
        <v>-588</v>
      </c>
      <c r="F378">
        <v>744</v>
      </c>
      <c r="G378" s="2">
        <f t="shared" si="15"/>
        <v>156</v>
      </c>
      <c r="I378" s="2">
        <f t="shared" si="16"/>
        <v>0</v>
      </c>
      <c r="J378" s="2">
        <f t="shared" si="17"/>
        <v>0</v>
      </c>
    </row>
    <row r="379" spans="1:10" x14ac:dyDescent="0.25">
      <c r="A379" t="s">
        <v>653</v>
      </c>
      <c r="F379">
        <v>432</v>
      </c>
      <c r="G379" s="2">
        <f t="shared" si="15"/>
        <v>432</v>
      </c>
      <c r="I379" s="2">
        <f t="shared" si="16"/>
        <v>0</v>
      </c>
      <c r="J379" s="2">
        <f t="shared" si="17"/>
        <v>0</v>
      </c>
    </row>
    <row r="380" spans="1:10" x14ac:dyDescent="0.25">
      <c r="A380" t="s">
        <v>654</v>
      </c>
      <c r="C380">
        <v>-115</v>
      </c>
      <c r="F380">
        <v>115</v>
      </c>
      <c r="G380" s="2">
        <f t="shared" si="15"/>
        <v>0</v>
      </c>
      <c r="I380" s="2">
        <f t="shared" si="16"/>
        <v>0</v>
      </c>
      <c r="J380" s="2">
        <f t="shared" si="17"/>
        <v>0</v>
      </c>
    </row>
    <row r="381" spans="1:10" x14ac:dyDescent="0.25">
      <c r="A381" t="s">
        <v>655</v>
      </c>
      <c r="F381">
        <v>216</v>
      </c>
      <c r="G381" s="2">
        <f t="shared" si="15"/>
        <v>216</v>
      </c>
      <c r="I381" s="2">
        <f t="shared" si="16"/>
        <v>0</v>
      </c>
      <c r="J381" s="2">
        <f t="shared" si="17"/>
        <v>0</v>
      </c>
    </row>
    <row r="382" spans="1:10" x14ac:dyDescent="0.25">
      <c r="A382" t="s">
        <v>656</v>
      </c>
      <c r="C382">
        <v>-250</v>
      </c>
      <c r="F382">
        <v>220.24</v>
      </c>
      <c r="G382" s="2">
        <f t="shared" si="15"/>
        <v>-29.759999999999991</v>
      </c>
      <c r="I382" s="2">
        <f t="shared" si="16"/>
        <v>0</v>
      </c>
      <c r="J382" s="2">
        <f t="shared" si="17"/>
        <v>-29.759999999999991</v>
      </c>
    </row>
    <row r="383" spans="1:10" x14ac:dyDescent="0.25">
      <c r="A383" t="s">
        <v>657</v>
      </c>
      <c r="B383">
        <v>-0.01</v>
      </c>
      <c r="C383">
        <v>-432</v>
      </c>
      <c r="F383">
        <v>864.01</v>
      </c>
      <c r="G383" s="2">
        <f t="shared" si="15"/>
        <v>432</v>
      </c>
      <c r="I383" s="2">
        <f t="shared" si="16"/>
        <v>0</v>
      </c>
      <c r="J383" s="2">
        <f t="shared" si="17"/>
        <v>0</v>
      </c>
    </row>
    <row r="384" spans="1:10" x14ac:dyDescent="0.25">
      <c r="A384" t="s">
        <v>658</v>
      </c>
      <c r="C384">
        <v>-202.5</v>
      </c>
      <c r="F384">
        <v>252.5</v>
      </c>
      <c r="G384" s="2">
        <f t="shared" si="15"/>
        <v>50</v>
      </c>
      <c r="I384" s="2">
        <f t="shared" si="16"/>
        <v>0</v>
      </c>
      <c r="J384" s="2">
        <f t="shared" si="17"/>
        <v>0</v>
      </c>
    </row>
    <row r="385" spans="1:10" x14ac:dyDescent="0.25">
      <c r="A385" t="s">
        <v>659</v>
      </c>
      <c r="C385">
        <v>-57.89</v>
      </c>
      <c r="F385">
        <v>57.89</v>
      </c>
      <c r="G385" s="2">
        <f t="shared" si="15"/>
        <v>0</v>
      </c>
      <c r="I385" s="2">
        <f t="shared" si="16"/>
        <v>0</v>
      </c>
      <c r="J385" s="2">
        <f t="shared" si="17"/>
        <v>0</v>
      </c>
    </row>
    <row r="386" spans="1:10" x14ac:dyDescent="0.25">
      <c r="A386" t="s">
        <v>660</v>
      </c>
      <c r="C386">
        <v>-432</v>
      </c>
      <c r="F386">
        <v>432</v>
      </c>
      <c r="G386" s="2">
        <f t="shared" si="15"/>
        <v>0</v>
      </c>
      <c r="I386" s="2">
        <f t="shared" si="16"/>
        <v>0</v>
      </c>
      <c r="J386" s="2">
        <f t="shared" si="17"/>
        <v>0</v>
      </c>
    </row>
    <row r="387" spans="1:10" x14ac:dyDescent="0.25">
      <c r="A387" t="s">
        <v>661</v>
      </c>
      <c r="C387">
        <v>-450</v>
      </c>
      <c r="F387">
        <v>600</v>
      </c>
      <c r="G387" s="2">
        <f t="shared" si="15"/>
        <v>150</v>
      </c>
      <c r="I387" s="2">
        <f t="shared" si="16"/>
        <v>0</v>
      </c>
      <c r="J387" s="2">
        <f t="shared" si="17"/>
        <v>0</v>
      </c>
    </row>
    <row r="388" spans="1:10" x14ac:dyDescent="0.25">
      <c r="A388" t="s">
        <v>662</v>
      </c>
      <c r="F388">
        <v>224</v>
      </c>
      <c r="G388" s="2">
        <f t="shared" si="15"/>
        <v>224</v>
      </c>
      <c r="I388" s="2">
        <f t="shared" si="16"/>
        <v>0</v>
      </c>
      <c r="J388" s="2">
        <f t="shared" si="17"/>
        <v>0</v>
      </c>
    </row>
    <row r="389" spans="1:10" x14ac:dyDescent="0.25">
      <c r="A389" t="s">
        <v>663</v>
      </c>
      <c r="C389">
        <v>-450</v>
      </c>
      <c r="F389">
        <v>450</v>
      </c>
      <c r="G389" s="2">
        <f t="shared" si="15"/>
        <v>0</v>
      </c>
      <c r="I389" s="2">
        <f t="shared" si="16"/>
        <v>0</v>
      </c>
      <c r="J389" s="2">
        <f t="shared" si="17"/>
        <v>0</v>
      </c>
    </row>
    <row r="390" spans="1:10" x14ac:dyDescent="0.25">
      <c r="A390" t="s">
        <v>664</v>
      </c>
      <c r="C390">
        <v>-61.82</v>
      </c>
      <c r="F390">
        <v>61.82</v>
      </c>
      <c r="G390" s="2">
        <f t="shared" si="15"/>
        <v>0</v>
      </c>
      <c r="I390" s="2">
        <f t="shared" si="16"/>
        <v>0</v>
      </c>
      <c r="J390" s="2">
        <f t="shared" si="17"/>
        <v>0</v>
      </c>
    </row>
    <row r="391" spans="1:10" x14ac:dyDescent="0.25">
      <c r="A391" t="s">
        <v>665</v>
      </c>
      <c r="C391">
        <v>-8.27</v>
      </c>
      <c r="F391">
        <v>8.27</v>
      </c>
      <c r="G391" s="2">
        <f t="shared" si="15"/>
        <v>0</v>
      </c>
      <c r="I391" s="2">
        <f t="shared" si="16"/>
        <v>0</v>
      </c>
      <c r="J391" s="2">
        <f t="shared" si="17"/>
        <v>0</v>
      </c>
    </row>
    <row r="392" spans="1:10" x14ac:dyDescent="0.25">
      <c r="A392" t="s">
        <v>666</v>
      </c>
      <c r="C392">
        <v>-432</v>
      </c>
      <c r="F392">
        <v>432</v>
      </c>
      <c r="G392" s="2">
        <f t="shared" si="15"/>
        <v>0</v>
      </c>
      <c r="I392" s="2">
        <f t="shared" si="16"/>
        <v>0</v>
      </c>
      <c r="J392" s="2">
        <f t="shared" si="17"/>
        <v>0</v>
      </c>
    </row>
    <row r="393" spans="1:10" x14ac:dyDescent="0.25">
      <c r="A393" t="s">
        <v>667</v>
      </c>
      <c r="C393">
        <v>-432</v>
      </c>
      <c r="F393">
        <v>432</v>
      </c>
      <c r="G393" s="2">
        <f t="shared" si="15"/>
        <v>0</v>
      </c>
      <c r="I393" s="2">
        <f t="shared" si="16"/>
        <v>0</v>
      </c>
      <c r="J393" s="2">
        <f t="shared" si="17"/>
        <v>0</v>
      </c>
    </row>
    <row r="394" spans="1:10" x14ac:dyDescent="0.25">
      <c r="A394" t="s">
        <v>668</v>
      </c>
      <c r="C394">
        <v>-39</v>
      </c>
      <c r="F394">
        <v>39</v>
      </c>
      <c r="G394" s="2">
        <f t="shared" si="15"/>
        <v>0</v>
      </c>
      <c r="I394" s="2">
        <f t="shared" si="16"/>
        <v>0</v>
      </c>
      <c r="J394" s="2">
        <f t="shared" si="17"/>
        <v>0</v>
      </c>
    </row>
    <row r="395" spans="1:10" x14ac:dyDescent="0.25">
      <c r="A395" t="s">
        <v>669</v>
      </c>
      <c r="F395">
        <v>7.8</v>
      </c>
      <c r="G395" s="2">
        <f t="shared" si="15"/>
        <v>7.8</v>
      </c>
      <c r="I395" s="2">
        <f t="shared" si="16"/>
        <v>0</v>
      </c>
      <c r="J395" s="2">
        <f t="shared" si="17"/>
        <v>0</v>
      </c>
    </row>
    <row r="396" spans="1:10" x14ac:dyDescent="0.25">
      <c r="A396" t="s">
        <v>670</v>
      </c>
      <c r="C396">
        <v>-75</v>
      </c>
      <c r="F396">
        <v>432</v>
      </c>
      <c r="G396" s="2">
        <f t="shared" si="15"/>
        <v>357</v>
      </c>
      <c r="I396" s="2">
        <f t="shared" si="16"/>
        <v>0</v>
      </c>
      <c r="J396" s="2">
        <f t="shared" si="17"/>
        <v>0</v>
      </c>
    </row>
    <row r="397" spans="1:10" x14ac:dyDescent="0.25">
      <c r="A397" t="s">
        <v>671</v>
      </c>
      <c r="C397">
        <v>-132</v>
      </c>
      <c r="F397">
        <v>132</v>
      </c>
      <c r="G397" s="2">
        <f t="shared" si="15"/>
        <v>0</v>
      </c>
      <c r="I397" s="2">
        <f t="shared" si="16"/>
        <v>0</v>
      </c>
      <c r="J397" s="2">
        <f t="shared" si="17"/>
        <v>0</v>
      </c>
    </row>
    <row r="398" spans="1:10" x14ac:dyDescent="0.25">
      <c r="A398" t="s">
        <v>672</v>
      </c>
      <c r="C398">
        <v>-210</v>
      </c>
      <c r="F398">
        <v>210</v>
      </c>
      <c r="G398" s="2">
        <f t="shared" si="15"/>
        <v>0</v>
      </c>
      <c r="I398" s="2">
        <f t="shared" si="16"/>
        <v>0</v>
      </c>
      <c r="J398" s="2">
        <f t="shared" si="17"/>
        <v>0</v>
      </c>
    </row>
    <row r="399" spans="1:10" x14ac:dyDescent="0.25">
      <c r="A399" t="s">
        <v>673</v>
      </c>
      <c r="C399">
        <v>-115</v>
      </c>
      <c r="F399">
        <v>115</v>
      </c>
      <c r="G399" s="2">
        <f t="shared" si="15"/>
        <v>0</v>
      </c>
      <c r="I399" s="2">
        <f t="shared" si="16"/>
        <v>0</v>
      </c>
      <c r="J399" s="2">
        <f t="shared" si="17"/>
        <v>0</v>
      </c>
    </row>
    <row r="400" spans="1:10" x14ac:dyDescent="0.25">
      <c r="A400" t="s">
        <v>674</v>
      </c>
      <c r="C400">
        <v>-432</v>
      </c>
      <c r="F400">
        <v>432</v>
      </c>
      <c r="G400" s="2">
        <f t="shared" si="15"/>
        <v>0</v>
      </c>
      <c r="I400" s="2">
        <f t="shared" si="16"/>
        <v>0</v>
      </c>
      <c r="J400" s="2">
        <f t="shared" si="17"/>
        <v>0</v>
      </c>
    </row>
    <row r="401" spans="1:10" x14ac:dyDescent="0.25">
      <c r="A401" t="s">
        <v>675</v>
      </c>
      <c r="C401">
        <v>-768</v>
      </c>
      <c r="F401">
        <v>450</v>
      </c>
      <c r="G401" s="2">
        <f t="shared" si="15"/>
        <v>-318</v>
      </c>
      <c r="I401" s="2">
        <f t="shared" si="16"/>
        <v>0</v>
      </c>
      <c r="J401" s="2">
        <f t="shared" si="17"/>
        <v>-318</v>
      </c>
    </row>
    <row r="402" spans="1:10" x14ac:dyDescent="0.25">
      <c r="A402" t="s">
        <v>676</v>
      </c>
      <c r="C402">
        <v>-432</v>
      </c>
      <c r="F402">
        <v>432</v>
      </c>
      <c r="G402" s="2">
        <f t="shared" si="15"/>
        <v>0</v>
      </c>
      <c r="I402" s="2">
        <f t="shared" si="16"/>
        <v>0</v>
      </c>
      <c r="J402" s="2">
        <f t="shared" si="17"/>
        <v>0</v>
      </c>
    </row>
    <row r="403" spans="1:10" x14ac:dyDescent="0.25">
      <c r="A403" t="s">
        <v>677</v>
      </c>
      <c r="C403">
        <v>-318</v>
      </c>
      <c r="F403">
        <v>318</v>
      </c>
      <c r="G403" s="2">
        <f t="shared" si="15"/>
        <v>0</v>
      </c>
      <c r="I403" s="2">
        <f t="shared" si="16"/>
        <v>0</v>
      </c>
      <c r="J403" s="2">
        <f t="shared" si="17"/>
        <v>0</v>
      </c>
    </row>
    <row r="404" spans="1:10" x14ac:dyDescent="0.25">
      <c r="A404" t="s">
        <v>678</v>
      </c>
      <c r="C404">
        <v>-290</v>
      </c>
      <c r="F404">
        <v>290</v>
      </c>
      <c r="G404" s="2">
        <f t="shared" ref="G404:G467" si="18">SUM(B404:F404)</f>
        <v>0</v>
      </c>
      <c r="I404" s="2">
        <f t="shared" ref="I404:I467" si="19">IF(F404=0,C404+D404,0)</f>
        <v>0</v>
      </c>
      <c r="J404" s="2">
        <f t="shared" ref="J404:J467" si="20">IF(G404&lt;0,G404,0)</f>
        <v>0</v>
      </c>
    </row>
    <row r="405" spans="1:10" x14ac:dyDescent="0.25">
      <c r="A405" t="s">
        <v>679</v>
      </c>
      <c r="C405">
        <v>-115</v>
      </c>
      <c r="F405">
        <v>450</v>
      </c>
      <c r="G405" s="2">
        <f t="shared" si="18"/>
        <v>335</v>
      </c>
      <c r="I405" s="2">
        <f t="shared" si="19"/>
        <v>0</v>
      </c>
      <c r="J405" s="2">
        <f t="shared" si="20"/>
        <v>0</v>
      </c>
    </row>
    <row r="406" spans="1:10" x14ac:dyDescent="0.25">
      <c r="A406" t="s">
        <v>680</v>
      </c>
      <c r="C406">
        <v>-432</v>
      </c>
      <c r="F406">
        <v>432</v>
      </c>
      <c r="G406" s="2">
        <f t="shared" si="18"/>
        <v>0</v>
      </c>
      <c r="I406" s="2">
        <f t="shared" si="19"/>
        <v>0</v>
      </c>
      <c r="J406" s="2">
        <f t="shared" si="20"/>
        <v>0</v>
      </c>
    </row>
    <row r="407" spans="1:10" x14ac:dyDescent="0.25">
      <c r="A407" t="s">
        <v>681</v>
      </c>
      <c r="F407">
        <v>224</v>
      </c>
      <c r="G407" s="2">
        <f t="shared" si="18"/>
        <v>224</v>
      </c>
      <c r="I407" s="2">
        <f t="shared" si="19"/>
        <v>0</v>
      </c>
      <c r="J407" s="2">
        <f t="shared" si="20"/>
        <v>0</v>
      </c>
    </row>
    <row r="408" spans="1:10" x14ac:dyDescent="0.25">
      <c r="A408" t="s">
        <v>682</v>
      </c>
      <c r="C408">
        <v>-432</v>
      </c>
      <c r="F408">
        <v>432</v>
      </c>
      <c r="G408" s="2">
        <f t="shared" si="18"/>
        <v>0</v>
      </c>
      <c r="I408" s="2">
        <f t="shared" si="19"/>
        <v>0</v>
      </c>
      <c r="J408" s="2">
        <f t="shared" si="20"/>
        <v>0</v>
      </c>
    </row>
    <row r="409" spans="1:10" x14ac:dyDescent="0.25">
      <c r="A409" t="s">
        <v>683</v>
      </c>
      <c r="F409">
        <v>432</v>
      </c>
      <c r="G409" s="2">
        <f t="shared" si="18"/>
        <v>432</v>
      </c>
      <c r="I409" s="2">
        <f t="shared" si="19"/>
        <v>0</v>
      </c>
      <c r="J409" s="2">
        <f t="shared" si="20"/>
        <v>0</v>
      </c>
    </row>
    <row r="410" spans="1:10" x14ac:dyDescent="0.25">
      <c r="A410" t="s">
        <v>684</v>
      </c>
      <c r="F410">
        <v>58</v>
      </c>
      <c r="G410" s="2">
        <f t="shared" si="18"/>
        <v>58</v>
      </c>
      <c r="I410" s="2">
        <f t="shared" si="19"/>
        <v>0</v>
      </c>
      <c r="J410" s="2">
        <f t="shared" si="20"/>
        <v>0</v>
      </c>
    </row>
    <row r="411" spans="1:10" x14ac:dyDescent="0.25">
      <c r="A411" t="s">
        <v>685</v>
      </c>
      <c r="C411">
        <v>-379.8</v>
      </c>
      <c r="F411">
        <v>379.8</v>
      </c>
      <c r="G411" s="2">
        <f t="shared" si="18"/>
        <v>0</v>
      </c>
      <c r="I411" s="2">
        <f t="shared" si="19"/>
        <v>0</v>
      </c>
      <c r="J411" s="2">
        <f t="shared" si="20"/>
        <v>0</v>
      </c>
    </row>
    <row r="412" spans="1:10" x14ac:dyDescent="0.25">
      <c r="A412" t="s">
        <v>686</v>
      </c>
      <c r="C412">
        <v>-432</v>
      </c>
      <c r="F412">
        <v>432</v>
      </c>
      <c r="G412" s="2">
        <f t="shared" si="18"/>
        <v>0</v>
      </c>
      <c r="I412" s="2">
        <f t="shared" si="19"/>
        <v>0</v>
      </c>
      <c r="J412" s="2">
        <f t="shared" si="20"/>
        <v>0</v>
      </c>
    </row>
    <row r="413" spans="1:10" x14ac:dyDescent="0.25">
      <c r="A413" t="s">
        <v>687</v>
      </c>
      <c r="C413">
        <v>-450</v>
      </c>
      <c r="F413">
        <v>450</v>
      </c>
      <c r="G413" s="2">
        <f t="shared" si="18"/>
        <v>0</v>
      </c>
      <c r="I413" s="2">
        <f t="shared" si="19"/>
        <v>0</v>
      </c>
      <c r="J413" s="2">
        <f t="shared" si="20"/>
        <v>0</v>
      </c>
    </row>
    <row r="414" spans="1:10" x14ac:dyDescent="0.25">
      <c r="A414" t="s">
        <v>688</v>
      </c>
      <c r="C414">
        <v>-87</v>
      </c>
      <c r="F414">
        <v>87</v>
      </c>
      <c r="G414" s="2">
        <f t="shared" si="18"/>
        <v>0</v>
      </c>
      <c r="I414" s="2">
        <f t="shared" si="19"/>
        <v>0</v>
      </c>
      <c r="J414" s="2">
        <f t="shared" si="20"/>
        <v>0</v>
      </c>
    </row>
    <row r="415" spans="1:10" x14ac:dyDescent="0.25">
      <c r="A415" t="s">
        <v>689</v>
      </c>
      <c r="C415">
        <v>-450</v>
      </c>
      <c r="F415">
        <v>450</v>
      </c>
      <c r="G415" s="2">
        <f t="shared" si="18"/>
        <v>0</v>
      </c>
      <c r="I415" s="2">
        <f t="shared" si="19"/>
        <v>0</v>
      </c>
      <c r="J415" s="2">
        <f t="shared" si="20"/>
        <v>0</v>
      </c>
    </row>
    <row r="416" spans="1:10" x14ac:dyDescent="0.25">
      <c r="A416" t="s">
        <v>690</v>
      </c>
      <c r="F416">
        <v>224</v>
      </c>
      <c r="G416" s="2">
        <f t="shared" si="18"/>
        <v>224</v>
      </c>
      <c r="I416" s="2">
        <f t="shared" si="19"/>
        <v>0</v>
      </c>
      <c r="J416" s="2">
        <f t="shared" si="20"/>
        <v>0</v>
      </c>
    </row>
    <row r="417" spans="1:10" x14ac:dyDescent="0.25">
      <c r="A417" t="s">
        <v>691</v>
      </c>
      <c r="C417">
        <v>-15</v>
      </c>
      <c r="F417">
        <v>315</v>
      </c>
      <c r="G417" s="2">
        <f t="shared" si="18"/>
        <v>300</v>
      </c>
      <c r="I417" s="2">
        <f t="shared" si="19"/>
        <v>0</v>
      </c>
      <c r="J417" s="2">
        <f t="shared" si="20"/>
        <v>0</v>
      </c>
    </row>
    <row r="418" spans="1:10" x14ac:dyDescent="0.25">
      <c r="A418" t="s">
        <v>692</v>
      </c>
      <c r="F418">
        <v>432</v>
      </c>
      <c r="G418" s="2">
        <f t="shared" si="18"/>
        <v>432</v>
      </c>
      <c r="I418" s="2">
        <f t="shared" si="19"/>
        <v>0</v>
      </c>
      <c r="J418" s="2">
        <f t="shared" si="20"/>
        <v>0</v>
      </c>
    </row>
    <row r="419" spans="1:10" x14ac:dyDescent="0.25">
      <c r="A419" t="s">
        <v>693</v>
      </c>
      <c r="C419">
        <v>-290</v>
      </c>
      <c r="F419">
        <v>290</v>
      </c>
      <c r="G419" s="2">
        <f t="shared" si="18"/>
        <v>0</v>
      </c>
      <c r="I419" s="2">
        <f t="shared" si="19"/>
        <v>0</v>
      </c>
      <c r="J419" s="2">
        <f t="shared" si="20"/>
        <v>0</v>
      </c>
    </row>
    <row r="420" spans="1:10" x14ac:dyDescent="0.25">
      <c r="A420" t="s">
        <v>694</v>
      </c>
      <c r="C420">
        <v>-450</v>
      </c>
      <c r="F420">
        <v>450</v>
      </c>
      <c r="G420" s="2">
        <f t="shared" si="18"/>
        <v>0</v>
      </c>
      <c r="I420" s="2">
        <f t="shared" si="19"/>
        <v>0</v>
      </c>
      <c r="J420" s="2">
        <f t="shared" si="20"/>
        <v>0</v>
      </c>
    </row>
    <row r="421" spans="1:10" x14ac:dyDescent="0.25">
      <c r="A421" t="s">
        <v>695</v>
      </c>
      <c r="C421">
        <v>-400.68</v>
      </c>
      <c r="F421">
        <v>400.68</v>
      </c>
      <c r="G421" s="2">
        <f t="shared" si="18"/>
        <v>0</v>
      </c>
      <c r="I421" s="2">
        <f t="shared" si="19"/>
        <v>0</v>
      </c>
      <c r="J421" s="2">
        <f t="shared" si="20"/>
        <v>0</v>
      </c>
    </row>
    <row r="422" spans="1:10" x14ac:dyDescent="0.25">
      <c r="A422" t="s">
        <v>696</v>
      </c>
      <c r="F422">
        <v>29</v>
      </c>
      <c r="G422" s="2">
        <f t="shared" si="18"/>
        <v>29</v>
      </c>
      <c r="I422" s="2">
        <f t="shared" si="19"/>
        <v>0</v>
      </c>
      <c r="J422" s="2">
        <f t="shared" si="20"/>
        <v>0</v>
      </c>
    </row>
    <row r="423" spans="1:10" x14ac:dyDescent="0.25">
      <c r="A423" t="s">
        <v>697</v>
      </c>
      <c r="C423">
        <v>-432</v>
      </c>
      <c r="F423">
        <v>864</v>
      </c>
      <c r="G423" s="2">
        <f t="shared" si="18"/>
        <v>432</v>
      </c>
      <c r="I423" s="2">
        <f t="shared" si="19"/>
        <v>0</v>
      </c>
      <c r="J423" s="2">
        <f t="shared" si="20"/>
        <v>0</v>
      </c>
    </row>
    <row r="424" spans="1:10" x14ac:dyDescent="0.25">
      <c r="A424" t="s">
        <v>698</v>
      </c>
      <c r="F424">
        <v>78</v>
      </c>
      <c r="G424" s="2">
        <f t="shared" si="18"/>
        <v>78</v>
      </c>
      <c r="I424" s="2">
        <f t="shared" si="19"/>
        <v>0</v>
      </c>
      <c r="J424" s="2">
        <f t="shared" si="20"/>
        <v>0</v>
      </c>
    </row>
    <row r="425" spans="1:10" x14ac:dyDescent="0.25">
      <c r="A425" t="s">
        <v>699</v>
      </c>
      <c r="C425">
        <v>-21.2</v>
      </c>
      <c r="F425">
        <v>453.2</v>
      </c>
      <c r="G425" s="2">
        <f t="shared" si="18"/>
        <v>432</v>
      </c>
      <c r="I425" s="2">
        <f t="shared" si="19"/>
        <v>0</v>
      </c>
      <c r="J425" s="2">
        <f t="shared" si="20"/>
        <v>0</v>
      </c>
    </row>
    <row r="426" spans="1:10" x14ac:dyDescent="0.25">
      <c r="A426" t="s">
        <v>700</v>
      </c>
      <c r="C426">
        <v>-290</v>
      </c>
      <c r="F426">
        <v>290</v>
      </c>
      <c r="G426" s="2">
        <f t="shared" si="18"/>
        <v>0</v>
      </c>
      <c r="I426" s="2">
        <f t="shared" si="19"/>
        <v>0</v>
      </c>
      <c r="J426" s="2">
        <f t="shared" si="20"/>
        <v>0</v>
      </c>
    </row>
    <row r="427" spans="1:10" x14ac:dyDescent="0.25">
      <c r="A427" t="s">
        <v>701</v>
      </c>
      <c r="C427">
        <v>-432</v>
      </c>
      <c r="F427">
        <v>432</v>
      </c>
      <c r="G427" s="2">
        <f t="shared" si="18"/>
        <v>0</v>
      </c>
      <c r="I427" s="2">
        <f t="shared" si="19"/>
        <v>0</v>
      </c>
      <c r="J427" s="2">
        <f t="shared" si="20"/>
        <v>0</v>
      </c>
    </row>
    <row r="428" spans="1:10" x14ac:dyDescent="0.25">
      <c r="A428" t="s">
        <v>702</v>
      </c>
      <c r="C428">
        <v>-432</v>
      </c>
      <c r="F428">
        <v>432</v>
      </c>
      <c r="G428" s="2">
        <f t="shared" si="18"/>
        <v>0</v>
      </c>
      <c r="I428" s="2">
        <f t="shared" si="19"/>
        <v>0</v>
      </c>
      <c r="J428" s="2">
        <f t="shared" si="20"/>
        <v>0</v>
      </c>
    </row>
    <row r="429" spans="1:10" x14ac:dyDescent="0.25">
      <c r="A429" t="s">
        <v>703</v>
      </c>
      <c r="C429">
        <v>-99</v>
      </c>
      <c r="F429">
        <v>75</v>
      </c>
      <c r="G429" s="2">
        <f t="shared" si="18"/>
        <v>-24</v>
      </c>
      <c r="I429" s="2">
        <f t="shared" si="19"/>
        <v>0</v>
      </c>
      <c r="J429" s="2">
        <f t="shared" si="20"/>
        <v>-24</v>
      </c>
    </row>
    <row r="430" spans="1:10" x14ac:dyDescent="0.25">
      <c r="A430" t="s">
        <v>704</v>
      </c>
      <c r="F430">
        <v>450</v>
      </c>
      <c r="G430" s="2">
        <f t="shared" si="18"/>
        <v>450</v>
      </c>
      <c r="I430" s="2">
        <f t="shared" si="19"/>
        <v>0</v>
      </c>
      <c r="J430" s="2">
        <f t="shared" si="20"/>
        <v>0</v>
      </c>
    </row>
    <row r="431" spans="1:10" x14ac:dyDescent="0.25">
      <c r="A431" t="s">
        <v>705</v>
      </c>
      <c r="C431">
        <v>-315</v>
      </c>
      <c r="D431">
        <v>-35</v>
      </c>
      <c r="E431">
        <v>35</v>
      </c>
      <c r="F431">
        <v>315</v>
      </c>
      <c r="G431" s="2">
        <f t="shared" si="18"/>
        <v>0</v>
      </c>
      <c r="I431" s="2">
        <f t="shared" si="19"/>
        <v>0</v>
      </c>
      <c r="J431" s="2">
        <f t="shared" si="20"/>
        <v>0</v>
      </c>
    </row>
    <row r="432" spans="1:10" x14ac:dyDescent="0.25">
      <c r="A432" t="s">
        <v>706</v>
      </c>
      <c r="C432">
        <v>-432</v>
      </c>
      <c r="F432">
        <v>864</v>
      </c>
      <c r="G432" s="2">
        <f t="shared" si="18"/>
        <v>432</v>
      </c>
      <c r="I432" s="2">
        <f t="shared" si="19"/>
        <v>0</v>
      </c>
      <c r="J432" s="2">
        <f t="shared" si="20"/>
        <v>0</v>
      </c>
    </row>
    <row r="433" spans="1:10" x14ac:dyDescent="0.25">
      <c r="A433" t="s">
        <v>707</v>
      </c>
      <c r="F433">
        <v>432</v>
      </c>
      <c r="G433" s="2">
        <f t="shared" si="18"/>
        <v>432</v>
      </c>
      <c r="I433" s="2">
        <f t="shared" si="19"/>
        <v>0</v>
      </c>
      <c r="J433" s="2">
        <f t="shared" si="20"/>
        <v>0</v>
      </c>
    </row>
    <row r="434" spans="1:10" x14ac:dyDescent="0.25">
      <c r="A434" t="s">
        <v>708</v>
      </c>
      <c r="B434">
        <v>-0.05</v>
      </c>
      <c r="F434">
        <v>78.050000000000011</v>
      </c>
      <c r="G434" s="2">
        <f t="shared" si="18"/>
        <v>78.000000000000014</v>
      </c>
      <c r="I434" s="2">
        <f t="shared" si="19"/>
        <v>0</v>
      </c>
      <c r="J434" s="2">
        <f t="shared" si="20"/>
        <v>0</v>
      </c>
    </row>
    <row r="435" spans="1:10" x14ac:dyDescent="0.25">
      <c r="A435" t="s">
        <v>709</v>
      </c>
      <c r="C435">
        <v>-432</v>
      </c>
      <c r="F435">
        <v>432</v>
      </c>
      <c r="G435" s="2">
        <f t="shared" si="18"/>
        <v>0</v>
      </c>
      <c r="I435" s="2">
        <f t="shared" si="19"/>
        <v>0</v>
      </c>
      <c r="J435" s="2">
        <f t="shared" si="20"/>
        <v>0</v>
      </c>
    </row>
    <row r="436" spans="1:10" x14ac:dyDescent="0.25">
      <c r="A436" t="s">
        <v>710</v>
      </c>
      <c r="F436">
        <v>216</v>
      </c>
      <c r="G436" s="2">
        <f t="shared" si="18"/>
        <v>216</v>
      </c>
      <c r="I436" s="2">
        <f t="shared" si="19"/>
        <v>0</v>
      </c>
      <c r="J436" s="2">
        <f t="shared" si="20"/>
        <v>0</v>
      </c>
    </row>
    <row r="437" spans="1:10" x14ac:dyDescent="0.25">
      <c r="A437" t="s">
        <v>711</v>
      </c>
      <c r="F437">
        <v>432</v>
      </c>
      <c r="G437" s="2">
        <f t="shared" si="18"/>
        <v>432</v>
      </c>
      <c r="I437" s="2">
        <f t="shared" si="19"/>
        <v>0</v>
      </c>
      <c r="J437" s="2">
        <f t="shared" si="20"/>
        <v>0</v>
      </c>
    </row>
    <row r="438" spans="1:10" x14ac:dyDescent="0.25">
      <c r="A438" t="s">
        <v>712</v>
      </c>
      <c r="C438">
        <v>-258</v>
      </c>
      <c r="F438">
        <v>258</v>
      </c>
      <c r="G438" s="2">
        <f t="shared" si="18"/>
        <v>0</v>
      </c>
      <c r="I438" s="2">
        <f t="shared" si="19"/>
        <v>0</v>
      </c>
      <c r="J438" s="2">
        <f t="shared" si="20"/>
        <v>0</v>
      </c>
    </row>
    <row r="439" spans="1:10" x14ac:dyDescent="0.25">
      <c r="A439" t="s">
        <v>713</v>
      </c>
      <c r="C439">
        <v>0</v>
      </c>
      <c r="F439">
        <v>0</v>
      </c>
      <c r="G439" s="2">
        <f t="shared" si="18"/>
        <v>0</v>
      </c>
      <c r="I439" s="2">
        <f t="shared" si="19"/>
        <v>0</v>
      </c>
      <c r="J439" s="2">
        <f t="shared" si="20"/>
        <v>0</v>
      </c>
    </row>
    <row r="440" spans="1:10" x14ac:dyDescent="0.25">
      <c r="A440" t="s">
        <v>714</v>
      </c>
      <c r="C440">
        <v>-10.6</v>
      </c>
      <c r="F440">
        <v>10.6</v>
      </c>
      <c r="G440" s="2">
        <f t="shared" si="18"/>
        <v>0</v>
      </c>
      <c r="I440" s="2">
        <f t="shared" si="19"/>
        <v>0</v>
      </c>
      <c r="J440" s="2">
        <f t="shared" si="20"/>
        <v>0</v>
      </c>
    </row>
    <row r="441" spans="1:10" x14ac:dyDescent="0.25">
      <c r="A441" t="s">
        <v>715</v>
      </c>
      <c r="C441">
        <v>-58</v>
      </c>
      <c r="F441">
        <v>58</v>
      </c>
      <c r="G441" s="2">
        <f t="shared" si="18"/>
        <v>0</v>
      </c>
      <c r="I441" s="2">
        <f t="shared" si="19"/>
        <v>0</v>
      </c>
      <c r="J441" s="2">
        <f t="shared" si="20"/>
        <v>0</v>
      </c>
    </row>
    <row r="442" spans="1:10" x14ac:dyDescent="0.25">
      <c r="A442" t="s">
        <v>716</v>
      </c>
      <c r="F442">
        <v>290</v>
      </c>
      <c r="G442" s="2">
        <f t="shared" si="18"/>
        <v>290</v>
      </c>
      <c r="I442" s="2">
        <f t="shared" si="19"/>
        <v>0</v>
      </c>
      <c r="J442" s="2">
        <f t="shared" si="20"/>
        <v>0</v>
      </c>
    </row>
    <row r="443" spans="1:10" x14ac:dyDescent="0.25">
      <c r="A443" t="s">
        <v>717</v>
      </c>
      <c r="C443">
        <v>-432</v>
      </c>
      <c r="F443">
        <v>432</v>
      </c>
      <c r="G443" s="2">
        <f t="shared" si="18"/>
        <v>0</v>
      </c>
      <c r="I443" s="2">
        <f t="shared" si="19"/>
        <v>0</v>
      </c>
      <c r="J443" s="2">
        <f t="shared" si="20"/>
        <v>0</v>
      </c>
    </row>
    <row r="444" spans="1:10" x14ac:dyDescent="0.25">
      <c r="A444" t="s">
        <v>718</v>
      </c>
      <c r="C444">
        <v>-87</v>
      </c>
      <c r="F444">
        <v>87</v>
      </c>
      <c r="G444" s="2">
        <f t="shared" si="18"/>
        <v>0</v>
      </c>
      <c r="I444" s="2">
        <f t="shared" si="19"/>
        <v>0</v>
      </c>
      <c r="J444" s="2">
        <f t="shared" si="20"/>
        <v>0</v>
      </c>
    </row>
    <row r="445" spans="1:10" x14ac:dyDescent="0.25">
      <c r="A445" t="s">
        <v>719</v>
      </c>
      <c r="C445">
        <v>-328.6</v>
      </c>
      <c r="F445">
        <v>328.6</v>
      </c>
      <c r="G445" s="2">
        <f t="shared" si="18"/>
        <v>0</v>
      </c>
      <c r="I445" s="2">
        <f t="shared" si="19"/>
        <v>0</v>
      </c>
      <c r="J445" s="2">
        <f t="shared" si="20"/>
        <v>0</v>
      </c>
    </row>
    <row r="446" spans="1:10" x14ac:dyDescent="0.25">
      <c r="A446" t="s">
        <v>720</v>
      </c>
      <c r="C446">
        <v>-305</v>
      </c>
      <c r="F446">
        <v>320</v>
      </c>
      <c r="G446" s="2">
        <f t="shared" si="18"/>
        <v>15</v>
      </c>
      <c r="I446" s="2">
        <f t="shared" si="19"/>
        <v>0</v>
      </c>
      <c r="J446" s="2">
        <f t="shared" si="20"/>
        <v>0</v>
      </c>
    </row>
    <row r="447" spans="1:10" x14ac:dyDescent="0.25">
      <c r="A447" t="s">
        <v>721</v>
      </c>
      <c r="C447">
        <v>-318</v>
      </c>
      <c r="F447">
        <v>318</v>
      </c>
      <c r="G447" s="2">
        <f t="shared" si="18"/>
        <v>0</v>
      </c>
      <c r="I447" s="2">
        <f t="shared" si="19"/>
        <v>0</v>
      </c>
      <c r="J447" s="2">
        <f t="shared" si="20"/>
        <v>0</v>
      </c>
    </row>
    <row r="448" spans="1:10" x14ac:dyDescent="0.25">
      <c r="A448" t="s">
        <v>722</v>
      </c>
      <c r="C448">
        <v>-29</v>
      </c>
      <c r="F448">
        <v>432</v>
      </c>
      <c r="G448" s="2">
        <f t="shared" si="18"/>
        <v>403</v>
      </c>
      <c r="I448" s="2">
        <f t="shared" si="19"/>
        <v>0</v>
      </c>
      <c r="J448" s="2">
        <f t="shared" si="20"/>
        <v>0</v>
      </c>
    </row>
    <row r="449" spans="1:10" x14ac:dyDescent="0.25">
      <c r="A449" t="s">
        <v>723</v>
      </c>
      <c r="F449">
        <v>0.02</v>
      </c>
      <c r="G449" s="2">
        <f t="shared" si="18"/>
        <v>0.02</v>
      </c>
      <c r="I449" s="2">
        <f t="shared" si="19"/>
        <v>0</v>
      </c>
      <c r="J449" s="2">
        <f t="shared" si="20"/>
        <v>0</v>
      </c>
    </row>
    <row r="450" spans="1:10" x14ac:dyDescent="0.25">
      <c r="A450" t="s">
        <v>724</v>
      </c>
      <c r="F450">
        <v>432</v>
      </c>
      <c r="G450" s="2">
        <f t="shared" si="18"/>
        <v>432</v>
      </c>
      <c r="I450" s="2">
        <f t="shared" si="19"/>
        <v>0</v>
      </c>
      <c r="J450" s="2">
        <f t="shared" si="20"/>
        <v>0</v>
      </c>
    </row>
    <row r="451" spans="1:10" x14ac:dyDescent="0.25">
      <c r="A451" t="s">
        <v>725</v>
      </c>
      <c r="F451">
        <v>432</v>
      </c>
      <c r="G451" s="2">
        <f t="shared" si="18"/>
        <v>432</v>
      </c>
      <c r="I451" s="2">
        <f t="shared" si="19"/>
        <v>0</v>
      </c>
      <c r="J451" s="2">
        <f t="shared" si="20"/>
        <v>0</v>
      </c>
    </row>
    <row r="452" spans="1:10" x14ac:dyDescent="0.25">
      <c r="A452" t="s">
        <v>726</v>
      </c>
      <c r="F452">
        <v>300</v>
      </c>
      <c r="G452" s="2">
        <f t="shared" si="18"/>
        <v>300</v>
      </c>
      <c r="I452" s="2">
        <f t="shared" si="19"/>
        <v>0</v>
      </c>
      <c r="J452" s="2">
        <f t="shared" si="20"/>
        <v>0</v>
      </c>
    </row>
    <row r="453" spans="1:10" x14ac:dyDescent="0.25">
      <c r="A453" t="s">
        <v>727</v>
      </c>
      <c r="C453">
        <v>-432</v>
      </c>
      <c r="F453">
        <v>432</v>
      </c>
      <c r="G453" s="2">
        <f t="shared" si="18"/>
        <v>0</v>
      </c>
      <c r="I453" s="2">
        <f t="shared" si="19"/>
        <v>0</v>
      </c>
      <c r="J453" s="2">
        <f t="shared" si="20"/>
        <v>0</v>
      </c>
    </row>
    <row r="454" spans="1:10" x14ac:dyDescent="0.25">
      <c r="A454" t="s">
        <v>728</v>
      </c>
      <c r="C454">
        <v>-113.94</v>
      </c>
      <c r="F454">
        <v>113.94</v>
      </c>
      <c r="G454" s="2">
        <f t="shared" si="18"/>
        <v>0</v>
      </c>
      <c r="I454" s="2">
        <f t="shared" si="19"/>
        <v>0</v>
      </c>
      <c r="J454" s="2">
        <f t="shared" si="20"/>
        <v>0</v>
      </c>
    </row>
    <row r="455" spans="1:10" x14ac:dyDescent="0.25">
      <c r="A455" t="s">
        <v>729</v>
      </c>
      <c r="C455">
        <v>-432</v>
      </c>
      <c r="F455">
        <v>432</v>
      </c>
      <c r="G455" s="2">
        <f t="shared" si="18"/>
        <v>0</v>
      </c>
      <c r="I455" s="2">
        <f t="shared" si="19"/>
        <v>0</v>
      </c>
      <c r="J455" s="2">
        <f t="shared" si="20"/>
        <v>0</v>
      </c>
    </row>
    <row r="456" spans="1:10" x14ac:dyDescent="0.25">
      <c r="A456" t="s">
        <v>730</v>
      </c>
      <c r="C456">
        <v>-75</v>
      </c>
      <c r="F456">
        <v>290</v>
      </c>
      <c r="G456" s="2">
        <f t="shared" si="18"/>
        <v>215</v>
      </c>
      <c r="I456" s="2">
        <f t="shared" si="19"/>
        <v>0</v>
      </c>
      <c r="J456" s="2">
        <f t="shared" si="20"/>
        <v>0</v>
      </c>
    </row>
    <row r="457" spans="1:10" x14ac:dyDescent="0.25">
      <c r="A457" t="s">
        <v>731</v>
      </c>
      <c r="F457">
        <v>333</v>
      </c>
      <c r="G457" s="2">
        <f t="shared" si="18"/>
        <v>333</v>
      </c>
      <c r="I457" s="2">
        <f t="shared" si="19"/>
        <v>0</v>
      </c>
      <c r="J457" s="2">
        <f t="shared" si="20"/>
        <v>0</v>
      </c>
    </row>
    <row r="458" spans="1:10" x14ac:dyDescent="0.25">
      <c r="A458" t="s">
        <v>732</v>
      </c>
      <c r="C458">
        <v>-432</v>
      </c>
      <c r="F458">
        <v>432</v>
      </c>
      <c r="G458" s="2">
        <f t="shared" si="18"/>
        <v>0</v>
      </c>
      <c r="I458" s="2">
        <f t="shared" si="19"/>
        <v>0</v>
      </c>
      <c r="J458" s="2">
        <f t="shared" si="20"/>
        <v>0</v>
      </c>
    </row>
    <row r="459" spans="1:10" x14ac:dyDescent="0.25">
      <c r="A459" t="s">
        <v>733</v>
      </c>
      <c r="C459">
        <v>-432</v>
      </c>
      <c r="F459">
        <v>432</v>
      </c>
      <c r="G459" s="2">
        <f t="shared" si="18"/>
        <v>0</v>
      </c>
      <c r="I459" s="2">
        <f t="shared" si="19"/>
        <v>0</v>
      </c>
      <c r="J459" s="2">
        <f t="shared" si="20"/>
        <v>0</v>
      </c>
    </row>
    <row r="460" spans="1:10" x14ac:dyDescent="0.25">
      <c r="A460" t="s">
        <v>734</v>
      </c>
      <c r="C460">
        <v>-450</v>
      </c>
      <c r="F460">
        <v>450</v>
      </c>
      <c r="G460" s="2">
        <f t="shared" si="18"/>
        <v>0</v>
      </c>
      <c r="I460" s="2">
        <f t="shared" si="19"/>
        <v>0</v>
      </c>
      <c r="J460" s="2">
        <f t="shared" si="20"/>
        <v>0</v>
      </c>
    </row>
    <row r="461" spans="1:10" x14ac:dyDescent="0.25">
      <c r="A461" t="s">
        <v>735</v>
      </c>
      <c r="C461">
        <v>-87</v>
      </c>
      <c r="G461" s="2">
        <f t="shared" si="18"/>
        <v>-87</v>
      </c>
      <c r="I461" s="2">
        <f t="shared" si="19"/>
        <v>-87</v>
      </c>
      <c r="J461" s="2">
        <f t="shared" si="20"/>
        <v>-87</v>
      </c>
    </row>
    <row r="462" spans="1:10" x14ac:dyDescent="0.25">
      <c r="A462" t="s">
        <v>736</v>
      </c>
      <c r="C462">
        <v>-450</v>
      </c>
      <c r="F462">
        <v>450</v>
      </c>
      <c r="G462" s="2">
        <f t="shared" si="18"/>
        <v>0</v>
      </c>
      <c r="I462" s="2">
        <f t="shared" si="19"/>
        <v>0</v>
      </c>
      <c r="J462" s="2">
        <f t="shared" si="20"/>
        <v>0</v>
      </c>
    </row>
    <row r="463" spans="1:10" x14ac:dyDescent="0.25">
      <c r="A463" t="s">
        <v>737</v>
      </c>
      <c r="C463">
        <v>-300</v>
      </c>
      <c r="F463">
        <v>432</v>
      </c>
      <c r="G463" s="2">
        <f t="shared" si="18"/>
        <v>132</v>
      </c>
      <c r="I463" s="2">
        <f t="shared" si="19"/>
        <v>0</v>
      </c>
      <c r="J463" s="2">
        <f t="shared" si="20"/>
        <v>0</v>
      </c>
    </row>
    <row r="464" spans="1:10" x14ac:dyDescent="0.25">
      <c r="A464" t="s">
        <v>738</v>
      </c>
      <c r="C464">
        <v>-750</v>
      </c>
      <c r="F464">
        <v>1068</v>
      </c>
      <c r="G464" s="2">
        <f t="shared" si="18"/>
        <v>318</v>
      </c>
      <c r="I464" s="2">
        <f t="shared" si="19"/>
        <v>0</v>
      </c>
      <c r="J464" s="2">
        <f t="shared" si="20"/>
        <v>0</v>
      </c>
    </row>
    <row r="465" spans="1:10" x14ac:dyDescent="0.25">
      <c r="A465" t="s">
        <v>739</v>
      </c>
      <c r="B465">
        <v>-0.02</v>
      </c>
      <c r="F465">
        <v>0.02</v>
      </c>
      <c r="G465" s="2">
        <f t="shared" si="18"/>
        <v>0</v>
      </c>
      <c r="I465" s="2">
        <f t="shared" si="19"/>
        <v>0</v>
      </c>
      <c r="J465" s="2">
        <f t="shared" si="20"/>
        <v>0</v>
      </c>
    </row>
    <row r="466" spans="1:10" x14ac:dyDescent="0.25">
      <c r="A466" t="s">
        <v>740</v>
      </c>
      <c r="C466">
        <v>-450</v>
      </c>
      <c r="F466">
        <v>450</v>
      </c>
      <c r="G466" s="2">
        <f t="shared" si="18"/>
        <v>0</v>
      </c>
      <c r="I466" s="2">
        <f t="shared" si="19"/>
        <v>0</v>
      </c>
      <c r="J466" s="2">
        <f t="shared" si="20"/>
        <v>0</v>
      </c>
    </row>
    <row r="467" spans="1:10" x14ac:dyDescent="0.25">
      <c r="A467" t="s">
        <v>741</v>
      </c>
      <c r="C467">
        <v>-162.82</v>
      </c>
      <c r="F467">
        <v>171.1</v>
      </c>
      <c r="G467" s="2">
        <f t="shared" si="18"/>
        <v>8.2800000000000011</v>
      </c>
      <c r="I467" s="2">
        <f t="shared" si="19"/>
        <v>0</v>
      </c>
      <c r="J467" s="2">
        <f t="shared" si="20"/>
        <v>0</v>
      </c>
    </row>
    <row r="468" spans="1:10" x14ac:dyDescent="0.25">
      <c r="A468" t="s">
        <v>742</v>
      </c>
      <c r="C468">
        <v>-333.5</v>
      </c>
      <c r="F468">
        <v>333.5</v>
      </c>
      <c r="G468" s="2">
        <f t="shared" ref="G468:G497" si="21">SUM(B468:F468)</f>
        <v>0</v>
      </c>
      <c r="I468" s="2">
        <f t="shared" ref="I468:I497" si="22">IF(F468=0,C468+D468,0)</f>
        <v>0</v>
      </c>
      <c r="J468" s="2">
        <f t="shared" ref="J468:J497" si="23">IF(G468&lt;0,G468,0)</f>
        <v>0</v>
      </c>
    </row>
    <row r="469" spans="1:10" x14ac:dyDescent="0.25">
      <c r="A469" t="s">
        <v>743</v>
      </c>
      <c r="F469">
        <v>0</v>
      </c>
      <c r="G469" s="2">
        <f t="shared" si="21"/>
        <v>0</v>
      </c>
      <c r="I469" s="2">
        <f t="shared" si="22"/>
        <v>0</v>
      </c>
      <c r="J469" s="2">
        <f t="shared" si="23"/>
        <v>0</v>
      </c>
    </row>
    <row r="470" spans="1:10" x14ac:dyDescent="0.25">
      <c r="A470" t="s">
        <v>744</v>
      </c>
      <c r="C470">
        <v>-432</v>
      </c>
      <c r="E470">
        <v>131.76</v>
      </c>
      <c r="F470">
        <v>300.24</v>
      </c>
      <c r="G470" s="2">
        <f t="shared" si="21"/>
        <v>0</v>
      </c>
      <c r="I470" s="2">
        <f t="shared" si="22"/>
        <v>0</v>
      </c>
      <c r="J470" s="2">
        <f t="shared" si="23"/>
        <v>0</v>
      </c>
    </row>
    <row r="471" spans="1:10" x14ac:dyDescent="0.25">
      <c r="A471" t="s">
        <v>745</v>
      </c>
      <c r="C471">
        <v>-432</v>
      </c>
      <c r="F471">
        <v>432</v>
      </c>
      <c r="G471" s="2">
        <f t="shared" si="21"/>
        <v>0</v>
      </c>
      <c r="I471" s="2">
        <f t="shared" si="22"/>
        <v>0</v>
      </c>
      <c r="J471" s="2">
        <f t="shared" si="23"/>
        <v>0</v>
      </c>
    </row>
    <row r="472" spans="1:10" x14ac:dyDescent="0.25">
      <c r="A472" t="s">
        <v>746</v>
      </c>
      <c r="C472">
        <v>-450</v>
      </c>
      <c r="F472">
        <v>450</v>
      </c>
      <c r="G472" s="2">
        <f t="shared" si="21"/>
        <v>0</v>
      </c>
      <c r="I472" s="2">
        <f t="shared" si="22"/>
        <v>0</v>
      </c>
      <c r="J472" s="2">
        <f t="shared" si="23"/>
        <v>0</v>
      </c>
    </row>
    <row r="473" spans="1:10" x14ac:dyDescent="0.25">
      <c r="A473" t="s">
        <v>747</v>
      </c>
      <c r="F473">
        <v>58</v>
      </c>
      <c r="G473" s="2">
        <f t="shared" si="21"/>
        <v>58</v>
      </c>
      <c r="I473" s="2">
        <f t="shared" si="22"/>
        <v>0</v>
      </c>
      <c r="J473" s="2">
        <f t="shared" si="23"/>
        <v>0</v>
      </c>
    </row>
    <row r="474" spans="1:10" x14ac:dyDescent="0.25">
      <c r="A474" t="s">
        <v>748</v>
      </c>
      <c r="F474">
        <v>0</v>
      </c>
      <c r="G474" s="2">
        <f t="shared" si="21"/>
        <v>0</v>
      </c>
      <c r="I474" s="2">
        <f t="shared" si="22"/>
        <v>0</v>
      </c>
      <c r="J474" s="2">
        <f t="shared" si="23"/>
        <v>0</v>
      </c>
    </row>
    <row r="475" spans="1:10" x14ac:dyDescent="0.25">
      <c r="A475" t="s">
        <v>749</v>
      </c>
      <c r="B475">
        <v>-0.02</v>
      </c>
      <c r="F475">
        <v>216.02999999999997</v>
      </c>
      <c r="G475" s="2">
        <f t="shared" si="21"/>
        <v>216.00999999999996</v>
      </c>
      <c r="I475" s="2">
        <f t="shared" si="22"/>
        <v>0</v>
      </c>
      <c r="J475" s="2">
        <f t="shared" si="23"/>
        <v>0</v>
      </c>
    </row>
    <row r="476" spans="1:10" x14ac:dyDescent="0.25">
      <c r="A476" t="s">
        <v>750</v>
      </c>
      <c r="F476">
        <v>224</v>
      </c>
      <c r="G476" s="2">
        <f t="shared" si="21"/>
        <v>224</v>
      </c>
      <c r="I476" s="2">
        <f t="shared" si="22"/>
        <v>0</v>
      </c>
      <c r="J476" s="2">
        <f t="shared" si="23"/>
        <v>0</v>
      </c>
    </row>
    <row r="477" spans="1:10" x14ac:dyDescent="0.25">
      <c r="A477" t="s">
        <v>751</v>
      </c>
      <c r="F477">
        <v>464</v>
      </c>
      <c r="G477" s="2">
        <f t="shared" si="21"/>
        <v>464</v>
      </c>
      <c r="I477" s="2">
        <f t="shared" si="22"/>
        <v>0</v>
      </c>
      <c r="J477" s="2">
        <f t="shared" si="23"/>
        <v>0</v>
      </c>
    </row>
    <row r="478" spans="1:10" x14ac:dyDescent="0.25">
      <c r="A478" t="s">
        <v>752</v>
      </c>
      <c r="F478">
        <v>0</v>
      </c>
      <c r="G478" s="2">
        <f t="shared" si="21"/>
        <v>0</v>
      </c>
      <c r="I478" s="2">
        <f t="shared" si="22"/>
        <v>0</v>
      </c>
      <c r="J478" s="2">
        <f t="shared" si="23"/>
        <v>0</v>
      </c>
    </row>
    <row r="479" spans="1:10" x14ac:dyDescent="0.25">
      <c r="A479" t="s">
        <v>753</v>
      </c>
      <c r="F479">
        <v>364.5</v>
      </c>
      <c r="G479" s="2">
        <f t="shared" si="21"/>
        <v>364.5</v>
      </c>
      <c r="I479" s="2">
        <f t="shared" si="22"/>
        <v>0</v>
      </c>
      <c r="J479" s="2">
        <f t="shared" si="23"/>
        <v>0</v>
      </c>
    </row>
    <row r="480" spans="1:10" x14ac:dyDescent="0.25">
      <c r="A480" t="s">
        <v>754</v>
      </c>
      <c r="F480">
        <v>232</v>
      </c>
      <c r="G480" s="2">
        <f t="shared" si="21"/>
        <v>232</v>
      </c>
      <c r="I480" s="2">
        <f t="shared" si="22"/>
        <v>0</v>
      </c>
      <c r="J480" s="2">
        <f t="shared" si="23"/>
        <v>0</v>
      </c>
    </row>
    <row r="481" spans="1:10" x14ac:dyDescent="0.25">
      <c r="A481" t="s">
        <v>755</v>
      </c>
      <c r="C481">
        <v>-8.27</v>
      </c>
      <c r="F481">
        <v>8.27</v>
      </c>
      <c r="G481" s="2">
        <f t="shared" si="21"/>
        <v>0</v>
      </c>
      <c r="I481" s="2">
        <f t="shared" si="22"/>
        <v>0</v>
      </c>
      <c r="J481" s="2">
        <f t="shared" si="23"/>
        <v>0</v>
      </c>
    </row>
    <row r="482" spans="1:10" x14ac:dyDescent="0.25">
      <c r="A482" t="s">
        <v>756</v>
      </c>
      <c r="F482">
        <v>948</v>
      </c>
      <c r="G482" s="2">
        <f t="shared" si="21"/>
        <v>948</v>
      </c>
      <c r="I482" s="2">
        <f t="shared" si="22"/>
        <v>0</v>
      </c>
      <c r="J482" s="2">
        <f t="shared" si="23"/>
        <v>0</v>
      </c>
    </row>
    <row r="483" spans="1:10" x14ac:dyDescent="0.25">
      <c r="A483" t="s">
        <v>757</v>
      </c>
      <c r="C483">
        <v>-290</v>
      </c>
      <c r="F483">
        <v>290</v>
      </c>
      <c r="G483" s="2">
        <f t="shared" si="21"/>
        <v>0</v>
      </c>
      <c r="I483" s="2">
        <f t="shared" si="22"/>
        <v>0</v>
      </c>
      <c r="J483" s="2">
        <f t="shared" si="23"/>
        <v>0</v>
      </c>
    </row>
    <row r="484" spans="1:10" x14ac:dyDescent="0.25">
      <c r="A484" t="s">
        <v>758</v>
      </c>
      <c r="C484">
        <v>-85.37</v>
      </c>
      <c r="F484">
        <v>85.37</v>
      </c>
      <c r="G484" s="2">
        <f t="shared" si="21"/>
        <v>0</v>
      </c>
      <c r="I484" s="2">
        <f t="shared" si="22"/>
        <v>0</v>
      </c>
      <c r="J484" s="2">
        <f t="shared" si="23"/>
        <v>0</v>
      </c>
    </row>
    <row r="485" spans="1:10" x14ac:dyDescent="0.25">
      <c r="A485" t="s">
        <v>759</v>
      </c>
      <c r="F485">
        <v>432</v>
      </c>
      <c r="G485" s="2">
        <f t="shared" si="21"/>
        <v>432</v>
      </c>
      <c r="I485" s="2">
        <f t="shared" si="22"/>
        <v>0</v>
      </c>
      <c r="J485" s="2">
        <f t="shared" si="23"/>
        <v>0</v>
      </c>
    </row>
    <row r="486" spans="1:10" x14ac:dyDescent="0.25">
      <c r="A486" t="s">
        <v>760</v>
      </c>
      <c r="C486">
        <v>-432</v>
      </c>
      <c r="F486">
        <v>432</v>
      </c>
      <c r="G486" s="2">
        <f t="shared" si="21"/>
        <v>0</v>
      </c>
      <c r="I486" s="2">
        <f t="shared" si="22"/>
        <v>0</v>
      </c>
      <c r="J486" s="2">
        <f t="shared" si="23"/>
        <v>0</v>
      </c>
    </row>
    <row r="487" spans="1:10" x14ac:dyDescent="0.25">
      <c r="A487" t="s">
        <v>761</v>
      </c>
      <c r="C487">
        <v>-290</v>
      </c>
      <c r="F487">
        <v>432</v>
      </c>
      <c r="G487" s="2">
        <f t="shared" si="21"/>
        <v>142</v>
      </c>
      <c r="I487" s="2">
        <f t="shared" si="22"/>
        <v>0</v>
      </c>
      <c r="J487" s="2">
        <f t="shared" si="23"/>
        <v>0</v>
      </c>
    </row>
    <row r="488" spans="1:10" x14ac:dyDescent="0.25">
      <c r="A488" t="s">
        <v>762</v>
      </c>
      <c r="C488">
        <v>-43.5</v>
      </c>
      <c r="F488">
        <v>43.5</v>
      </c>
      <c r="G488" s="2">
        <f t="shared" si="21"/>
        <v>0</v>
      </c>
      <c r="I488" s="2">
        <f t="shared" si="22"/>
        <v>0</v>
      </c>
      <c r="J488" s="2">
        <f t="shared" si="23"/>
        <v>0</v>
      </c>
    </row>
    <row r="489" spans="1:10" x14ac:dyDescent="0.25">
      <c r="A489" t="s">
        <v>763</v>
      </c>
      <c r="C489">
        <v>-61.06</v>
      </c>
      <c r="F489">
        <v>61.06</v>
      </c>
      <c r="G489" s="2">
        <f t="shared" si="21"/>
        <v>0</v>
      </c>
      <c r="I489" s="2">
        <f t="shared" si="22"/>
        <v>0</v>
      </c>
      <c r="J489" s="2">
        <f t="shared" si="23"/>
        <v>0</v>
      </c>
    </row>
    <row r="490" spans="1:10" x14ac:dyDescent="0.25">
      <c r="A490" t="s">
        <v>764</v>
      </c>
      <c r="C490">
        <v>-432</v>
      </c>
      <c r="F490">
        <v>432</v>
      </c>
      <c r="G490" s="2">
        <f t="shared" si="21"/>
        <v>0</v>
      </c>
      <c r="I490" s="2">
        <f t="shared" si="22"/>
        <v>0</v>
      </c>
      <c r="J490" s="2">
        <f t="shared" si="23"/>
        <v>0</v>
      </c>
    </row>
    <row r="491" spans="1:10" x14ac:dyDescent="0.25">
      <c r="A491" t="s">
        <v>765</v>
      </c>
      <c r="C491">
        <v>-768</v>
      </c>
      <c r="F491">
        <v>1170</v>
      </c>
      <c r="G491" s="2">
        <f t="shared" si="21"/>
        <v>402</v>
      </c>
      <c r="I491" s="2">
        <f t="shared" si="22"/>
        <v>0</v>
      </c>
      <c r="J491" s="2">
        <f t="shared" si="23"/>
        <v>0</v>
      </c>
    </row>
    <row r="492" spans="1:10" x14ac:dyDescent="0.25">
      <c r="A492" t="s">
        <v>766</v>
      </c>
      <c r="C492">
        <v>-361</v>
      </c>
      <c r="F492">
        <v>361</v>
      </c>
      <c r="G492" s="2">
        <f t="shared" si="21"/>
        <v>0</v>
      </c>
      <c r="I492" s="2">
        <f t="shared" si="22"/>
        <v>0</v>
      </c>
      <c r="J492" s="2">
        <f t="shared" si="23"/>
        <v>0</v>
      </c>
    </row>
    <row r="493" spans="1:10" x14ac:dyDescent="0.25">
      <c r="A493" t="s">
        <v>767</v>
      </c>
      <c r="C493">
        <v>-507</v>
      </c>
      <c r="F493">
        <v>432</v>
      </c>
      <c r="G493" s="2">
        <f t="shared" si="21"/>
        <v>-75</v>
      </c>
      <c r="I493" s="2">
        <f t="shared" si="22"/>
        <v>0</v>
      </c>
      <c r="J493" s="2">
        <f t="shared" si="23"/>
        <v>-75</v>
      </c>
    </row>
    <row r="494" spans="1:10" x14ac:dyDescent="0.25">
      <c r="A494" t="s">
        <v>768</v>
      </c>
      <c r="C494">
        <v>-432</v>
      </c>
      <c r="F494">
        <v>648</v>
      </c>
      <c r="G494" s="2">
        <f t="shared" si="21"/>
        <v>216</v>
      </c>
      <c r="I494" s="2">
        <f t="shared" si="22"/>
        <v>0</v>
      </c>
      <c r="J494" s="2">
        <f t="shared" si="23"/>
        <v>0</v>
      </c>
    </row>
    <row r="495" spans="1:10" x14ac:dyDescent="0.25">
      <c r="A495" t="s">
        <v>769</v>
      </c>
      <c r="F495">
        <v>224</v>
      </c>
      <c r="G495" s="2">
        <f t="shared" si="21"/>
        <v>224</v>
      </c>
      <c r="I495" s="2">
        <f t="shared" si="22"/>
        <v>0</v>
      </c>
      <c r="J495" s="2">
        <f t="shared" si="23"/>
        <v>0</v>
      </c>
    </row>
    <row r="496" spans="1:10" x14ac:dyDescent="0.25">
      <c r="A496" t="s">
        <v>770</v>
      </c>
      <c r="F496">
        <v>234</v>
      </c>
      <c r="G496" s="2">
        <f t="shared" si="21"/>
        <v>234</v>
      </c>
      <c r="I496" s="2">
        <f t="shared" si="22"/>
        <v>0</v>
      </c>
      <c r="J496" s="2">
        <f t="shared" si="23"/>
        <v>0</v>
      </c>
    </row>
    <row r="497" spans="1:10" x14ac:dyDescent="0.25">
      <c r="A497" t="s">
        <v>771</v>
      </c>
      <c r="F497">
        <v>290</v>
      </c>
      <c r="G497" s="2">
        <f t="shared" si="21"/>
        <v>290</v>
      </c>
      <c r="I497" s="2">
        <f t="shared" si="22"/>
        <v>0</v>
      </c>
      <c r="J497" s="2">
        <f t="shared" si="23"/>
        <v>0</v>
      </c>
    </row>
    <row r="499" spans="1:10" ht="15.75" thickBot="1" x14ac:dyDescent="0.3">
      <c r="A499" t="s">
        <v>780</v>
      </c>
      <c r="B499" s="120">
        <f>SUM(B19:B498)</f>
        <v>-0.21999999999999997</v>
      </c>
      <c r="C499" s="120">
        <f t="shared" ref="C499:J499" si="24">SUM(C19:C498)</f>
        <v>-106417.40000000001</v>
      </c>
      <c r="D499" s="120">
        <f t="shared" si="24"/>
        <v>-35</v>
      </c>
      <c r="E499" s="120">
        <f t="shared" si="24"/>
        <v>423.26</v>
      </c>
      <c r="F499" s="120">
        <f t="shared" si="24"/>
        <v>159525.06</v>
      </c>
      <c r="G499" s="120">
        <f t="shared" si="24"/>
        <v>53495.699999999983</v>
      </c>
      <c r="I499" s="120">
        <f t="shared" si="24"/>
        <v>-848</v>
      </c>
      <c r="J499" s="120">
        <f t="shared" si="24"/>
        <v>-1525.97</v>
      </c>
    </row>
    <row r="500" spans="1:10" ht="15.75" thickTop="1" x14ac:dyDescent="0.25"/>
  </sheetData>
  <mergeCells count="4">
    <mergeCell ref="A1:M1"/>
    <mergeCell ref="A2:M2"/>
    <mergeCell ref="A3:M3"/>
    <mergeCell ref="A5:Q5"/>
  </mergeCell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8">
    <tabColor theme="9"/>
    <pageSetUpPr fitToPage="1"/>
  </sheetPr>
  <dimension ref="A1:L27"/>
  <sheetViews>
    <sheetView zoomScaleNormal="100" workbookViewId="0"/>
  </sheetViews>
  <sheetFormatPr defaultColWidth="9.140625" defaultRowHeight="15" x14ac:dyDescent="0.25"/>
  <cols>
    <col min="1" max="1" width="18.7109375" customWidth="1"/>
    <col min="2" max="2" width="21.85546875" bestFit="1" customWidth="1"/>
    <col min="3" max="3" width="23.7109375" bestFit="1" customWidth="1"/>
    <col min="4" max="5" width="18.7109375" customWidth="1"/>
    <col min="8" max="8" width="6.5703125" customWidth="1"/>
    <col min="9" max="10" width="21.85546875" bestFit="1" customWidth="1"/>
    <col min="11" max="12" width="9.5703125" style="2" bestFit="1" customWidth="1"/>
  </cols>
  <sheetData>
    <row r="1" spans="1:12" x14ac:dyDescent="0.25">
      <c r="B1" s="35"/>
      <c r="F1" s="64"/>
      <c r="G1" s="31"/>
    </row>
    <row r="2" spans="1:12" ht="15.75" thickBot="1" x14ac:dyDescent="0.3">
      <c r="B2" s="35"/>
      <c r="D2" s="44" t="s">
        <v>65</v>
      </c>
      <c r="E2" s="43" t="str">
        <f>'Reimbursement Rates &lt;-INPUT'!A2</f>
        <v>Biocorrect</v>
      </c>
      <c r="G2" s="31"/>
    </row>
    <row r="3" spans="1:12" x14ac:dyDescent="0.25">
      <c r="B3" s="35"/>
      <c r="E3" s="35"/>
      <c r="G3" s="31"/>
    </row>
    <row r="4" spans="1:12" ht="15.75" thickBot="1" x14ac:dyDescent="0.3">
      <c r="B4" s="35"/>
      <c r="D4" s="44" t="s">
        <v>66</v>
      </c>
      <c r="E4" s="45">
        <f>'Agile AR Aging &lt;-INPUT'!C20</f>
        <v>45199</v>
      </c>
    </row>
    <row r="5" spans="1:12" x14ac:dyDescent="0.25">
      <c r="B5" s="35"/>
    </row>
    <row r="6" spans="1:12" ht="15.75" thickBot="1" x14ac:dyDescent="0.3">
      <c r="B6" s="35"/>
      <c r="D6" s="44" t="s">
        <v>67</v>
      </c>
      <c r="E6" s="138" t="s">
        <v>1028</v>
      </c>
    </row>
    <row r="7" spans="1:12" ht="18" x14ac:dyDescent="0.25">
      <c r="A7" s="46" t="s">
        <v>68</v>
      </c>
      <c r="B7" s="35"/>
    </row>
    <row r="8" spans="1:12" ht="15.75" thickBot="1" x14ac:dyDescent="0.3">
      <c r="B8" s="35"/>
      <c r="D8" s="44" t="s">
        <v>69</v>
      </c>
      <c r="E8" s="140">
        <v>16392</v>
      </c>
    </row>
    <row r="9" spans="1:12" x14ac:dyDescent="0.25">
      <c r="B9" s="35"/>
      <c r="E9" t="s">
        <v>53</v>
      </c>
    </row>
    <row r="10" spans="1:12" x14ac:dyDescent="0.25">
      <c r="A10" s="48" t="s">
        <v>70</v>
      </c>
      <c r="B10" s="49" t="s">
        <v>72</v>
      </c>
      <c r="C10" s="49" t="s">
        <v>71</v>
      </c>
      <c r="D10" s="49" t="s">
        <v>73</v>
      </c>
      <c r="E10" s="49" t="s">
        <v>74</v>
      </c>
      <c r="F10" s="50"/>
    </row>
    <row r="11" spans="1:12" x14ac:dyDescent="0.25">
      <c r="A11" s="51"/>
      <c r="B11" s="53"/>
      <c r="C11" s="52"/>
      <c r="D11" s="54"/>
      <c r="E11" s="54"/>
    </row>
    <row r="12" spans="1:12" x14ac:dyDescent="0.25">
      <c r="A12" s="51">
        <f>E4</f>
        <v>45199</v>
      </c>
      <c r="B12" s="53" t="s">
        <v>75</v>
      </c>
      <c r="C12" s="52" t="s">
        <v>286</v>
      </c>
      <c r="D12" s="90">
        <f>-GETPIVOTDATA("ARBalance",'Credit Balance Detail'!$A$4)</f>
        <v>1454.8600000000001</v>
      </c>
      <c r="E12" s="90"/>
      <c r="I12" s="35" t="s">
        <v>1166</v>
      </c>
      <c r="J12" t="s">
        <v>286</v>
      </c>
      <c r="K12" s="146">
        <v>1454.86</v>
      </c>
      <c r="L12" s="146"/>
    </row>
    <row r="13" spans="1:12" x14ac:dyDescent="0.25">
      <c r="A13" s="51"/>
      <c r="B13" s="53" t="s">
        <v>242</v>
      </c>
      <c r="C13" s="52" t="s">
        <v>773</v>
      </c>
      <c r="D13" s="90"/>
      <c r="E13" s="90">
        <f>D12</f>
        <v>1454.8600000000001</v>
      </c>
      <c r="I13" s="35" t="s">
        <v>1166</v>
      </c>
      <c r="J13" t="s">
        <v>773</v>
      </c>
      <c r="K13" s="146"/>
      <c r="L13" s="146">
        <v>1454.86</v>
      </c>
    </row>
    <row r="14" spans="1:12" x14ac:dyDescent="0.25">
      <c r="A14" s="51"/>
      <c r="B14" s="53"/>
      <c r="C14" s="52"/>
      <c r="D14" s="90"/>
      <c r="E14" s="90"/>
    </row>
    <row r="15" spans="1:12" x14ac:dyDescent="0.25">
      <c r="A15" s="51"/>
      <c r="B15" s="53"/>
      <c r="C15" s="52"/>
      <c r="D15" s="90"/>
      <c r="E15" s="90"/>
    </row>
    <row r="16" spans="1:12" x14ac:dyDescent="0.25">
      <c r="A16" s="51"/>
      <c r="B16" s="53"/>
      <c r="C16" s="52"/>
      <c r="D16" s="54"/>
      <c r="E16" s="54"/>
    </row>
    <row r="17" spans="1:5" x14ac:dyDescent="0.25">
      <c r="A17" s="51"/>
      <c r="B17" s="53"/>
      <c r="C17" s="52"/>
      <c r="D17" s="54"/>
      <c r="E17" s="54"/>
    </row>
    <row r="18" spans="1:5" x14ac:dyDescent="0.25">
      <c r="A18" s="52"/>
      <c r="B18" s="53"/>
      <c r="C18" s="52"/>
      <c r="D18" s="54"/>
      <c r="E18" s="54"/>
    </row>
    <row r="19" spans="1:5" x14ac:dyDescent="0.25">
      <c r="B19" s="35"/>
      <c r="C19" s="57" t="s">
        <v>80</v>
      </c>
      <c r="D19" s="58">
        <f>SUM(D11:D18)</f>
        <v>1454.8600000000001</v>
      </c>
      <c r="E19" s="58">
        <f>SUM(E11:E18)</f>
        <v>1454.8600000000001</v>
      </c>
    </row>
    <row r="20" spans="1:5" x14ac:dyDescent="0.25">
      <c r="B20" s="35"/>
    </row>
    <row r="21" spans="1:5" x14ac:dyDescent="0.25">
      <c r="A21" s="44" t="s">
        <v>81</v>
      </c>
      <c r="B21" s="35"/>
    </row>
    <row r="22" spans="1:5" x14ac:dyDescent="0.25">
      <c r="B22" s="59"/>
      <c r="C22" s="15"/>
      <c r="D22" s="15"/>
    </row>
    <row r="23" spans="1:5" x14ac:dyDescent="0.25">
      <c r="B23" s="60"/>
      <c r="C23" s="61"/>
      <c r="D23" s="61"/>
    </row>
    <row r="24" spans="1:5" x14ac:dyDescent="0.25">
      <c r="B24" s="60"/>
      <c r="C24" s="61"/>
      <c r="D24" s="61"/>
    </row>
    <row r="25" spans="1:5" x14ac:dyDescent="0.25">
      <c r="B25" s="35"/>
    </row>
    <row r="26" spans="1:5" x14ac:dyDescent="0.25">
      <c r="A26" s="62" t="s">
        <v>82</v>
      </c>
      <c r="B26" s="63"/>
    </row>
    <row r="27" spans="1:5" x14ac:dyDescent="0.25">
      <c r="A27" s="65" t="s">
        <v>83</v>
      </c>
      <c r="B27" s="61"/>
    </row>
  </sheetData>
  <pageMargins left="0.7" right="0.7" top="0.75" bottom="0.75" header="0.3" footer="0.3"/>
  <pageSetup scale="47"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857CE-4534-46D8-8BD7-84F86DF339B6}">
  <sheetPr>
    <tabColor rgb="FFCC99FF"/>
  </sheetPr>
  <dimension ref="A4:K30"/>
  <sheetViews>
    <sheetView workbookViewId="0"/>
  </sheetViews>
  <sheetFormatPr defaultRowHeight="15" x14ac:dyDescent="0.25"/>
  <cols>
    <col min="1" max="1" width="28.28515625" bestFit="1" customWidth="1"/>
    <col min="2" max="2" width="17.7109375" style="2" bestFit="1" customWidth="1"/>
    <col min="3" max="4" width="9.140625" style="2" bestFit="1" customWidth="1"/>
    <col min="5" max="5" width="10.140625" style="2" bestFit="1" customWidth="1"/>
    <col min="6" max="8" width="11.140625" style="2" bestFit="1" customWidth="1"/>
    <col min="9" max="9" width="8.7109375" style="2" bestFit="1" customWidth="1"/>
    <col min="10" max="10" width="16.5703125" style="2" bestFit="1" customWidth="1"/>
    <col min="11" max="11" width="12.7109375" style="2" bestFit="1" customWidth="1"/>
    <col min="12" max="12" width="12.140625" bestFit="1" customWidth="1"/>
    <col min="13" max="13" width="11.28515625" bestFit="1" customWidth="1"/>
  </cols>
  <sheetData>
    <row r="4" spans="1:11" x14ac:dyDescent="0.25">
      <c r="A4" s="159" t="s">
        <v>1215</v>
      </c>
      <c r="B4" s="164" t="s">
        <v>1026</v>
      </c>
      <c r="C4" s="164"/>
    </row>
    <row r="5" spans="1:11" x14ac:dyDescent="0.25">
      <c r="B5" s="2" t="s">
        <v>99</v>
      </c>
      <c r="J5" s="2" t="s">
        <v>1030</v>
      </c>
      <c r="K5" s="2" t="s">
        <v>224</v>
      </c>
    </row>
    <row r="6" spans="1:11" x14ac:dyDescent="0.25">
      <c r="A6" s="159" t="s">
        <v>1027</v>
      </c>
      <c r="B6" s="2" t="s">
        <v>1197</v>
      </c>
      <c r="C6" s="2" t="s">
        <v>1191</v>
      </c>
      <c r="D6" s="2" t="s">
        <v>1186</v>
      </c>
      <c r="E6" s="2" t="s">
        <v>1207</v>
      </c>
      <c r="F6" s="2" t="s">
        <v>1205</v>
      </c>
      <c r="G6" s="2" t="s">
        <v>1206</v>
      </c>
      <c r="H6" s="2" t="s">
        <v>1204</v>
      </c>
      <c r="I6" s="2" t="s">
        <v>1200</v>
      </c>
    </row>
    <row r="7" spans="1:11" x14ac:dyDescent="0.25">
      <c r="A7" s="99" t="s">
        <v>1091</v>
      </c>
    </row>
    <row r="8" spans="1:11" x14ac:dyDescent="0.25">
      <c r="A8" s="88">
        <v>325681</v>
      </c>
      <c r="H8" s="2">
        <v>-28.44</v>
      </c>
      <c r="J8" s="2">
        <v>-28.44</v>
      </c>
      <c r="K8" s="2">
        <v>-28.44</v>
      </c>
    </row>
    <row r="9" spans="1:11" x14ac:dyDescent="0.25">
      <c r="A9" s="99" t="s">
        <v>1235</v>
      </c>
      <c r="H9" s="2">
        <v>-28.44</v>
      </c>
      <c r="J9" s="2">
        <v>-28.44</v>
      </c>
      <c r="K9" s="2">
        <v>-28.44</v>
      </c>
    </row>
    <row r="10" spans="1:11" x14ac:dyDescent="0.25">
      <c r="A10" s="99" t="s">
        <v>1092</v>
      </c>
    </row>
    <row r="11" spans="1:11" x14ac:dyDescent="0.25">
      <c r="A11" s="88">
        <v>310513</v>
      </c>
      <c r="E11" s="2">
        <v>-7.92</v>
      </c>
      <c r="J11" s="2">
        <v>-7.92</v>
      </c>
      <c r="K11" s="2">
        <v>-7.92</v>
      </c>
    </row>
    <row r="12" spans="1:11" x14ac:dyDescent="0.25">
      <c r="A12" s="99" t="s">
        <v>1262</v>
      </c>
      <c r="E12" s="2">
        <v>-7.92</v>
      </c>
      <c r="J12" s="2">
        <v>-7.92</v>
      </c>
      <c r="K12" s="2">
        <v>-7.92</v>
      </c>
    </row>
    <row r="13" spans="1:11" x14ac:dyDescent="0.25">
      <c r="A13" s="99" t="s">
        <v>1244</v>
      </c>
    </row>
    <row r="14" spans="1:11" x14ac:dyDescent="0.25">
      <c r="A14" s="88">
        <v>181538</v>
      </c>
      <c r="I14" s="2">
        <v>-35</v>
      </c>
      <c r="J14" s="2">
        <v>-35</v>
      </c>
      <c r="K14" s="2">
        <v>-35</v>
      </c>
    </row>
    <row r="15" spans="1:11" x14ac:dyDescent="0.25">
      <c r="A15" s="99" t="s">
        <v>1245</v>
      </c>
      <c r="I15" s="2">
        <v>-35</v>
      </c>
      <c r="J15" s="2">
        <v>-35</v>
      </c>
      <c r="K15" s="2">
        <v>-35</v>
      </c>
    </row>
    <row r="16" spans="1:11" x14ac:dyDescent="0.25">
      <c r="A16" s="99" t="s">
        <v>1031</v>
      </c>
    </row>
    <row r="17" spans="1:11" x14ac:dyDescent="0.25">
      <c r="A17" s="88">
        <v>130205</v>
      </c>
      <c r="I17" s="2">
        <v>-4</v>
      </c>
      <c r="J17" s="2">
        <v>-4</v>
      </c>
      <c r="K17" s="2">
        <v>-4</v>
      </c>
    </row>
    <row r="18" spans="1:11" x14ac:dyDescent="0.25">
      <c r="A18" s="88">
        <v>133659</v>
      </c>
      <c r="I18" s="2">
        <v>-244</v>
      </c>
      <c r="J18" s="2">
        <v>-244</v>
      </c>
      <c r="K18" s="2">
        <v>-244</v>
      </c>
    </row>
    <row r="19" spans="1:11" x14ac:dyDescent="0.25">
      <c r="A19" s="88">
        <v>154892</v>
      </c>
      <c r="I19" s="2">
        <v>-224</v>
      </c>
      <c r="J19" s="2">
        <v>-224</v>
      </c>
      <c r="K19" s="2">
        <v>-224</v>
      </c>
    </row>
    <row r="20" spans="1:11" x14ac:dyDescent="0.25">
      <c r="A20" s="88">
        <v>245076</v>
      </c>
      <c r="I20" s="2">
        <v>-219</v>
      </c>
      <c r="J20" s="2">
        <v>-219</v>
      </c>
      <c r="K20" s="2">
        <v>-219</v>
      </c>
    </row>
    <row r="21" spans="1:11" x14ac:dyDescent="0.25">
      <c r="A21" s="88">
        <v>282257</v>
      </c>
      <c r="H21" s="2">
        <v>-135</v>
      </c>
      <c r="J21" s="2">
        <v>-135</v>
      </c>
      <c r="K21" s="2">
        <v>-135</v>
      </c>
    </row>
    <row r="22" spans="1:11" x14ac:dyDescent="0.25">
      <c r="A22" s="88">
        <v>420665</v>
      </c>
      <c r="I22" s="2">
        <v>-0.5</v>
      </c>
      <c r="J22" s="2">
        <v>-0.5</v>
      </c>
      <c r="K22" s="2">
        <v>-0.5</v>
      </c>
    </row>
    <row r="23" spans="1:11" x14ac:dyDescent="0.25">
      <c r="A23" s="88">
        <v>432044</v>
      </c>
      <c r="H23" s="2">
        <v>-145</v>
      </c>
      <c r="J23" s="2">
        <v>-145</v>
      </c>
      <c r="K23" s="2">
        <v>-145</v>
      </c>
    </row>
    <row r="24" spans="1:11" x14ac:dyDescent="0.25">
      <c r="A24" s="88">
        <v>567032</v>
      </c>
      <c r="H24" s="2">
        <v>-135</v>
      </c>
      <c r="J24" s="2">
        <v>-135</v>
      </c>
      <c r="K24" s="2">
        <v>-135</v>
      </c>
    </row>
    <row r="25" spans="1:11" x14ac:dyDescent="0.25">
      <c r="A25" s="88">
        <v>568529</v>
      </c>
      <c r="H25" s="2">
        <v>-135</v>
      </c>
      <c r="J25" s="2">
        <v>-135</v>
      </c>
      <c r="K25" s="2">
        <v>-135</v>
      </c>
    </row>
    <row r="26" spans="1:11" x14ac:dyDescent="0.25">
      <c r="A26" s="99" t="s">
        <v>1216</v>
      </c>
      <c r="H26" s="2">
        <v>-550</v>
      </c>
      <c r="I26" s="2">
        <v>-691.5</v>
      </c>
      <c r="J26" s="2">
        <v>-1241.5</v>
      </c>
      <c r="K26" s="2">
        <v>-1241.5</v>
      </c>
    </row>
    <row r="27" spans="1:11" x14ac:dyDescent="0.25">
      <c r="A27" s="99" t="s">
        <v>1089</v>
      </c>
    </row>
    <row r="28" spans="1:11" x14ac:dyDescent="0.25">
      <c r="A28" s="88">
        <v>554815</v>
      </c>
      <c r="H28" s="2">
        <v>-142</v>
      </c>
      <c r="J28" s="2">
        <v>-142</v>
      </c>
      <c r="K28" s="2">
        <v>-142</v>
      </c>
    </row>
    <row r="29" spans="1:11" x14ac:dyDescent="0.25">
      <c r="A29" s="99" t="s">
        <v>1251</v>
      </c>
      <c r="H29" s="2">
        <v>-142</v>
      </c>
      <c r="J29" s="2">
        <v>-142</v>
      </c>
      <c r="K29" s="2">
        <v>-142</v>
      </c>
    </row>
    <row r="30" spans="1:11" x14ac:dyDescent="0.25">
      <c r="A30" s="99" t="s">
        <v>224</v>
      </c>
      <c r="E30" s="2">
        <v>-7.92</v>
      </c>
      <c r="H30" s="2">
        <v>-720.44</v>
      </c>
      <c r="I30" s="2">
        <v>-726.5</v>
      </c>
      <c r="J30" s="2">
        <v>-1454.8600000000001</v>
      </c>
      <c r="K30" s="2">
        <v>-1454.8600000000001</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CDCD72-6A8D-44D5-8358-367B48B305D6}">
  <sheetPr codeName="Sheet61"/>
  <dimension ref="A1:BD1173"/>
  <sheetViews>
    <sheetView workbookViewId="0"/>
  </sheetViews>
  <sheetFormatPr defaultRowHeight="15" x14ac:dyDescent="0.25"/>
  <cols>
    <col min="1" max="1" width="10" customWidth="1"/>
    <col min="2" max="2" width="12" customWidth="1"/>
    <col min="3" max="3" width="13.28515625" customWidth="1"/>
    <col min="4" max="4" width="11.5703125" customWidth="1"/>
    <col min="5" max="5" width="14.85546875" bestFit="1" customWidth="1"/>
    <col min="6" max="6" width="9.140625" customWidth="1"/>
    <col min="7" max="7" width="17" bestFit="1" customWidth="1"/>
    <col min="8" max="8" width="15" bestFit="1" customWidth="1"/>
    <col min="9" max="9" width="16.28515625" bestFit="1" customWidth="1"/>
    <col min="10" max="10" width="15.140625" customWidth="1"/>
    <col min="11" max="11" width="26.28515625" bestFit="1" customWidth="1"/>
    <col min="12" max="12" width="27.42578125" bestFit="1" customWidth="1"/>
    <col min="13" max="13" width="26.42578125" bestFit="1" customWidth="1"/>
    <col min="14" max="14" width="21.28515625" bestFit="1" customWidth="1"/>
    <col min="15" max="15" width="23.85546875" bestFit="1" customWidth="1"/>
    <col min="16" max="16" width="20.85546875" customWidth="1"/>
    <col min="17" max="17" width="18.28515625" bestFit="1" customWidth="1"/>
    <col min="18" max="18" width="18" bestFit="1" customWidth="1"/>
    <col min="19" max="19" width="17.7109375" bestFit="1" customWidth="1"/>
    <col min="20" max="20" width="22.28515625" bestFit="1" customWidth="1"/>
    <col min="21" max="21" width="26.7109375" bestFit="1" customWidth="1"/>
    <col min="22" max="22" width="22.28515625" bestFit="1" customWidth="1"/>
    <col min="23" max="24" width="29.28515625" bestFit="1" customWidth="1"/>
    <col min="25" max="25" width="27" bestFit="1" customWidth="1"/>
    <col min="26" max="26" width="24.7109375" customWidth="1"/>
    <col min="27" max="27" width="16.140625" customWidth="1"/>
    <col min="28" max="28" width="10.5703125" bestFit="1" customWidth="1"/>
    <col min="29" max="29" width="16.85546875" customWidth="1"/>
    <col min="30" max="30" width="17.85546875" customWidth="1"/>
    <col min="31" max="31" width="32" bestFit="1" customWidth="1"/>
    <col min="32" max="32" width="18.42578125" customWidth="1"/>
    <col min="33" max="33" width="19.7109375" bestFit="1" customWidth="1"/>
    <col min="34" max="34" width="23.140625" customWidth="1"/>
    <col min="35" max="35" width="16.85546875" customWidth="1"/>
    <col min="36" max="36" width="17" customWidth="1"/>
    <col min="37" max="37" width="25.140625" bestFit="1" customWidth="1"/>
    <col min="38" max="38" width="18.42578125" customWidth="1"/>
    <col min="39" max="39" width="17.7109375" customWidth="1"/>
    <col min="40" max="40" width="17.140625" bestFit="1" customWidth="1"/>
    <col min="41" max="41" width="16.28515625" bestFit="1" customWidth="1"/>
    <col min="42" max="50" width="11.140625" customWidth="1"/>
    <col min="51" max="56" width="12.140625" customWidth="1"/>
  </cols>
  <sheetData>
    <row r="1" spans="1:56" x14ac:dyDescent="0.25">
      <c r="A1" t="s">
        <v>1113</v>
      </c>
      <c r="B1" t="s">
        <v>1114</v>
      </c>
      <c r="C1" t="s">
        <v>1115</v>
      </c>
      <c r="D1" t="s">
        <v>65</v>
      </c>
      <c r="E1" t="s">
        <v>1116</v>
      </c>
      <c r="F1" t="s">
        <v>1117</v>
      </c>
      <c r="G1" t="s">
        <v>1118</v>
      </c>
      <c r="H1" t="s">
        <v>1119</v>
      </c>
      <c r="I1" t="s">
        <v>1120</v>
      </c>
      <c r="J1" t="s">
        <v>1121</v>
      </c>
      <c r="K1" t="s">
        <v>1122</v>
      </c>
      <c r="L1" t="s">
        <v>1123</v>
      </c>
      <c r="M1" t="s">
        <v>1124</v>
      </c>
      <c r="N1" t="s">
        <v>1125</v>
      </c>
      <c r="O1" t="s">
        <v>1126</v>
      </c>
      <c r="P1" t="s">
        <v>1044</v>
      </c>
      <c r="Q1" t="s">
        <v>1045</v>
      </c>
      <c r="R1" t="s">
        <v>1127</v>
      </c>
      <c r="S1" t="s">
        <v>1128</v>
      </c>
      <c r="T1" t="s">
        <v>1129</v>
      </c>
      <c r="U1" t="s">
        <v>1130</v>
      </c>
      <c r="V1" t="s">
        <v>1131</v>
      </c>
      <c r="W1" t="s">
        <v>1132</v>
      </c>
      <c r="X1" t="s">
        <v>1133</v>
      </c>
      <c r="Y1" t="s">
        <v>1134</v>
      </c>
      <c r="Z1" t="s">
        <v>1135</v>
      </c>
      <c r="AA1" t="s">
        <v>1136</v>
      </c>
      <c r="AB1" t="s">
        <v>1137</v>
      </c>
      <c r="AC1" t="s">
        <v>1138</v>
      </c>
      <c r="AD1" t="s">
        <v>1139</v>
      </c>
      <c r="AE1" t="s">
        <v>1140</v>
      </c>
      <c r="AF1" t="s">
        <v>1141</v>
      </c>
      <c r="AG1" t="s">
        <v>1142</v>
      </c>
      <c r="AH1" t="s">
        <v>1143</v>
      </c>
      <c r="AI1" t="s">
        <v>1144</v>
      </c>
      <c r="AJ1" t="s">
        <v>1145</v>
      </c>
      <c r="AK1" t="s">
        <v>1146</v>
      </c>
      <c r="AL1" t="s">
        <v>1147</v>
      </c>
      <c r="AM1" t="s">
        <v>1148</v>
      </c>
      <c r="AN1" t="s">
        <v>1149</v>
      </c>
      <c r="AO1" t="s">
        <v>1150</v>
      </c>
      <c r="AP1" t="s">
        <v>1161</v>
      </c>
    </row>
    <row r="2" spans="1:56" x14ac:dyDescent="0.25">
      <c r="A2">
        <v>2023</v>
      </c>
      <c r="B2">
        <v>9</v>
      </c>
      <c r="C2">
        <v>17</v>
      </c>
      <c r="D2" t="s">
        <v>1088</v>
      </c>
      <c r="E2" t="s">
        <v>282</v>
      </c>
      <c r="F2">
        <v>554406</v>
      </c>
      <c r="H2" t="s">
        <v>282</v>
      </c>
      <c r="I2">
        <v>1252678</v>
      </c>
      <c r="M2">
        <v>1304</v>
      </c>
      <c r="O2" s="157"/>
      <c r="P2">
        <v>300</v>
      </c>
      <c r="Q2">
        <v>1</v>
      </c>
      <c r="R2">
        <v>300</v>
      </c>
      <c r="S2" s="157">
        <v>45190</v>
      </c>
      <c r="U2" t="s">
        <v>222</v>
      </c>
      <c r="V2" t="s">
        <v>102</v>
      </c>
      <c r="AC2" s="157"/>
      <c r="AF2" s="157"/>
      <c r="AI2">
        <v>62</v>
      </c>
      <c r="AL2" t="s">
        <v>1159</v>
      </c>
      <c r="AM2" t="s">
        <v>282</v>
      </c>
      <c r="AN2" s="157">
        <v>45170</v>
      </c>
      <c r="AO2" s="157">
        <v>45199</v>
      </c>
      <c r="AP2" t="s">
        <v>1101</v>
      </c>
      <c r="BD2" s="157"/>
    </row>
    <row r="3" spans="1:56" x14ac:dyDescent="0.25">
      <c r="A3">
        <v>2023</v>
      </c>
      <c r="B3">
        <v>9</v>
      </c>
      <c r="C3">
        <v>17</v>
      </c>
      <c r="D3" t="s">
        <v>1088</v>
      </c>
      <c r="E3" t="s">
        <v>282</v>
      </c>
      <c r="F3">
        <v>342991</v>
      </c>
      <c r="G3">
        <v>10108289</v>
      </c>
      <c r="H3" t="s">
        <v>282</v>
      </c>
      <c r="J3">
        <v>53421626</v>
      </c>
      <c r="K3">
        <v>1101</v>
      </c>
      <c r="L3">
        <v>1702</v>
      </c>
      <c r="M3">
        <v>1301</v>
      </c>
      <c r="N3">
        <v>52306580</v>
      </c>
      <c r="O3">
        <v>45135.491040590277</v>
      </c>
      <c r="P3">
        <v>104.93</v>
      </c>
      <c r="Q3">
        <v>1</v>
      </c>
      <c r="R3">
        <v>104.93</v>
      </c>
      <c r="S3">
        <v>45170.416419675923</v>
      </c>
      <c r="T3">
        <v>5502</v>
      </c>
      <c r="U3" t="s">
        <v>1217</v>
      </c>
      <c r="V3" t="s">
        <v>1155</v>
      </c>
      <c r="W3" t="s">
        <v>1090</v>
      </c>
      <c r="X3" t="s">
        <v>1090</v>
      </c>
      <c r="AD3">
        <v>823485</v>
      </c>
      <c r="AE3" t="s">
        <v>1273</v>
      </c>
      <c r="AF3">
        <v>45170.416419293979</v>
      </c>
      <c r="AI3">
        <v>62</v>
      </c>
      <c r="AJ3">
        <v>62</v>
      </c>
      <c r="AN3">
        <v>45170</v>
      </c>
      <c r="AO3">
        <v>45199</v>
      </c>
      <c r="AP3" t="s">
        <v>1101</v>
      </c>
    </row>
    <row r="4" spans="1:56" x14ac:dyDescent="0.25">
      <c r="A4">
        <v>2023</v>
      </c>
      <c r="B4">
        <v>9</v>
      </c>
      <c r="C4">
        <v>17</v>
      </c>
      <c r="D4" t="s">
        <v>1088</v>
      </c>
      <c r="E4" t="s">
        <v>282</v>
      </c>
      <c r="F4">
        <v>342991</v>
      </c>
      <c r="G4">
        <v>10108289</v>
      </c>
      <c r="H4" t="s">
        <v>282</v>
      </c>
      <c r="J4">
        <v>53421627</v>
      </c>
      <c r="K4">
        <v>1103</v>
      </c>
      <c r="L4">
        <v>1702</v>
      </c>
      <c r="M4">
        <v>1301</v>
      </c>
      <c r="N4">
        <v>52306580</v>
      </c>
      <c r="O4">
        <v>45135.491040590277</v>
      </c>
      <c r="P4">
        <v>111.07</v>
      </c>
      <c r="Q4">
        <v>1</v>
      </c>
      <c r="R4">
        <v>111.07</v>
      </c>
      <c r="S4">
        <v>45170.416419675923</v>
      </c>
      <c r="T4">
        <v>5503</v>
      </c>
      <c r="U4" t="s">
        <v>1218</v>
      </c>
      <c r="V4" t="s">
        <v>1157</v>
      </c>
      <c r="W4" t="s">
        <v>1090</v>
      </c>
      <c r="X4" t="s">
        <v>1090</v>
      </c>
      <c r="AD4">
        <v>823485</v>
      </c>
      <c r="AE4" t="s">
        <v>1273</v>
      </c>
      <c r="AF4">
        <v>45170.416419293979</v>
      </c>
      <c r="AI4">
        <v>62</v>
      </c>
      <c r="AJ4">
        <v>62</v>
      </c>
      <c r="AK4" t="s">
        <v>1219</v>
      </c>
      <c r="AN4">
        <v>45170</v>
      </c>
      <c r="AO4">
        <v>45199</v>
      </c>
      <c r="AP4" t="s">
        <v>1101</v>
      </c>
    </row>
    <row r="5" spans="1:56" x14ac:dyDescent="0.25">
      <c r="A5">
        <v>2023</v>
      </c>
      <c r="B5">
        <v>9</v>
      </c>
      <c r="C5">
        <v>17</v>
      </c>
      <c r="D5" t="s">
        <v>1088</v>
      </c>
      <c r="E5" t="s">
        <v>282</v>
      </c>
      <c r="F5">
        <v>342991</v>
      </c>
      <c r="G5">
        <v>10108289</v>
      </c>
      <c r="H5" t="s">
        <v>282</v>
      </c>
      <c r="J5">
        <v>53421628</v>
      </c>
      <c r="K5">
        <v>1101</v>
      </c>
      <c r="L5">
        <v>1702</v>
      </c>
      <c r="M5">
        <v>1301</v>
      </c>
      <c r="N5">
        <v>52306581</v>
      </c>
      <c r="O5">
        <v>45135.491128622685</v>
      </c>
      <c r="P5">
        <v>104.93</v>
      </c>
      <c r="Q5">
        <v>1</v>
      </c>
      <c r="R5">
        <v>104.93</v>
      </c>
      <c r="S5">
        <v>45170.416419675923</v>
      </c>
      <c r="T5">
        <v>5502</v>
      </c>
      <c r="U5" t="s">
        <v>1217</v>
      </c>
      <c r="V5" t="s">
        <v>1155</v>
      </c>
      <c r="W5" t="s">
        <v>1090</v>
      </c>
      <c r="X5" t="s">
        <v>1090</v>
      </c>
      <c r="AD5">
        <v>823485</v>
      </c>
      <c r="AE5" t="s">
        <v>1273</v>
      </c>
      <c r="AF5">
        <v>45170.416419293979</v>
      </c>
      <c r="AI5">
        <v>62</v>
      </c>
      <c r="AJ5">
        <v>62</v>
      </c>
      <c r="AN5">
        <v>45170</v>
      </c>
      <c r="AO5">
        <v>45199</v>
      </c>
      <c r="AP5" t="s">
        <v>1101</v>
      </c>
    </row>
    <row r="6" spans="1:56" x14ac:dyDescent="0.25">
      <c r="A6">
        <v>2023</v>
      </c>
      <c r="B6">
        <v>9</v>
      </c>
      <c r="C6">
        <v>17</v>
      </c>
      <c r="D6" t="s">
        <v>1088</v>
      </c>
      <c r="E6" t="s">
        <v>282</v>
      </c>
      <c r="F6">
        <v>342991</v>
      </c>
      <c r="G6">
        <v>10108289</v>
      </c>
      <c r="H6" t="s">
        <v>282</v>
      </c>
      <c r="J6">
        <v>53421629</v>
      </c>
      <c r="K6">
        <v>1103</v>
      </c>
      <c r="L6">
        <v>1702</v>
      </c>
      <c r="M6">
        <v>1301</v>
      </c>
      <c r="N6">
        <v>52306581</v>
      </c>
      <c r="O6">
        <v>45135.491128622685</v>
      </c>
      <c r="P6">
        <v>111.07</v>
      </c>
      <c r="Q6">
        <v>1</v>
      </c>
      <c r="R6">
        <v>111.07</v>
      </c>
      <c r="S6">
        <v>45170.416419675923</v>
      </c>
      <c r="T6">
        <v>5503</v>
      </c>
      <c r="U6" t="s">
        <v>1218</v>
      </c>
      <c r="V6" t="s">
        <v>1157</v>
      </c>
      <c r="W6" t="s">
        <v>1090</v>
      </c>
      <c r="X6" t="s">
        <v>1090</v>
      </c>
      <c r="AD6">
        <v>823485</v>
      </c>
      <c r="AE6" t="s">
        <v>1273</v>
      </c>
      <c r="AF6">
        <v>45170.416419293979</v>
      </c>
      <c r="AI6">
        <v>62</v>
      </c>
      <c r="AJ6">
        <v>62</v>
      </c>
      <c r="AK6" t="s">
        <v>1219</v>
      </c>
      <c r="AN6">
        <v>45170</v>
      </c>
      <c r="AO6">
        <v>45199</v>
      </c>
      <c r="AP6" t="s">
        <v>1101</v>
      </c>
    </row>
    <row r="7" spans="1:56" x14ac:dyDescent="0.25">
      <c r="A7">
        <v>2023</v>
      </c>
      <c r="B7">
        <v>9</v>
      </c>
      <c r="C7">
        <v>17</v>
      </c>
      <c r="D7" t="s">
        <v>1088</v>
      </c>
      <c r="E7" t="s">
        <v>282</v>
      </c>
      <c r="F7">
        <v>605813</v>
      </c>
      <c r="H7" t="s">
        <v>282</v>
      </c>
      <c r="I7">
        <v>1244149</v>
      </c>
      <c r="M7">
        <v>1304</v>
      </c>
      <c r="P7">
        <v>50</v>
      </c>
      <c r="Q7">
        <v>1</v>
      </c>
      <c r="R7">
        <v>50</v>
      </c>
      <c r="S7">
        <v>45180</v>
      </c>
      <c r="U7" t="s">
        <v>222</v>
      </c>
      <c r="V7" t="s">
        <v>102</v>
      </c>
      <c r="W7" t="s">
        <v>1091</v>
      </c>
      <c r="AI7">
        <v>62</v>
      </c>
      <c r="AL7" t="s">
        <v>1159</v>
      </c>
      <c r="AM7" t="s">
        <v>282</v>
      </c>
      <c r="AN7">
        <v>45170</v>
      </c>
      <c r="AO7">
        <v>45199</v>
      </c>
      <c r="AP7" t="s">
        <v>1101</v>
      </c>
    </row>
    <row r="8" spans="1:56" x14ac:dyDescent="0.25">
      <c r="A8">
        <v>2023</v>
      </c>
      <c r="B8">
        <v>9</v>
      </c>
      <c r="C8">
        <v>17</v>
      </c>
      <c r="D8" t="s">
        <v>1088</v>
      </c>
      <c r="E8" t="s">
        <v>282</v>
      </c>
      <c r="F8">
        <v>605813</v>
      </c>
      <c r="H8" t="s">
        <v>282</v>
      </c>
      <c r="I8">
        <v>1253192</v>
      </c>
      <c r="M8">
        <v>1304</v>
      </c>
      <c r="P8">
        <v>50</v>
      </c>
      <c r="Q8">
        <v>1</v>
      </c>
      <c r="R8">
        <v>50</v>
      </c>
      <c r="S8">
        <v>45191</v>
      </c>
      <c r="U8" t="s">
        <v>222</v>
      </c>
      <c r="V8" t="s">
        <v>102</v>
      </c>
      <c r="W8" t="s">
        <v>1091</v>
      </c>
      <c r="AI8">
        <v>62</v>
      </c>
      <c r="AL8" t="s">
        <v>1159</v>
      </c>
      <c r="AM8" t="s">
        <v>282</v>
      </c>
      <c r="AN8">
        <v>45170</v>
      </c>
      <c r="AO8">
        <v>45199</v>
      </c>
      <c r="AP8" t="s">
        <v>1101</v>
      </c>
    </row>
    <row r="9" spans="1:56" x14ac:dyDescent="0.25">
      <c r="A9">
        <v>2023</v>
      </c>
      <c r="B9">
        <v>9</v>
      </c>
      <c r="C9">
        <v>17</v>
      </c>
      <c r="D9" t="s">
        <v>1088</v>
      </c>
      <c r="E9" t="s">
        <v>282</v>
      </c>
      <c r="F9">
        <v>620528</v>
      </c>
      <c r="H9" t="s">
        <v>282</v>
      </c>
      <c r="I9">
        <v>1255763</v>
      </c>
      <c r="M9">
        <v>1304</v>
      </c>
      <c r="P9">
        <v>225</v>
      </c>
      <c r="Q9">
        <v>1</v>
      </c>
      <c r="R9">
        <v>225</v>
      </c>
      <c r="S9">
        <v>45195</v>
      </c>
      <c r="U9" t="s">
        <v>222</v>
      </c>
      <c r="V9" t="s">
        <v>102</v>
      </c>
      <c r="AI9">
        <v>62</v>
      </c>
      <c r="AL9" t="s">
        <v>1159</v>
      </c>
      <c r="AM9" t="s">
        <v>282</v>
      </c>
      <c r="AN9">
        <v>45170</v>
      </c>
      <c r="AO9">
        <v>45199</v>
      </c>
      <c r="AP9" t="s">
        <v>1101</v>
      </c>
    </row>
    <row r="10" spans="1:56" x14ac:dyDescent="0.25">
      <c r="A10">
        <v>2023</v>
      </c>
      <c r="B10">
        <v>9</v>
      </c>
      <c r="C10">
        <v>17</v>
      </c>
      <c r="D10" t="s">
        <v>1088</v>
      </c>
      <c r="E10" t="s">
        <v>282</v>
      </c>
      <c r="F10">
        <v>620528</v>
      </c>
      <c r="H10" t="s">
        <v>282</v>
      </c>
      <c r="I10">
        <v>1244857</v>
      </c>
      <c r="M10">
        <v>1304</v>
      </c>
      <c r="P10">
        <v>225</v>
      </c>
      <c r="Q10">
        <v>1</v>
      </c>
      <c r="R10">
        <v>225</v>
      </c>
      <c r="S10">
        <v>45181</v>
      </c>
      <c r="U10" t="s">
        <v>222</v>
      </c>
      <c r="V10" t="s">
        <v>102</v>
      </c>
      <c r="AI10">
        <v>62</v>
      </c>
      <c r="AL10" t="s">
        <v>1159</v>
      </c>
      <c r="AM10" t="s">
        <v>282</v>
      </c>
      <c r="AN10">
        <v>45170</v>
      </c>
      <c r="AO10">
        <v>45199</v>
      </c>
      <c r="AP10" t="s">
        <v>1101</v>
      </c>
    </row>
    <row r="11" spans="1:56" x14ac:dyDescent="0.25">
      <c r="A11">
        <v>2023</v>
      </c>
      <c r="B11">
        <v>9</v>
      </c>
      <c r="C11">
        <v>17</v>
      </c>
      <c r="D11" t="s">
        <v>1088</v>
      </c>
      <c r="E11" t="s">
        <v>282</v>
      </c>
      <c r="F11">
        <v>620635</v>
      </c>
      <c r="H11" t="s">
        <v>282</v>
      </c>
      <c r="I11">
        <v>1244838</v>
      </c>
      <c r="M11">
        <v>1304</v>
      </c>
      <c r="P11">
        <v>200</v>
      </c>
      <c r="Q11">
        <v>1</v>
      </c>
      <c r="R11">
        <v>200</v>
      </c>
      <c r="S11">
        <v>45181</v>
      </c>
      <c r="U11" t="s">
        <v>222</v>
      </c>
      <c r="V11" t="s">
        <v>102</v>
      </c>
      <c r="AI11">
        <v>62</v>
      </c>
      <c r="AL11" t="s">
        <v>1159</v>
      </c>
      <c r="AM11" t="s">
        <v>282</v>
      </c>
      <c r="AN11">
        <v>45170</v>
      </c>
      <c r="AO11">
        <v>45199</v>
      </c>
      <c r="AP11" t="s">
        <v>1101</v>
      </c>
    </row>
    <row r="12" spans="1:56" x14ac:dyDescent="0.25">
      <c r="A12">
        <v>2023</v>
      </c>
      <c r="B12">
        <v>9</v>
      </c>
      <c r="C12">
        <v>17</v>
      </c>
      <c r="D12" t="s">
        <v>1088</v>
      </c>
      <c r="E12" t="s">
        <v>282</v>
      </c>
      <c r="F12">
        <v>620635</v>
      </c>
      <c r="H12" t="s">
        <v>282</v>
      </c>
      <c r="I12">
        <v>1257437</v>
      </c>
      <c r="M12">
        <v>1304</v>
      </c>
      <c r="P12">
        <v>232</v>
      </c>
      <c r="Q12">
        <v>1</v>
      </c>
      <c r="R12">
        <v>232</v>
      </c>
      <c r="S12">
        <v>45197</v>
      </c>
      <c r="U12" t="s">
        <v>222</v>
      </c>
      <c r="V12" t="s">
        <v>102</v>
      </c>
      <c r="AI12">
        <v>62</v>
      </c>
      <c r="AL12" t="s">
        <v>1159</v>
      </c>
      <c r="AM12" t="s">
        <v>282</v>
      </c>
      <c r="AN12">
        <v>45170</v>
      </c>
      <c r="AO12">
        <v>45199</v>
      </c>
      <c r="AP12" t="s">
        <v>1101</v>
      </c>
    </row>
    <row r="13" spans="1:56" x14ac:dyDescent="0.25">
      <c r="A13">
        <v>2023</v>
      </c>
      <c r="B13">
        <v>9</v>
      </c>
      <c r="C13">
        <v>17</v>
      </c>
      <c r="D13" t="s">
        <v>1088</v>
      </c>
      <c r="E13" t="s">
        <v>282</v>
      </c>
      <c r="F13">
        <v>315310</v>
      </c>
      <c r="G13">
        <v>10113018</v>
      </c>
      <c r="H13" t="s">
        <v>282</v>
      </c>
      <c r="J13">
        <v>53415474</v>
      </c>
      <c r="K13">
        <v>1101</v>
      </c>
      <c r="L13">
        <v>1702</v>
      </c>
      <c r="M13">
        <v>1301</v>
      </c>
      <c r="N13">
        <v>52599812</v>
      </c>
      <c r="O13">
        <v>45146.554773229167</v>
      </c>
      <c r="P13">
        <v>165.43</v>
      </c>
      <c r="Q13">
        <v>1</v>
      </c>
      <c r="R13">
        <v>165.43</v>
      </c>
      <c r="S13">
        <v>45170.342364155091</v>
      </c>
      <c r="T13">
        <v>5502</v>
      </c>
      <c r="U13" t="s">
        <v>1217</v>
      </c>
      <c r="V13" t="s">
        <v>1155</v>
      </c>
      <c r="W13" t="s">
        <v>1091</v>
      </c>
      <c r="X13" t="s">
        <v>1091</v>
      </c>
      <c r="AD13">
        <v>823468</v>
      </c>
      <c r="AE13" t="s">
        <v>1274</v>
      </c>
      <c r="AF13">
        <v>45170.34236396991</v>
      </c>
      <c r="AI13">
        <v>62</v>
      </c>
      <c r="AJ13">
        <v>62</v>
      </c>
      <c r="AN13">
        <v>45170</v>
      </c>
      <c r="AO13">
        <v>45199</v>
      </c>
      <c r="AP13" t="s">
        <v>1101</v>
      </c>
    </row>
    <row r="14" spans="1:56" x14ac:dyDescent="0.25">
      <c r="A14">
        <v>2023</v>
      </c>
      <c r="B14">
        <v>9</v>
      </c>
      <c r="C14">
        <v>17</v>
      </c>
      <c r="D14" t="s">
        <v>1088</v>
      </c>
      <c r="E14" t="s">
        <v>282</v>
      </c>
      <c r="F14">
        <v>315310</v>
      </c>
      <c r="G14">
        <v>10113018</v>
      </c>
      <c r="H14" t="s">
        <v>282</v>
      </c>
      <c r="J14">
        <v>53415475</v>
      </c>
      <c r="K14">
        <v>1103</v>
      </c>
      <c r="L14">
        <v>1702</v>
      </c>
      <c r="M14">
        <v>1301</v>
      </c>
      <c r="N14">
        <v>52599812</v>
      </c>
      <c r="O14">
        <v>45146.554773229167</v>
      </c>
      <c r="P14">
        <v>50.57</v>
      </c>
      <c r="Q14">
        <v>1</v>
      </c>
      <c r="R14">
        <v>50.57</v>
      </c>
      <c r="S14">
        <v>45170.342364155091</v>
      </c>
      <c r="T14">
        <v>5503</v>
      </c>
      <c r="U14" t="s">
        <v>1218</v>
      </c>
      <c r="V14" t="s">
        <v>1157</v>
      </c>
      <c r="W14" t="s">
        <v>1091</v>
      </c>
      <c r="X14" t="s">
        <v>1091</v>
      </c>
      <c r="AD14">
        <v>823468</v>
      </c>
      <c r="AE14" t="s">
        <v>1274</v>
      </c>
      <c r="AF14">
        <v>45170.34236396991</v>
      </c>
      <c r="AI14">
        <v>62</v>
      </c>
      <c r="AJ14">
        <v>62</v>
      </c>
      <c r="AK14" t="s">
        <v>1219</v>
      </c>
      <c r="AN14">
        <v>45170</v>
      </c>
      <c r="AO14">
        <v>45199</v>
      </c>
      <c r="AP14" t="s">
        <v>1101</v>
      </c>
    </row>
    <row r="15" spans="1:56" x14ac:dyDescent="0.25">
      <c r="A15">
        <v>2023</v>
      </c>
      <c r="B15">
        <v>9</v>
      </c>
      <c r="C15">
        <v>17</v>
      </c>
      <c r="D15" t="s">
        <v>1088</v>
      </c>
      <c r="E15" t="s">
        <v>282</v>
      </c>
      <c r="F15">
        <v>315310</v>
      </c>
      <c r="G15">
        <v>10113018</v>
      </c>
      <c r="H15" t="s">
        <v>282</v>
      </c>
      <c r="J15">
        <v>53415476</v>
      </c>
      <c r="K15">
        <v>1101</v>
      </c>
      <c r="L15">
        <v>1702</v>
      </c>
      <c r="M15">
        <v>1301</v>
      </c>
      <c r="N15">
        <v>52599815</v>
      </c>
      <c r="O15">
        <v>45146.554913622684</v>
      </c>
      <c r="P15">
        <v>165.43</v>
      </c>
      <c r="Q15">
        <v>1</v>
      </c>
      <c r="R15">
        <v>165.43</v>
      </c>
      <c r="S15">
        <v>45170.342364155091</v>
      </c>
      <c r="T15">
        <v>5502</v>
      </c>
      <c r="U15" t="s">
        <v>1217</v>
      </c>
      <c r="V15" t="s">
        <v>1155</v>
      </c>
      <c r="W15" t="s">
        <v>1091</v>
      </c>
      <c r="X15" t="s">
        <v>1091</v>
      </c>
      <c r="AD15">
        <v>823468</v>
      </c>
      <c r="AE15" t="s">
        <v>1274</v>
      </c>
      <c r="AF15">
        <v>45170.34236396991</v>
      </c>
      <c r="AI15">
        <v>62</v>
      </c>
      <c r="AJ15">
        <v>62</v>
      </c>
      <c r="AN15">
        <v>45170</v>
      </c>
      <c r="AO15">
        <v>45199</v>
      </c>
      <c r="AP15" t="s">
        <v>1101</v>
      </c>
    </row>
    <row r="16" spans="1:56" x14ac:dyDescent="0.25">
      <c r="A16">
        <v>2023</v>
      </c>
      <c r="B16">
        <v>9</v>
      </c>
      <c r="C16">
        <v>17</v>
      </c>
      <c r="D16" t="s">
        <v>1088</v>
      </c>
      <c r="E16" t="s">
        <v>282</v>
      </c>
      <c r="F16">
        <v>315310</v>
      </c>
      <c r="G16">
        <v>10113018</v>
      </c>
      <c r="H16" t="s">
        <v>282</v>
      </c>
      <c r="J16">
        <v>53415477</v>
      </c>
      <c r="K16">
        <v>1103</v>
      </c>
      <c r="L16">
        <v>1702</v>
      </c>
      <c r="M16">
        <v>1301</v>
      </c>
      <c r="N16">
        <v>52599815</v>
      </c>
      <c r="O16">
        <v>45146.554913622684</v>
      </c>
      <c r="P16">
        <v>50.57</v>
      </c>
      <c r="Q16">
        <v>1</v>
      </c>
      <c r="R16">
        <v>50.57</v>
      </c>
      <c r="S16">
        <v>45170.342364155091</v>
      </c>
      <c r="T16">
        <v>5503</v>
      </c>
      <c r="U16" t="s">
        <v>1218</v>
      </c>
      <c r="V16" t="s">
        <v>1157</v>
      </c>
      <c r="W16" t="s">
        <v>1091</v>
      </c>
      <c r="X16" t="s">
        <v>1091</v>
      </c>
      <c r="AD16">
        <v>823468</v>
      </c>
      <c r="AE16" t="s">
        <v>1274</v>
      </c>
      <c r="AF16">
        <v>45170.34236396991</v>
      </c>
      <c r="AI16">
        <v>62</v>
      </c>
      <c r="AJ16">
        <v>62</v>
      </c>
      <c r="AK16" t="s">
        <v>1219</v>
      </c>
      <c r="AN16">
        <v>45170</v>
      </c>
      <c r="AO16">
        <v>45199</v>
      </c>
      <c r="AP16" t="s">
        <v>1101</v>
      </c>
    </row>
    <row r="17" spans="1:42" x14ac:dyDescent="0.25">
      <c r="A17">
        <v>2023</v>
      </c>
      <c r="B17">
        <v>9</v>
      </c>
      <c r="C17">
        <v>17</v>
      </c>
      <c r="D17" t="s">
        <v>1088</v>
      </c>
      <c r="E17" t="s">
        <v>282</v>
      </c>
      <c r="F17">
        <v>608767</v>
      </c>
      <c r="G17">
        <v>10113010</v>
      </c>
      <c r="H17" t="s">
        <v>282</v>
      </c>
      <c r="J17">
        <v>53415478</v>
      </c>
      <c r="K17">
        <v>1101</v>
      </c>
      <c r="L17">
        <v>1702</v>
      </c>
      <c r="M17">
        <v>1301</v>
      </c>
      <c r="N17">
        <v>52597607</v>
      </c>
      <c r="O17">
        <v>45146.496389814813</v>
      </c>
      <c r="P17">
        <v>165.43</v>
      </c>
      <c r="Q17">
        <v>1</v>
      </c>
      <c r="R17">
        <v>165.43</v>
      </c>
      <c r="S17">
        <v>45170.342364155091</v>
      </c>
      <c r="T17">
        <v>5502</v>
      </c>
      <c r="U17" t="s">
        <v>1217</v>
      </c>
      <c r="V17" t="s">
        <v>1155</v>
      </c>
      <c r="W17" t="s">
        <v>1091</v>
      </c>
      <c r="X17" t="s">
        <v>1091</v>
      </c>
      <c r="AD17">
        <v>823468</v>
      </c>
      <c r="AE17" t="s">
        <v>1274</v>
      </c>
      <c r="AF17">
        <v>45170.34236396991</v>
      </c>
      <c r="AI17">
        <v>62</v>
      </c>
      <c r="AJ17">
        <v>62</v>
      </c>
      <c r="AN17">
        <v>45170</v>
      </c>
      <c r="AO17">
        <v>45199</v>
      </c>
      <c r="AP17" t="s">
        <v>1101</v>
      </c>
    </row>
    <row r="18" spans="1:42" x14ac:dyDescent="0.25">
      <c r="A18">
        <v>2023</v>
      </c>
      <c r="B18">
        <v>9</v>
      </c>
      <c r="C18">
        <v>17</v>
      </c>
      <c r="D18" t="s">
        <v>1088</v>
      </c>
      <c r="E18" t="s">
        <v>282</v>
      </c>
      <c r="F18">
        <v>608767</v>
      </c>
      <c r="G18">
        <v>10113010</v>
      </c>
      <c r="H18" t="s">
        <v>282</v>
      </c>
      <c r="J18">
        <v>53415479</v>
      </c>
      <c r="K18">
        <v>1103</v>
      </c>
      <c r="L18">
        <v>1702</v>
      </c>
      <c r="M18">
        <v>1301</v>
      </c>
      <c r="N18">
        <v>52597607</v>
      </c>
      <c r="O18">
        <v>45146.496389814813</v>
      </c>
      <c r="P18">
        <v>50.57</v>
      </c>
      <c r="Q18">
        <v>1</v>
      </c>
      <c r="R18">
        <v>50.57</v>
      </c>
      <c r="S18">
        <v>45170.342364155091</v>
      </c>
      <c r="T18">
        <v>5503</v>
      </c>
      <c r="U18" t="s">
        <v>1218</v>
      </c>
      <c r="V18" t="s">
        <v>1157</v>
      </c>
      <c r="W18" t="s">
        <v>1091</v>
      </c>
      <c r="X18" t="s">
        <v>1091</v>
      </c>
      <c r="AD18">
        <v>823468</v>
      </c>
      <c r="AE18" t="s">
        <v>1274</v>
      </c>
      <c r="AF18">
        <v>45170.34236396991</v>
      </c>
      <c r="AI18">
        <v>62</v>
      </c>
      <c r="AJ18">
        <v>62</v>
      </c>
      <c r="AK18" t="s">
        <v>1219</v>
      </c>
      <c r="AN18">
        <v>45170</v>
      </c>
      <c r="AO18">
        <v>45199</v>
      </c>
      <c r="AP18" t="s">
        <v>1101</v>
      </c>
    </row>
    <row r="19" spans="1:42" x14ac:dyDescent="0.25">
      <c r="A19">
        <v>2023</v>
      </c>
      <c r="B19">
        <v>9</v>
      </c>
      <c r="C19">
        <v>17</v>
      </c>
      <c r="D19" t="s">
        <v>1088</v>
      </c>
      <c r="E19" t="s">
        <v>282</v>
      </c>
      <c r="F19">
        <v>608767</v>
      </c>
      <c r="G19">
        <v>10113010</v>
      </c>
      <c r="H19" t="s">
        <v>282</v>
      </c>
      <c r="J19">
        <v>53415480</v>
      </c>
      <c r="K19">
        <v>1101</v>
      </c>
      <c r="L19">
        <v>1702</v>
      </c>
      <c r="M19">
        <v>1301</v>
      </c>
      <c r="N19">
        <v>52597613</v>
      </c>
      <c r="O19">
        <v>45146.49649568287</v>
      </c>
      <c r="P19">
        <v>165.43</v>
      </c>
      <c r="Q19">
        <v>1</v>
      </c>
      <c r="R19">
        <v>165.43</v>
      </c>
      <c r="S19">
        <v>45170.342364155091</v>
      </c>
      <c r="T19">
        <v>5502</v>
      </c>
      <c r="U19" t="s">
        <v>1217</v>
      </c>
      <c r="V19" t="s">
        <v>1155</v>
      </c>
      <c r="W19" t="s">
        <v>1091</v>
      </c>
      <c r="X19" t="s">
        <v>1091</v>
      </c>
      <c r="AD19">
        <v>823468</v>
      </c>
      <c r="AE19" t="s">
        <v>1274</v>
      </c>
      <c r="AF19">
        <v>45170.34236396991</v>
      </c>
      <c r="AI19">
        <v>62</v>
      </c>
      <c r="AJ19">
        <v>62</v>
      </c>
      <c r="AN19">
        <v>45170</v>
      </c>
      <c r="AO19">
        <v>45199</v>
      </c>
      <c r="AP19" t="s">
        <v>1101</v>
      </c>
    </row>
    <row r="20" spans="1:42" x14ac:dyDescent="0.25">
      <c r="A20">
        <v>2023</v>
      </c>
      <c r="B20">
        <v>9</v>
      </c>
      <c r="C20">
        <v>17</v>
      </c>
      <c r="D20" t="s">
        <v>1088</v>
      </c>
      <c r="E20" t="s">
        <v>282</v>
      </c>
      <c r="F20">
        <v>608767</v>
      </c>
      <c r="G20">
        <v>10113010</v>
      </c>
      <c r="H20" t="s">
        <v>282</v>
      </c>
      <c r="J20">
        <v>53415481</v>
      </c>
      <c r="K20">
        <v>1103</v>
      </c>
      <c r="L20">
        <v>1702</v>
      </c>
      <c r="M20">
        <v>1301</v>
      </c>
      <c r="N20">
        <v>52597613</v>
      </c>
      <c r="O20">
        <v>45146.49649568287</v>
      </c>
      <c r="P20">
        <v>50.57</v>
      </c>
      <c r="Q20">
        <v>1</v>
      </c>
      <c r="R20">
        <v>50.57</v>
      </c>
      <c r="S20">
        <v>45170.342364155091</v>
      </c>
      <c r="T20">
        <v>5503</v>
      </c>
      <c r="U20" t="s">
        <v>1218</v>
      </c>
      <c r="V20" t="s">
        <v>1157</v>
      </c>
      <c r="W20" t="s">
        <v>1091</v>
      </c>
      <c r="X20" t="s">
        <v>1091</v>
      </c>
      <c r="AD20">
        <v>823468</v>
      </c>
      <c r="AE20" t="s">
        <v>1274</v>
      </c>
      <c r="AF20">
        <v>45170.34236396991</v>
      </c>
      <c r="AI20">
        <v>62</v>
      </c>
      <c r="AJ20">
        <v>62</v>
      </c>
      <c r="AK20" t="s">
        <v>1219</v>
      </c>
      <c r="AN20">
        <v>45170</v>
      </c>
      <c r="AO20">
        <v>45199</v>
      </c>
      <c r="AP20" t="s">
        <v>1101</v>
      </c>
    </row>
    <row r="21" spans="1:42" x14ac:dyDescent="0.25">
      <c r="A21">
        <v>2023</v>
      </c>
      <c r="B21">
        <v>9</v>
      </c>
      <c r="C21">
        <v>17</v>
      </c>
      <c r="D21" t="s">
        <v>1088</v>
      </c>
      <c r="E21" t="s">
        <v>282</v>
      </c>
      <c r="F21">
        <v>613249</v>
      </c>
      <c r="G21">
        <v>10204016</v>
      </c>
      <c r="H21" t="s">
        <v>282</v>
      </c>
      <c r="J21">
        <v>53415531</v>
      </c>
      <c r="K21">
        <v>1101</v>
      </c>
      <c r="L21">
        <v>1702</v>
      </c>
      <c r="M21">
        <v>1301</v>
      </c>
      <c r="N21">
        <v>52933277</v>
      </c>
      <c r="O21">
        <v>45155.695581562497</v>
      </c>
      <c r="P21">
        <v>132.34</v>
      </c>
      <c r="Q21">
        <v>1</v>
      </c>
      <c r="R21">
        <v>132.34</v>
      </c>
      <c r="S21">
        <v>45170.343180983793</v>
      </c>
      <c r="T21">
        <v>5502</v>
      </c>
      <c r="U21" t="s">
        <v>1217</v>
      </c>
      <c r="V21" t="s">
        <v>1155</v>
      </c>
      <c r="W21" t="s">
        <v>1091</v>
      </c>
      <c r="X21" t="s">
        <v>1091</v>
      </c>
      <c r="AD21">
        <v>823471</v>
      </c>
      <c r="AE21" t="s">
        <v>1275</v>
      </c>
      <c r="AF21">
        <v>45170.343180671298</v>
      </c>
      <c r="AI21">
        <v>62</v>
      </c>
      <c r="AJ21">
        <v>62</v>
      </c>
      <c r="AN21">
        <v>45170</v>
      </c>
      <c r="AO21">
        <v>45199</v>
      </c>
      <c r="AP21" t="s">
        <v>1101</v>
      </c>
    </row>
    <row r="22" spans="1:42" x14ac:dyDescent="0.25">
      <c r="A22">
        <v>2023</v>
      </c>
      <c r="B22">
        <v>9</v>
      </c>
      <c r="C22">
        <v>17</v>
      </c>
      <c r="D22" t="s">
        <v>1088</v>
      </c>
      <c r="E22" t="s">
        <v>282</v>
      </c>
      <c r="F22">
        <v>613249</v>
      </c>
      <c r="G22">
        <v>10204016</v>
      </c>
      <c r="H22" t="s">
        <v>282</v>
      </c>
      <c r="J22">
        <v>53415532</v>
      </c>
      <c r="K22">
        <v>1103</v>
      </c>
      <c r="L22">
        <v>1702</v>
      </c>
      <c r="M22">
        <v>1301</v>
      </c>
      <c r="N22">
        <v>52933277</v>
      </c>
      <c r="O22">
        <v>45155.695581562497</v>
      </c>
      <c r="P22">
        <v>50.57</v>
      </c>
      <c r="Q22">
        <v>1</v>
      </c>
      <c r="R22">
        <v>50.57</v>
      </c>
      <c r="S22">
        <v>45170.343180983793</v>
      </c>
      <c r="T22">
        <v>5503</v>
      </c>
      <c r="U22" t="s">
        <v>1218</v>
      </c>
      <c r="V22" t="s">
        <v>1157</v>
      </c>
      <c r="W22" t="s">
        <v>1091</v>
      </c>
      <c r="X22" t="s">
        <v>1091</v>
      </c>
      <c r="AD22">
        <v>823471</v>
      </c>
      <c r="AE22" t="s">
        <v>1275</v>
      </c>
      <c r="AF22">
        <v>45170.343180671298</v>
      </c>
      <c r="AI22">
        <v>62</v>
      </c>
      <c r="AJ22">
        <v>62</v>
      </c>
      <c r="AK22" t="s">
        <v>1219</v>
      </c>
      <c r="AN22">
        <v>45170</v>
      </c>
      <c r="AO22">
        <v>45199</v>
      </c>
      <c r="AP22" t="s">
        <v>1101</v>
      </c>
    </row>
    <row r="23" spans="1:42" x14ac:dyDescent="0.25">
      <c r="A23">
        <v>2023</v>
      </c>
      <c r="B23">
        <v>9</v>
      </c>
      <c r="C23">
        <v>17</v>
      </c>
      <c r="D23" t="s">
        <v>1088</v>
      </c>
      <c r="E23" t="s">
        <v>282</v>
      </c>
      <c r="F23">
        <v>613249</v>
      </c>
      <c r="G23">
        <v>10204016</v>
      </c>
      <c r="H23" t="s">
        <v>282</v>
      </c>
      <c r="J23">
        <v>53415533</v>
      </c>
      <c r="K23">
        <v>1100</v>
      </c>
      <c r="L23">
        <v>1700</v>
      </c>
      <c r="M23">
        <v>1304</v>
      </c>
      <c r="N23">
        <v>52933277</v>
      </c>
      <c r="O23">
        <v>45155.695581562497</v>
      </c>
      <c r="P23">
        <v>33.090000000000003</v>
      </c>
      <c r="Q23">
        <v>1</v>
      </c>
      <c r="R23">
        <v>33.090000000000003</v>
      </c>
      <c r="S23">
        <v>45170.343180983793</v>
      </c>
      <c r="T23">
        <v>5504</v>
      </c>
      <c r="U23" t="s">
        <v>1220</v>
      </c>
      <c r="V23" t="s">
        <v>1221</v>
      </c>
      <c r="W23" t="s">
        <v>2</v>
      </c>
      <c r="X23" t="s">
        <v>1091</v>
      </c>
      <c r="AD23">
        <v>823471</v>
      </c>
      <c r="AE23" t="s">
        <v>1275</v>
      </c>
      <c r="AF23">
        <v>45170.343180671298</v>
      </c>
      <c r="AI23">
        <v>62</v>
      </c>
      <c r="AJ23">
        <v>62</v>
      </c>
      <c r="AN23">
        <v>45170</v>
      </c>
      <c r="AO23">
        <v>45199</v>
      </c>
      <c r="AP23" t="s">
        <v>1101</v>
      </c>
    </row>
    <row r="24" spans="1:42" x14ac:dyDescent="0.25">
      <c r="A24">
        <v>2023</v>
      </c>
      <c r="B24">
        <v>9</v>
      </c>
      <c r="C24">
        <v>17</v>
      </c>
      <c r="D24" t="s">
        <v>1088</v>
      </c>
      <c r="E24" t="s">
        <v>282</v>
      </c>
      <c r="F24">
        <v>613249</v>
      </c>
      <c r="G24">
        <v>10204016</v>
      </c>
      <c r="H24" t="s">
        <v>282</v>
      </c>
      <c r="J24">
        <v>53415534</v>
      </c>
      <c r="K24">
        <v>1101</v>
      </c>
      <c r="L24">
        <v>1702</v>
      </c>
      <c r="M24">
        <v>1301</v>
      </c>
      <c r="N24">
        <v>52933278</v>
      </c>
      <c r="O24">
        <v>45155.695690474538</v>
      </c>
      <c r="P24">
        <v>132.34</v>
      </c>
      <c r="Q24">
        <v>1</v>
      </c>
      <c r="R24">
        <v>132.34</v>
      </c>
      <c r="S24">
        <v>45170.343180983793</v>
      </c>
      <c r="T24">
        <v>5502</v>
      </c>
      <c r="U24" t="s">
        <v>1217</v>
      </c>
      <c r="V24" t="s">
        <v>1155</v>
      </c>
      <c r="W24" t="s">
        <v>1091</v>
      </c>
      <c r="X24" t="s">
        <v>1091</v>
      </c>
      <c r="AD24">
        <v>823471</v>
      </c>
      <c r="AE24" t="s">
        <v>1275</v>
      </c>
      <c r="AF24">
        <v>45170.343180671298</v>
      </c>
      <c r="AI24">
        <v>62</v>
      </c>
      <c r="AJ24">
        <v>62</v>
      </c>
      <c r="AN24">
        <v>45170</v>
      </c>
      <c r="AO24">
        <v>45199</v>
      </c>
      <c r="AP24" t="s">
        <v>1101</v>
      </c>
    </row>
    <row r="25" spans="1:42" x14ac:dyDescent="0.25">
      <c r="A25">
        <v>2023</v>
      </c>
      <c r="B25">
        <v>9</v>
      </c>
      <c r="C25">
        <v>17</v>
      </c>
      <c r="D25" t="s">
        <v>1088</v>
      </c>
      <c r="E25" t="s">
        <v>282</v>
      </c>
      <c r="F25">
        <v>613249</v>
      </c>
      <c r="G25">
        <v>10204016</v>
      </c>
      <c r="H25" t="s">
        <v>282</v>
      </c>
      <c r="J25">
        <v>53415535</v>
      </c>
      <c r="K25">
        <v>1103</v>
      </c>
      <c r="L25">
        <v>1702</v>
      </c>
      <c r="M25">
        <v>1301</v>
      </c>
      <c r="N25">
        <v>52933278</v>
      </c>
      <c r="O25">
        <v>45155.695690474538</v>
      </c>
      <c r="P25">
        <v>50.57</v>
      </c>
      <c r="Q25">
        <v>1</v>
      </c>
      <c r="R25">
        <v>50.57</v>
      </c>
      <c r="S25">
        <v>45170.343180983793</v>
      </c>
      <c r="T25">
        <v>5503</v>
      </c>
      <c r="U25" t="s">
        <v>1218</v>
      </c>
      <c r="V25" t="s">
        <v>1157</v>
      </c>
      <c r="W25" t="s">
        <v>1091</v>
      </c>
      <c r="X25" t="s">
        <v>1091</v>
      </c>
      <c r="AD25">
        <v>823471</v>
      </c>
      <c r="AE25" t="s">
        <v>1275</v>
      </c>
      <c r="AF25">
        <v>45170.343180671298</v>
      </c>
      <c r="AI25">
        <v>62</v>
      </c>
      <c r="AJ25">
        <v>62</v>
      </c>
      <c r="AK25" t="s">
        <v>1219</v>
      </c>
      <c r="AN25">
        <v>45170</v>
      </c>
      <c r="AO25">
        <v>45199</v>
      </c>
      <c r="AP25" t="s">
        <v>1101</v>
      </c>
    </row>
    <row r="26" spans="1:42" x14ac:dyDescent="0.25">
      <c r="A26">
        <v>2023</v>
      </c>
      <c r="B26">
        <v>9</v>
      </c>
      <c r="C26">
        <v>17</v>
      </c>
      <c r="D26" t="s">
        <v>1088</v>
      </c>
      <c r="E26" t="s">
        <v>282</v>
      </c>
      <c r="F26">
        <v>613249</v>
      </c>
      <c r="G26">
        <v>10204016</v>
      </c>
      <c r="H26" t="s">
        <v>282</v>
      </c>
      <c r="J26">
        <v>53415536</v>
      </c>
      <c r="K26">
        <v>1100</v>
      </c>
      <c r="L26">
        <v>1700</v>
      </c>
      <c r="M26">
        <v>1304</v>
      </c>
      <c r="N26">
        <v>52933278</v>
      </c>
      <c r="O26">
        <v>45155.695690474538</v>
      </c>
      <c r="P26">
        <v>33.090000000000003</v>
      </c>
      <c r="Q26">
        <v>1</v>
      </c>
      <c r="R26">
        <v>33.090000000000003</v>
      </c>
      <c r="S26">
        <v>45170.343180983793</v>
      </c>
      <c r="T26">
        <v>5504</v>
      </c>
      <c r="U26" t="s">
        <v>1220</v>
      </c>
      <c r="V26" t="s">
        <v>1221</v>
      </c>
      <c r="W26" t="s">
        <v>2</v>
      </c>
      <c r="X26" t="s">
        <v>1091</v>
      </c>
      <c r="AD26">
        <v>823471</v>
      </c>
      <c r="AE26" t="s">
        <v>1275</v>
      </c>
      <c r="AF26">
        <v>45170.343180671298</v>
      </c>
      <c r="AI26">
        <v>62</v>
      </c>
      <c r="AJ26">
        <v>62</v>
      </c>
      <c r="AN26">
        <v>45170</v>
      </c>
      <c r="AO26">
        <v>45199</v>
      </c>
      <c r="AP26" t="s">
        <v>1101</v>
      </c>
    </row>
    <row r="27" spans="1:42" x14ac:dyDescent="0.25">
      <c r="A27">
        <v>2023</v>
      </c>
      <c r="B27">
        <v>9</v>
      </c>
      <c r="C27">
        <v>17</v>
      </c>
      <c r="D27" t="s">
        <v>1088</v>
      </c>
      <c r="E27" t="s">
        <v>282</v>
      </c>
      <c r="F27">
        <v>622657</v>
      </c>
      <c r="H27" t="s">
        <v>282</v>
      </c>
      <c r="I27">
        <v>1253763</v>
      </c>
      <c r="M27">
        <v>1304</v>
      </c>
      <c r="P27">
        <v>225</v>
      </c>
      <c r="Q27">
        <v>1</v>
      </c>
      <c r="R27">
        <v>225</v>
      </c>
      <c r="S27">
        <v>45191</v>
      </c>
      <c r="U27" t="s">
        <v>222</v>
      </c>
      <c r="V27" t="s">
        <v>102</v>
      </c>
      <c r="AI27">
        <v>62</v>
      </c>
      <c r="AL27" t="s">
        <v>1159</v>
      </c>
      <c r="AM27" t="s">
        <v>282</v>
      </c>
      <c r="AN27">
        <v>45170</v>
      </c>
      <c r="AO27">
        <v>45199</v>
      </c>
      <c r="AP27" t="s">
        <v>1101</v>
      </c>
    </row>
    <row r="28" spans="1:42" x14ac:dyDescent="0.25">
      <c r="A28">
        <v>2023</v>
      </c>
      <c r="B28">
        <v>9</v>
      </c>
      <c r="C28">
        <v>17</v>
      </c>
      <c r="D28" t="s">
        <v>1088</v>
      </c>
      <c r="E28" t="s">
        <v>282</v>
      </c>
      <c r="F28">
        <v>622658</v>
      </c>
      <c r="H28" t="s">
        <v>282</v>
      </c>
      <c r="I28">
        <v>1253764</v>
      </c>
      <c r="M28">
        <v>1304</v>
      </c>
      <c r="P28">
        <v>225</v>
      </c>
      <c r="Q28">
        <v>1</v>
      </c>
      <c r="R28">
        <v>225</v>
      </c>
      <c r="S28">
        <v>45191</v>
      </c>
      <c r="U28" t="s">
        <v>222</v>
      </c>
      <c r="V28" t="s">
        <v>102</v>
      </c>
      <c r="AI28">
        <v>62</v>
      </c>
      <c r="AL28" t="s">
        <v>1159</v>
      </c>
      <c r="AM28" t="s">
        <v>282</v>
      </c>
      <c r="AN28">
        <v>45170</v>
      </c>
      <c r="AO28">
        <v>45199</v>
      </c>
      <c r="AP28" t="s">
        <v>1101</v>
      </c>
    </row>
    <row r="29" spans="1:42" x14ac:dyDescent="0.25">
      <c r="A29">
        <v>2023</v>
      </c>
      <c r="B29">
        <v>9</v>
      </c>
      <c r="C29">
        <v>17</v>
      </c>
      <c r="D29" t="s">
        <v>1088</v>
      </c>
      <c r="E29" t="s">
        <v>282</v>
      </c>
      <c r="F29">
        <v>622772</v>
      </c>
      <c r="H29" t="s">
        <v>282</v>
      </c>
      <c r="I29">
        <v>1253799</v>
      </c>
      <c r="M29">
        <v>1304</v>
      </c>
      <c r="P29">
        <v>100</v>
      </c>
      <c r="Q29">
        <v>1</v>
      </c>
      <c r="R29">
        <v>100</v>
      </c>
      <c r="S29">
        <v>45191</v>
      </c>
      <c r="U29" t="s">
        <v>222</v>
      </c>
      <c r="V29" t="s">
        <v>102</v>
      </c>
      <c r="AI29">
        <v>62</v>
      </c>
      <c r="AL29" t="s">
        <v>1159</v>
      </c>
      <c r="AM29" t="s">
        <v>282</v>
      </c>
      <c r="AN29">
        <v>45170</v>
      </c>
      <c r="AO29">
        <v>45199</v>
      </c>
      <c r="AP29" t="s">
        <v>1101</v>
      </c>
    </row>
    <row r="30" spans="1:42" x14ac:dyDescent="0.25">
      <c r="A30">
        <v>2023</v>
      </c>
      <c r="B30">
        <v>9</v>
      </c>
      <c r="C30">
        <v>17</v>
      </c>
      <c r="D30" t="s">
        <v>1088</v>
      </c>
      <c r="E30" t="s">
        <v>282</v>
      </c>
      <c r="F30">
        <v>622772</v>
      </c>
      <c r="H30" t="s">
        <v>282</v>
      </c>
      <c r="I30">
        <v>1255506</v>
      </c>
      <c r="M30">
        <v>1304</v>
      </c>
      <c r="P30">
        <v>332</v>
      </c>
      <c r="Q30">
        <v>1</v>
      </c>
      <c r="R30">
        <v>332</v>
      </c>
      <c r="S30">
        <v>45195</v>
      </c>
      <c r="U30" t="s">
        <v>222</v>
      </c>
      <c r="V30" t="s">
        <v>102</v>
      </c>
      <c r="AI30">
        <v>62</v>
      </c>
      <c r="AL30" t="s">
        <v>1159</v>
      </c>
      <c r="AM30" t="s">
        <v>282</v>
      </c>
      <c r="AN30">
        <v>45170</v>
      </c>
      <c r="AO30">
        <v>45199</v>
      </c>
      <c r="AP30" t="s">
        <v>1101</v>
      </c>
    </row>
    <row r="31" spans="1:42" x14ac:dyDescent="0.25">
      <c r="A31">
        <v>2023</v>
      </c>
      <c r="B31">
        <v>9</v>
      </c>
      <c r="C31">
        <v>17</v>
      </c>
      <c r="D31" t="s">
        <v>1088</v>
      </c>
      <c r="E31" t="s">
        <v>282</v>
      </c>
      <c r="F31">
        <v>622663</v>
      </c>
      <c r="H31" t="s">
        <v>282</v>
      </c>
      <c r="I31">
        <v>1250434</v>
      </c>
      <c r="M31">
        <v>1304</v>
      </c>
      <c r="P31">
        <v>216</v>
      </c>
      <c r="Q31">
        <v>1</v>
      </c>
      <c r="R31">
        <v>216</v>
      </c>
      <c r="S31">
        <v>45188</v>
      </c>
      <c r="U31" t="s">
        <v>222</v>
      </c>
      <c r="V31" t="s">
        <v>102</v>
      </c>
      <c r="AI31">
        <v>62</v>
      </c>
      <c r="AL31" t="s">
        <v>1159</v>
      </c>
      <c r="AM31" t="s">
        <v>282</v>
      </c>
      <c r="AN31">
        <v>45170</v>
      </c>
      <c r="AO31">
        <v>45199</v>
      </c>
      <c r="AP31" t="s">
        <v>1101</v>
      </c>
    </row>
    <row r="32" spans="1:42" x14ac:dyDescent="0.25">
      <c r="A32">
        <v>2023</v>
      </c>
      <c r="B32">
        <v>9</v>
      </c>
      <c r="C32">
        <v>17</v>
      </c>
      <c r="D32" t="s">
        <v>1088</v>
      </c>
      <c r="E32" t="s">
        <v>282</v>
      </c>
      <c r="F32">
        <v>605245</v>
      </c>
      <c r="G32">
        <v>10067590</v>
      </c>
      <c r="H32" t="s">
        <v>282</v>
      </c>
      <c r="J32">
        <v>53455124</v>
      </c>
      <c r="K32">
        <v>1102</v>
      </c>
      <c r="L32">
        <v>1702</v>
      </c>
      <c r="M32">
        <v>1304</v>
      </c>
      <c r="N32">
        <v>52087609</v>
      </c>
      <c r="O32">
        <v>45128.537921527779</v>
      </c>
      <c r="P32">
        <v>204.78</v>
      </c>
      <c r="Q32">
        <v>1</v>
      </c>
      <c r="R32">
        <v>204.78</v>
      </c>
      <c r="S32">
        <v>45171.443411377317</v>
      </c>
      <c r="T32">
        <v>5502</v>
      </c>
      <c r="U32" t="s">
        <v>103</v>
      </c>
      <c r="V32" t="s">
        <v>1163</v>
      </c>
      <c r="W32" t="s">
        <v>2</v>
      </c>
      <c r="X32" t="s">
        <v>1091</v>
      </c>
      <c r="AD32">
        <v>823961</v>
      </c>
      <c r="AE32" t="s">
        <v>1276</v>
      </c>
      <c r="AF32">
        <v>45171.443411145832</v>
      </c>
      <c r="AI32">
        <v>62</v>
      </c>
      <c r="AJ32">
        <v>62</v>
      </c>
      <c r="AN32">
        <v>45170</v>
      </c>
      <c r="AO32">
        <v>45199</v>
      </c>
      <c r="AP32" t="s">
        <v>1101</v>
      </c>
    </row>
    <row r="33" spans="1:42" x14ac:dyDescent="0.25">
      <c r="A33">
        <v>2023</v>
      </c>
      <c r="B33">
        <v>9</v>
      </c>
      <c r="C33">
        <v>17</v>
      </c>
      <c r="D33" t="s">
        <v>1088</v>
      </c>
      <c r="E33" t="s">
        <v>282</v>
      </c>
      <c r="F33">
        <v>605245</v>
      </c>
      <c r="G33">
        <v>10067590</v>
      </c>
      <c r="H33" t="s">
        <v>282</v>
      </c>
      <c r="J33">
        <v>53455125</v>
      </c>
      <c r="K33">
        <v>1102</v>
      </c>
      <c r="L33">
        <v>1702</v>
      </c>
      <c r="M33">
        <v>1304</v>
      </c>
      <c r="N33">
        <v>52087610</v>
      </c>
      <c r="O33">
        <v>45128.538030057869</v>
      </c>
      <c r="P33">
        <v>204.78</v>
      </c>
      <c r="Q33">
        <v>1</v>
      </c>
      <c r="R33">
        <v>204.78</v>
      </c>
      <c r="S33">
        <v>45171.443411377317</v>
      </c>
      <c r="T33">
        <v>5502</v>
      </c>
      <c r="U33" t="s">
        <v>103</v>
      </c>
      <c r="V33" t="s">
        <v>1163</v>
      </c>
      <c r="W33" t="s">
        <v>2</v>
      </c>
      <c r="X33" t="s">
        <v>1091</v>
      </c>
      <c r="AD33">
        <v>823961</v>
      </c>
      <c r="AE33" t="s">
        <v>1276</v>
      </c>
      <c r="AF33">
        <v>45171.443411145832</v>
      </c>
      <c r="AI33">
        <v>62</v>
      </c>
      <c r="AJ33">
        <v>62</v>
      </c>
      <c r="AN33">
        <v>45170</v>
      </c>
      <c r="AO33">
        <v>45199</v>
      </c>
      <c r="AP33" t="s">
        <v>1101</v>
      </c>
    </row>
    <row r="34" spans="1:42" x14ac:dyDescent="0.25">
      <c r="A34">
        <v>2023</v>
      </c>
      <c r="B34">
        <v>9</v>
      </c>
      <c r="C34">
        <v>17</v>
      </c>
      <c r="D34" t="s">
        <v>1088</v>
      </c>
      <c r="E34" t="s">
        <v>282</v>
      </c>
      <c r="F34">
        <v>607932</v>
      </c>
      <c r="G34">
        <v>10147056</v>
      </c>
      <c r="H34" t="s">
        <v>282</v>
      </c>
      <c r="J34">
        <v>53494734</v>
      </c>
      <c r="K34">
        <v>1101</v>
      </c>
      <c r="L34">
        <v>1702</v>
      </c>
      <c r="M34">
        <v>1301</v>
      </c>
      <c r="N34">
        <v>52900304</v>
      </c>
      <c r="O34">
        <v>45155.40051446759</v>
      </c>
      <c r="P34">
        <v>140.62</v>
      </c>
      <c r="Q34">
        <v>1</v>
      </c>
      <c r="R34">
        <v>140.62</v>
      </c>
      <c r="S34">
        <v>45175.359221412036</v>
      </c>
      <c r="T34">
        <v>5502</v>
      </c>
      <c r="U34" t="s">
        <v>1217</v>
      </c>
      <c r="V34" t="s">
        <v>1155</v>
      </c>
      <c r="W34" t="s">
        <v>1179</v>
      </c>
      <c r="X34" t="s">
        <v>1179</v>
      </c>
      <c r="AD34">
        <v>824899</v>
      </c>
      <c r="AE34" t="s">
        <v>1277</v>
      </c>
      <c r="AF34">
        <v>45175.35922121528</v>
      </c>
      <c r="AI34">
        <v>62</v>
      </c>
      <c r="AJ34">
        <v>62</v>
      </c>
      <c r="AN34">
        <v>45170</v>
      </c>
      <c r="AO34">
        <v>45199</v>
      </c>
      <c r="AP34" t="s">
        <v>1101</v>
      </c>
    </row>
    <row r="35" spans="1:42" x14ac:dyDescent="0.25">
      <c r="A35">
        <v>2023</v>
      </c>
      <c r="B35">
        <v>9</v>
      </c>
      <c r="C35">
        <v>17</v>
      </c>
      <c r="D35" t="s">
        <v>1088</v>
      </c>
      <c r="E35" t="s">
        <v>282</v>
      </c>
      <c r="F35">
        <v>607932</v>
      </c>
      <c r="G35">
        <v>10147056</v>
      </c>
      <c r="H35" t="s">
        <v>282</v>
      </c>
      <c r="J35">
        <v>53494735</v>
      </c>
      <c r="K35">
        <v>1103</v>
      </c>
      <c r="L35">
        <v>1702</v>
      </c>
      <c r="M35">
        <v>1301</v>
      </c>
      <c r="N35">
        <v>52900304</v>
      </c>
      <c r="O35">
        <v>45155.40051446759</v>
      </c>
      <c r="P35">
        <v>50.57</v>
      </c>
      <c r="Q35">
        <v>1</v>
      </c>
      <c r="R35">
        <v>50.57</v>
      </c>
      <c r="S35">
        <v>45175.359221412036</v>
      </c>
      <c r="T35">
        <v>5503</v>
      </c>
      <c r="U35" t="s">
        <v>1218</v>
      </c>
      <c r="V35" t="s">
        <v>1157</v>
      </c>
      <c r="W35" t="s">
        <v>1179</v>
      </c>
      <c r="X35" t="s">
        <v>1179</v>
      </c>
      <c r="AD35">
        <v>824899</v>
      </c>
      <c r="AE35" t="s">
        <v>1277</v>
      </c>
      <c r="AF35">
        <v>45175.35922121528</v>
      </c>
      <c r="AI35">
        <v>62</v>
      </c>
      <c r="AJ35">
        <v>62</v>
      </c>
      <c r="AK35" t="s">
        <v>1219</v>
      </c>
      <c r="AN35">
        <v>45170</v>
      </c>
      <c r="AO35">
        <v>45199</v>
      </c>
      <c r="AP35" t="s">
        <v>1101</v>
      </c>
    </row>
    <row r="36" spans="1:42" x14ac:dyDescent="0.25">
      <c r="A36">
        <v>2023</v>
      </c>
      <c r="B36">
        <v>9</v>
      </c>
      <c r="C36">
        <v>17</v>
      </c>
      <c r="D36" t="s">
        <v>1088</v>
      </c>
      <c r="E36" t="s">
        <v>282</v>
      </c>
      <c r="F36">
        <v>607932</v>
      </c>
      <c r="G36">
        <v>10147056</v>
      </c>
      <c r="H36" t="s">
        <v>282</v>
      </c>
      <c r="J36">
        <v>53494736</v>
      </c>
      <c r="K36">
        <v>1100</v>
      </c>
      <c r="L36">
        <v>1700</v>
      </c>
      <c r="M36">
        <v>1304</v>
      </c>
      <c r="N36">
        <v>52900304</v>
      </c>
      <c r="O36">
        <v>45155.40051446759</v>
      </c>
      <c r="P36">
        <v>24.81</v>
      </c>
      <c r="Q36">
        <v>1</v>
      </c>
      <c r="R36">
        <v>24.81</v>
      </c>
      <c r="S36">
        <v>45175.359221412036</v>
      </c>
      <c r="T36">
        <v>5504</v>
      </c>
      <c r="U36" t="s">
        <v>1220</v>
      </c>
      <c r="V36" t="s">
        <v>1221</v>
      </c>
      <c r="W36" t="s">
        <v>2</v>
      </c>
      <c r="X36" t="s">
        <v>1179</v>
      </c>
      <c r="AD36">
        <v>824899</v>
      </c>
      <c r="AE36" t="s">
        <v>1277</v>
      </c>
      <c r="AF36">
        <v>45175.35922121528</v>
      </c>
      <c r="AI36">
        <v>62</v>
      </c>
      <c r="AJ36">
        <v>62</v>
      </c>
      <c r="AN36">
        <v>45170</v>
      </c>
      <c r="AO36">
        <v>45199</v>
      </c>
      <c r="AP36" t="s">
        <v>1101</v>
      </c>
    </row>
    <row r="37" spans="1:42" x14ac:dyDescent="0.25">
      <c r="A37">
        <v>2023</v>
      </c>
      <c r="B37">
        <v>9</v>
      </c>
      <c r="C37">
        <v>17</v>
      </c>
      <c r="D37" t="s">
        <v>1088</v>
      </c>
      <c r="E37" t="s">
        <v>282</v>
      </c>
      <c r="F37">
        <v>607932</v>
      </c>
      <c r="G37">
        <v>10147056</v>
      </c>
      <c r="H37" t="s">
        <v>282</v>
      </c>
      <c r="J37">
        <v>53494737</v>
      </c>
      <c r="K37">
        <v>1101</v>
      </c>
      <c r="L37">
        <v>1702</v>
      </c>
      <c r="M37">
        <v>1301</v>
      </c>
      <c r="N37">
        <v>52900314</v>
      </c>
      <c r="O37">
        <v>45155.400623032408</v>
      </c>
      <c r="P37">
        <v>140.62</v>
      </c>
      <c r="Q37">
        <v>1</v>
      </c>
      <c r="R37">
        <v>140.62</v>
      </c>
      <c r="S37">
        <v>45175.359221412036</v>
      </c>
      <c r="T37">
        <v>5502</v>
      </c>
      <c r="U37" t="s">
        <v>1217</v>
      </c>
      <c r="V37" t="s">
        <v>1155</v>
      </c>
      <c r="W37" t="s">
        <v>1179</v>
      </c>
      <c r="X37" t="s">
        <v>1179</v>
      </c>
      <c r="AD37">
        <v>824899</v>
      </c>
      <c r="AE37" t="s">
        <v>1277</v>
      </c>
      <c r="AF37">
        <v>45175.35922121528</v>
      </c>
      <c r="AI37">
        <v>62</v>
      </c>
      <c r="AJ37">
        <v>62</v>
      </c>
      <c r="AN37">
        <v>45170</v>
      </c>
      <c r="AO37">
        <v>45199</v>
      </c>
      <c r="AP37" t="s">
        <v>1101</v>
      </c>
    </row>
    <row r="38" spans="1:42" x14ac:dyDescent="0.25">
      <c r="A38">
        <v>2023</v>
      </c>
      <c r="B38">
        <v>9</v>
      </c>
      <c r="C38">
        <v>17</v>
      </c>
      <c r="D38" t="s">
        <v>1088</v>
      </c>
      <c r="E38" t="s">
        <v>282</v>
      </c>
      <c r="F38">
        <v>607932</v>
      </c>
      <c r="G38">
        <v>10147056</v>
      </c>
      <c r="H38" t="s">
        <v>282</v>
      </c>
      <c r="J38">
        <v>53494738</v>
      </c>
      <c r="K38">
        <v>1103</v>
      </c>
      <c r="L38">
        <v>1702</v>
      </c>
      <c r="M38">
        <v>1301</v>
      </c>
      <c r="N38">
        <v>52900314</v>
      </c>
      <c r="O38">
        <v>45155.400623032408</v>
      </c>
      <c r="P38">
        <v>50.57</v>
      </c>
      <c r="Q38">
        <v>1</v>
      </c>
      <c r="R38">
        <v>50.57</v>
      </c>
      <c r="S38">
        <v>45175.359221412036</v>
      </c>
      <c r="T38">
        <v>5503</v>
      </c>
      <c r="U38" t="s">
        <v>1218</v>
      </c>
      <c r="V38" t="s">
        <v>1157</v>
      </c>
      <c r="W38" t="s">
        <v>1179</v>
      </c>
      <c r="X38" t="s">
        <v>1179</v>
      </c>
      <c r="AD38">
        <v>824899</v>
      </c>
      <c r="AE38" t="s">
        <v>1277</v>
      </c>
      <c r="AF38">
        <v>45175.35922121528</v>
      </c>
      <c r="AI38">
        <v>62</v>
      </c>
      <c r="AJ38">
        <v>62</v>
      </c>
      <c r="AK38" t="s">
        <v>1219</v>
      </c>
      <c r="AN38">
        <v>45170</v>
      </c>
      <c r="AO38">
        <v>45199</v>
      </c>
      <c r="AP38" t="s">
        <v>1101</v>
      </c>
    </row>
    <row r="39" spans="1:42" x14ac:dyDescent="0.25">
      <c r="A39">
        <v>2023</v>
      </c>
      <c r="B39">
        <v>9</v>
      </c>
      <c r="C39">
        <v>17</v>
      </c>
      <c r="D39" t="s">
        <v>1088</v>
      </c>
      <c r="E39" t="s">
        <v>282</v>
      </c>
      <c r="F39">
        <v>607932</v>
      </c>
      <c r="G39">
        <v>10147056</v>
      </c>
      <c r="H39" t="s">
        <v>282</v>
      </c>
      <c r="J39">
        <v>53494739</v>
      </c>
      <c r="K39">
        <v>1100</v>
      </c>
      <c r="L39">
        <v>1700</v>
      </c>
      <c r="M39">
        <v>1304</v>
      </c>
      <c r="N39">
        <v>52900314</v>
      </c>
      <c r="O39">
        <v>45155.400623032408</v>
      </c>
      <c r="P39">
        <v>24.81</v>
      </c>
      <c r="Q39">
        <v>1</v>
      </c>
      <c r="R39">
        <v>24.81</v>
      </c>
      <c r="S39">
        <v>45175.359221412036</v>
      </c>
      <c r="T39">
        <v>5504</v>
      </c>
      <c r="U39" t="s">
        <v>1220</v>
      </c>
      <c r="V39" t="s">
        <v>1221</v>
      </c>
      <c r="W39" t="s">
        <v>2</v>
      </c>
      <c r="X39" t="s">
        <v>1179</v>
      </c>
      <c r="AD39">
        <v>824899</v>
      </c>
      <c r="AE39" t="s">
        <v>1277</v>
      </c>
      <c r="AF39">
        <v>45175.35922121528</v>
      </c>
      <c r="AI39">
        <v>62</v>
      </c>
      <c r="AJ39">
        <v>62</v>
      </c>
      <c r="AN39">
        <v>45170</v>
      </c>
      <c r="AO39">
        <v>45199</v>
      </c>
      <c r="AP39" t="s">
        <v>1101</v>
      </c>
    </row>
    <row r="40" spans="1:42" x14ac:dyDescent="0.25">
      <c r="A40">
        <v>2023</v>
      </c>
      <c r="B40">
        <v>9</v>
      </c>
      <c r="C40">
        <v>17</v>
      </c>
      <c r="D40" t="s">
        <v>1088</v>
      </c>
      <c r="E40" t="s">
        <v>282</v>
      </c>
      <c r="F40">
        <v>599442</v>
      </c>
      <c r="G40">
        <v>9961819</v>
      </c>
      <c r="H40" t="s">
        <v>282</v>
      </c>
      <c r="J40">
        <v>53601533</v>
      </c>
      <c r="K40">
        <v>1102</v>
      </c>
      <c r="L40">
        <v>1702</v>
      </c>
      <c r="M40">
        <v>1304</v>
      </c>
      <c r="N40">
        <v>51740106</v>
      </c>
      <c r="O40">
        <v>45118.504398761572</v>
      </c>
      <c r="P40">
        <v>132.31</v>
      </c>
      <c r="Q40">
        <v>1</v>
      </c>
      <c r="R40">
        <v>132.31</v>
      </c>
      <c r="S40">
        <v>45177.349518252318</v>
      </c>
      <c r="T40">
        <v>5502</v>
      </c>
      <c r="U40" t="s">
        <v>103</v>
      </c>
      <c r="V40" t="s">
        <v>1163</v>
      </c>
      <c r="W40" t="s">
        <v>2</v>
      </c>
      <c r="X40" t="s">
        <v>1091</v>
      </c>
      <c r="AD40">
        <v>825959</v>
      </c>
      <c r="AE40" t="s">
        <v>1278</v>
      </c>
      <c r="AF40">
        <v>45177.349517974537</v>
      </c>
      <c r="AI40">
        <v>62</v>
      </c>
      <c r="AJ40">
        <v>62</v>
      </c>
      <c r="AN40">
        <v>45170</v>
      </c>
      <c r="AO40">
        <v>45199</v>
      </c>
      <c r="AP40" t="s">
        <v>1101</v>
      </c>
    </row>
    <row r="41" spans="1:42" x14ac:dyDescent="0.25">
      <c r="A41">
        <v>2023</v>
      </c>
      <c r="B41">
        <v>9</v>
      </c>
      <c r="C41">
        <v>17</v>
      </c>
      <c r="D41" t="s">
        <v>1088</v>
      </c>
      <c r="E41" t="s">
        <v>282</v>
      </c>
      <c r="F41">
        <v>599442</v>
      </c>
      <c r="G41">
        <v>9961819</v>
      </c>
      <c r="H41" t="s">
        <v>282</v>
      </c>
      <c r="J41">
        <v>53601534</v>
      </c>
      <c r="K41">
        <v>1102</v>
      </c>
      <c r="L41">
        <v>1702</v>
      </c>
      <c r="M41">
        <v>1304</v>
      </c>
      <c r="N41">
        <v>51740107</v>
      </c>
      <c r="O41">
        <v>45118.504496527778</v>
      </c>
      <c r="P41">
        <v>20.48</v>
      </c>
      <c r="Q41">
        <v>1</v>
      </c>
      <c r="R41">
        <v>20.48</v>
      </c>
      <c r="S41">
        <v>45177.349518252318</v>
      </c>
      <c r="T41">
        <v>5502</v>
      </c>
      <c r="U41" t="s">
        <v>103</v>
      </c>
      <c r="V41" t="s">
        <v>1163</v>
      </c>
      <c r="W41" t="s">
        <v>2</v>
      </c>
      <c r="X41" t="s">
        <v>1091</v>
      </c>
      <c r="AD41">
        <v>825959</v>
      </c>
      <c r="AE41" t="s">
        <v>1278</v>
      </c>
      <c r="AF41">
        <v>45177.349517974537</v>
      </c>
      <c r="AI41">
        <v>62</v>
      </c>
      <c r="AJ41">
        <v>62</v>
      </c>
      <c r="AN41">
        <v>45170</v>
      </c>
      <c r="AO41">
        <v>45199</v>
      </c>
      <c r="AP41" t="s">
        <v>1101</v>
      </c>
    </row>
    <row r="42" spans="1:42" x14ac:dyDescent="0.25">
      <c r="A42">
        <v>2023</v>
      </c>
      <c r="B42">
        <v>9</v>
      </c>
      <c r="C42">
        <v>17</v>
      </c>
      <c r="D42" t="s">
        <v>1088</v>
      </c>
      <c r="E42" t="s">
        <v>282</v>
      </c>
      <c r="F42">
        <v>607207</v>
      </c>
      <c r="G42">
        <v>10085891</v>
      </c>
      <c r="H42" t="s">
        <v>282</v>
      </c>
      <c r="J42">
        <v>53696900</v>
      </c>
      <c r="K42">
        <v>1104</v>
      </c>
      <c r="L42">
        <v>1702</v>
      </c>
      <c r="M42">
        <v>1304</v>
      </c>
      <c r="N42">
        <v>52364946</v>
      </c>
      <c r="O42">
        <v>45138.635064849535</v>
      </c>
      <c r="P42">
        <v>33.08</v>
      </c>
      <c r="Q42">
        <v>1</v>
      </c>
      <c r="R42">
        <v>33.08</v>
      </c>
      <c r="S42">
        <v>45181.067376736108</v>
      </c>
      <c r="T42">
        <v>5509</v>
      </c>
      <c r="U42" t="s">
        <v>1152</v>
      </c>
      <c r="V42" t="s">
        <v>1153</v>
      </c>
      <c r="W42" t="s">
        <v>2</v>
      </c>
      <c r="X42" t="s">
        <v>1091</v>
      </c>
      <c r="AI42">
        <v>62</v>
      </c>
      <c r="AJ42">
        <v>62</v>
      </c>
      <c r="AN42">
        <v>45170</v>
      </c>
      <c r="AO42">
        <v>45199</v>
      </c>
      <c r="AP42" t="s">
        <v>1101</v>
      </c>
    </row>
    <row r="43" spans="1:42" x14ac:dyDescent="0.25">
      <c r="A43">
        <v>2023</v>
      </c>
      <c r="B43">
        <v>9</v>
      </c>
      <c r="C43">
        <v>17</v>
      </c>
      <c r="D43" t="s">
        <v>1088</v>
      </c>
      <c r="E43" t="s">
        <v>282</v>
      </c>
      <c r="F43">
        <v>607207</v>
      </c>
      <c r="G43">
        <v>10085891</v>
      </c>
      <c r="H43" t="s">
        <v>282</v>
      </c>
      <c r="J43">
        <v>53696901</v>
      </c>
      <c r="K43">
        <v>1104</v>
      </c>
      <c r="L43">
        <v>1702</v>
      </c>
      <c r="M43">
        <v>1304</v>
      </c>
      <c r="N43">
        <v>52364951</v>
      </c>
      <c r="O43">
        <v>45138.635190740744</v>
      </c>
      <c r="P43">
        <v>33.08</v>
      </c>
      <c r="Q43">
        <v>1</v>
      </c>
      <c r="R43">
        <v>33.08</v>
      </c>
      <c r="S43">
        <v>45181.067376736108</v>
      </c>
      <c r="T43">
        <v>5509</v>
      </c>
      <c r="U43" t="s">
        <v>1152</v>
      </c>
      <c r="V43" t="s">
        <v>1153</v>
      </c>
      <c r="W43" t="s">
        <v>2</v>
      </c>
      <c r="X43" t="s">
        <v>1091</v>
      </c>
      <c r="AI43">
        <v>62</v>
      </c>
      <c r="AJ43">
        <v>62</v>
      </c>
      <c r="AN43">
        <v>45170</v>
      </c>
      <c r="AO43">
        <v>45199</v>
      </c>
      <c r="AP43" t="s">
        <v>1101</v>
      </c>
    </row>
    <row r="44" spans="1:42" x14ac:dyDescent="0.25">
      <c r="A44">
        <v>2023</v>
      </c>
      <c r="B44">
        <v>9</v>
      </c>
      <c r="C44">
        <v>17</v>
      </c>
      <c r="D44" t="s">
        <v>1088</v>
      </c>
      <c r="E44" t="s">
        <v>282</v>
      </c>
      <c r="F44">
        <v>580115</v>
      </c>
      <c r="G44">
        <v>9583109</v>
      </c>
      <c r="H44" t="s">
        <v>282</v>
      </c>
      <c r="J44">
        <v>53962135</v>
      </c>
      <c r="K44">
        <v>1101</v>
      </c>
      <c r="L44">
        <v>1702</v>
      </c>
      <c r="M44">
        <v>1301</v>
      </c>
      <c r="N44">
        <v>49180569</v>
      </c>
      <c r="O44">
        <v>45036.662660381946</v>
      </c>
      <c r="P44">
        <v>115.8</v>
      </c>
      <c r="Q44">
        <v>1</v>
      </c>
      <c r="R44">
        <v>115.8</v>
      </c>
      <c r="S44">
        <v>45189.378017592593</v>
      </c>
      <c r="T44">
        <v>5502</v>
      </c>
      <c r="U44" t="s">
        <v>1217</v>
      </c>
      <c r="V44" t="s">
        <v>1155</v>
      </c>
      <c r="W44" t="s">
        <v>1091</v>
      </c>
      <c r="X44" t="s">
        <v>1091</v>
      </c>
      <c r="AD44">
        <v>830521</v>
      </c>
      <c r="AE44" t="s">
        <v>1279</v>
      </c>
      <c r="AF44">
        <v>45189.378017361109</v>
      </c>
      <c r="AI44">
        <v>62</v>
      </c>
      <c r="AJ44">
        <v>62</v>
      </c>
      <c r="AN44">
        <v>45170</v>
      </c>
      <c r="AO44">
        <v>45199</v>
      </c>
      <c r="AP44" t="s">
        <v>1101</v>
      </c>
    </row>
    <row r="45" spans="1:42" x14ac:dyDescent="0.25">
      <c r="A45">
        <v>2023</v>
      </c>
      <c r="B45">
        <v>9</v>
      </c>
      <c r="C45">
        <v>17</v>
      </c>
      <c r="D45" t="s">
        <v>1088</v>
      </c>
      <c r="E45" t="s">
        <v>282</v>
      </c>
      <c r="F45">
        <v>580115</v>
      </c>
      <c r="G45">
        <v>9583109</v>
      </c>
      <c r="H45" t="s">
        <v>282</v>
      </c>
      <c r="J45">
        <v>53962136</v>
      </c>
      <c r="K45">
        <v>1103</v>
      </c>
      <c r="L45">
        <v>1702</v>
      </c>
      <c r="M45">
        <v>1301</v>
      </c>
      <c r="N45">
        <v>49180569</v>
      </c>
      <c r="O45">
        <v>45036.662660381946</v>
      </c>
      <c r="P45">
        <v>50.57</v>
      </c>
      <c r="Q45">
        <v>1</v>
      </c>
      <c r="R45">
        <v>50.57</v>
      </c>
      <c r="S45">
        <v>45189.378017592593</v>
      </c>
      <c r="T45">
        <v>5503</v>
      </c>
      <c r="U45" t="s">
        <v>1218</v>
      </c>
      <c r="V45" t="s">
        <v>1157</v>
      </c>
      <c r="W45" t="s">
        <v>1091</v>
      </c>
      <c r="X45" t="s">
        <v>1091</v>
      </c>
      <c r="AD45">
        <v>830521</v>
      </c>
      <c r="AE45" t="s">
        <v>1279</v>
      </c>
      <c r="AF45">
        <v>45189.378017361109</v>
      </c>
      <c r="AI45">
        <v>62</v>
      </c>
      <c r="AJ45">
        <v>62</v>
      </c>
      <c r="AK45" t="s">
        <v>1219</v>
      </c>
      <c r="AN45">
        <v>45170</v>
      </c>
      <c r="AO45">
        <v>45199</v>
      </c>
      <c r="AP45" t="s">
        <v>1101</v>
      </c>
    </row>
    <row r="46" spans="1:42" x14ac:dyDescent="0.25">
      <c r="A46">
        <v>2023</v>
      </c>
      <c r="B46">
        <v>9</v>
      </c>
      <c r="C46">
        <v>17</v>
      </c>
      <c r="D46" t="s">
        <v>1088</v>
      </c>
      <c r="E46" t="s">
        <v>282</v>
      </c>
      <c r="F46">
        <v>580115</v>
      </c>
      <c r="G46">
        <v>9583109</v>
      </c>
      <c r="H46" t="s">
        <v>282</v>
      </c>
      <c r="J46">
        <v>53962137</v>
      </c>
      <c r="K46">
        <v>1100</v>
      </c>
      <c r="L46">
        <v>1700</v>
      </c>
      <c r="M46">
        <v>1304</v>
      </c>
      <c r="N46">
        <v>49180569</v>
      </c>
      <c r="O46">
        <v>45036.662660381946</v>
      </c>
      <c r="P46">
        <v>49.63</v>
      </c>
      <c r="Q46">
        <v>1</v>
      </c>
      <c r="R46">
        <v>49.63</v>
      </c>
      <c r="S46">
        <v>45189.378017592593</v>
      </c>
      <c r="T46">
        <v>5504</v>
      </c>
      <c r="U46" t="s">
        <v>1220</v>
      </c>
      <c r="V46" t="s">
        <v>1221</v>
      </c>
      <c r="W46" t="s">
        <v>2</v>
      </c>
      <c r="X46" t="s">
        <v>1091</v>
      </c>
      <c r="AD46">
        <v>830521</v>
      </c>
      <c r="AE46" t="s">
        <v>1279</v>
      </c>
      <c r="AF46">
        <v>45189.378017361109</v>
      </c>
      <c r="AI46">
        <v>62</v>
      </c>
      <c r="AJ46">
        <v>62</v>
      </c>
      <c r="AN46">
        <v>45170</v>
      </c>
      <c r="AO46">
        <v>45199</v>
      </c>
      <c r="AP46" t="s">
        <v>1101</v>
      </c>
    </row>
    <row r="47" spans="1:42" x14ac:dyDescent="0.25">
      <c r="A47">
        <v>2023</v>
      </c>
      <c r="B47">
        <v>9</v>
      </c>
      <c r="C47">
        <v>17</v>
      </c>
      <c r="D47" t="s">
        <v>1088</v>
      </c>
      <c r="E47" t="s">
        <v>282</v>
      </c>
      <c r="F47">
        <v>580115</v>
      </c>
      <c r="G47">
        <v>9583109</v>
      </c>
      <c r="H47" t="s">
        <v>282</v>
      </c>
      <c r="J47">
        <v>53962138</v>
      </c>
      <c r="K47">
        <v>1100</v>
      </c>
      <c r="L47">
        <v>1700</v>
      </c>
      <c r="M47">
        <v>1304</v>
      </c>
      <c r="N47">
        <v>49180569</v>
      </c>
      <c r="O47">
        <v>45036.662660381946</v>
      </c>
      <c r="P47">
        <v>-216</v>
      </c>
      <c r="Q47">
        <v>1</v>
      </c>
      <c r="R47">
        <v>-216</v>
      </c>
      <c r="S47">
        <v>45189.378017592593</v>
      </c>
      <c r="T47">
        <v>5508</v>
      </c>
      <c r="U47" t="s">
        <v>1239</v>
      </c>
      <c r="V47" t="s">
        <v>1221</v>
      </c>
      <c r="W47" t="s">
        <v>2</v>
      </c>
      <c r="X47" t="s">
        <v>1091</v>
      </c>
      <c r="AD47">
        <v>830521</v>
      </c>
      <c r="AE47" t="s">
        <v>1279</v>
      </c>
      <c r="AF47">
        <v>45189.378017361109</v>
      </c>
      <c r="AI47">
        <v>62</v>
      </c>
      <c r="AJ47">
        <v>62</v>
      </c>
      <c r="AN47">
        <v>45170</v>
      </c>
      <c r="AO47">
        <v>45199</v>
      </c>
      <c r="AP47" t="s">
        <v>1101</v>
      </c>
    </row>
    <row r="48" spans="1:42" x14ac:dyDescent="0.25">
      <c r="A48">
        <v>2023</v>
      </c>
      <c r="B48">
        <v>9</v>
      </c>
      <c r="C48">
        <v>17</v>
      </c>
      <c r="D48" t="s">
        <v>1088</v>
      </c>
      <c r="E48" t="s">
        <v>282</v>
      </c>
      <c r="F48">
        <v>580115</v>
      </c>
      <c r="G48">
        <v>9583109</v>
      </c>
      <c r="H48" t="s">
        <v>282</v>
      </c>
      <c r="J48">
        <v>53962139</v>
      </c>
      <c r="K48">
        <v>1104</v>
      </c>
      <c r="L48">
        <v>1702</v>
      </c>
      <c r="M48">
        <v>1304</v>
      </c>
      <c r="N48">
        <v>49180569</v>
      </c>
      <c r="O48">
        <v>45036.662660381946</v>
      </c>
      <c r="P48">
        <v>-158</v>
      </c>
      <c r="Q48">
        <v>1</v>
      </c>
      <c r="R48">
        <v>-158</v>
      </c>
      <c r="S48">
        <v>45189.378017592593</v>
      </c>
      <c r="T48">
        <v>5510</v>
      </c>
      <c r="U48" t="s">
        <v>1183</v>
      </c>
      <c r="V48" t="s">
        <v>1153</v>
      </c>
      <c r="W48" t="s">
        <v>2</v>
      </c>
      <c r="X48" t="s">
        <v>1091</v>
      </c>
      <c r="AD48">
        <v>830521</v>
      </c>
      <c r="AE48" t="s">
        <v>1279</v>
      </c>
      <c r="AF48">
        <v>45189.378017361109</v>
      </c>
      <c r="AI48">
        <v>62</v>
      </c>
      <c r="AJ48">
        <v>62</v>
      </c>
      <c r="AN48">
        <v>45170</v>
      </c>
      <c r="AO48">
        <v>45199</v>
      </c>
      <c r="AP48" t="s">
        <v>1101</v>
      </c>
    </row>
    <row r="49" spans="1:42" x14ac:dyDescent="0.25">
      <c r="A49">
        <v>2023</v>
      </c>
      <c r="B49">
        <v>9</v>
      </c>
      <c r="C49">
        <v>17</v>
      </c>
      <c r="D49" t="s">
        <v>1088</v>
      </c>
      <c r="E49" t="s">
        <v>282</v>
      </c>
      <c r="F49">
        <v>580115</v>
      </c>
      <c r="G49">
        <v>9583109</v>
      </c>
      <c r="H49" t="s">
        <v>282</v>
      </c>
      <c r="J49">
        <v>53962140</v>
      </c>
      <c r="K49">
        <v>1101</v>
      </c>
      <c r="L49">
        <v>1702</v>
      </c>
      <c r="M49">
        <v>1301</v>
      </c>
      <c r="N49">
        <v>49180573</v>
      </c>
      <c r="O49">
        <v>45036.662754548612</v>
      </c>
      <c r="P49">
        <v>115.8</v>
      </c>
      <c r="Q49">
        <v>1</v>
      </c>
      <c r="R49">
        <v>115.8</v>
      </c>
      <c r="S49">
        <v>45189.378017592593</v>
      </c>
      <c r="T49">
        <v>5502</v>
      </c>
      <c r="U49" t="s">
        <v>1217</v>
      </c>
      <c r="V49" t="s">
        <v>1155</v>
      </c>
      <c r="W49" t="s">
        <v>1091</v>
      </c>
      <c r="X49" t="s">
        <v>1091</v>
      </c>
      <c r="AD49">
        <v>830521</v>
      </c>
      <c r="AE49" t="s">
        <v>1279</v>
      </c>
      <c r="AF49">
        <v>45189.378017361109</v>
      </c>
      <c r="AI49">
        <v>62</v>
      </c>
      <c r="AJ49">
        <v>62</v>
      </c>
      <c r="AN49">
        <v>45170</v>
      </c>
      <c r="AO49">
        <v>45199</v>
      </c>
      <c r="AP49" t="s">
        <v>1101</v>
      </c>
    </row>
    <row r="50" spans="1:42" x14ac:dyDescent="0.25">
      <c r="A50">
        <v>2023</v>
      </c>
      <c r="B50">
        <v>9</v>
      </c>
      <c r="C50">
        <v>17</v>
      </c>
      <c r="D50" t="s">
        <v>1088</v>
      </c>
      <c r="E50" t="s">
        <v>282</v>
      </c>
      <c r="F50">
        <v>580115</v>
      </c>
      <c r="G50">
        <v>9583109</v>
      </c>
      <c r="H50" t="s">
        <v>282</v>
      </c>
      <c r="J50">
        <v>53962141</v>
      </c>
      <c r="K50">
        <v>1103</v>
      </c>
      <c r="L50">
        <v>1702</v>
      </c>
      <c r="M50">
        <v>1301</v>
      </c>
      <c r="N50">
        <v>49180573</v>
      </c>
      <c r="O50">
        <v>45036.662754548612</v>
      </c>
      <c r="P50">
        <v>50.57</v>
      </c>
      <c r="Q50">
        <v>1</v>
      </c>
      <c r="R50">
        <v>50.57</v>
      </c>
      <c r="S50">
        <v>45189.378017592593</v>
      </c>
      <c r="T50">
        <v>5503</v>
      </c>
      <c r="U50" t="s">
        <v>1218</v>
      </c>
      <c r="V50" t="s">
        <v>1157</v>
      </c>
      <c r="W50" t="s">
        <v>1091</v>
      </c>
      <c r="X50" t="s">
        <v>1091</v>
      </c>
      <c r="AD50">
        <v>830521</v>
      </c>
      <c r="AE50" t="s">
        <v>1279</v>
      </c>
      <c r="AF50">
        <v>45189.378017361109</v>
      </c>
      <c r="AI50">
        <v>62</v>
      </c>
      <c r="AJ50">
        <v>62</v>
      </c>
      <c r="AK50" t="s">
        <v>1219</v>
      </c>
      <c r="AN50">
        <v>45170</v>
      </c>
      <c r="AO50">
        <v>45199</v>
      </c>
      <c r="AP50" t="s">
        <v>1101</v>
      </c>
    </row>
    <row r="51" spans="1:42" x14ac:dyDescent="0.25">
      <c r="A51">
        <v>2023</v>
      </c>
      <c r="B51">
        <v>9</v>
      </c>
      <c r="C51">
        <v>17</v>
      </c>
      <c r="D51" t="s">
        <v>1088</v>
      </c>
      <c r="E51" t="s">
        <v>282</v>
      </c>
      <c r="F51">
        <v>580115</v>
      </c>
      <c r="G51">
        <v>9583109</v>
      </c>
      <c r="H51" t="s">
        <v>282</v>
      </c>
      <c r="J51">
        <v>53962142</v>
      </c>
      <c r="K51">
        <v>1100</v>
      </c>
      <c r="L51">
        <v>1700</v>
      </c>
      <c r="M51">
        <v>1304</v>
      </c>
      <c r="N51">
        <v>49180573</v>
      </c>
      <c r="O51">
        <v>45036.662754548612</v>
      </c>
      <c r="P51">
        <v>49.63</v>
      </c>
      <c r="Q51">
        <v>1</v>
      </c>
      <c r="R51">
        <v>49.63</v>
      </c>
      <c r="S51">
        <v>45189.378017592593</v>
      </c>
      <c r="T51">
        <v>5504</v>
      </c>
      <c r="U51" t="s">
        <v>1220</v>
      </c>
      <c r="V51" t="s">
        <v>1221</v>
      </c>
      <c r="W51" t="s">
        <v>2</v>
      </c>
      <c r="X51" t="s">
        <v>1091</v>
      </c>
      <c r="AD51">
        <v>830521</v>
      </c>
      <c r="AE51" t="s">
        <v>1279</v>
      </c>
      <c r="AF51">
        <v>45189.378017361109</v>
      </c>
      <c r="AI51">
        <v>62</v>
      </c>
      <c r="AJ51">
        <v>62</v>
      </c>
      <c r="AN51">
        <v>45170</v>
      </c>
      <c r="AO51">
        <v>45199</v>
      </c>
      <c r="AP51" t="s">
        <v>1101</v>
      </c>
    </row>
    <row r="52" spans="1:42" x14ac:dyDescent="0.25">
      <c r="A52">
        <v>2023</v>
      </c>
      <c r="B52">
        <v>9</v>
      </c>
      <c r="C52">
        <v>17</v>
      </c>
      <c r="D52" t="s">
        <v>1088</v>
      </c>
      <c r="E52" t="s">
        <v>282</v>
      </c>
      <c r="F52">
        <v>580115</v>
      </c>
      <c r="G52">
        <v>9583109</v>
      </c>
      <c r="H52" t="s">
        <v>282</v>
      </c>
      <c r="J52">
        <v>53962143</v>
      </c>
      <c r="K52">
        <v>1100</v>
      </c>
      <c r="L52">
        <v>1700</v>
      </c>
      <c r="M52">
        <v>1304</v>
      </c>
      <c r="N52">
        <v>49180573</v>
      </c>
      <c r="O52">
        <v>45036.662754548612</v>
      </c>
      <c r="P52">
        <v>-216</v>
      </c>
      <c r="Q52">
        <v>1</v>
      </c>
      <c r="R52">
        <v>-216</v>
      </c>
      <c r="S52">
        <v>45189.378017592593</v>
      </c>
      <c r="T52">
        <v>5508</v>
      </c>
      <c r="U52" t="s">
        <v>1239</v>
      </c>
      <c r="V52" t="s">
        <v>1221</v>
      </c>
      <c r="W52" t="s">
        <v>2</v>
      </c>
      <c r="X52" t="s">
        <v>1091</v>
      </c>
      <c r="AD52">
        <v>830521</v>
      </c>
      <c r="AE52" t="s">
        <v>1279</v>
      </c>
      <c r="AF52">
        <v>45189.378017361109</v>
      </c>
      <c r="AI52">
        <v>62</v>
      </c>
      <c r="AJ52">
        <v>62</v>
      </c>
      <c r="AN52">
        <v>45170</v>
      </c>
      <c r="AO52">
        <v>45199</v>
      </c>
      <c r="AP52" t="s">
        <v>1101</v>
      </c>
    </row>
    <row r="53" spans="1:42" x14ac:dyDescent="0.25">
      <c r="A53">
        <v>2023</v>
      </c>
      <c r="B53">
        <v>9</v>
      </c>
      <c r="C53">
        <v>17</v>
      </c>
      <c r="D53" t="s">
        <v>1088</v>
      </c>
      <c r="E53" t="s">
        <v>282</v>
      </c>
      <c r="F53">
        <v>607142</v>
      </c>
      <c r="G53">
        <v>10084710</v>
      </c>
      <c r="H53" t="s">
        <v>282</v>
      </c>
      <c r="J53">
        <v>54063775</v>
      </c>
      <c r="K53">
        <v>1104</v>
      </c>
      <c r="L53">
        <v>1702</v>
      </c>
      <c r="M53">
        <v>1304</v>
      </c>
      <c r="N53">
        <v>52564651</v>
      </c>
      <c r="O53">
        <v>45145.426972534726</v>
      </c>
      <c r="P53">
        <v>-332</v>
      </c>
      <c r="Q53">
        <v>1</v>
      </c>
      <c r="R53">
        <v>-332</v>
      </c>
      <c r="S53">
        <v>45191.650657488426</v>
      </c>
      <c r="T53">
        <v>5510</v>
      </c>
      <c r="U53" t="s">
        <v>1183</v>
      </c>
      <c r="V53" t="s">
        <v>1153</v>
      </c>
      <c r="W53" t="s">
        <v>2</v>
      </c>
      <c r="AI53">
        <v>62</v>
      </c>
      <c r="AJ53">
        <v>62</v>
      </c>
      <c r="AN53">
        <v>45170</v>
      </c>
      <c r="AO53">
        <v>45199</v>
      </c>
      <c r="AP53" t="s">
        <v>1101</v>
      </c>
    </row>
    <row r="54" spans="1:42" x14ac:dyDescent="0.25">
      <c r="A54">
        <v>2023</v>
      </c>
      <c r="B54">
        <v>9</v>
      </c>
      <c r="C54">
        <v>17</v>
      </c>
      <c r="D54" t="s">
        <v>1088</v>
      </c>
      <c r="E54" t="s">
        <v>282</v>
      </c>
      <c r="F54">
        <v>605813</v>
      </c>
      <c r="G54">
        <v>10077725</v>
      </c>
      <c r="H54" t="s">
        <v>282</v>
      </c>
      <c r="J54">
        <v>54069287</v>
      </c>
      <c r="K54">
        <v>1104</v>
      </c>
      <c r="L54">
        <v>1702</v>
      </c>
      <c r="M54">
        <v>1304</v>
      </c>
      <c r="N54">
        <v>52085600</v>
      </c>
      <c r="O54">
        <v>45128.484901851851</v>
      </c>
      <c r="P54">
        <v>50</v>
      </c>
      <c r="Q54">
        <v>1</v>
      </c>
      <c r="R54">
        <v>50</v>
      </c>
      <c r="S54">
        <v>45192.067372569443</v>
      </c>
      <c r="T54">
        <v>5509</v>
      </c>
      <c r="U54" t="s">
        <v>1152</v>
      </c>
      <c r="V54" t="s">
        <v>1153</v>
      </c>
      <c r="W54" t="s">
        <v>2</v>
      </c>
      <c r="X54" t="s">
        <v>1091</v>
      </c>
      <c r="AI54">
        <v>62</v>
      </c>
      <c r="AJ54">
        <v>62</v>
      </c>
      <c r="AN54">
        <v>45170</v>
      </c>
      <c r="AO54">
        <v>45199</v>
      </c>
      <c r="AP54" t="s">
        <v>1101</v>
      </c>
    </row>
    <row r="55" spans="1:42" x14ac:dyDescent="0.25">
      <c r="A55">
        <v>2023</v>
      </c>
      <c r="B55">
        <v>9</v>
      </c>
      <c r="C55">
        <v>17</v>
      </c>
      <c r="D55" t="s">
        <v>1088</v>
      </c>
      <c r="E55" t="s">
        <v>282</v>
      </c>
      <c r="F55">
        <v>580115</v>
      </c>
      <c r="G55">
        <v>9583109</v>
      </c>
      <c r="H55" t="s">
        <v>282</v>
      </c>
      <c r="J55">
        <v>54076879</v>
      </c>
      <c r="K55">
        <v>1104</v>
      </c>
      <c r="L55">
        <v>1702</v>
      </c>
      <c r="M55">
        <v>1304</v>
      </c>
      <c r="N55">
        <v>49180569</v>
      </c>
      <c r="O55">
        <v>45036.662660381946</v>
      </c>
      <c r="P55">
        <v>-49.63</v>
      </c>
      <c r="Q55">
        <v>1</v>
      </c>
      <c r="R55">
        <v>-49.63</v>
      </c>
      <c r="S55">
        <v>45194.363236805555</v>
      </c>
      <c r="T55">
        <v>5510</v>
      </c>
      <c r="U55" t="s">
        <v>1183</v>
      </c>
      <c r="V55" t="s">
        <v>1153</v>
      </c>
      <c r="W55" t="s">
        <v>2</v>
      </c>
      <c r="X55" t="s">
        <v>1091</v>
      </c>
      <c r="AI55">
        <v>62</v>
      </c>
      <c r="AJ55">
        <v>62</v>
      </c>
      <c r="AN55">
        <v>45170</v>
      </c>
      <c r="AO55">
        <v>45199</v>
      </c>
      <c r="AP55" t="s">
        <v>1101</v>
      </c>
    </row>
    <row r="56" spans="1:42" x14ac:dyDescent="0.25">
      <c r="A56">
        <v>2023</v>
      </c>
      <c r="B56">
        <v>9</v>
      </c>
      <c r="C56">
        <v>17</v>
      </c>
      <c r="D56" t="s">
        <v>1088</v>
      </c>
      <c r="E56" t="s">
        <v>282</v>
      </c>
      <c r="F56">
        <v>580115</v>
      </c>
      <c r="G56">
        <v>9583109</v>
      </c>
      <c r="H56" t="s">
        <v>282</v>
      </c>
      <c r="J56">
        <v>54076880</v>
      </c>
      <c r="K56">
        <v>1104</v>
      </c>
      <c r="L56">
        <v>1702</v>
      </c>
      <c r="M56">
        <v>1304</v>
      </c>
      <c r="N56">
        <v>49180573</v>
      </c>
      <c r="O56">
        <v>45036.662754548612</v>
      </c>
      <c r="P56">
        <v>-49.63</v>
      </c>
      <c r="Q56">
        <v>1</v>
      </c>
      <c r="R56">
        <v>-49.63</v>
      </c>
      <c r="S56">
        <v>45194.363254976852</v>
      </c>
      <c r="T56">
        <v>5510</v>
      </c>
      <c r="U56" t="s">
        <v>1183</v>
      </c>
      <c r="V56" t="s">
        <v>1153</v>
      </c>
      <c r="W56" t="s">
        <v>2</v>
      </c>
      <c r="X56" t="s">
        <v>1091</v>
      </c>
      <c r="AI56">
        <v>62</v>
      </c>
      <c r="AJ56">
        <v>62</v>
      </c>
      <c r="AN56">
        <v>45170</v>
      </c>
      <c r="AO56">
        <v>45199</v>
      </c>
      <c r="AP56" t="s">
        <v>1101</v>
      </c>
    </row>
    <row r="57" spans="1:42" x14ac:dyDescent="0.25">
      <c r="A57">
        <v>2023</v>
      </c>
      <c r="B57">
        <v>9</v>
      </c>
      <c r="C57">
        <v>17</v>
      </c>
      <c r="D57" t="s">
        <v>1088</v>
      </c>
      <c r="E57" t="s">
        <v>282</v>
      </c>
      <c r="F57">
        <v>616414</v>
      </c>
      <c r="G57">
        <v>10301617</v>
      </c>
      <c r="H57" t="s">
        <v>282</v>
      </c>
      <c r="J57">
        <v>53454114</v>
      </c>
      <c r="K57">
        <v>1104</v>
      </c>
      <c r="L57">
        <v>1702</v>
      </c>
      <c r="M57">
        <v>1304</v>
      </c>
      <c r="N57">
        <v>53421824</v>
      </c>
      <c r="O57">
        <v>45170.421855983797</v>
      </c>
      <c r="P57">
        <v>216</v>
      </c>
      <c r="Q57">
        <v>1</v>
      </c>
      <c r="R57">
        <v>216</v>
      </c>
      <c r="S57">
        <v>45171.067373414349</v>
      </c>
      <c r="T57">
        <v>5509</v>
      </c>
      <c r="U57" t="s">
        <v>1152</v>
      </c>
      <c r="V57" t="s">
        <v>1153</v>
      </c>
      <c r="W57" t="s">
        <v>2</v>
      </c>
      <c r="AI57">
        <v>62</v>
      </c>
      <c r="AJ57">
        <v>62</v>
      </c>
      <c r="AN57">
        <v>45170</v>
      </c>
      <c r="AO57">
        <v>45199</v>
      </c>
      <c r="AP57" t="s">
        <v>1101</v>
      </c>
    </row>
    <row r="58" spans="1:42" x14ac:dyDescent="0.25">
      <c r="A58">
        <v>2023</v>
      </c>
      <c r="B58">
        <v>9</v>
      </c>
      <c r="C58">
        <v>17</v>
      </c>
      <c r="D58" t="s">
        <v>1088</v>
      </c>
      <c r="E58" t="s">
        <v>282</v>
      </c>
      <c r="F58">
        <v>616414</v>
      </c>
      <c r="G58">
        <v>10301617</v>
      </c>
      <c r="H58" t="s">
        <v>282</v>
      </c>
      <c r="J58">
        <v>53454115</v>
      </c>
      <c r="K58">
        <v>1104</v>
      </c>
      <c r="L58">
        <v>1702</v>
      </c>
      <c r="M58">
        <v>1304</v>
      </c>
      <c r="N58">
        <v>53421825</v>
      </c>
      <c r="O58">
        <v>45170.421947141207</v>
      </c>
      <c r="P58">
        <v>216</v>
      </c>
      <c r="Q58">
        <v>1</v>
      </c>
      <c r="R58">
        <v>216</v>
      </c>
      <c r="S58">
        <v>45171.067373414349</v>
      </c>
      <c r="T58">
        <v>5509</v>
      </c>
      <c r="U58" t="s">
        <v>1152</v>
      </c>
      <c r="V58" t="s">
        <v>1153</v>
      </c>
      <c r="W58" t="s">
        <v>2</v>
      </c>
      <c r="AI58">
        <v>62</v>
      </c>
      <c r="AJ58">
        <v>62</v>
      </c>
      <c r="AN58">
        <v>45170</v>
      </c>
      <c r="AO58">
        <v>45199</v>
      </c>
      <c r="AP58" t="s">
        <v>1101</v>
      </c>
    </row>
    <row r="59" spans="1:42" x14ac:dyDescent="0.25">
      <c r="A59">
        <v>2023</v>
      </c>
      <c r="B59">
        <v>9</v>
      </c>
      <c r="C59">
        <v>17</v>
      </c>
      <c r="D59" t="s">
        <v>1088</v>
      </c>
      <c r="E59" t="s">
        <v>282</v>
      </c>
      <c r="F59">
        <v>616414</v>
      </c>
      <c r="G59">
        <v>10301617</v>
      </c>
      <c r="H59" t="s">
        <v>282</v>
      </c>
      <c r="J59">
        <v>53454116</v>
      </c>
      <c r="K59">
        <v>1104</v>
      </c>
      <c r="L59">
        <v>1702</v>
      </c>
      <c r="M59">
        <v>1304</v>
      </c>
      <c r="N59">
        <v>53421828</v>
      </c>
      <c r="O59">
        <v>45170.422036840275</v>
      </c>
      <c r="P59">
        <v>18</v>
      </c>
      <c r="Q59">
        <v>1</v>
      </c>
      <c r="R59">
        <v>18</v>
      </c>
      <c r="S59">
        <v>45171.067373414349</v>
      </c>
      <c r="T59">
        <v>5509</v>
      </c>
      <c r="U59" t="s">
        <v>1152</v>
      </c>
      <c r="V59" t="s">
        <v>1153</v>
      </c>
      <c r="W59" t="s">
        <v>2</v>
      </c>
      <c r="AI59">
        <v>62</v>
      </c>
      <c r="AJ59">
        <v>62</v>
      </c>
      <c r="AN59">
        <v>45170</v>
      </c>
      <c r="AO59">
        <v>45199</v>
      </c>
      <c r="AP59" t="s">
        <v>1101</v>
      </c>
    </row>
    <row r="60" spans="1:42" x14ac:dyDescent="0.25">
      <c r="A60">
        <v>2023</v>
      </c>
      <c r="B60">
        <v>9</v>
      </c>
      <c r="C60">
        <v>17</v>
      </c>
      <c r="D60" t="s">
        <v>1088</v>
      </c>
      <c r="E60" t="s">
        <v>282</v>
      </c>
      <c r="F60">
        <v>616414</v>
      </c>
      <c r="G60">
        <v>10301617</v>
      </c>
      <c r="H60" t="s">
        <v>282</v>
      </c>
      <c r="J60">
        <v>53421824</v>
      </c>
      <c r="K60">
        <v>1100</v>
      </c>
      <c r="L60">
        <v>1700</v>
      </c>
      <c r="M60">
        <v>1304</v>
      </c>
      <c r="P60">
        <v>216</v>
      </c>
      <c r="Q60">
        <v>1</v>
      </c>
      <c r="R60">
        <v>216</v>
      </c>
      <c r="S60">
        <v>45170.421855983797</v>
      </c>
      <c r="T60">
        <v>5500</v>
      </c>
      <c r="U60" t="s">
        <v>1154</v>
      </c>
      <c r="V60" t="s">
        <v>99</v>
      </c>
      <c r="W60" t="s">
        <v>2</v>
      </c>
      <c r="AI60">
        <v>62</v>
      </c>
      <c r="AJ60">
        <v>62</v>
      </c>
      <c r="AN60">
        <v>45170</v>
      </c>
      <c r="AO60">
        <v>45199</v>
      </c>
      <c r="AP60" t="s">
        <v>1101</v>
      </c>
    </row>
    <row r="61" spans="1:42" x14ac:dyDescent="0.25">
      <c r="A61">
        <v>2023</v>
      </c>
      <c r="B61">
        <v>9</v>
      </c>
      <c r="C61">
        <v>17</v>
      </c>
      <c r="D61" t="s">
        <v>1088</v>
      </c>
      <c r="E61" t="s">
        <v>282</v>
      </c>
      <c r="F61">
        <v>616414</v>
      </c>
      <c r="G61">
        <v>10301617</v>
      </c>
      <c r="H61" t="s">
        <v>282</v>
      </c>
      <c r="J61">
        <v>53421825</v>
      </c>
      <c r="K61">
        <v>1100</v>
      </c>
      <c r="L61">
        <v>1700</v>
      </c>
      <c r="M61">
        <v>1304</v>
      </c>
      <c r="P61">
        <v>216</v>
      </c>
      <c r="Q61">
        <v>1</v>
      </c>
      <c r="R61">
        <v>216</v>
      </c>
      <c r="S61">
        <v>45170.421947141207</v>
      </c>
      <c r="T61">
        <v>5500</v>
      </c>
      <c r="U61" t="s">
        <v>1154</v>
      </c>
      <c r="V61" t="s">
        <v>99</v>
      </c>
      <c r="W61" t="s">
        <v>2</v>
      </c>
      <c r="AI61">
        <v>62</v>
      </c>
      <c r="AJ61">
        <v>62</v>
      </c>
      <c r="AN61">
        <v>45170</v>
      </c>
      <c r="AO61">
        <v>45199</v>
      </c>
      <c r="AP61" t="s">
        <v>1101</v>
      </c>
    </row>
    <row r="62" spans="1:42" x14ac:dyDescent="0.25">
      <c r="A62">
        <v>2023</v>
      </c>
      <c r="B62">
        <v>9</v>
      </c>
      <c r="C62">
        <v>17</v>
      </c>
      <c r="D62" t="s">
        <v>1088</v>
      </c>
      <c r="E62" t="s">
        <v>282</v>
      </c>
      <c r="F62">
        <v>616414</v>
      </c>
      <c r="G62">
        <v>10301617</v>
      </c>
      <c r="H62" t="s">
        <v>282</v>
      </c>
      <c r="J62">
        <v>53421828</v>
      </c>
      <c r="K62">
        <v>1100</v>
      </c>
      <c r="L62">
        <v>1700</v>
      </c>
      <c r="M62">
        <v>1304</v>
      </c>
      <c r="P62">
        <v>18</v>
      </c>
      <c r="Q62">
        <v>1</v>
      </c>
      <c r="R62">
        <v>18</v>
      </c>
      <c r="S62">
        <v>45170.422036840275</v>
      </c>
      <c r="T62">
        <v>5500</v>
      </c>
      <c r="U62" t="s">
        <v>1154</v>
      </c>
      <c r="V62" t="s">
        <v>99</v>
      </c>
      <c r="W62" t="s">
        <v>2</v>
      </c>
      <c r="AI62">
        <v>62</v>
      </c>
      <c r="AJ62">
        <v>62</v>
      </c>
      <c r="AN62">
        <v>45170</v>
      </c>
      <c r="AO62">
        <v>45199</v>
      </c>
      <c r="AP62" t="s">
        <v>1101</v>
      </c>
    </row>
    <row r="63" spans="1:42" x14ac:dyDescent="0.25">
      <c r="A63">
        <v>2023</v>
      </c>
      <c r="B63">
        <v>9</v>
      </c>
      <c r="C63">
        <v>17</v>
      </c>
      <c r="D63" t="s">
        <v>1088</v>
      </c>
      <c r="E63" t="s">
        <v>282</v>
      </c>
      <c r="F63">
        <v>619301</v>
      </c>
      <c r="G63">
        <v>10321726</v>
      </c>
      <c r="H63" t="s">
        <v>282</v>
      </c>
      <c r="J63">
        <v>53487765</v>
      </c>
      <c r="K63">
        <v>1100</v>
      </c>
      <c r="L63">
        <v>1700</v>
      </c>
      <c r="M63">
        <v>1301</v>
      </c>
      <c r="P63">
        <v>216</v>
      </c>
      <c r="Q63">
        <v>1</v>
      </c>
      <c r="R63">
        <v>216</v>
      </c>
      <c r="S63">
        <v>45174.692086342591</v>
      </c>
      <c r="T63">
        <v>5500</v>
      </c>
      <c r="U63" t="s">
        <v>1151</v>
      </c>
      <c r="V63" t="s">
        <v>99</v>
      </c>
      <c r="W63" t="s">
        <v>1090</v>
      </c>
      <c r="X63" t="s">
        <v>1090</v>
      </c>
      <c r="AA63">
        <v>57772</v>
      </c>
      <c r="AB63" t="s">
        <v>1223</v>
      </c>
      <c r="AC63">
        <v>45176.088510729169</v>
      </c>
      <c r="AI63">
        <v>62</v>
      </c>
      <c r="AJ63">
        <v>62</v>
      </c>
      <c r="AN63">
        <v>45170</v>
      </c>
      <c r="AO63">
        <v>45199</v>
      </c>
      <c r="AP63" t="s">
        <v>1101</v>
      </c>
    </row>
    <row r="64" spans="1:42" x14ac:dyDescent="0.25">
      <c r="A64">
        <v>2023</v>
      </c>
      <c r="B64">
        <v>9</v>
      </c>
      <c r="C64">
        <v>17</v>
      </c>
      <c r="D64" t="s">
        <v>1088</v>
      </c>
      <c r="E64" t="s">
        <v>282</v>
      </c>
      <c r="F64">
        <v>619301</v>
      </c>
      <c r="G64">
        <v>10321726</v>
      </c>
      <c r="H64" t="s">
        <v>282</v>
      </c>
      <c r="J64">
        <v>53487766</v>
      </c>
      <c r="K64">
        <v>1100</v>
      </c>
      <c r="L64">
        <v>1700</v>
      </c>
      <c r="M64">
        <v>1301</v>
      </c>
      <c r="P64">
        <v>216</v>
      </c>
      <c r="Q64">
        <v>1</v>
      </c>
      <c r="R64">
        <v>216</v>
      </c>
      <c r="S64">
        <v>45174.692195601849</v>
      </c>
      <c r="T64">
        <v>5500</v>
      </c>
      <c r="U64" t="s">
        <v>1151</v>
      </c>
      <c r="V64" t="s">
        <v>99</v>
      </c>
      <c r="W64" t="s">
        <v>1090</v>
      </c>
      <c r="X64" t="s">
        <v>1090</v>
      </c>
      <c r="AA64">
        <v>57772</v>
      </c>
      <c r="AB64" t="s">
        <v>1223</v>
      </c>
      <c r="AC64">
        <v>45176.088510729169</v>
      </c>
      <c r="AI64">
        <v>62</v>
      </c>
      <c r="AJ64">
        <v>62</v>
      </c>
      <c r="AN64">
        <v>45170</v>
      </c>
      <c r="AO64">
        <v>45199</v>
      </c>
      <c r="AP64" t="s">
        <v>1101</v>
      </c>
    </row>
    <row r="65" spans="1:42" x14ac:dyDescent="0.25">
      <c r="A65">
        <v>2023</v>
      </c>
      <c r="B65">
        <v>9</v>
      </c>
      <c r="C65">
        <v>17</v>
      </c>
      <c r="D65" t="s">
        <v>1088</v>
      </c>
      <c r="E65" t="s">
        <v>282</v>
      </c>
      <c r="F65">
        <v>227610</v>
      </c>
      <c r="G65">
        <v>10325361</v>
      </c>
      <c r="H65" t="s">
        <v>282</v>
      </c>
      <c r="J65">
        <v>53492345</v>
      </c>
      <c r="K65">
        <v>1104</v>
      </c>
      <c r="L65">
        <v>1702</v>
      </c>
      <c r="M65">
        <v>1304</v>
      </c>
      <c r="N65">
        <v>53487498</v>
      </c>
      <c r="O65">
        <v>45174.683742974536</v>
      </c>
      <c r="P65">
        <v>150</v>
      </c>
      <c r="Q65">
        <v>1</v>
      </c>
      <c r="R65">
        <v>150</v>
      </c>
      <c r="S65">
        <v>45175.06737384259</v>
      </c>
      <c r="T65">
        <v>5509</v>
      </c>
      <c r="U65" t="s">
        <v>1152</v>
      </c>
      <c r="V65" t="s">
        <v>1153</v>
      </c>
      <c r="W65" t="s">
        <v>2</v>
      </c>
      <c r="AI65">
        <v>62</v>
      </c>
      <c r="AJ65">
        <v>62</v>
      </c>
      <c r="AN65">
        <v>45170</v>
      </c>
      <c r="AO65">
        <v>45199</v>
      </c>
      <c r="AP65" t="s">
        <v>1101</v>
      </c>
    </row>
    <row r="66" spans="1:42" x14ac:dyDescent="0.25">
      <c r="A66">
        <v>2023</v>
      </c>
      <c r="B66">
        <v>9</v>
      </c>
      <c r="C66">
        <v>17</v>
      </c>
      <c r="D66" t="s">
        <v>1088</v>
      </c>
      <c r="E66" t="s">
        <v>282</v>
      </c>
      <c r="F66">
        <v>227610</v>
      </c>
      <c r="G66">
        <v>10325361</v>
      </c>
      <c r="H66" t="s">
        <v>282</v>
      </c>
      <c r="J66">
        <v>53492346</v>
      </c>
      <c r="K66">
        <v>1104</v>
      </c>
      <c r="L66">
        <v>1702</v>
      </c>
      <c r="M66">
        <v>1304</v>
      </c>
      <c r="N66">
        <v>53487505</v>
      </c>
      <c r="O66">
        <v>45174.683865590276</v>
      </c>
      <c r="P66">
        <v>150</v>
      </c>
      <c r="Q66">
        <v>1</v>
      </c>
      <c r="R66">
        <v>150</v>
      </c>
      <c r="S66">
        <v>45175.06737384259</v>
      </c>
      <c r="T66">
        <v>5509</v>
      </c>
      <c r="U66" t="s">
        <v>1152</v>
      </c>
      <c r="V66" t="s">
        <v>1153</v>
      </c>
      <c r="W66" t="s">
        <v>2</v>
      </c>
      <c r="AI66">
        <v>62</v>
      </c>
      <c r="AJ66">
        <v>62</v>
      </c>
      <c r="AN66">
        <v>45170</v>
      </c>
      <c r="AO66">
        <v>45199</v>
      </c>
      <c r="AP66" t="s">
        <v>1101</v>
      </c>
    </row>
    <row r="67" spans="1:42" x14ac:dyDescent="0.25">
      <c r="A67">
        <v>2023</v>
      </c>
      <c r="B67">
        <v>9</v>
      </c>
      <c r="C67">
        <v>17</v>
      </c>
      <c r="D67" t="s">
        <v>1088</v>
      </c>
      <c r="E67" t="s">
        <v>282</v>
      </c>
      <c r="F67">
        <v>227610</v>
      </c>
      <c r="G67">
        <v>10325361</v>
      </c>
      <c r="H67" t="s">
        <v>282</v>
      </c>
      <c r="J67">
        <v>53492347</v>
      </c>
      <c r="K67">
        <v>1104</v>
      </c>
      <c r="L67">
        <v>1702</v>
      </c>
      <c r="M67">
        <v>1304</v>
      </c>
      <c r="N67">
        <v>53487517</v>
      </c>
      <c r="O67">
        <v>45174.684190127315</v>
      </c>
      <c r="P67">
        <v>15</v>
      </c>
      <c r="Q67">
        <v>1</v>
      </c>
      <c r="R67">
        <v>15</v>
      </c>
      <c r="S67">
        <v>45175.06737384259</v>
      </c>
      <c r="T67">
        <v>5509</v>
      </c>
      <c r="U67" t="s">
        <v>1152</v>
      </c>
      <c r="V67" t="s">
        <v>1153</v>
      </c>
      <c r="W67" t="s">
        <v>2</v>
      </c>
      <c r="AI67">
        <v>62</v>
      </c>
      <c r="AJ67">
        <v>62</v>
      </c>
      <c r="AN67">
        <v>45170</v>
      </c>
      <c r="AO67">
        <v>45199</v>
      </c>
      <c r="AP67" t="s">
        <v>1101</v>
      </c>
    </row>
    <row r="68" spans="1:42" x14ac:dyDescent="0.25">
      <c r="A68">
        <v>2023</v>
      </c>
      <c r="B68">
        <v>9</v>
      </c>
      <c r="C68">
        <v>17</v>
      </c>
      <c r="D68" t="s">
        <v>1088</v>
      </c>
      <c r="E68" t="s">
        <v>282</v>
      </c>
      <c r="F68">
        <v>456649</v>
      </c>
      <c r="G68">
        <v>10209985</v>
      </c>
      <c r="H68" t="s">
        <v>282</v>
      </c>
      <c r="J68">
        <v>53622137</v>
      </c>
      <c r="K68">
        <v>1104</v>
      </c>
      <c r="L68">
        <v>1702</v>
      </c>
      <c r="M68">
        <v>1304</v>
      </c>
      <c r="N68">
        <v>53283936</v>
      </c>
      <c r="O68">
        <v>45167.404249652776</v>
      </c>
      <c r="P68">
        <v>232</v>
      </c>
      <c r="Q68">
        <v>1</v>
      </c>
      <c r="R68">
        <v>232</v>
      </c>
      <c r="S68">
        <v>45177.49528880787</v>
      </c>
      <c r="T68">
        <v>5509</v>
      </c>
      <c r="U68" t="s">
        <v>1152</v>
      </c>
      <c r="V68" t="s">
        <v>1153</v>
      </c>
      <c r="W68" t="s">
        <v>2</v>
      </c>
      <c r="AI68">
        <v>62</v>
      </c>
      <c r="AJ68">
        <v>62</v>
      </c>
      <c r="AN68">
        <v>45170</v>
      </c>
      <c r="AO68">
        <v>45199</v>
      </c>
      <c r="AP68" t="s">
        <v>1101</v>
      </c>
    </row>
    <row r="69" spans="1:42" x14ac:dyDescent="0.25">
      <c r="A69">
        <v>2023</v>
      </c>
      <c r="B69">
        <v>9</v>
      </c>
      <c r="C69">
        <v>17</v>
      </c>
      <c r="D69" t="s">
        <v>1088</v>
      </c>
      <c r="E69" t="s">
        <v>282</v>
      </c>
      <c r="F69">
        <v>330438</v>
      </c>
      <c r="G69">
        <v>10316520</v>
      </c>
      <c r="H69" t="s">
        <v>282</v>
      </c>
      <c r="J69">
        <v>53629126</v>
      </c>
      <c r="K69">
        <v>1104</v>
      </c>
      <c r="L69">
        <v>1702</v>
      </c>
      <c r="M69">
        <v>1304</v>
      </c>
      <c r="N69">
        <v>53432411</v>
      </c>
      <c r="O69">
        <v>45170.50522673611</v>
      </c>
      <c r="P69">
        <v>150</v>
      </c>
      <c r="Q69">
        <v>1</v>
      </c>
      <c r="R69">
        <v>150</v>
      </c>
      <c r="S69">
        <v>45177.572944594911</v>
      </c>
      <c r="T69">
        <v>5509</v>
      </c>
      <c r="U69" t="s">
        <v>1152</v>
      </c>
      <c r="V69" t="s">
        <v>1153</v>
      </c>
      <c r="W69" t="s">
        <v>2</v>
      </c>
      <c r="AI69">
        <v>62</v>
      </c>
      <c r="AJ69">
        <v>62</v>
      </c>
      <c r="AN69">
        <v>45170</v>
      </c>
      <c r="AO69">
        <v>45199</v>
      </c>
      <c r="AP69" t="s">
        <v>1101</v>
      </c>
    </row>
    <row r="70" spans="1:42" x14ac:dyDescent="0.25">
      <c r="A70">
        <v>2023</v>
      </c>
      <c r="B70">
        <v>9</v>
      </c>
      <c r="C70">
        <v>17</v>
      </c>
      <c r="D70" t="s">
        <v>1088</v>
      </c>
      <c r="E70" t="s">
        <v>282</v>
      </c>
      <c r="F70">
        <v>330438</v>
      </c>
      <c r="G70">
        <v>10316520</v>
      </c>
      <c r="H70" t="s">
        <v>282</v>
      </c>
      <c r="J70">
        <v>53629139</v>
      </c>
      <c r="K70">
        <v>1104</v>
      </c>
      <c r="L70">
        <v>1702</v>
      </c>
      <c r="M70">
        <v>1304</v>
      </c>
      <c r="N70">
        <v>53432415</v>
      </c>
      <c r="O70">
        <v>45170.505339733798</v>
      </c>
      <c r="P70">
        <v>150</v>
      </c>
      <c r="Q70">
        <v>1</v>
      </c>
      <c r="R70">
        <v>150</v>
      </c>
      <c r="S70">
        <v>45177.573023726851</v>
      </c>
      <c r="T70">
        <v>5509</v>
      </c>
      <c r="U70" t="s">
        <v>1152</v>
      </c>
      <c r="V70" t="s">
        <v>1153</v>
      </c>
      <c r="W70" t="s">
        <v>2</v>
      </c>
      <c r="AI70">
        <v>62</v>
      </c>
      <c r="AJ70">
        <v>62</v>
      </c>
      <c r="AN70">
        <v>45170</v>
      </c>
      <c r="AO70">
        <v>45199</v>
      </c>
      <c r="AP70" t="s">
        <v>1101</v>
      </c>
    </row>
    <row r="71" spans="1:42" x14ac:dyDescent="0.25">
      <c r="A71">
        <v>2023</v>
      </c>
      <c r="B71">
        <v>9</v>
      </c>
      <c r="C71">
        <v>17</v>
      </c>
      <c r="D71" t="s">
        <v>1088</v>
      </c>
      <c r="E71" t="s">
        <v>282</v>
      </c>
      <c r="F71">
        <v>330438</v>
      </c>
      <c r="G71">
        <v>10316520</v>
      </c>
      <c r="H71" t="s">
        <v>282</v>
      </c>
      <c r="J71">
        <v>53629143</v>
      </c>
      <c r="K71">
        <v>1104</v>
      </c>
      <c r="L71">
        <v>1702</v>
      </c>
      <c r="M71">
        <v>1304</v>
      </c>
      <c r="N71">
        <v>53432417</v>
      </c>
      <c r="O71">
        <v>45170.505828321759</v>
      </c>
      <c r="P71">
        <v>18</v>
      </c>
      <c r="Q71">
        <v>1</v>
      </c>
      <c r="R71">
        <v>18</v>
      </c>
      <c r="S71">
        <v>45177.573104282405</v>
      </c>
      <c r="T71">
        <v>5509</v>
      </c>
      <c r="U71" t="s">
        <v>1152</v>
      </c>
      <c r="V71" t="s">
        <v>1153</v>
      </c>
      <c r="W71" t="s">
        <v>2</v>
      </c>
      <c r="AI71">
        <v>62</v>
      </c>
      <c r="AJ71">
        <v>62</v>
      </c>
      <c r="AN71">
        <v>45170</v>
      </c>
      <c r="AO71">
        <v>45199</v>
      </c>
      <c r="AP71" t="s">
        <v>1101</v>
      </c>
    </row>
    <row r="72" spans="1:42" x14ac:dyDescent="0.25">
      <c r="A72">
        <v>2023</v>
      </c>
      <c r="B72">
        <v>9</v>
      </c>
      <c r="C72">
        <v>17</v>
      </c>
      <c r="D72" t="s">
        <v>1088</v>
      </c>
      <c r="E72" t="s">
        <v>282</v>
      </c>
      <c r="F72">
        <v>330438</v>
      </c>
      <c r="G72">
        <v>10316520</v>
      </c>
      <c r="H72" t="s">
        <v>282</v>
      </c>
      <c r="J72">
        <v>53629144</v>
      </c>
      <c r="K72">
        <v>1104</v>
      </c>
      <c r="L72">
        <v>1702</v>
      </c>
      <c r="M72">
        <v>1304</v>
      </c>
      <c r="N72">
        <v>53432423</v>
      </c>
      <c r="O72">
        <v>45170.505913854169</v>
      </c>
      <c r="P72">
        <v>15</v>
      </c>
      <c r="Q72">
        <v>1</v>
      </c>
      <c r="R72">
        <v>15</v>
      </c>
      <c r="S72">
        <v>45177.57319278935</v>
      </c>
      <c r="T72">
        <v>5509</v>
      </c>
      <c r="U72" t="s">
        <v>1152</v>
      </c>
      <c r="V72" t="s">
        <v>1153</v>
      </c>
      <c r="W72" t="s">
        <v>2</v>
      </c>
      <c r="AI72">
        <v>62</v>
      </c>
      <c r="AJ72">
        <v>62</v>
      </c>
      <c r="AN72">
        <v>45170</v>
      </c>
      <c r="AO72">
        <v>45199</v>
      </c>
      <c r="AP72" t="s">
        <v>1101</v>
      </c>
    </row>
    <row r="73" spans="1:42" x14ac:dyDescent="0.25">
      <c r="A73">
        <v>2023</v>
      </c>
      <c r="B73">
        <v>9</v>
      </c>
      <c r="C73">
        <v>17</v>
      </c>
      <c r="D73" t="s">
        <v>1088</v>
      </c>
      <c r="E73" t="s">
        <v>282</v>
      </c>
      <c r="F73">
        <v>618342</v>
      </c>
      <c r="G73">
        <v>10302920</v>
      </c>
      <c r="H73" t="s">
        <v>282</v>
      </c>
      <c r="J73">
        <v>53646341</v>
      </c>
      <c r="K73">
        <v>1100</v>
      </c>
      <c r="L73">
        <v>1706</v>
      </c>
      <c r="M73">
        <v>1304</v>
      </c>
      <c r="P73">
        <v>216</v>
      </c>
      <c r="Q73">
        <v>1</v>
      </c>
      <c r="R73">
        <v>216</v>
      </c>
      <c r="S73">
        <v>45177.691606678243</v>
      </c>
      <c r="T73">
        <v>5500</v>
      </c>
      <c r="U73" t="s">
        <v>1154</v>
      </c>
      <c r="V73" t="s">
        <v>99</v>
      </c>
      <c r="W73" t="s">
        <v>2</v>
      </c>
      <c r="AI73">
        <v>62</v>
      </c>
      <c r="AJ73">
        <v>62</v>
      </c>
      <c r="AN73">
        <v>45170</v>
      </c>
      <c r="AO73">
        <v>45199</v>
      </c>
      <c r="AP73" t="s">
        <v>1101</v>
      </c>
    </row>
    <row r="74" spans="1:42" x14ac:dyDescent="0.25">
      <c r="A74">
        <v>2023</v>
      </c>
      <c r="B74">
        <v>9</v>
      </c>
      <c r="C74">
        <v>17</v>
      </c>
      <c r="D74" t="s">
        <v>1088</v>
      </c>
      <c r="E74" t="s">
        <v>282</v>
      </c>
      <c r="F74">
        <v>618342</v>
      </c>
      <c r="G74">
        <v>10302920</v>
      </c>
      <c r="H74" t="s">
        <v>282</v>
      </c>
      <c r="J74">
        <v>53646345</v>
      </c>
      <c r="K74">
        <v>1100</v>
      </c>
      <c r="L74">
        <v>1706</v>
      </c>
      <c r="M74">
        <v>1304</v>
      </c>
      <c r="P74">
        <v>216</v>
      </c>
      <c r="Q74">
        <v>1</v>
      </c>
      <c r="R74">
        <v>216</v>
      </c>
      <c r="S74">
        <v>45177.691693368055</v>
      </c>
      <c r="T74">
        <v>5500</v>
      </c>
      <c r="U74" t="s">
        <v>1154</v>
      </c>
      <c r="V74" t="s">
        <v>99</v>
      </c>
      <c r="W74" t="s">
        <v>2</v>
      </c>
      <c r="AI74">
        <v>62</v>
      </c>
      <c r="AJ74">
        <v>62</v>
      </c>
      <c r="AN74">
        <v>45170</v>
      </c>
      <c r="AO74">
        <v>45199</v>
      </c>
      <c r="AP74" t="s">
        <v>1101</v>
      </c>
    </row>
    <row r="75" spans="1:42" x14ac:dyDescent="0.25">
      <c r="A75">
        <v>2023</v>
      </c>
      <c r="B75">
        <v>9</v>
      </c>
      <c r="C75">
        <v>17</v>
      </c>
      <c r="D75" t="s">
        <v>1088</v>
      </c>
      <c r="E75" t="s">
        <v>282</v>
      </c>
      <c r="F75">
        <v>619493</v>
      </c>
      <c r="G75">
        <v>10324633</v>
      </c>
      <c r="H75" t="s">
        <v>282</v>
      </c>
      <c r="J75">
        <v>53666185</v>
      </c>
      <c r="K75">
        <v>1100</v>
      </c>
      <c r="L75">
        <v>1700</v>
      </c>
      <c r="M75">
        <v>1301</v>
      </c>
      <c r="P75">
        <v>216</v>
      </c>
      <c r="Q75">
        <v>1</v>
      </c>
      <c r="R75">
        <v>216</v>
      </c>
      <c r="S75">
        <v>45180.468449803244</v>
      </c>
      <c r="T75">
        <v>5500</v>
      </c>
      <c r="U75" t="s">
        <v>1151</v>
      </c>
      <c r="V75" t="s">
        <v>99</v>
      </c>
      <c r="W75" t="s">
        <v>1091</v>
      </c>
      <c r="X75" t="s">
        <v>1091</v>
      </c>
      <c r="AA75">
        <v>57842</v>
      </c>
      <c r="AB75" t="s">
        <v>1223</v>
      </c>
      <c r="AC75">
        <v>45182.087616863428</v>
      </c>
      <c r="AI75">
        <v>62</v>
      </c>
      <c r="AJ75">
        <v>62</v>
      </c>
      <c r="AN75">
        <v>45170</v>
      </c>
      <c r="AO75">
        <v>45199</v>
      </c>
      <c r="AP75" t="s">
        <v>1101</v>
      </c>
    </row>
    <row r="76" spans="1:42" x14ac:dyDescent="0.25">
      <c r="A76">
        <v>2023</v>
      </c>
      <c r="B76">
        <v>9</v>
      </c>
      <c r="C76">
        <v>17</v>
      </c>
      <c r="D76" t="s">
        <v>1088</v>
      </c>
      <c r="E76" t="s">
        <v>282</v>
      </c>
      <c r="F76">
        <v>619493</v>
      </c>
      <c r="G76">
        <v>10324633</v>
      </c>
      <c r="H76" t="s">
        <v>282</v>
      </c>
      <c r="J76">
        <v>53666186</v>
      </c>
      <c r="K76">
        <v>1100</v>
      </c>
      <c r="L76">
        <v>1700</v>
      </c>
      <c r="M76">
        <v>1301</v>
      </c>
      <c r="P76">
        <v>216</v>
      </c>
      <c r="Q76">
        <v>1</v>
      </c>
      <c r="R76">
        <v>216</v>
      </c>
      <c r="S76">
        <v>45180.468547766206</v>
      </c>
      <c r="T76">
        <v>5500</v>
      </c>
      <c r="U76" t="s">
        <v>1151</v>
      </c>
      <c r="V76" t="s">
        <v>99</v>
      </c>
      <c r="W76" t="s">
        <v>1091</v>
      </c>
      <c r="X76" t="s">
        <v>1091</v>
      </c>
      <c r="AA76">
        <v>57842</v>
      </c>
      <c r="AB76" t="s">
        <v>1223</v>
      </c>
      <c r="AC76">
        <v>45182.087616863428</v>
      </c>
      <c r="AI76">
        <v>62</v>
      </c>
      <c r="AJ76">
        <v>62</v>
      </c>
      <c r="AN76">
        <v>45170</v>
      </c>
      <c r="AO76">
        <v>45199</v>
      </c>
      <c r="AP76" t="s">
        <v>1101</v>
      </c>
    </row>
    <row r="77" spans="1:42" x14ac:dyDescent="0.25">
      <c r="A77">
        <v>2023</v>
      </c>
      <c r="B77">
        <v>9</v>
      </c>
      <c r="C77">
        <v>17</v>
      </c>
      <c r="D77" t="s">
        <v>1088</v>
      </c>
      <c r="E77" t="s">
        <v>282</v>
      </c>
      <c r="F77">
        <v>615489</v>
      </c>
      <c r="G77">
        <v>10293906</v>
      </c>
      <c r="H77" t="s">
        <v>282</v>
      </c>
      <c r="J77">
        <v>53643818</v>
      </c>
      <c r="K77">
        <v>1100</v>
      </c>
      <c r="L77">
        <v>1700</v>
      </c>
      <c r="M77">
        <v>1301</v>
      </c>
      <c r="P77">
        <v>216</v>
      </c>
      <c r="Q77">
        <v>1</v>
      </c>
      <c r="R77">
        <v>216</v>
      </c>
      <c r="S77">
        <v>45177.634924108796</v>
      </c>
      <c r="T77">
        <v>5500</v>
      </c>
      <c r="U77" t="s">
        <v>1151</v>
      </c>
      <c r="V77" t="s">
        <v>99</v>
      </c>
      <c r="W77" t="s">
        <v>1091</v>
      </c>
      <c r="X77" t="s">
        <v>1091</v>
      </c>
      <c r="AA77">
        <v>57803</v>
      </c>
      <c r="AB77" t="s">
        <v>1223</v>
      </c>
      <c r="AC77">
        <v>45179.083653668982</v>
      </c>
      <c r="AI77">
        <v>62</v>
      </c>
      <c r="AJ77">
        <v>62</v>
      </c>
      <c r="AN77">
        <v>45170</v>
      </c>
      <c r="AO77">
        <v>45199</v>
      </c>
      <c r="AP77" t="s">
        <v>1101</v>
      </c>
    </row>
    <row r="78" spans="1:42" x14ac:dyDescent="0.25">
      <c r="A78">
        <v>2023</v>
      </c>
      <c r="B78">
        <v>9</v>
      </c>
      <c r="C78">
        <v>17</v>
      </c>
      <c r="D78" t="s">
        <v>1088</v>
      </c>
      <c r="E78" t="s">
        <v>282</v>
      </c>
      <c r="F78">
        <v>615489</v>
      </c>
      <c r="G78">
        <v>10293906</v>
      </c>
      <c r="H78" t="s">
        <v>282</v>
      </c>
      <c r="J78">
        <v>53643839</v>
      </c>
      <c r="K78">
        <v>1100</v>
      </c>
      <c r="L78">
        <v>1700</v>
      </c>
      <c r="M78">
        <v>1301</v>
      </c>
      <c r="P78">
        <v>216</v>
      </c>
      <c r="Q78">
        <v>1</v>
      </c>
      <c r="R78">
        <v>216</v>
      </c>
      <c r="S78">
        <v>45177.635036655091</v>
      </c>
      <c r="T78">
        <v>5500</v>
      </c>
      <c r="U78" t="s">
        <v>1151</v>
      </c>
      <c r="V78" t="s">
        <v>99</v>
      </c>
      <c r="W78" t="s">
        <v>1091</v>
      </c>
      <c r="X78" t="s">
        <v>1091</v>
      </c>
      <c r="AA78">
        <v>57803</v>
      </c>
      <c r="AB78" t="s">
        <v>1223</v>
      </c>
      <c r="AC78">
        <v>45179.083653668982</v>
      </c>
      <c r="AI78">
        <v>62</v>
      </c>
      <c r="AJ78">
        <v>62</v>
      </c>
      <c r="AN78">
        <v>45170</v>
      </c>
      <c r="AO78">
        <v>45199</v>
      </c>
      <c r="AP78" t="s">
        <v>1101</v>
      </c>
    </row>
    <row r="79" spans="1:42" x14ac:dyDescent="0.25">
      <c r="A79">
        <v>2023</v>
      </c>
      <c r="B79">
        <v>9</v>
      </c>
      <c r="C79">
        <v>17</v>
      </c>
      <c r="D79" t="s">
        <v>1088</v>
      </c>
      <c r="E79" t="s">
        <v>282</v>
      </c>
      <c r="F79">
        <v>619920</v>
      </c>
      <c r="G79">
        <v>10331628</v>
      </c>
      <c r="H79" t="s">
        <v>282</v>
      </c>
      <c r="J79">
        <v>53671586</v>
      </c>
      <c r="K79">
        <v>1100</v>
      </c>
      <c r="L79">
        <v>1700</v>
      </c>
      <c r="M79">
        <v>1304</v>
      </c>
      <c r="P79">
        <v>216</v>
      </c>
      <c r="Q79">
        <v>1</v>
      </c>
      <c r="R79">
        <v>216</v>
      </c>
      <c r="S79">
        <v>45180.548755636577</v>
      </c>
      <c r="T79">
        <v>5500</v>
      </c>
      <c r="U79" t="s">
        <v>1154</v>
      </c>
      <c r="V79" t="s">
        <v>99</v>
      </c>
      <c r="W79" t="s">
        <v>2</v>
      </c>
      <c r="AI79">
        <v>62</v>
      </c>
      <c r="AJ79">
        <v>62</v>
      </c>
      <c r="AN79">
        <v>45170</v>
      </c>
      <c r="AO79">
        <v>45199</v>
      </c>
      <c r="AP79" t="s">
        <v>1101</v>
      </c>
    </row>
    <row r="80" spans="1:42" x14ac:dyDescent="0.25">
      <c r="A80">
        <v>2023</v>
      </c>
      <c r="B80">
        <v>9</v>
      </c>
      <c r="C80">
        <v>17</v>
      </c>
      <c r="D80" t="s">
        <v>1088</v>
      </c>
      <c r="E80" t="s">
        <v>282</v>
      </c>
      <c r="F80">
        <v>619920</v>
      </c>
      <c r="G80">
        <v>10331628</v>
      </c>
      <c r="H80" t="s">
        <v>282</v>
      </c>
      <c r="J80">
        <v>53671587</v>
      </c>
      <c r="K80">
        <v>1100</v>
      </c>
      <c r="L80">
        <v>1700</v>
      </c>
      <c r="M80">
        <v>1304</v>
      </c>
      <c r="P80">
        <v>216</v>
      </c>
      <c r="Q80">
        <v>1</v>
      </c>
      <c r="R80">
        <v>216</v>
      </c>
      <c r="S80">
        <v>45180.548865775461</v>
      </c>
      <c r="T80">
        <v>5500</v>
      </c>
      <c r="U80" t="s">
        <v>1154</v>
      </c>
      <c r="V80" t="s">
        <v>99</v>
      </c>
      <c r="W80" t="s">
        <v>2</v>
      </c>
      <c r="AI80">
        <v>62</v>
      </c>
      <c r="AJ80">
        <v>62</v>
      </c>
      <c r="AN80">
        <v>45170</v>
      </c>
      <c r="AO80">
        <v>45199</v>
      </c>
      <c r="AP80" t="s">
        <v>1101</v>
      </c>
    </row>
    <row r="81" spans="1:42" x14ac:dyDescent="0.25">
      <c r="A81">
        <v>2023</v>
      </c>
      <c r="B81">
        <v>9</v>
      </c>
      <c r="C81">
        <v>17</v>
      </c>
      <c r="D81" t="s">
        <v>1088</v>
      </c>
      <c r="E81" t="s">
        <v>282</v>
      </c>
      <c r="F81">
        <v>619920</v>
      </c>
      <c r="G81">
        <v>10331628</v>
      </c>
      <c r="H81" t="s">
        <v>282</v>
      </c>
      <c r="J81">
        <v>53671593</v>
      </c>
      <c r="K81">
        <v>1100</v>
      </c>
      <c r="L81">
        <v>1700</v>
      </c>
      <c r="M81">
        <v>1304</v>
      </c>
      <c r="P81">
        <v>18</v>
      </c>
      <c r="Q81">
        <v>1</v>
      </c>
      <c r="R81">
        <v>18</v>
      </c>
      <c r="S81">
        <v>45180.548922604168</v>
      </c>
      <c r="T81">
        <v>5500</v>
      </c>
      <c r="U81" t="s">
        <v>1154</v>
      </c>
      <c r="V81" t="s">
        <v>99</v>
      </c>
      <c r="W81" t="s">
        <v>2</v>
      </c>
      <c r="AI81">
        <v>62</v>
      </c>
      <c r="AJ81">
        <v>62</v>
      </c>
      <c r="AN81">
        <v>45170</v>
      </c>
      <c r="AO81">
        <v>45199</v>
      </c>
      <c r="AP81" t="s">
        <v>1101</v>
      </c>
    </row>
    <row r="82" spans="1:42" x14ac:dyDescent="0.25">
      <c r="A82">
        <v>2023</v>
      </c>
      <c r="B82">
        <v>9</v>
      </c>
      <c r="C82">
        <v>17</v>
      </c>
      <c r="D82" t="s">
        <v>1088</v>
      </c>
      <c r="E82" t="s">
        <v>282</v>
      </c>
      <c r="F82">
        <v>620635</v>
      </c>
      <c r="G82">
        <v>10345211</v>
      </c>
      <c r="H82" t="s">
        <v>282</v>
      </c>
      <c r="J82">
        <v>53706719</v>
      </c>
      <c r="K82">
        <v>1100</v>
      </c>
      <c r="L82">
        <v>1700</v>
      </c>
      <c r="M82">
        <v>1304</v>
      </c>
      <c r="P82">
        <v>216</v>
      </c>
      <c r="Q82">
        <v>1</v>
      </c>
      <c r="R82">
        <v>216</v>
      </c>
      <c r="S82">
        <v>45181.488452349535</v>
      </c>
      <c r="T82">
        <v>5500</v>
      </c>
      <c r="U82" t="s">
        <v>1154</v>
      </c>
      <c r="V82" t="s">
        <v>99</v>
      </c>
      <c r="W82" t="s">
        <v>2</v>
      </c>
      <c r="AI82">
        <v>62</v>
      </c>
      <c r="AJ82">
        <v>62</v>
      </c>
      <c r="AN82">
        <v>45170</v>
      </c>
      <c r="AO82">
        <v>45199</v>
      </c>
      <c r="AP82" t="s">
        <v>1101</v>
      </c>
    </row>
    <row r="83" spans="1:42" x14ac:dyDescent="0.25">
      <c r="A83">
        <v>2023</v>
      </c>
      <c r="B83">
        <v>9</v>
      </c>
      <c r="C83">
        <v>17</v>
      </c>
      <c r="D83" t="s">
        <v>1088</v>
      </c>
      <c r="E83" t="s">
        <v>282</v>
      </c>
      <c r="F83">
        <v>620635</v>
      </c>
      <c r="G83">
        <v>10345211</v>
      </c>
      <c r="H83" t="s">
        <v>282</v>
      </c>
      <c r="J83">
        <v>53706723</v>
      </c>
      <c r="K83">
        <v>1100</v>
      </c>
      <c r="L83">
        <v>1700</v>
      </c>
      <c r="M83">
        <v>1304</v>
      </c>
      <c r="P83">
        <v>216</v>
      </c>
      <c r="Q83">
        <v>1</v>
      </c>
      <c r="R83">
        <v>216</v>
      </c>
      <c r="S83">
        <v>45181.48855396991</v>
      </c>
      <c r="T83">
        <v>5500</v>
      </c>
      <c r="U83" t="s">
        <v>1154</v>
      </c>
      <c r="V83" t="s">
        <v>99</v>
      </c>
      <c r="W83" t="s">
        <v>2</v>
      </c>
      <c r="AI83">
        <v>62</v>
      </c>
      <c r="AJ83">
        <v>62</v>
      </c>
      <c r="AN83">
        <v>45170</v>
      </c>
      <c r="AO83">
        <v>45199</v>
      </c>
      <c r="AP83" t="s">
        <v>1101</v>
      </c>
    </row>
    <row r="84" spans="1:42" x14ac:dyDescent="0.25">
      <c r="A84">
        <v>2023</v>
      </c>
      <c r="B84">
        <v>9</v>
      </c>
      <c r="C84">
        <v>17</v>
      </c>
      <c r="D84" t="s">
        <v>1088</v>
      </c>
      <c r="E84" t="s">
        <v>282</v>
      </c>
      <c r="F84">
        <v>616507</v>
      </c>
      <c r="G84">
        <v>10267366</v>
      </c>
      <c r="H84" t="s">
        <v>282</v>
      </c>
      <c r="J84">
        <v>53721480</v>
      </c>
      <c r="K84">
        <v>1104</v>
      </c>
      <c r="L84">
        <v>1702</v>
      </c>
      <c r="M84">
        <v>1304</v>
      </c>
      <c r="N84">
        <v>53627377</v>
      </c>
      <c r="O84">
        <v>45177.55180332176</v>
      </c>
      <c r="P84">
        <v>-184.32</v>
      </c>
      <c r="Q84">
        <v>1</v>
      </c>
      <c r="R84">
        <v>-184.32</v>
      </c>
      <c r="S84">
        <v>45181.683877627314</v>
      </c>
      <c r="T84">
        <v>5510</v>
      </c>
      <c r="U84" t="s">
        <v>1183</v>
      </c>
      <c r="V84" t="s">
        <v>1153</v>
      </c>
      <c r="W84" t="s">
        <v>2</v>
      </c>
      <c r="AI84">
        <v>62</v>
      </c>
      <c r="AJ84">
        <v>62</v>
      </c>
      <c r="AN84">
        <v>45170</v>
      </c>
      <c r="AO84">
        <v>45199</v>
      </c>
      <c r="AP84" t="s">
        <v>1101</v>
      </c>
    </row>
    <row r="85" spans="1:42" x14ac:dyDescent="0.25">
      <c r="A85">
        <v>2023</v>
      </c>
      <c r="B85">
        <v>9</v>
      </c>
      <c r="C85">
        <v>17</v>
      </c>
      <c r="D85" t="s">
        <v>1088</v>
      </c>
      <c r="E85" t="s">
        <v>282</v>
      </c>
      <c r="F85">
        <v>616507</v>
      </c>
      <c r="G85">
        <v>10267366</v>
      </c>
      <c r="H85" t="s">
        <v>282</v>
      </c>
      <c r="J85">
        <v>53721481</v>
      </c>
      <c r="K85">
        <v>1104</v>
      </c>
      <c r="L85">
        <v>1702</v>
      </c>
      <c r="M85">
        <v>1304</v>
      </c>
      <c r="N85">
        <v>53627373</v>
      </c>
      <c r="O85">
        <v>45177.551697256946</v>
      </c>
      <c r="P85">
        <v>-216</v>
      </c>
      <c r="Q85">
        <v>1</v>
      </c>
      <c r="R85">
        <v>-216</v>
      </c>
      <c r="S85">
        <v>45181.683879085649</v>
      </c>
      <c r="T85">
        <v>5510</v>
      </c>
      <c r="U85" t="s">
        <v>1183</v>
      </c>
      <c r="V85" t="s">
        <v>1153</v>
      </c>
      <c r="W85" t="s">
        <v>2</v>
      </c>
      <c r="AI85">
        <v>62</v>
      </c>
      <c r="AJ85">
        <v>62</v>
      </c>
      <c r="AN85">
        <v>45170</v>
      </c>
      <c r="AO85">
        <v>45199</v>
      </c>
      <c r="AP85" t="s">
        <v>1101</v>
      </c>
    </row>
    <row r="86" spans="1:42" x14ac:dyDescent="0.25">
      <c r="A86">
        <v>2023</v>
      </c>
      <c r="B86">
        <v>9</v>
      </c>
      <c r="C86">
        <v>17</v>
      </c>
      <c r="D86" t="s">
        <v>1088</v>
      </c>
      <c r="E86" t="s">
        <v>282</v>
      </c>
      <c r="F86">
        <v>341532</v>
      </c>
      <c r="G86">
        <v>10366925</v>
      </c>
      <c r="H86" t="s">
        <v>282</v>
      </c>
      <c r="J86">
        <v>53757591</v>
      </c>
      <c r="K86">
        <v>1100</v>
      </c>
      <c r="L86">
        <v>1700</v>
      </c>
      <c r="M86">
        <v>1304</v>
      </c>
      <c r="P86">
        <v>150</v>
      </c>
      <c r="Q86">
        <v>1</v>
      </c>
      <c r="R86">
        <v>150</v>
      </c>
      <c r="S86">
        <v>45182.472350694443</v>
      </c>
      <c r="T86">
        <v>5500</v>
      </c>
      <c r="U86" t="s">
        <v>1154</v>
      </c>
      <c r="V86" t="s">
        <v>99</v>
      </c>
      <c r="W86" t="s">
        <v>2</v>
      </c>
      <c r="AI86">
        <v>62</v>
      </c>
      <c r="AJ86">
        <v>62</v>
      </c>
      <c r="AN86">
        <v>45170</v>
      </c>
      <c r="AO86">
        <v>45199</v>
      </c>
      <c r="AP86" t="s">
        <v>1101</v>
      </c>
    </row>
    <row r="87" spans="1:42" x14ac:dyDescent="0.25">
      <c r="A87">
        <v>2023</v>
      </c>
      <c r="B87">
        <v>9</v>
      </c>
      <c r="C87">
        <v>17</v>
      </c>
      <c r="D87" t="s">
        <v>1088</v>
      </c>
      <c r="E87" t="s">
        <v>282</v>
      </c>
      <c r="F87">
        <v>341532</v>
      </c>
      <c r="G87">
        <v>10366925</v>
      </c>
      <c r="H87" t="s">
        <v>282</v>
      </c>
      <c r="J87">
        <v>53757593</v>
      </c>
      <c r="K87">
        <v>1100</v>
      </c>
      <c r="L87">
        <v>1700</v>
      </c>
      <c r="M87">
        <v>1304</v>
      </c>
      <c r="P87">
        <v>150</v>
      </c>
      <c r="Q87">
        <v>1</v>
      </c>
      <c r="R87">
        <v>150</v>
      </c>
      <c r="S87">
        <v>45182.472477002317</v>
      </c>
      <c r="T87">
        <v>5500</v>
      </c>
      <c r="U87" t="s">
        <v>1154</v>
      </c>
      <c r="V87" t="s">
        <v>99</v>
      </c>
      <c r="W87" t="s">
        <v>2</v>
      </c>
      <c r="AI87">
        <v>62</v>
      </c>
      <c r="AJ87">
        <v>62</v>
      </c>
      <c r="AN87">
        <v>45170</v>
      </c>
      <c r="AO87">
        <v>45199</v>
      </c>
      <c r="AP87" t="s">
        <v>1101</v>
      </c>
    </row>
    <row r="88" spans="1:42" x14ac:dyDescent="0.25">
      <c r="A88">
        <v>2023</v>
      </c>
      <c r="B88">
        <v>9</v>
      </c>
      <c r="C88">
        <v>17</v>
      </c>
      <c r="D88" t="s">
        <v>1088</v>
      </c>
      <c r="E88" t="s">
        <v>282</v>
      </c>
      <c r="F88">
        <v>341532</v>
      </c>
      <c r="G88">
        <v>10366925</v>
      </c>
      <c r="H88" t="s">
        <v>282</v>
      </c>
      <c r="J88">
        <v>53757601</v>
      </c>
      <c r="K88">
        <v>1100</v>
      </c>
      <c r="L88">
        <v>1700</v>
      </c>
      <c r="M88">
        <v>1304</v>
      </c>
      <c r="P88">
        <v>18</v>
      </c>
      <c r="Q88">
        <v>1</v>
      </c>
      <c r="R88">
        <v>18</v>
      </c>
      <c r="S88">
        <v>45182.47253796296</v>
      </c>
      <c r="T88">
        <v>5500</v>
      </c>
      <c r="U88" t="s">
        <v>1154</v>
      </c>
      <c r="V88" t="s">
        <v>99</v>
      </c>
      <c r="W88" t="s">
        <v>2</v>
      </c>
      <c r="AI88">
        <v>62</v>
      </c>
      <c r="AJ88">
        <v>62</v>
      </c>
      <c r="AN88">
        <v>45170</v>
      </c>
      <c r="AO88">
        <v>45199</v>
      </c>
      <c r="AP88" t="s">
        <v>1101</v>
      </c>
    </row>
    <row r="89" spans="1:42" x14ac:dyDescent="0.25">
      <c r="A89">
        <v>2023</v>
      </c>
      <c r="B89">
        <v>9</v>
      </c>
      <c r="C89">
        <v>17</v>
      </c>
      <c r="D89" t="s">
        <v>1088</v>
      </c>
      <c r="E89" t="s">
        <v>282</v>
      </c>
      <c r="F89">
        <v>485175</v>
      </c>
      <c r="G89">
        <v>10370488</v>
      </c>
      <c r="H89" t="s">
        <v>282</v>
      </c>
      <c r="J89">
        <v>53772046</v>
      </c>
      <c r="K89">
        <v>1100</v>
      </c>
      <c r="L89">
        <v>1700</v>
      </c>
      <c r="M89">
        <v>1304</v>
      </c>
      <c r="P89">
        <v>19.989999999999998</v>
      </c>
      <c r="Q89">
        <v>1</v>
      </c>
      <c r="R89">
        <v>19.989999999999998</v>
      </c>
      <c r="S89">
        <v>45182.662582442128</v>
      </c>
      <c r="T89">
        <v>5500</v>
      </c>
      <c r="U89" t="s">
        <v>1154</v>
      </c>
      <c r="V89" t="s">
        <v>99</v>
      </c>
      <c r="W89" t="s">
        <v>2</v>
      </c>
      <c r="AI89">
        <v>62</v>
      </c>
      <c r="AJ89">
        <v>62</v>
      </c>
      <c r="AN89">
        <v>45170</v>
      </c>
      <c r="AO89">
        <v>45199</v>
      </c>
      <c r="AP89" t="s">
        <v>1101</v>
      </c>
    </row>
    <row r="90" spans="1:42" x14ac:dyDescent="0.25">
      <c r="A90">
        <v>2023</v>
      </c>
      <c r="B90">
        <v>9</v>
      </c>
      <c r="C90">
        <v>17</v>
      </c>
      <c r="D90" t="s">
        <v>1088</v>
      </c>
      <c r="E90" t="s">
        <v>282</v>
      </c>
      <c r="F90">
        <v>485175</v>
      </c>
      <c r="G90">
        <v>10370488</v>
      </c>
      <c r="H90" t="s">
        <v>282</v>
      </c>
      <c r="J90">
        <v>53779467</v>
      </c>
      <c r="K90">
        <v>1104</v>
      </c>
      <c r="L90">
        <v>1702</v>
      </c>
      <c r="M90">
        <v>1304</v>
      </c>
      <c r="N90">
        <v>53772046</v>
      </c>
      <c r="O90">
        <v>45182.662582442128</v>
      </c>
      <c r="P90">
        <v>19.989999999999998</v>
      </c>
      <c r="Q90">
        <v>1</v>
      </c>
      <c r="R90">
        <v>19.989999999999998</v>
      </c>
      <c r="S90">
        <v>45183.067371909725</v>
      </c>
      <c r="T90">
        <v>5509</v>
      </c>
      <c r="U90" t="s">
        <v>1152</v>
      </c>
      <c r="V90" t="s">
        <v>1153</v>
      </c>
      <c r="W90" t="s">
        <v>2</v>
      </c>
      <c r="AI90">
        <v>62</v>
      </c>
      <c r="AJ90">
        <v>62</v>
      </c>
      <c r="AN90">
        <v>45170</v>
      </c>
      <c r="AO90">
        <v>45199</v>
      </c>
      <c r="AP90" t="s">
        <v>1101</v>
      </c>
    </row>
    <row r="91" spans="1:42" x14ac:dyDescent="0.25">
      <c r="A91">
        <v>2023</v>
      </c>
      <c r="B91">
        <v>9</v>
      </c>
      <c r="C91">
        <v>17</v>
      </c>
      <c r="D91" t="s">
        <v>1088</v>
      </c>
      <c r="E91" t="s">
        <v>282</v>
      </c>
      <c r="F91">
        <v>485175</v>
      </c>
      <c r="G91">
        <v>10370488</v>
      </c>
      <c r="H91" t="s">
        <v>282</v>
      </c>
      <c r="J91">
        <v>53779468</v>
      </c>
      <c r="K91">
        <v>1104</v>
      </c>
      <c r="L91">
        <v>1702</v>
      </c>
      <c r="M91">
        <v>1304</v>
      </c>
      <c r="N91">
        <v>53775604</v>
      </c>
      <c r="O91">
        <v>45182.702013692127</v>
      </c>
      <c r="P91">
        <v>1.2</v>
      </c>
      <c r="Q91">
        <v>1</v>
      </c>
      <c r="R91">
        <v>1.2</v>
      </c>
      <c r="S91">
        <v>45183.067371909725</v>
      </c>
      <c r="T91">
        <v>5509</v>
      </c>
      <c r="U91" t="s">
        <v>1152</v>
      </c>
      <c r="V91" t="s">
        <v>1153</v>
      </c>
      <c r="W91" t="s">
        <v>2</v>
      </c>
      <c r="AI91">
        <v>62</v>
      </c>
      <c r="AJ91">
        <v>62</v>
      </c>
      <c r="AN91">
        <v>45170</v>
      </c>
      <c r="AO91">
        <v>45199</v>
      </c>
      <c r="AP91" t="s">
        <v>1101</v>
      </c>
    </row>
    <row r="92" spans="1:42" x14ac:dyDescent="0.25">
      <c r="A92">
        <v>2023</v>
      </c>
      <c r="B92">
        <v>9</v>
      </c>
      <c r="C92">
        <v>17</v>
      </c>
      <c r="D92" t="s">
        <v>1088</v>
      </c>
      <c r="E92" t="s">
        <v>282</v>
      </c>
      <c r="F92">
        <v>485175</v>
      </c>
      <c r="G92">
        <v>10370488</v>
      </c>
      <c r="H92" t="s">
        <v>282</v>
      </c>
      <c r="J92">
        <v>53779469</v>
      </c>
      <c r="K92">
        <v>1104</v>
      </c>
      <c r="L92">
        <v>1702</v>
      </c>
      <c r="M92">
        <v>1304</v>
      </c>
      <c r="N92">
        <v>53775614</v>
      </c>
      <c r="O92">
        <v>45182.702167210649</v>
      </c>
      <c r="P92">
        <v>5.5</v>
      </c>
      <c r="Q92">
        <v>1</v>
      </c>
      <c r="R92">
        <v>5.5</v>
      </c>
      <c r="S92">
        <v>45183.067371909725</v>
      </c>
      <c r="T92">
        <v>5509</v>
      </c>
      <c r="U92" t="s">
        <v>1152</v>
      </c>
      <c r="V92" t="s">
        <v>1153</v>
      </c>
      <c r="W92" t="s">
        <v>2</v>
      </c>
      <c r="AI92">
        <v>62</v>
      </c>
      <c r="AJ92">
        <v>62</v>
      </c>
      <c r="AN92">
        <v>45170</v>
      </c>
      <c r="AO92">
        <v>45199</v>
      </c>
      <c r="AP92" t="s">
        <v>1101</v>
      </c>
    </row>
    <row r="93" spans="1:42" x14ac:dyDescent="0.25">
      <c r="A93">
        <v>2023</v>
      </c>
      <c r="B93">
        <v>9</v>
      </c>
      <c r="C93">
        <v>17</v>
      </c>
      <c r="D93" t="s">
        <v>1088</v>
      </c>
      <c r="E93" t="s">
        <v>282</v>
      </c>
      <c r="F93">
        <v>621106</v>
      </c>
      <c r="G93">
        <v>10353982</v>
      </c>
      <c r="H93" t="s">
        <v>282</v>
      </c>
      <c r="J93">
        <v>53796785</v>
      </c>
      <c r="K93">
        <v>1100</v>
      </c>
      <c r="L93">
        <v>1700</v>
      </c>
      <c r="M93">
        <v>1304</v>
      </c>
      <c r="P93">
        <v>216</v>
      </c>
      <c r="Q93">
        <v>1</v>
      </c>
      <c r="R93">
        <v>216</v>
      </c>
      <c r="S93">
        <v>45183.448970057871</v>
      </c>
      <c r="T93">
        <v>5500</v>
      </c>
      <c r="U93" t="s">
        <v>1154</v>
      </c>
      <c r="V93" t="s">
        <v>99</v>
      </c>
      <c r="W93" t="s">
        <v>2</v>
      </c>
      <c r="AI93">
        <v>62</v>
      </c>
      <c r="AJ93">
        <v>62</v>
      </c>
      <c r="AN93">
        <v>45170</v>
      </c>
      <c r="AO93">
        <v>45199</v>
      </c>
      <c r="AP93" t="s">
        <v>1101</v>
      </c>
    </row>
    <row r="94" spans="1:42" x14ac:dyDescent="0.25">
      <c r="A94">
        <v>2023</v>
      </c>
      <c r="B94">
        <v>9</v>
      </c>
      <c r="C94">
        <v>17</v>
      </c>
      <c r="D94" t="s">
        <v>1088</v>
      </c>
      <c r="E94" t="s">
        <v>282</v>
      </c>
      <c r="F94">
        <v>621106</v>
      </c>
      <c r="G94">
        <v>10353982</v>
      </c>
      <c r="H94" t="s">
        <v>282</v>
      </c>
      <c r="J94">
        <v>53796786</v>
      </c>
      <c r="K94">
        <v>1100</v>
      </c>
      <c r="L94">
        <v>1700</v>
      </c>
      <c r="M94">
        <v>1304</v>
      </c>
      <c r="P94">
        <v>216</v>
      </c>
      <c r="Q94">
        <v>1</v>
      </c>
      <c r="R94">
        <v>216</v>
      </c>
      <c r="S94">
        <v>45183.449090509261</v>
      </c>
      <c r="T94">
        <v>5500</v>
      </c>
      <c r="U94" t="s">
        <v>1154</v>
      </c>
      <c r="V94" t="s">
        <v>99</v>
      </c>
      <c r="W94" t="s">
        <v>2</v>
      </c>
      <c r="AI94">
        <v>62</v>
      </c>
      <c r="AJ94">
        <v>62</v>
      </c>
      <c r="AN94">
        <v>45170</v>
      </c>
      <c r="AO94">
        <v>45199</v>
      </c>
      <c r="AP94" t="s">
        <v>1101</v>
      </c>
    </row>
    <row r="95" spans="1:42" x14ac:dyDescent="0.25">
      <c r="A95">
        <v>2023</v>
      </c>
      <c r="B95">
        <v>9</v>
      </c>
      <c r="C95">
        <v>17</v>
      </c>
      <c r="D95" t="s">
        <v>1088</v>
      </c>
      <c r="E95" t="s">
        <v>282</v>
      </c>
      <c r="F95">
        <v>621106</v>
      </c>
      <c r="G95">
        <v>10353982</v>
      </c>
      <c r="H95" t="s">
        <v>282</v>
      </c>
      <c r="J95">
        <v>53796787</v>
      </c>
      <c r="K95">
        <v>1100</v>
      </c>
      <c r="L95">
        <v>1700</v>
      </c>
      <c r="M95">
        <v>1304</v>
      </c>
      <c r="P95">
        <v>18</v>
      </c>
      <c r="Q95">
        <v>1</v>
      </c>
      <c r="R95">
        <v>18</v>
      </c>
      <c r="S95">
        <v>45183.449212500003</v>
      </c>
      <c r="T95">
        <v>5500</v>
      </c>
      <c r="U95" t="s">
        <v>1154</v>
      </c>
      <c r="V95" t="s">
        <v>99</v>
      </c>
      <c r="W95" t="s">
        <v>2</v>
      </c>
      <c r="AI95">
        <v>62</v>
      </c>
      <c r="AJ95">
        <v>62</v>
      </c>
      <c r="AN95">
        <v>45170</v>
      </c>
      <c r="AO95">
        <v>45199</v>
      </c>
      <c r="AP95" t="s">
        <v>1101</v>
      </c>
    </row>
    <row r="96" spans="1:42" x14ac:dyDescent="0.25">
      <c r="A96">
        <v>2023</v>
      </c>
      <c r="B96">
        <v>9</v>
      </c>
      <c r="C96">
        <v>17</v>
      </c>
      <c r="D96" t="s">
        <v>1088</v>
      </c>
      <c r="E96" t="s">
        <v>282</v>
      </c>
      <c r="F96">
        <v>621669</v>
      </c>
      <c r="G96">
        <v>10366571</v>
      </c>
      <c r="H96" t="s">
        <v>282</v>
      </c>
      <c r="J96">
        <v>53796810</v>
      </c>
      <c r="K96">
        <v>1100</v>
      </c>
      <c r="L96">
        <v>1700</v>
      </c>
      <c r="M96">
        <v>1304</v>
      </c>
      <c r="P96">
        <v>35</v>
      </c>
      <c r="Q96">
        <v>1</v>
      </c>
      <c r="R96">
        <v>35</v>
      </c>
      <c r="S96">
        <v>45183.450417210646</v>
      </c>
      <c r="T96">
        <v>5500</v>
      </c>
      <c r="U96" t="s">
        <v>1154</v>
      </c>
      <c r="V96" t="s">
        <v>99</v>
      </c>
      <c r="W96" t="s">
        <v>2</v>
      </c>
      <c r="AI96">
        <v>62</v>
      </c>
      <c r="AJ96">
        <v>62</v>
      </c>
      <c r="AN96">
        <v>45170</v>
      </c>
      <c r="AO96">
        <v>45199</v>
      </c>
      <c r="AP96" t="s">
        <v>1101</v>
      </c>
    </row>
    <row r="97" spans="1:42" x14ac:dyDescent="0.25">
      <c r="A97">
        <v>2023</v>
      </c>
      <c r="B97">
        <v>9</v>
      </c>
      <c r="C97">
        <v>17</v>
      </c>
      <c r="D97" t="s">
        <v>1088</v>
      </c>
      <c r="E97" t="s">
        <v>282</v>
      </c>
      <c r="F97">
        <v>621669</v>
      </c>
      <c r="G97">
        <v>10366571</v>
      </c>
      <c r="H97" t="s">
        <v>282</v>
      </c>
      <c r="J97">
        <v>53796867</v>
      </c>
      <c r="K97">
        <v>1100</v>
      </c>
      <c r="L97">
        <v>1700</v>
      </c>
      <c r="M97">
        <v>1304</v>
      </c>
      <c r="P97">
        <v>10</v>
      </c>
      <c r="Q97">
        <v>5</v>
      </c>
      <c r="R97">
        <v>50</v>
      </c>
      <c r="S97">
        <v>45183.453590937497</v>
      </c>
      <c r="T97">
        <v>5500</v>
      </c>
      <c r="U97" t="s">
        <v>1154</v>
      </c>
      <c r="V97" t="s">
        <v>99</v>
      </c>
      <c r="W97" t="s">
        <v>2</v>
      </c>
      <c r="AI97">
        <v>62</v>
      </c>
      <c r="AJ97">
        <v>62</v>
      </c>
      <c r="AN97">
        <v>45170</v>
      </c>
      <c r="AO97">
        <v>45199</v>
      </c>
      <c r="AP97" t="s">
        <v>1101</v>
      </c>
    </row>
    <row r="98" spans="1:42" x14ac:dyDescent="0.25">
      <c r="A98">
        <v>2023</v>
      </c>
      <c r="B98">
        <v>9</v>
      </c>
      <c r="C98">
        <v>17</v>
      </c>
      <c r="D98" t="s">
        <v>1088</v>
      </c>
      <c r="E98" t="s">
        <v>282</v>
      </c>
      <c r="F98">
        <v>621669</v>
      </c>
      <c r="G98">
        <v>10366571</v>
      </c>
      <c r="H98" t="s">
        <v>282</v>
      </c>
      <c r="J98">
        <v>53796885</v>
      </c>
      <c r="K98">
        <v>1100</v>
      </c>
      <c r="L98">
        <v>1700</v>
      </c>
      <c r="M98">
        <v>1304</v>
      </c>
      <c r="P98">
        <v>3</v>
      </c>
      <c r="Q98">
        <v>1</v>
      </c>
      <c r="R98">
        <v>3</v>
      </c>
      <c r="S98">
        <v>45183.454071990738</v>
      </c>
      <c r="T98">
        <v>5500</v>
      </c>
      <c r="U98" t="s">
        <v>1154</v>
      </c>
      <c r="V98" t="s">
        <v>99</v>
      </c>
      <c r="W98" t="s">
        <v>2</v>
      </c>
      <c r="AI98">
        <v>62</v>
      </c>
      <c r="AJ98">
        <v>62</v>
      </c>
      <c r="AN98">
        <v>45170</v>
      </c>
      <c r="AO98">
        <v>45199</v>
      </c>
      <c r="AP98" t="s">
        <v>1101</v>
      </c>
    </row>
    <row r="99" spans="1:42" x14ac:dyDescent="0.25">
      <c r="A99">
        <v>2023</v>
      </c>
      <c r="B99">
        <v>9</v>
      </c>
      <c r="C99">
        <v>17</v>
      </c>
      <c r="D99" t="s">
        <v>1088</v>
      </c>
      <c r="E99" t="s">
        <v>282</v>
      </c>
      <c r="F99">
        <v>619938</v>
      </c>
      <c r="G99">
        <v>10331849</v>
      </c>
      <c r="H99" t="s">
        <v>282</v>
      </c>
      <c r="J99">
        <v>53815386</v>
      </c>
      <c r="K99">
        <v>1100</v>
      </c>
      <c r="L99">
        <v>1700</v>
      </c>
      <c r="M99">
        <v>1304</v>
      </c>
      <c r="P99">
        <v>18</v>
      </c>
      <c r="Q99">
        <v>1</v>
      </c>
      <c r="R99">
        <v>18</v>
      </c>
      <c r="S99">
        <v>45183.61934193287</v>
      </c>
      <c r="T99">
        <v>5500</v>
      </c>
      <c r="U99" t="s">
        <v>1154</v>
      </c>
      <c r="V99" t="s">
        <v>99</v>
      </c>
      <c r="W99" t="s">
        <v>2</v>
      </c>
      <c r="AI99">
        <v>62</v>
      </c>
      <c r="AJ99">
        <v>62</v>
      </c>
      <c r="AN99">
        <v>45170</v>
      </c>
      <c r="AO99">
        <v>45199</v>
      </c>
      <c r="AP99" t="s">
        <v>1101</v>
      </c>
    </row>
    <row r="100" spans="1:42" x14ac:dyDescent="0.25">
      <c r="A100">
        <v>2023</v>
      </c>
      <c r="B100">
        <v>9</v>
      </c>
      <c r="C100">
        <v>17</v>
      </c>
      <c r="D100" t="s">
        <v>1088</v>
      </c>
      <c r="E100" t="s">
        <v>282</v>
      </c>
      <c r="F100">
        <v>372087</v>
      </c>
      <c r="G100">
        <v>10366042</v>
      </c>
      <c r="H100" t="s">
        <v>282</v>
      </c>
      <c r="J100">
        <v>53859316</v>
      </c>
      <c r="K100">
        <v>1100</v>
      </c>
      <c r="L100">
        <v>1700</v>
      </c>
      <c r="M100">
        <v>1301</v>
      </c>
      <c r="P100">
        <v>216</v>
      </c>
      <c r="Q100">
        <v>1</v>
      </c>
      <c r="R100">
        <v>216</v>
      </c>
      <c r="S100">
        <v>45184.602469444442</v>
      </c>
      <c r="T100">
        <v>5500</v>
      </c>
      <c r="U100" t="s">
        <v>1151</v>
      </c>
      <c r="V100" t="s">
        <v>99</v>
      </c>
      <c r="W100" t="s">
        <v>1091</v>
      </c>
      <c r="X100" t="s">
        <v>1091</v>
      </c>
      <c r="AA100">
        <v>57908</v>
      </c>
      <c r="AB100" t="s">
        <v>1223</v>
      </c>
      <c r="AC100">
        <v>45188.087624571759</v>
      </c>
      <c r="AI100">
        <v>62</v>
      </c>
      <c r="AJ100">
        <v>62</v>
      </c>
      <c r="AN100">
        <v>45170</v>
      </c>
      <c r="AO100">
        <v>45199</v>
      </c>
      <c r="AP100" t="s">
        <v>1101</v>
      </c>
    </row>
    <row r="101" spans="1:42" x14ac:dyDescent="0.25">
      <c r="A101">
        <v>2023</v>
      </c>
      <c r="B101">
        <v>9</v>
      </c>
      <c r="C101">
        <v>17</v>
      </c>
      <c r="D101" t="s">
        <v>1088</v>
      </c>
      <c r="E101" t="s">
        <v>282</v>
      </c>
      <c r="F101">
        <v>372087</v>
      </c>
      <c r="G101">
        <v>10366042</v>
      </c>
      <c r="H101" t="s">
        <v>282</v>
      </c>
      <c r="J101">
        <v>53859317</v>
      </c>
      <c r="K101">
        <v>1100</v>
      </c>
      <c r="L101">
        <v>1700</v>
      </c>
      <c r="M101">
        <v>1301</v>
      </c>
      <c r="P101">
        <v>216</v>
      </c>
      <c r="Q101">
        <v>1</v>
      </c>
      <c r="R101">
        <v>216</v>
      </c>
      <c r="S101">
        <v>45184.602565428242</v>
      </c>
      <c r="T101">
        <v>5500</v>
      </c>
      <c r="U101" t="s">
        <v>1151</v>
      </c>
      <c r="V101" t="s">
        <v>99</v>
      </c>
      <c r="W101" t="s">
        <v>1091</v>
      </c>
      <c r="X101" t="s">
        <v>1091</v>
      </c>
      <c r="AA101">
        <v>57908</v>
      </c>
      <c r="AB101" t="s">
        <v>1223</v>
      </c>
      <c r="AC101">
        <v>45188.087624571759</v>
      </c>
      <c r="AI101">
        <v>62</v>
      </c>
      <c r="AJ101">
        <v>62</v>
      </c>
      <c r="AN101">
        <v>45170</v>
      </c>
      <c r="AO101">
        <v>45199</v>
      </c>
      <c r="AP101" t="s">
        <v>1101</v>
      </c>
    </row>
    <row r="102" spans="1:42" x14ac:dyDescent="0.25">
      <c r="A102">
        <v>2023</v>
      </c>
      <c r="B102">
        <v>9</v>
      </c>
      <c r="C102">
        <v>17</v>
      </c>
      <c r="D102" t="s">
        <v>1088</v>
      </c>
      <c r="E102" t="s">
        <v>282</v>
      </c>
      <c r="F102">
        <v>496939</v>
      </c>
      <c r="G102">
        <v>10363517</v>
      </c>
      <c r="H102" t="s">
        <v>282</v>
      </c>
      <c r="J102">
        <v>53831303</v>
      </c>
      <c r="K102">
        <v>1104</v>
      </c>
      <c r="L102">
        <v>1702</v>
      </c>
      <c r="M102">
        <v>1304</v>
      </c>
      <c r="N102">
        <v>53790660</v>
      </c>
      <c r="O102">
        <v>45183.418115393521</v>
      </c>
      <c r="P102">
        <v>33</v>
      </c>
      <c r="Q102">
        <v>1</v>
      </c>
      <c r="R102">
        <v>33</v>
      </c>
      <c r="S102">
        <v>45184.06737207176</v>
      </c>
      <c r="T102">
        <v>5509</v>
      </c>
      <c r="U102" t="s">
        <v>1152</v>
      </c>
      <c r="V102" t="s">
        <v>1153</v>
      </c>
      <c r="W102" t="s">
        <v>2</v>
      </c>
      <c r="AI102">
        <v>62</v>
      </c>
      <c r="AJ102">
        <v>62</v>
      </c>
      <c r="AN102">
        <v>45170</v>
      </c>
      <c r="AO102">
        <v>45199</v>
      </c>
      <c r="AP102" t="s">
        <v>1101</v>
      </c>
    </row>
    <row r="103" spans="1:42" x14ac:dyDescent="0.25">
      <c r="A103">
        <v>2023</v>
      </c>
      <c r="B103">
        <v>9</v>
      </c>
      <c r="C103">
        <v>17</v>
      </c>
      <c r="D103" t="s">
        <v>1088</v>
      </c>
      <c r="E103" t="s">
        <v>282</v>
      </c>
      <c r="F103">
        <v>496939</v>
      </c>
      <c r="G103">
        <v>10363517</v>
      </c>
      <c r="H103" t="s">
        <v>282</v>
      </c>
      <c r="J103">
        <v>53831304</v>
      </c>
      <c r="K103">
        <v>1104</v>
      </c>
      <c r="L103">
        <v>1702</v>
      </c>
      <c r="M103">
        <v>1304</v>
      </c>
      <c r="N103">
        <v>53790669</v>
      </c>
      <c r="O103">
        <v>45183.418267395835</v>
      </c>
      <c r="P103">
        <v>33</v>
      </c>
      <c r="Q103">
        <v>1</v>
      </c>
      <c r="R103">
        <v>33</v>
      </c>
      <c r="S103">
        <v>45184.06737207176</v>
      </c>
      <c r="T103">
        <v>5509</v>
      </c>
      <c r="U103" t="s">
        <v>1152</v>
      </c>
      <c r="V103" t="s">
        <v>1153</v>
      </c>
      <c r="W103" t="s">
        <v>2</v>
      </c>
      <c r="AI103">
        <v>62</v>
      </c>
      <c r="AJ103">
        <v>62</v>
      </c>
      <c r="AN103">
        <v>45170</v>
      </c>
      <c r="AO103">
        <v>45199</v>
      </c>
      <c r="AP103" t="s">
        <v>1101</v>
      </c>
    </row>
    <row r="104" spans="1:42" x14ac:dyDescent="0.25">
      <c r="A104">
        <v>2023</v>
      </c>
      <c r="B104">
        <v>9</v>
      </c>
      <c r="C104">
        <v>17</v>
      </c>
      <c r="D104" t="s">
        <v>1088</v>
      </c>
      <c r="E104" t="s">
        <v>282</v>
      </c>
      <c r="F104">
        <v>540264</v>
      </c>
      <c r="G104">
        <v>10360832</v>
      </c>
      <c r="H104" t="s">
        <v>282</v>
      </c>
      <c r="J104">
        <v>53862760</v>
      </c>
      <c r="K104">
        <v>1100</v>
      </c>
      <c r="L104">
        <v>1700</v>
      </c>
      <c r="M104">
        <v>1304</v>
      </c>
      <c r="P104">
        <v>79</v>
      </c>
      <c r="Q104">
        <v>1</v>
      </c>
      <c r="R104">
        <v>79</v>
      </c>
      <c r="S104">
        <v>45184.694262037039</v>
      </c>
      <c r="T104">
        <v>5500</v>
      </c>
      <c r="U104" t="s">
        <v>1154</v>
      </c>
      <c r="V104" t="s">
        <v>99</v>
      </c>
      <c r="W104" t="s">
        <v>2</v>
      </c>
      <c r="AI104">
        <v>62</v>
      </c>
      <c r="AJ104">
        <v>62</v>
      </c>
      <c r="AN104">
        <v>45170</v>
      </c>
      <c r="AO104">
        <v>45199</v>
      </c>
      <c r="AP104" t="s">
        <v>1101</v>
      </c>
    </row>
    <row r="105" spans="1:42" x14ac:dyDescent="0.25">
      <c r="A105">
        <v>2023</v>
      </c>
      <c r="B105">
        <v>9</v>
      </c>
      <c r="C105">
        <v>17</v>
      </c>
      <c r="D105" t="s">
        <v>1088</v>
      </c>
      <c r="E105" t="s">
        <v>282</v>
      </c>
      <c r="F105">
        <v>540264</v>
      </c>
      <c r="G105">
        <v>10360832</v>
      </c>
      <c r="H105" t="s">
        <v>282</v>
      </c>
      <c r="J105">
        <v>53862761</v>
      </c>
      <c r="K105">
        <v>1100</v>
      </c>
      <c r="L105">
        <v>1700</v>
      </c>
      <c r="M105">
        <v>1304</v>
      </c>
      <c r="P105">
        <v>79</v>
      </c>
      <c r="Q105">
        <v>1</v>
      </c>
      <c r="R105">
        <v>79</v>
      </c>
      <c r="S105">
        <v>45184.69437665509</v>
      </c>
      <c r="T105">
        <v>5500</v>
      </c>
      <c r="U105" t="s">
        <v>1154</v>
      </c>
      <c r="V105" t="s">
        <v>99</v>
      </c>
      <c r="W105" t="s">
        <v>2</v>
      </c>
      <c r="AI105">
        <v>62</v>
      </c>
      <c r="AJ105">
        <v>62</v>
      </c>
      <c r="AN105">
        <v>45170</v>
      </c>
      <c r="AO105">
        <v>45199</v>
      </c>
      <c r="AP105" t="s">
        <v>1101</v>
      </c>
    </row>
    <row r="106" spans="1:42" x14ac:dyDescent="0.25">
      <c r="A106">
        <v>2023</v>
      </c>
      <c r="B106">
        <v>9</v>
      </c>
      <c r="C106">
        <v>17</v>
      </c>
      <c r="D106" t="s">
        <v>1088</v>
      </c>
      <c r="E106" t="s">
        <v>282</v>
      </c>
      <c r="F106">
        <v>622663</v>
      </c>
      <c r="G106">
        <v>10384111</v>
      </c>
      <c r="H106" t="s">
        <v>282</v>
      </c>
      <c r="J106">
        <v>53959578</v>
      </c>
      <c r="K106">
        <v>1104</v>
      </c>
      <c r="L106">
        <v>1702</v>
      </c>
      <c r="M106">
        <v>1304</v>
      </c>
      <c r="N106">
        <v>53943137</v>
      </c>
      <c r="O106">
        <v>45188.62355034722</v>
      </c>
      <c r="P106">
        <v>216</v>
      </c>
      <c r="Q106">
        <v>1</v>
      </c>
      <c r="R106">
        <v>216</v>
      </c>
      <c r="S106">
        <v>45189.067373726852</v>
      </c>
      <c r="T106">
        <v>5509</v>
      </c>
      <c r="U106" t="s">
        <v>1152</v>
      </c>
      <c r="V106" t="s">
        <v>1153</v>
      </c>
      <c r="W106" t="s">
        <v>2</v>
      </c>
      <c r="AI106">
        <v>62</v>
      </c>
      <c r="AJ106">
        <v>62</v>
      </c>
      <c r="AN106">
        <v>45170</v>
      </c>
      <c r="AO106">
        <v>45199</v>
      </c>
      <c r="AP106" t="s">
        <v>1101</v>
      </c>
    </row>
    <row r="107" spans="1:42" x14ac:dyDescent="0.25">
      <c r="A107">
        <v>2023</v>
      </c>
      <c r="B107">
        <v>9</v>
      </c>
      <c r="C107">
        <v>17</v>
      </c>
      <c r="D107" t="s">
        <v>1088</v>
      </c>
      <c r="E107" t="s">
        <v>282</v>
      </c>
      <c r="F107">
        <v>613528</v>
      </c>
      <c r="G107">
        <v>10302722</v>
      </c>
      <c r="H107" t="s">
        <v>282</v>
      </c>
      <c r="J107">
        <v>53977202</v>
      </c>
      <c r="K107">
        <v>1100</v>
      </c>
      <c r="L107">
        <v>1700</v>
      </c>
      <c r="M107">
        <v>1304</v>
      </c>
      <c r="P107">
        <v>216</v>
      </c>
      <c r="Q107">
        <v>1</v>
      </c>
      <c r="R107">
        <v>216</v>
      </c>
      <c r="S107">
        <v>45189.603369594908</v>
      </c>
      <c r="T107">
        <v>5500</v>
      </c>
      <c r="U107" t="s">
        <v>1154</v>
      </c>
      <c r="V107" t="s">
        <v>99</v>
      </c>
      <c r="W107" t="s">
        <v>2</v>
      </c>
      <c r="AI107">
        <v>62</v>
      </c>
      <c r="AJ107">
        <v>62</v>
      </c>
      <c r="AN107">
        <v>45170</v>
      </c>
      <c r="AO107">
        <v>45199</v>
      </c>
      <c r="AP107" t="s">
        <v>1101</v>
      </c>
    </row>
    <row r="108" spans="1:42" x14ac:dyDescent="0.25">
      <c r="A108">
        <v>2023</v>
      </c>
      <c r="B108">
        <v>9</v>
      </c>
      <c r="C108">
        <v>17</v>
      </c>
      <c r="D108" t="s">
        <v>1088</v>
      </c>
      <c r="E108" t="s">
        <v>282</v>
      </c>
      <c r="F108">
        <v>613528</v>
      </c>
      <c r="G108">
        <v>10302722</v>
      </c>
      <c r="H108" t="s">
        <v>282</v>
      </c>
      <c r="J108">
        <v>53977203</v>
      </c>
      <c r="K108">
        <v>1100</v>
      </c>
      <c r="L108">
        <v>1700</v>
      </c>
      <c r="M108">
        <v>1304</v>
      </c>
      <c r="P108">
        <v>216</v>
      </c>
      <c r="Q108">
        <v>1</v>
      </c>
      <c r="R108">
        <v>216</v>
      </c>
      <c r="S108">
        <v>45189.603482754632</v>
      </c>
      <c r="T108">
        <v>5500</v>
      </c>
      <c r="U108" t="s">
        <v>1154</v>
      </c>
      <c r="V108" t="s">
        <v>99</v>
      </c>
      <c r="W108" t="s">
        <v>2</v>
      </c>
      <c r="AI108">
        <v>62</v>
      </c>
      <c r="AJ108">
        <v>62</v>
      </c>
      <c r="AN108">
        <v>45170</v>
      </c>
      <c r="AO108">
        <v>45199</v>
      </c>
      <c r="AP108" t="s">
        <v>1101</v>
      </c>
    </row>
    <row r="109" spans="1:42" x14ac:dyDescent="0.25">
      <c r="A109">
        <v>2023</v>
      </c>
      <c r="B109">
        <v>9</v>
      </c>
      <c r="C109">
        <v>17</v>
      </c>
      <c r="D109" t="s">
        <v>1088</v>
      </c>
      <c r="E109" t="s">
        <v>282</v>
      </c>
      <c r="F109">
        <v>613528</v>
      </c>
      <c r="G109">
        <v>10302722</v>
      </c>
      <c r="H109" t="s">
        <v>282</v>
      </c>
      <c r="J109">
        <v>53977220</v>
      </c>
      <c r="K109">
        <v>1104</v>
      </c>
      <c r="L109">
        <v>1702</v>
      </c>
      <c r="M109">
        <v>1304</v>
      </c>
      <c r="N109">
        <v>53977202</v>
      </c>
      <c r="O109">
        <v>45189.603369594908</v>
      </c>
      <c r="P109">
        <v>216</v>
      </c>
      <c r="Q109">
        <v>1</v>
      </c>
      <c r="R109">
        <v>216</v>
      </c>
      <c r="S109">
        <v>45189.604219016204</v>
      </c>
      <c r="T109">
        <v>5509</v>
      </c>
      <c r="U109" t="s">
        <v>1152</v>
      </c>
      <c r="V109" t="s">
        <v>1153</v>
      </c>
      <c r="W109" t="s">
        <v>2</v>
      </c>
      <c r="AI109">
        <v>62</v>
      </c>
      <c r="AJ109">
        <v>62</v>
      </c>
      <c r="AN109">
        <v>45170</v>
      </c>
      <c r="AO109">
        <v>45199</v>
      </c>
      <c r="AP109" t="s">
        <v>1101</v>
      </c>
    </row>
    <row r="110" spans="1:42" x14ac:dyDescent="0.25">
      <c r="A110">
        <v>2023</v>
      </c>
      <c r="B110">
        <v>9</v>
      </c>
      <c r="C110">
        <v>17</v>
      </c>
      <c r="D110" t="s">
        <v>1088</v>
      </c>
      <c r="E110" t="s">
        <v>282</v>
      </c>
      <c r="F110">
        <v>430162</v>
      </c>
      <c r="G110">
        <v>10382986</v>
      </c>
      <c r="H110" t="s">
        <v>282</v>
      </c>
      <c r="J110">
        <v>54016934</v>
      </c>
      <c r="K110">
        <v>1100</v>
      </c>
      <c r="L110">
        <v>1702</v>
      </c>
      <c r="M110">
        <v>1307</v>
      </c>
      <c r="P110">
        <v>216</v>
      </c>
      <c r="Q110">
        <v>1</v>
      </c>
      <c r="R110">
        <v>216</v>
      </c>
      <c r="S110">
        <v>45190.685217361111</v>
      </c>
      <c r="T110">
        <v>5500</v>
      </c>
      <c r="U110" t="s">
        <v>1151</v>
      </c>
      <c r="V110" t="s">
        <v>99</v>
      </c>
      <c r="W110" t="s">
        <v>88</v>
      </c>
      <c r="X110" t="s">
        <v>1091</v>
      </c>
      <c r="AI110">
        <v>62</v>
      </c>
      <c r="AJ110">
        <v>62</v>
      </c>
      <c r="AN110">
        <v>45170</v>
      </c>
      <c r="AO110">
        <v>45199</v>
      </c>
      <c r="AP110" t="s">
        <v>1101</v>
      </c>
    </row>
    <row r="111" spans="1:42" x14ac:dyDescent="0.25">
      <c r="A111">
        <v>2023</v>
      </c>
      <c r="B111">
        <v>9</v>
      </c>
      <c r="C111">
        <v>17</v>
      </c>
      <c r="D111" t="s">
        <v>1088</v>
      </c>
      <c r="E111" t="s">
        <v>282</v>
      </c>
      <c r="F111">
        <v>430162</v>
      </c>
      <c r="G111">
        <v>10382986</v>
      </c>
      <c r="H111" t="s">
        <v>282</v>
      </c>
      <c r="J111">
        <v>54016937</v>
      </c>
      <c r="K111">
        <v>1100</v>
      </c>
      <c r="L111">
        <v>1702</v>
      </c>
      <c r="M111">
        <v>1307</v>
      </c>
      <c r="P111">
        <v>216</v>
      </c>
      <c r="Q111">
        <v>1</v>
      </c>
      <c r="R111">
        <v>216</v>
      </c>
      <c r="S111">
        <v>45190.685302743055</v>
      </c>
      <c r="T111">
        <v>5500</v>
      </c>
      <c r="U111" t="s">
        <v>1151</v>
      </c>
      <c r="V111" t="s">
        <v>99</v>
      </c>
      <c r="W111" t="s">
        <v>88</v>
      </c>
      <c r="X111" t="s">
        <v>1091</v>
      </c>
      <c r="AI111">
        <v>62</v>
      </c>
      <c r="AJ111">
        <v>62</v>
      </c>
      <c r="AN111">
        <v>45170</v>
      </c>
      <c r="AO111">
        <v>45199</v>
      </c>
      <c r="AP111" t="s">
        <v>1101</v>
      </c>
    </row>
    <row r="112" spans="1:42" x14ac:dyDescent="0.25">
      <c r="A112">
        <v>2023</v>
      </c>
      <c r="B112">
        <v>9</v>
      </c>
      <c r="C112">
        <v>17</v>
      </c>
      <c r="D112" t="s">
        <v>1088</v>
      </c>
      <c r="E112" t="s">
        <v>282</v>
      </c>
      <c r="F112">
        <v>619013</v>
      </c>
      <c r="G112">
        <v>10316468</v>
      </c>
      <c r="H112" t="s">
        <v>282</v>
      </c>
      <c r="J112">
        <v>54070492</v>
      </c>
      <c r="K112">
        <v>1104</v>
      </c>
      <c r="L112">
        <v>1702</v>
      </c>
      <c r="M112">
        <v>1304</v>
      </c>
      <c r="N112">
        <v>53626758</v>
      </c>
      <c r="O112">
        <v>45177.535139467589</v>
      </c>
      <c r="P112">
        <v>50</v>
      </c>
      <c r="Q112">
        <v>1</v>
      </c>
      <c r="R112">
        <v>50</v>
      </c>
      <c r="S112">
        <v>45192.067372569443</v>
      </c>
      <c r="T112">
        <v>5509</v>
      </c>
      <c r="U112" t="s">
        <v>1152</v>
      </c>
      <c r="V112" t="s">
        <v>1153</v>
      </c>
      <c r="W112" t="s">
        <v>2</v>
      </c>
      <c r="AI112">
        <v>62</v>
      </c>
      <c r="AJ112">
        <v>62</v>
      </c>
      <c r="AN112">
        <v>45170</v>
      </c>
      <c r="AO112">
        <v>45199</v>
      </c>
      <c r="AP112" t="s">
        <v>1101</v>
      </c>
    </row>
    <row r="113" spans="1:42" x14ac:dyDescent="0.25">
      <c r="A113">
        <v>2023</v>
      </c>
      <c r="B113">
        <v>9</v>
      </c>
      <c r="C113">
        <v>17</v>
      </c>
      <c r="D113" t="s">
        <v>1088</v>
      </c>
      <c r="E113" t="s">
        <v>282</v>
      </c>
      <c r="F113">
        <v>622657</v>
      </c>
      <c r="G113">
        <v>10383975</v>
      </c>
      <c r="H113" t="s">
        <v>282</v>
      </c>
      <c r="J113">
        <v>54070512</v>
      </c>
      <c r="K113">
        <v>1104</v>
      </c>
      <c r="L113">
        <v>1702</v>
      </c>
      <c r="M113">
        <v>1304</v>
      </c>
      <c r="N113">
        <v>54063593</v>
      </c>
      <c r="O113">
        <v>45191.637452627314</v>
      </c>
      <c r="P113">
        <v>216</v>
      </c>
      <c r="Q113">
        <v>1</v>
      </c>
      <c r="R113">
        <v>216</v>
      </c>
      <c r="S113">
        <v>45192.067372569443</v>
      </c>
      <c r="T113">
        <v>5509</v>
      </c>
      <c r="U113" t="s">
        <v>1152</v>
      </c>
      <c r="V113" t="s">
        <v>1153</v>
      </c>
      <c r="W113" t="s">
        <v>2</v>
      </c>
      <c r="AI113">
        <v>62</v>
      </c>
      <c r="AJ113">
        <v>62</v>
      </c>
      <c r="AN113">
        <v>45170</v>
      </c>
      <c r="AO113">
        <v>45199</v>
      </c>
      <c r="AP113" t="s">
        <v>1101</v>
      </c>
    </row>
    <row r="114" spans="1:42" x14ac:dyDescent="0.25">
      <c r="A114">
        <v>2023</v>
      </c>
      <c r="B114">
        <v>9</v>
      </c>
      <c r="C114">
        <v>17</v>
      </c>
      <c r="D114" t="s">
        <v>1088</v>
      </c>
      <c r="E114" t="s">
        <v>282</v>
      </c>
      <c r="F114">
        <v>622657</v>
      </c>
      <c r="G114">
        <v>10383975</v>
      </c>
      <c r="H114" t="s">
        <v>282</v>
      </c>
      <c r="J114">
        <v>54070513</v>
      </c>
      <c r="K114">
        <v>1104</v>
      </c>
      <c r="L114">
        <v>1702</v>
      </c>
      <c r="M114">
        <v>1304</v>
      </c>
      <c r="N114">
        <v>54063594</v>
      </c>
      <c r="O114">
        <v>45191.637552002314</v>
      </c>
      <c r="P114">
        <v>9</v>
      </c>
      <c r="Q114">
        <v>1</v>
      </c>
      <c r="R114">
        <v>9</v>
      </c>
      <c r="S114">
        <v>45192.067372569443</v>
      </c>
      <c r="T114">
        <v>5509</v>
      </c>
      <c r="U114" t="s">
        <v>1152</v>
      </c>
      <c r="V114" t="s">
        <v>1153</v>
      </c>
      <c r="W114" t="s">
        <v>2</v>
      </c>
      <c r="AI114">
        <v>62</v>
      </c>
      <c r="AJ114">
        <v>62</v>
      </c>
      <c r="AN114">
        <v>45170</v>
      </c>
      <c r="AO114">
        <v>45199</v>
      </c>
      <c r="AP114" t="s">
        <v>1101</v>
      </c>
    </row>
    <row r="115" spans="1:42" x14ac:dyDescent="0.25">
      <c r="A115">
        <v>2023</v>
      </c>
      <c r="B115">
        <v>9</v>
      </c>
      <c r="C115">
        <v>17</v>
      </c>
      <c r="D115" t="s">
        <v>1088</v>
      </c>
      <c r="E115" t="s">
        <v>282</v>
      </c>
      <c r="F115">
        <v>624555</v>
      </c>
      <c r="G115">
        <v>10423292</v>
      </c>
      <c r="H115" t="s">
        <v>282</v>
      </c>
      <c r="J115">
        <v>54086903</v>
      </c>
      <c r="K115">
        <v>1100</v>
      </c>
      <c r="L115">
        <v>1700</v>
      </c>
      <c r="M115">
        <v>1304</v>
      </c>
      <c r="P115">
        <v>10.6</v>
      </c>
      <c r="Q115">
        <v>2</v>
      </c>
      <c r="R115">
        <v>21.2</v>
      </c>
      <c r="S115">
        <v>45194.469207141206</v>
      </c>
      <c r="T115">
        <v>5500</v>
      </c>
      <c r="U115" t="s">
        <v>1154</v>
      </c>
      <c r="V115" t="s">
        <v>99</v>
      </c>
      <c r="W115" t="s">
        <v>2</v>
      </c>
      <c r="AI115">
        <v>62</v>
      </c>
      <c r="AJ115">
        <v>62</v>
      </c>
      <c r="AN115">
        <v>45170</v>
      </c>
      <c r="AO115">
        <v>45199</v>
      </c>
      <c r="AP115" t="s">
        <v>1101</v>
      </c>
    </row>
    <row r="116" spans="1:42" x14ac:dyDescent="0.25">
      <c r="A116">
        <v>2023</v>
      </c>
      <c r="B116">
        <v>9</v>
      </c>
      <c r="C116">
        <v>17</v>
      </c>
      <c r="D116" t="s">
        <v>1088</v>
      </c>
      <c r="E116" t="s">
        <v>282</v>
      </c>
      <c r="F116">
        <v>120152</v>
      </c>
      <c r="G116">
        <v>10417211</v>
      </c>
      <c r="H116" t="s">
        <v>282</v>
      </c>
      <c r="J116">
        <v>54097921</v>
      </c>
      <c r="K116">
        <v>1100</v>
      </c>
      <c r="L116">
        <v>1700</v>
      </c>
      <c r="M116">
        <v>1304</v>
      </c>
      <c r="P116">
        <v>216</v>
      </c>
      <c r="Q116">
        <v>1</v>
      </c>
      <c r="R116">
        <v>216</v>
      </c>
      <c r="S116">
        <v>45194.550981712964</v>
      </c>
      <c r="T116">
        <v>5500</v>
      </c>
      <c r="U116" t="s">
        <v>1154</v>
      </c>
      <c r="V116" t="s">
        <v>99</v>
      </c>
      <c r="W116" t="s">
        <v>2</v>
      </c>
      <c r="AI116">
        <v>62</v>
      </c>
      <c r="AJ116">
        <v>62</v>
      </c>
      <c r="AN116">
        <v>45170</v>
      </c>
      <c r="AO116">
        <v>45199</v>
      </c>
      <c r="AP116" t="s">
        <v>1101</v>
      </c>
    </row>
    <row r="117" spans="1:42" x14ac:dyDescent="0.25">
      <c r="A117">
        <v>2023</v>
      </c>
      <c r="B117">
        <v>9</v>
      </c>
      <c r="C117">
        <v>17</v>
      </c>
      <c r="D117" t="s">
        <v>1088</v>
      </c>
      <c r="E117" t="s">
        <v>282</v>
      </c>
      <c r="F117">
        <v>120152</v>
      </c>
      <c r="G117">
        <v>10417211</v>
      </c>
      <c r="H117" t="s">
        <v>282</v>
      </c>
      <c r="J117">
        <v>54097925</v>
      </c>
      <c r="K117">
        <v>1100</v>
      </c>
      <c r="L117">
        <v>1700</v>
      </c>
      <c r="M117">
        <v>1304</v>
      </c>
      <c r="P117">
        <v>216</v>
      </c>
      <c r="Q117">
        <v>1</v>
      </c>
      <c r="R117">
        <v>216</v>
      </c>
      <c r="S117">
        <v>45194.551127974541</v>
      </c>
      <c r="T117">
        <v>5500</v>
      </c>
      <c r="U117" t="s">
        <v>1154</v>
      </c>
      <c r="V117" t="s">
        <v>99</v>
      </c>
      <c r="W117" t="s">
        <v>2</v>
      </c>
      <c r="AI117">
        <v>62</v>
      </c>
      <c r="AJ117">
        <v>62</v>
      </c>
      <c r="AN117">
        <v>45170</v>
      </c>
      <c r="AO117">
        <v>45199</v>
      </c>
      <c r="AP117" t="s">
        <v>1101</v>
      </c>
    </row>
    <row r="118" spans="1:42" x14ac:dyDescent="0.25">
      <c r="A118">
        <v>2023</v>
      </c>
      <c r="B118">
        <v>9</v>
      </c>
      <c r="C118">
        <v>17</v>
      </c>
      <c r="D118" t="s">
        <v>1088</v>
      </c>
      <c r="E118" t="s">
        <v>282</v>
      </c>
      <c r="F118">
        <v>120152</v>
      </c>
      <c r="G118">
        <v>10417211</v>
      </c>
      <c r="H118" t="s">
        <v>282</v>
      </c>
      <c r="J118">
        <v>54097929</v>
      </c>
      <c r="K118">
        <v>1100</v>
      </c>
      <c r="L118">
        <v>1700</v>
      </c>
      <c r="M118">
        <v>1304</v>
      </c>
      <c r="P118">
        <v>18</v>
      </c>
      <c r="Q118">
        <v>1</v>
      </c>
      <c r="R118">
        <v>18</v>
      </c>
      <c r="S118">
        <v>45194.551200810187</v>
      </c>
      <c r="T118">
        <v>5500</v>
      </c>
      <c r="U118" t="s">
        <v>1154</v>
      </c>
      <c r="V118" t="s">
        <v>99</v>
      </c>
      <c r="W118" t="s">
        <v>2</v>
      </c>
      <c r="AI118">
        <v>62</v>
      </c>
      <c r="AJ118">
        <v>62</v>
      </c>
      <c r="AN118">
        <v>45170</v>
      </c>
      <c r="AO118">
        <v>45199</v>
      </c>
      <c r="AP118" t="s">
        <v>1101</v>
      </c>
    </row>
    <row r="119" spans="1:42" x14ac:dyDescent="0.25">
      <c r="A119">
        <v>2023</v>
      </c>
      <c r="B119">
        <v>9</v>
      </c>
      <c r="C119">
        <v>17</v>
      </c>
      <c r="D119" t="s">
        <v>1088</v>
      </c>
      <c r="E119" t="s">
        <v>282</v>
      </c>
      <c r="F119">
        <v>624781</v>
      </c>
      <c r="G119">
        <v>10425164</v>
      </c>
      <c r="H119" t="s">
        <v>282</v>
      </c>
      <c r="J119">
        <v>54099553</v>
      </c>
      <c r="K119">
        <v>1100</v>
      </c>
      <c r="L119">
        <v>1700</v>
      </c>
      <c r="M119">
        <v>1301</v>
      </c>
      <c r="P119">
        <v>85</v>
      </c>
      <c r="Q119">
        <v>1</v>
      </c>
      <c r="R119">
        <v>85</v>
      </c>
      <c r="S119">
        <v>45194.557333530094</v>
      </c>
      <c r="T119">
        <v>5500</v>
      </c>
      <c r="U119" t="s">
        <v>1151</v>
      </c>
      <c r="V119" t="s">
        <v>99</v>
      </c>
      <c r="W119" t="s">
        <v>1031</v>
      </c>
      <c r="X119" t="s">
        <v>1031</v>
      </c>
      <c r="AA119">
        <v>58008</v>
      </c>
      <c r="AB119" t="s">
        <v>1223</v>
      </c>
      <c r="AC119">
        <v>45196.087766550925</v>
      </c>
      <c r="AI119">
        <v>62</v>
      </c>
      <c r="AJ119">
        <v>62</v>
      </c>
      <c r="AN119">
        <v>45170</v>
      </c>
      <c r="AO119">
        <v>45199</v>
      </c>
      <c r="AP119" t="s">
        <v>1101</v>
      </c>
    </row>
    <row r="120" spans="1:42" x14ac:dyDescent="0.25">
      <c r="A120">
        <v>2023</v>
      </c>
      <c r="B120">
        <v>9</v>
      </c>
      <c r="C120">
        <v>17</v>
      </c>
      <c r="D120" t="s">
        <v>1088</v>
      </c>
      <c r="E120" t="s">
        <v>282</v>
      </c>
      <c r="F120">
        <v>624781</v>
      </c>
      <c r="G120">
        <v>10425164</v>
      </c>
      <c r="H120" t="s">
        <v>282</v>
      </c>
      <c r="J120">
        <v>54099579</v>
      </c>
      <c r="K120">
        <v>1100</v>
      </c>
      <c r="L120">
        <v>1700</v>
      </c>
      <c r="M120">
        <v>1301</v>
      </c>
      <c r="P120">
        <v>7.5</v>
      </c>
      <c r="Q120">
        <v>2</v>
      </c>
      <c r="R120">
        <v>15</v>
      </c>
      <c r="S120">
        <v>45194.557484259261</v>
      </c>
      <c r="T120">
        <v>5500</v>
      </c>
      <c r="U120" t="s">
        <v>1151</v>
      </c>
      <c r="V120" t="s">
        <v>99</v>
      </c>
      <c r="W120" t="s">
        <v>1031</v>
      </c>
      <c r="X120" t="s">
        <v>1031</v>
      </c>
      <c r="AA120">
        <v>58008</v>
      </c>
      <c r="AB120" t="s">
        <v>1223</v>
      </c>
      <c r="AC120">
        <v>45196.087766550925</v>
      </c>
      <c r="AI120">
        <v>62</v>
      </c>
      <c r="AJ120">
        <v>62</v>
      </c>
      <c r="AN120">
        <v>45170</v>
      </c>
      <c r="AO120">
        <v>45199</v>
      </c>
      <c r="AP120" t="s">
        <v>1101</v>
      </c>
    </row>
    <row r="121" spans="1:42" x14ac:dyDescent="0.25">
      <c r="A121">
        <v>2023</v>
      </c>
      <c r="B121">
        <v>9</v>
      </c>
      <c r="C121">
        <v>17</v>
      </c>
      <c r="D121" t="s">
        <v>1088</v>
      </c>
      <c r="E121" t="s">
        <v>282</v>
      </c>
      <c r="F121">
        <v>624781</v>
      </c>
      <c r="G121">
        <v>10425164</v>
      </c>
      <c r="H121" t="s">
        <v>282</v>
      </c>
      <c r="J121">
        <v>54099625</v>
      </c>
      <c r="K121">
        <v>1100</v>
      </c>
      <c r="L121">
        <v>1700</v>
      </c>
      <c r="M121">
        <v>1301</v>
      </c>
      <c r="P121">
        <v>8</v>
      </c>
      <c r="Q121">
        <v>2</v>
      </c>
      <c r="R121">
        <v>16</v>
      </c>
      <c r="S121">
        <v>45194.557697303244</v>
      </c>
      <c r="T121">
        <v>5500</v>
      </c>
      <c r="U121" t="s">
        <v>1151</v>
      </c>
      <c r="V121" t="s">
        <v>99</v>
      </c>
      <c r="W121" t="s">
        <v>1031</v>
      </c>
      <c r="X121" t="s">
        <v>1031</v>
      </c>
      <c r="AA121">
        <v>58008</v>
      </c>
      <c r="AB121" t="s">
        <v>1223</v>
      </c>
      <c r="AC121">
        <v>45196.087766550925</v>
      </c>
      <c r="AI121">
        <v>62</v>
      </c>
      <c r="AJ121">
        <v>62</v>
      </c>
      <c r="AN121">
        <v>45170</v>
      </c>
      <c r="AO121">
        <v>45199</v>
      </c>
      <c r="AP121" t="s">
        <v>1101</v>
      </c>
    </row>
    <row r="122" spans="1:42" x14ac:dyDescent="0.25">
      <c r="A122">
        <v>2023</v>
      </c>
      <c r="B122">
        <v>9</v>
      </c>
      <c r="C122">
        <v>17</v>
      </c>
      <c r="D122" t="s">
        <v>1088</v>
      </c>
      <c r="E122" t="s">
        <v>282</v>
      </c>
      <c r="F122">
        <v>624023</v>
      </c>
      <c r="G122">
        <v>10410153</v>
      </c>
      <c r="H122" t="s">
        <v>282</v>
      </c>
      <c r="J122">
        <v>54113404</v>
      </c>
      <c r="K122">
        <v>1104</v>
      </c>
      <c r="L122">
        <v>1702</v>
      </c>
      <c r="M122">
        <v>1304</v>
      </c>
      <c r="N122">
        <v>54103883</v>
      </c>
      <c r="O122">
        <v>45194.625042395834</v>
      </c>
      <c r="P122">
        <v>216</v>
      </c>
      <c r="Q122">
        <v>1</v>
      </c>
      <c r="R122">
        <v>216</v>
      </c>
      <c r="S122">
        <v>45195.067372106481</v>
      </c>
      <c r="T122">
        <v>5509</v>
      </c>
      <c r="U122" t="s">
        <v>1152</v>
      </c>
      <c r="V122" t="s">
        <v>1153</v>
      </c>
      <c r="W122" t="s">
        <v>2</v>
      </c>
      <c r="AI122">
        <v>62</v>
      </c>
      <c r="AJ122">
        <v>62</v>
      </c>
      <c r="AN122">
        <v>45170</v>
      </c>
      <c r="AO122">
        <v>45199</v>
      </c>
      <c r="AP122" t="s">
        <v>1101</v>
      </c>
    </row>
    <row r="123" spans="1:42" x14ac:dyDescent="0.25">
      <c r="A123">
        <v>2023</v>
      </c>
      <c r="B123">
        <v>9</v>
      </c>
      <c r="C123">
        <v>17</v>
      </c>
      <c r="D123" t="s">
        <v>1088</v>
      </c>
      <c r="E123" t="s">
        <v>282</v>
      </c>
      <c r="F123">
        <v>624023</v>
      </c>
      <c r="G123">
        <v>10410153</v>
      </c>
      <c r="H123" t="s">
        <v>282</v>
      </c>
      <c r="J123">
        <v>54113405</v>
      </c>
      <c r="K123">
        <v>1104</v>
      </c>
      <c r="L123">
        <v>1702</v>
      </c>
      <c r="M123">
        <v>1304</v>
      </c>
      <c r="N123">
        <v>54103887</v>
      </c>
      <c r="O123">
        <v>45194.625140891207</v>
      </c>
      <c r="P123">
        <v>216</v>
      </c>
      <c r="Q123">
        <v>1</v>
      </c>
      <c r="R123">
        <v>216</v>
      </c>
      <c r="S123">
        <v>45195.067372106481</v>
      </c>
      <c r="T123">
        <v>5509</v>
      </c>
      <c r="U123" t="s">
        <v>1152</v>
      </c>
      <c r="V123" t="s">
        <v>1153</v>
      </c>
      <c r="W123" t="s">
        <v>2</v>
      </c>
      <c r="AI123">
        <v>62</v>
      </c>
      <c r="AJ123">
        <v>62</v>
      </c>
      <c r="AN123">
        <v>45170</v>
      </c>
      <c r="AO123">
        <v>45199</v>
      </c>
      <c r="AP123" t="s">
        <v>1101</v>
      </c>
    </row>
    <row r="124" spans="1:42" x14ac:dyDescent="0.25">
      <c r="A124">
        <v>2023</v>
      </c>
      <c r="B124">
        <v>9</v>
      </c>
      <c r="C124">
        <v>17</v>
      </c>
      <c r="D124" t="s">
        <v>1088</v>
      </c>
      <c r="E124" t="s">
        <v>282</v>
      </c>
      <c r="F124">
        <v>624555</v>
      </c>
      <c r="G124">
        <v>10423292</v>
      </c>
      <c r="H124" t="s">
        <v>282</v>
      </c>
      <c r="J124">
        <v>54113467</v>
      </c>
      <c r="K124">
        <v>1104</v>
      </c>
      <c r="L124">
        <v>1702</v>
      </c>
      <c r="M124">
        <v>1304</v>
      </c>
      <c r="N124">
        <v>54086903</v>
      </c>
      <c r="O124">
        <v>45194.469207141206</v>
      </c>
      <c r="P124">
        <v>21.2</v>
      </c>
      <c r="Q124">
        <v>1</v>
      </c>
      <c r="R124">
        <v>21.2</v>
      </c>
      <c r="S124">
        <v>45195.067372106481</v>
      </c>
      <c r="T124">
        <v>5509</v>
      </c>
      <c r="U124" t="s">
        <v>1152</v>
      </c>
      <c r="V124" t="s">
        <v>1153</v>
      </c>
      <c r="W124" t="s">
        <v>2</v>
      </c>
      <c r="AI124">
        <v>62</v>
      </c>
      <c r="AJ124">
        <v>62</v>
      </c>
      <c r="AN124">
        <v>45170</v>
      </c>
      <c r="AO124">
        <v>45199</v>
      </c>
      <c r="AP124" t="s">
        <v>1101</v>
      </c>
    </row>
    <row r="125" spans="1:42" x14ac:dyDescent="0.25">
      <c r="A125">
        <v>2023</v>
      </c>
      <c r="B125">
        <v>9</v>
      </c>
      <c r="C125">
        <v>17</v>
      </c>
      <c r="D125" t="s">
        <v>1088</v>
      </c>
      <c r="E125" t="s">
        <v>282</v>
      </c>
      <c r="F125">
        <v>620528</v>
      </c>
      <c r="G125">
        <v>10343235</v>
      </c>
      <c r="H125" t="s">
        <v>282</v>
      </c>
      <c r="J125">
        <v>54151232</v>
      </c>
      <c r="K125">
        <v>1104</v>
      </c>
      <c r="L125">
        <v>1702</v>
      </c>
      <c r="M125">
        <v>1304</v>
      </c>
      <c r="N125">
        <v>53707462</v>
      </c>
      <c r="O125">
        <v>45181.496214039355</v>
      </c>
      <c r="P125">
        <v>225</v>
      </c>
      <c r="Q125">
        <v>1</v>
      </c>
      <c r="R125">
        <v>225</v>
      </c>
      <c r="S125">
        <v>45195.665258993053</v>
      </c>
      <c r="T125">
        <v>5509</v>
      </c>
      <c r="U125" t="s">
        <v>1152</v>
      </c>
      <c r="V125" t="s">
        <v>1153</v>
      </c>
      <c r="W125" t="s">
        <v>2</v>
      </c>
      <c r="AI125">
        <v>62</v>
      </c>
      <c r="AJ125">
        <v>62</v>
      </c>
      <c r="AN125">
        <v>45170</v>
      </c>
      <c r="AO125">
        <v>45199</v>
      </c>
      <c r="AP125" t="s">
        <v>1101</v>
      </c>
    </row>
    <row r="126" spans="1:42" x14ac:dyDescent="0.25">
      <c r="A126">
        <v>2023</v>
      </c>
      <c r="B126">
        <v>9</v>
      </c>
      <c r="C126">
        <v>17</v>
      </c>
      <c r="D126" t="s">
        <v>1088</v>
      </c>
      <c r="E126" t="s">
        <v>282</v>
      </c>
      <c r="F126">
        <v>384980</v>
      </c>
      <c r="G126">
        <v>10281300</v>
      </c>
      <c r="H126" t="s">
        <v>282</v>
      </c>
      <c r="J126">
        <v>54158021</v>
      </c>
      <c r="K126">
        <v>1104</v>
      </c>
      <c r="L126">
        <v>1702</v>
      </c>
      <c r="M126">
        <v>1304</v>
      </c>
      <c r="N126">
        <v>53588617</v>
      </c>
      <c r="O126">
        <v>45176.665151967594</v>
      </c>
      <c r="P126">
        <v>165.43</v>
      </c>
      <c r="Q126">
        <v>1</v>
      </c>
      <c r="R126">
        <v>165.43</v>
      </c>
      <c r="S126">
        <v>45196.067373761573</v>
      </c>
      <c r="T126">
        <v>5509</v>
      </c>
      <c r="U126" t="s">
        <v>1152</v>
      </c>
      <c r="V126" t="s">
        <v>1153</v>
      </c>
      <c r="W126" t="s">
        <v>2</v>
      </c>
      <c r="X126" t="s">
        <v>1091</v>
      </c>
      <c r="AI126">
        <v>62</v>
      </c>
      <c r="AJ126">
        <v>62</v>
      </c>
      <c r="AN126">
        <v>45170</v>
      </c>
      <c r="AO126">
        <v>45199</v>
      </c>
      <c r="AP126" t="s">
        <v>1101</v>
      </c>
    </row>
    <row r="127" spans="1:42" x14ac:dyDescent="0.25">
      <c r="A127">
        <v>2023</v>
      </c>
      <c r="B127">
        <v>9</v>
      </c>
      <c r="C127">
        <v>17</v>
      </c>
      <c r="D127" t="s">
        <v>1088</v>
      </c>
      <c r="E127" t="s">
        <v>282</v>
      </c>
      <c r="F127">
        <v>384980</v>
      </c>
      <c r="G127">
        <v>10281300</v>
      </c>
      <c r="H127" t="s">
        <v>282</v>
      </c>
      <c r="J127">
        <v>54158022</v>
      </c>
      <c r="K127">
        <v>1104</v>
      </c>
      <c r="L127">
        <v>1702</v>
      </c>
      <c r="M127">
        <v>1304</v>
      </c>
      <c r="N127">
        <v>53588621</v>
      </c>
      <c r="O127">
        <v>45176.665278043984</v>
      </c>
      <c r="P127">
        <v>165.43</v>
      </c>
      <c r="Q127">
        <v>1</v>
      </c>
      <c r="R127">
        <v>165.43</v>
      </c>
      <c r="S127">
        <v>45196.067373761573</v>
      </c>
      <c r="T127">
        <v>5509</v>
      </c>
      <c r="U127" t="s">
        <v>1152</v>
      </c>
      <c r="V127" t="s">
        <v>1153</v>
      </c>
      <c r="W127" t="s">
        <v>2</v>
      </c>
      <c r="X127" t="s">
        <v>1091</v>
      </c>
      <c r="AI127">
        <v>62</v>
      </c>
      <c r="AJ127">
        <v>62</v>
      </c>
      <c r="AN127">
        <v>45170</v>
      </c>
      <c r="AO127">
        <v>45199</v>
      </c>
      <c r="AP127" t="s">
        <v>1101</v>
      </c>
    </row>
    <row r="128" spans="1:42" x14ac:dyDescent="0.25">
      <c r="A128">
        <v>2023</v>
      </c>
      <c r="B128">
        <v>9</v>
      </c>
      <c r="C128">
        <v>17</v>
      </c>
      <c r="D128" t="s">
        <v>1088</v>
      </c>
      <c r="E128" t="s">
        <v>282</v>
      </c>
      <c r="F128">
        <v>625508</v>
      </c>
      <c r="G128">
        <v>10438192</v>
      </c>
      <c r="H128" t="s">
        <v>282</v>
      </c>
      <c r="J128">
        <v>54286087</v>
      </c>
      <c r="K128">
        <v>1100</v>
      </c>
      <c r="L128">
        <v>1700</v>
      </c>
      <c r="M128">
        <v>1304</v>
      </c>
      <c r="P128">
        <v>216</v>
      </c>
      <c r="Q128">
        <v>1</v>
      </c>
      <c r="R128">
        <v>216</v>
      </c>
      <c r="S128">
        <v>45198.437789664349</v>
      </c>
      <c r="T128">
        <v>5500</v>
      </c>
      <c r="U128" t="s">
        <v>1154</v>
      </c>
      <c r="V128" t="s">
        <v>99</v>
      </c>
      <c r="W128" t="s">
        <v>2</v>
      </c>
      <c r="AI128">
        <v>62</v>
      </c>
      <c r="AJ128">
        <v>62</v>
      </c>
      <c r="AN128">
        <v>45170</v>
      </c>
      <c r="AO128">
        <v>45199</v>
      </c>
      <c r="AP128" t="s">
        <v>1101</v>
      </c>
    </row>
    <row r="129" spans="1:42" x14ac:dyDescent="0.25">
      <c r="A129">
        <v>2023</v>
      </c>
      <c r="B129">
        <v>9</v>
      </c>
      <c r="C129">
        <v>17</v>
      </c>
      <c r="D129" t="s">
        <v>1088</v>
      </c>
      <c r="E129" t="s">
        <v>282</v>
      </c>
      <c r="F129">
        <v>625508</v>
      </c>
      <c r="G129">
        <v>10438192</v>
      </c>
      <c r="H129" t="s">
        <v>282</v>
      </c>
      <c r="J129">
        <v>54286088</v>
      </c>
      <c r="K129">
        <v>1100</v>
      </c>
      <c r="L129">
        <v>1700</v>
      </c>
      <c r="M129">
        <v>1304</v>
      </c>
      <c r="P129">
        <v>216</v>
      </c>
      <c r="Q129">
        <v>1</v>
      </c>
      <c r="R129">
        <v>216</v>
      </c>
      <c r="S129">
        <v>45198.437881631944</v>
      </c>
      <c r="T129">
        <v>5500</v>
      </c>
      <c r="U129" t="s">
        <v>1154</v>
      </c>
      <c r="V129" t="s">
        <v>99</v>
      </c>
      <c r="W129" t="s">
        <v>2</v>
      </c>
      <c r="AI129">
        <v>62</v>
      </c>
      <c r="AJ129">
        <v>62</v>
      </c>
      <c r="AN129">
        <v>45170</v>
      </c>
      <c r="AO129">
        <v>45199</v>
      </c>
      <c r="AP129" t="s">
        <v>1101</v>
      </c>
    </row>
    <row r="130" spans="1:42" x14ac:dyDescent="0.25">
      <c r="A130">
        <v>2023</v>
      </c>
      <c r="B130">
        <v>9</v>
      </c>
      <c r="C130">
        <v>17</v>
      </c>
      <c r="D130" t="s">
        <v>1088</v>
      </c>
      <c r="E130" t="s">
        <v>282</v>
      </c>
      <c r="F130">
        <v>570692</v>
      </c>
      <c r="H130" t="s">
        <v>282</v>
      </c>
      <c r="I130">
        <v>1244804</v>
      </c>
      <c r="M130">
        <v>1304</v>
      </c>
      <c r="P130">
        <v>25</v>
      </c>
      <c r="Q130">
        <v>1</v>
      </c>
      <c r="R130">
        <v>25</v>
      </c>
      <c r="S130">
        <v>45181</v>
      </c>
      <c r="U130" t="s">
        <v>222</v>
      </c>
      <c r="V130" t="s">
        <v>102</v>
      </c>
      <c r="AI130">
        <v>62</v>
      </c>
      <c r="AL130" t="s">
        <v>1159</v>
      </c>
      <c r="AM130" t="s">
        <v>282</v>
      </c>
      <c r="AN130">
        <v>45170</v>
      </c>
      <c r="AO130">
        <v>45199</v>
      </c>
      <c r="AP130" t="s">
        <v>1101</v>
      </c>
    </row>
    <row r="131" spans="1:42" x14ac:dyDescent="0.25">
      <c r="A131">
        <v>2023</v>
      </c>
      <c r="B131">
        <v>9</v>
      </c>
      <c r="C131">
        <v>17</v>
      </c>
      <c r="D131" t="s">
        <v>1088</v>
      </c>
      <c r="E131" t="s">
        <v>282</v>
      </c>
      <c r="F131">
        <v>620993</v>
      </c>
      <c r="H131" t="s">
        <v>282</v>
      </c>
      <c r="I131">
        <v>1250143</v>
      </c>
      <c r="M131">
        <v>1304</v>
      </c>
      <c r="P131">
        <v>768</v>
      </c>
      <c r="Q131">
        <v>1</v>
      </c>
      <c r="R131">
        <v>768</v>
      </c>
      <c r="S131">
        <v>45188</v>
      </c>
      <c r="U131" t="s">
        <v>222</v>
      </c>
      <c r="V131" t="s">
        <v>102</v>
      </c>
      <c r="AI131">
        <v>62</v>
      </c>
      <c r="AL131" t="s">
        <v>1159</v>
      </c>
      <c r="AM131" t="s">
        <v>282</v>
      </c>
      <c r="AN131">
        <v>45170</v>
      </c>
      <c r="AO131">
        <v>45199</v>
      </c>
      <c r="AP131" t="s">
        <v>1101</v>
      </c>
    </row>
    <row r="132" spans="1:42" x14ac:dyDescent="0.25">
      <c r="A132">
        <v>2023</v>
      </c>
      <c r="B132">
        <v>9</v>
      </c>
      <c r="C132">
        <v>17</v>
      </c>
      <c r="D132" t="s">
        <v>1088</v>
      </c>
      <c r="E132" t="s">
        <v>282</v>
      </c>
      <c r="F132">
        <v>621106</v>
      </c>
      <c r="H132" t="s">
        <v>282</v>
      </c>
      <c r="I132">
        <v>1246832</v>
      </c>
      <c r="M132">
        <v>1304</v>
      </c>
      <c r="P132">
        <v>450</v>
      </c>
      <c r="Q132">
        <v>1</v>
      </c>
      <c r="R132">
        <v>450</v>
      </c>
      <c r="S132">
        <v>45183</v>
      </c>
      <c r="U132" t="s">
        <v>222</v>
      </c>
      <c r="V132" t="s">
        <v>102</v>
      </c>
      <c r="AI132">
        <v>62</v>
      </c>
      <c r="AL132" t="s">
        <v>110</v>
      </c>
      <c r="AM132" t="s">
        <v>282</v>
      </c>
      <c r="AN132">
        <v>45170</v>
      </c>
      <c r="AO132">
        <v>45199</v>
      </c>
      <c r="AP132" t="s">
        <v>1101</v>
      </c>
    </row>
    <row r="133" spans="1:42" x14ac:dyDescent="0.25">
      <c r="A133">
        <v>2023</v>
      </c>
      <c r="B133">
        <v>9</v>
      </c>
      <c r="C133">
        <v>17</v>
      </c>
      <c r="D133" t="s">
        <v>1088</v>
      </c>
      <c r="E133" t="s">
        <v>282</v>
      </c>
      <c r="F133">
        <v>623638</v>
      </c>
      <c r="H133" t="s">
        <v>282</v>
      </c>
      <c r="I133">
        <v>1254590</v>
      </c>
      <c r="M133">
        <v>1304</v>
      </c>
      <c r="P133">
        <v>200</v>
      </c>
      <c r="Q133">
        <v>1</v>
      </c>
      <c r="R133">
        <v>200</v>
      </c>
      <c r="S133">
        <v>45194</v>
      </c>
      <c r="U133" t="s">
        <v>222</v>
      </c>
      <c r="V133" t="s">
        <v>102</v>
      </c>
      <c r="AI133">
        <v>62</v>
      </c>
      <c r="AL133" t="s">
        <v>1159</v>
      </c>
      <c r="AM133" t="s">
        <v>282</v>
      </c>
      <c r="AN133">
        <v>45170</v>
      </c>
      <c r="AO133">
        <v>45199</v>
      </c>
      <c r="AP133" t="s">
        <v>1101</v>
      </c>
    </row>
    <row r="134" spans="1:42" x14ac:dyDescent="0.25">
      <c r="A134">
        <v>2023</v>
      </c>
      <c r="B134">
        <v>9</v>
      </c>
      <c r="C134">
        <v>17</v>
      </c>
      <c r="D134" t="s">
        <v>1088</v>
      </c>
      <c r="E134" t="s">
        <v>282</v>
      </c>
      <c r="F134">
        <v>624023</v>
      </c>
      <c r="H134" t="s">
        <v>282</v>
      </c>
      <c r="I134">
        <v>1254601</v>
      </c>
      <c r="M134">
        <v>1304</v>
      </c>
      <c r="P134">
        <v>432</v>
      </c>
      <c r="Q134">
        <v>1</v>
      </c>
      <c r="R134">
        <v>432</v>
      </c>
      <c r="S134">
        <v>45194</v>
      </c>
      <c r="U134" t="s">
        <v>222</v>
      </c>
      <c r="V134" t="s">
        <v>102</v>
      </c>
      <c r="AI134">
        <v>62</v>
      </c>
      <c r="AL134" t="s">
        <v>1159</v>
      </c>
      <c r="AM134" t="s">
        <v>282</v>
      </c>
      <c r="AN134">
        <v>45170</v>
      </c>
      <c r="AO134">
        <v>45199</v>
      </c>
      <c r="AP134" t="s">
        <v>1101</v>
      </c>
    </row>
    <row r="135" spans="1:42" x14ac:dyDescent="0.25">
      <c r="A135">
        <v>2023</v>
      </c>
      <c r="B135">
        <v>9</v>
      </c>
      <c r="C135">
        <v>17</v>
      </c>
      <c r="D135" t="s">
        <v>1088</v>
      </c>
      <c r="E135" t="s">
        <v>282</v>
      </c>
      <c r="F135">
        <v>171377</v>
      </c>
      <c r="G135">
        <v>10188714</v>
      </c>
      <c r="H135" t="s">
        <v>282</v>
      </c>
      <c r="J135">
        <v>53697538</v>
      </c>
      <c r="K135">
        <v>1104</v>
      </c>
      <c r="L135">
        <v>1702</v>
      </c>
      <c r="M135">
        <v>1304</v>
      </c>
      <c r="N135">
        <v>53299554</v>
      </c>
      <c r="O135">
        <v>45167.577066631944</v>
      </c>
      <c r="P135">
        <v>182</v>
      </c>
      <c r="Q135">
        <v>1</v>
      </c>
      <c r="R135">
        <v>182</v>
      </c>
      <c r="S135">
        <v>45181.067376736108</v>
      </c>
      <c r="T135">
        <v>5509</v>
      </c>
      <c r="U135" t="s">
        <v>1152</v>
      </c>
      <c r="V135" t="s">
        <v>1153</v>
      </c>
      <c r="W135" t="s">
        <v>2</v>
      </c>
      <c r="AI135">
        <v>62</v>
      </c>
      <c r="AJ135">
        <v>62</v>
      </c>
      <c r="AN135">
        <v>45170</v>
      </c>
      <c r="AO135">
        <v>45199</v>
      </c>
      <c r="AP135" t="s">
        <v>1101</v>
      </c>
    </row>
    <row r="136" spans="1:42" x14ac:dyDescent="0.25">
      <c r="A136">
        <v>2023</v>
      </c>
      <c r="B136">
        <v>9</v>
      </c>
      <c r="C136">
        <v>17</v>
      </c>
      <c r="D136" t="s">
        <v>1088</v>
      </c>
      <c r="E136" t="s">
        <v>282</v>
      </c>
      <c r="F136">
        <v>171377</v>
      </c>
      <c r="G136">
        <v>10188714</v>
      </c>
      <c r="H136" t="s">
        <v>282</v>
      </c>
      <c r="J136">
        <v>53697539</v>
      </c>
      <c r="K136">
        <v>1104</v>
      </c>
      <c r="L136">
        <v>1702</v>
      </c>
      <c r="M136">
        <v>1304</v>
      </c>
      <c r="N136">
        <v>53299556</v>
      </c>
      <c r="O136">
        <v>45167.577151076388</v>
      </c>
      <c r="P136">
        <v>18</v>
      </c>
      <c r="Q136">
        <v>1</v>
      </c>
      <c r="R136">
        <v>18</v>
      </c>
      <c r="S136">
        <v>45181.067376736108</v>
      </c>
      <c r="T136">
        <v>5509</v>
      </c>
      <c r="U136" t="s">
        <v>1152</v>
      </c>
      <c r="V136" t="s">
        <v>1153</v>
      </c>
      <c r="W136" t="s">
        <v>2</v>
      </c>
      <c r="AI136">
        <v>62</v>
      </c>
      <c r="AJ136">
        <v>62</v>
      </c>
      <c r="AN136">
        <v>45170</v>
      </c>
      <c r="AO136">
        <v>45199</v>
      </c>
      <c r="AP136" t="s">
        <v>1101</v>
      </c>
    </row>
    <row r="137" spans="1:42" x14ac:dyDescent="0.25">
      <c r="A137">
        <v>2023</v>
      </c>
      <c r="B137">
        <v>9</v>
      </c>
      <c r="C137">
        <v>17</v>
      </c>
      <c r="D137" t="s">
        <v>1088</v>
      </c>
      <c r="E137" t="s">
        <v>282</v>
      </c>
      <c r="F137">
        <v>613182</v>
      </c>
      <c r="G137">
        <v>10202379</v>
      </c>
      <c r="H137" t="s">
        <v>282</v>
      </c>
      <c r="J137">
        <v>53927978</v>
      </c>
      <c r="K137">
        <v>1100</v>
      </c>
      <c r="L137">
        <v>1700</v>
      </c>
      <c r="M137">
        <v>1304</v>
      </c>
      <c r="P137">
        <v>216</v>
      </c>
      <c r="Q137">
        <v>1</v>
      </c>
      <c r="R137">
        <v>216</v>
      </c>
      <c r="S137">
        <v>45188.410618402777</v>
      </c>
      <c r="T137">
        <v>5500</v>
      </c>
      <c r="U137" t="s">
        <v>1154</v>
      </c>
      <c r="V137" t="s">
        <v>99</v>
      </c>
      <c r="W137" t="s">
        <v>2</v>
      </c>
      <c r="AI137">
        <v>62</v>
      </c>
      <c r="AJ137">
        <v>62</v>
      </c>
      <c r="AN137">
        <v>45170</v>
      </c>
      <c r="AO137">
        <v>45199</v>
      </c>
      <c r="AP137" t="s">
        <v>1101</v>
      </c>
    </row>
    <row r="138" spans="1:42" x14ac:dyDescent="0.25">
      <c r="A138">
        <v>2023</v>
      </c>
      <c r="B138">
        <v>9</v>
      </c>
      <c r="C138">
        <v>17</v>
      </c>
      <c r="D138" t="s">
        <v>1088</v>
      </c>
      <c r="E138" t="s">
        <v>282</v>
      </c>
      <c r="F138">
        <v>610326</v>
      </c>
      <c r="G138">
        <v>10145747</v>
      </c>
      <c r="H138" t="s">
        <v>282</v>
      </c>
      <c r="J138">
        <v>54148961</v>
      </c>
      <c r="K138">
        <v>1101</v>
      </c>
      <c r="L138">
        <v>1702</v>
      </c>
      <c r="M138">
        <v>1301</v>
      </c>
      <c r="N138">
        <v>52398865</v>
      </c>
      <c r="O138">
        <v>45139.556514039352</v>
      </c>
      <c r="P138">
        <v>12.5</v>
      </c>
      <c r="Q138">
        <v>1</v>
      </c>
      <c r="R138">
        <v>12.5</v>
      </c>
      <c r="S138">
        <v>45195.643754201388</v>
      </c>
      <c r="T138">
        <v>5502</v>
      </c>
      <c r="U138" t="s">
        <v>1217</v>
      </c>
      <c r="V138" t="s">
        <v>1155</v>
      </c>
      <c r="W138" t="s">
        <v>1031</v>
      </c>
      <c r="X138" t="s">
        <v>1031</v>
      </c>
      <c r="AD138">
        <v>832845</v>
      </c>
      <c r="AE138" t="s">
        <v>1280</v>
      </c>
      <c r="AF138">
        <v>45195.643753703705</v>
      </c>
      <c r="AI138">
        <v>62</v>
      </c>
      <c r="AJ138">
        <v>62</v>
      </c>
      <c r="AN138">
        <v>45170</v>
      </c>
      <c r="AO138">
        <v>45199</v>
      </c>
      <c r="AP138" t="s">
        <v>1101</v>
      </c>
    </row>
    <row r="139" spans="1:42" x14ac:dyDescent="0.25">
      <c r="A139">
        <v>2023</v>
      </c>
      <c r="B139">
        <v>9</v>
      </c>
      <c r="C139">
        <v>17</v>
      </c>
      <c r="D139" t="s">
        <v>1088</v>
      </c>
      <c r="E139" t="s">
        <v>282</v>
      </c>
      <c r="F139">
        <v>587360</v>
      </c>
      <c r="G139">
        <v>9764741</v>
      </c>
      <c r="H139" t="s">
        <v>282</v>
      </c>
      <c r="J139">
        <v>54254095</v>
      </c>
      <c r="K139">
        <v>1104</v>
      </c>
      <c r="L139">
        <v>1702</v>
      </c>
      <c r="M139">
        <v>1304</v>
      </c>
      <c r="N139">
        <v>50226187</v>
      </c>
      <c r="O139">
        <v>45069.438168518522</v>
      </c>
      <c r="P139">
        <v>44.78</v>
      </c>
      <c r="Q139">
        <v>1</v>
      </c>
      <c r="R139">
        <v>44.78</v>
      </c>
      <c r="S139">
        <v>45198.067372337966</v>
      </c>
      <c r="T139">
        <v>5509</v>
      </c>
      <c r="U139" t="s">
        <v>1152</v>
      </c>
      <c r="V139" t="s">
        <v>1153</v>
      </c>
      <c r="W139" t="s">
        <v>2</v>
      </c>
      <c r="X139" t="s">
        <v>1179</v>
      </c>
      <c r="AI139">
        <v>62</v>
      </c>
      <c r="AJ139">
        <v>62</v>
      </c>
      <c r="AN139">
        <v>45170</v>
      </c>
      <c r="AO139">
        <v>45199</v>
      </c>
      <c r="AP139" t="s">
        <v>1101</v>
      </c>
    </row>
    <row r="140" spans="1:42" x14ac:dyDescent="0.25">
      <c r="A140">
        <v>2023</v>
      </c>
      <c r="B140">
        <v>9</v>
      </c>
      <c r="C140">
        <v>17</v>
      </c>
      <c r="D140" t="s">
        <v>1088</v>
      </c>
      <c r="E140" t="s">
        <v>282</v>
      </c>
      <c r="F140">
        <v>587360</v>
      </c>
      <c r="G140">
        <v>9764741</v>
      </c>
      <c r="H140" t="s">
        <v>282</v>
      </c>
      <c r="J140">
        <v>54254096</v>
      </c>
      <c r="K140">
        <v>1104</v>
      </c>
      <c r="L140">
        <v>1702</v>
      </c>
      <c r="M140">
        <v>1304</v>
      </c>
      <c r="N140">
        <v>50226248</v>
      </c>
      <c r="O140">
        <v>45069.438269907405</v>
      </c>
      <c r="P140">
        <v>5.22</v>
      </c>
      <c r="Q140">
        <v>1</v>
      </c>
      <c r="R140">
        <v>5.22</v>
      </c>
      <c r="S140">
        <v>45198.067372337966</v>
      </c>
      <c r="T140">
        <v>5509</v>
      </c>
      <c r="U140" t="s">
        <v>1152</v>
      </c>
      <c r="V140" t="s">
        <v>1153</v>
      </c>
      <c r="W140" t="s">
        <v>2</v>
      </c>
      <c r="X140" t="s">
        <v>1179</v>
      </c>
      <c r="AI140">
        <v>62</v>
      </c>
      <c r="AJ140">
        <v>62</v>
      </c>
      <c r="AN140">
        <v>45170</v>
      </c>
      <c r="AO140">
        <v>45199</v>
      </c>
      <c r="AP140" t="s">
        <v>1101</v>
      </c>
    </row>
    <row r="141" spans="1:42" x14ac:dyDescent="0.25">
      <c r="A141">
        <v>2023</v>
      </c>
      <c r="B141">
        <v>9</v>
      </c>
      <c r="C141">
        <v>17</v>
      </c>
      <c r="D141" t="s">
        <v>1088</v>
      </c>
      <c r="E141" t="s">
        <v>282</v>
      </c>
      <c r="F141">
        <v>613587</v>
      </c>
      <c r="G141">
        <v>10210460</v>
      </c>
      <c r="H141" t="s">
        <v>282</v>
      </c>
      <c r="J141">
        <v>53412939</v>
      </c>
      <c r="K141">
        <v>1104</v>
      </c>
      <c r="L141">
        <v>1702</v>
      </c>
      <c r="M141">
        <v>1304</v>
      </c>
      <c r="N141">
        <v>52988660</v>
      </c>
      <c r="O141">
        <v>45159.425916979169</v>
      </c>
      <c r="P141">
        <v>207</v>
      </c>
      <c r="Q141">
        <v>1</v>
      </c>
      <c r="R141">
        <v>207</v>
      </c>
      <c r="S141">
        <v>45170.067373414349</v>
      </c>
      <c r="T141">
        <v>5509</v>
      </c>
      <c r="U141" t="s">
        <v>1152</v>
      </c>
      <c r="V141" t="s">
        <v>1153</v>
      </c>
      <c r="W141" t="s">
        <v>2</v>
      </c>
      <c r="AI141">
        <v>62</v>
      </c>
      <c r="AJ141">
        <v>62</v>
      </c>
      <c r="AN141">
        <v>45170</v>
      </c>
      <c r="AO141">
        <v>45199</v>
      </c>
      <c r="AP141" t="s">
        <v>1101</v>
      </c>
    </row>
    <row r="142" spans="1:42" x14ac:dyDescent="0.25">
      <c r="A142">
        <v>2023</v>
      </c>
      <c r="B142">
        <v>9</v>
      </c>
      <c r="C142">
        <v>17</v>
      </c>
      <c r="D142" t="s">
        <v>1088</v>
      </c>
      <c r="E142" t="s">
        <v>282</v>
      </c>
      <c r="F142">
        <v>613587</v>
      </c>
      <c r="G142">
        <v>10210460</v>
      </c>
      <c r="H142" t="s">
        <v>282</v>
      </c>
      <c r="J142">
        <v>53412940</v>
      </c>
      <c r="K142">
        <v>1104</v>
      </c>
      <c r="L142">
        <v>1702</v>
      </c>
      <c r="M142">
        <v>1304</v>
      </c>
      <c r="N142">
        <v>52988667</v>
      </c>
      <c r="O142">
        <v>45159.425972766207</v>
      </c>
      <c r="P142">
        <v>18</v>
      </c>
      <c r="Q142">
        <v>1</v>
      </c>
      <c r="R142">
        <v>18</v>
      </c>
      <c r="S142">
        <v>45170.067373414349</v>
      </c>
      <c r="T142">
        <v>5509</v>
      </c>
      <c r="U142" t="s">
        <v>1152</v>
      </c>
      <c r="V142" t="s">
        <v>1153</v>
      </c>
      <c r="W142" t="s">
        <v>2</v>
      </c>
      <c r="AI142">
        <v>62</v>
      </c>
      <c r="AJ142">
        <v>62</v>
      </c>
      <c r="AN142">
        <v>45170</v>
      </c>
      <c r="AO142">
        <v>45199</v>
      </c>
      <c r="AP142" t="s">
        <v>1101</v>
      </c>
    </row>
    <row r="143" spans="1:42" x14ac:dyDescent="0.25">
      <c r="A143">
        <v>2023</v>
      </c>
      <c r="B143">
        <v>9</v>
      </c>
      <c r="C143">
        <v>17</v>
      </c>
      <c r="D143" t="s">
        <v>1088</v>
      </c>
      <c r="E143" t="s">
        <v>282</v>
      </c>
      <c r="F143">
        <v>617368</v>
      </c>
      <c r="G143">
        <v>10284624</v>
      </c>
      <c r="H143" t="s">
        <v>282</v>
      </c>
      <c r="J143">
        <v>53412946</v>
      </c>
      <c r="K143">
        <v>1104</v>
      </c>
      <c r="L143">
        <v>1702</v>
      </c>
      <c r="M143">
        <v>1304</v>
      </c>
      <c r="N143">
        <v>53402118</v>
      </c>
      <c r="O143">
        <v>45169.597299189816</v>
      </c>
      <c r="P143">
        <v>216</v>
      </c>
      <c r="Q143">
        <v>1</v>
      </c>
      <c r="R143">
        <v>216</v>
      </c>
      <c r="S143">
        <v>45170.067373414349</v>
      </c>
      <c r="T143">
        <v>5509</v>
      </c>
      <c r="U143" t="s">
        <v>1152</v>
      </c>
      <c r="V143" t="s">
        <v>1153</v>
      </c>
      <c r="W143" t="s">
        <v>2</v>
      </c>
      <c r="AI143">
        <v>62</v>
      </c>
      <c r="AJ143">
        <v>62</v>
      </c>
      <c r="AN143">
        <v>45170</v>
      </c>
      <c r="AO143">
        <v>45199</v>
      </c>
      <c r="AP143" t="s">
        <v>1101</v>
      </c>
    </row>
    <row r="144" spans="1:42" x14ac:dyDescent="0.25">
      <c r="A144">
        <v>2023</v>
      </c>
      <c r="B144">
        <v>9</v>
      </c>
      <c r="C144">
        <v>17</v>
      </c>
      <c r="D144" t="s">
        <v>1088</v>
      </c>
      <c r="E144" t="s">
        <v>282</v>
      </c>
      <c r="F144">
        <v>617368</v>
      </c>
      <c r="G144">
        <v>10284624</v>
      </c>
      <c r="H144" t="s">
        <v>282</v>
      </c>
      <c r="J144">
        <v>53412947</v>
      </c>
      <c r="K144">
        <v>1104</v>
      </c>
      <c r="L144">
        <v>1702</v>
      </c>
      <c r="M144">
        <v>1304</v>
      </c>
      <c r="N144">
        <v>53402124</v>
      </c>
      <c r="O144">
        <v>45169.59742484954</v>
      </c>
      <c r="P144">
        <v>9</v>
      </c>
      <c r="Q144">
        <v>1</v>
      </c>
      <c r="R144">
        <v>9</v>
      </c>
      <c r="S144">
        <v>45170.067373414349</v>
      </c>
      <c r="T144">
        <v>5509</v>
      </c>
      <c r="U144" t="s">
        <v>1152</v>
      </c>
      <c r="V144" t="s">
        <v>1153</v>
      </c>
      <c r="W144" t="s">
        <v>2</v>
      </c>
      <c r="AI144">
        <v>62</v>
      </c>
      <c r="AJ144">
        <v>62</v>
      </c>
      <c r="AN144">
        <v>45170</v>
      </c>
      <c r="AO144">
        <v>45199</v>
      </c>
      <c r="AP144" t="s">
        <v>1101</v>
      </c>
    </row>
    <row r="145" spans="1:42" x14ac:dyDescent="0.25">
      <c r="A145">
        <v>2023</v>
      </c>
      <c r="B145">
        <v>9</v>
      </c>
      <c r="C145">
        <v>17</v>
      </c>
      <c r="D145" t="s">
        <v>1088</v>
      </c>
      <c r="E145" t="s">
        <v>282</v>
      </c>
      <c r="F145">
        <v>618218</v>
      </c>
      <c r="G145">
        <v>10315349</v>
      </c>
      <c r="H145" t="s">
        <v>282</v>
      </c>
      <c r="J145">
        <v>53553783</v>
      </c>
      <c r="K145">
        <v>1100</v>
      </c>
      <c r="L145">
        <v>1702</v>
      </c>
      <c r="M145">
        <v>1307</v>
      </c>
      <c r="P145">
        <v>216</v>
      </c>
      <c r="Q145">
        <v>1</v>
      </c>
      <c r="R145">
        <v>216</v>
      </c>
      <c r="S145">
        <v>45176.415728854168</v>
      </c>
      <c r="T145">
        <v>5500</v>
      </c>
      <c r="U145" t="s">
        <v>1151</v>
      </c>
      <c r="V145" t="s">
        <v>99</v>
      </c>
      <c r="W145" t="s">
        <v>88</v>
      </c>
      <c r="X145" t="s">
        <v>1091</v>
      </c>
      <c r="AI145">
        <v>62</v>
      </c>
      <c r="AJ145">
        <v>62</v>
      </c>
      <c r="AN145">
        <v>45170</v>
      </c>
      <c r="AO145">
        <v>45199</v>
      </c>
      <c r="AP145" t="s">
        <v>1101</v>
      </c>
    </row>
    <row r="146" spans="1:42" x14ac:dyDescent="0.25">
      <c r="A146">
        <v>2023</v>
      </c>
      <c r="B146">
        <v>9</v>
      </c>
      <c r="C146">
        <v>17</v>
      </c>
      <c r="D146" t="s">
        <v>1088</v>
      </c>
      <c r="E146" t="s">
        <v>282</v>
      </c>
      <c r="F146">
        <v>618218</v>
      </c>
      <c r="G146">
        <v>10315349</v>
      </c>
      <c r="H146" t="s">
        <v>282</v>
      </c>
      <c r="J146">
        <v>53553796</v>
      </c>
      <c r="K146">
        <v>1100</v>
      </c>
      <c r="L146">
        <v>1702</v>
      </c>
      <c r="M146">
        <v>1307</v>
      </c>
      <c r="P146">
        <v>216</v>
      </c>
      <c r="Q146">
        <v>1</v>
      </c>
      <c r="R146">
        <v>216</v>
      </c>
      <c r="S146">
        <v>45176.415847025462</v>
      </c>
      <c r="T146">
        <v>5500</v>
      </c>
      <c r="U146" t="s">
        <v>1151</v>
      </c>
      <c r="V146" t="s">
        <v>99</v>
      </c>
      <c r="W146" t="s">
        <v>88</v>
      </c>
      <c r="X146" t="s">
        <v>1091</v>
      </c>
      <c r="AI146">
        <v>62</v>
      </c>
      <c r="AJ146">
        <v>62</v>
      </c>
      <c r="AN146">
        <v>45170</v>
      </c>
      <c r="AO146">
        <v>45199</v>
      </c>
      <c r="AP146" t="s">
        <v>1101</v>
      </c>
    </row>
    <row r="147" spans="1:42" x14ac:dyDescent="0.25">
      <c r="A147">
        <v>2023</v>
      </c>
      <c r="B147">
        <v>9</v>
      </c>
      <c r="C147">
        <v>17</v>
      </c>
      <c r="D147" t="s">
        <v>1088</v>
      </c>
      <c r="E147" t="s">
        <v>282</v>
      </c>
      <c r="F147">
        <v>181208</v>
      </c>
      <c r="G147">
        <v>10324711</v>
      </c>
      <c r="H147" t="s">
        <v>282</v>
      </c>
      <c r="J147">
        <v>53593447</v>
      </c>
      <c r="K147">
        <v>1104</v>
      </c>
      <c r="L147">
        <v>1702</v>
      </c>
      <c r="M147">
        <v>1304</v>
      </c>
      <c r="N147">
        <v>53589240</v>
      </c>
      <c r="O147">
        <v>45176.676160381947</v>
      </c>
      <c r="P147">
        <v>100</v>
      </c>
      <c r="Q147">
        <v>1</v>
      </c>
      <c r="R147">
        <v>100</v>
      </c>
      <c r="S147">
        <v>45177.067371527781</v>
      </c>
      <c r="T147">
        <v>5509</v>
      </c>
      <c r="U147" t="s">
        <v>1152</v>
      </c>
      <c r="V147" t="s">
        <v>1153</v>
      </c>
      <c r="W147" t="s">
        <v>2</v>
      </c>
      <c r="AI147">
        <v>62</v>
      </c>
      <c r="AJ147">
        <v>62</v>
      </c>
      <c r="AN147">
        <v>45170</v>
      </c>
      <c r="AO147">
        <v>45199</v>
      </c>
      <c r="AP147" t="s">
        <v>1101</v>
      </c>
    </row>
    <row r="148" spans="1:42" x14ac:dyDescent="0.25">
      <c r="A148">
        <v>2023</v>
      </c>
      <c r="B148">
        <v>9</v>
      </c>
      <c r="C148">
        <v>17</v>
      </c>
      <c r="D148" t="s">
        <v>1088</v>
      </c>
      <c r="E148" t="s">
        <v>282</v>
      </c>
      <c r="F148">
        <v>181208</v>
      </c>
      <c r="G148">
        <v>10324711</v>
      </c>
      <c r="H148" t="s">
        <v>282</v>
      </c>
      <c r="J148">
        <v>53593448</v>
      </c>
      <c r="K148">
        <v>1104</v>
      </c>
      <c r="L148">
        <v>1702</v>
      </c>
      <c r="M148">
        <v>1304</v>
      </c>
      <c r="N148">
        <v>53589256</v>
      </c>
      <c r="O148">
        <v>45176.676321990744</v>
      </c>
      <c r="P148">
        <v>6</v>
      </c>
      <c r="Q148">
        <v>1</v>
      </c>
      <c r="R148">
        <v>6</v>
      </c>
      <c r="S148">
        <v>45177.067371527781</v>
      </c>
      <c r="T148">
        <v>5509</v>
      </c>
      <c r="U148" t="s">
        <v>1152</v>
      </c>
      <c r="V148" t="s">
        <v>1153</v>
      </c>
      <c r="W148" t="s">
        <v>2</v>
      </c>
      <c r="AI148">
        <v>62</v>
      </c>
      <c r="AJ148">
        <v>62</v>
      </c>
      <c r="AN148">
        <v>45170</v>
      </c>
      <c r="AO148">
        <v>45199</v>
      </c>
      <c r="AP148" t="s">
        <v>1101</v>
      </c>
    </row>
    <row r="149" spans="1:42" x14ac:dyDescent="0.25">
      <c r="A149">
        <v>2023</v>
      </c>
      <c r="B149">
        <v>9</v>
      </c>
      <c r="C149">
        <v>17</v>
      </c>
      <c r="D149" t="s">
        <v>1088</v>
      </c>
      <c r="E149" t="s">
        <v>282</v>
      </c>
      <c r="F149">
        <v>617368</v>
      </c>
      <c r="G149">
        <v>10284624</v>
      </c>
      <c r="H149" t="s">
        <v>282</v>
      </c>
      <c r="J149">
        <v>53593707</v>
      </c>
      <c r="K149">
        <v>1104</v>
      </c>
      <c r="L149">
        <v>1702</v>
      </c>
      <c r="M149">
        <v>1304</v>
      </c>
      <c r="N149">
        <v>53402124</v>
      </c>
      <c r="O149">
        <v>45169.59742484954</v>
      </c>
      <c r="P149">
        <v>207</v>
      </c>
      <c r="Q149">
        <v>1</v>
      </c>
      <c r="R149">
        <v>207</v>
      </c>
      <c r="S149">
        <v>45177.067371527781</v>
      </c>
      <c r="T149">
        <v>5509</v>
      </c>
      <c r="U149" t="s">
        <v>1152</v>
      </c>
      <c r="V149" t="s">
        <v>1153</v>
      </c>
      <c r="W149" t="s">
        <v>2</v>
      </c>
      <c r="AI149">
        <v>62</v>
      </c>
      <c r="AJ149">
        <v>62</v>
      </c>
      <c r="AN149">
        <v>45170</v>
      </c>
      <c r="AO149">
        <v>45199</v>
      </c>
      <c r="AP149" t="s">
        <v>1101</v>
      </c>
    </row>
    <row r="150" spans="1:42" x14ac:dyDescent="0.25">
      <c r="A150">
        <v>2023</v>
      </c>
      <c r="B150">
        <v>9</v>
      </c>
      <c r="C150">
        <v>17</v>
      </c>
      <c r="D150" t="s">
        <v>1088</v>
      </c>
      <c r="E150" t="s">
        <v>282</v>
      </c>
      <c r="F150">
        <v>618954</v>
      </c>
      <c r="G150">
        <v>10315515</v>
      </c>
      <c r="H150" t="s">
        <v>282</v>
      </c>
      <c r="J150">
        <v>53593709</v>
      </c>
      <c r="K150">
        <v>1104</v>
      </c>
      <c r="L150">
        <v>1702</v>
      </c>
      <c r="M150">
        <v>1304</v>
      </c>
      <c r="N150">
        <v>53580114</v>
      </c>
      <c r="O150">
        <v>45176.621814120372</v>
      </c>
      <c r="P150">
        <v>216</v>
      </c>
      <c r="Q150">
        <v>1</v>
      </c>
      <c r="R150">
        <v>216</v>
      </c>
      <c r="S150">
        <v>45177.067371527781</v>
      </c>
      <c r="T150">
        <v>5509</v>
      </c>
      <c r="U150" t="s">
        <v>1152</v>
      </c>
      <c r="V150" t="s">
        <v>1153</v>
      </c>
      <c r="W150" t="s">
        <v>2</v>
      </c>
      <c r="AI150">
        <v>62</v>
      </c>
      <c r="AJ150">
        <v>62</v>
      </c>
      <c r="AN150">
        <v>45170</v>
      </c>
      <c r="AO150">
        <v>45199</v>
      </c>
      <c r="AP150" t="s">
        <v>1101</v>
      </c>
    </row>
    <row r="151" spans="1:42" x14ac:dyDescent="0.25">
      <c r="A151">
        <v>2023</v>
      </c>
      <c r="B151">
        <v>9</v>
      </c>
      <c r="C151">
        <v>17</v>
      </c>
      <c r="D151" t="s">
        <v>1088</v>
      </c>
      <c r="E151" t="s">
        <v>282</v>
      </c>
      <c r="F151">
        <v>618954</v>
      </c>
      <c r="G151">
        <v>10315515</v>
      </c>
      <c r="H151" t="s">
        <v>282</v>
      </c>
      <c r="J151">
        <v>53593710</v>
      </c>
      <c r="K151">
        <v>1104</v>
      </c>
      <c r="L151">
        <v>1702</v>
      </c>
      <c r="M151">
        <v>1304</v>
      </c>
      <c r="N151">
        <v>53580115</v>
      </c>
      <c r="O151">
        <v>45176.621915162039</v>
      </c>
      <c r="P151">
        <v>216</v>
      </c>
      <c r="Q151">
        <v>1</v>
      </c>
      <c r="R151">
        <v>216</v>
      </c>
      <c r="S151">
        <v>45177.067371527781</v>
      </c>
      <c r="T151">
        <v>5509</v>
      </c>
      <c r="U151" t="s">
        <v>1152</v>
      </c>
      <c r="V151" t="s">
        <v>1153</v>
      </c>
      <c r="W151" t="s">
        <v>2</v>
      </c>
      <c r="AI151">
        <v>62</v>
      </c>
      <c r="AJ151">
        <v>62</v>
      </c>
      <c r="AN151">
        <v>45170</v>
      </c>
      <c r="AO151">
        <v>45199</v>
      </c>
      <c r="AP151" t="s">
        <v>1101</v>
      </c>
    </row>
    <row r="152" spans="1:42" x14ac:dyDescent="0.25">
      <c r="A152">
        <v>2023</v>
      </c>
      <c r="B152">
        <v>9</v>
      </c>
      <c r="C152">
        <v>17</v>
      </c>
      <c r="D152" t="s">
        <v>1088</v>
      </c>
      <c r="E152" t="s">
        <v>282</v>
      </c>
      <c r="F152">
        <v>618954</v>
      </c>
      <c r="G152">
        <v>10315515</v>
      </c>
      <c r="H152" t="s">
        <v>282</v>
      </c>
      <c r="J152">
        <v>53593711</v>
      </c>
      <c r="K152">
        <v>1104</v>
      </c>
      <c r="L152">
        <v>1702</v>
      </c>
      <c r="M152">
        <v>1304</v>
      </c>
      <c r="N152">
        <v>53580116</v>
      </c>
      <c r="O152">
        <v>45176.621978124997</v>
      </c>
      <c r="P152">
        <v>18</v>
      </c>
      <c r="Q152">
        <v>1</v>
      </c>
      <c r="R152">
        <v>18</v>
      </c>
      <c r="S152">
        <v>45177.067371527781</v>
      </c>
      <c r="T152">
        <v>5509</v>
      </c>
      <c r="U152" t="s">
        <v>1152</v>
      </c>
      <c r="V152" t="s">
        <v>1153</v>
      </c>
      <c r="W152" t="s">
        <v>2</v>
      </c>
      <c r="AI152">
        <v>62</v>
      </c>
      <c r="AJ152">
        <v>62</v>
      </c>
      <c r="AN152">
        <v>45170</v>
      </c>
      <c r="AO152">
        <v>45199</v>
      </c>
      <c r="AP152" t="s">
        <v>1101</v>
      </c>
    </row>
    <row r="153" spans="1:42" x14ac:dyDescent="0.25">
      <c r="A153">
        <v>2023</v>
      </c>
      <c r="B153">
        <v>9</v>
      </c>
      <c r="C153">
        <v>17</v>
      </c>
      <c r="D153" t="s">
        <v>1088</v>
      </c>
      <c r="E153" t="s">
        <v>282</v>
      </c>
      <c r="F153">
        <v>619013</v>
      </c>
      <c r="G153">
        <v>10316468</v>
      </c>
      <c r="H153" t="s">
        <v>282</v>
      </c>
      <c r="J153">
        <v>53626758</v>
      </c>
      <c r="K153">
        <v>1100</v>
      </c>
      <c r="L153">
        <v>1700</v>
      </c>
      <c r="M153">
        <v>1304</v>
      </c>
      <c r="P153">
        <v>216</v>
      </c>
      <c r="Q153">
        <v>1</v>
      </c>
      <c r="R153">
        <v>216</v>
      </c>
      <c r="S153">
        <v>45177.535139467589</v>
      </c>
      <c r="T153">
        <v>5500</v>
      </c>
      <c r="U153" t="s">
        <v>1154</v>
      </c>
      <c r="V153" t="s">
        <v>99</v>
      </c>
      <c r="W153" t="s">
        <v>2</v>
      </c>
      <c r="AI153">
        <v>62</v>
      </c>
      <c r="AJ153">
        <v>62</v>
      </c>
      <c r="AN153">
        <v>45170</v>
      </c>
      <c r="AO153">
        <v>45199</v>
      </c>
      <c r="AP153" t="s">
        <v>1101</v>
      </c>
    </row>
    <row r="154" spans="1:42" x14ac:dyDescent="0.25">
      <c r="A154">
        <v>2023</v>
      </c>
      <c r="B154">
        <v>9</v>
      </c>
      <c r="C154">
        <v>17</v>
      </c>
      <c r="D154" t="s">
        <v>1088</v>
      </c>
      <c r="E154" t="s">
        <v>282</v>
      </c>
      <c r="F154">
        <v>619013</v>
      </c>
      <c r="G154">
        <v>10316468</v>
      </c>
      <c r="H154" t="s">
        <v>282</v>
      </c>
      <c r="J154">
        <v>53626759</v>
      </c>
      <c r="K154">
        <v>1100</v>
      </c>
      <c r="L154">
        <v>1700</v>
      </c>
      <c r="M154">
        <v>1304</v>
      </c>
      <c r="P154">
        <v>216</v>
      </c>
      <c r="Q154">
        <v>1</v>
      </c>
      <c r="R154">
        <v>216</v>
      </c>
      <c r="S154">
        <v>45177.535231018519</v>
      </c>
      <c r="T154">
        <v>5500</v>
      </c>
      <c r="U154" t="s">
        <v>1154</v>
      </c>
      <c r="V154" t="s">
        <v>99</v>
      </c>
      <c r="W154" t="s">
        <v>2</v>
      </c>
      <c r="AI154">
        <v>62</v>
      </c>
      <c r="AJ154">
        <v>62</v>
      </c>
      <c r="AN154">
        <v>45170</v>
      </c>
      <c r="AO154">
        <v>45199</v>
      </c>
      <c r="AP154" t="s">
        <v>1101</v>
      </c>
    </row>
    <row r="155" spans="1:42" x14ac:dyDescent="0.25">
      <c r="A155">
        <v>2023</v>
      </c>
      <c r="B155">
        <v>9</v>
      </c>
      <c r="C155">
        <v>17</v>
      </c>
      <c r="D155" t="s">
        <v>1088</v>
      </c>
      <c r="E155" t="s">
        <v>282</v>
      </c>
      <c r="F155">
        <v>619013</v>
      </c>
      <c r="G155">
        <v>10316468</v>
      </c>
      <c r="H155" t="s">
        <v>282</v>
      </c>
      <c r="J155">
        <v>53626765</v>
      </c>
      <c r="K155">
        <v>1104</v>
      </c>
      <c r="L155">
        <v>1702</v>
      </c>
      <c r="M155">
        <v>1304</v>
      </c>
      <c r="N155">
        <v>53626758</v>
      </c>
      <c r="O155">
        <v>45177.535139467589</v>
      </c>
      <c r="P155">
        <v>125</v>
      </c>
      <c r="Q155">
        <v>1</v>
      </c>
      <c r="R155">
        <v>125</v>
      </c>
      <c r="S155">
        <v>45177.535489733797</v>
      </c>
      <c r="T155">
        <v>5509</v>
      </c>
      <c r="U155" t="s">
        <v>1152</v>
      </c>
      <c r="V155" t="s">
        <v>1153</v>
      </c>
      <c r="W155" t="s">
        <v>2</v>
      </c>
      <c r="AI155">
        <v>62</v>
      </c>
      <c r="AJ155">
        <v>62</v>
      </c>
      <c r="AN155">
        <v>45170</v>
      </c>
      <c r="AO155">
        <v>45199</v>
      </c>
      <c r="AP155" t="s">
        <v>1101</v>
      </c>
    </row>
    <row r="156" spans="1:42" x14ac:dyDescent="0.25">
      <c r="A156">
        <v>2023</v>
      </c>
      <c r="B156">
        <v>9</v>
      </c>
      <c r="C156">
        <v>17</v>
      </c>
      <c r="D156" t="s">
        <v>1088</v>
      </c>
      <c r="E156" t="s">
        <v>282</v>
      </c>
      <c r="F156">
        <v>617602</v>
      </c>
      <c r="G156">
        <v>10288203</v>
      </c>
      <c r="H156" t="s">
        <v>282</v>
      </c>
      <c r="J156">
        <v>53651527</v>
      </c>
      <c r="K156">
        <v>1104</v>
      </c>
      <c r="L156">
        <v>1702</v>
      </c>
      <c r="M156">
        <v>1304</v>
      </c>
      <c r="N156">
        <v>53615948</v>
      </c>
      <c r="O156">
        <v>45177.476855706016</v>
      </c>
      <c r="P156">
        <v>216</v>
      </c>
      <c r="Q156">
        <v>1</v>
      </c>
      <c r="R156">
        <v>216</v>
      </c>
      <c r="S156">
        <v>45178.06737167824</v>
      </c>
      <c r="T156">
        <v>5509</v>
      </c>
      <c r="U156" t="s">
        <v>1152</v>
      </c>
      <c r="V156" t="s">
        <v>1153</v>
      </c>
      <c r="W156" t="s">
        <v>2</v>
      </c>
      <c r="AI156">
        <v>62</v>
      </c>
      <c r="AJ156">
        <v>62</v>
      </c>
      <c r="AN156">
        <v>45170</v>
      </c>
      <c r="AO156">
        <v>45199</v>
      </c>
      <c r="AP156" t="s">
        <v>1101</v>
      </c>
    </row>
    <row r="157" spans="1:42" x14ac:dyDescent="0.25">
      <c r="A157">
        <v>2023</v>
      </c>
      <c r="B157">
        <v>9</v>
      </c>
      <c r="C157">
        <v>17</v>
      </c>
      <c r="D157" t="s">
        <v>1088</v>
      </c>
      <c r="E157" t="s">
        <v>282</v>
      </c>
      <c r="F157">
        <v>617602</v>
      </c>
      <c r="G157">
        <v>10288203</v>
      </c>
      <c r="H157" t="s">
        <v>282</v>
      </c>
      <c r="J157">
        <v>53651528</v>
      </c>
      <c r="K157">
        <v>1104</v>
      </c>
      <c r="L157">
        <v>1702</v>
      </c>
      <c r="M157">
        <v>1304</v>
      </c>
      <c r="N157">
        <v>53615949</v>
      </c>
      <c r="O157">
        <v>45177.476997453705</v>
      </c>
      <c r="P157">
        <v>216</v>
      </c>
      <c r="Q157">
        <v>1</v>
      </c>
      <c r="R157">
        <v>216</v>
      </c>
      <c r="S157">
        <v>45178.06737167824</v>
      </c>
      <c r="T157">
        <v>5509</v>
      </c>
      <c r="U157" t="s">
        <v>1152</v>
      </c>
      <c r="V157" t="s">
        <v>1153</v>
      </c>
      <c r="W157" t="s">
        <v>2</v>
      </c>
      <c r="AI157">
        <v>62</v>
      </c>
      <c r="AJ157">
        <v>62</v>
      </c>
      <c r="AN157">
        <v>45170</v>
      </c>
      <c r="AO157">
        <v>45199</v>
      </c>
      <c r="AP157" t="s">
        <v>1101</v>
      </c>
    </row>
    <row r="158" spans="1:42" x14ac:dyDescent="0.25">
      <c r="A158">
        <v>2023</v>
      </c>
      <c r="B158">
        <v>9</v>
      </c>
      <c r="C158">
        <v>17</v>
      </c>
      <c r="D158" t="s">
        <v>1088</v>
      </c>
      <c r="E158" t="s">
        <v>282</v>
      </c>
      <c r="F158">
        <v>161148</v>
      </c>
      <c r="G158">
        <v>10323639</v>
      </c>
      <c r="H158" t="s">
        <v>282</v>
      </c>
      <c r="J158">
        <v>53696529</v>
      </c>
      <c r="K158">
        <v>1104</v>
      </c>
      <c r="L158">
        <v>1702</v>
      </c>
      <c r="M158">
        <v>1304</v>
      </c>
      <c r="N158">
        <v>53691791</v>
      </c>
      <c r="O158">
        <v>45180.708835798614</v>
      </c>
      <c r="P158">
        <v>216</v>
      </c>
      <c r="Q158">
        <v>1</v>
      </c>
      <c r="R158">
        <v>216</v>
      </c>
      <c r="S158">
        <v>45181.067376736108</v>
      </c>
      <c r="T158">
        <v>5509</v>
      </c>
      <c r="U158" t="s">
        <v>1152</v>
      </c>
      <c r="V158" t="s">
        <v>1153</v>
      </c>
      <c r="W158" t="s">
        <v>2</v>
      </c>
      <c r="AI158">
        <v>62</v>
      </c>
      <c r="AJ158">
        <v>62</v>
      </c>
      <c r="AN158">
        <v>45170</v>
      </c>
      <c r="AO158">
        <v>45199</v>
      </c>
      <c r="AP158" t="s">
        <v>1101</v>
      </c>
    </row>
    <row r="159" spans="1:42" x14ac:dyDescent="0.25">
      <c r="A159">
        <v>2023</v>
      </c>
      <c r="B159">
        <v>9</v>
      </c>
      <c r="C159">
        <v>17</v>
      </c>
      <c r="D159" t="s">
        <v>1088</v>
      </c>
      <c r="E159" t="s">
        <v>282</v>
      </c>
      <c r="F159">
        <v>161148</v>
      </c>
      <c r="G159">
        <v>10323639</v>
      </c>
      <c r="H159" t="s">
        <v>282</v>
      </c>
      <c r="J159">
        <v>53696530</v>
      </c>
      <c r="K159">
        <v>1104</v>
      </c>
      <c r="L159">
        <v>1702</v>
      </c>
      <c r="M159">
        <v>1304</v>
      </c>
      <c r="N159">
        <v>53691797</v>
      </c>
      <c r="O159">
        <v>45180.708964004632</v>
      </c>
      <c r="P159">
        <v>216</v>
      </c>
      <c r="Q159">
        <v>1</v>
      </c>
      <c r="R159">
        <v>216</v>
      </c>
      <c r="S159">
        <v>45181.067376736108</v>
      </c>
      <c r="T159">
        <v>5509</v>
      </c>
      <c r="U159" t="s">
        <v>1152</v>
      </c>
      <c r="V159" t="s">
        <v>1153</v>
      </c>
      <c r="W159" t="s">
        <v>2</v>
      </c>
      <c r="AI159">
        <v>62</v>
      </c>
      <c r="AJ159">
        <v>62</v>
      </c>
      <c r="AN159">
        <v>45170</v>
      </c>
      <c r="AO159">
        <v>45199</v>
      </c>
      <c r="AP159" t="s">
        <v>1101</v>
      </c>
    </row>
    <row r="160" spans="1:42" x14ac:dyDescent="0.25">
      <c r="A160">
        <v>2023</v>
      </c>
      <c r="B160">
        <v>9</v>
      </c>
      <c r="C160">
        <v>17</v>
      </c>
      <c r="D160" t="s">
        <v>1088</v>
      </c>
      <c r="E160" t="s">
        <v>282</v>
      </c>
      <c r="F160">
        <v>161148</v>
      </c>
      <c r="G160">
        <v>10323639</v>
      </c>
      <c r="H160" t="s">
        <v>282</v>
      </c>
      <c r="J160">
        <v>53696531</v>
      </c>
      <c r="K160">
        <v>1104</v>
      </c>
      <c r="L160">
        <v>1702</v>
      </c>
      <c r="M160">
        <v>1304</v>
      </c>
      <c r="N160">
        <v>53691801</v>
      </c>
      <c r="O160">
        <v>45180.709031053244</v>
      </c>
      <c r="P160">
        <v>18</v>
      </c>
      <c r="Q160">
        <v>1</v>
      </c>
      <c r="R160">
        <v>18</v>
      </c>
      <c r="S160">
        <v>45181.067376736108</v>
      </c>
      <c r="T160">
        <v>5509</v>
      </c>
      <c r="U160" t="s">
        <v>1152</v>
      </c>
      <c r="V160" t="s">
        <v>1153</v>
      </c>
      <c r="W160" t="s">
        <v>2</v>
      </c>
      <c r="AI160">
        <v>62</v>
      </c>
      <c r="AJ160">
        <v>62</v>
      </c>
      <c r="AN160">
        <v>45170</v>
      </c>
      <c r="AO160">
        <v>45199</v>
      </c>
      <c r="AP160" t="s">
        <v>1101</v>
      </c>
    </row>
    <row r="161" spans="1:42" x14ac:dyDescent="0.25">
      <c r="A161">
        <v>2023</v>
      </c>
      <c r="B161">
        <v>9</v>
      </c>
      <c r="C161">
        <v>17</v>
      </c>
      <c r="D161" t="s">
        <v>1088</v>
      </c>
      <c r="E161" t="s">
        <v>282</v>
      </c>
      <c r="F161">
        <v>620528</v>
      </c>
      <c r="G161">
        <v>10343235</v>
      </c>
      <c r="H161" t="s">
        <v>282</v>
      </c>
      <c r="J161">
        <v>53707462</v>
      </c>
      <c r="K161">
        <v>1100</v>
      </c>
      <c r="L161">
        <v>1700</v>
      </c>
      <c r="M161">
        <v>1304</v>
      </c>
      <c r="P161">
        <v>216</v>
      </c>
      <c r="Q161">
        <v>1</v>
      </c>
      <c r="R161">
        <v>216</v>
      </c>
      <c r="S161">
        <v>45181.496214039355</v>
      </c>
      <c r="T161">
        <v>5500</v>
      </c>
      <c r="U161" t="s">
        <v>1154</v>
      </c>
      <c r="V161" t="s">
        <v>99</v>
      </c>
      <c r="W161" t="s">
        <v>2</v>
      </c>
      <c r="AI161">
        <v>62</v>
      </c>
      <c r="AJ161">
        <v>62</v>
      </c>
      <c r="AN161">
        <v>45170</v>
      </c>
      <c r="AO161">
        <v>45199</v>
      </c>
      <c r="AP161" t="s">
        <v>1101</v>
      </c>
    </row>
    <row r="162" spans="1:42" x14ac:dyDescent="0.25">
      <c r="A162">
        <v>2023</v>
      </c>
      <c r="B162">
        <v>9</v>
      </c>
      <c r="C162">
        <v>17</v>
      </c>
      <c r="D162" t="s">
        <v>1088</v>
      </c>
      <c r="E162" t="s">
        <v>282</v>
      </c>
      <c r="F162">
        <v>620528</v>
      </c>
      <c r="G162">
        <v>10343235</v>
      </c>
      <c r="H162" t="s">
        <v>282</v>
      </c>
      <c r="J162">
        <v>53707464</v>
      </c>
      <c r="K162">
        <v>1100</v>
      </c>
      <c r="L162">
        <v>1700</v>
      </c>
      <c r="M162">
        <v>1304</v>
      </c>
      <c r="P162">
        <v>216</v>
      </c>
      <c r="Q162">
        <v>1</v>
      </c>
      <c r="R162">
        <v>216</v>
      </c>
      <c r="S162">
        <v>45181.496326423614</v>
      </c>
      <c r="T162">
        <v>5500</v>
      </c>
      <c r="U162" t="s">
        <v>1154</v>
      </c>
      <c r="V162" t="s">
        <v>99</v>
      </c>
      <c r="W162" t="s">
        <v>2</v>
      </c>
      <c r="AI162">
        <v>62</v>
      </c>
      <c r="AJ162">
        <v>62</v>
      </c>
      <c r="AN162">
        <v>45170</v>
      </c>
      <c r="AO162">
        <v>45199</v>
      </c>
      <c r="AP162" t="s">
        <v>1101</v>
      </c>
    </row>
    <row r="163" spans="1:42" x14ac:dyDescent="0.25">
      <c r="A163">
        <v>2023</v>
      </c>
      <c r="B163">
        <v>9</v>
      </c>
      <c r="C163">
        <v>17</v>
      </c>
      <c r="D163" t="s">
        <v>1088</v>
      </c>
      <c r="E163" t="s">
        <v>282</v>
      </c>
      <c r="F163">
        <v>620528</v>
      </c>
      <c r="G163">
        <v>10343235</v>
      </c>
      <c r="H163" t="s">
        <v>282</v>
      </c>
      <c r="J163">
        <v>53707473</v>
      </c>
      <c r="K163">
        <v>1100</v>
      </c>
      <c r="L163">
        <v>1700</v>
      </c>
      <c r="M163">
        <v>1304</v>
      </c>
      <c r="P163">
        <v>18</v>
      </c>
      <c r="Q163">
        <v>1</v>
      </c>
      <c r="R163">
        <v>18</v>
      </c>
      <c r="S163">
        <v>45181.496432060187</v>
      </c>
      <c r="T163">
        <v>5500</v>
      </c>
      <c r="U163" t="s">
        <v>1154</v>
      </c>
      <c r="V163" t="s">
        <v>99</v>
      </c>
      <c r="W163" t="s">
        <v>2</v>
      </c>
      <c r="AI163">
        <v>62</v>
      </c>
      <c r="AJ163">
        <v>62</v>
      </c>
      <c r="AN163">
        <v>45170</v>
      </c>
      <c r="AO163">
        <v>45199</v>
      </c>
      <c r="AP163" t="s">
        <v>1101</v>
      </c>
    </row>
    <row r="164" spans="1:42" x14ac:dyDescent="0.25">
      <c r="A164">
        <v>2023</v>
      </c>
      <c r="B164">
        <v>9</v>
      </c>
      <c r="C164">
        <v>17</v>
      </c>
      <c r="D164" t="s">
        <v>1088</v>
      </c>
      <c r="E164" t="s">
        <v>282</v>
      </c>
      <c r="F164">
        <v>619995</v>
      </c>
      <c r="G164">
        <v>10339402</v>
      </c>
      <c r="H164" t="s">
        <v>282</v>
      </c>
      <c r="J164">
        <v>53683142</v>
      </c>
      <c r="K164">
        <v>1100</v>
      </c>
      <c r="L164">
        <v>1700</v>
      </c>
      <c r="M164">
        <v>1304</v>
      </c>
      <c r="P164">
        <v>216</v>
      </c>
      <c r="Q164">
        <v>1</v>
      </c>
      <c r="R164">
        <v>216</v>
      </c>
      <c r="S164">
        <v>45180.623274305559</v>
      </c>
      <c r="T164">
        <v>5500</v>
      </c>
      <c r="U164" t="s">
        <v>1154</v>
      </c>
      <c r="V164" t="s">
        <v>99</v>
      </c>
      <c r="W164" t="s">
        <v>2</v>
      </c>
      <c r="AI164">
        <v>62</v>
      </c>
      <c r="AJ164">
        <v>62</v>
      </c>
      <c r="AN164">
        <v>45170</v>
      </c>
      <c r="AO164">
        <v>45199</v>
      </c>
      <c r="AP164" t="s">
        <v>1101</v>
      </c>
    </row>
    <row r="165" spans="1:42" x14ac:dyDescent="0.25">
      <c r="A165">
        <v>2023</v>
      </c>
      <c r="B165">
        <v>9</v>
      </c>
      <c r="C165">
        <v>17</v>
      </c>
      <c r="D165" t="s">
        <v>1088</v>
      </c>
      <c r="E165" t="s">
        <v>282</v>
      </c>
      <c r="F165">
        <v>619995</v>
      </c>
      <c r="G165">
        <v>10339402</v>
      </c>
      <c r="H165" t="s">
        <v>282</v>
      </c>
      <c r="J165">
        <v>53683152</v>
      </c>
      <c r="K165">
        <v>1100</v>
      </c>
      <c r="L165">
        <v>1700</v>
      </c>
      <c r="M165">
        <v>1304</v>
      </c>
      <c r="P165">
        <v>216</v>
      </c>
      <c r="Q165">
        <v>1</v>
      </c>
      <c r="R165">
        <v>216</v>
      </c>
      <c r="S165">
        <v>45180.623367905093</v>
      </c>
      <c r="T165">
        <v>5500</v>
      </c>
      <c r="U165" t="s">
        <v>1154</v>
      </c>
      <c r="V165" t="s">
        <v>99</v>
      </c>
      <c r="W165" t="s">
        <v>2</v>
      </c>
      <c r="AI165">
        <v>62</v>
      </c>
      <c r="AJ165">
        <v>62</v>
      </c>
      <c r="AN165">
        <v>45170</v>
      </c>
      <c r="AO165">
        <v>45199</v>
      </c>
      <c r="AP165" t="s">
        <v>1101</v>
      </c>
    </row>
    <row r="166" spans="1:42" x14ac:dyDescent="0.25">
      <c r="A166">
        <v>2023</v>
      </c>
      <c r="B166">
        <v>9</v>
      </c>
      <c r="C166">
        <v>17</v>
      </c>
      <c r="D166" t="s">
        <v>1088</v>
      </c>
      <c r="E166" t="s">
        <v>282</v>
      </c>
      <c r="F166">
        <v>621702</v>
      </c>
      <c r="G166">
        <v>10367213</v>
      </c>
      <c r="H166" t="s">
        <v>282</v>
      </c>
      <c r="J166">
        <v>53758060</v>
      </c>
      <c r="K166">
        <v>1100</v>
      </c>
      <c r="L166">
        <v>1700</v>
      </c>
      <c r="M166">
        <v>1301</v>
      </c>
      <c r="P166">
        <v>7.5</v>
      </c>
      <c r="Q166">
        <v>2</v>
      </c>
      <c r="R166">
        <v>15</v>
      </c>
      <c r="S166">
        <v>45182.488399305556</v>
      </c>
      <c r="T166">
        <v>5500</v>
      </c>
      <c r="U166" t="s">
        <v>1151</v>
      </c>
      <c r="V166" t="s">
        <v>99</v>
      </c>
      <c r="W166" t="s">
        <v>1031</v>
      </c>
      <c r="X166" t="s">
        <v>1031</v>
      </c>
      <c r="AA166">
        <v>57876</v>
      </c>
      <c r="AB166" t="s">
        <v>1223</v>
      </c>
      <c r="AC166">
        <v>45184.087259108797</v>
      </c>
      <c r="AI166">
        <v>62</v>
      </c>
      <c r="AJ166">
        <v>62</v>
      </c>
      <c r="AN166">
        <v>45170</v>
      </c>
      <c r="AO166">
        <v>45199</v>
      </c>
      <c r="AP166" t="s">
        <v>1101</v>
      </c>
    </row>
    <row r="167" spans="1:42" x14ac:dyDescent="0.25">
      <c r="A167">
        <v>2023</v>
      </c>
      <c r="B167">
        <v>9</v>
      </c>
      <c r="C167">
        <v>17</v>
      </c>
      <c r="D167" t="s">
        <v>1088</v>
      </c>
      <c r="E167" t="s">
        <v>282</v>
      </c>
      <c r="F167">
        <v>621697</v>
      </c>
      <c r="G167">
        <v>10367151</v>
      </c>
      <c r="H167" t="s">
        <v>282</v>
      </c>
      <c r="J167">
        <v>53757973</v>
      </c>
      <c r="K167">
        <v>1100</v>
      </c>
      <c r="L167">
        <v>1700</v>
      </c>
      <c r="M167">
        <v>1301</v>
      </c>
      <c r="P167">
        <v>85</v>
      </c>
      <c r="Q167">
        <v>1</v>
      </c>
      <c r="R167">
        <v>85</v>
      </c>
      <c r="S167">
        <v>45182.485584756942</v>
      </c>
      <c r="T167">
        <v>5500</v>
      </c>
      <c r="U167" t="s">
        <v>1151</v>
      </c>
      <c r="V167" t="s">
        <v>99</v>
      </c>
      <c r="W167" t="s">
        <v>1031</v>
      </c>
      <c r="X167" t="s">
        <v>1031</v>
      </c>
      <c r="AA167">
        <v>57876</v>
      </c>
      <c r="AB167" t="s">
        <v>1223</v>
      </c>
      <c r="AC167">
        <v>45184.087259108797</v>
      </c>
      <c r="AI167">
        <v>62</v>
      </c>
      <c r="AJ167">
        <v>62</v>
      </c>
      <c r="AN167">
        <v>45170</v>
      </c>
      <c r="AO167">
        <v>45199</v>
      </c>
      <c r="AP167" t="s">
        <v>1101</v>
      </c>
    </row>
    <row r="168" spans="1:42" x14ac:dyDescent="0.25">
      <c r="A168">
        <v>2023</v>
      </c>
      <c r="B168">
        <v>9</v>
      </c>
      <c r="C168">
        <v>17</v>
      </c>
      <c r="D168" t="s">
        <v>1088</v>
      </c>
      <c r="E168" t="s">
        <v>282</v>
      </c>
      <c r="F168">
        <v>621697</v>
      </c>
      <c r="G168">
        <v>10367151</v>
      </c>
      <c r="H168" t="s">
        <v>282</v>
      </c>
      <c r="J168">
        <v>53757976</v>
      </c>
      <c r="K168">
        <v>1100</v>
      </c>
      <c r="L168">
        <v>1700</v>
      </c>
      <c r="M168">
        <v>1301</v>
      </c>
      <c r="P168">
        <v>7.5</v>
      </c>
      <c r="Q168">
        <v>2</v>
      </c>
      <c r="R168">
        <v>15</v>
      </c>
      <c r="S168">
        <v>45182.485712152775</v>
      </c>
      <c r="T168">
        <v>5500</v>
      </c>
      <c r="U168" t="s">
        <v>1151</v>
      </c>
      <c r="V168" t="s">
        <v>99</v>
      </c>
      <c r="W168" t="s">
        <v>1031</v>
      </c>
      <c r="X168" t="s">
        <v>1031</v>
      </c>
      <c r="AA168">
        <v>57876</v>
      </c>
      <c r="AB168" t="s">
        <v>1223</v>
      </c>
      <c r="AC168">
        <v>45184.087259108797</v>
      </c>
      <c r="AI168">
        <v>62</v>
      </c>
      <c r="AJ168">
        <v>62</v>
      </c>
      <c r="AN168">
        <v>45170</v>
      </c>
      <c r="AO168">
        <v>45199</v>
      </c>
      <c r="AP168" t="s">
        <v>1101</v>
      </c>
    </row>
    <row r="169" spans="1:42" x14ac:dyDescent="0.25">
      <c r="A169">
        <v>2023</v>
      </c>
      <c r="B169">
        <v>9</v>
      </c>
      <c r="C169">
        <v>17</v>
      </c>
      <c r="D169" t="s">
        <v>1088</v>
      </c>
      <c r="E169" t="s">
        <v>282</v>
      </c>
      <c r="F169">
        <v>621697</v>
      </c>
      <c r="G169">
        <v>10367151</v>
      </c>
      <c r="H169" t="s">
        <v>282</v>
      </c>
      <c r="J169">
        <v>53757981</v>
      </c>
      <c r="K169">
        <v>1100</v>
      </c>
      <c r="L169">
        <v>1700</v>
      </c>
      <c r="M169">
        <v>1301</v>
      </c>
      <c r="P169">
        <v>12.5</v>
      </c>
      <c r="Q169">
        <v>2</v>
      </c>
      <c r="R169">
        <v>25</v>
      </c>
      <c r="S169">
        <v>45182.485868900461</v>
      </c>
      <c r="T169">
        <v>5500</v>
      </c>
      <c r="U169" t="s">
        <v>1151</v>
      </c>
      <c r="V169" t="s">
        <v>99</v>
      </c>
      <c r="W169" t="s">
        <v>1031</v>
      </c>
      <c r="X169" t="s">
        <v>1031</v>
      </c>
      <c r="AA169">
        <v>57876</v>
      </c>
      <c r="AB169" t="s">
        <v>1223</v>
      </c>
      <c r="AC169">
        <v>45184.087259108797</v>
      </c>
      <c r="AI169">
        <v>62</v>
      </c>
      <c r="AJ169">
        <v>62</v>
      </c>
      <c r="AN169">
        <v>45170</v>
      </c>
      <c r="AO169">
        <v>45199</v>
      </c>
      <c r="AP169" t="s">
        <v>1101</v>
      </c>
    </row>
    <row r="170" spans="1:42" x14ac:dyDescent="0.25">
      <c r="A170">
        <v>2023</v>
      </c>
      <c r="B170">
        <v>9</v>
      </c>
      <c r="C170">
        <v>17</v>
      </c>
      <c r="D170" t="s">
        <v>1088</v>
      </c>
      <c r="E170" t="s">
        <v>282</v>
      </c>
      <c r="F170">
        <v>621702</v>
      </c>
      <c r="G170">
        <v>10367213</v>
      </c>
      <c r="H170" t="s">
        <v>282</v>
      </c>
      <c r="J170">
        <v>53758053</v>
      </c>
      <c r="K170">
        <v>1100</v>
      </c>
      <c r="L170">
        <v>1700</v>
      </c>
      <c r="M170">
        <v>1301</v>
      </c>
      <c r="P170">
        <v>85</v>
      </c>
      <c r="Q170">
        <v>1</v>
      </c>
      <c r="R170">
        <v>85</v>
      </c>
      <c r="S170">
        <v>45182.488274305557</v>
      </c>
      <c r="T170">
        <v>5500</v>
      </c>
      <c r="U170" t="s">
        <v>1151</v>
      </c>
      <c r="V170" t="s">
        <v>99</v>
      </c>
      <c r="W170" t="s">
        <v>1031</v>
      </c>
      <c r="X170" t="s">
        <v>1031</v>
      </c>
      <c r="AA170">
        <v>57876</v>
      </c>
      <c r="AB170" t="s">
        <v>1223</v>
      </c>
      <c r="AC170">
        <v>45184.087259108797</v>
      </c>
      <c r="AI170">
        <v>62</v>
      </c>
      <c r="AJ170">
        <v>62</v>
      </c>
      <c r="AN170">
        <v>45170</v>
      </c>
      <c r="AO170">
        <v>45199</v>
      </c>
      <c r="AP170" t="s">
        <v>1101</v>
      </c>
    </row>
    <row r="171" spans="1:42" x14ac:dyDescent="0.25">
      <c r="A171">
        <v>2023</v>
      </c>
      <c r="B171">
        <v>9</v>
      </c>
      <c r="C171">
        <v>17</v>
      </c>
      <c r="D171" t="s">
        <v>1088</v>
      </c>
      <c r="E171" t="s">
        <v>282</v>
      </c>
      <c r="F171">
        <v>621702</v>
      </c>
      <c r="G171">
        <v>10367213</v>
      </c>
      <c r="H171" t="s">
        <v>282</v>
      </c>
      <c r="J171">
        <v>53758061</v>
      </c>
      <c r="K171">
        <v>1100</v>
      </c>
      <c r="L171">
        <v>1700</v>
      </c>
      <c r="M171">
        <v>1301</v>
      </c>
      <c r="P171">
        <v>12.5</v>
      </c>
      <c r="Q171">
        <v>2</v>
      </c>
      <c r="R171">
        <v>25</v>
      </c>
      <c r="S171">
        <v>45182.488533368058</v>
      </c>
      <c r="T171">
        <v>5500</v>
      </c>
      <c r="U171" t="s">
        <v>1151</v>
      </c>
      <c r="V171" t="s">
        <v>99</v>
      </c>
      <c r="W171" t="s">
        <v>1031</v>
      </c>
      <c r="X171" t="s">
        <v>1031</v>
      </c>
      <c r="AA171">
        <v>57876</v>
      </c>
      <c r="AB171" t="s">
        <v>1223</v>
      </c>
      <c r="AC171">
        <v>45184.087259108797</v>
      </c>
      <c r="AI171">
        <v>62</v>
      </c>
      <c r="AJ171">
        <v>62</v>
      </c>
      <c r="AN171">
        <v>45170</v>
      </c>
      <c r="AO171">
        <v>45199</v>
      </c>
      <c r="AP171" t="s">
        <v>1101</v>
      </c>
    </row>
    <row r="172" spans="1:42" x14ac:dyDescent="0.25">
      <c r="A172">
        <v>2023</v>
      </c>
      <c r="B172">
        <v>9</v>
      </c>
      <c r="C172">
        <v>17</v>
      </c>
      <c r="D172" t="s">
        <v>1088</v>
      </c>
      <c r="E172" t="s">
        <v>282</v>
      </c>
      <c r="F172">
        <v>621703</v>
      </c>
      <c r="G172">
        <v>10367247</v>
      </c>
      <c r="H172" t="s">
        <v>282</v>
      </c>
      <c r="J172">
        <v>53758437</v>
      </c>
      <c r="K172">
        <v>1100</v>
      </c>
      <c r="L172">
        <v>1700</v>
      </c>
      <c r="M172">
        <v>1301</v>
      </c>
      <c r="P172">
        <v>85</v>
      </c>
      <c r="Q172">
        <v>1</v>
      </c>
      <c r="R172">
        <v>85</v>
      </c>
      <c r="S172">
        <v>45182.490894444447</v>
      </c>
      <c r="T172">
        <v>5500</v>
      </c>
      <c r="U172" t="s">
        <v>1151</v>
      </c>
      <c r="V172" t="s">
        <v>99</v>
      </c>
      <c r="W172" t="s">
        <v>1031</v>
      </c>
      <c r="X172" t="s">
        <v>1031</v>
      </c>
      <c r="AA172">
        <v>57876</v>
      </c>
      <c r="AB172" t="s">
        <v>1223</v>
      </c>
      <c r="AC172">
        <v>45184.087259108797</v>
      </c>
      <c r="AI172">
        <v>62</v>
      </c>
      <c r="AJ172">
        <v>62</v>
      </c>
      <c r="AN172">
        <v>45170</v>
      </c>
      <c r="AO172">
        <v>45199</v>
      </c>
      <c r="AP172" t="s">
        <v>1101</v>
      </c>
    </row>
    <row r="173" spans="1:42" x14ac:dyDescent="0.25">
      <c r="A173">
        <v>2023</v>
      </c>
      <c r="B173">
        <v>9</v>
      </c>
      <c r="C173">
        <v>17</v>
      </c>
      <c r="D173" t="s">
        <v>1088</v>
      </c>
      <c r="E173" t="s">
        <v>282</v>
      </c>
      <c r="F173">
        <v>621703</v>
      </c>
      <c r="G173">
        <v>10367247</v>
      </c>
      <c r="H173" t="s">
        <v>282</v>
      </c>
      <c r="J173">
        <v>53758473</v>
      </c>
      <c r="K173">
        <v>1100</v>
      </c>
      <c r="L173">
        <v>1700</v>
      </c>
      <c r="M173">
        <v>1301</v>
      </c>
      <c r="P173">
        <v>7.5</v>
      </c>
      <c r="Q173">
        <v>2</v>
      </c>
      <c r="R173">
        <v>15</v>
      </c>
      <c r="S173">
        <v>45182.491114548611</v>
      </c>
      <c r="T173">
        <v>5500</v>
      </c>
      <c r="U173" t="s">
        <v>1151</v>
      </c>
      <c r="V173" t="s">
        <v>99</v>
      </c>
      <c r="W173" t="s">
        <v>1031</v>
      </c>
      <c r="X173" t="s">
        <v>1031</v>
      </c>
      <c r="AA173">
        <v>57876</v>
      </c>
      <c r="AB173" t="s">
        <v>1223</v>
      </c>
      <c r="AC173">
        <v>45184.087259108797</v>
      </c>
      <c r="AI173">
        <v>62</v>
      </c>
      <c r="AJ173">
        <v>62</v>
      </c>
      <c r="AN173">
        <v>45170</v>
      </c>
      <c r="AO173">
        <v>45199</v>
      </c>
      <c r="AP173" t="s">
        <v>1101</v>
      </c>
    </row>
    <row r="174" spans="1:42" x14ac:dyDescent="0.25">
      <c r="A174">
        <v>2023</v>
      </c>
      <c r="B174">
        <v>9</v>
      </c>
      <c r="C174">
        <v>17</v>
      </c>
      <c r="D174" t="s">
        <v>1088</v>
      </c>
      <c r="E174" t="s">
        <v>282</v>
      </c>
      <c r="F174">
        <v>621703</v>
      </c>
      <c r="G174">
        <v>10367247</v>
      </c>
      <c r="H174" t="s">
        <v>282</v>
      </c>
      <c r="J174">
        <v>53758493</v>
      </c>
      <c r="K174">
        <v>1100</v>
      </c>
      <c r="L174">
        <v>1700</v>
      </c>
      <c r="M174">
        <v>1301</v>
      </c>
      <c r="P174">
        <v>10</v>
      </c>
      <c r="Q174">
        <v>2</v>
      </c>
      <c r="R174">
        <v>20</v>
      </c>
      <c r="S174">
        <v>45182.491256863424</v>
      </c>
      <c r="T174">
        <v>5500</v>
      </c>
      <c r="U174" t="s">
        <v>1151</v>
      </c>
      <c r="V174" t="s">
        <v>99</v>
      </c>
      <c r="W174" t="s">
        <v>1031</v>
      </c>
      <c r="X174" t="s">
        <v>1031</v>
      </c>
      <c r="AA174">
        <v>57876</v>
      </c>
      <c r="AB174" t="s">
        <v>1223</v>
      </c>
      <c r="AC174">
        <v>45184.087259108797</v>
      </c>
      <c r="AI174">
        <v>62</v>
      </c>
      <c r="AJ174">
        <v>62</v>
      </c>
      <c r="AN174">
        <v>45170</v>
      </c>
      <c r="AO174">
        <v>45199</v>
      </c>
      <c r="AP174" t="s">
        <v>1101</v>
      </c>
    </row>
    <row r="175" spans="1:42" x14ac:dyDescent="0.25">
      <c r="A175">
        <v>2023</v>
      </c>
      <c r="B175">
        <v>9</v>
      </c>
      <c r="C175">
        <v>17</v>
      </c>
      <c r="D175" t="s">
        <v>1088</v>
      </c>
      <c r="E175" t="s">
        <v>282</v>
      </c>
      <c r="F175">
        <v>621703</v>
      </c>
      <c r="G175">
        <v>10367247</v>
      </c>
      <c r="H175" t="s">
        <v>282</v>
      </c>
      <c r="J175">
        <v>53758498</v>
      </c>
      <c r="K175">
        <v>1100</v>
      </c>
      <c r="L175">
        <v>1700</v>
      </c>
      <c r="M175">
        <v>1301</v>
      </c>
      <c r="P175">
        <v>4</v>
      </c>
      <c r="Q175">
        <v>2</v>
      </c>
      <c r="R175">
        <v>8</v>
      </c>
      <c r="S175">
        <v>45182.491430243055</v>
      </c>
      <c r="T175">
        <v>5500</v>
      </c>
      <c r="U175" t="s">
        <v>1151</v>
      </c>
      <c r="V175" t="s">
        <v>99</v>
      </c>
      <c r="W175" t="s">
        <v>1031</v>
      </c>
      <c r="X175" t="s">
        <v>1031</v>
      </c>
      <c r="AA175">
        <v>57876</v>
      </c>
      <c r="AB175" t="s">
        <v>1223</v>
      </c>
      <c r="AC175">
        <v>45184.087259108797</v>
      </c>
      <c r="AI175">
        <v>62</v>
      </c>
      <c r="AJ175">
        <v>62</v>
      </c>
      <c r="AN175">
        <v>45170</v>
      </c>
      <c r="AO175">
        <v>45199</v>
      </c>
      <c r="AP175" t="s">
        <v>1101</v>
      </c>
    </row>
    <row r="176" spans="1:42" x14ac:dyDescent="0.25">
      <c r="A176">
        <v>2023</v>
      </c>
      <c r="B176">
        <v>9</v>
      </c>
      <c r="C176">
        <v>17</v>
      </c>
      <c r="D176" t="s">
        <v>1088</v>
      </c>
      <c r="E176" t="s">
        <v>282</v>
      </c>
      <c r="F176">
        <v>104276</v>
      </c>
      <c r="G176">
        <v>10366411</v>
      </c>
      <c r="H176" t="s">
        <v>282</v>
      </c>
      <c r="J176">
        <v>53791552</v>
      </c>
      <c r="K176">
        <v>1100</v>
      </c>
      <c r="L176">
        <v>1700</v>
      </c>
      <c r="M176">
        <v>1304</v>
      </c>
      <c r="P176">
        <v>216</v>
      </c>
      <c r="Q176">
        <v>1</v>
      </c>
      <c r="R176">
        <v>216</v>
      </c>
      <c r="S176">
        <v>45183.423240972224</v>
      </c>
      <c r="T176">
        <v>5500</v>
      </c>
      <c r="U176" t="s">
        <v>1154</v>
      </c>
      <c r="V176" t="s">
        <v>99</v>
      </c>
      <c r="W176" t="s">
        <v>2</v>
      </c>
      <c r="AI176">
        <v>62</v>
      </c>
      <c r="AJ176">
        <v>62</v>
      </c>
      <c r="AN176">
        <v>45170</v>
      </c>
      <c r="AO176">
        <v>45199</v>
      </c>
      <c r="AP176" t="s">
        <v>1101</v>
      </c>
    </row>
    <row r="177" spans="1:42" x14ac:dyDescent="0.25">
      <c r="A177">
        <v>2023</v>
      </c>
      <c r="B177">
        <v>9</v>
      </c>
      <c r="C177">
        <v>17</v>
      </c>
      <c r="D177" t="s">
        <v>1088</v>
      </c>
      <c r="E177" t="s">
        <v>282</v>
      </c>
      <c r="F177">
        <v>104276</v>
      </c>
      <c r="G177">
        <v>10366411</v>
      </c>
      <c r="H177" t="s">
        <v>282</v>
      </c>
      <c r="J177">
        <v>53791562</v>
      </c>
      <c r="K177">
        <v>1100</v>
      </c>
      <c r="L177">
        <v>1700</v>
      </c>
      <c r="M177">
        <v>1304</v>
      </c>
      <c r="P177">
        <v>216</v>
      </c>
      <c r="Q177">
        <v>1</v>
      </c>
      <c r="R177">
        <v>216</v>
      </c>
      <c r="S177">
        <v>45183.423347187498</v>
      </c>
      <c r="T177">
        <v>5500</v>
      </c>
      <c r="U177" t="s">
        <v>1154</v>
      </c>
      <c r="V177" t="s">
        <v>99</v>
      </c>
      <c r="W177" t="s">
        <v>2</v>
      </c>
      <c r="AI177">
        <v>62</v>
      </c>
      <c r="AJ177">
        <v>62</v>
      </c>
      <c r="AN177">
        <v>45170</v>
      </c>
      <c r="AO177">
        <v>45199</v>
      </c>
      <c r="AP177" t="s">
        <v>1101</v>
      </c>
    </row>
    <row r="178" spans="1:42" x14ac:dyDescent="0.25">
      <c r="A178">
        <v>2023</v>
      </c>
      <c r="B178">
        <v>9</v>
      </c>
      <c r="C178">
        <v>17</v>
      </c>
      <c r="D178" t="s">
        <v>1088</v>
      </c>
      <c r="E178" t="s">
        <v>282</v>
      </c>
      <c r="F178">
        <v>104276</v>
      </c>
      <c r="G178">
        <v>10366411</v>
      </c>
      <c r="H178" t="s">
        <v>282</v>
      </c>
      <c r="J178">
        <v>53791565</v>
      </c>
      <c r="K178">
        <v>1100</v>
      </c>
      <c r="L178">
        <v>1700</v>
      </c>
      <c r="M178">
        <v>1304</v>
      </c>
      <c r="P178">
        <v>18</v>
      </c>
      <c r="Q178">
        <v>1</v>
      </c>
      <c r="R178">
        <v>18</v>
      </c>
      <c r="S178">
        <v>45183.42340767361</v>
      </c>
      <c r="T178">
        <v>5500</v>
      </c>
      <c r="U178" t="s">
        <v>1154</v>
      </c>
      <c r="V178" t="s">
        <v>99</v>
      </c>
      <c r="W178" t="s">
        <v>2</v>
      </c>
      <c r="AI178">
        <v>62</v>
      </c>
      <c r="AJ178">
        <v>62</v>
      </c>
      <c r="AN178">
        <v>45170</v>
      </c>
      <c r="AO178">
        <v>45199</v>
      </c>
      <c r="AP178" t="s">
        <v>1101</v>
      </c>
    </row>
    <row r="179" spans="1:42" x14ac:dyDescent="0.25">
      <c r="A179">
        <v>2023</v>
      </c>
      <c r="B179">
        <v>9</v>
      </c>
      <c r="C179">
        <v>17</v>
      </c>
      <c r="D179" t="s">
        <v>1088</v>
      </c>
      <c r="E179" t="s">
        <v>282</v>
      </c>
      <c r="F179">
        <v>618022</v>
      </c>
      <c r="G179">
        <v>10296146</v>
      </c>
      <c r="H179" t="s">
        <v>282</v>
      </c>
      <c r="J179">
        <v>53924489</v>
      </c>
      <c r="K179">
        <v>1101</v>
      </c>
      <c r="L179">
        <v>1702</v>
      </c>
      <c r="M179">
        <v>1301</v>
      </c>
      <c r="N179">
        <v>53386442</v>
      </c>
      <c r="O179">
        <v>45169.437689548613</v>
      </c>
      <c r="P179">
        <v>204.78</v>
      </c>
      <c r="Q179">
        <v>1</v>
      </c>
      <c r="R179">
        <v>204.78</v>
      </c>
      <c r="S179">
        <v>45188.379437962962</v>
      </c>
      <c r="T179">
        <v>5502</v>
      </c>
      <c r="U179" t="s">
        <v>1217</v>
      </c>
      <c r="V179" t="s">
        <v>1155</v>
      </c>
      <c r="W179" t="s">
        <v>1091</v>
      </c>
      <c r="X179" t="s">
        <v>1091</v>
      </c>
      <c r="AD179">
        <v>829963</v>
      </c>
      <c r="AE179" t="s">
        <v>1281</v>
      </c>
      <c r="AF179">
        <v>45188.379437615738</v>
      </c>
      <c r="AI179">
        <v>62</v>
      </c>
      <c r="AJ179">
        <v>62</v>
      </c>
      <c r="AN179">
        <v>45170</v>
      </c>
      <c r="AO179">
        <v>45199</v>
      </c>
      <c r="AP179" t="s">
        <v>1101</v>
      </c>
    </row>
    <row r="180" spans="1:42" x14ac:dyDescent="0.25">
      <c r="A180">
        <v>2023</v>
      </c>
      <c r="B180">
        <v>9</v>
      </c>
      <c r="C180">
        <v>17</v>
      </c>
      <c r="D180" t="s">
        <v>1088</v>
      </c>
      <c r="E180" t="s">
        <v>282</v>
      </c>
      <c r="F180">
        <v>618022</v>
      </c>
      <c r="G180">
        <v>10296146</v>
      </c>
      <c r="H180" t="s">
        <v>282</v>
      </c>
      <c r="J180">
        <v>53924490</v>
      </c>
      <c r="K180">
        <v>1103</v>
      </c>
      <c r="L180">
        <v>1702</v>
      </c>
      <c r="M180">
        <v>1301</v>
      </c>
      <c r="N180">
        <v>53386442</v>
      </c>
      <c r="O180">
        <v>45169.437689548613</v>
      </c>
      <c r="P180">
        <v>11.22</v>
      </c>
      <c r="Q180">
        <v>1</v>
      </c>
      <c r="R180">
        <v>11.22</v>
      </c>
      <c r="S180">
        <v>45188.379437962962</v>
      </c>
      <c r="T180">
        <v>5503</v>
      </c>
      <c r="U180" t="s">
        <v>1218</v>
      </c>
      <c r="V180" t="s">
        <v>1157</v>
      </c>
      <c r="W180" t="s">
        <v>1091</v>
      </c>
      <c r="X180" t="s">
        <v>1091</v>
      </c>
      <c r="AD180">
        <v>829963</v>
      </c>
      <c r="AE180" t="s">
        <v>1281</v>
      </c>
      <c r="AF180">
        <v>45188.379437615738</v>
      </c>
      <c r="AI180">
        <v>62</v>
      </c>
      <c r="AJ180">
        <v>62</v>
      </c>
      <c r="AK180" t="s">
        <v>1219</v>
      </c>
      <c r="AN180">
        <v>45170</v>
      </c>
      <c r="AO180">
        <v>45199</v>
      </c>
      <c r="AP180" t="s">
        <v>1101</v>
      </c>
    </row>
    <row r="181" spans="1:42" x14ac:dyDescent="0.25">
      <c r="A181">
        <v>2023</v>
      </c>
      <c r="B181">
        <v>9</v>
      </c>
      <c r="C181">
        <v>17</v>
      </c>
      <c r="D181" t="s">
        <v>1088</v>
      </c>
      <c r="E181" t="s">
        <v>282</v>
      </c>
      <c r="F181">
        <v>618022</v>
      </c>
      <c r="G181">
        <v>10296146</v>
      </c>
      <c r="H181" t="s">
        <v>282</v>
      </c>
      <c r="J181">
        <v>53924491</v>
      </c>
      <c r="K181">
        <v>1101</v>
      </c>
      <c r="L181">
        <v>1702</v>
      </c>
      <c r="M181">
        <v>1301</v>
      </c>
      <c r="N181">
        <v>53386443</v>
      </c>
      <c r="O181">
        <v>45169.437828587965</v>
      </c>
      <c r="P181">
        <v>204.78</v>
      </c>
      <c r="Q181">
        <v>1</v>
      </c>
      <c r="R181">
        <v>204.78</v>
      </c>
      <c r="S181">
        <v>45188.379437962962</v>
      </c>
      <c r="T181">
        <v>5502</v>
      </c>
      <c r="U181" t="s">
        <v>1217</v>
      </c>
      <c r="V181" t="s">
        <v>1155</v>
      </c>
      <c r="W181" t="s">
        <v>1091</v>
      </c>
      <c r="X181" t="s">
        <v>1091</v>
      </c>
      <c r="AD181">
        <v>829963</v>
      </c>
      <c r="AE181" t="s">
        <v>1281</v>
      </c>
      <c r="AF181">
        <v>45188.379437615738</v>
      </c>
      <c r="AI181">
        <v>62</v>
      </c>
      <c r="AJ181">
        <v>62</v>
      </c>
      <c r="AN181">
        <v>45170</v>
      </c>
      <c r="AO181">
        <v>45199</v>
      </c>
      <c r="AP181" t="s">
        <v>1101</v>
      </c>
    </row>
    <row r="182" spans="1:42" x14ac:dyDescent="0.25">
      <c r="A182">
        <v>2023</v>
      </c>
      <c r="B182">
        <v>9</v>
      </c>
      <c r="C182">
        <v>17</v>
      </c>
      <c r="D182" t="s">
        <v>1088</v>
      </c>
      <c r="E182" t="s">
        <v>282</v>
      </c>
      <c r="F182">
        <v>618022</v>
      </c>
      <c r="G182">
        <v>10296146</v>
      </c>
      <c r="H182" t="s">
        <v>282</v>
      </c>
      <c r="J182">
        <v>53924492</v>
      </c>
      <c r="K182">
        <v>1103</v>
      </c>
      <c r="L182">
        <v>1702</v>
      </c>
      <c r="M182">
        <v>1301</v>
      </c>
      <c r="N182">
        <v>53386443</v>
      </c>
      <c r="O182">
        <v>45169.437828587965</v>
      </c>
      <c r="P182">
        <v>11.22</v>
      </c>
      <c r="Q182">
        <v>1</v>
      </c>
      <c r="R182">
        <v>11.22</v>
      </c>
      <c r="S182">
        <v>45188.379437962962</v>
      </c>
      <c r="T182">
        <v>5503</v>
      </c>
      <c r="U182" t="s">
        <v>1218</v>
      </c>
      <c r="V182" t="s">
        <v>1157</v>
      </c>
      <c r="W182" t="s">
        <v>1091</v>
      </c>
      <c r="X182" t="s">
        <v>1091</v>
      </c>
      <c r="AD182">
        <v>829963</v>
      </c>
      <c r="AE182" t="s">
        <v>1281</v>
      </c>
      <c r="AF182">
        <v>45188.379437615738</v>
      </c>
      <c r="AI182">
        <v>62</v>
      </c>
      <c r="AJ182">
        <v>62</v>
      </c>
      <c r="AK182" t="s">
        <v>1219</v>
      </c>
      <c r="AN182">
        <v>45170</v>
      </c>
      <c r="AO182">
        <v>45199</v>
      </c>
      <c r="AP182" t="s">
        <v>1101</v>
      </c>
    </row>
    <row r="183" spans="1:42" x14ac:dyDescent="0.25">
      <c r="A183">
        <v>2023</v>
      </c>
      <c r="B183">
        <v>9</v>
      </c>
      <c r="C183">
        <v>17</v>
      </c>
      <c r="D183" t="s">
        <v>1088</v>
      </c>
      <c r="E183" t="s">
        <v>282</v>
      </c>
      <c r="F183">
        <v>618264</v>
      </c>
      <c r="G183">
        <v>10301451</v>
      </c>
      <c r="H183" t="s">
        <v>282</v>
      </c>
      <c r="J183">
        <v>53924501</v>
      </c>
      <c r="K183">
        <v>1101</v>
      </c>
      <c r="L183">
        <v>1702</v>
      </c>
      <c r="M183">
        <v>1301</v>
      </c>
      <c r="N183">
        <v>53391420</v>
      </c>
      <c r="O183">
        <v>45169.501753622688</v>
      </c>
      <c r="P183">
        <v>204.78</v>
      </c>
      <c r="Q183">
        <v>1</v>
      </c>
      <c r="R183">
        <v>204.78</v>
      </c>
      <c r="S183">
        <v>45188.379437962962</v>
      </c>
      <c r="T183">
        <v>5502</v>
      </c>
      <c r="U183" t="s">
        <v>1217</v>
      </c>
      <c r="V183" t="s">
        <v>1155</v>
      </c>
      <c r="W183" t="s">
        <v>1091</v>
      </c>
      <c r="X183" t="s">
        <v>1091</v>
      </c>
      <c r="AD183">
        <v>829963</v>
      </c>
      <c r="AE183" t="s">
        <v>1281</v>
      </c>
      <c r="AF183">
        <v>45188.379437615738</v>
      </c>
      <c r="AI183">
        <v>62</v>
      </c>
      <c r="AJ183">
        <v>62</v>
      </c>
      <c r="AN183">
        <v>45170</v>
      </c>
      <c r="AO183">
        <v>45199</v>
      </c>
      <c r="AP183" t="s">
        <v>1101</v>
      </c>
    </row>
    <row r="184" spans="1:42" x14ac:dyDescent="0.25">
      <c r="A184">
        <v>2023</v>
      </c>
      <c r="B184">
        <v>9</v>
      </c>
      <c r="C184">
        <v>17</v>
      </c>
      <c r="D184" t="s">
        <v>1088</v>
      </c>
      <c r="E184" t="s">
        <v>282</v>
      </c>
      <c r="F184">
        <v>618264</v>
      </c>
      <c r="G184">
        <v>10301451</v>
      </c>
      <c r="H184" t="s">
        <v>282</v>
      </c>
      <c r="J184">
        <v>53924502</v>
      </c>
      <c r="K184">
        <v>1103</v>
      </c>
      <c r="L184">
        <v>1702</v>
      </c>
      <c r="M184">
        <v>1301</v>
      </c>
      <c r="N184">
        <v>53391420</v>
      </c>
      <c r="O184">
        <v>45169.501753622688</v>
      </c>
      <c r="P184">
        <v>11.22</v>
      </c>
      <c r="Q184">
        <v>1</v>
      </c>
      <c r="R184">
        <v>11.22</v>
      </c>
      <c r="S184">
        <v>45188.379437962962</v>
      </c>
      <c r="T184">
        <v>5503</v>
      </c>
      <c r="U184" t="s">
        <v>1218</v>
      </c>
      <c r="V184" t="s">
        <v>1157</v>
      </c>
      <c r="W184" t="s">
        <v>1091</v>
      </c>
      <c r="X184" t="s">
        <v>1091</v>
      </c>
      <c r="AD184">
        <v>829963</v>
      </c>
      <c r="AE184" t="s">
        <v>1281</v>
      </c>
      <c r="AF184">
        <v>45188.379437615738</v>
      </c>
      <c r="AI184">
        <v>62</v>
      </c>
      <c r="AJ184">
        <v>62</v>
      </c>
      <c r="AK184" t="s">
        <v>1219</v>
      </c>
      <c r="AN184">
        <v>45170</v>
      </c>
      <c r="AO184">
        <v>45199</v>
      </c>
      <c r="AP184" t="s">
        <v>1101</v>
      </c>
    </row>
    <row r="185" spans="1:42" x14ac:dyDescent="0.25">
      <c r="A185">
        <v>2023</v>
      </c>
      <c r="B185">
        <v>9</v>
      </c>
      <c r="C185">
        <v>17</v>
      </c>
      <c r="D185" t="s">
        <v>1088</v>
      </c>
      <c r="E185" t="s">
        <v>282</v>
      </c>
      <c r="F185">
        <v>618264</v>
      </c>
      <c r="G185">
        <v>10301451</v>
      </c>
      <c r="H185" t="s">
        <v>282</v>
      </c>
      <c r="J185">
        <v>53924503</v>
      </c>
      <c r="K185">
        <v>1101</v>
      </c>
      <c r="L185">
        <v>1702</v>
      </c>
      <c r="M185">
        <v>1301</v>
      </c>
      <c r="N185">
        <v>53391428</v>
      </c>
      <c r="O185">
        <v>45169.501858912037</v>
      </c>
      <c r="P185">
        <v>204.78</v>
      </c>
      <c r="Q185">
        <v>1</v>
      </c>
      <c r="R185">
        <v>204.78</v>
      </c>
      <c r="S185">
        <v>45188.379437962962</v>
      </c>
      <c r="T185">
        <v>5502</v>
      </c>
      <c r="U185" t="s">
        <v>1217</v>
      </c>
      <c r="V185" t="s">
        <v>1155</v>
      </c>
      <c r="W185" t="s">
        <v>1091</v>
      </c>
      <c r="X185" t="s">
        <v>1091</v>
      </c>
      <c r="AD185">
        <v>829963</v>
      </c>
      <c r="AE185" t="s">
        <v>1281</v>
      </c>
      <c r="AF185">
        <v>45188.379437615738</v>
      </c>
      <c r="AI185">
        <v>62</v>
      </c>
      <c r="AJ185">
        <v>62</v>
      </c>
      <c r="AN185">
        <v>45170</v>
      </c>
      <c r="AO185">
        <v>45199</v>
      </c>
      <c r="AP185" t="s">
        <v>1101</v>
      </c>
    </row>
    <row r="186" spans="1:42" x14ac:dyDescent="0.25">
      <c r="A186">
        <v>2023</v>
      </c>
      <c r="B186">
        <v>9</v>
      </c>
      <c r="C186">
        <v>17</v>
      </c>
      <c r="D186" t="s">
        <v>1088</v>
      </c>
      <c r="E186" t="s">
        <v>282</v>
      </c>
      <c r="F186">
        <v>618264</v>
      </c>
      <c r="G186">
        <v>10301451</v>
      </c>
      <c r="H186" t="s">
        <v>282</v>
      </c>
      <c r="J186">
        <v>53924504</v>
      </c>
      <c r="K186">
        <v>1103</v>
      </c>
      <c r="L186">
        <v>1702</v>
      </c>
      <c r="M186">
        <v>1301</v>
      </c>
      <c r="N186">
        <v>53391428</v>
      </c>
      <c r="O186">
        <v>45169.501858912037</v>
      </c>
      <c r="P186">
        <v>11.22</v>
      </c>
      <c r="Q186">
        <v>1</v>
      </c>
      <c r="R186">
        <v>11.22</v>
      </c>
      <c r="S186">
        <v>45188.379437962962</v>
      </c>
      <c r="T186">
        <v>5503</v>
      </c>
      <c r="U186" t="s">
        <v>1218</v>
      </c>
      <c r="V186" t="s">
        <v>1157</v>
      </c>
      <c r="W186" t="s">
        <v>1091</v>
      </c>
      <c r="X186" t="s">
        <v>1091</v>
      </c>
      <c r="AD186">
        <v>829963</v>
      </c>
      <c r="AE186" t="s">
        <v>1281</v>
      </c>
      <c r="AF186">
        <v>45188.379437615738</v>
      </c>
      <c r="AI186">
        <v>62</v>
      </c>
      <c r="AJ186">
        <v>62</v>
      </c>
      <c r="AK186" t="s">
        <v>1219</v>
      </c>
      <c r="AN186">
        <v>45170</v>
      </c>
      <c r="AO186">
        <v>45199</v>
      </c>
      <c r="AP186" t="s">
        <v>1101</v>
      </c>
    </row>
    <row r="187" spans="1:42" x14ac:dyDescent="0.25">
      <c r="A187">
        <v>2023</v>
      </c>
      <c r="B187">
        <v>9</v>
      </c>
      <c r="C187">
        <v>17</v>
      </c>
      <c r="D187" t="s">
        <v>1088</v>
      </c>
      <c r="E187" t="s">
        <v>282</v>
      </c>
      <c r="F187">
        <v>615836</v>
      </c>
      <c r="G187">
        <v>10254903</v>
      </c>
      <c r="H187" t="s">
        <v>282</v>
      </c>
      <c r="J187">
        <v>53924510</v>
      </c>
      <c r="K187">
        <v>1101</v>
      </c>
      <c r="L187">
        <v>1702</v>
      </c>
      <c r="M187">
        <v>1301</v>
      </c>
      <c r="N187">
        <v>53076264</v>
      </c>
      <c r="O187">
        <v>45160.63648804398</v>
      </c>
      <c r="P187">
        <v>115.81</v>
      </c>
      <c r="Q187">
        <v>1</v>
      </c>
      <c r="R187">
        <v>115.81</v>
      </c>
      <c r="S187">
        <v>45188.380069016202</v>
      </c>
      <c r="T187">
        <v>5502</v>
      </c>
      <c r="U187" t="s">
        <v>1217</v>
      </c>
      <c r="V187" t="s">
        <v>1155</v>
      </c>
      <c r="W187" t="s">
        <v>1179</v>
      </c>
      <c r="X187" t="s">
        <v>1179</v>
      </c>
      <c r="AD187">
        <v>829964</v>
      </c>
      <c r="AE187" t="s">
        <v>1282</v>
      </c>
      <c r="AF187">
        <v>45188.38006797454</v>
      </c>
      <c r="AI187">
        <v>62</v>
      </c>
      <c r="AJ187">
        <v>62</v>
      </c>
      <c r="AN187">
        <v>45170</v>
      </c>
      <c r="AO187">
        <v>45199</v>
      </c>
      <c r="AP187" t="s">
        <v>1101</v>
      </c>
    </row>
    <row r="188" spans="1:42" x14ac:dyDescent="0.25">
      <c r="A188">
        <v>2023</v>
      </c>
      <c r="B188">
        <v>9</v>
      </c>
      <c r="C188">
        <v>17</v>
      </c>
      <c r="D188" t="s">
        <v>1088</v>
      </c>
      <c r="E188" t="s">
        <v>282</v>
      </c>
      <c r="F188">
        <v>615836</v>
      </c>
      <c r="G188">
        <v>10254903</v>
      </c>
      <c r="H188" t="s">
        <v>282</v>
      </c>
      <c r="J188">
        <v>53924511</v>
      </c>
      <c r="K188">
        <v>1103</v>
      </c>
      <c r="L188">
        <v>1702</v>
      </c>
      <c r="M188">
        <v>1301</v>
      </c>
      <c r="N188">
        <v>53076264</v>
      </c>
      <c r="O188">
        <v>45160.63648804398</v>
      </c>
      <c r="P188">
        <v>50.57</v>
      </c>
      <c r="Q188">
        <v>1</v>
      </c>
      <c r="R188">
        <v>50.57</v>
      </c>
      <c r="S188">
        <v>45188.380069016202</v>
      </c>
      <c r="T188">
        <v>5503</v>
      </c>
      <c r="U188" t="s">
        <v>1218</v>
      </c>
      <c r="V188" t="s">
        <v>1157</v>
      </c>
      <c r="W188" t="s">
        <v>1179</v>
      </c>
      <c r="X188" t="s">
        <v>1179</v>
      </c>
      <c r="AD188">
        <v>829964</v>
      </c>
      <c r="AE188" t="s">
        <v>1282</v>
      </c>
      <c r="AF188">
        <v>45188.38006797454</v>
      </c>
      <c r="AI188">
        <v>62</v>
      </c>
      <c r="AJ188">
        <v>62</v>
      </c>
      <c r="AK188" t="s">
        <v>1219</v>
      </c>
      <c r="AN188">
        <v>45170</v>
      </c>
      <c r="AO188">
        <v>45199</v>
      </c>
      <c r="AP188" t="s">
        <v>1101</v>
      </c>
    </row>
    <row r="189" spans="1:42" x14ac:dyDescent="0.25">
      <c r="A189">
        <v>2023</v>
      </c>
      <c r="B189">
        <v>9</v>
      </c>
      <c r="C189">
        <v>17</v>
      </c>
      <c r="D189" t="s">
        <v>1088</v>
      </c>
      <c r="E189" t="s">
        <v>282</v>
      </c>
      <c r="F189">
        <v>615836</v>
      </c>
      <c r="G189">
        <v>10254903</v>
      </c>
      <c r="H189" t="s">
        <v>282</v>
      </c>
      <c r="J189">
        <v>53924512</v>
      </c>
      <c r="K189">
        <v>1100</v>
      </c>
      <c r="L189">
        <v>1700</v>
      </c>
      <c r="M189">
        <v>1304</v>
      </c>
      <c r="N189">
        <v>53076264</v>
      </c>
      <c r="O189">
        <v>45160.63648804398</v>
      </c>
      <c r="P189">
        <v>49.62</v>
      </c>
      <c r="Q189">
        <v>1</v>
      </c>
      <c r="R189">
        <v>49.62</v>
      </c>
      <c r="S189">
        <v>45188.380069016202</v>
      </c>
      <c r="T189">
        <v>5504</v>
      </c>
      <c r="U189" t="s">
        <v>1220</v>
      </c>
      <c r="V189" t="s">
        <v>1221</v>
      </c>
      <c r="W189" t="s">
        <v>2</v>
      </c>
      <c r="X189" t="s">
        <v>1179</v>
      </c>
      <c r="AD189">
        <v>829964</v>
      </c>
      <c r="AE189" t="s">
        <v>1282</v>
      </c>
      <c r="AF189">
        <v>45188.38006797454</v>
      </c>
      <c r="AI189">
        <v>62</v>
      </c>
      <c r="AJ189">
        <v>62</v>
      </c>
      <c r="AN189">
        <v>45170</v>
      </c>
      <c r="AO189">
        <v>45199</v>
      </c>
      <c r="AP189" t="s">
        <v>1101</v>
      </c>
    </row>
    <row r="190" spans="1:42" x14ac:dyDescent="0.25">
      <c r="A190">
        <v>2023</v>
      </c>
      <c r="B190">
        <v>9</v>
      </c>
      <c r="C190">
        <v>17</v>
      </c>
      <c r="D190" t="s">
        <v>1088</v>
      </c>
      <c r="E190" t="s">
        <v>282</v>
      </c>
      <c r="F190">
        <v>615836</v>
      </c>
      <c r="G190">
        <v>10254903</v>
      </c>
      <c r="H190" t="s">
        <v>282</v>
      </c>
      <c r="J190">
        <v>53924513</v>
      </c>
      <c r="K190">
        <v>1101</v>
      </c>
      <c r="L190">
        <v>1702</v>
      </c>
      <c r="M190">
        <v>1301</v>
      </c>
      <c r="N190">
        <v>53076269</v>
      </c>
      <c r="O190">
        <v>45160.636645752318</v>
      </c>
      <c r="P190">
        <v>115.81</v>
      </c>
      <c r="Q190">
        <v>1</v>
      </c>
      <c r="R190">
        <v>115.81</v>
      </c>
      <c r="S190">
        <v>45188.380069016202</v>
      </c>
      <c r="T190">
        <v>5502</v>
      </c>
      <c r="U190" t="s">
        <v>1217</v>
      </c>
      <c r="V190" t="s">
        <v>1155</v>
      </c>
      <c r="W190" t="s">
        <v>1179</v>
      </c>
      <c r="X190" t="s">
        <v>1179</v>
      </c>
      <c r="AD190">
        <v>829964</v>
      </c>
      <c r="AE190" t="s">
        <v>1282</v>
      </c>
      <c r="AF190">
        <v>45188.38006797454</v>
      </c>
      <c r="AI190">
        <v>62</v>
      </c>
      <c r="AJ190">
        <v>62</v>
      </c>
      <c r="AN190">
        <v>45170</v>
      </c>
      <c r="AO190">
        <v>45199</v>
      </c>
      <c r="AP190" t="s">
        <v>1101</v>
      </c>
    </row>
    <row r="191" spans="1:42" x14ac:dyDescent="0.25">
      <c r="A191">
        <v>2023</v>
      </c>
      <c r="B191">
        <v>9</v>
      </c>
      <c r="C191">
        <v>17</v>
      </c>
      <c r="D191" t="s">
        <v>1088</v>
      </c>
      <c r="E191" t="s">
        <v>282</v>
      </c>
      <c r="F191">
        <v>615836</v>
      </c>
      <c r="G191">
        <v>10254903</v>
      </c>
      <c r="H191" t="s">
        <v>282</v>
      </c>
      <c r="J191">
        <v>53924514</v>
      </c>
      <c r="K191">
        <v>1103</v>
      </c>
      <c r="L191">
        <v>1702</v>
      </c>
      <c r="M191">
        <v>1301</v>
      </c>
      <c r="N191">
        <v>53076269</v>
      </c>
      <c r="O191">
        <v>45160.636645752318</v>
      </c>
      <c r="P191">
        <v>50.57</v>
      </c>
      <c r="Q191">
        <v>1</v>
      </c>
      <c r="R191">
        <v>50.57</v>
      </c>
      <c r="S191">
        <v>45188.380069016202</v>
      </c>
      <c r="T191">
        <v>5503</v>
      </c>
      <c r="U191" t="s">
        <v>1218</v>
      </c>
      <c r="V191" t="s">
        <v>1157</v>
      </c>
      <c r="W191" t="s">
        <v>1179</v>
      </c>
      <c r="X191" t="s">
        <v>1179</v>
      </c>
      <c r="AD191">
        <v>829964</v>
      </c>
      <c r="AE191" t="s">
        <v>1282</v>
      </c>
      <c r="AF191">
        <v>45188.38006797454</v>
      </c>
      <c r="AI191">
        <v>62</v>
      </c>
      <c r="AJ191">
        <v>62</v>
      </c>
      <c r="AK191" t="s">
        <v>1219</v>
      </c>
      <c r="AN191">
        <v>45170</v>
      </c>
      <c r="AO191">
        <v>45199</v>
      </c>
      <c r="AP191" t="s">
        <v>1101</v>
      </c>
    </row>
    <row r="192" spans="1:42" x14ac:dyDescent="0.25">
      <c r="A192">
        <v>2023</v>
      </c>
      <c r="B192">
        <v>9</v>
      </c>
      <c r="C192">
        <v>17</v>
      </c>
      <c r="D192" t="s">
        <v>1088</v>
      </c>
      <c r="E192" t="s">
        <v>282</v>
      </c>
      <c r="F192">
        <v>615836</v>
      </c>
      <c r="G192">
        <v>10254903</v>
      </c>
      <c r="H192" t="s">
        <v>282</v>
      </c>
      <c r="J192">
        <v>53924515</v>
      </c>
      <c r="K192">
        <v>1100</v>
      </c>
      <c r="L192">
        <v>1700</v>
      </c>
      <c r="M192">
        <v>1304</v>
      </c>
      <c r="N192">
        <v>53076269</v>
      </c>
      <c r="O192">
        <v>45160.636645752318</v>
      </c>
      <c r="P192">
        <v>49.62</v>
      </c>
      <c r="Q192">
        <v>1</v>
      </c>
      <c r="R192">
        <v>49.62</v>
      </c>
      <c r="S192">
        <v>45188.380069016202</v>
      </c>
      <c r="T192">
        <v>5504</v>
      </c>
      <c r="U192" t="s">
        <v>1220</v>
      </c>
      <c r="V192" t="s">
        <v>1221</v>
      </c>
      <c r="W192" t="s">
        <v>2</v>
      </c>
      <c r="X192" t="s">
        <v>1179</v>
      </c>
      <c r="AD192">
        <v>829964</v>
      </c>
      <c r="AE192" t="s">
        <v>1282</v>
      </c>
      <c r="AF192">
        <v>45188.38006797454</v>
      </c>
      <c r="AI192">
        <v>62</v>
      </c>
      <c r="AJ192">
        <v>62</v>
      </c>
      <c r="AN192">
        <v>45170</v>
      </c>
      <c r="AO192">
        <v>45199</v>
      </c>
      <c r="AP192" t="s">
        <v>1101</v>
      </c>
    </row>
    <row r="193" spans="1:42" x14ac:dyDescent="0.25">
      <c r="A193">
        <v>2023</v>
      </c>
      <c r="B193">
        <v>9</v>
      </c>
      <c r="C193">
        <v>17</v>
      </c>
      <c r="D193" t="s">
        <v>1088</v>
      </c>
      <c r="E193" t="s">
        <v>282</v>
      </c>
      <c r="F193">
        <v>615001</v>
      </c>
      <c r="G193">
        <v>10239264</v>
      </c>
      <c r="H193" t="s">
        <v>282</v>
      </c>
      <c r="J193">
        <v>53924525</v>
      </c>
      <c r="K193">
        <v>1103</v>
      </c>
      <c r="L193">
        <v>1702</v>
      </c>
      <c r="M193">
        <v>1301</v>
      </c>
      <c r="N193">
        <v>53011835</v>
      </c>
      <c r="O193">
        <v>45159.63676883102</v>
      </c>
      <c r="P193">
        <v>50.57</v>
      </c>
      <c r="Q193">
        <v>1</v>
      </c>
      <c r="R193">
        <v>50.57</v>
      </c>
      <c r="S193">
        <v>45188.381524537035</v>
      </c>
      <c r="T193">
        <v>5503</v>
      </c>
      <c r="U193" t="s">
        <v>1218</v>
      </c>
      <c r="V193" t="s">
        <v>1157</v>
      </c>
      <c r="W193" t="s">
        <v>1091</v>
      </c>
      <c r="X193" t="s">
        <v>1091</v>
      </c>
      <c r="AD193">
        <v>829965</v>
      </c>
      <c r="AE193" t="s">
        <v>1283</v>
      </c>
      <c r="AF193">
        <v>45188.381523842596</v>
      </c>
      <c r="AI193">
        <v>62</v>
      </c>
      <c r="AJ193">
        <v>62</v>
      </c>
      <c r="AK193" t="s">
        <v>1219</v>
      </c>
      <c r="AN193">
        <v>45170</v>
      </c>
      <c r="AO193">
        <v>45199</v>
      </c>
      <c r="AP193" t="s">
        <v>1101</v>
      </c>
    </row>
    <row r="194" spans="1:42" x14ac:dyDescent="0.25">
      <c r="A194">
        <v>2023</v>
      </c>
      <c r="B194">
        <v>9</v>
      </c>
      <c r="C194">
        <v>17</v>
      </c>
      <c r="D194" t="s">
        <v>1088</v>
      </c>
      <c r="E194" t="s">
        <v>282</v>
      </c>
      <c r="F194">
        <v>615001</v>
      </c>
      <c r="G194">
        <v>10239264</v>
      </c>
      <c r="H194" t="s">
        <v>282</v>
      </c>
      <c r="J194">
        <v>53924526</v>
      </c>
      <c r="K194">
        <v>1100</v>
      </c>
      <c r="L194">
        <v>1700</v>
      </c>
      <c r="M194">
        <v>1304</v>
      </c>
      <c r="N194">
        <v>53011835</v>
      </c>
      <c r="O194">
        <v>45159.63676883102</v>
      </c>
      <c r="P194">
        <v>165.43</v>
      </c>
      <c r="Q194">
        <v>1</v>
      </c>
      <c r="R194">
        <v>165.43</v>
      </c>
      <c r="S194">
        <v>45188.381524537035</v>
      </c>
      <c r="T194">
        <v>5504</v>
      </c>
      <c r="U194" t="s">
        <v>1220</v>
      </c>
      <c r="V194" t="s">
        <v>1221</v>
      </c>
      <c r="W194" t="s">
        <v>2</v>
      </c>
      <c r="X194" t="s">
        <v>1091</v>
      </c>
      <c r="AD194">
        <v>829965</v>
      </c>
      <c r="AE194" t="s">
        <v>1283</v>
      </c>
      <c r="AF194">
        <v>45188.381523842596</v>
      </c>
      <c r="AI194">
        <v>62</v>
      </c>
      <c r="AJ194">
        <v>62</v>
      </c>
      <c r="AN194">
        <v>45170</v>
      </c>
      <c r="AO194">
        <v>45199</v>
      </c>
      <c r="AP194" t="s">
        <v>1101</v>
      </c>
    </row>
    <row r="195" spans="1:42" x14ac:dyDescent="0.25">
      <c r="A195">
        <v>2023</v>
      </c>
      <c r="B195">
        <v>9</v>
      </c>
      <c r="C195">
        <v>17</v>
      </c>
      <c r="D195" t="s">
        <v>1088</v>
      </c>
      <c r="E195" t="s">
        <v>282</v>
      </c>
      <c r="F195">
        <v>613191</v>
      </c>
      <c r="G195">
        <v>10209727</v>
      </c>
      <c r="H195" t="s">
        <v>282</v>
      </c>
      <c r="J195">
        <v>53924527</v>
      </c>
      <c r="K195">
        <v>1100</v>
      </c>
      <c r="L195">
        <v>1700</v>
      </c>
      <c r="M195">
        <v>1304</v>
      </c>
      <c r="N195">
        <v>53293084</v>
      </c>
      <c r="O195">
        <v>45167.458322141203</v>
      </c>
      <c r="P195">
        <v>216</v>
      </c>
      <c r="Q195">
        <v>1</v>
      </c>
      <c r="R195">
        <v>216</v>
      </c>
      <c r="S195">
        <v>45188.381524537035</v>
      </c>
      <c r="T195">
        <v>5504</v>
      </c>
      <c r="U195" t="s">
        <v>1220</v>
      </c>
      <c r="V195" t="s">
        <v>1221</v>
      </c>
      <c r="W195" t="s">
        <v>2</v>
      </c>
      <c r="X195" t="s">
        <v>1091</v>
      </c>
      <c r="AD195">
        <v>829965</v>
      </c>
      <c r="AE195" t="s">
        <v>1283</v>
      </c>
      <c r="AF195">
        <v>45188.381523842596</v>
      </c>
      <c r="AI195">
        <v>62</v>
      </c>
      <c r="AJ195">
        <v>62</v>
      </c>
      <c r="AN195">
        <v>45170</v>
      </c>
      <c r="AO195">
        <v>45199</v>
      </c>
      <c r="AP195" t="s">
        <v>1101</v>
      </c>
    </row>
    <row r="196" spans="1:42" x14ac:dyDescent="0.25">
      <c r="A196">
        <v>2023</v>
      </c>
      <c r="B196">
        <v>9</v>
      </c>
      <c r="C196">
        <v>17</v>
      </c>
      <c r="D196" t="s">
        <v>1088</v>
      </c>
      <c r="E196" t="s">
        <v>282</v>
      </c>
      <c r="F196">
        <v>613191</v>
      </c>
      <c r="G196">
        <v>10209727</v>
      </c>
      <c r="H196" t="s">
        <v>282</v>
      </c>
      <c r="J196">
        <v>53924528</v>
      </c>
      <c r="K196">
        <v>1100</v>
      </c>
      <c r="L196">
        <v>1700</v>
      </c>
      <c r="M196">
        <v>1304</v>
      </c>
      <c r="N196">
        <v>53293085</v>
      </c>
      <c r="O196">
        <v>45167.458425497687</v>
      </c>
      <c r="P196">
        <v>216</v>
      </c>
      <c r="Q196">
        <v>1</v>
      </c>
      <c r="R196">
        <v>216</v>
      </c>
      <c r="S196">
        <v>45188.381524537035</v>
      </c>
      <c r="T196">
        <v>5504</v>
      </c>
      <c r="U196" t="s">
        <v>1220</v>
      </c>
      <c r="V196" t="s">
        <v>1221</v>
      </c>
      <c r="W196" t="s">
        <v>2</v>
      </c>
      <c r="X196" t="s">
        <v>1091</v>
      </c>
      <c r="AD196">
        <v>829965</v>
      </c>
      <c r="AE196" t="s">
        <v>1283</v>
      </c>
      <c r="AF196">
        <v>45188.381523842596</v>
      </c>
      <c r="AI196">
        <v>62</v>
      </c>
      <c r="AJ196">
        <v>62</v>
      </c>
      <c r="AN196">
        <v>45170</v>
      </c>
      <c r="AO196">
        <v>45199</v>
      </c>
      <c r="AP196" t="s">
        <v>1101</v>
      </c>
    </row>
    <row r="197" spans="1:42" x14ac:dyDescent="0.25">
      <c r="A197">
        <v>2023</v>
      </c>
      <c r="B197">
        <v>9</v>
      </c>
      <c r="C197">
        <v>17</v>
      </c>
      <c r="D197" t="s">
        <v>1088</v>
      </c>
      <c r="E197" t="s">
        <v>282</v>
      </c>
      <c r="F197">
        <v>112393</v>
      </c>
      <c r="G197">
        <v>10218281</v>
      </c>
      <c r="H197" t="s">
        <v>282</v>
      </c>
      <c r="J197">
        <v>53924529</v>
      </c>
      <c r="K197">
        <v>1101</v>
      </c>
      <c r="L197">
        <v>1702</v>
      </c>
      <c r="M197">
        <v>1301</v>
      </c>
      <c r="N197">
        <v>53306086</v>
      </c>
      <c r="O197">
        <v>45167.687295636577</v>
      </c>
      <c r="P197">
        <v>165.43</v>
      </c>
      <c r="Q197">
        <v>1</v>
      </c>
      <c r="R197">
        <v>165.43</v>
      </c>
      <c r="S197">
        <v>45188.381524537035</v>
      </c>
      <c r="T197">
        <v>5502</v>
      </c>
      <c r="U197" t="s">
        <v>1217</v>
      </c>
      <c r="V197" t="s">
        <v>1155</v>
      </c>
      <c r="W197" t="s">
        <v>1091</v>
      </c>
      <c r="X197" t="s">
        <v>1091</v>
      </c>
      <c r="AD197">
        <v>829965</v>
      </c>
      <c r="AE197" t="s">
        <v>1283</v>
      </c>
      <c r="AF197">
        <v>45188.381523842596</v>
      </c>
      <c r="AI197">
        <v>62</v>
      </c>
      <c r="AJ197">
        <v>62</v>
      </c>
      <c r="AN197">
        <v>45170</v>
      </c>
      <c r="AO197">
        <v>45199</v>
      </c>
      <c r="AP197" t="s">
        <v>1101</v>
      </c>
    </row>
    <row r="198" spans="1:42" x14ac:dyDescent="0.25">
      <c r="A198">
        <v>2023</v>
      </c>
      <c r="B198">
        <v>9</v>
      </c>
      <c r="C198">
        <v>17</v>
      </c>
      <c r="D198" t="s">
        <v>1088</v>
      </c>
      <c r="E198" t="s">
        <v>282</v>
      </c>
      <c r="F198">
        <v>112393</v>
      </c>
      <c r="G198">
        <v>10218281</v>
      </c>
      <c r="H198" t="s">
        <v>282</v>
      </c>
      <c r="J198">
        <v>53924530</v>
      </c>
      <c r="K198">
        <v>1103</v>
      </c>
      <c r="L198">
        <v>1702</v>
      </c>
      <c r="M198">
        <v>1301</v>
      </c>
      <c r="N198">
        <v>53306086</v>
      </c>
      <c r="O198">
        <v>45167.687295636577</v>
      </c>
      <c r="P198">
        <v>50.57</v>
      </c>
      <c r="Q198">
        <v>1</v>
      </c>
      <c r="R198">
        <v>50.57</v>
      </c>
      <c r="S198">
        <v>45188.381524537035</v>
      </c>
      <c r="T198">
        <v>5503</v>
      </c>
      <c r="U198" t="s">
        <v>1218</v>
      </c>
      <c r="V198" t="s">
        <v>1157</v>
      </c>
      <c r="W198" t="s">
        <v>1091</v>
      </c>
      <c r="X198" t="s">
        <v>1091</v>
      </c>
      <c r="AD198">
        <v>829965</v>
      </c>
      <c r="AE198" t="s">
        <v>1283</v>
      </c>
      <c r="AF198">
        <v>45188.381523842596</v>
      </c>
      <c r="AI198">
        <v>62</v>
      </c>
      <c r="AJ198">
        <v>62</v>
      </c>
      <c r="AK198" t="s">
        <v>1219</v>
      </c>
      <c r="AN198">
        <v>45170</v>
      </c>
      <c r="AO198">
        <v>45199</v>
      </c>
      <c r="AP198" t="s">
        <v>1101</v>
      </c>
    </row>
    <row r="199" spans="1:42" x14ac:dyDescent="0.25">
      <c r="A199">
        <v>2023</v>
      </c>
      <c r="B199">
        <v>9</v>
      </c>
      <c r="C199">
        <v>17</v>
      </c>
      <c r="D199" t="s">
        <v>1088</v>
      </c>
      <c r="E199" t="s">
        <v>282</v>
      </c>
      <c r="F199">
        <v>112393</v>
      </c>
      <c r="G199">
        <v>10218281</v>
      </c>
      <c r="H199" t="s">
        <v>282</v>
      </c>
      <c r="J199">
        <v>53924531</v>
      </c>
      <c r="K199">
        <v>1101</v>
      </c>
      <c r="L199">
        <v>1702</v>
      </c>
      <c r="M199">
        <v>1301</v>
      </c>
      <c r="N199">
        <v>53306089</v>
      </c>
      <c r="O199">
        <v>45167.687299456018</v>
      </c>
      <c r="P199">
        <v>165.43</v>
      </c>
      <c r="Q199">
        <v>1</v>
      </c>
      <c r="R199">
        <v>165.43</v>
      </c>
      <c r="S199">
        <v>45188.381524537035</v>
      </c>
      <c r="T199">
        <v>5502</v>
      </c>
      <c r="U199" t="s">
        <v>1217</v>
      </c>
      <c r="V199" t="s">
        <v>1155</v>
      </c>
      <c r="W199" t="s">
        <v>1091</v>
      </c>
      <c r="X199" t="s">
        <v>1091</v>
      </c>
      <c r="AD199">
        <v>829965</v>
      </c>
      <c r="AE199" t="s">
        <v>1283</v>
      </c>
      <c r="AF199">
        <v>45188.381523842596</v>
      </c>
      <c r="AI199">
        <v>62</v>
      </c>
      <c r="AJ199">
        <v>62</v>
      </c>
      <c r="AN199">
        <v>45170</v>
      </c>
      <c r="AO199">
        <v>45199</v>
      </c>
      <c r="AP199" t="s">
        <v>1101</v>
      </c>
    </row>
    <row r="200" spans="1:42" x14ac:dyDescent="0.25">
      <c r="A200">
        <v>2023</v>
      </c>
      <c r="B200">
        <v>9</v>
      </c>
      <c r="C200">
        <v>17</v>
      </c>
      <c r="D200" t="s">
        <v>1088</v>
      </c>
      <c r="E200" t="s">
        <v>282</v>
      </c>
      <c r="F200">
        <v>112393</v>
      </c>
      <c r="G200">
        <v>10218281</v>
      </c>
      <c r="H200" t="s">
        <v>282</v>
      </c>
      <c r="J200">
        <v>53924532</v>
      </c>
      <c r="K200">
        <v>1103</v>
      </c>
      <c r="L200">
        <v>1702</v>
      </c>
      <c r="M200">
        <v>1301</v>
      </c>
      <c r="N200">
        <v>53306089</v>
      </c>
      <c r="O200">
        <v>45167.687299456018</v>
      </c>
      <c r="P200">
        <v>50.57</v>
      </c>
      <c r="Q200">
        <v>1</v>
      </c>
      <c r="R200">
        <v>50.57</v>
      </c>
      <c r="S200">
        <v>45188.381524537035</v>
      </c>
      <c r="T200">
        <v>5503</v>
      </c>
      <c r="U200" t="s">
        <v>1218</v>
      </c>
      <c r="V200" t="s">
        <v>1157</v>
      </c>
      <c r="W200" t="s">
        <v>1091</v>
      </c>
      <c r="X200" t="s">
        <v>1091</v>
      </c>
      <c r="AD200">
        <v>829965</v>
      </c>
      <c r="AE200" t="s">
        <v>1283</v>
      </c>
      <c r="AF200">
        <v>45188.381523842596</v>
      </c>
      <c r="AI200">
        <v>62</v>
      </c>
      <c r="AJ200">
        <v>62</v>
      </c>
      <c r="AK200" t="s">
        <v>1219</v>
      </c>
      <c r="AN200">
        <v>45170</v>
      </c>
      <c r="AO200">
        <v>45199</v>
      </c>
      <c r="AP200" t="s">
        <v>1101</v>
      </c>
    </row>
    <row r="201" spans="1:42" x14ac:dyDescent="0.25">
      <c r="A201">
        <v>2023</v>
      </c>
      <c r="B201">
        <v>9</v>
      </c>
      <c r="C201">
        <v>17</v>
      </c>
      <c r="D201" t="s">
        <v>1088</v>
      </c>
      <c r="E201" t="s">
        <v>282</v>
      </c>
      <c r="F201">
        <v>622093</v>
      </c>
      <c r="G201">
        <v>10374602</v>
      </c>
      <c r="H201" t="s">
        <v>282</v>
      </c>
      <c r="J201">
        <v>53942202</v>
      </c>
      <c r="K201">
        <v>1100</v>
      </c>
      <c r="L201">
        <v>1700</v>
      </c>
      <c r="M201">
        <v>1304</v>
      </c>
      <c r="P201">
        <v>216</v>
      </c>
      <c r="Q201">
        <v>1</v>
      </c>
      <c r="R201">
        <v>216</v>
      </c>
      <c r="S201">
        <v>45188.59783579861</v>
      </c>
      <c r="T201">
        <v>5500</v>
      </c>
      <c r="U201" t="s">
        <v>1154</v>
      </c>
      <c r="V201" t="s">
        <v>99</v>
      </c>
      <c r="W201" t="s">
        <v>2</v>
      </c>
      <c r="AI201">
        <v>62</v>
      </c>
      <c r="AJ201">
        <v>62</v>
      </c>
      <c r="AN201">
        <v>45170</v>
      </c>
      <c r="AO201">
        <v>45199</v>
      </c>
      <c r="AP201" t="s">
        <v>1101</v>
      </c>
    </row>
    <row r="202" spans="1:42" x14ac:dyDescent="0.25">
      <c r="A202">
        <v>2023</v>
      </c>
      <c r="B202">
        <v>9</v>
      </c>
      <c r="C202">
        <v>17</v>
      </c>
      <c r="D202" t="s">
        <v>1088</v>
      </c>
      <c r="E202" t="s">
        <v>282</v>
      </c>
      <c r="F202">
        <v>622093</v>
      </c>
      <c r="G202">
        <v>10374602</v>
      </c>
      <c r="H202" t="s">
        <v>282</v>
      </c>
      <c r="J202">
        <v>53942206</v>
      </c>
      <c r="K202">
        <v>1100</v>
      </c>
      <c r="L202">
        <v>1700</v>
      </c>
      <c r="M202">
        <v>1304</v>
      </c>
      <c r="P202">
        <v>216</v>
      </c>
      <c r="Q202">
        <v>1</v>
      </c>
      <c r="R202">
        <v>216</v>
      </c>
      <c r="S202">
        <v>45188.597946261572</v>
      </c>
      <c r="T202">
        <v>5500</v>
      </c>
      <c r="U202" t="s">
        <v>1154</v>
      </c>
      <c r="V202" t="s">
        <v>99</v>
      </c>
      <c r="W202" t="s">
        <v>2</v>
      </c>
      <c r="AI202">
        <v>62</v>
      </c>
      <c r="AJ202">
        <v>62</v>
      </c>
      <c r="AN202">
        <v>45170</v>
      </c>
      <c r="AO202">
        <v>45199</v>
      </c>
      <c r="AP202" t="s">
        <v>1101</v>
      </c>
    </row>
    <row r="203" spans="1:42" x14ac:dyDescent="0.25">
      <c r="A203">
        <v>2023</v>
      </c>
      <c r="B203">
        <v>9</v>
      </c>
      <c r="C203">
        <v>17</v>
      </c>
      <c r="D203" t="s">
        <v>1088</v>
      </c>
      <c r="E203" t="s">
        <v>282</v>
      </c>
      <c r="F203">
        <v>622093</v>
      </c>
      <c r="G203">
        <v>10374602</v>
      </c>
      <c r="H203" t="s">
        <v>282</v>
      </c>
      <c r="J203">
        <v>53942210</v>
      </c>
      <c r="K203">
        <v>1100</v>
      </c>
      <c r="L203">
        <v>1700</v>
      </c>
      <c r="M203">
        <v>1304</v>
      </c>
      <c r="P203">
        <v>18</v>
      </c>
      <c r="Q203">
        <v>1</v>
      </c>
      <c r="R203">
        <v>18</v>
      </c>
      <c r="S203">
        <v>45188.598006018517</v>
      </c>
      <c r="T203">
        <v>5500</v>
      </c>
      <c r="U203" t="s">
        <v>1154</v>
      </c>
      <c r="V203" t="s">
        <v>99</v>
      </c>
      <c r="W203" t="s">
        <v>2</v>
      </c>
      <c r="AI203">
        <v>62</v>
      </c>
      <c r="AJ203">
        <v>62</v>
      </c>
      <c r="AN203">
        <v>45170</v>
      </c>
      <c r="AO203">
        <v>45199</v>
      </c>
      <c r="AP203" t="s">
        <v>1101</v>
      </c>
    </row>
    <row r="204" spans="1:42" x14ac:dyDescent="0.25">
      <c r="A204">
        <v>2023</v>
      </c>
      <c r="B204">
        <v>9</v>
      </c>
      <c r="C204">
        <v>17</v>
      </c>
      <c r="D204" t="s">
        <v>1088</v>
      </c>
      <c r="E204" t="s">
        <v>282</v>
      </c>
      <c r="F204">
        <v>619493</v>
      </c>
      <c r="G204">
        <v>10324633</v>
      </c>
      <c r="H204" t="s">
        <v>282</v>
      </c>
      <c r="J204">
        <v>53962064</v>
      </c>
      <c r="K204">
        <v>1101</v>
      </c>
      <c r="L204">
        <v>1702</v>
      </c>
      <c r="M204">
        <v>1301</v>
      </c>
      <c r="N204">
        <v>53666185</v>
      </c>
      <c r="O204">
        <v>45180.468449803244</v>
      </c>
      <c r="P204">
        <v>148.88999999999999</v>
      </c>
      <c r="Q204">
        <v>1</v>
      </c>
      <c r="R204">
        <v>148.88999999999999</v>
      </c>
      <c r="S204">
        <v>45189.375797835652</v>
      </c>
      <c r="T204">
        <v>5502</v>
      </c>
      <c r="U204" t="s">
        <v>1217</v>
      </c>
      <c r="V204" t="s">
        <v>1155</v>
      </c>
      <c r="W204" t="s">
        <v>1091</v>
      </c>
      <c r="X204" t="s">
        <v>1091</v>
      </c>
      <c r="AD204">
        <v>830518</v>
      </c>
      <c r="AE204" t="s">
        <v>1284</v>
      </c>
      <c r="AF204">
        <v>45189.375797488428</v>
      </c>
      <c r="AI204">
        <v>62</v>
      </c>
      <c r="AJ204">
        <v>62</v>
      </c>
      <c r="AN204">
        <v>45170</v>
      </c>
      <c r="AO204">
        <v>45199</v>
      </c>
      <c r="AP204" t="s">
        <v>1101</v>
      </c>
    </row>
    <row r="205" spans="1:42" x14ac:dyDescent="0.25">
      <c r="A205">
        <v>2023</v>
      </c>
      <c r="B205">
        <v>9</v>
      </c>
      <c r="C205">
        <v>17</v>
      </c>
      <c r="D205" t="s">
        <v>1088</v>
      </c>
      <c r="E205" t="s">
        <v>282</v>
      </c>
      <c r="F205">
        <v>619493</v>
      </c>
      <c r="G205">
        <v>10324633</v>
      </c>
      <c r="H205" t="s">
        <v>282</v>
      </c>
      <c r="J205">
        <v>53962065</v>
      </c>
      <c r="K205">
        <v>1103</v>
      </c>
      <c r="L205">
        <v>1702</v>
      </c>
      <c r="M205">
        <v>1301</v>
      </c>
      <c r="N205">
        <v>53666185</v>
      </c>
      <c r="O205">
        <v>45180.468449803244</v>
      </c>
      <c r="P205">
        <v>50.57</v>
      </c>
      <c r="Q205">
        <v>1</v>
      </c>
      <c r="R205">
        <v>50.57</v>
      </c>
      <c r="S205">
        <v>45189.375797835652</v>
      </c>
      <c r="T205">
        <v>5503</v>
      </c>
      <c r="U205" t="s">
        <v>1218</v>
      </c>
      <c r="V205" t="s">
        <v>1157</v>
      </c>
      <c r="W205" t="s">
        <v>1091</v>
      </c>
      <c r="X205" t="s">
        <v>1091</v>
      </c>
      <c r="AD205">
        <v>830518</v>
      </c>
      <c r="AE205" t="s">
        <v>1284</v>
      </c>
      <c r="AF205">
        <v>45189.375797488428</v>
      </c>
      <c r="AI205">
        <v>62</v>
      </c>
      <c r="AJ205">
        <v>62</v>
      </c>
      <c r="AK205" t="s">
        <v>1219</v>
      </c>
      <c r="AN205">
        <v>45170</v>
      </c>
      <c r="AO205">
        <v>45199</v>
      </c>
      <c r="AP205" t="s">
        <v>1101</v>
      </c>
    </row>
    <row r="206" spans="1:42" x14ac:dyDescent="0.25">
      <c r="A206">
        <v>2023</v>
      </c>
      <c r="B206">
        <v>9</v>
      </c>
      <c r="C206">
        <v>17</v>
      </c>
      <c r="D206" t="s">
        <v>1088</v>
      </c>
      <c r="E206" t="s">
        <v>282</v>
      </c>
      <c r="F206">
        <v>619493</v>
      </c>
      <c r="G206">
        <v>10324633</v>
      </c>
      <c r="H206" t="s">
        <v>282</v>
      </c>
      <c r="J206">
        <v>53962066</v>
      </c>
      <c r="K206">
        <v>1100</v>
      </c>
      <c r="L206">
        <v>1700</v>
      </c>
      <c r="M206">
        <v>1304</v>
      </c>
      <c r="N206">
        <v>53666185</v>
      </c>
      <c r="O206">
        <v>45180.468449803244</v>
      </c>
      <c r="P206">
        <v>16.54</v>
      </c>
      <c r="Q206">
        <v>1</v>
      </c>
      <c r="R206">
        <v>16.54</v>
      </c>
      <c r="S206">
        <v>45189.375797835652</v>
      </c>
      <c r="T206">
        <v>5504</v>
      </c>
      <c r="U206" t="s">
        <v>1220</v>
      </c>
      <c r="V206" t="s">
        <v>1221</v>
      </c>
      <c r="W206" t="s">
        <v>2</v>
      </c>
      <c r="X206" t="s">
        <v>1091</v>
      </c>
      <c r="AD206">
        <v>830518</v>
      </c>
      <c r="AE206" t="s">
        <v>1284</v>
      </c>
      <c r="AF206">
        <v>45189.375797488428</v>
      </c>
      <c r="AI206">
        <v>62</v>
      </c>
      <c r="AJ206">
        <v>62</v>
      </c>
      <c r="AN206">
        <v>45170</v>
      </c>
      <c r="AO206">
        <v>45199</v>
      </c>
      <c r="AP206" t="s">
        <v>1101</v>
      </c>
    </row>
    <row r="207" spans="1:42" x14ac:dyDescent="0.25">
      <c r="A207">
        <v>2023</v>
      </c>
      <c r="B207">
        <v>9</v>
      </c>
      <c r="C207">
        <v>17</v>
      </c>
      <c r="D207" t="s">
        <v>1088</v>
      </c>
      <c r="E207" t="s">
        <v>282</v>
      </c>
      <c r="F207">
        <v>619493</v>
      </c>
      <c r="G207">
        <v>10324633</v>
      </c>
      <c r="H207" t="s">
        <v>282</v>
      </c>
      <c r="J207">
        <v>53962067</v>
      </c>
      <c r="K207">
        <v>1101</v>
      </c>
      <c r="L207">
        <v>1702</v>
      </c>
      <c r="M207">
        <v>1301</v>
      </c>
      <c r="N207">
        <v>53666186</v>
      </c>
      <c r="O207">
        <v>45180.468547766206</v>
      </c>
      <c r="P207">
        <v>148.88999999999999</v>
      </c>
      <c r="Q207">
        <v>1</v>
      </c>
      <c r="R207">
        <v>148.88999999999999</v>
      </c>
      <c r="S207">
        <v>45189.375797835652</v>
      </c>
      <c r="T207">
        <v>5502</v>
      </c>
      <c r="U207" t="s">
        <v>1217</v>
      </c>
      <c r="V207" t="s">
        <v>1155</v>
      </c>
      <c r="W207" t="s">
        <v>1091</v>
      </c>
      <c r="X207" t="s">
        <v>1091</v>
      </c>
      <c r="AD207">
        <v>830518</v>
      </c>
      <c r="AE207" t="s">
        <v>1284</v>
      </c>
      <c r="AF207">
        <v>45189.375797488428</v>
      </c>
      <c r="AI207">
        <v>62</v>
      </c>
      <c r="AJ207">
        <v>62</v>
      </c>
      <c r="AN207">
        <v>45170</v>
      </c>
      <c r="AO207">
        <v>45199</v>
      </c>
      <c r="AP207" t="s">
        <v>1101</v>
      </c>
    </row>
    <row r="208" spans="1:42" x14ac:dyDescent="0.25">
      <c r="A208">
        <v>2023</v>
      </c>
      <c r="B208">
        <v>9</v>
      </c>
      <c r="C208">
        <v>17</v>
      </c>
      <c r="D208" t="s">
        <v>1088</v>
      </c>
      <c r="E208" t="s">
        <v>282</v>
      </c>
      <c r="F208">
        <v>619493</v>
      </c>
      <c r="G208">
        <v>10324633</v>
      </c>
      <c r="H208" t="s">
        <v>282</v>
      </c>
      <c r="J208">
        <v>53962068</v>
      </c>
      <c r="K208">
        <v>1103</v>
      </c>
      <c r="L208">
        <v>1702</v>
      </c>
      <c r="M208">
        <v>1301</v>
      </c>
      <c r="N208">
        <v>53666186</v>
      </c>
      <c r="O208">
        <v>45180.468547766206</v>
      </c>
      <c r="P208">
        <v>50.57</v>
      </c>
      <c r="Q208">
        <v>1</v>
      </c>
      <c r="R208">
        <v>50.57</v>
      </c>
      <c r="S208">
        <v>45189.375797835652</v>
      </c>
      <c r="T208">
        <v>5503</v>
      </c>
      <c r="U208" t="s">
        <v>1218</v>
      </c>
      <c r="V208" t="s">
        <v>1157</v>
      </c>
      <c r="W208" t="s">
        <v>1091</v>
      </c>
      <c r="X208" t="s">
        <v>1091</v>
      </c>
      <c r="AD208">
        <v>830518</v>
      </c>
      <c r="AE208" t="s">
        <v>1284</v>
      </c>
      <c r="AF208">
        <v>45189.375797488428</v>
      </c>
      <c r="AI208">
        <v>62</v>
      </c>
      <c r="AJ208">
        <v>62</v>
      </c>
      <c r="AK208" t="s">
        <v>1219</v>
      </c>
      <c r="AN208">
        <v>45170</v>
      </c>
      <c r="AO208">
        <v>45199</v>
      </c>
      <c r="AP208" t="s">
        <v>1101</v>
      </c>
    </row>
    <row r="209" spans="1:42" x14ac:dyDescent="0.25">
      <c r="A209">
        <v>2023</v>
      </c>
      <c r="B209">
        <v>9</v>
      </c>
      <c r="C209">
        <v>17</v>
      </c>
      <c r="D209" t="s">
        <v>1088</v>
      </c>
      <c r="E209" t="s">
        <v>282</v>
      </c>
      <c r="F209">
        <v>619493</v>
      </c>
      <c r="G209">
        <v>10324633</v>
      </c>
      <c r="H209" t="s">
        <v>282</v>
      </c>
      <c r="J209">
        <v>53962069</v>
      </c>
      <c r="K209">
        <v>1100</v>
      </c>
      <c r="L209">
        <v>1700</v>
      </c>
      <c r="M209">
        <v>1304</v>
      </c>
      <c r="N209">
        <v>53666186</v>
      </c>
      <c r="O209">
        <v>45180.468547766206</v>
      </c>
      <c r="P209">
        <v>16.54</v>
      </c>
      <c r="Q209">
        <v>1</v>
      </c>
      <c r="R209">
        <v>16.54</v>
      </c>
      <c r="S209">
        <v>45189.375797835652</v>
      </c>
      <c r="T209">
        <v>5504</v>
      </c>
      <c r="U209" t="s">
        <v>1220</v>
      </c>
      <c r="V209" t="s">
        <v>1221</v>
      </c>
      <c r="W209" t="s">
        <v>2</v>
      </c>
      <c r="X209" t="s">
        <v>1091</v>
      </c>
      <c r="AD209">
        <v>830518</v>
      </c>
      <c r="AE209" t="s">
        <v>1284</v>
      </c>
      <c r="AF209">
        <v>45189.375797488428</v>
      </c>
      <c r="AI209">
        <v>62</v>
      </c>
      <c r="AJ209">
        <v>62</v>
      </c>
      <c r="AN209">
        <v>45170</v>
      </c>
      <c r="AO209">
        <v>45199</v>
      </c>
      <c r="AP209" t="s">
        <v>1101</v>
      </c>
    </row>
    <row r="210" spans="1:42" x14ac:dyDescent="0.25">
      <c r="A210">
        <v>2023</v>
      </c>
      <c r="B210">
        <v>9</v>
      </c>
      <c r="C210">
        <v>17</v>
      </c>
      <c r="D210" t="s">
        <v>1088</v>
      </c>
      <c r="E210" t="s">
        <v>282</v>
      </c>
      <c r="F210">
        <v>618272</v>
      </c>
      <c r="G210">
        <v>10301540</v>
      </c>
      <c r="H210" t="s">
        <v>282</v>
      </c>
      <c r="J210">
        <v>53962092</v>
      </c>
      <c r="K210">
        <v>1101</v>
      </c>
      <c r="L210">
        <v>1702</v>
      </c>
      <c r="M210">
        <v>1301</v>
      </c>
      <c r="N210">
        <v>53432756</v>
      </c>
      <c r="O210">
        <v>45170.518326469908</v>
      </c>
      <c r="P210">
        <v>115.81</v>
      </c>
      <c r="Q210">
        <v>1</v>
      </c>
      <c r="R210">
        <v>115.81</v>
      </c>
      <c r="S210">
        <v>45189.376567858795</v>
      </c>
      <c r="T210">
        <v>5502</v>
      </c>
      <c r="U210" t="s">
        <v>1217</v>
      </c>
      <c r="V210" t="s">
        <v>1155</v>
      </c>
      <c r="W210" t="s">
        <v>1179</v>
      </c>
      <c r="X210" t="s">
        <v>1179</v>
      </c>
      <c r="AD210">
        <v>830520</v>
      </c>
      <c r="AE210" t="s">
        <v>1285</v>
      </c>
      <c r="AF210">
        <v>45189.376567673607</v>
      </c>
      <c r="AI210">
        <v>62</v>
      </c>
      <c r="AJ210">
        <v>62</v>
      </c>
      <c r="AN210">
        <v>45170</v>
      </c>
      <c r="AO210">
        <v>45199</v>
      </c>
      <c r="AP210" t="s">
        <v>1101</v>
      </c>
    </row>
    <row r="211" spans="1:42" x14ac:dyDescent="0.25">
      <c r="A211">
        <v>2023</v>
      </c>
      <c r="B211">
        <v>9</v>
      </c>
      <c r="C211">
        <v>17</v>
      </c>
      <c r="D211" t="s">
        <v>1088</v>
      </c>
      <c r="E211" t="s">
        <v>282</v>
      </c>
      <c r="F211">
        <v>618272</v>
      </c>
      <c r="G211">
        <v>10301540</v>
      </c>
      <c r="H211" t="s">
        <v>282</v>
      </c>
      <c r="J211">
        <v>53962093</v>
      </c>
      <c r="K211">
        <v>1103</v>
      </c>
      <c r="L211">
        <v>1702</v>
      </c>
      <c r="M211">
        <v>1301</v>
      </c>
      <c r="N211">
        <v>53432756</v>
      </c>
      <c r="O211">
        <v>45170.518326469908</v>
      </c>
      <c r="P211">
        <v>50.57</v>
      </c>
      <c r="Q211">
        <v>1</v>
      </c>
      <c r="R211">
        <v>50.57</v>
      </c>
      <c r="S211">
        <v>45189.376567858795</v>
      </c>
      <c r="T211">
        <v>5503</v>
      </c>
      <c r="U211" t="s">
        <v>1218</v>
      </c>
      <c r="V211" t="s">
        <v>1157</v>
      </c>
      <c r="W211" t="s">
        <v>1179</v>
      </c>
      <c r="X211" t="s">
        <v>1179</v>
      </c>
      <c r="AD211">
        <v>830520</v>
      </c>
      <c r="AE211" t="s">
        <v>1285</v>
      </c>
      <c r="AF211">
        <v>45189.376567673607</v>
      </c>
      <c r="AI211">
        <v>62</v>
      </c>
      <c r="AJ211">
        <v>62</v>
      </c>
      <c r="AK211" t="s">
        <v>1219</v>
      </c>
      <c r="AN211">
        <v>45170</v>
      </c>
      <c r="AO211">
        <v>45199</v>
      </c>
      <c r="AP211" t="s">
        <v>1101</v>
      </c>
    </row>
    <row r="212" spans="1:42" x14ac:dyDescent="0.25">
      <c r="A212">
        <v>2023</v>
      </c>
      <c r="B212">
        <v>9</v>
      </c>
      <c r="C212">
        <v>17</v>
      </c>
      <c r="D212" t="s">
        <v>1088</v>
      </c>
      <c r="E212" t="s">
        <v>282</v>
      </c>
      <c r="F212">
        <v>618272</v>
      </c>
      <c r="G212">
        <v>10301540</v>
      </c>
      <c r="H212" t="s">
        <v>282</v>
      </c>
      <c r="J212">
        <v>53962094</v>
      </c>
      <c r="K212">
        <v>1100</v>
      </c>
      <c r="L212">
        <v>1700</v>
      </c>
      <c r="M212">
        <v>1304</v>
      </c>
      <c r="N212">
        <v>53432756</v>
      </c>
      <c r="O212">
        <v>45170.518326469908</v>
      </c>
      <c r="P212">
        <v>49.62</v>
      </c>
      <c r="Q212">
        <v>1</v>
      </c>
      <c r="R212">
        <v>49.62</v>
      </c>
      <c r="S212">
        <v>45189.376567858795</v>
      </c>
      <c r="T212">
        <v>5504</v>
      </c>
      <c r="U212" t="s">
        <v>1220</v>
      </c>
      <c r="V212" t="s">
        <v>1221</v>
      </c>
      <c r="W212" t="s">
        <v>2</v>
      </c>
      <c r="X212" t="s">
        <v>1179</v>
      </c>
      <c r="AD212">
        <v>830520</v>
      </c>
      <c r="AE212" t="s">
        <v>1285</v>
      </c>
      <c r="AF212">
        <v>45189.376567673607</v>
      </c>
      <c r="AI212">
        <v>62</v>
      </c>
      <c r="AJ212">
        <v>62</v>
      </c>
      <c r="AN212">
        <v>45170</v>
      </c>
      <c r="AO212">
        <v>45199</v>
      </c>
      <c r="AP212" t="s">
        <v>1101</v>
      </c>
    </row>
    <row r="213" spans="1:42" x14ac:dyDescent="0.25">
      <c r="A213">
        <v>2023</v>
      </c>
      <c r="B213">
        <v>9</v>
      </c>
      <c r="C213">
        <v>17</v>
      </c>
      <c r="D213" t="s">
        <v>1088</v>
      </c>
      <c r="E213" t="s">
        <v>282</v>
      </c>
      <c r="F213">
        <v>618272</v>
      </c>
      <c r="G213">
        <v>10301540</v>
      </c>
      <c r="H213" t="s">
        <v>282</v>
      </c>
      <c r="J213">
        <v>53962095</v>
      </c>
      <c r="K213">
        <v>1101</v>
      </c>
      <c r="L213">
        <v>1702</v>
      </c>
      <c r="M213">
        <v>1301</v>
      </c>
      <c r="N213">
        <v>53432766</v>
      </c>
      <c r="O213">
        <v>45170.518438043982</v>
      </c>
      <c r="P213">
        <v>115.81</v>
      </c>
      <c r="Q213">
        <v>1</v>
      </c>
      <c r="R213">
        <v>115.81</v>
      </c>
      <c r="S213">
        <v>45189.376567858795</v>
      </c>
      <c r="T213">
        <v>5502</v>
      </c>
      <c r="U213" t="s">
        <v>1217</v>
      </c>
      <c r="V213" t="s">
        <v>1155</v>
      </c>
      <c r="W213" t="s">
        <v>1179</v>
      </c>
      <c r="X213" t="s">
        <v>1179</v>
      </c>
      <c r="AD213">
        <v>830520</v>
      </c>
      <c r="AE213" t="s">
        <v>1285</v>
      </c>
      <c r="AF213">
        <v>45189.376567673607</v>
      </c>
      <c r="AI213">
        <v>62</v>
      </c>
      <c r="AJ213">
        <v>62</v>
      </c>
      <c r="AN213">
        <v>45170</v>
      </c>
      <c r="AO213">
        <v>45199</v>
      </c>
      <c r="AP213" t="s">
        <v>1101</v>
      </c>
    </row>
    <row r="214" spans="1:42" x14ac:dyDescent="0.25">
      <c r="A214">
        <v>2023</v>
      </c>
      <c r="B214">
        <v>9</v>
      </c>
      <c r="C214">
        <v>17</v>
      </c>
      <c r="D214" t="s">
        <v>1088</v>
      </c>
      <c r="E214" t="s">
        <v>282</v>
      </c>
      <c r="F214">
        <v>618272</v>
      </c>
      <c r="G214">
        <v>10301540</v>
      </c>
      <c r="H214" t="s">
        <v>282</v>
      </c>
      <c r="J214">
        <v>53962096</v>
      </c>
      <c r="K214">
        <v>1103</v>
      </c>
      <c r="L214">
        <v>1702</v>
      </c>
      <c r="M214">
        <v>1301</v>
      </c>
      <c r="N214">
        <v>53432766</v>
      </c>
      <c r="O214">
        <v>45170.518438043982</v>
      </c>
      <c r="P214">
        <v>50.57</v>
      </c>
      <c r="Q214">
        <v>1</v>
      </c>
      <c r="R214">
        <v>50.57</v>
      </c>
      <c r="S214">
        <v>45189.376567858795</v>
      </c>
      <c r="T214">
        <v>5503</v>
      </c>
      <c r="U214" t="s">
        <v>1218</v>
      </c>
      <c r="V214" t="s">
        <v>1157</v>
      </c>
      <c r="W214" t="s">
        <v>1179</v>
      </c>
      <c r="X214" t="s">
        <v>1179</v>
      </c>
      <c r="AD214">
        <v>830520</v>
      </c>
      <c r="AE214" t="s">
        <v>1285</v>
      </c>
      <c r="AF214">
        <v>45189.376567673607</v>
      </c>
      <c r="AI214">
        <v>62</v>
      </c>
      <c r="AJ214">
        <v>62</v>
      </c>
      <c r="AK214" t="s">
        <v>1219</v>
      </c>
      <c r="AN214">
        <v>45170</v>
      </c>
      <c r="AO214">
        <v>45199</v>
      </c>
      <c r="AP214" t="s">
        <v>1101</v>
      </c>
    </row>
    <row r="215" spans="1:42" x14ac:dyDescent="0.25">
      <c r="A215">
        <v>2023</v>
      </c>
      <c r="B215">
        <v>9</v>
      </c>
      <c r="C215">
        <v>17</v>
      </c>
      <c r="D215" t="s">
        <v>1088</v>
      </c>
      <c r="E215" t="s">
        <v>282</v>
      </c>
      <c r="F215">
        <v>618272</v>
      </c>
      <c r="G215">
        <v>10301540</v>
      </c>
      <c r="H215" t="s">
        <v>282</v>
      </c>
      <c r="J215">
        <v>53962097</v>
      </c>
      <c r="K215">
        <v>1100</v>
      </c>
      <c r="L215">
        <v>1700</v>
      </c>
      <c r="M215">
        <v>1304</v>
      </c>
      <c r="N215">
        <v>53432766</v>
      </c>
      <c r="O215">
        <v>45170.518438043982</v>
      </c>
      <c r="P215">
        <v>49.62</v>
      </c>
      <c r="Q215">
        <v>1</v>
      </c>
      <c r="R215">
        <v>49.62</v>
      </c>
      <c r="S215">
        <v>45189.376567858795</v>
      </c>
      <c r="T215">
        <v>5504</v>
      </c>
      <c r="U215" t="s">
        <v>1220</v>
      </c>
      <c r="V215" t="s">
        <v>1221</v>
      </c>
      <c r="W215" t="s">
        <v>2</v>
      </c>
      <c r="X215" t="s">
        <v>1179</v>
      </c>
      <c r="AD215">
        <v>830520</v>
      </c>
      <c r="AE215" t="s">
        <v>1285</v>
      </c>
      <c r="AF215">
        <v>45189.376567673607</v>
      </c>
      <c r="AI215">
        <v>62</v>
      </c>
      <c r="AJ215">
        <v>62</v>
      </c>
      <c r="AN215">
        <v>45170</v>
      </c>
      <c r="AO215">
        <v>45199</v>
      </c>
      <c r="AP215" t="s">
        <v>1101</v>
      </c>
    </row>
    <row r="216" spans="1:42" x14ac:dyDescent="0.25">
      <c r="A216">
        <v>2023</v>
      </c>
      <c r="B216">
        <v>9</v>
      </c>
      <c r="C216">
        <v>17</v>
      </c>
      <c r="D216" t="s">
        <v>1088</v>
      </c>
      <c r="E216" t="s">
        <v>282</v>
      </c>
      <c r="F216">
        <v>613191</v>
      </c>
      <c r="G216">
        <v>10209727</v>
      </c>
      <c r="H216" t="s">
        <v>282</v>
      </c>
      <c r="J216">
        <v>53962144</v>
      </c>
      <c r="K216">
        <v>1101</v>
      </c>
      <c r="L216">
        <v>1702</v>
      </c>
      <c r="M216">
        <v>1301</v>
      </c>
      <c r="N216">
        <v>53293084</v>
      </c>
      <c r="O216">
        <v>45167.458322141203</v>
      </c>
      <c r="P216">
        <v>165.43</v>
      </c>
      <c r="Q216">
        <v>1</v>
      </c>
      <c r="R216">
        <v>165.43</v>
      </c>
      <c r="S216">
        <v>45189.378017592593</v>
      </c>
      <c r="T216">
        <v>5502</v>
      </c>
      <c r="U216" t="s">
        <v>1217</v>
      </c>
      <c r="V216" t="s">
        <v>1155</v>
      </c>
      <c r="W216" t="s">
        <v>1091</v>
      </c>
      <c r="X216" t="s">
        <v>1091</v>
      </c>
      <c r="AD216">
        <v>830521</v>
      </c>
      <c r="AE216" t="s">
        <v>1279</v>
      </c>
      <c r="AF216">
        <v>45189.378017361109</v>
      </c>
      <c r="AI216">
        <v>62</v>
      </c>
      <c r="AJ216">
        <v>62</v>
      </c>
      <c r="AN216">
        <v>45170</v>
      </c>
      <c r="AO216">
        <v>45199</v>
      </c>
      <c r="AP216" t="s">
        <v>1101</v>
      </c>
    </row>
    <row r="217" spans="1:42" x14ac:dyDescent="0.25">
      <c r="A217">
        <v>2023</v>
      </c>
      <c r="B217">
        <v>9</v>
      </c>
      <c r="C217">
        <v>17</v>
      </c>
      <c r="D217" t="s">
        <v>1088</v>
      </c>
      <c r="E217" t="s">
        <v>282</v>
      </c>
      <c r="F217">
        <v>613191</v>
      </c>
      <c r="G217">
        <v>10209727</v>
      </c>
      <c r="H217" t="s">
        <v>282</v>
      </c>
      <c r="J217">
        <v>53962145</v>
      </c>
      <c r="K217">
        <v>1103</v>
      </c>
      <c r="L217">
        <v>1702</v>
      </c>
      <c r="M217">
        <v>1301</v>
      </c>
      <c r="N217">
        <v>53293084</v>
      </c>
      <c r="O217">
        <v>45167.458322141203</v>
      </c>
      <c r="P217">
        <v>50.57</v>
      </c>
      <c r="Q217">
        <v>1</v>
      </c>
      <c r="R217">
        <v>50.57</v>
      </c>
      <c r="S217">
        <v>45189.378017592593</v>
      </c>
      <c r="T217">
        <v>5503</v>
      </c>
      <c r="U217" t="s">
        <v>1218</v>
      </c>
      <c r="V217" t="s">
        <v>1157</v>
      </c>
      <c r="W217" t="s">
        <v>1091</v>
      </c>
      <c r="X217" t="s">
        <v>1091</v>
      </c>
      <c r="AD217">
        <v>830521</v>
      </c>
      <c r="AE217" t="s">
        <v>1279</v>
      </c>
      <c r="AF217">
        <v>45189.378017361109</v>
      </c>
      <c r="AI217">
        <v>62</v>
      </c>
      <c r="AJ217">
        <v>62</v>
      </c>
      <c r="AK217" t="s">
        <v>1219</v>
      </c>
      <c r="AN217">
        <v>45170</v>
      </c>
      <c r="AO217">
        <v>45199</v>
      </c>
      <c r="AP217" t="s">
        <v>1101</v>
      </c>
    </row>
    <row r="218" spans="1:42" x14ac:dyDescent="0.25">
      <c r="A218">
        <v>2023</v>
      </c>
      <c r="B218">
        <v>9</v>
      </c>
      <c r="C218">
        <v>17</v>
      </c>
      <c r="D218" t="s">
        <v>1088</v>
      </c>
      <c r="E218" t="s">
        <v>282</v>
      </c>
      <c r="F218">
        <v>613191</v>
      </c>
      <c r="G218">
        <v>10209727</v>
      </c>
      <c r="H218" t="s">
        <v>282</v>
      </c>
      <c r="J218">
        <v>53962146</v>
      </c>
      <c r="K218">
        <v>1100</v>
      </c>
      <c r="L218">
        <v>1700</v>
      </c>
      <c r="M218">
        <v>1304</v>
      </c>
      <c r="N218">
        <v>53293084</v>
      </c>
      <c r="O218">
        <v>45167.458322141203</v>
      </c>
      <c r="P218">
        <v>-216</v>
      </c>
      <c r="Q218">
        <v>1</v>
      </c>
      <c r="R218">
        <v>-216</v>
      </c>
      <c r="S218">
        <v>45189.378017592593</v>
      </c>
      <c r="T218">
        <v>5508</v>
      </c>
      <c r="U218" t="s">
        <v>1239</v>
      </c>
      <c r="V218" t="s">
        <v>1221</v>
      </c>
      <c r="W218" t="s">
        <v>2</v>
      </c>
      <c r="X218" t="s">
        <v>1091</v>
      </c>
      <c r="AD218">
        <v>830521</v>
      </c>
      <c r="AE218" t="s">
        <v>1279</v>
      </c>
      <c r="AF218">
        <v>45189.378017361109</v>
      </c>
      <c r="AI218">
        <v>62</v>
      </c>
      <c r="AJ218">
        <v>62</v>
      </c>
      <c r="AN218">
        <v>45170</v>
      </c>
      <c r="AO218">
        <v>45199</v>
      </c>
      <c r="AP218" t="s">
        <v>1101</v>
      </c>
    </row>
    <row r="219" spans="1:42" x14ac:dyDescent="0.25">
      <c r="A219">
        <v>2023</v>
      </c>
      <c r="B219">
        <v>9</v>
      </c>
      <c r="C219">
        <v>17</v>
      </c>
      <c r="D219" t="s">
        <v>1088</v>
      </c>
      <c r="E219" t="s">
        <v>282</v>
      </c>
      <c r="F219">
        <v>613191</v>
      </c>
      <c r="G219">
        <v>10209727</v>
      </c>
      <c r="H219" t="s">
        <v>282</v>
      </c>
      <c r="J219">
        <v>53962147</v>
      </c>
      <c r="K219">
        <v>1101</v>
      </c>
      <c r="L219">
        <v>1702</v>
      </c>
      <c r="M219">
        <v>1301</v>
      </c>
      <c r="N219">
        <v>53293085</v>
      </c>
      <c r="O219">
        <v>45167.458425497687</v>
      </c>
      <c r="P219">
        <v>165.43</v>
      </c>
      <c r="Q219">
        <v>1</v>
      </c>
      <c r="R219">
        <v>165.43</v>
      </c>
      <c r="S219">
        <v>45189.378017592593</v>
      </c>
      <c r="T219">
        <v>5502</v>
      </c>
      <c r="U219" t="s">
        <v>1217</v>
      </c>
      <c r="V219" t="s">
        <v>1155</v>
      </c>
      <c r="W219" t="s">
        <v>1091</v>
      </c>
      <c r="X219" t="s">
        <v>1091</v>
      </c>
      <c r="AD219">
        <v>830521</v>
      </c>
      <c r="AE219" t="s">
        <v>1279</v>
      </c>
      <c r="AF219">
        <v>45189.378017361109</v>
      </c>
      <c r="AI219">
        <v>62</v>
      </c>
      <c r="AJ219">
        <v>62</v>
      </c>
      <c r="AN219">
        <v>45170</v>
      </c>
      <c r="AO219">
        <v>45199</v>
      </c>
      <c r="AP219" t="s">
        <v>1101</v>
      </c>
    </row>
    <row r="220" spans="1:42" x14ac:dyDescent="0.25">
      <c r="A220">
        <v>2023</v>
      </c>
      <c r="B220">
        <v>9</v>
      </c>
      <c r="C220">
        <v>17</v>
      </c>
      <c r="D220" t="s">
        <v>1088</v>
      </c>
      <c r="E220" t="s">
        <v>282</v>
      </c>
      <c r="F220">
        <v>613191</v>
      </c>
      <c r="G220">
        <v>10209727</v>
      </c>
      <c r="H220" t="s">
        <v>282</v>
      </c>
      <c r="J220">
        <v>53962148</v>
      </c>
      <c r="K220">
        <v>1103</v>
      </c>
      <c r="L220">
        <v>1702</v>
      </c>
      <c r="M220">
        <v>1301</v>
      </c>
      <c r="N220">
        <v>53293085</v>
      </c>
      <c r="O220">
        <v>45167.458425497687</v>
      </c>
      <c r="P220">
        <v>50.57</v>
      </c>
      <c r="Q220">
        <v>1</v>
      </c>
      <c r="R220">
        <v>50.57</v>
      </c>
      <c r="S220">
        <v>45189.378017592593</v>
      </c>
      <c r="T220">
        <v>5503</v>
      </c>
      <c r="U220" t="s">
        <v>1218</v>
      </c>
      <c r="V220" t="s">
        <v>1157</v>
      </c>
      <c r="W220" t="s">
        <v>1091</v>
      </c>
      <c r="X220" t="s">
        <v>1091</v>
      </c>
      <c r="AD220">
        <v>830521</v>
      </c>
      <c r="AE220" t="s">
        <v>1279</v>
      </c>
      <c r="AF220">
        <v>45189.378017361109</v>
      </c>
      <c r="AI220">
        <v>62</v>
      </c>
      <c r="AJ220">
        <v>62</v>
      </c>
      <c r="AK220" t="s">
        <v>1219</v>
      </c>
      <c r="AN220">
        <v>45170</v>
      </c>
      <c r="AO220">
        <v>45199</v>
      </c>
      <c r="AP220" t="s">
        <v>1101</v>
      </c>
    </row>
    <row r="221" spans="1:42" x14ac:dyDescent="0.25">
      <c r="A221">
        <v>2023</v>
      </c>
      <c r="B221">
        <v>9</v>
      </c>
      <c r="C221">
        <v>17</v>
      </c>
      <c r="D221" t="s">
        <v>1088</v>
      </c>
      <c r="E221" t="s">
        <v>282</v>
      </c>
      <c r="F221">
        <v>613191</v>
      </c>
      <c r="G221">
        <v>10209727</v>
      </c>
      <c r="H221" t="s">
        <v>282</v>
      </c>
      <c r="J221">
        <v>53962149</v>
      </c>
      <c r="K221">
        <v>1100</v>
      </c>
      <c r="L221">
        <v>1700</v>
      </c>
      <c r="M221">
        <v>1304</v>
      </c>
      <c r="N221">
        <v>53293085</v>
      </c>
      <c r="O221">
        <v>45167.458425497687</v>
      </c>
      <c r="P221">
        <v>-216</v>
      </c>
      <c r="Q221">
        <v>1</v>
      </c>
      <c r="R221">
        <v>-216</v>
      </c>
      <c r="S221">
        <v>45189.378017592593</v>
      </c>
      <c r="T221">
        <v>5508</v>
      </c>
      <c r="U221" t="s">
        <v>1239</v>
      </c>
      <c r="V221" t="s">
        <v>1221</v>
      </c>
      <c r="W221" t="s">
        <v>2</v>
      </c>
      <c r="X221" t="s">
        <v>1091</v>
      </c>
      <c r="AD221">
        <v>830521</v>
      </c>
      <c r="AE221" t="s">
        <v>1279</v>
      </c>
      <c r="AF221">
        <v>45189.378017361109</v>
      </c>
      <c r="AI221">
        <v>62</v>
      </c>
      <c r="AJ221">
        <v>62</v>
      </c>
      <c r="AN221">
        <v>45170</v>
      </c>
      <c r="AO221">
        <v>45199</v>
      </c>
      <c r="AP221" t="s">
        <v>1101</v>
      </c>
    </row>
    <row r="222" spans="1:42" x14ac:dyDescent="0.25">
      <c r="A222">
        <v>2023</v>
      </c>
      <c r="B222">
        <v>9</v>
      </c>
      <c r="C222">
        <v>17</v>
      </c>
      <c r="D222" t="s">
        <v>1088</v>
      </c>
      <c r="E222" t="s">
        <v>282</v>
      </c>
      <c r="F222">
        <v>436737</v>
      </c>
      <c r="G222">
        <v>10373663</v>
      </c>
      <c r="H222" t="s">
        <v>282</v>
      </c>
      <c r="J222">
        <v>53940307</v>
      </c>
      <c r="K222">
        <v>1100</v>
      </c>
      <c r="L222">
        <v>1700</v>
      </c>
      <c r="M222">
        <v>1304</v>
      </c>
      <c r="P222">
        <v>216</v>
      </c>
      <c r="Q222">
        <v>1</v>
      </c>
      <c r="R222">
        <v>216</v>
      </c>
      <c r="S222">
        <v>45188.550552395835</v>
      </c>
      <c r="T222">
        <v>5500</v>
      </c>
      <c r="U222" t="s">
        <v>1154</v>
      </c>
      <c r="V222" t="s">
        <v>99</v>
      </c>
      <c r="W222" t="s">
        <v>2</v>
      </c>
      <c r="AI222">
        <v>62</v>
      </c>
      <c r="AJ222">
        <v>62</v>
      </c>
      <c r="AN222">
        <v>45170</v>
      </c>
      <c r="AO222">
        <v>45199</v>
      </c>
      <c r="AP222" t="s">
        <v>1101</v>
      </c>
    </row>
    <row r="223" spans="1:42" x14ac:dyDescent="0.25">
      <c r="A223">
        <v>2023</v>
      </c>
      <c r="B223">
        <v>9</v>
      </c>
      <c r="C223">
        <v>17</v>
      </c>
      <c r="D223" t="s">
        <v>1088</v>
      </c>
      <c r="E223" t="s">
        <v>282</v>
      </c>
      <c r="F223">
        <v>436737</v>
      </c>
      <c r="G223">
        <v>10373663</v>
      </c>
      <c r="H223" t="s">
        <v>282</v>
      </c>
      <c r="J223">
        <v>53940308</v>
      </c>
      <c r="K223">
        <v>1100</v>
      </c>
      <c r="L223">
        <v>1700</v>
      </c>
      <c r="M223">
        <v>1304</v>
      </c>
      <c r="P223">
        <v>216</v>
      </c>
      <c r="Q223">
        <v>1</v>
      </c>
      <c r="R223">
        <v>216</v>
      </c>
      <c r="S223">
        <v>45188.550686921299</v>
      </c>
      <c r="T223">
        <v>5500</v>
      </c>
      <c r="U223" t="s">
        <v>1154</v>
      </c>
      <c r="V223" t="s">
        <v>99</v>
      </c>
      <c r="W223" t="s">
        <v>2</v>
      </c>
      <c r="AI223">
        <v>62</v>
      </c>
      <c r="AJ223">
        <v>62</v>
      </c>
      <c r="AN223">
        <v>45170</v>
      </c>
      <c r="AO223">
        <v>45199</v>
      </c>
      <c r="AP223" t="s">
        <v>1101</v>
      </c>
    </row>
    <row r="224" spans="1:42" x14ac:dyDescent="0.25">
      <c r="A224">
        <v>2023</v>
      </c>
      <c r="B224">
        <v>9</v>
      </c>
      <c r="C224">
        <v>17</v>
      </c>
      <c r="D224" t="s">
        <v>1088</v>
      </c>
      <c r="E224" t="s">
        <v>282</v>
      </c>
      <c r="F224">
        <v>436737</v>
      </c>
      <c r="G224">
        <v>10373663</v>
      </c>
      <c r="H224" t="s">
        <v>282</v>
      </c>
      <c r="J224">
        <v>53940309</v>
      </c>
      <c r="K224">
        <v>1100</v>
      </c>
      <c r="L224">
        <v>1700</v>
      </c>
      <c r="M224">
        <v>1304</v>
      </c>
      <c r="P224">
        <v>18</v>
      </c>
      <c r="Q224">
        <v>1</v>
      </c>
      <c r="R224">
        <v>18</v>
      </c>
      <c r="S224">
        <v>45188.550750960647</v>
      </c>
      <c r="T224">
        <v>5500</v>
      </c>
      <c r="U224" t="s">
        <v>1154</v>
      </c>
      <c r="V224" t="s">
        <v>99</v>
      </c>
      <c r="W224" t="s">
        <v>2</v>
      </c>
      <c r="AI224">
        <v>62</v>
      </c>
      <c r="AJ224">
        <v>62</v>
      </c>
      <c r="AN224">
        <v>45170</v>
      </c>
      <c r="AO224">
        <v>45199</v>
      </c>
      <c r="AP224" t="s">
        <v>1101</v>
      </c>
    </row>
    <row r="225" spans="1:42" x14ac:dyDescent="0.25">
      <c r="A225">
        <v>2023</v>
      </c>
      <c r="B225">
        <v>9</v>
      </c>
      <c r="C225">
        <v>17</v>
      </c>
      <c r="D225" t="s">
        <v>1088</v>
      </c>
      <c r="E225" t="s">
        <v>282</v>
      </c>
      <c r="F225">
        <v>623625</v>
      </c>
      <c r="G225">
        <v>10402569</v>
      </c>
      <c r="H225" t="s">
        <v>282</v>
      </c>
      <c r="J225">
        <v>53963750</v>
      </c>
      <c r="K225">
        <v>1100</v>
      </c>
      <c r="L225">
        <v>1700</v>
      </c>
      <c r="M225">
        <v>1301</v>
      </c>
      <c r="P225">
        <v>85</v>
      </c>
      <c r="Q225">
        <v>1</v>
      </c>
      <c r="R225">
        <v>85</v>
      </c>
      <c r="S225">
        <v>45189.422755555555</v>
      </c>
      <c r="T225">
        <v>5500</v>
      </c>
      <c r="U225" t="s">
        <v>1151</v>
      </c>
      <c r="V225" t="s">
        <v>99</v>
      </c>
      <c r="W225" t="s">
        <v>1031</v>
      </c>
      <c r="X225" t="s">
        <v>1031</v>
      </c>
      <c r="AA225">
        <v>57958</v>
      </c>
      <c r="AB225" t="s">
        <v>1223</v>
      </c>
      <c r="AC225">
        <v>45191.087613807867</v>
      </c>
      <c r="AI225">
        <v>62</v>
      </c>
      <c r="AJ225">
        <v>62</v>
      </c>
      <c r="AN225">
        <v>45170</v>
      </c>
      <c r="AO225">
        <v>45199</v>
      </c>
      <c r="AP225" t="s">
        <v>1101</v>
      </c>
    </row>
    <row r="226" spans="1:42" x14ac:dyDescent="0.25">
      <c r="A226">
        <v>2023</v>
      </c>
      <c r="B226">
        <v>9</v>
      </c>
      <c r="C226">
        <v>17</v>
      </c>
      <c r="D226" t="s">
        <v>1088</v>
      </c>
      <c r="E226" t="s">
        <v>282</v>
      </c>
      <c r="F226">
        <v>623625</v>
      </c>
      <c r="G226">
        <v>10402569</v>
      </c>
      <c r="H226" t="s">
        <v>282</v>
      </c>
      <c r="J226">
        <v>53963755</v>
      </c>
      <c r="K226">
        <v>1100</v>
      </c>
      <c r="L226">
        <v>1700</v>
      </c>
      <c r="M226">
        <v>1301</v>
      </c>
      <c r="P226">
        <v>5</v>
      </c>
      <c r="Q226">
        <v>2</v>
      </c>
      <c r="R226">
        <v>10</v>
      </c>
      <c r="S226">
        <v>45189.422897800927</v>
      </c>
      <c r="T226">
        <v>5500</v>
      </c>
      <c r="U226" t="s">
        <v>1151</v>
      </c>
      <c r="V226" t="s">
        <v>99</v>
      </c>
      <c r="W226" t="s">
        <v>1031</v>
      </c>
      <c r="X226" t="s">
        <v>1031</v>
      </c>
      <c r="AA226">
        <v>57958</v>
      </c>
      <c r="AB226" t="s">
        <v>1223</v>
      </c>
      <c r="AC226">
        <v>45191.087613807867</v>
      </c>
      <c r="AI226">
        <v>62</v>
      </c>
      <c r="AJ226">
        <v>62</v>
      </c>
      <c r="AN226">
        <v>45170</v>
      </c>
      <c r="AO226">
        <v>45199</v>
      </c>
      <c r="AP226" t="s">
        <v>1101</v>
      </c>
    </row>
    <row r="227" spans="1:42" x14ac:dyDescent="0.25">
      <c r="A227">
        <v>2023</v>
      </c>
      <c r="B227">
        <v>9</v>
      </c>
      <c r="C227">
        <v>17</v>
      </c>
      <c r="D227" t="s">
        <v>1088</v>
      </c>
      <c r="E227" t="s">
        <v>282</v>
      </c>
      <c r="F227">
        <v>623625</v>
      </c>
      <c r="G227">
        <v>10402569</v>
      </c>
      <c r="H227" t="s">
        <v>282</v>
      </c>
      <c r="J227">
        <v>53963760</v>
      </c>
      <c r="K227">
        <v>1100</v>
      </c>
      <c r="L227">
        <v>1700</v>
      </c>
      <c r="M227">
        <v>1301</v>
      </c>
      <c r="P227">
        <v>7.5</v>
      </c>
      <c r="Q227">
        <v>2</v>
      </c>
      <c r="R227">
        <v>15</v>
      </c>
      <c r="S227">
        <v>45189.423097025465</v>
      </c>
      <c r="T227">
        <v>5500</v>
      </c>
      <c r="U227" t="s">
        <v>1151</v>
      </c>
      <c r="V227" t="s">
        <v>99</v>
      </c>
      <c r="W227" t="s">
        <v>1031</v>
      </c>
      <c r="X227" t="s">
        <v>1031</v>
      </c>
      <c r="AA227">
        <v>57958</v>
      </c>
      <c r="AB227" t="s">
        <v>1223</v>
      </c>
      <c r="AC227">
        <v>45191.087613807867</v>
      </c>
      <c r="AI227">
        <v>62</v>
      </c>
      <c r="AJ227">
        <v>62</v>
      </c>
      <c r="AN227">
        <v>45170</v>
      </c>
      <c r="AO227">
        <v>45199</v>
      </c>
      <c r="AP227" t="s">
        <v>1101</v>
      </c>
    </row>
    <row r="228" spans="1:42" x14ac:dyDescent="0.25">
      <c r="A228">
        <v>2023</v>
      </c>
      <c r="B228">
        <v>9</v>
      </c>
      <c r="C228">
        <v>17</v>
      </c>
      <c r="D228" t="s">
        <v>1088</v>
      </c>
      <c r="E228" t="s">
        <v>282</v>
      </c>
      <c r="F228">
        <v>623625</v>
      </c>
      <c r="G228">
        <v>10402569</v>
      </c>
      <c r="H228" t="s">
        <v>282</v>
      </c>
      <c r="J228">
        <v>53963764</v>
      </c>
      <c r="K228">
        <v>1100</v>
      </c>
      <c r="L228">
        <v>1700</v>
      </c>
      <c r="M228">
        <v>1301</v>
      </c>
      <c r="P228">
        <v>8</v>
      </c>
      <c r="Q228">
        <v>2</v>
      </c>
      <c r="R228">
        <v>16</v>
      </c>
      <c r="S228">
        <v>45189.423255127316</v>
      </c>
      <c r="T228">
        <v>5500</v>
      </c>
      <c r="U228" t="s">
        <v>1151</v>
      </c>
      <c r="V228" t="s">
        <v>99</v>
      </c>
      <c r="W228" t="s">
        <v>1031</v>
      </c>
      <c r="X228" t="s">
        <v>1031</v>
      </c>
      <c r="AA228">
        <v>57958</v>
      </c>
      <c r="AB228" t="s">
        <v>1223</v>
      </c>
      <c r="AC228">
        <v>45191.087613807867</v>
      </c>
      <c r="AI228">
        <v>62</v>
      </c>
      <c r="AJ228">
        <v>62</v>
      </c>
      <c r="AN228">
        <v>45170</v>
      </c>
      <c r="AO228">
        <v>45199</v>
      </c>
      <c r="AP228" t="s">
        <v>1101</v>
      </c>
    </row>
    <row r="229" spans="1:42" x14ac:dyDescent="0.25">
      <c r="A229">
        <v>2023</v>
      </c>
      <c r="B229">
        <v>9</v>
      </c>
      <c r="C229">
        <v>17</v>
      </c>
      <c r="D229" t="s">
        <v>1088</v>
      </c>
      <c r="E229" t="s">
        <v>282</v>
      </c>
      <c r="F229">
        <v>623625</v>
      </c>
      <c r="G229">
        <v>10402569</v>
      </c>
      <c r="H229" t="s">
        <v>282</v>
      </c>
      <c r="J229">
        <v>53963771</v>
      </c>
      <c r="K229">
        <v>1100</v>
      </c>
      <c r="L229">
        <v>1700</v>
      </c>
      <c r="M229">
        <v>1301</v>
      </c>
      <c r="P229">
        <v>4</v>
      </c>
      <c r="Q229">
        <v>2</v>
      </c>
      <c r="R229">
        <v>8</v>
      </c>
      <c r="S229">
        <v>45189.423418668979</v>
      </c>
      <c r="T229">
        <v>5500</v>
      </c>
      <c r="U229" t="s">
        <v>1151</v>
      </c>
      <c r="V229" t="s">
        <v>99</v>
      </c>
      <c r="W229" t="s">
        <v>1031</v>
      </c>
      <c r="X229" t="s">
        <v>1031</v>
      </c>
      <c r="AA229">
        <v>57958</v>
      </c>
      <c r="AB229" t="s">
        <v>1223</v>
      </c>
      <c r="AC229">
        <v>45191.087613807867</v>
      </c>
      <c r="AI229">
        <v>62</v>
      </c>
      <c r="AJ229">
        <v>62</v>
      </c>
      <c r="AN229">
        <v>45170</v>
      </c>
      <c r="AO229">
        <v>45199</v>
      </c>
      <c r="AP229" t="s">
        <v>1101</v>
      </c>
    </row>
    <row r="230" spans="1:42" x14ac:dyDescent="0.25">
      <c r="A230">
        <v>2023</v>
      </c>
      <c r="B230">
        <v>9</v>
      </c>
      <c r="C230">
        <v>17</v>
      </c>
      <c r="D230" t="s">
        <v>1088</v>
      </c>
      <c r="E230" t="s">
        <v>282</v>
      </c>
      <c r="F230">
        <v>623622</v>
      </c>
      <c r="G230">
        <v>10402530</v>
      </c>
      <c r="H230" t="s">
        <v>282</v>
      </c>
      <c r="J230">
        <v>53963786</v>
      </c>
      <c r="K230">
        <v>1100</v>
      </c>
      <c r="L230">
        <v>1700</v>
      </c>
      <c r="M230">
        <v>1301</v>
      </c>
      <c r="P230">
        <v>4</v>
      </c>
      <c r="Q230">
        <v>2</v>
      </c>
      <c r="R230">
        <v>8</v>
      </c>
      <c r="S230">
        <v>45189.424489236109</v>
      </c>
      <c r="T230">
        <v>5500</v>
      </c>
      <c r="U230" t="s">
        <v>1151</v>
      </c>
      <c r="V230" t="s">
        <v>99</v>
      </c>
      <c r="W230" t="s">
        <v>1031</v>
      </c>
      <c r="X230" t="s">
        <v>1031</v>
      </c>
      <c r="AA230">
        <v>57958</v>
      </c>
      <c r="AB230" t="s">
        <v>1223</v>
      </c>
      <c r="AC230">
        <v>45191.087613807867</v>
      </c>
      <c r="AI230">
        <v>62</v>
      </c>
      <c r="AJ230">
        <v>62</v>
      </c>
      <c r="AN230">
        <v>45170</v>
      </c>
      <c r="AO230">
        <v>45199</v>
      </c>
      <c r="AP230" t="s">
        <v>1101</v>
      </c>
    </row>
    <row r="231" spans="1:42" x14ac:dyDescent="0.25">
      <c r="A231">
        <v>2023</v>
      </c>
      <c r="B231">
        <v>9</v>
      </c>
      <c r="C231">
        <v>17</v>
      </c>
      <c r="D231" t="s">
        <v>1088</v>
      </c>
      <c r="E231" t="s">
        <v>282</v>
      </c>
      <c r="F231">
        <v>623681</v>
      </c>
      <c r="G231">
        <v>10403222</v>
      </c>
      <c r="H231" t="s">
        <v>282</v>
      </c>
      <c r="J231">
        <v>53967487</v>
      </c>
      <c r="K231">
        <v>1100</v>
      </c>
      <c r="L231">
        <v>1700</v>
      </c>
      <c r="M231">
        <v>1301</v>
      </c>
      <c r="P231">
        <v>85</v>
      </c>
      <c r="Q231">
        <v>1</v>
      </c>
      <c r="R231">
        <v>85</v>
      </c>
      <c r="S231">
        <v>45189.466660729166</v>
      </c>
      <c r="T231">
        <v>5500</v>
      </c>
      <c r="U231" t="s">
        <v>1151</v>
      </c>
      <c r="V231" t="s">
        <v>99</v>
      </c>
      <c r="W231" t="s">
        <v>1031</v>
      </c>
      <c r="X231" t="s">
        <v>1031</v>
      </c>
      <c r="AA231">
        <v>57958</v>
      </c>
      <c r="AB231" t="s">
        <v>1223</v>
      </c>
      <c r="AC231">
        <v>45191.087613807867</v>
      </c>
      <c r="AI231">
        <v>62</v>
      </c>
      <c r="AJ231">
        <v>62</v>
      </c>
      <c r="AN231">
        <v>45170</v>
      </c>
      <c r="AO231">
        <v>45199</v>
      </c>
      <c r="AP231" t="s">
        <v>1101</v>
      </c>
    </row>
    <row r="232" spans="1:42" x14ac:dyDescent="0.25">
      <c r="A232">
        <v>2023</v>
      </c>
      <c r="B232">
        <v>9</v>
      </c>
      <c r="C232">
        <v>17</v>
      </c>
      <c r="D232" t="s">
        <v>1088</v>
      </c>
      <c r="E232" t="s">
        <v>282</v>
      </c>
      <c r="F232">
        <v>624425</v>
      </c>
      <c r="G232">
        <v>10417817</v>
      </c>
      <c r="H232" t="s">
        <v>282</v>
      </c>
      <c r="J232">
        <v>54042125</v>
      </c>
      <c r="K232">
        <v>1100</v>
      </c>
      <c r="L232">
        <v>1700</v>
      </c>
      <c r="M232">
        <v>1301</v>
      </c>
      <c r="P232">
        <v>85</v>
      </c>
      <c r="Q232">
        <v>1</v>
      </c>
      <c r="R232">
        <v>85</v>
      </c>
      <c r="S232">
        <v>45191.492846793983</v>
      </c>
      <c r="T232">
        <v>5500</v>
      </c>
      <c r="U232" t="s">
        <v>1151</v>
      </c>
      <c r="V232" t="s">
        <v>99</v>
      </c>
      <c r="W232" t="s">
        <v>1031</v>
      </c>
      <c r="X232" t="s">
        <v>1031</v>
      </c>
      <c r="AA232">
        <v>57970</v>
      </c>
      <c r="AB232" t="s">
        <v>1223</v>
      </c>
      <c r="AC232">
        <v>45193.083569062503</v>
      </c>
      <c r="AI232">
        <v>62</v>
      </c>
      <c r="AJ232">
        <v>62</v>
      </c>
      <c r="AN232">
        <v>45170</v>
      </c>
      <c r="AO232">
        <v>45199</v>
      </c>
      <c r="AP232" t="s">
        <v>1101</v>
      </c>
    </row>
    <row r="233" spans="1:42" x14ac:dyDescent="0.25">
      <c r="A233">
        <v>2023</v>
      </c>
      <c r="B233">
        <v>9</v>
      </c>
      <c r="C233">
        <v>17</v>
      </c>
      <c r="D233" t="s">
        <v>1088</v>
      </c>
      <c r="E233" t="s">
        <v>282</v>
      </c>
      <c r="F233">
        <v>624425</v>
      </c>
      <c r="G233">
        <v>10417817</v>
      </c>
      <c r="H233" t="s">
        <v>282</v>
      </c>
      <c r="J233">
        <v>54042129</v>
      </c>
      <c r="K233">
        <v>1100</v>
      </c>
      <c r="L233">
        <v>1700</v>
      </c>
      <c r="M233">
        <v>1301</v>
      </c>
      <c r="P233">
        <v>7.5</v>
      </c>
      <c r="Q233">
        <v>2</v>
      </c>
      <c r="R233">
        <v>15</v>
      </c>
      <c r="S233">
        <v>45191.49295320602</v>
      </c>
      <c r="T233">
        <v>5500</v>
      </c>
      <c r="U233" t="s">
        <v>1151</v>
      </c>
      <c r="V233" t="s">
        <v>99</v>
      </c>
      <c r="W233" t="s">
        <v>1031</v>
      </c>
      <c r="X233" t="s">
        <v>1031</v>
      </c>
      <c r="AA233">
        <v>57970</v>
      </c>
      <c r="AB233" t="s">
        <v>1223</v>
      </c>
      <c r="AC233">
        <v>45193.083569062503</v>
      </c>
      <c r="AI233">
        <v>62</v>
      </c>
      <c r="AJ233">
        <v>62</v>
      </c>
      <c r="AN233">
        <v>45170</v>
      </c>
      <c r="AO233">
        <v>45199</v>
      </c>
      <c r="AP233" t="s">
        <v>1101</v>
      </c>
    </row>
    <row r="234" spans="1:42" x14ac:dyDescent="0.25">
      <c r="A234">
        <v>2023</v>
      </c>
      <c r="B234">
        <v>9</v>
      </c>
      <c r="C234">
        <v>17</v>
      </c>
      <c r="D234" t="s">
        <v>1088</v>
      </c>
      <c r="E234" t="s">
        <v>282</v>
      </c>
      <c r="F234">
        <v>624425</v>
      </c>
      <c r="G234">
        <v>10417817</v>
      </c>
      <c r="H234" t="s">
        <v>282</v>
      </c>
      <c r="J234">
        <v>54042133</v>
      </c>
      <c r="K234">
        <v>1100</v>
      </c>
      <c r="L234">
        <v>1700</v>
      </c>
      <c r="M234">
        <v>1301</v>
      </c>
      <c r="P234">
        <v>8</v>
      </c>
      <c r="Q234">
        <v>2</v>
      </c>
      <c r="R234">
        <v>16</v>
      </c>
      <c r="S234">
        <v>45191.493118900464</v>
      </c>
      <c r="T234">
        <v>5500</v>
      </c>
      <c r="U234" t="s">
        <v>1151</v>
      </c>
      <c r="V234" t="s">
        <v>99</v>
      </c>
      <c r="W234" t="s">
        <v>1031</v>
      </c>
      <c r="X234" t="s">
        <v>1031</v>
      </c>
      <c r="AA234">
        <v>57970</v>
      </c>
      <c r="AB234" t="s">
        <v>1223</v>
      </c>
      <c r="AC234">
        <v>45193.083569062503</v>
      </c>
      <c r="AI234">
        <v>62</v>
      </c>
      <c r="AJ234">
        <v>62</v>
      </c>
      <c r="AN234">
        <v>45170</v>
      </c>
      <c r="AO234">
        <v>45199</v>
      </c>
      <c r="AP234" t="s">
        <v>1101</v>
      </c>
    </row>
    <row r="235" spans="1:42" x14ac:dyDescent="0.25">
      <c r="A235">
        <v>2023</v>
      </c>
      <c r="B235">
        <v>9</v>
      </c>
      <c r="C235">
        <v>17</v>
      </c>
      <c r="D235" t="s">
        <v>1088</v>
      </c>
      <c r="E235" t="s">
        <v>282</v>
      </c>
      <c r="F235">
        <v>624425</v>
      </c>
      <c r="G235">
        <v>10417817</v>
      </c>
      <c r="H235" t="s">
        <v>282</v>
      </c>
      <c r="J235">
        <v>54042137</v>
      </c>
      <c r="K235">
        <v>1100</v>
      </c>
      <c r="L235">
        <v>1700</v>
      </c>
      <c r="M235">
        <v>1301</v>
      </c>
      <c r="P235">
        <v>4</v>
      </c>
      <c r="Q235">
        <v>2</v>
      </c>
      <c r="R235">
        <v>8</v>
      </c>
      <c r="S235">
        <v>45191.493277280089</v>
      </c>
      <c r="T235">
        <v>5500</v>
      </c>
      <c r="U235" t="s">
        <v>1151</v>
      </c>
      <c r="V235" t="s">
        <v>99</v>
      </c>
      <c r="W235" t="s">
        <v>1031</v>
      </c>
      <c r="X235" t="s">
        <v>1031</v>
      </c>
      <c r="AA235">
        <v>57970</v>
      </c>
      <c r="AB235" t="s">
        <v>1223</v>
      </c>
      <c r="AC235">
        <v>45193.083569062503</v>
      </c>
      <c r="AI235">
        <v>62</v>
      </c>
      <c r="AJ235">
        <v>62</v>
      </c>
      <c r="AN235">
        <v>45170</v>
      </c>
      <c r="AO235">
        <v>45199</v>
      </c>
      <c r="AP235" t="s">
        <v>1101</v>
      </c>
    </row>
    <row r="236" spans="1:42" x14ac:dyDescent="0.25">
      <c r="A236">
        <v>2023</v>
      </c>
      <c r="B236">
        <v>9</v>
      </c>
      <c r="C236">
        <v>17</v>
      </c>
      <c r="D236" t="s">
        <v>1088</v>
      </c>
      <c r="E236" t="s">
        <v>282</v>
      </c>
      <c r="F236">
        <v>617621</v>
      </c>
      <c r="G236">
        <v>10371133</v>
      </c>
      <c r="H236" t="s">
        <v>282</v>
      </c>
      <c r="J236">
        <v>54052973</v>
      </c>
      <c r="K236">
        <v>1100</v>
      </c>
      <c r="L236">
        <v>1700</v>
      </c>
      <c r="M236">
        <v>1301</v>
      </c>
      <c r="P236">
        <v>216</v>
      </c>
      <c r="Q236">
        <v>1</v>
      </c>
      <c r="R236">
        <v>216</v>
      </c>
      <c r="S236">
        <v>45191.571506747685</v>
      </c>
      <c r="T236">
        <v>5500</v>
      </c>
      <c r="U236" t="s">
        <v>1151</v>
      </c>
      <c r="V236" t="s">
        <v>99</v>
      </c>
      <c r="W236" t="s">
        <v>1090</v>
      </c>
      <c r="X236" t="s">
        <v>1090</v>
      </c>
      <c r="AA236">
        <v>57970</v>
      </c>
      <c r="AB236" t="s">
        <v>1223</v>
      </c>
      <c r="AC236">
        <v>45193.083569062503</v>
      </c>
      <c r="AI236">
        <v>62</v>
      </c>
      <c r="AJ236">
        <v>62</v>
      </c>
      <c r="AN236">
        <v>45170</v>
      </c>
      <c r="AO236">
        <v>45199</v>
      </c>
      <c r="AP236" t="s">
        <v>1101</v>
      </c>
    </row>
    <row r="237" spans="1:42" x14ac:dyDescent="0.25">
      <c r="A237">
        <v>2023</v>
      </c>
      <c r="B237">
        <v>9</v>
      </c>
      <c r="C237">
        <v>17</v>
      </c>
      <c r="D237" t="s">
        <v>1088</v>
      </c>
      <c r="E237" t="s">
        <v>282</v>
      </c>
      <c r="F237">
        <v>617621</v>
      </c>
      <c r="G237">
        <v>10371133</v>
      </c>
      <c r="H237" t="s">
        <v>282</v>
      </c>
      <c r="J237">
        <v>54052974</v>
      </c>
      <c r="K237">
        <v>1100</v>
      </c>
      <c r="L237">
        <v>1700</v>
      </c>
      <c r="M237">
        <v>1301</v>
      </c>
      <c r="P237">
        <v>216</v>
      </c>
      <c r="Q237">
        <v>1</v>
      </c>
      <c r="R237">
        <v>216</v>
      </c>
      <c r="S237">
        <v>45191.571604432873</v>
      </c>
      <c r="T237">
        <v>5500</v>
      </c>
      <c r="U237" t="s">
        <v>1151</v>
      </c>
      <c r="V237" t="s">
        <v>99</v>
      </c>
      <c r="W237" t="s">
        <v>1090</v>
      </c>
      <c r="X237" t="s">
        <v>1090</v>
      </c>
      <c r="AA237">
        <v>57970</v>
      </c>
      <c r="AB237" t="s">
        <v>1223</v>
      </c>
      <c r="AC237">
        <v>45193.083569062503</v>
      </c>
      <c r="AI237">
        <v>62</v>
      </c>
      <c r="AJ237">
        <v>62</v>
      </c>
      <c r="AN237">
        <v>45170</v>
      </c>
      <c r="AO237">
        <v>45199</v>
      </c>
      <c r="AP237" t="s">
        <v>1101</v>
      </c>
    </row>
    <row r="238" spans="1:42" x14ac:dyDescent="0.25">
      <c r="A238">
        <v>2023</v>
      </c>
      <c r="B238">
        <v>9</v>
      </c>
      <c r="C238">
        <v>17</v>
      </c>
      <c r="D238" t="s">
        <v>1088</v>
      </c>
      <c r="E238" t="s">
        <v>282</v>
      </c>
      <c r="F238">
        <v>163699</v>
      </c>
      <c r="G238">
        <v>10416468</v>
      </c>
      <c r="H238" t="s">
        <v>282</v>
      </c>
      <c r="J238">
        <v>54112228</v>
      </c>
      <c r="K238">
        <v>1104</v>
      </c>
      <c r="L238">
        <v>1702</v>
      </c>
      <c r="M238">
        <v>1304</v>
      </c>
      <c r="N238">
        <v>54107245</v>
      </c>
      <c r="O238">
        <v>45194.670133020831</v>
      </c>
      <c r="P238">
        <v>200</v>
      </c>
      <c r="Q238">
        <v>1</v>
      </c>
      <c r="R238">
        <v>200</v>
      </c>
      <c r="S238">
        <v>45195.067372106481</v>
      </c>
      <c r="T238">
        <v>5509</v>
      </c>
      <c r="U238" t="s">
        <v>1152</v>
      </c>
      <c r="V238" t="s">
        <v>1153</v>
      </c>
      <c r="W238" t="s">
        <v>2</v>
      </c>
      <c r="AI238">
        <v>62</v>
      </c>
      <c r="AJ238">
        <v>62</v>
      </c>
      <c r="AN238">
        <v>45170</v>
      </c>
      <c r="AO238">
        <v>45199</v>
      </c>
      <c r="AP238" t="s">
        <v>1101</v>
      </c>
    </row>
    <row r="239" spans="1:42" x14ac:dyDescent="0.25">
      <c r="A239">
        <v>2023</v>
      </c>
      <c r="B239">
        <v>9</v>
      </c>
      <c r="C239">
        <v>17</v>
      </c>
      <c r="D239" t="s">
        <v>1088</v>
      </c>
      <c r="E239" t="s">
        <v>282</v>
      </c>
      <c r="F239">
        <v>604926</v>
      </c>
      <c r="G239">
        <v>10387076</v>
      </c>
      <c r="H239" t="s">
        <v>282</v>
      </c>
      <c r="J239">
        <v>54112296</v>
      </c>
      <c r="K239">
        <v>1104</v>
      </c>
      <c r="L239">
        <v>1702</v>
      </c>
      <c r="M239">
        <v>1304</v>
      </c>
      <c r="N239">
        <v>54082109</v>
      </c>
      <c r="O239">
        <v>45194.426830439814</v>
      </c>
      <c r="P239">
        <v>150</v>
      </c>
      <c r="Q239">
        <v>1</v>
      </c>
      <c r="R239">
        <v>150</v>
      </c>
      <c r="S239">
        <v>45195.067372106481</v>
      </c>
      <c r="T239">
        <v>5509</v>
      </c>
      <c r="U239" t="s">
        <v>1152</v>
      </c>
      <c r="V239" t="s">
        <v>1153</v>
      </c>
      <c r="W239" t="s">
        <v>2</v>
      </c>
      <c r="AI239">
        <v>62</v>
      </c>
      <c r="AJ239">
        <v>62</v>
      </c>
      <c r="AN239">
        <v>45170</v>
      </c>
      <c r="AO239">
        <v>45199</v>
      </c>
      <c r="AP239" t="s">
        <v>1101</v>
      </c>
    </row>
    <row r="240" spans="1:42" x14ac:dyDescent="0.25">
      <c r="A240">
        <v>2023</v>
      </c>
      <c r="B240">
        <v>9</v>
      </c>
      <c r="C240">
        <v>17</v>
      </c>
      <c r="D240" t="s">
        <v>1088</v>
      </c>
      <c r="E240" t="s">
        <v>282</v>
      </c>
      <c r="F240">
        <v>604926</v>
      </c>
      <c r="G240">
        <v>10387076</v>
      </c>
      <c r="H240" t="s">
        <v>282</v>
      </c>
      <c r="J240">
        <v>54112297</v>
      </c>
      <c r="K240">
        <v>1104</v>
      </c>
      <c r="L240">
        <v>1702</v>
      </c>
      <c r="M240">
        <v>1304</v>
      </c>
      <c r="N240">
        <v>54082113</v>
      </c>
      <c r="O240">
        <v>45194.426952858797</v>
      </c>
      <c r="P240">
        <v>150</v>
      </c>
      <c r="Q240">
        <v>1</v>
      </c>
      <c r="R240">
        <v>150</v>
      </c>
      <c r="S240">
        <v>45195.067372106481</v>
      </c>
      <c r="T240">
        <v>5509</v>
      </c>
      <c r="U240" t="s">
        <v>1152</v>
      </c>
      <c r="V240" t="s">
        <v>1153</v>
      </c>
      <c r="W240" t="s">
        <v>2</v>
      </c>
      <c r="AI240">
        <v>62</v>
      </c>
      <c r="AJ240">
        <v>62</v>
      </c>
      <c r="AN240">
        <v>45170</v>
      </c>
      <c r="AO240">
        <v>45199</v>
      </c>
      <c r="AP240" t="s">
        <v>1101</v>
      </c>
    </row>
    <row r="241" spans="1:42" x14ac:dyDescent="0.25">
      <c r="A241">
        <v>2023</v>
      </c>
      <c r="B241">
        <v>9</v>
      </c>
      <c r="C241">
        <v>17</v>
      </c>
      <c r="D241" t="s">
        <v>1088</v>
      </c>
      <c r="E241" t="s">
        <v>282</v>
      </c>
      <c r="F241">
        <v>623638</v>
      </c>
      <c r="G241">
        <v>10402670</v>
      </c>
      <c r="H241" t="s">
        <v>282</v>
      </c>
      <c r="J241">
        <v>54103804</v>
      </c>
      <c r="K241">
        <v>1100</v>
      </c>
      <c r="L241">
        <v>1700</v>
      </c>
      <c r="M241">
        <v>1304</v>
      </c>
      <c r="P241">
        <v>216</v>
      </c>
      <c r="Q241">
        <v>1</v>
      </c>
      <c r="R241">
        <v>216</v>
      </c>
      <c r="S241">
        <v>45194.621422719909</v>
      </c>
      <c r="T241">
        <v>5500</v>
      </c>
      <c r="U241" t="s">
        <v>1154</v>
      </c>
      <c r="V241" t="s">
        <v>99</v>
      </c>
      <c r="W241" t="s">
        <v>2</v>
      </c>
      <c r="AI241">
        <v>62</v>
      </c>
      <c r="AJ241">
        <v>62</v>
      </c>
      <c r="AN241">
        <v>45170</v>
      </c>
      <c r="AO241">
        <v>45199</v>
      </c>
      <c r="AP241" t="s">
        <v>1101</v>
      </c>
    </row>
    <row r="242" spans="1:42" x14ac:dyDescent="0.25">
      <c r="A242">
        <v>2023</v>
      </c>
      <c r="B242">
        <v>9</v>
      </c>
      <c r="C242">
        <v>17</v>
      </c>
      <c r="D242" t="s">
        <v>1088</v>
      </c>
      <c r="E242" t="s">
        <v>282</v>
      </c>
      <c r="F242">
        <v>623638</v>
      </c>
      <c r="G242">
        <v>10402670</v>
      </c>
      <c r="H242" t="s">
        <v>282</v>
      </c>
      <c r="J242">
        <v>54103805</v>
      </c>
      <c r="K242">
        <v>1100</v>
      </c>
      <c r="L242">
        <v>1700</v>
      </c>
      <c r="M242">
        <v>1304</v>
      </c>
      <c r="P242">
        <v>216</v>
      </c>
      <c r="Q242">
        <v>1</v>
      </c>
      <c r="R242">
        <v>216</v>
      </c>
      <c r="S242">
        <v>45194.621535682869</v>
      </c>
      <c r="T242">
        <v>5500</v>
      </c>
      <c r="U242" t="s">
        <v>1154</v>
      </c>
      <c r="V242" t="s">
        <v>99</v>
      </c>
      <c r="W242" t="s">
        <v>2</v>
      </c>
      <c r="AI242">
        <v>62</v>
      </c>
      <c r="AJ242">
        <v>62</v>
      </c>
      <c r="AN242">
        <v>45170</v>
      </c>
      <c r="AO242">
        <v>45199</v>
      </c>
      <c r="AP242" t="s">
        <v>1101</v>
      </c>
    </row>
    <row r="243" spans="1:42" x14ac:dyDescent="0.25">
      <c r="A243">
        <v>2023</v>
      </c>
      <c r="B243">
        <v>9</v>
      </c>
      <c r="C243">
        <v>17</v>
      </c>
      <c r="D243" t="s">
        <v>1088</v>
      </c>
      <c r="E243" t="s">
        <v>282</v>
      </c>
      <c r="F243">
        <v>624509</v>
      </c>
      <c r="G243">
        <v>10419196</v>
      </c>
      <c r="H243" t="s">
        <v>282</v>
      </c>
      <c r="J243">
        <v>54142503</v>
      </c>
      <c r="K243">
        <v>1100</v>
      </c>
      <c r="L243">
        <v>1706</v>
      </c>
      <c r="M243">
        <v>1301</v>
      </c>
      <c r="P243">
        <v>216</v>
      </c>
      <c r="Q243">
        <v>1</v>
      </c>
      <c r="R243">
        <v>216</v>
      </c>
      <c r="S243">
        <v>45195.609826851854</v>
      </c>
      <c r="T243">
        <v>5500</v>
      </c>
      <c r="U243" t="s">
        <v>1151</v>
      </c>
      <c r="V243" t="s">
        <v>99</v>
      </c>
      <c r="W243" t="s">
        <v>1091</v>
      </c>
      <c r="X243" t="s">
        <v>1091</v>
      </c>
      <c r="AI243">
        <v>62</v>
      </c>
      <c r="AJ243">
        <v>62</v>
      </c>
      <c r="AN243">
        <v>45170</v>
      </c>
      <c r="AO243">
        <v>45199</v>
      </c>
      <c r="AP243" t="s">
        <v>1101</v>
      </c>
    </row>
    <row r="244" spans="1:42" x14ac:dyDescent="0.25">
      <c r="A244">
        <v>2023</v>
      </c>
      <c r="B244">
        <v>9</v>
      </c>
      <c r="C244">
        <v>17</v>
      </c>
      <c r="D244" t="s">
        <v>1088</v>
      </c>
      <c r="E244" t="s">
        <v>282</v>
      </c>
      <c r="F244">
        <v>624509</v>
      </c>
      <c r="G244">
        <v>10419196</v>
      </c>
      <c r="H244" t="s">
        <v>282</v>
      </c>
      <c r="J244">
        <v>54142504</v>
      </c>
      <c r="K244">
        <v>1100</v>
      </c>
      <c r="L244">
        <v>1706</v>
      </c>
      <c r="M244">
        <v>1301</v>
      </c>
      <c r="P244">
        <v>216</v>
      </c>
      <c r="Q244">
        <v>1</v>
      </c>
      <c r="R244">
        <v>216</v>
      </c>
      <c r="S244">
        <v>45195.609928124999</v>
      </c>
      <c r="T244">
        <v>5500</v>
      </c>
      <c r="U244" t="s">
        <v>1151</v>
      </c>
      <c r="V244" t="s">
        <v>99</v>
      </c>
      <c r="W244" t="s">
        <v>1091</v>
      </c>
      <c r="X244" t="s">
        <v>1091</v>
      </c>
      <c r="AI244">
        <v>62</v>
      </c>
      <c r="AJ244">
        <v>62</v>
      </c>
      <c r="AN244">
        <v>45170</v>
      </c>
      <c r="AO244">
        <v>45199</v>
      </c>
      <c r="AP244" t="s">
        <v>1101</v>
      </c>
    </row>
    <row r="245" spans="1:42" x14ac:dyDescent="0.25">
      <c r="A245">
        <v>2023</v>
      </c>
      <c r="B245">
        <v>9</v>
      </c>
      <c r="C245">
        <v>17</v>
      </c>
      <c r="D245" t="s">
        <v>1088</v>
      </c>
      <c r="E245" t="s">
        <v>282</v>
      </c>
      <c r="F245">
        <v>118496</v>
      </c>
      <c r="G245">
        <v>10332642</v>
      </c>
      <c r="H245" t="s">
        <v>282</v>
      </c>
      <c r="J245">
        <v>54158691</v>
      </c>
      <c r="K245">
        <v>1104</v>
      </c>
      <c r="L245">
        <v>1702</v>
      </c>
      <c r="M245">
        <v>1304</v>
      </c>
      <c r="N245">
        <v>54154603</v>
      </c>
      <c r="O245">
        <v>45195.691427349535</v>
      </c>
      <c r="P245">
        <v>116</v>
      </c>
      <c r="Q245">
        <v>1</v>
      </c>
      <c r="R245">
        <v>116</v>
      </c>
      <c r="S245">
        <v>45196.067373761573</v>
      </c>
      <c r="T245">
        <v>5509</v>
      </c>
      <c r="U245" t="s">
        <v>1152</v>
      </c>
      <c r="V245" t="s">
        <v>1153</v>
      </c>
      <c r="W245" t="s">
        <v>2</v>
      </c>
      <c r="AI245">
        <v>62</v>
      </c>
      <c r="AJ245">
        <v>62</v>
      </c>
      <c r="AN245">
        <v>45170</v>
      </c>
      <c r="AO245">
        <v>45199</v>
      </c>
      <c r="AP245" t="s">
        <v>1101</v>
      </c>
    </row>
    <row r="246" spans="1:42" x14ac:dyDescent="0.25">
      <c r="A246">
        <v>2023</v>
      </c>
      <c r="B246">
        <v>9</v>
      </c>
      <c r="C246">
        <v>17</v>
      </c>
      <c r="D246" t="s">
        <v>1088</v>
      </c>
      <c r="E246" t="s">
        <v>282</v>
      </c>
      <c r="F246">
        <v>118496</v>
      </c>
      <c r="G246">
        <v>10332642</v>
      </c>
      <c r="H246" t="s">
        <v>282</v>
      </c>
      <c r="J246">
        <v>54158692</v>
      </c>
      <c r="K246">
        <v>1104</v>
      </c>
      <c r="L246">
        <v>1702</v>
      </c>
      <c r="M246">
        <v>1304</v>
      </c>
      <c r="N246">
        <v>54154616</v>
      </c>
      <c r="O246">
        <v>45195.691616006945</v>
      </c>
      <c r="P246">
        <v>116</v>
      </c>
      <c r="Q246">
        <v>1</v>
      </c>
      <c r="R246">
        <v>116</v>
      </c>
      <c r="S246">
        <v>45196.067373761573</v>
      </c>
      <c r="T246">
        <v>5509</v>
      </c>
      <c r="U246" t="s">
        <v>1152</v>
      </c>
      <c r="V246" t="s">
        <v>1153</v>
      </c>
      <c r="W246" t="s">
        <v>2</v>
      </c>
      <c r="AI246">
        <v>62</v>
      </c>
      <c r="AJ246">
        <v>62</v>
      </c>
      <c r="AN246">
        <v>45170</v>
      </c>
      <c r="AO246">
        <v>45199</v>
      </c>
      <c r="AP246" t="s">
        <v>1101</v>
      </c>
    </row>
    <row r="247" spans="1:42" x14ac:dyDescent="0.25">
      <c r="A247">
        <v>2023</v>
      </c>
      <c r="B247">
        <v>9</v>
      </c>
      <c r="C247">
        <v>17</v>
      </c>
      <c r="D247" t="s">
        <v>1088</v>
      </c>
      <c r="E247" t="s">
        <v>282</v>
      </c>
      <c r="F247">
        <v>118496</v>
      </c>
      <c r="G247">
        <v>10332642</v>
      </c>
      <c r="H247" t="s">
        <v>282</v>
      </c>
      <c r="J247">
        <v>54158693</v>
      </c>
      <c r="K247">
        <v>1104</v>
      </c>
      <c r="L247">
        <v>1702</v>
      </c>
      <c r="M247">
        <v>1304</v>
      </c>
      <c r="N247">
        <v>54154629</v>
      </c>
      <c r="O247">
        <v>45195.691738807873</v>
      </c>
      <c r="P247">
        <v>15</v>
      </c>
      <c r="Q247">
        <v>1</v>
      </c>
      <c r="R247">
        <v>15</v>
      </c>
      <c r="S247">
        <v>45196.067373761573</v>
      </c>
      <c r="T247">
        <v>5509</v>
      </c>
      <c r="U247" t="s">
        <v>1152</v>
      </c>
      <c r="V247" t="s">
        <v>1153</v>
      </c>
      <c r="W247" t="s">
        <v>2</v>
      </c>
      <c r="AI247">
        <v>62</v>
      </c>
      <c r="AJ247">
        <v>62</v>
      </c>
      <c r="AN247">
        <v>45170</v>
      </c>
      <c r="AO247">
        <v>45199</v>
      </c>
      <c r="AP247" t="s">
        <v>1101</v>
      </c>
    </row>
    <row r="248" spans="1:42" x14ac:dyDescent="0.25">
      <c r="A248">
        <v>2023</v>
      </c>
      <c r="B248">
        <v>9</v>
      </c>
      <c r="C248">
        <v>17</v>
      </c>
      <c r="D248" t="s">
        <v>1088</v>
      </c>
      <c r="E248" t="s">
        <v>282</v>
      </c>
      <c r="F248">
        <v>474659</v>
      </c>
      <c r="G248">
        <v>10416675</v>
      </c>
      <c r="H248" t="s">
        <v>282</v>
      </c>
      <c r="J248">
        <v>54158698</v>
      </c>
      <c r="K248">
        <v>1104</v>
      </c>
      <c r="L248">
        <v>1702</v>
      </c>
      <c r="M248">
        <v>1304</v>
      </c>
      <c r="N248">
        <v>54144236</v>
      </c>
      <c r="O248">
        <v>45195.627818483794</v>
      </c>
      <c r="P248">
        <v>216</v>
      </c>
      <c r="Q248">
        <v>1</v>
      </c>
      <c r="R248">
        <v>216</v>
      </c>
      <c r="S248">
        <v>45196.067373761573</v>
      </c>
      <c r="T248">
        <v>5509</v>
      </c>
      <c r="U248" t="s">
        <v>1152</v>
      </c>
      <c r="V248" t="s">
        <v>1153</v>
      </c>
      <c r="W248" t="s">
        <v>2</v>
      </c>
      <c r="AI248">
        <v>62</v>
      </c>
      <c r="AJ248">
        <v>62</v>
      </c>
      <c r="AN248">
        <v>45170</v>
      </c>
      <c r="AO248">
        <v>45199</v>
      </c>
      <c r="AP248" t="s">
        <v>1101</v>
      </c>
    </row>
    <row r="249" spans="1:42" x14ac:dyDescent="0.25">
      <c r="A249">
        <v>2023</v>
      </c>
      <c r="B249">
        <v>9</v>
      </c>
      <c r="C249">
        <v>17</v>
      </c>
      <c r="D249" t="s">
        <v>1088</v>
      </c>
      <c r="E249" t="s">
        <v>282</v>
      </c>
      <c r="F249">
        <v>474659</v>
      </c>
      <c r="G249">
        <v>10416675</v>
      </c>
      <c r="H249" t="s">
        <v>282</v>
      </c>
      <c r="J249">
        <v>54158699</v>
      </c>
      <c r="K249">
        <v>1104</v>
      </c>
      <c r="L249">
        <v>1702</v>
      </c>
      <c r="M249">
        <v>1304</v>
      </c>
      <c r="N249">
        <v>54144240</v>
      </c>
      <c r="O249">
        <v>45195.627947488429</v>
      </c>
      <c r="P249">
        <v>216</v>
      </c>
      <c r="Q249">
        <v>1</v>
      </c>
      <c r="R249">
        <v>216</v>
      </c>
      <c r="S249">
        <v>45196.067373761573</v>
      </c>
      <c r="T249">
        <v>5509</v>
      </c>
      <c r="U249" t="s">
        <v>1152</v>
      </c>
      <c r="V249" t="s">
        <v>1153</v>
      </c>
      <c r="W249" t="s">
        <v>2</v>
      </c>
      <c r="AI249">
        <v>62</v>
      </c>
      <c r="AJ249">
        <v>62</v>
      </c>
      <c r="AN249">
        <v>45170</v>
      </c>
      <c r="AO249">
        <v>45199</v>
      </c>
      <c r="AP249" t="s">
        <v>1101</v>
      </c>
    </row>
    <row r="250" spans="1:42" x14ac:dyDescent="0.25">
      <c r="A250">
        <v>2023</v>
      </c>
      <c r="B250">
        <v>9</v>
      </c>
      <c r="C250">
        <v>17</v>
      </c>
      <c r="D250" t="s">
        <v>1088</v>
      </c>
      <c r="E250" t="s">
        <v>282</v>
      </c>
      <c r="F250">
        <v>474659</v>
      </c>
      <c r="G250">
        <v>10416675</v>
      </c>
      <c r="H250" t="s">
        <v>282</v>
      </c>
      <c r="J250">
        <v>54158700</v>
      </c>
      <c r="K250">
        <v>1104</v>
      </c>
      <c r="L250">
        <v>1702</v>
      </c>
      <c r="M250">
        <v>1304</v>
      </c>
      <c r="N250">
        <v>54144241</v>
      </c>
      <c r="O250">
        <v>45195.628004085651</v>
      </c>
      <c r="P250">
        <v>18</v>
      </c>
      <c r="Q250">
        <v>1</v>
      </c>
      <c r="R250">
        <v>18</v>
      </c>
      <c r="S250">
        <v>45196.067373761573</v>
      </c>
      <c r="T250">
        <v>5509</v>
      </c>
      <c r="U250" t="s">
        <v>1152</v>
      </c>
      <c r="V250" t="s">
        <v>1153</v>
      </c>
      <c r="W250" t="s">
        <v>2</v>
      </c>
      <c r="AI250">
        <v>62</v>
      </c>
      <c r="AJ250">
        <v>62</v>
      </c>
      <c r="AN250">
        <v>45170</v>
      </c>
      <c r="AO250">
        <v>45199</v>
      </c>
      <c r="AP250" t="s">
        <v>1101</v>
      </c>
    </row>
    <row r="251" spans="1:42" x14ac:dyDescent="0.25">
      <c r="A251">
        <v>2023</v>
      </c>
      <c r="B251">
        <v>9</v>
      </c>
      <c r="C251">
        <v>17</v>
      </c>
      <c r="D251" t="s">
        <v>1088</v>
      </c>
      <c r="E251" t="s">
        <v>282</v>
      </c>
      <c r="F251">
        <v>179735</v>
      </c>
      <c r="G251">
        <v>10437759</v>
      </c>
      <c r="H251" t="s">
        <v>282</v>
      </c>
      <c r="J251">
        <v>54189567</v>
      </c>
      <c r="K251">
        <v>1100</v>
      </c>
      <c r="L251">
        <v>1700</v>
      </c>
      <c r="M251">
        <v>1304</v>
      </c>
      <c r="P251">
        <v>18</v>
      </c>
      <c r="Q251">
        <v>1</v>
      </c>
      <c r="R251">
        <v>18</v>
      </c>
      <c r="S251">
        <v>45196.536115196759</v>
      </c>
      <c r="T251">
        <v>5500</v>
      </c>
      <c r="U251" t="s">
        <v>1154</v>
      </c>
      <c r="V251" t="s">
        <v>99</v>
      </c>
      <c r="W251" t="s">
        <v>2</v>
      </c>
      <c r="AI251">
        <v>62</v>
      </c>
      <c r="AJ251">
        <v>62</v>
      </c>
      <c r="AN251">
        <v>45170</v>
      </c>
      <c r="AO251">
        <v>45199</v>
      </c>
      <c r="AP251" t="s">
        <v>1101</v>
      </c>
    </row>
    <row r="252" spans="1:42" x14ac:dyDescent="0.25">
      <c r="A252">
        <v>2023</v>
      </c>
      <c r="B252">
        <v>9</v>
      </c>
      <c r="C252">
        <v>17</v>
      </c>
      <c r="D252" t="s">
        <v>1088</v>
      </c>
      <c r="E252" t="s">
        <v>282</v>
      </c>
      <c r="F252">
        <v>619845</v>
      </c>
      <c r="G252">
        <v>10330410</v>
      </c>
      <c r="H252" t="s">
        <v>282</v>
      </c>
      <c r="J252">
        <v>54189636</v>
      </c>
      <c r="K252">
        <v>1101</v>
      </c>
      <c r="L252">
        <v>1702</v>
      </c>
      <c r="M252">
        <v>1301</v>
      </c>
      <c r="N252">
        <v>53663839</v>
      </c>
      <c r="O252">
        <v>45180.443862268519</v>
      </c>
      <c r="P252">
        <v>132.35</v>
      </c>
      <c r="Q252">
        <v>1</v>
      </c>
      <c r="R252">
        <v>132.35</v>
      </c>
      <c r="S252">
        <v>45196.538530439815</v>
      </c>
      <c r="T252">
        <v>5502</v>
      </c>
      <c r="U252" t="s">
        <v>1217</v>
      </c>
      <c r="V252" t="s">
        <v>1155</v>
      </c>
      <c r="W252" t="s">
        <v>1091</v>
      </c>
      <c r="X252" t="s">
        <v>1091</v>
      </c>
      <c r="AD252">
        <v>833324</v>
      </c>
      <c r="AE252" t="s">
        <v>1286</v>
      </c>
      <c r="AF252">
        <v>45196.538530127313</v>
      </c>
      <c r="AI252">
        <v>62</v>
      </c>
      <c r="AJ252">
        <v>62</v>
      </c>
      <c r="AN252">
        <v>45170</v>
      </c>
      <c r="AO252">
        <v>45199</v>
      </c>
      <c r="AP252" t="s">
        <v>1101</v>
      </c>
    </row>
    <row r="253" spans="1:42" x14ac:dyDescent="0.25">
      <c r="A253">
        <v>2023</v>
      </c>
      <c r="B253">
        <v>9</v>
      </c>
      <c r="C253">
        <v>17</v>
      </c>
      <c r="D253" t="s">
        <v>1088</v>
      </c>
      <c r="E253" t="s">
        <v>282</v>
      </c>
      <c r="F253">
        <v>619845</v>
      </c>
      <c r="G253">
        <v>10330410</v>
      </c>
      <c r="H253" t="s">
        <v>282</v>
      </c>
      <c r="J253">
        <v>54189637</v>
      </c>
      <c r="K253">
        <v>1103</v>
      </c>
      <c r="L253">
        <v>1702</v>
      </c>
      <c r="M253">
        <v>1301</v>
      </c>
      <c r="N253">
        <v>53663839</v>
      </c>
      <c r="O253">
        <v>45180.443862268519</v>
      </c>
      <c r="P253">
        <v>50.57</v>
      </c>
      <c r="Q253">
        <v>1</v>
      </c>
      <c r="R253">
        <v>50.57</v>
      </c>
      <c r="S253">
        <v>45196.538530439815</v>
      </c>
      <c r="T253">
        <v>5503</v>
      </c>
      <c r="U253" t="s">
        <v>1218</v>
      </c>
      <c r="V253" t="s">
        <v>1157</v>
      </c>
      <c r="W253" t="s">
        <v>1091</v>
      </c>
      <c r="X253" t="s">
        <v>1091</v>
      </c>
      <c r="AD253">
        <v>833324</v>
      </c>
      <c r="AE253" t="s">
        <v>1286</v>
      </c>
      <c r="AF253">
        <v>45196.538530127313</v>
      </c>
      <c r="AI253">
        <v>62</v>
      </c>
      <c r="AJ253">
        <v>62</v>
      </c>
      <c r="AK253" t="s">
        <v>1219</v>
      </c>
      <c r="AN253">
        <v>45170</v>
      </c>
      <c r="AO253">
        <v>45199</v>
      </c>
      <c r="AP253" t="s">
        <v>1101</v>
      </c>
    </row>
    <row r="254" spans="1:42" x14ac:dyDescent="0.25">
      <c r="A254">
        <v>2023</v>
      </c>
      <c r="B254">
        <v>9</v>
      </c>
      <c r="C254">
        <v>17</v>
      </c>
      <c r="D254" t="s">
        <v>1088</v>
      </c>
      <c r="E254" t="s">
        <v>282</v>
      </c>
      <c r="F254">
        <v>619845</v>
      </c>
      <c r="G254">
        <v>10330410</v>
      </c>
      <c r="H254" t="s">
        <v>282</v>
      </c>
      <c r="J254">
        <v>54189638</v>
      </c>
      <c r="K254">
        <v>1100</v>
      </c>
      <c r="L254">
        <v>1700</v>
      </c>
      <c r="M254">
        <v>1304</v>
      </c>
      <c r="N254">
        <v>53663839</v>
      </c>
      <c r="O254">
        <v>45180.443862268519</v>
      </c>
      <c r="P254">
        <v>33.08</v>
      </c>
      <c r="Q254">
        <v>1</v>
      </c>
      <c r="R254">
        <v>33.08</v>
      </c>
      <c r="S254">
        <v>45196.538530439815</v>
      </c>
      <c r="T254">
        <v>5504</v>
      </c>
      <c r="U254" t="s">
        <v>1220</v>
      </c>
      <c r="V254" t="s">
        <v>1221</v>
      </c>
      <c r="W254" t="s">
        <v>2</v>
      </c>
      <c r="X254" t="s">
        <v>1091</v>
      </c>
      <c r="AD254">
        <v>833324</v>
      </c>
      <c r="AE254" t="s">
        <v>1286</v>
      </c>
      <c r="AF254">
        <v>45196.538530127313</v>
      </c>
      <c r="AI254">
        <v>62</v>
      </c>
      <c r="AJ254">
        <v>62</v>
      </c>
      <c r="AN254">
        <v>45170</v>
      </c>
      <c r="AO254">
        <v>45199</v>
      </c>
      <c r="AP254" t="s">
        <v>1101</v>
      </c>
    </row>
    <row r="255" spans="1:42" x14ac:dyDescent="0.25">
      <c r="A255">
        <v>2023</v>
      </c>
      <c r="B255">
        <v>9</v>
      </c>
      <c r="C255">
        <v>17</v>
      </c>
      <c r="D255" t="s">
        <v>1088</v>
      </c>
      <c r="E255" t="s">
        <v>282</v>
      </c>
      <c r="F255">
        <v>619845</v>
      </c>
      <c r="G255">
        <v>10330410</v>
      </c>
      <c r="H255" t="s">
        <v>282</v>
      </c>
      <c r="J255">
        <v>54189639</v>
      </c>
      <c r="K255">
        <v>1101</v>
      </c>
      <c r="L255">
        <v>1702</v>
      </c>
      <c r="M255">
        <v>1301</v>
      </c>
      <c r="N255">
        <v>53663841</v>
      </c>
      <c r="O255">
        <v>45180.443964120372</v>
      </c>
      <c r="P255">
        <v>132.35</v>
      </c>
      <c r="Q255">
        <v>1</v>
      </c>
      <c r="R255">
        <v>132.35</v>
      </c>
      <c r="S255">
        <v>45196.538530439815</v>
      </c>
      <c r="T255">
        <v>5502</v>
      </c>
      <c r="U255" t="s">
        <v>1217</v>
      </c>
      <c r="V255" t="s">
        <v>1155</v>
      </c>
      <c r="W255" t="s">
        <v>1091</v>
      </c>
      <c r="X255" t="s">
        <v>1091</v>
      </c>
      <c r="AD255">
        <v>833324</v>
      </c>
      <c r="AE255" t="s">
        <v>1286</v>
      </c>
      <c r="AF255">
        <v>45196.538530127313</v>
      </c>
      <c r="AI255">
        <v>62</v>
      </c>
      <c r="AJ255">
        <v>62</v>
      </c>
      <c r="AN255">
        <v>45170</v>
      </c>
      <c r="AO255">
        <v>45199</v>
      </c>
      <c r="AP255" t="s">
        <v>1101</v>
      </c>
    </row>
    <row r="256" spans="1:42" x14ac:dyDescent="0.25">
      <c r="A256">
        <v>2023</v>
      </c>
      <c r="B256">
        <v>9</v>
      </c>
      <c r="C256">
        <v>17</v>
      </c>
      <c r="D256" t="s">
        <v>1088</v>
      </c>
      <c r="E256" t="s">
        <v>282</v>
      </c>
      <c r="F256">
        <v>619845</v>
      </c>
      <c r="G256">
        <v>10330410</v>
      </c>
      <c r="H256" t="s">
        <v>282</v>
      </c>
      <c r="J256">
        <v>54189640</v>
      </c>
      <c r="K256">
        <v>1103</v>
      </c>
      <c r="L256">
        <v>1702</v>
      </c>
      <c r="M256">
        <v>1301</v>
      </c>
      <c r="N256">
        <v>53663841</v>
      </c>
      <c r="O256">
        <v>45180.443964120372</v>
      </c>
      <c r="P256">
        <v>50.57</v>
      </c>
      <c r="Q256">
        <v>1</v>
      </c>
      <c r="R256">
        <v>50.57</v>
      </c>
      <c r="S256">
        <v>45196.538530439815</v>
      </c>
      <c r="T256">
        <v>5503</v>
      </c>
      <c r="U256" t="s">
        <v>1218</v>
      </c>
      <c r="V256" t="s">
        <v>1157</v>
      </c>
      <c r="W256" t="s">
        <v>1091</v>
      </c>
      <c r="X256" t="s">
        <v>1091</v>
      </c>
      <c r="AD256">
        <v>833324</v>
      </c>
      <c r="AE256" t="s">
        <v>1286</v>
      </c>
      <c r="AF256">
        <v>45196.538530127313</v>
      </c>
      <c r="AI256">
        <v>62</v>
      </c>
      <c r="AJ256">
        <v>62</v>
      </c>
      <c r="AK256" t="s">
        <v>1219</v>
      </c>
      <c r="AN256">
        <v>45170</v>
      </c>
      <c r="AO256">
        <v>45199</v>
      </c>
      <c r="AP256" t="s">
        <v>1101</v>
      </c>
    </row>
    <row r="257" spans="1:42" x14ac:dyDescent="0.25">
      <c r="A257">
        <v>2023</v>
      </c>
      <c r="B257">
        <v>9</v>
      </c>
      <c r="C257">
        <v>17</v>
      </c>
      <c r="D257" t="s">
        <v>1088</v>
      </c>
      <c r="E257" t="s">
        <v>282</v>
      </c>
      <c r="F257">
        <v>619845</v>
      </c>
      <c r="G257">
        <v>10330410</v>
      </c>
      <c r="H257" t="s">
        <v>282</v>
      </c>
      <c r="J257">
        <v>54189641</v>
      </c>
      <c r="K257">
        <v>1100</v>
      </c>
      <c r="L257">
        <v>1700</v>
      </c>
      <c r="M257">
        <v>1304</v>
      </c>
      <c r="N257">
        <v>53663841</v>
      </c>
      <c r="O257">
        <v>45180.443964120372</v>
      </c>
      <c r="P257">
        <v>33.08</v>
      </c>
      <c r="Q257">
        <v>1</v>
      </c>
      <c r="R257">
        <v>33.08</v>
      </c>
      <c r="S257">
        <v>45196.538530439815</v>
      </c>
      <c r="T257">
        <v>5504</v>
      </c>
      <c r="U257" t="s">
        <v>1220</v>
      </c>
      <c r="V257" t="s">
        <v>1221</v>
      </c>
      <c r="W257" t="s">
        <v>2</v>
      </c>
      <c r="X257" t="s">
        <v>1091</v>
      </c>
      <c r="AD257">
        <v>833324</v>
      </c>
      <c r="AE257" t="s">
        <v>1286</v>
      </c>
      <c r="AF257">
        <v>45196.538530127313</v>
      </c>
      <c r="AI257">
        <v>62</v>
      </c>
      <c r="AJ257">
        <v>62</v>
      </c>
      <c r="AN257">
        <v>45170</v>
      </c>
      <c r="AO257">
        <v>45199</v>
      </c>
      <c r="AP257" t="s">
        <v>1101</v>
      </c>
    </row>
    <row r="258" spans="1:42" x14ac:dyDescent="0.25">
      <c r="A258">
        <v>2023</v>
      </c>
      <c r="B258">
        <v>9</v>
      </c>
      <c r="C258">
        <v>17</v>
      </c>
      <c r="D258" t="s">
        <v>1088</v>
      </c>
      <c r="E258" t="s">
        <v>282</v>
      </c>
      <c r="F258">
        <v>617865</v>
      </c>
      <c r="G258">
        <v>10293954</v>
      </c>
      <c r="H258" t="s">
        <v>282</v>
      </c>
      <c r="J258">
        <v>54189642</v>
      </c>
      <c r="K258">
        <v>1100</v>
      </c>
      <c r="L258">
        <v>1700</v>
      </c>
      <c r="M258">
        <v>1304</v>
      </c>
      <c r="N258">
        <v>53305401</v>
      </c>
      <c r="O258">
        <v>45167.662420104163</v>
      </c>
      <c r="P258">
        <v>216</v>
      </c>
      <c r="Q258">
        <v>1</v>
      </c>
      <c r="R258">
        <v>216</v>
      </c>
      <c r="S258">
        <v>45196.538530439815</v>
      </c>
      <c r="T258">
        <v>5504</v>
      </c>
      <c r="U258" t="s">
        <v>1220</v>
      </c>
      <c r="V258" t="s">
        <v>1221</v>
      </c>
      <c r="W258" t="s">
        <v>2</v>
      </c>
      <c r="X258" t="s">
        <v>1091</v>
      </c>
      <c r="AD258">
        <v>833324</v>
      </c>
      <c r="AE258" t="s">
        <v>1286</v>
      </c>
      <c r="AF258">
        <v>45196.538530127313</v>
      </c>
      <c r="AI258">
        <v>62</v>
      </c>
      <c r="AJ258">
        <v>62</v>
      </c>
      <c r="AN258">
        <v>45170</v>
      </c>
      <c r="AO258">
        <v>45199</v>
      </c>
      <c r="AP258" t="s">
        <v>1101</v>
      </c>
    </row>
    <row r="259" spans="1:42" x14ac:dyDescent="0.25">
      <c r="A259">
        <v>2023</v>
      </c>
      <c r="B259">
        <v>9</v>
      </c>
      <c r="C259">
        <v>17</v>
      </c>
      <c r="D259" t="s">
        <v>1088</v>
      </c>
      <c r="E259" t="s">
        <v>282</v>
      </c>
      <c r="F259">
        <v>617865</v>
      </c>
      <c r="G259">
        <v>10293954</v>
      </c>
      <c r="H259" t="s">
        <v>282</v>
      </c>
      <c r="J259">
        <v>54189643</v>
      </c>
      <c r="K259">
        <v>1100</v>
      </c>
      <c r="L259">
        <v>1700</v>
      </c>
      <c r="M259">
        <v>1304</v>
      </c>
      <c r="N259">
        <v>53305402</v>
      </c>
      <c r="O259">
        <v>45167.662517395831</v>
      </c>
      <c r="P259">
        <v>216</v>
      </c>
      <c r="Q259">
        <v>1</v>
      </c>
      <c r="R259">
        <v>216</v>
      </c>
      <c r="S259">
        <v>45196.538530439815</v>
      </c>
      <c r="T259">
        <v>5504</v>
      </c>
      <c r="U259" t="s">
        <v>1220</v>
      </c>
      <c r="V259" t="s">
        <v>1221</v>
      </c>
      <c r="W259" t="s">
        <v>2</v>
      </c>
      <c r="X259" t="s">
        <v>1091</v>
      </c>
      <c r="AD259">
        <v>833324</v>
      </c>
      <c r="AE259" t="s">
        <v>1286</v>
      </c>
      <c r="AF259">
        <v>45196.538530127313</v>
      </c>
      <c r="AI259">
        <v>62</v>
      </c>
      <c r="AJ259">
        <v>62</v>
      </c>
      <c r="AN259">
        <v>45170</v>
      </c>
      <c r="AO259">
        <v>45199</v>
      </c>
      <c r="AP259" t="s">
        <v>1101</v>
      </c>
    </row>
    <row r="260" spans="1:42" x14ac:dyDescent="0.25">
      <c r="A260">
        <v>2023</v>
      </c>
      <c r="B260">
        <v>9</v>
      </c>
      <c r="C260">
        <v>17</v>
      </c>
      <c r="D260" t="s">
        <v>1088</v>
      </c>
      <c r="E260" t="s">
        <v>282</v>
      </c>
      <c r="F260">
        <v>619210</v>
      </c>
      <c r="G260">
        <v>10319872</v>
      </c>
      <c r="H260" t="s">
        <v>282</v>
      </c>
      <c r="J260">
        <v>54189644</v>
      </c>
      <c r="K260">
        <v>1101</v>
      </c>
      <c r="L260">
        <v>1702</v>
      </c>
      <c r="M260">
        <v>1301</v>
      </c>
      <c r="N260">
        <v>53713237</v>
      </c>
      <c r="O260">
        <v>45181.557400347221</v>
      </c>
      <c r="P260">
        <v>204.78</v>
      </c>
      <c r="Q260">
        <v>1</v>
      </c>
      <c r="R260">
        <v>204.78</v>
      </c>
      <c r="S260">
        <v>45196.538530439815</v>
      </c>
      <c r="T260">
        <v>5502</v>
      </c>
      <c r="U260" t="s">
        <v>1217</v>
      </c>
      <c r="V260" t="s">
        <v>1155</v>
      </c>
      <c r="W260" t="s">
        <v>1091</v>
      </c>
      <c r="X260" t="s">
        <v>1091</v>
      </c>
      <c r="AD260">
        <v>833324</v>
      </c>
      <c r="AE260" t="s">
        <v>1286</v>
      </c>
      <c r="AF260">
        <v>45196.538530127313</v>
      </c>
      <c r="AI260">
        <v>62</v>
      </c>
      <c r="AJ260">
        <v>62</v>
      </c>
      <c r="AN260">
        <v>45170</v>
      </c>
      <c r="AO260">
        <v>45199</v>
      </c>
      <c r="AP260" t="s">
        <v>1101</v>
      </c>
    </row>
    <row r="261" spans="1:42" x14ac:dyDescent="0.25">
      <c r="A261">
        <v>2023</v>
      </c>
      <c r="B261">
        <v>9</v>
      </c>
      <c r="C261">
        <v>17</v>
      </c>
      <c r="D261" t="s">
        <v>1088</v>
      </c>
      <c r="E261" t="s">
        <v>282</v>
      </c>
      <c r="F261">
        <v>619210</v>
      </c>
      <c r="G261">
        <v>10319872</v>
      </c>
      <c r="H261" t="s">
        <v>282</v>
      </c>
      <c r="J261">
        <v>54189645</v>
      </c>
      <c r="K261">
        <v>1103</v>
      </c>
      <c r="L261">
        <v>1702</v>
      </c>
      <c r="M261">
        <v>1301</v>
      </c>
      <c r="N261">
        <v>53713237</v>
      </c>
      <c r="O261">
        <v>45181.557400347221</v>
      </c>
      <c r="P261">
        <v>11.22</v>
      </c>
      <c r="Q261">
        <v>1</v>
      </c>
      <c r="R261">
        <v>11.22</v>
      </c>
      <c r="S261">
        <v>45196.538530439815</v>
      </c>
      <c r="T261">
        <v>5503</v>
      </c>
      <c r="U261" t="s">
        <v>1218</v>
      </c>
      <c r="V261" t="s">
        <v>1157</v>
      </c>
      <c r="W261" t="s">
        <v>1091</v>
      </c>
      <c r="X261" t="s">
        <v>1091</v>
      </c>
      <c r="AD261">
        <v>833324</v>
      </c>
      <c r="AE261" t="s">
        <v>1286</v>
      </c>
      <c r="AF261">
        <v>45196.538530127313</v>
      </c>
      <c r="AI261">
        <v>62</v>
      </c>
      <c r="AJ261">
        <v>62</v>
      </c>
      <c r="AK261" t="s">
        <v>1219</v>
      </c>
      <c r="AN261">
        <v>45170</v>
      </c>
      <c r="AO261">
        <v>45199</v>
      </c>
      <c r="AP261" t="s">
        <v>1101</v>
      </c>
    </row>
    <row r="262" spans="1:42" x14ac:dyDescent="0.25">
      <c r="A262">
        <v>2023</v>
      </c>
      <c r="B262">
        <v>9</v>
      </c>
      <c r="C262">
        <v>17</v>
      </c>
      <c r="D262" t="s">
        <v>1088</v>
      </c>
      <c r="E262" t="s">
        <v>282</v>
      </c>
      <c r="F262">
        <v>619210</v>
      </c>
      <c r="G262">
        <v>10319872</v>
      </c>
      <c r="H262" t="s">
        <v>282</v>
      </c>
      <c r="J262">
        <v>54189646</v>
      </c>
      <c r="K262">
        <v>1101</v>
      </c>
      <c r="L262">
        <v>1702</v>
      </c>
      <c r="M262">
        <v>1301</v>
      </c>
      <c r="N262">
        <v>53713245</v>
      </c>
      <c r="O262">
        <v>45181.557490706022</v>
      </c>
      <c r="P262">
        <v>204.78</v>
      </c>
      <c r="Q262">
        <v>1</v>
      </c>
      <c r="R262">
        <v>204.78</v>
      </c>
      <c r="S262">
        <v>45196.538530439815</v>
      </c>
      <c r="T262">
        <v>5502</v>
      </c>
      <c r="U262" t="s">
        <v>1217</v>
      </c>
      <c r="V262" t="s">
        <v>1155</v>
      </c>
      <c r="W262" t="s">
        <v>1091</v>
      </c>
      <c r="X262" t="s">
        <v>1091</v>
      </c>
      <c r="AD262">
        <v>833324</v>
      </c>
      <c r="AE262" t="s">
        <v>1286</v>
      </c>
      <c r="AF262">
        <v>45196.538530127313</v>
      </c>
      <c r="AI262">
        <v>62</v>
      </c>
      <c r="AJ262">
        <v>62</v>
      </c>
      <c r="AN262">
        <v>45170</v>
      </c>
      <c r="AO262">
        <v>45199</v>
      </c>
      <c r="AP262" t="s">
        <v>1101</v>
      </c>
    </row>
    <row r="263" spans="1:42" x14ac:dyDescent="0.25">
      <c r="A263">
        <v>2023</v>
      </c>
      <c r="B263">
        <v>9</v>
      </c>
      <c r="C263">
        <v>17</v>
      </c>
      <c r="D263" t="s">
        <v>1088</v>
      </c>
      <c r="E263" t="s">
        <v>282</v>
      </c>
      <c r="F263">
        <v>619210</v>
      </c>
      <c r="G263">
        <v>10319872</v>
      </c>
      <c r="H263" t="s">
        <v>282</v>
      </c>
      <c r="J263">
        <v>54189647</v>
      </c>
      <c r="K263">
        <v>1103</v>
      </c>
      <c r="L263">
        <v>1702</v>
      </c>
      <c r="M263">
        <v>1301</v>
      </c>
      <c r="N263">
        <v>53713245</v>
      </c>
      <c r="O263">
        <v>45181.557490706022</v>
      </c>
      <c r="P263">
        <v>11.22</v>
      </c>
      <c r="Q263">
        <v>1</v>
      </c>
      <c r="R263">
        <v>11.22</v>
      </c>
      <c r="S263">
        <v>45196.538530439815</v>
      </c>
      <c r="T263">
        <v>5503</v>
      </c>
      <c r="U263" t="s">
        <v>1218</v>
      </c>
      <c r="V263" t="s">
        <v>1157</v>
      </c>
      <c r="W263" t="s">
        <v>1091</v>
      </c>
      <c r="X263" t="s">
        <v>1091</v>
      </c>
      <c r="AD263">
        <v>833324</v>
      </c>
      <c r="AE263" t="s">
        <v>1286</v>
      </c>
      <c r="AF263">
        <v>45196.538530127313</v>
      </c>
      <c r="AI263">
        <v>62</v>
      </c>
      <c r="AJ263">
        <v>62</v>
      </c>
      <c r="AK263" t="s">
        <v>1219</v>
      </c>
      <c r="AN263">
        <v>45170</v>
      </c>
      <c r="AO263">
        <v>45199</v>
      </c>
      <c r="AP263" t="s">
        <v>1101</v>
      </c>
    </row>
    <row r="264" spans="1:42" x14ac:dyDescent="0.25">
      <c r="A264">
        <v>2023</v>
      </c>
      <c r="B264">
        <v>9</v>
      </c>
      <c r="C264">
        <v>17</v>
      </c>
      <c r="D264" t="s">
        <v>1088</v>
      </c>
      <c r="E264" t="s">
        <v>282</v>
      </c>
      <c r="F264">
        <v>624509</v>
      </c>
      <c r="G264">
        <v>10419196</v>
      </c>
      <c r="H264" t="s">
        <v>282</v>
      </c>
      <c r="J264">
        <v>54254069</v>
      </c>
      <c r="K264">
        <v>1104</v>
      </c>
      <c r="L264">
        <v>1702</v>
      </c>
      <c r="M264">
        <v>1304</v>
      </c>
      <c r="N264">
        <v>54249156</v>
      </c>
      <c r="O264">
        <v>45197.690313969906</v>
      </c>
      <c r="P264">
        <v>216</v>
      </c>
      <c r="Q264">
        <v>1</v>
      </c>
      <c r="R264">
        <v>216</v>
      </c>
      <c r="S264">
        <v>45198.067372337966</v>
      </c>
      <c r="T264">
        <v>5509</v>
      </c>
      <c r="U264" t="s">
        <v>1152</v>
      </c>
      <c r="V264" t="s">
        <v>1153</v>
      </c>
      <c r="W264" t="s">
        <v>2</v>
      </c>
      <c r="AI264">
        <v>62</v>
      </c>
      <c r="AJ264">
        <v>62</v>
      </c>
      <c r="AN264">
        <v>45170</v>
      </c>
      <c r="AO264">
        <v>45199</v>
      </c>
      <c r="AP264" t="s">
        <v>1101</v>
      </c>
    </row>
    <row r="265" spans="1:42" x14ac:dyDescent="0.25">
      <c r="A265">
        <v>2023</v>
      </c>
      <c r="B265">
        <v>9</v>
      </c>
      <c r="C265">
        <v>17</v>
      </c>
      <c r="D265" t="s">
        <v>1088</v>
      </c>
      <c r="E265" t="s">
        <v>282</v>
      </c>
      <c r="F265">
        <v>624509</v>
      </c>
      <c r="G265">
        <v>10419196</v>
      </c>
      <c r="H265" t="s">
        <v>282</v>
      </c>
      <c r="J265">
        <v>54254070</v>
      </c>
      <c r="K265">
        <v>1104</v>
      </c>
      <c r="L265">
        <v>1702</v>
      </c>
      <c r="M265">
        <v>1304</v>
      </c>
      <c r="N265">
        <v>54249280</v>
      </c>
      <c r="O265">
        <v>45197.691455474538</v>
      </c>
      <c r="P265">
        <v>216</v>
      </c>
      <c r="Q265">
        <v>1</v>
      </c>
      <c r="R265">
        <v>216</v>
      </c>
      <c r="S265">
        <v>45198.067372337966</v>
      </c>
      <c r="T265">
        <v>5509</v>
      </c>
      <c r="U265" t="s">
        <v>1152</v>
      </c>
      <c r="V265" t="s">
        <v>1153</v>
      </c>
      <c r="W265" t="s">
        <v>2</v>
      </c>
      <c r="AI265">
        <v>62</v>
      </c>
      <c r="AJ265">
        <v>62</v>
      </c>
      <c r="AN265">
        <v>45170</v>
      </c>
      <c r="AO265">
        <v>45199</v>
      </c>
      <c r="AP265" t="s">
        <v>1101</v>
      </c>
    </row>
    <row r="266" spans="1:42" x14ac:dyDescent="0.25">
      <c r="A266">
        <v>2023</v>
      </c>
      <c r="B266">
        <v>9</v>
      </c>
      <c r="C266">
        <v>17</v>
      </c>
      <c r="D266" t="s">
        <v>1088</v>
      </c>
      <c r="E266" t="s">
        <v>282</v>
      </c>
      <c r="F266">
        <v>624509</v>
      </c>
      <c r="G266">
        <v>10419196</v>
      </c>
      <c r="H266" t="s">
        <v>282</v>
      </c>
      <c r="J266">
        <v>54254071</v>
      </c>
      <c r="K266">
        <v>1104</v>
      </c>
      <c r="L266">
        <v>1702</v>
      </c>
      <c r="M266">
        <v>1304</v>
      </c>
      <c r="N266">
        <v>54249282</v>
      </c>
      <c r="O266">
        <v>45197.691513923608</v>
      </c>
      <c r="P266">
        <v>18</v>
      </c>
      <c r="Q266">
        <v>1</v>
      </c>
      <c r="R266">
        <v>18</v>
      </c>
      <c r="S266">
        <v>45198.067372337966</v>
      </c>
      <c r="T266">
        <v>5509</v>
      </c>
      <c r="U266" t="s">
        <v>1152</v>
      </c>
      <c r="V266" t="s">
        <v>1153</v>
      </c>
      <c r="W266" t="s">
        <v>2</v>
      </c>
      <c r="AI266">
        <v>62</v>
      </c>
      <c r="AJ266">
        <v>62</v>
      </c>
      <c r="AN266">
        <v>45170</v>
      </c>
      <c r="AO266">
        <v>45199</v>
      </c>
      <c r="AP266" t="s">
        <v>1101</v>
      </c>
    </row>
    <row r="267" spans="1:42" x14ac:dyDescent="0.25">
      <c r="A267">
        <v>2023</v>
      </c>
      <c r="B267">
        <v>9</v>
      </c>
      <c r="C267">
        <v>17</v>
      </c>
      <c r="D267" t="s">
        <v>1088</v>
      </c>
      <c r="E267" t="s">
        <v>282</v>
      </c>
      <c r="F267">
        <v>625508</v>
      </c>
      <c r="G267">
        <v>10438192</v>
      </c>
      <c r="H267" t="s">
        <v>282</v>
      </c>
      <c r="J267">
        <v>54308990</v>
      </c>
      <c r="K267">
        <v>1104</v>
      </c>
      <c r="L267">
        <v>1702</v>
      </c>
      <c r="M267">
        <v>1304</v>
      </c>
      <c r="N267">
        <v>54286087</v>
      </c>
      <c r="O267">
        <v>45198.437789664349</v>
      </c>
      <c r="P267">
        <v>216</v>
      </c>
      <c r="Q267">
        <v>1</v>
      </c>
      <c r="R267">
        <v>216</v>
      </c>
      <c r="S267">
        <v>45199.067372766207</v>
      </c>
      <c r="T267">
        <v>5509</v>
      </c>
      <c r="U267" t="s">
        <v>1152</v>
      </c>
      <c r="V267" t="s">
        <v>1153</v>
      </c>
      <c r="W267" t="s">
        <v>2</v>
      </c>
      <c r="AI267">
        <v>62</v>
      </c>
      <c r="AJ267">
        <v>62</v>
      </c>
      <c r="AN267">
        <v>45170</v>
      </c>
      <c r="AO267">
        <v>45199</v>
      </c>
      <c r="AP267" t="s">
        <v>1101</v>
      </c>
    </row>
    <row r="268" spans="1:42" x14ac:dyDescent="0.25">
      <c r="A268">
        <v>2023</v>
      </c>
      <c r="B268">
        <v>9</v>
      </c>
      <c r="C268">
        <v>17</v>
      </c>
      <c r="D268" t="s">
        <v>1088</v>
      </c>
      <c r="E268" t="s">
        <v>282</v>
      </c>
      <c r="F268">
        <v>607207</v>
      </c>
      <c r="H268" t="s">
        <v>282</v>
      </c>
      <c r="I268">
        <v>1243718</v>
      </c>
      <c r="M268">
        <v>1304</v>
      </c>
      <c r="P268">
        <v>66.16</v>
      </c>
      <c r="Q268">
        <v>1</v>
      </c>
      <c r="R268">
        <v>66.16</v>
      </c>
      <c r="S268">
        <v>45180</v>
      </c>
      <c r="U268" t="s">
        <v>222</v>
      </c>
      <c r="V268" t="s">
        <v>102</v>
      </c>
      <c r="W268" t="s">
        <v>1091</v>
      </c>
      <c r="AI268">
        <v>62</v>
      </c>
      <c r="AL268" t="s">
        <v>1159</v>
      </c>
      <c r="AM268" t="s">
        <v>282</v>
      </c>
      <c r="AN268">
        <v>45170</v>
      </c>
      <c r="AO268">
        <v>45199</v>
      </c>
      <c r="AP268" t="s">
        <v>1101</v>
      </c>
    </row>
    <row r="269" spans="1:42" x14ac:dyDescent="0.25">
      <c r="A269">
        <v>2023</v>
      </c>
      <c r="B269">
        <v>9</v>
      </c>
      <c r="C269">
        <v>17</v>
      </c>
      <c r="D269" t="s">
        <v>1088</v>
      </c>
      <c r="E269" t="s">
        <v>282</v>
      </c>
      <c r="F269">
        <v>621669</v>
      </c>
      <c r="H269" t="s">
        <v>282</v>
      </c>
      <c r="I269">
        <v>1246877</v>
      </c>
      <c r="M269">
        <v>1304</v>
      </c>
      <c r="P269">
        <v>88</v>
      </c>
      <c r="Q269">
        <v>1</v>
      </c>
      <c r="R269">
        <v>88</v>
      </c>
      <c r="S269">
        <v>45183</v>
      </c>
      <c r="U269" t="s">
        <v>222</v>
      </c>
      <c r="V269" t="s">
        <v>102</v>
      </c>
      <c r="AI269">
        <v>62</v>
      </c>
      <c r="AL269" t="s">
        <v>1159</v>
      </c>
      <c r="AM269" t="s">
        <v>282</v>
      </c>
      <c r="AN269">
        <v>45170</v>
      </c>
      <c r="AO269">
        <v>45199</v>
      </c>
      <c r="AP269" t="s">
        <v>1101</v>
      </c>
    </row>
    <row r="270" spans="1:42" x14ac:dyDescent="0.25">
      <c r="A270">
        <v>2023</v>
      </c>
      <c r="B270">
        <v>9</v>
      </c>
      <c r="C270">
        <v>17</v>
      </c>
      <c r="D270" t="s">
        <v>1088</v>
      </c>
      <c r="E270" t="s">
        <v>282</v>
      </c>
      <c r="F270">
        <v>621770</v>
      </c>
      <c r="H270" t="s">
        <v>282</v>
      </c>
      <c r="I270">
        <v>1247144</v>
      </c>
      <c r="M270">
        <v>1304</v>
      </c>
      <c r="P270">
        <v>432</v>
      </c>
      <c r="Q270">
        <v>1</v>
      </c>
      <c r="R270">
        <v>432</v>
      </c>
      <c r="S270">
        <v>45183</v>
      </c>
      <c r="U270" t="s">
        <v>222</v>
      </c>
      <c r="V270" t="s">
        <v>102</v>
      </c>
      <c r="AI270">
        <v>62</v>
      </c>
      <c r="AL270" t="s">
        <v>1159</v>
      </c>
      <c r="AM270" t="s">
        <v>282</v>
      </c>
      <c r="AN270">
        <v>45170</v>
      </c>
      <c r="AO270">
        <v>45199</v>
      </c>
      <c r="AP270" t="s">
        <v>1101</v>
      </c>
    </row>
    <row r="271" spans="1:42" x14ac:dyDescent="0.25">
      <c r="A271">
        <v>2023</v>
      </c>
      <c r="B271">
        <v>9</v>
      </c>
      <c r="C271">
        <v>17</v>
      </c>
      <c r="D271" t="s">
        <v>1088</v>
      </c>
      <c r="E271" t="s">
        <v>282</v>
      </c>
      <c r="F271">
        <v>618969</v>
      </c>
      <c r="H271" t="s">
        <v>282</v>
      </c>
      <c r="I271">
        <v>1239389</v>
      </c>
      <c r="M271">
        <v>1304</v>
      </c>
      <c r="P271">
        <v>250</v>
      </c>
      <c r="Q271">
        <v>1</v>
      </c>
      <c r="R271">
        <v>250</v>
      </c>
      <c r="S271">
        <v>45174</v>
      </c>
      <c r="U271" t="s">
        <v>222</v>
      </c>
      <c r="V271" t="s">
        <v>102</v>
      </c>
      <c r="AI271">
        <v>62</v>
      </c>
      <c r="AL271" t="s">
        <v>1159</v>
      </c>
      <c r="AM271" t="s">
        <v>282</v>
      </c>
      <c r="AN271">
        <v>45170</v>
      </c>
      <c r="AO271">
        <v>45199</v>
      </c>
      <c r="AP271" t="s">
        <v>1101</v>
      </c>
    </row>
    <row r="272" spans="1:42" x14ac:dyDescent="0.25">
      <c r="A272">
        <v>2023</v>
      </c>
      <c r="B272">
        <v>9</v>
      </c>
      <c r="C272">
        <v>17</v>
      </c>
      <c r="D272" t="s">
        <v>1088</v>
      </c>
      <c r="E272" t="s">
        <v>282</v>
      </c>
      <c r="F272">
        <v>618969</v>
      </c>
      <c r="H272" t="s">
        <v>282</v>
      </c>
      <c r="I272">
        <v>1247196</v>
      </c>
      <c r="M272">
        <v>1304</v>
      </c>
      <c r="P272">
        <v>182</v>
      </c>
      <c r="Q272">
        <v>1</v>
      </c>
      <c r="R272">
        <v>182</v>
      </c>
      <c r="S272">
        <v>45183</v>
      </c>
      <c r="U272" t="s">
        <v>222</v>
      </c>
      <c r="V272" t="s">
        <v>102</v>
      </c>
      <c r="AI272">
        <v>62</v>
      </c>
      <c r="AL272" t="s">
        <v>1159</v>
      </c>
      <c r="AM272" t="s">
        <v>282</v>
      </c>
      <c r="AN272">
        <v>45170</v>
      </c>
      <c r="AO272">
        <v>45199</v>
      </c>
      <c r="AP272" t="s">
        <v>1101</v>
      </c>
    </row>
    <row r="273" spans="1:42" x14ac:dyDescent="0.25">
      <c r="A273">
        <v>2023</v>
      </c>
      <c r="B273">
        <v>9</v>
      </c>
      <c r="C273">
        <v>17</v>
      </c>
      <c r="D273" t="s">
        <v>1088</v>
      </c>
      <c r="E273" t="s">
        <v>282</v>
      </c>
      <c r="F273">
        <v>619013</v>
      </c>
      <c r="H273" t="s">
        <v>282</v>
      </c>
      <c r="I273">
        <v>1253186</v>
      </c>
      <c r="M273">
        <v>1304</v>
      </c>
      <c r="P273">
        <v>50</v>
      </c>
      <c r="Q273">
        <v>1</v>
      </c>
      <c r="R273">
        <v>50</v>
      </c>
      <c r="S273">
        <v>45191</v>
      </c>
      <c r="U273" t="s">
        <v>222</v>
      </c>
      <c r="V273" t="s">
        <v>102</v>
      </c>
      <c r="AI273">
        <v>62</v>
      </c>
      <c r="AL273" t="s">
        <v>1159</v>
      </c>
      <c r="AM273" t="s">
        <v>282</v>
      </c>
      <c r="AN273">
        <v>45170</v>
      </c>
      <c r="AO273">
        <v>45199</v>
      </c>
      <c r="AP273" t="s">
        <v>1101</v>
      </c>
    </row>
    <row r="274" spans="1:42" x14ac:dyDescent="0.25">
      <c r="A274">
        <v>2023</v>
      </c>
      <c r="B274">
        <v>9</v>
      </c>
      <c r="C274">
        <v>17</v>
      </c>
      <c r="D274" t="s">
        <v>1088</v>
      </c>
      <c r="E274" t="s">
        <v>282</v>
      </c>
      <c r="F274">
        <v>618954</v>
      </c>
      <c r="H274" t="s">
        <v>282</v>
      </c>
      <c r="I274">
        <v>1241755</v>
      </c>
      <c r="M274">
        <v>1304</v>
      </c>
      <c r="P274">
        <v>450</v>
      </c>
      <c r="Q274">
        <v>1</v>
      </c>
      <c r="R274">
        <v>450</v>
      </c>
      <c r="S274">
        <v>45176</v>
      </c>
      <c r="U274" t="s">
        <v>222</v>
      </c>
      <c r="V274" t="s">
        <v>102</v>
      </c>
      <c r="AI274">
        <v>62</v>
      </c>
      <c r="AL274" t="s">
        <v>1159</v>
      </c>
      <c r="AM274" t="s">
        <v>282</v>
      </c>
      <c r="AN274">
        <v>45170</v>
      </c>
      <c r="AO274">
        <v>45199</v>
      </c>
      <c r="AP274" t="s">
        <v>1101</v>
      </c>
    </row>
    <row r="275" spans="1:42" x14ac:dyDescent="0.25">
      <c r="A275">
        <v>2023</v>
      </c>
      <c r="B275">
        <v>9</v>
      </c>
      <c r="C275">
        <v>17</v>
      </c>
      <c r="D275" t="s">
        <v>1088</v>
      </c>
      <c r="E275" t="s">
        <v>282</v>
      </c>
      <c r="F275">
        <v>619013</v>
      </c>
      <c r="H275" t="s">
        <v>282</v>
      </c>
      <c r="I275">
        <v>1242685</v>
      </c>
      <c r="M275">
        <v>1304</v>
      </c>
      <c r="P275">
        <v>125</v>
      </c>
      <c r="Q275">
        <v>1</v>
      </c>
      <c r="R275">
        <v>125</v>
      </c>
      <c r="S275">
        <v>45177</v>
      </c>
      <c r="U275" t="s">
        <v>222</v>
      </c>
      <c r="V275" t="s">
        <v>102</v>
      </c>
      <c r="AI275">
        <v>62</v>
      </c>
      <c r="AL275" t="s">
        <v>1159</v>
      </c>
      <c r="AM275" t="s">
        <v>282</v>
      </c>
      <c r="AN275">
        <v>45170</v>
      </c>
      <c r="AO275">
        <v>45199</v>
      </c>
      <c r="AP275" t="s">
        <v>1101</v>
      </c>
    </row>
    <row r="276" spans="1:42" x14ac:dyDescent="0.25">
      <c r="A276">
        <v>2023</v>
      </c>
      <c r="B276">
        <v>9</v>
      </c>
      <c r="C276">
        <v>17</v>
      </c>
      <c r="D276" t="s">
        <v>1088</v>
      </c>
      <c r="E276" t="s">
        <v>282</v>
      </c>
      <c r="F276">
        <v>624555</v>
      </c>
      <c r="H276" t="s">
        <v>282</v>
      </c>
      <c r="I276">
        <v>1254245</v>
      </c>
      <c r="M276">
        <v>1304</v>
      </c>
      <c r="P276">
        <v>21.2</v>
      </c>
      <c r="Q276">
        <v>1</v>
      </c>
      <c r="R276">
        <v>21.2</v>
      </c>
      <c r="S276">
        <v>45194</v>
      </c>
      <c r="U276" t="s">
        <v>222</v>
      </c>
      <c r="V276" t="s">
        <v>102</v>
      </c>
      <c r="AI276">
        <v>62</v>
      </c>
      <c r="AL276" t="s">
        <v>110</v>
      </c>
      <c r="AM276" t="s">
        <v>282</v>
      </c>
      <c r="AN276">
        <v>45170</v>
      </c>
      <c r="AO276">
        <v>45199</v>
      </c>
      <c r="AP276" t="s">
        <v>1101</v>
      </c>
    </row>
    <row r="277" spans="1:42" x14ac:dyDescent="0.25">
      <c r="A277">
        <v>2023</v>
      </c>
      <c r="B277">
        <v>9</v>
      </c>
      <c r="C277">
        <v>17</v>
      </c>
      <c r="D277" t="s">
        <v>1088</v>
      </c>
      <c r="E277" t="s">
        <v>282</v>
      </c>
      <c r="F277">
        <v>625508</v>
      </c>
      <c r="H277" t="s">
        <v>282</v>
      </c>
      <c r="I277">
        <v>1258613</v>
      </c>
      <c r="M277">
        <v>1304</v>
      </c>
      <c r="P277">
        <v>216</v>
      </c>
      <c r="Q277">
        <v>1</v>
      </c>
      <c r="R277">
        <v>216</v>
      </c>
      <c r="S277">
        <v>45198</v>
      </c>
      <c r="U277" t="s">
        <v>222</v>
      </c>
      <c r="V277" t="s">
        <v>102</v>
      </c>
      <c r="AI277">
        <v>62</v>
      </c>
      <c r="AL277" t="s">
        <v>1159</v>
      </c>
      <c r="AM277" t="s">
        <v>282</v>
      </c>
      <c r="AN277">
        <v>45170</v>
      </c>
      <c r="AO277">
        <v>45199</v>
      </c>
      <c r="AP277" t="s">
        <v>1101</v>
      </c>
    </row>
    <row r="278" spans="1:42" x14ac:dyDescent="0.25">
      <c r="A278">
        <v>2023</v>
      </c>
      <c r="B278">
        <v>9</v>
      </c>
      <c r="C278">
        <v>17</v>
      </c>
      <c r="D278" t="s">
        <v>1088</v>
      </c>
      <c r="E278" t="s">
        <v>282</v>
      </c>
      <c r="F278">
        <v>456649</v>
      </c>
      <c r="G278">
        <v>7103241</v>
      </c>
      <c r="H278" t="s">
        <v>282</v>
      </c>
      <c r="J278">
        <v>53627154</v>
      </c>
      <c r="K278">
        <v>1104</v>
      </c>
      <c r="L278">
        <v>1702</v>
      </c>
      <c r="M278">
        <v>1304</v>
      </c>
      <c r="N278">
        <v>35819153</v>
      </c>
      <c r="O278">
        <v>44466.591914965276</v>
      </c>
      <c r="P278">
        <v>16</v>
      </c>
      <c r="Q278">
        <v>1</v>
      </c>
      <c r="R278">
        <v>16</v>
      </c>
      <c r="S278">
        <v>45177.545548530092</v>
      </c>
      <c r="T278">
        <v>5509</v>
      </c>
      <c r="U278" t="s">
        <v>1152</v>
      </c>
      <c r="V278" t="s">
        <v>1153</v>
      </c>
      <c r="W278" t="s">
        <v>2</v>
      </c>
      <c r="AI278">
        <v>62</v>
      </c>
      <c r="AJ278">
        <v>62</v>
      </c>
      <c r="AN278">
        <v>45170</v>
      </c>
      <c r="AO278">
        <v>45199</v>
      </c>
      <c r="AP278" t="s">
        <v>1101</v>
      </c>
    </row>
    <row r="279" spans="1:42" x14ac:dyDescent="0.25">
      <c r="A279">
        <v>2023</v>
      </c>
      <c r="B279">
        <v>9</v>
      </c>
      <c r="C279">
        <v>17</v>
      </c>
      <c r="D279" t="s">
        <v>1088</v>
      </c>
      <c r="E279" t="s">
        <v>282</v>
      </c>
      <c r="F279">
        <v>610259</v>
      </c>
      <c r="G279">
        <v>10144641</v>
      </c>
      <c r="H279" t="s">
        <v>282</v>
      </c>
      <c r="J279">
        <v>53638884</v>
      </c>
      <c r="K279">
        <v>1105</v>
      </c>
      <c r="L279">
        <v>1702</v>
      </c>
      <c r="M279">
        <v>1300</v>
      </c>
      <c r="N279">
        <v>52497413</v>
      </c>
      <c r="O279">
        <v>45141.656477812503</v>
      </c>
      <c r="P279">
        <v>216</v>
      </c>
      <c r="Q279">
        <v>1</v>
      </c>
      <c r="R279">
        <v>-216</v>
      </c>
      <c r="S279">
        <v>45177.617610532405</v>
      </c>
      <c r="T279">
        <v>5511</v>
      </c>
      <c r="U279" t="s">
        <v>1156</v>
      </c>
      <c r="V279" t="s">
        <v>99</v>
      </c>
      <c r="W279" t="s">
        <v>1032</v>
      </c>
      <c r="X279" t="s">
        <v>1032</v>
      </c>
      <c r="AI279">
        <v>62</v>
      </c>
      <c r="AJ279">
        <v>62</v>
      </c>
      <c r="AN279">
        <v>45170</v>
      </c>
      <c r="AO279">
        <v>45199</v>
      </c>
      <c r="AP279" t="s">
        <v>1101</v>
      </c>
    </row>
    <row r="280" spans="1:42" x14ac:dyDescent="0.25">
      <c r="A280">
        <v>2023</v>
      </c>
      <c r="B280">
        <v>9</v>
      </c>
      <c r="C280">
        <v>17</v>
      </c>
      <c r="D280" t="s">
        <v>1088</v>
      </c>
      <c r="E280" t="s">
        <v>282</v>
      </c>
      <c r="F280">
        <v>610259</v>
      </c>
      <c r="G280">
        <v>10144641</v>
      </c>
      <c r="H280" t="s">
        <v>282</v>
      </c>
      <c r="J280">
        <v>53638885</v>
      </c>
      <c r="K280">
        <v>1105</v>
      </c>
      <c r="L280">
        <v>1702</v>
      </c>
      <c r="M280">
        <v>1300</v>
      </c>
      <c r="N280">
        <v>52497415</v>
      </c>
      <c r="O280">
        <v>45141.65658052083</v>
      </c>
      <c r="P280">
        <v>216</v>
      </c>
      <c r="Q280">
        <v>1</v>
      </c>
      <c r="R280">
        <v>-216</v>
      </c>
      <c r="S280">
        <v>45177.617653622685</v>
      </c>
      <c r="T280">
        <v>5511</v>
      </c>
      <c r="U280" t="s">
        <v>1156</v>
      </c>
      <c r="V280" t="s">
        <v>99</v>
      </c>
      <c r="W280" t="s">
        <v>1032</v>
      </c>
      <c r="X280" t="s">
        <v>1032</v>
      </c>
      <c r="AI280">
        <v>62</v>
      </c>
      <c r="AJ280">
        <v>62</v>
      </c>
      <c r="AN280">
        <v>45170</v>
      </c>
      <c r="AO280">
        <v>45199</v>
      </c>
      <c r="AP280" t="s">
        <v>1101</v>
      </c>
    </row>
    <row r="281" spans="1:42" x14ac:dyDescent="0.25">
      <c r="A281">
        <v>2023</v>
      </c>
      <c r="B281">
        <v>9</v>
      </c>
      <c r="C281">
        <v>17</v>
      </c>
      <c r="D281" t="s">
        <v>1088</v>
      </c>
      <c r="E281" t="s">
        <v>282</v>
      </c>
      <c r="F281">
        <v>607391</v>
      </c>
      <c r="G281">
        <v>10089945</v>
      </c>
      <c r="H281" t="s">
        <v>282</v>
      </c>
      <c r="J281">
        <v>53961931</v>
      </c>
      <c r="K281">
        <v>1101</v>
      </c>
      <c r="L281">
        <v>1702</v>
      </c>
      <c r="M281">
        <v>1301</v>
      </c>
      <c r="N281">
        <v>52077807</v>
      </c>
      <c r="O281">
        <v>45128.441677314811</v>
      </c>
      <c r="P281">
        <v>109.5</v>
      </c>
      <c r="Q281">
        <v>1</v>
      </c>
      <c r="R281">
        <v>109.5</v>
      </c>
      <c r="S281">
        <v>45189.372612118059</v>
      </c>
      <c r="T281">
        <v>5502</v>
      </c>
      <c r="U281" t="s">
        <v>1217</v>
      </c>
      <c r="V281" t="s">
        <v>1155</v>
      </c>
      <c r="W281" t="s">
        <v>1031</v>
      </c>
      <c r="X281" t="s">
        <v>1031</v>
      </c>
      <c r="AD281">
        <v>830515</v>
      </c>
      <c r="AE281" t="s">
        <v>1287</v>
      </c>
      <c r="AF281">
        <v>45189.372611770836</v>
      </c>
      <c r="AI281">
        <v>62</v>
      </c>
      <c r="AJ281">
        <v>62</v>
      </c>
      <c r="AN281">
        <v>45170</v>
      </c>
      <c r="AO281">
        <v>45199</v>
      </c>
      <c r="AP281" t="s">
        <v>1101</v>
      </c>
    </row>
    <row r="282" spans="1:42" x14ac:dyDescent="0.25">
      <c r="A282">
        <v>2023</v>
      </c>
      <c r="B282">
        <v>9</v>
      </c>
      <c r="C282">
        <v>17</v>
      </c>
      <c r="D282" t="s">
        <v>1088</v>
      </c>
      <c r="E282" t="s">
        <v>282</v>
      </c>
      <c r="F282">
        <v>580115</v>
      </c>
      <c r="G282">
        <v>9583109</v>
      </c>
      <c r="H282" t="s">
        <v>282</v>
      </c>
      <c r="J282">
        <v>53986869</v>
      </c>
      <c r="K282">
        <v>1104</v>
      </c>
      <c r="L282">
        <v>1702</v>
      </c>
      <c r="M282">
        <v>1304</v>
      </c>
      <c r="N282">
        <v>49180569</v>
      </c>
      <c r="O282">
        <v>45036.662660381946</v>
      </c>
      <c r="P282">
        <v>49.63</v>
      </c>
      <c r="Q282">
        <v>1</v>
      </c>
      <c r="R282">
        <v>49.63</v>
      </c>
      <c r="S282">
        <v>45190.067371990743</v>
      </c>
      <c r="T282">
        <v>5509</v>
      </c>
      <c r="U282" t="s">
        <v>1152</v>
      </c>
      <c r="V282" t="s">
        <v>1153</v>
      </c>
      <c r="W282" t="s">
        <v>2</v>
      </c>
      <c r="X282" t="s">
        <v>1091</v>
      </c>
      <c r="AI282">
        <v>62</v>
      </c>
      <c r="AJ282">
        <v>62</v>
      </c>
      <c r="AN282">
        <v>45170</v>
      </c>
      <c r="AO282">
        <v>45199</v>
      </c>
      <c r="AP282" t="s">
        <v>1101</v>
      </c>
    </row>
    <row r="283" spans="1:42" x14ac:dyDescent="0.25">
      <c r="A283">
        <v>2023</v>
      </c>
      <c r="B283">
        <v>9</v>
      </c>
      <c r="C283">
        <v>17</v>
      </c>
      <c r="D283" t="s">
        <v>1088</v>
      </c>
      <c r="E283" t="s">
        <v>282</v>
      </c>
      <c r="F283">
        <v>580115</v>
      </c>
      <c r="G283">
        <v>9583109</v>
      </c>
      <c r="H283" t="s">
        <v>282</v>
      </c>
      <c r="J283">
        <v>53986870</v>
      </c>
      <c r="K283">
        <v>1104</v>
      </c>
      <c r="L283">
        <v>1702</v>
      </c>
      <c r="M283">
        <v>1304</v>
      </c>
      <c r="N283">
        <v>49180573</v>
      </c>
      <c r="O283">
        <v>45036.662754548612</v>
      </c>
      <c r="P283">
        <v>49.63</v>
      </c>
      <c r="Q283">
        <v>1</v>
      </c>
      <c r="R283">
        <v>49.63</v>
      </c>
      <c r="S283">
        <v>45190.067371990743</v>
      </c>
      <c r="T283">
        <v>5509</v>
      </c>
      <c r="U283" t="s">
        <v>1152</v>
      </c>
      <c r="V283" t="s">
        <v>1153</v>
      </c>
      <c r="W283" t="s">
        <v>2</v>
      </c>
      <c r="X283" t="s">
        <v>1091</v>
      </c>
      <c r="AI283">
        <v>62</v>
      </c>
      <c r="AJ283">
        <v>62</v>
      </c>
      <c r="AN283">
        <v>45170</v>
      </c>
      <c r="AO283">
        <v>45199</v>
      </c>
      <c r="AP283" t="s">
        <v>1101</v>
      </c>
    </row>
    <row r="284" spans="1:42" x14ac:dyDescent="0.25">
      <c r="A284">
        <v>2023</v>
      </c>
      <c r="B284">
        <v>9</v>
      </c>
      <c r="C284">
        <v>17</v>
      </c>
      <c r="D284" t="s">
        <v>1088</v>
      </c>
      <c r="E284" t="s">
        <v>282</v>
      </c>
      <c r="F284">
        <v>595214</v>
      </c>
      <c r="G284">
        <v>10154691</v>
      </c>
      <c r="H284" t="s">
        <v>282</v>
      </c>
      <c r="J284">
        <v>54148989</v>
      </c>
      <c r="K284">
        <v>1101</v>
      </c>
      <c r="L284">
        <v>1702</v>
      </c>
      <c r="M284">
        <v>1301</v>
      </c>
      <c r="N284">
        <v>52445184</v>
      </c>
      <c r="O284">
        <v>45140.648342858796</v>
      </c>
      <c r="P284">
        <v>15</v>
      </c>
      <c r="Q284">
        <v>1</v>
      </c>
      <c r="R284">
        <v>15</v>
      </c>
      <c r="S284">
        <v>45195.643754201388</v>
      </c>
      <c r="T284">
        <v>5502</v>
      </c>
      <c r="U284" t="s">
        <v>1217</v>
      </c>
      <c r="V284" t="s">
        <v>1155</v>
      </c>
      <c r="W284" t="s">
        <v>1031</v>
      </c>
      <c r="X284" t="s">
        <v>1031</v>
      </c>
      <c r="AD284">
        <v>832845</v>
      </c>
      <c r="AE284" t="s">
        <v>1280</v>
      </c>
      <c r="AF284">
        <v>45195.643753703705</v>
      </c>
      <c r="AI284">
        <v>62</v>
      </c>
      <c r="AJ284">
        <v>62</v>
      </c>
      <c r="AN284">
        <v>45170</v>
      </c>
      <c r="AO284">
        <v>45199</v>
      </c>
      <c r="AP284" t="s">
        <v>1101</v>
      </c>
    </row>
    <row r="285" spans="1:42" x14ac:dyDescent="0.25">
      <c r="A285">
        <v>2023</v>
      </c>
      <c r="B285">
        <v>9</v>
      </c>
      <c r="C285">
        <v>17</v>
      </c>
      <c r="D285" t="s">
        <v>1088</v>
      </c>
      <c r="E285" t="s">
        <v>282</v>
      </c>
      <c r="F285">
        <v>612702</v>
      </c>
      <c r="G285">
        <v>10189707</v>
      </c>
      <c r="H285" t="s">
        <v>282</v>
      </c>
      <c r="J285">
        <v>54149006</v>
      </c>
      <c r="K285">
        <v>1101</v>
      </c>
      <c r="L285">
        <v>1702</v>
      </c>
      <c r="M285">
        <v>1301</v>
      </c>
      <c r="N285">
        <v>52664250</v>
      </c>
      <c r="O285">
        <v>45147.617309837966</v>
      </c>
      <c r="P285">
        <v>15</v>
      </c>
      <c r="Q285">
        <v>1</v>
      </c>
      <c r="R285">
        <v>15</v>
      </c>
      <c r="S285">
        <v>45195.643754201388</v>
      </c>
      <c r="T285">
        <v>5502</v>
      </c>
      <c r="U285" t="s">
        <v>1217</v>
      </c>
      <c r="V285" t="s">
        <v>1155</v>
      </c>
      <c r="W285" t="s">
        <v>1031</v>
      </c>
      <c r="X285" t="s">
        <v>1031</v>
      </c>
      <c r="AD285">
        <v>832845</v>
      </c>
      <c r="AE285" t="s">
        <v>1280</v>
      </c>
      <c r="AF285">
        <v>45195.643753703705</v>
      </c>
      <c r="AI285">
        <v>62</v>
      </c>
      <c r="AJ285">
        <v>62</v>
      </c>
      <c r="AN285">
        <v>45170</v>
      </c>
      <c r="AO285">
        <v>45199</v>
      </c>
      <c r="AP285" t="s">
        <v>1101</v>
      </c>
    </row>
    <row r="286" spans="1:42" x14ac:dyDescent="0.25">
      <c r="A286">
        <v>2023</v>
      </c>
      <c r="B286">
        <v>9</v>
      </c>
      <c r="C286">
        <v>17</v>
      </c>
      <c r="D286" t="s">
        <v>1088</v>
      </c>
      <c r="E286" t="s">
        <v>282</v>
      </c>
      <c r="F286">
        <v>612702</v>
      </c>
      <c r="G286">
        <v>10189707</v>
      </c>
      <c r="H286" t="s">
        <v>282</v>
      </c>
      <c r="J286">
        <v>54149007</v>
      </c>
      <c r="K286">
        <v>1101</v>
      </c>
      <c r="L286">
        <v>1702</v>
      </c>
      <c r="M286">
        <v>1301</v>
      </c>
      <c r="N286">
        <v>52664256</v>
      </c>
      <c r="O286">
        <v>45147.617518437502</v>
      </c>
      <c r="P286">
        <v>16</v>
      </c>
      <c r="Q286">
        <v>1</v>
      </c>
      <c r="R286">
        <v>16</v>
      </c>
      <c r="S286">
        <v>45195.643754201388</v>
      </c>
      <c r="T286">
        <v>5502</v>
      </c>
      <c r="U286" t="s">
        <v>1217</v>
      </c>
      <c r="V286" t="s">
        <v>1155</v>
      </c>
      <c r="W286" t="s">
        <v>1031</v>
      </c>
      <c r="X286" t="s">
        <v>1031</v>
      </c>
      <c r="AD286">
        <v>832845</v>
      </c>
      <c r="AE286" t="s">
        <v>1280</v>
      </c>
      <c r="AF286">
        <v>45195.643753703705</v>
      </c>
      <c r="AI286">
        <v>62</v>
      </c>
      <c r="AJ286">
        <v>62</v>
      </c>
      <c r="AN286">
        <v>45170</v>
      </c>
      <c r="AO286">
        <v>45199</v>
      </c>
      <c r="AP286" t="s">
        <v>1101</v>
      </c>
    </row>
    <row r="287" spans="1:42" x14ac:dyDescent="0.25">
      <c r="A287">
        <v>2023</v>
      </c>
      <c r="B287">
        <v>9</v>
      </c>
      <c r="C287">
        <v>17</v>
      </c>
      <c r="D287" t="s">
        <v>1088</v>
      </c>
      <c r="E287" t="s">
        <v>282</v>
      </c>
      <c r="F287">
        <v>612702</v>
      </c>
      <c r="G287">
        <v>10189707</v>
      </c>
      <c r="H287" t="s">
        <v>282</v>
      </c>
      <c r="J287">
        <v>54149008</v>
      </c>
      <c r="K287">
        <v>1101</v>
      </c>
      <c r="L287">
        <v>1702</v>
      </c>
      <c r="M287">
        <v>1301</v>
      </c>
      <c r="N287">
        <v>52664260</v>
      </c>
      <c r="O287">
        <v>45147.617660682874</v>
      </c>
      <c r="P287">
        <v>8</v>
      </c>
      <c r="Q287">
        <v>1</v>
      </c>
      <c r="R287">
        <v>8</v>
      </c>
      <c r="S287">
        <v>45195.643754201388</v>
      </c>
      <c r="T287">
        <v>5502</v>
      </c>
      <c r="U287" t="s">
        <v>1217</v>
      </c>
      <c r="V287" t="s">
        <v>1155</v>
      </c>
      <c r="W287" t="s">
        <v>1031</v>
      </c>
      <c r="X287" t="s">
        <v>1031</v>
      </c>
      <c r="AD287">
        <v>832845</v>
      </c>
      <c r="AE287" t="s">
        <v>1280</v>
      </c>
      <c r="AF287">
        <v>45195.643753703705</v>
      </c>
      <c r="AI287">
        <v>62</v>
      </c>
      <c r="AJ287">
        <v>62</v>
      </c>
      <c r="AN287">
        <v>45170</v>
      </c>
      <c r="AO287">
        <v>45199</v>
      </c>
      <c r="AP287" t="s">
        <v>1101</v>
      </c>
    </row>
    <row r="288" spans="1:42" x14ac:dyDescent="0.25">
      <c r="A288">
        <v>2023</v>
      </c>
      <c r="B288">
        <v>9</v>
      </c>
      <c r="C288">
        <v>17</v>
      </c>
      <c r="D288" t="s">
        <v>1088</v>
      </c>
      <c r="E288" t="s">
        <v>282</v>
      </c>
      <c r="F288">
        <v>611197</v>
      </c>
      <c r="G288">
        <v>10159953</v>
      </c>
      <c r="H288" t="s">
        <v>282</v>
      </c>
      <c r="J288">
        <v>54149009</v>
      </c>
      <c r="K288">
        <v>1101</v>
      </c>
      <c r="L288">
        <v>1702</v>
      </c>
      <c r="M288">
        <v>1301</v>
      </c>
      <c r="N288">
        <v>52492102</v>
      </c>
      <c r="O288">
        <v>45141.546906863427</v>
      </c>
      <c r="P288">
        <v>85</v>
      </c>
      <c r="Q288">
        <v>1</v>
      </c>
      <c r="R288">
        <v>85</v>
      </c>
      <c r="S288">
        <v>45195.643754201388</v>
      </c>
      <c r="T288">
        <v>5502</v>
      </c>
      <c r="U288" t="s">
        <v>1217</v>
      </c>
      <c r="V288" t="s">
        <v>1155</v>
      </c>
      <c r="W288" t="s">
        <v>1031</v>
      </c>
      <c r="X288" t="s">
        <v>1031</v>
      </c>
      <c r="AD288">
        <v>832845</v>
      </c>
      <c r="AE288" t="s">
        <v>1280</v>
      </c>
      <c r="AF288">
        <v>45195.643753703705</v>
      </c>
      <c r="AI288">
        <v>62</v>
      </c>
      <c r="AJ288">
        <v>62</v>
      </c>
      <c r="AN288">
        <v>45170</v>
      </c>
      <c r="AO288">
        <v>45199</v>
      </c>
      <c r="AP288" t="s">
        <v>1101</v>
      </c>
    </row>
    <row r="289" spans="1:42" x14ac:dyDescent="0.25">
      <c r="A289">
        <v>2023</v>
      </c>
      <c r="B289">
        <v>9</v>
      </c>
      <c r="C289">
        <v>17</v>
      </c>
      <c r="D289" t="s">
        <v>1088</v>
      </c>
      <c r="E289" t="s">
        <v>282</v>
      </c>
      <c r="F289">
        <v>611197</v>
      </c>
      <c r="G289">
        <v>10159953</v>
      </c>
      <c r="H289" t="s">
        <v>282</v>
      </c>
      <c r="J289">
        <v>54149010</v>
      </c>
      <c r="K289">
        <v>1101</v>
      </c>
      <c r="L289">
        <v>1702</v>
      </c>
      <c r="M289">
        <v>1301</v>
      </c>
      <c r="N289">
        <v>52492106</v>
      </c>
      <c r="O289">
        <v>45141.547170335645</v>
      </c>
      <c r="P289">
        <v>15</v>
      </c>
      <c r="Q289">
        <v>1</v>
      </c>
      <c r="R289">
        <v>15</v>
      </c>
      <c r="S289">
        <v>45195.643754201388</v>
      </c>
      <c r="T289">
        <v>5502</v>
      </c>
      <c r="U289" t="s">
        <v>1217</v>
      </c>
      <c r="V289" t="s">
        <v>1155</v>
      </c>
      <c r="W289" t="s">
        <v>1031</v>
      </c>
      <c r="X289" t="s">
        <v>1031</v>
      </c>
      <c r="AD289">
        <v>832845</v>
      </c>
      <c r="AE289" t="s">
        <v>1280</v>
      </c>
      <c r="AF289">
        <v>45195.643753703705</v>
      </c>
      <c r="AI289">
        <v>62</v>
      </c>
      <c r="AJ289">
        <v>62</v>
      </c>
      <c r="AN289">
        <v>45170</v>
      </c>
      <c r="AO289">
        <v>45199</v>
      </c>
      <c r="AP289" t="s">
        <v>1101</v>
      </c>
    </row>
    <row r="290" spans="1:42" x14ac:dyDescent="0.25">
      <c r="A290">
        <v>2023</v>
      </c>
      <c r="B290">
        <v>9</v>
      </c>
      <c r="C290">
        <v>17</v>
      </c>
      <c r="D290" t="s">
        <v>1088</v>
      </c>
      <c r="E290" t="s">
        <v>282</v>
      </c>
      <c r="F290">
        <v>611197</v>
      </c>
      <c r="G290">
        <v>10159953</v>
      </c>
      <c r="H290" t="s">
        <v>282</v>
      </c>
      <c r="J290">
        <v>54149011</v>
      </c>
      <c r="K290">
        <v>1101</v>
      </c>
      <c r="L290">
        <v>1702</v>
      </c>
      <c r="M290">
        <v>1301</v>
      </c>
      <c r="N290">
        <v>52492112</v>
      </c>
      <c r="O290">
        <v>45141.547335682873</v>
      </c>
      <c r="P290">
        <v>16</v>
      </c>
      <c r="Q290">
        <v>1</v>
      </c>
      <c r="R290">
        <v>16</v>
      </c>
      <c r="S290">
        <v>45195.643754201388</v>
      </c>
      <c r="T290">
        <v>5502</v>
      </c>
      <c r="U290" t="s">
        <v>1217</v>
      </c>
      <c r="V290" t="s">
        <v>1155</v>
      </c>
      <c r="W290" t="s">
        <v>1031</v>
      </c>
      <c r="X290" t="s">
        <v>1031</v>
      </c>
      <c r="AD290">
        <v>832845</v>
      </c>
      <c r="AE290" t="s">
        <v>1280</v>
      </c>
      <c r="AF290">
        <v>45195.643753703705</v>
      </c>
      <c r="AI290">
        <v>62</v>
      </c>
      <c r="AJ290">
        <v>62</v>
      </c>
      <c r="AN290">
        <v>45170</v>
      </c>
      <c r="AO290">
        <v>45199</v>
      </c>
      <c r="AP290" t="s">
        <v>1101</v>
      </c>
    </row>
    <row r="291" spans="1:42" x14ac:dyDescent="0.25">
      <c r="A291">
        <v>2023</v>
      </c>
      <c r="B291">
        <v>9</v>
      </c>
      <c r="C291">
        <v>17</v>
      </c>
      <c r="D291" t="s">
        <v>1088</v>
      </c>
      <c r="E291" t="s">
        <v>282</v>
      </c>
      <c r="F291">
        <v>611197</v>
      </c>
      <c r="G291">
        <v>10159953</v>
      </c>
      <c r="H291" t="s">
        <v>282</v>
      </c>
      <c r="J291">
        <v>54149012</v>
      </c>
      <c r="K291">
        <v>1101</v>
      </c>
      <c r="L291">
        <v>1702</v>
      </c>
      <c r="M291">
        <v>1301</v>
      </c>
      <c r="N291">
        <v>52492124</v>
      </c>
      <c r="O291">
        <v>45141.547490740741</v>
      </c>
      <c r="P291">
        <v>8</v>
      </c>
      <c r="Q291">
        <v>1</v>
      </c>
      <c r="R291">
        <v>8</v>
      </c>
      <c r="S291">
        <v>45195.643754201388</v>
      </c>
      <c r="T291">
        <v>5502</v>
      </c>
      <c r="U291" t="s">
        <v>1217</v>
      </c>
      <c r="V291" t="s">
        <v>1155</v>
      </c>
      <c r="W291" t="s">
        <v>1031</v>
      </c>
      <c r="X291" t="s">
        <v>1031</v>
      </c>
      <c r="AD291">
        <v>832845</v>
      </c>
      <c r="AE291" t="s">
        <v>1280</v>
      </c>
      <c r="AF291">
        <v>45195.643753703705</v>
      </c>
      <c r="AI291">
        <v>62</v>
      </c>
      <c r="AJ291">
        <v>62</v>
      </c>
      <c r="AN291">
        <v>45170</v>
      </c>
      <c r="AO291">
        <v>45199</v>
      </c>
      <c r="AP291" t="s">
        <v>1101</v>
      </c>
    </row>
    <row r="292" spans="1:42" x14ac:dyDescent="0.25">
      <c r="A292">
        <v>2023</v>
      </c>
      <c r="B292">
        <v>9</v>
      </c>
      <c r="C292">
        <v>17</v>
      </c>
      <c r="D292" t="s">
        <v>1088</v>
      </c>
      <c r="E292" t="s">
        <v>282</v>
      </c>
      <c r="F292">
        <v>611197</v>
      </c>
      <c r="G292">
        <v>10159953</v>
      </c>
      <c r="H292" t="s">
        <v>282</v>
      </c>
      <c r="J292">
        <v>54149013</v>
      </c>
      <c r="K292">
        <v>1101</v>
      </c>
      <c r="L292">
        <v>1702</v>
      </c>
      <c r="M292">
        <v>1301</v>
      </c>
      <c r="N292">
        <v>52492127</v>
      </c>
      <c r="O292">
        <v>45141.547661307872</v>
      </c>
      <c r="P292">
        <v>12.5</v>
      </c>
      <c r="Q292">
        <v>1</v>
      </c>
      <c r="R292">
        <v>12.5</v>
      </c>
      <c r="S292">
        <v>45195.643754201388</v>
      </c>
      <c r="T292">
        <v>5502</v>
      </c>
      <c r="U292" t="s">
        <v>1217</v>
      </c>
      <c r="V292" t="s">
        <v>1155</v>
      </c>
      <c r="W292" t="s">
        <v>1031</v>
      </c>
      <c r="X292" t="s">
        <v>1031</v>
      </c>
      <c r="AD292">
        <v>832845</v>
      </c>
      <c r="AE292" t="s">
        <v>1280</v>
      </c>
      <c r="AF292">
        <v>45195.643753703705</v>
      </c>
      <c r="AI292">
        <v>62</v>
      </c>
      <c r="AJ292">
        <v>62</v>
      </c>
      <c r="AN292">
        <v>45170</v>
      </c>
      <c r="AO292">
        <v>45199</v>
      </c>
      <c r="AP292" t="s">
        <v>1101</v>
      </c>
    </row>
    <row r="293" spans="1:42" x14ac:dyDescent="0.25">
      <c r="A293">
        <v>2023</v>
      </c>
      <c r="B293">
        <v>9</v>
      </c>
      <c r="C293">
        <v>17</v>
      </c>
      <c r="D293" t="s">
        <v>1088</v>
      </c>
      <c r="E293" t="s">
        <v>282</v>
      </c>
      <c r="F293">
        <v>613048</v>
      </c>
      <c r="G293">
        <v>10199712</v>
      </c>
      <c r="H293" t="s">
        <v>282</v>
      </c>
      <c r="J293">
        <v>54149018</v>
      </c>
      <c r="K293">
        <v>1101</v>
      </c>
      <c r="L293">
        <v>1702</v>
      </c>
      <c r="M293">
        <v>1301</v>
      </c>
      <c r="N293">
        <v>52693827</v>
      </c>
      <c r="O293">
        <v>45148.440932523146</v>
      </c>
      <c r="P293">
        <v>85</v>
      </c>
      <c r="Q293">
        <v>1</v>
      </c>
      <c r="R293">
        <v>85</v>
      </c>
      <c r="S293">
        <v>45195.643754201388</v>
      </c>
      <c r="T293">
        <v>5502</v>
      </c>
      <c r="U293" t="s">
        <v>1217</v>
      </c>
      <c r="V293" t="s">
        <v>1155</v>
      </c>
      <c r="W293" t="s">
        <v>1031</v>
      </c>
      <c r="X293" t="s">
        <v>1031</v>
      </c>
      <c r="AD293">
        <v>832845</v>
      </c>
      <c r="AE293" t="s">
        <v>1280</v>
      </c>
      <c r="AF293">
        <v>45195.643753703705</v>
      </c>
      <c r="AI293">
        <v>62</v>
      </c>
      <c r="AJ293">
        <v>62</v>
      </c>
      <c r="AN293">
        <v>45170</v>
      </c>
      <c r="AO293">
        <v>45199</v>
      </c>
      <c r="AP293" t="s">
        <v>1101</v>
      </c>
    </row>
    <row r="294" spans="1:42" x14ac:dyDescent="0.25">
      <c r="A294">
        <v>2023</v>
      </c>
      <c r="B294">
        <v>9</v>
      </c>
      <c r="C294">
        <v>17</v>
      </c>
      <c r="D294" t="s">
        <v>1088</v>
      </c>
      <c r="E294" t="s">
        <v>282</v>
      </c>
      <c r="F294">
        <v>613048</v>
      </c>
      <c r="G294">
        <v>10199712</v>
      </c>
      <c r="H294" t="s">
        <v>282</v>
      </c>
      <c r="J294">
        <v>54149019</v>
      </c>
      <c r="K294">
        <v>1101</v>
      </c>
      <c r="L294">
        <v>1702</v>
      </c>
      <c r="M294">
        <v>1301</v>
      </c>
      <c r="N294">
        <v>52693830</v>
      </c>
      <c r="O294">
        <v>45148.441047916669</v>
      </c>
      <c r="P294">
        <v>7.5</v>
      </c>
      <c r="Q294">
        <v>1</v>
      </c>
      <c r="R294">
        <v>7.5</v>
      </c>
      <c r="S294">
        <v>45195.643754201388</v>
      </c>
      <c r="T294">
        <v>5502</v>
      </c>
      <c r="U294" t="s">
        <v>1217</v>
      </c>
      <c r="V294" t="s">
        <v>1155</v>
      </c>
      <c r="W294" t="s">
        <v>1031</v>
      </c>
      <c r="X294" t="s">
        <v>1031</v>
      </c>
      <c r="AD294">
        <v>832845</v>
      </c>
      <c r="AE294" t="s">
        <v>1280</v>
      </c>
      <c r="AF294">
        <v>45195.643753703705</v>
      </c>
      <c r="AI294">
        <v>62</v>
      </c>
      <c r="AJ294">
        <v>62</v>
      </c>
      <c r="AN294">
        <v>45170</v>
      </c>
      <c r="AO294">
        <v>45199</v>
      </c>
      <c r="AP294" t="s">
        <v>1101</v>
      </c>
    </row>
    <row r="295" spans="1:42" x14ac:dyDescent="0.25">
      <c r="A295">
        <v>2023</v>
      </c>
      <c r="B295">
        <v>9</v>
      </c>
      <c r="C295">
        <v>17</v>
      </c>
      <c r="D295" t="s">
        <v>1088</v>
      </c>
      <c r="E295" t="s">
        <v>282</v>
      </c>
      <c r="F295">
        <v>613048</v>
      </c>
      <c r="G295">
        <v>10199712</v>
      </c>
      <c r="H295" t="s">
        <v>282</v>
      </c>
      <c r="J295">
        <v>54149020</v>
      </c>
      <c r="K295">
        <v>1101</v>
      </c>
      <c r="L295">
        <v>1702</v>
      </c>
      <c r="M295">
        <v>1301</v>
      </c>
      <c r="N295">
        <v>52693837</v>
      </c>
      <c r="O295">
        <v>45148.441235914353</v>
      </c>
      <c r="P295">
        <v>15</v>
      </c>
      <c r="Q295">
        <v>1</v>
      </c>
      <c r="R295">
        <v>15</v>
      </c>
      <c r="S295">
        <v>45195.643754201388</v>
      </c>
      <c r="T295">
        <v>5502</v>
      </c>
      <c r="U295" t="s">
        <v>1217</v>
      </c>
      <c r="V295" t="s">
        <v>1155</v>
      </c>
      <c r="W295" t="s">
        <v>1031</v>
      </c>
      <c r="X295" t="s">
        <v>1031</v>
      </c>
      <c r="AD295">
        <v>832845</v>
      </c>
      <c r="AE295" t="s">
        <v>1280</v>
      </c>
      <c r="AF295">
        <v>45195.643753703705</v>
      </c>
      <c r="AI295">
        <v>62</v>
      </c>
      <c r="AJ295">
        <v>62</v>
      </c>
      <c r="AN295">
        <v>45170</v>
      </c>
      <c r="AO295">
        <v>45199</v>
      </c>
      <c r="AP295" t="s">
        <v>1101</v>
      </c>
    </row>
    <row r="296" spans="1:42" x14ac:dyDescent="0.25">
      <c r="A296">
        <v>2023</v>
      </c>
      <c r="B296">
        <v>9</v>
      </c>
      <c r="C296">
        <v>17</v>
      </c>
      <c r="D296" t="s">
        <v>1088</v>
      </c>
      <c r="E296" t="s">
        <v>282</v>
      </c>
      <c r="F296">
        <v>614994</v>
      </c>
      <c r="G296">
        <v>10281374</v>
      </c>
      <c r="H296" t="s">
        <v>282</v>
      </c>
      <c r="J296">
        <v>53414404</v>
      </c>
      <c r="K296">
        <v>1104</v>
      </c>
      <c r="L296">
        <v>1702</v>
      </c>
      <c r="M296">
        <v>1304</v>
      </c>
      <c r="N296">
        <v>53405444</v>
      </c>
      <c r="O296">
        <v>45169.650414618052</v>
      </c>
      <c r="P296">
        <v>216</v>
      </c>
      <c r="Q296">
        <v>1</v>
      </c>
      <c r="R296">
        <v>216</v>
      </c>
      <c r="S296">
        <v>45170.067373414349</v>
      </c>
      <c r="T296">
        <v>5509</v>
      </c>
      <c r="U296" t="s">
        <v>1152</v>
      </c>
      <c r="V296" t="s">
        <v>1153</v>
      </c>
      <c r="W296" t="s">
        <v>2</v>
      </c>
      <c r="AI296">
        <v>62</v>
      </c>
      <c r="AJ296">
        <v>62</v>
      </c>
      <c r="AN296">
        <v>45170</v>
      </c>
      <c r="AO296">
        <v>45199</v>
      </c>
      <c r="AP296" t="s">
        <v>1101</v>
      </c>
    </row>
    <row r="297" spans="1:42" x14ac:dyDescent="0.25">
      <c r="A297">
        <v>2023</v>
      </c>
      <c r="B297">
        <v>9</v>
      </c>
      <c r="C297">
        <v>17</v>
      </c>
      <c r="D297" t="s">
        <v>1088</v>
      </c>
      <c r="E297" t="s">
        <v>282</v>
      </c>
      <c r="F297">
        <v>614994</v>
      </c>
      <c r="G297">
        <v>10281374</v>
      </c>
      <c r="H297" t="s">
        <v>282</v>
      </c>
      <c r="J297">
        <v>53414405</v>
      </c>
      <c r="K297">
        <v>1104</v>
      </c>
      <c r="L297">
        <v>1702</v>
      </c>
      <c r="M297">
        <v>1304</v>
      </c>
      <c r="N297">
        <v>53405450</v>
      </c>
      <c r="O297">
        <v>45169.650558877314</v>
      </c>
      <c r="P297">
        <v>216</v>
      </c>
      <c r="Q297">
        <v>1</v>
      </c>
      <c r="R297">
        <v>216</v>
      </c>
      <c r="S297">
        <v>45170.067373414349</v>
      </c>
      <c r="T297">
        <v>5509</v>
      </c>
      <c r="U297" t="s">
        <v>1152</v>
      </c>
      <c r="V297" t="s">
        <v>1153</v>
      </c>
      <c r="W297" t="s">
        <v>2</v>
      </c>
      <c r="AI297">
        <v>62</v>
      </c>
      <c r="AJ297">
        <v>62</v>
      </c>
      <c r="AN297">
        <v>45170</v>
      </c>
      <c r="AO297">
        <v>45199</v>
      </c>
      <c r="AP297" t="s">
        <v>1101</v>
      </c>
    </row>
    <row r="298" spans="1:42" x14ac:dyDescent="0.25">
      <c r="A298">
        <v>2023</v>
      </c>
      <c r="B298">
        <v>9</v>
      </c>
      <c r="C298">
        <v>17</v>
      </c>
      <c r="D298" t="s">
        <v>1088</v>
      </c>
      <c r="E298" t="s">
        <v>282</v>
      </c>
      <c r="F298">
        <v>614994</v>
      </c>
      <c r="G298">
        <v>10281374</v>
      </c>
      <c r="H298" t="s">
        <v>282</v>
      </c>
      <c r="J298">
        <v>53414406</v>
      </c>
      <c r="K298">
        <v>1104</v>
      </c>
      <c r="L298">
        <v>1702</v>
      </c>
      <c r="M298">
        <v>1304</v>
      </c>
      <c r="N298">
        <v>53405453</v>
      </c>
      <c r="O298">
        <v>45169.650608680553</v>
      </c>
      <c r="P298">
        <v>18</v>
      </c>
      <c r="Q298">
        <v>1</v>
      </c>
      <c r="R298">
        <v>18</v>
      </c>
      <c r="S298">
        <v>45170.067373414349</v>
      </c>
      <c r="T298">
        <v>5509</v>
      </c>
      <c r="U298" t="s">
        <v>1152</v>
      </c>
      <c r="V298" t="s">
        <v>1153</v>
      </c>
      <c r="W298" t="s">
        <v>2</v>
      </c>
      <c r="AI298">
        <v>62</v>
      </c>
      <c r="AJ298">
        <v>62</v>
      </c>
      <c r="AN298">
        <v>45170</v>
      </c>
      <c r="AO298">
        <v>45199</v>
      </c>
      <c r="AP298" t="s">
        <v>1101</v>
      </c>
    </row>
    <row r="299" spans="1:42" x14ac:dyDescent="0.25">
      <c r="A299">
        <v>2023</v>
      </c>
      <c r="B299">
        <v>9</v>
      </c>
      <c r="C299">
        <v>17</v>
      </c>
      <c r="D299" t="s">
        <v>1088</v>
      </c>
      <c r="E299" t="s">
        <v>282</v>
      </c>
      <c r="F299">
        <v>208037</v>
      </c>
      <c r="G299">
        <v>10223323</v>
      </c>
      <c r="H299" t="s">
        <v>282</v>
      </c>
      <c r="J299">
        <v>53414416</v>
      </c>
      <c r="K299">
        <v>1104</v>
      </c>
      <c r="L299">
        <v>1702</v>
      </c>
      <c r="M299">
        <v>1304</v>
      </c>
      <c r="N299">
        <v>52969933</v>
      </c>
      <c r="O299">
        <v>45156.641732905089</v>
      </c>
      <c r="P299">
        <v>207</v>
      </c>
      <c r="Q299">
        <v>1</v>
      </c>
      <c r="R299">
        <v>207</v>
      </c>
      <c r="S299">
        <v>45170.067373414349</v>
      </c>
      <c r="T299">
        <v>5509</v>
      </c>
      <c r="U299" t="s">
        <v>1152</v>
      </c>
      <c r="V299" t="s">
        <v>1153</v>
      </c>
      <c r="W299" t="s">
        <v>2</v>
      </c>
      <c r="AI299">
        <v>62</v>
      </c>
      <c r="AJ299">
        <v>62</v>
      </c>
      <c r="AN299">
        <v>45170</v>
      </c>
      <c r="AO299">
        <v>45199</v>
      </c>
      <c r="AP299" t="s">
        <v>1101</v>
      </c>
    </row>
    <row r="300" spans="1:42" x14ac:dyDescent="0.25">
      <c r="A300">
        <v>2023</v>
      </c>
      <c r="B300">
        <v>9</v>
      </c>
      <c r="C300">
        <v>17</v>
      </c>
      <c r="D300" t="s">
        <v>1088</v>
      </c>
      <c r="E300" t="s">
        <v>282</v>
      </c>
      <c r="F300">
        <v>208037</v>
      </c>
      <c r="G300">
        <v>10223323</v>
      </c>
      <c r="H300" t="s">
        <v>282</v>
      </c>
      <c r="J300">
        <v>53414417</v>
      </c>
      <c r="K300">
        <v>1104</v>
      </c>
      <c r="L300">
        <v>1702</v>
      </c>
      <c r="M300">
        <v>1304</v>
      </c>
      <c r="N300">
        <v>52969934</v>
      </c>
      <c r="O300">
        <v>45156.641790196758</v>
      </c>
      <c r="P300">
        <v>18</v>
      </c>
      <c r="Q300">
        <v>1</v>
      </c>
      <c r="R300">
        <v>18</v>
      </c>
      <c r="S300">
        <v>45170.067373414349</v>
      </c>
      <c r="T300">
        <v>5509</v>
      </c>
      <c r="U300" t="s">
        <v>1152</v>
      </c>
      <c r="V300" t="s">
        <v>1153</v>
      </c>
      <c r="W300" t="s">
        <v>2</v>
      </c>
      <c r="AI300">
        <v>62</v>
      </c>
      <c r="AJ300">
        <v>62</v>
      </c>
      <c r="AN300">
        <v>45170</v>
      </c>
      <c r="AO300">
        <v>45199</v>
      </c>
      <c r="AP300" t="s">
        <v>1101</v>
      </c>
    </row>
    <row r="301" spans="1:42" x14ac:dyDescent="0.25">
      <c r="A301">
        <v>2023</v>
      </c>
      <c r="B301">
        <v>9</v>
      </c>
      <c r="C301">
        <v>17</v>
      </c>
      <c r="D301" t="s">
        <v>1088</v>
      </c>
      <c r="E301" t="s">
        <v>282</v>
      </c>
      <c r="F301">
        <v>208037</v>
      </c>
      <c r="G301">
        <v>10245853</v>
      </c>
      <c r="H301" t="s">
        <v>282</v>
      </c>
      <c r="J301">
        <v>53414418</v>
      </c>
      <c r="K301">
        <v>1104</v>
      </c>
      <c r="L301">
        <v>1702</v>
      </c>
      <c r="M301">
        <v>1304</v>
      </c>
      <c r="N301">
        <v>53400511</v>
      </c>
      <c r="O301">
        <v>45169.589815659725</v>
      </c>
      <c r="P301">
        <v>300</v>
      </c>
      <c r="Q301">
        <v>1</v>
      </c>
      <c r="R301">
        <v>300</v>
      </c>
      <c r="S301">
        <v>45170.067373414349</v>
      </c>
      <c r="T301">
        <v>5509</v>
      </c>
      <c r="U301" t="s">
        <v>1152</v>
      </c>
      <c r="V301" t="s">
        <v>1153</v>
      </c>
      <c r="W301" t="s">
        <v>2</v>
      </c>
      <c r="AI301">
        <v>62</v>
      </c>
      <c r="AJ301">
        <v>62</v>
      </c>
      <c r="AN301">
        <v>45170</v>
      </c>
      <c r="AO301">
        <v>45199</v>
      </c>
      <c r="AP301" t="s">
        <v>1101</v>
      </c>
    </row>
    <row r="302" spans="1:42" x14ac:dyDescent="0.25">
      <c r="A302">
        <v>2023</v>
      </c>
      <c r="B302">
        <v>9</v>
      </c>
      <c r="C302">
        <v>17</v>
      </c>
      <c r="D302" t="s">
        <v>1088</v>
      </c>
      <c r="E302" t="s">
        <v>282</v>
      </c>
      <c r="F302">
        <v>618069</v>
      </c>
      <c r="G302">
        <v>10297269</v>
      </c>
      <c r="H302" t="s">
        <v>282</v>
      </c>
      <c r="J302">
        <v>53414873</v>
      </c>
      <c r="K302">
        <v>1104</v>
      </c>
      <c r="L302">
        <v>1702</v>
      </c>
      <c r="M302">
        <v>1304</v>
      </c>
      <c r="N302">
        <v>53385989</v>
      </c>
      <c r="O302">
        <v>45169.42956099537</v>
      </c>
      <c r="P302">
        <v>216</v>
      </c>
      <c r="Q302">
        <v>1</v>
      </c>
      <c r="R302">
        <v>216</v>
      </c>
      <c r="S302">
        <v>45170.067373414349</v>
      </c>
      <c r="T302">
        <v>5509</v>
      </c>
      <c r="U302" t="s">
        <v>1152</v>
      </c>
      <c r="V302" t="s">
        <v>1153</v>
      </c>
      <c r="W302" t="s">
        <v>2</v>
      </c>
      <c r="AI302">
        <v>62</v>
      </c>
      <c r="AJ302">
        <v>62</v>
      </c>
      <c r="AN302">
        <v>45170</v>
      </c>
      <c r="AO302">
        <v>45199</v>
      </c>
      <c r="AP302" t="s">
        <v>1101</v>
      </c>
    </row>
    <row r="303" spans="1:42" x14ac:dyDescent="0.25">
      <c r="A303">
        <v>2023</v>
      </c>
      <c r="B303">
        <v>9</v>
      </c>
      <c r="C303">
        <v>17</v>
      </c>
      <c r="D303" t="s">
        <v>1088</v>
      </c>
      <c r="E303" t="s">
        <v>282</v>
      </c>
      <c r="F303">
        <v>618069</v>
      </c>
      <c r="G303">
        <v>10297269</v>
      </c>
      <c r="H303" t="s">
        <v>282</v>
      </c>
      <c r="J303">
        <v>53414874</v>
      </c>
      <c r="K303">
        <v>1104</v>
      </c>
      <c r="L303">
        <v>1702</v>
      </c>
      <c r="M303">
        <v>1304</v>
      </c>
      <c r="N303">
        <v>53386005</v>
      </c>
      <c r="O303">
        <v>45169.429796875003</v>
      </c>
      <c r="P303">
        <v>9</v>
      </c>
      <c r="Q303">
        <v>1</v>
      </c>
      <c r="R303">
        <v>9</v>
      </c>
      <c r="S303">
        <v>45170.067373414349</v>
      </c>
      <c r="T303">
        <v>5509</v>
      </c>
      <c r="U303" t="s">
        <v>1152</v>
      </c>
      <c r="V303" t="s">
        <v>1153</v>
      </c>
      <c r="W303" t="s">
        <v>2</v>
      </c>
      <c r="AI303">
        <v>62</v>
      </c>
      <c r="AJ303">
        <v>62</v>
      </c>
      <c r="AN303">
        <v>45170</v>
      </c>
      <c r="AO303">
        <v>45199</v>
      </c>
      <c r="AP303" t="s">
        <v>1101</v>
      </c>
    </row>
    <row r="304" spans="1:42" x14ac:dyDescent="0.25">
      <c r="A304">
        <v>2023</v>
      </c>
      <c r="B304">
        <v>9</v>
      </c>
      <c r="C304">
        <v>17</v>
      </c>
      <c r="D304" t="s">
        <v>1088</v>
      </c>
      <c r="E304" t="s">
        <v>282</v>
      </c>
      <c r="F304">
        <v>618779</v>
      </c>
      <c r="G304">
        <v>10312026</v>
      </c>
      <c r="H304" t="s">
        <v>282</v>
      </c>
      <c r="J304">
        <v>53464958</v>
      </c>
      <c r="K304">
        <v>1100</v>
      </c>
      <c r="L304">
        <v>1700</v>
      </c>
      <c r="M304">
        <v>1304</v>
      </c>
      <c r="P304">
        <v>216</v>
      </c>
      <c r="Q304">
        <v>1</v>
      </c>
      <c r="R304">
        <v>216</v>
      </c>
      <c r="S304">
        <v>45174.448215972225</v>
      </c>
      <c r="T304">
        <v>5500</v>
      </c>
      <c r="U304" t="s">
        <v>1154</v>
      </c>
      <c r="V304" t="s">
        <v>99</v>
      </c>
      <c r="W304" t="s">
        <v>2</v>
      </c>
      <c r="AI304">
        <v>62</v>
      </c>
      <c r="AJ304">
        <v>62</v>
      </c>
      <c r="AN304">
        <v>45170</v>
      </c>
      <c r="AO304">
        <v>45199</v>
      </c>
      <c r="AP304" t="s">
        <v>1101</v>
      </c>
    </row>
    <row r="305" spans="1:42" x14ac:dyDescent="0.25">
      <c r="A305">
        <v>2023</v>
      </c>
      <c r="B305">
        <v>9</v>
      </c>
      <c r="C305">
        <v>17</v>
      </c>
      <c r="D305" t="s">
        <v>1088</v>
      </c>
      <c r="E305" t="s">
        <v>282</v>
      </c>
      <c r="F305">
        <v>618779</v>
      </c>
      <c r="G305">
        <v>10312026</v>
      </c>
      <c r="H305" t="s">
        <v>282</v>
      </c>
      <c r="J305">
        <v>53464961</v>
      </c>
      <c r="K305">
        <v>1100</v>
      </c>
      <c r="L305">
        <v>1700</v>
      </c>
      <c r="M305">
        <v>1304</v>
      </c>
      <c r="P305">
        <v>216</v>
      </c>
      <c r="Q305">
        <v>1</v>
      </c>
      <c r="R305">
        <v>216</v>
      </c>
      <c r="S305">
        <v>45174.448319409719</v>
      </c>
      <c r="T305">
        <v>5500</v>
      </c>
      <c r="U305" t="s">
        <v>1154</v>
      </c>
      <c r="V305" t="s">
        <v>99</v>
      </c>
      <c r="W305" t="s">
        <v>2</v>
      </c>
      <c r="AI305">
        <v>62</v>
      </c>
      <c r="AJ305">
        <v>62</v>
      </c>
      <c r="AN305">
        <v>45170</v>
      </c>
      <c r="AO305">
        <v>45199</v>
      </c>
      <c r="AP305" t="s">
        <v>1101</v>
      </c>
    </row>
    <row r="306" spans="1:42" x14ac:dyDescent="0.25">
      <c r="A306">
        <v>2023</v>
      </c>
      <c r="B306">
        <v>9</v>
      </c>
      <c r="C306">
        <v>17</v>
      </c>
      <c r="D306" t="s">
        <v>1088</v>
      </c>
      <c r="E306" t="s">
        <v>282</v>
      </c>
      <c r="F306">
        <v>620237</v>
      </c>
      <c r="G306">
        <v>10336633</v>
      </c>
      <c r="H306" t="s">
        <v>282</v>
      </c>
      <c r="J306">
        <v>53563149</v>
      </c>
      <c r="K306">
        <v>1100</v>
      </c>
      <c r="L306">
        <v>1700</v>
      </c>
      <c r="M306">
        <v>1301</v>
      </c>
      <c r="P306">
        <v>85</v>
      </c>
      <c r="Q306">
        <v>1</v>
      </c>
      <c r="R306">
        <v>85</v>
      </c>
      <c r="S306">
        <v>45176.486842048609</v>
      </c>
      <c r="T306">
        <v>5500</v>
      </c>
      <c r="U306" t="s">
        <v>1151</v>
      </c>
      <c r="V306" t="s">
        <v>99</v>
      </c>
      <c r="W306" t="s">
        <v>1031</v>
      </c>
      <c r="X306" t="s">
        <v>1031</v>
      </c>
      <c r="AA306">
        <v>57802</v>
      </c>
      <c r="AB306" t="s">
        <v>1223</v>
      </c>
      <c r="AC306">
        <v>45178.083578819445</v>
      </c>
      <c r="AI306">
        <v>62</v>
      </c>
      <c r="AJ306">
        <v>62</v>
      </c>
      <c r="AN306">
        <v>45170</v>
      </c>
      <c r="AO306">
        <v>45199</v>
      </c>
      <c r="AP306" t="s">
        <v>1101</v>
      </c>
    </row>
    <row r="307" spans="1:42" x14ac:dyDescent="0.25">
      <c r="A307">
        <v>2023</v>
      </c>
      <c r="B307">
        <v>9</v>
      </c>
      <c r="C307">
        <v>17</v>
      </c>
      <c r="D307" t="s">
        <v>1088</v>
      </c>
      <c r="E307" t="s">
        <v>282</v>
      </c>
      <c r="F307">
        <v>620237</v>
      </c>
      <c r="G307">
        <v>10336633</v>
      </c>
      <c r="H307" t="s">
        <v>282</v>
      </c>
      <c r="J307">
        <v>53563157</v>
      </c>
      <c r="K307">
        <v>1100</v>
      </c>
      <c r="L307">
        <v>1700</v>
      </c>
      <c r="M307">
        <v>1301</v>
      </c>
      <c r="P307">
        <v>7.5</v>
      </c>
      <c r="Q307">
        <v>2</v>
      </c>
      <c r="R307">
        <v>15</v>
      </c>
      <c r="S307">
        <v>45176.487040706015</v>
      </c>
      <c r="T307">
        <v>5500</v>
      </c>
      <c r="U307" t="s">
        <v>1151</v>
      </c>
      <c r="V307" t="s">
        <v>99</v>
      </c>
      <c r="W307" t="s">
        <v>1031</v>
      </c>
      <c r="X307" t="s">
        <v>1031</v>
      </c>
      <c r="AA307">
        <v>57802</v>
      </c>
      <c r="AB307" t="s">
        <v>1223</v>
      </c>
      <c r="AC307">
        <v>45178.083578819445</v>
      </c>
      <c r="AI307">
        <v>62</v>
      </c>
      <c r="AJ307">
        <v>62</v>
      </c>
      <c r="AN307">
        <v>45170</v>
      </c>
      <c r="AO307">
        <v>45199</v>
      </c>
      <c r="AP307" t="s">
        <v>1101</v>
      </c>
    </row>
    <row r="308" spans="1:42" x14ac:dyDescent="0.25">
      <c r="A308">
        <v>2023</v>
      </c>
      <c r="B308">
        <v>9</v>
      </c>
      <c r="C308">
        <v>17</v>
      </c>
      <c r="D308" t="s">
        <v>1088</v>
      </c>
      <c r="E308" t="s">
        <v>282</v>
      </c>
      <c r="F308">
        <v>620237</v>
      </c>
      <c r="G308">
        <v>10336633</v>
      </c>
      <c r="H308" t="s">
        <v>282</v>
      </c>
      <c r="J308">
        <v>53563317</v>
      </c>
      <c r="K308">
        <v>1100</v>
      </c>
      <c r="L308">
        <v>1700</v>
      </c>
      <c r="M308">
        <v>1301</v>
      </c>
      <c r="P308">
        <v>8</v>
      </c>
      <c r="Q308">
        <v>2</v>
      </c>
      <c r="R308">
        <v>16</v>
      </c>
      <c r="S308">
        <v>45176.49093684028</v>
      </c>
      <c r="T308">
        <v>5500</v>
      </c>
      <c r="U308" t="s">
        <v>1151</v>
      </c>
      <c r="V308" t="s">
        <v>99</v>
      </c>
      <c r="W308" t="s">
        <v>1031</v>
      </c>
      <c r="X308" t="s">
        <v>1031</v>
      </c>
      <c r="AA308">
        <v>57802</v>
      </c>
      <c r="AB308" t="s">
        <v>1223</v>
      </c>
      <c r="AC308">
        <v>45178.083578819445</v>
      </c>
      <c r="AI308">
        <v>62</v>
      </c>
      <c r="AJ308">
        <v>62</v>
      </c>
      <c r="AN308">
        <v>45170</v>
      </c>
      <c r="AO308">
        <v>45199</v>
      </c>
      <c r="AP308" t="s">
        <v>1101</v>
      </c>
    </row>
    <row r="309" spans="1:42" x14ac:dyDescent="0.25">
      <c r="A309">
        <v>2023</v>
      </c>
      <c r="B309">
        <v>9</v>
      </c>
      <c r="C309">
        <v>17</v>
      </c>
      <c r="D309" t="s">
        <v>1088</v>
      </c>
      <c r="E309" t="s">
        <v>282</v>
      </c>
      <c r="F309">
        <v>620237</v>
      </c>
      <c r="G309">
        <v>10336633</v>
      </c>
      <c r="H309" t="s">
        <v>282</v>
      </c>
      <c r="J309">
        <v>53563323</v>
      </c>
      <c r="K309">
        <v>1100</v>
      </c>
      <c r="L309">
        <v>1700</v>
      </c>
      <c r="M309">
        <v>1301</v>
      </c>
      <c r="P309">
        <v>4</v>
      </c>
      <c r="Q309">
        <v>2</v>
      </c>
      <c r="R309">
        <v>8</v>
      </c>
      <c r="S309">
        <v>45176.491207256942</v>
      </c>
      <c r="T309">
        <v>5500</v>
      </c>
      <c r="U309" t="s">
        <v>1151</v>
      </c>
      <c r="V309" t="s">
        <v>99</v>
      </c>
      <c r="W309" t="s">
        <v>1031</v>
      </c>
      <c r="X309" t="s">
        <v>1031</v>
      </c>
      <c r="AA309">
        <v>57802</v>
      </c>
      <c r="AB309" t="s">
        <v>1223</v>
      </c>
      <c r="AC309">
        <v>45178.083578819445</v>
      </c>
      <c r="AI309">
        <v>62</v>
      </c>
      <c r="AJ309">
        <v>62</v>
      </c>
      <c r="AN309">
        <v>45170</v>
      </c>
      <c r="AO309">
        <v>45199</v>
      </c>
      <c r="AP309" t="s">
        <v>1101</v>
      </c>
    </row>
    <row r="310" spans="1:42" x14ac:dyDescent="0.25">
      <c r="A310">
        <v>2023</v>
      </c>
      <c r="B310">
        <v>9</v>
      </c>
      <c r="C310">
        <v>17</v>
      </c>
      <c r="D310" t="s">
        <v>1088</v>
      </c>
      <c r="E310" t="s">
        <v>282</v>
      </c>
      <c r="F310">
        <v>618069</v>
      </c>
      <c r="G310">
        <v>10297269</v>
      </c>
      <c r="H310" t="s">
        <v>282</v>
      </c>
      <c r="J310">
        <v>53560305</v>
      </c>
      <c r="K310">
        <v>1104</v>
      </c>
      <c r="L310">
        <v>1702</v>
      </c>
      <c r="M310">
        <v>1304</v>
      </c>
      <c r="N310">
        <v>53385989</v>
      </c>
      <c r="O310">
        <v>45169.42956099537</v>
      </c>
      <c r="P310">
        <v>225</v>
      </c>
      <c r="Q310">
        <v>1</v>
      </c>
      <c r="R310">
        <v>225</v>
      </c>
      <c r="S310">
        <v>45176.437389155093</v>
      </c>
      <c r="T310">
        <v>5509</v>
      </c>
      <c r="U310" t="s">
        <v>1152</v>
      </c>
      <c r="V310" t="s">
        <v>1153</v>
      </c>
      <c r="W310" t="s">
        <v>2</v>
      </c>
      <c r="AI310">
        <v>62</v>
      </c>
      <c r="AJ310">
        <v>62</v>
      </c>
      <c r="AN310">
        <v>45170</v>
      </c>
      <c r="AO310">
        <v>45199</v>
      </c>
      <c r="AP310" t="s">
        <v>1101</v>
      </c>
    </row>
    <row r="311" spans="1:42" x14ac:dyDescent="0.25">
      <c r="A311">
        <v>2023</v>
      </c>
      <c r="B311">
        <v>9</v>
      </c>
      <c r="C311">
        <v>17</v>
      </c>
      <c r="D311" t="s">
        <v>1088</v>
      </c>
      <c r="E311" t="s">
        <v>282</v>
      </c>
      <c r="F311">
        <v>384980</v>
      </c>
      <c r="G311">
        <v>10281300</v>
      </c>
      <c r="H311" t="s">
        <v>282</v>
      </c>
      <c r="J311">
        <v>53588617</v>
      </c>
      <c r="K311">
        <v>1100</v>
      </c>
      <c r="L311">
        <v>1700</v>
      </c>
      <c r="M311">
        <v>1301</v>
      </c>
      <c r="P311">
        <v>216</v>
      </c>
      <c r="Q311">
        <v>1</v>
      </c>
      <c r="R311">
        <v>216</v>
      </c>
      <c r="S311">
        <v>45176.665151967594</v>
      </c>
      <c r="T311">
        <v>5500</v>
      </c>
      <c r="U311" t="s">
        <v>1151</v>
      </c>
      <c r="V311" t="s">
        <v>99</v>
      </c>
      <c r="W311" t="s">
        <v>1091</v>
      </c>
      <c r="X311" t="s">
        <v>1091</v>
      </c>
      <c r="AA311">
        <v>57802</v>
      </c>
      <c r="AB311" t="s">
        <v>1223</v>
      </c>
      <c r="AC311">
        <v>45178.083578819445</v>
      </c>
      <c r="AI311">
        <v>62</v>
      </c>
      <c r="AJ311">
        <v>62</v>
      </c>
      <c r="AN311">
        <v>45170</v>
      </c>
      <c r="AO311">
        <v>45199</v>
      </c>
      <c r="AP311" t="s">
        <v>1101</v>
      </c>
    </row>
    <row r="312" spans="1:42" x14ac:dyDescent="0.25">
      <c r="A312">
        <v>2023</v>
      </c>
      <c r="B312">
        <v>9</v>
      </c>
      <c r="C312">
        <v>17</v>
      </c>
      <c r="D312" t="s">
        <v>1088</v>
      </c>
      <c r="E312" t="s">
        <v>282</v>
      </c>
      <c r="F312">
        <v>384980</v>
      </c>
      <c r="G312">
        <v>10281300</v>
      </c>
      <c r="H312" t="s">
        <v>282</v>
      </c>
      <c r="J312">
        <v>53588621</v>
      </c>
      <c r="K312">
        <v>1100</v>
      </c>
      <c r="L312">
        <v>1700</v>
      </c>
      <c r="M312">
        <v>1301</v>
      </c>
      <c r="P312">
        <v>216</v>
      </c>
      <c r="Q312">
        <v>1</v>
      </c>
      <c r="R312">
        <v>216</v>
      </c>
      <c r="S312">
        <v>45176.665278043984</v>
      </c>
      <c r="T312">
        <v>5500</v>
      </c>
      <c r="U312" t="s">
        <v>1151</v>
      </c>
      <c r="V312" t="s">
        <v>99</v>
      </c>
      <c r="W312" t="s">
        <v>1091</v>
      </c>
      <c r="X312" t="s">
        <v>1091</v>
      </c>
      <c r="AA312">
        <v>57802</v>
      </c>
      <c r="AB312" t="s">
        <v>1223</v>
      </c>
      <c r="AC312">
        <v>45178.083578819445</v>
      </c>
      <c r="AI312">
        <v>62</v>
      </c>
      <c r="AJ312">
        <v>62</v>
      </c>
      <c r="AN312">
        <v>45170</v>
      </c>
      <c r="AO312">
        <v>45199</v>
      </c>
      <c r="AP312" t="s">
        <v>1101</v>
      </c>
    </row>
    <row r="313" spans="1:42" x14ac:dyDescent="0.25">
      <c r="A313">
        <v>2023</v>
      </c>
      <c r="B313">
        <v>9</v>
      </c>
      <c r="C313">
        <v>17</v>
      </c>
      <c r="D313" t="s">
        <v>1088</v>
      </c>
      <c r="E313" t="s">
        <v>282</v>
      </c>
      <c r="F313">
        <v>324550</v>
      </c>
      <c r="G313">
        <v>10322164</v>
      </c>
      <c r="H313" t="s">
        <v>282</v>
      </c>
      <c r="J313">
        <v>53637173</v>
      </c>
      <c r="K313">
        <v>1100</v>
      </c>
      <c r="L313">
        <v>1700</v>
      </c>
      <c r="M313">
        <v>1304</v>
      </c>
      <c r="P313">
        <v>216</v>
      </c>
      <c r="Q313">
        <v>1</v>
      </c>
      <c r="R313">
        <v>216</v>
      </c>
      <c r="S313">
        <v>45177.606135729169</v>
      </c>
      <c r="T313">
        <v>5500</v>
      </c>
      <c r="U313" t="s">
        <v>1154</v>
      </c>
      <c r="V313" t="s">
        <v>99</v>
      </c>
      <c r="W313" t="s">
        <v>2</v>
      </c>
      <c r="AI313">
        <v>62</v>
      </c>
      <c r="AJ313">
        <v>62</v>
      </c>
      <c r="AN313">
        <v>45170</v>
      </c>
      <c r="AO313">
        <v>45199</v>
      </c>
      <c r="AP313" t="s">
        <v>1101</v>
      </c>
    </row>
    <row r="314" spans="1:42" x14ac:dyDescent="0.25">
      <c r="A314">
        <v>2023</v>
      </c>
      <c r="B314">
        <v>9</v>
      </c>
      <c r="C314">
        <v>17</v>
      </c>
      <c r="D314" t="s">
        <v>1088</v>
      </c>
      <c r="E314" t="s">
        <v>282</v>
      </c>
      <c r="F314">
        <v>324550</v>
      </c>
      <c r="G314">
        <v>10322164</v>
      </c>
      <c r="H314" t="s">
        <v>282</v>
      </c>
      <c r="J314">
        <v>53637175</v>
      </c>
      <c r="K314">
        <v>1100</v>
      </c>
      <c r="L314">
        <v>1700</v>
      </c>
      <c r="M314">
        <v>1304</v>
      </c>
      <c r="P314">
        <v>216</v>
      </c>
      <c r="Q314">
        <v>1</v>
      </c>
      <c r="R314">
        <v>216</v>
      </c>
      <c r="S314">
        <v>45177.606259525463</v>
      </c>
      <c r="T314">
        <v>5500</v>
      </c>
      <c r="U314" t="s">
        <v>1154</v>
      </c>
      <c r="V314" t="s">
        <v>99</v>
      </c>
      <c r="W314" t="s">
        <v>2</v>
      </c>
      <c r="AI314">
        <v>62</v>
      </c>
      <c r="AJ314">
        <v>62</v>
      </c>
      <c r="AN314">
        <v>45170</v>
      </c>
      <c r="AO314">
        <v>45199</v>
      </c>
      <c r="AP314" t="s">
        <v>1101</v>
      </c>
    </row>
    <row r="315" spans="1:42" x14ac:dyDescent="0.25">
      <c r="A315">
        <v>2023</v>
      </c>
      <c r="B315">
        <v>9</v>
      </c>
      <c r="C315">
        <v>17</v>
      </c>
      <c r="D315" t="s">
        <v>1088</v>
      </c>
      <c r="E315" t="s">
        <v>282</v>
      </c>
      <c r="F315">
        <v>109895</v>
      </c>
      <c r="G315">
        <v>10288385</v>
      </c>
      <c r="H315" t="s">
        <v>282</v>
      </c>
      <c r="J315">
        <v>53637181</v>
      </c>
      <c r="K315">
        <v>1100</v>
      </c>
      <c r="L315">
        <v>1700</v>
      </c>
      <c r="M315">
        <v>1301</v>
      </c>
      <c r="P315">
        <v>216</v>
      </c>
      <c r="Q315">
        <v>1</v>
      </c>
      <c r="R315">
        <v>216</v>
      </c>
      <c r="S315">
        <v>45177.606974502312</v>
      </c>
      <c r="T315">
        <v>5500</v>
      </c>
      <c r="U315" t="s">
        <v>1151</v>
      </c>
      <c r="V315" t="s">
        <v>99</v>
      </c>
      <c r="W315" t="s">
        <v>1032</v>
      </c>
      <c r="X315" t="s">
        <v>1032</v>
      </c>
      <c r="AA315">
        <v>57969</v>
      </c>
      <c r="AB315" t="s">
        <v>1223</v>
      </c>
      <c r="AC315">
        <v>45192.083577511577</v>
      </c>
      <c r="AI315">
        <v>62</v>
      </c>
      <c r="AJ315">
        <v>62</v>
      </c>
      <c r="AN315">
        <v>45170</v>
      </c>
      <c r="AO315">
        <v>45199</v>
      </c>
      <c r="AP315" t="s">
        <v>1101</v>
      </c>
    </row>
    <row r="316" spans="1:42" x14ac:dyDescent="0.25">
      <c r="A316">
        <v>2023</v>
      </c>
      <c r="B316">
        <v>9</v>
      </c>
      <c r="C316">
        <v>17</v>
      </c>
      <c r="D316" t="s">
        <v>1088</v>
      </c>
      <c r="E316" t="s">
        <v>282</v>
      </c>
      <c r="F316">
        <v>109895</v>
      </c>
      <c r="G316">
        <v>10288385</v>
      </c>
      <c r="H316" t="s">
        <v>282</v>
      </c>
      <c r="J316">
        <v>53637182</v>
      </c>
      <c r="K316">
        <v>1100</v>
      </c>
      <c r="L316">
        <v>1700</v>
      </c>
      <c r="M316">
        <v>1301</v>
      </c>
      <c r="P316">
        <v>216</v>
      </c>
      <c r="Q316">
        <v>1</v>
      </c>
      <c r="R316">
        <v>216</v>
      </c>
      <c r="S316">
        <v>45177.607080358794</v>
      </c>
      <c r="T316">
        <v>5500</v>
      </c>
      <c r="U316" t="s">
        <v>1151</v>
      </c>
      <c r="V316" t="s">
        <v>99</v>
      </c>
      <c r="W316" t="s">
        <v>1032</v>
      </c>
      <c r="X316" t="s">
        <v>1032</v>
      </c>
      <c r="AA316">
        <v>57969</v>
      </c>
      <c r="AB316" t="s">
        <v>1223</v>
      </c>
      <c r="AC316">
        <v>45192.083577511577</v>
      </c>
      <c r="AI316">
        <v>62</v>
      </c>
      <c r="AJ316">
        <v>62</v>
      </c>
      <c r="AN316">
        <v>45170</v>
      </c>
      <c r="AO316">
        <v>45199</v>
      </c>
      <c r="AP316" t="s">
        <v>1101</v>
      </c>
    </row>
    <row r="317" spans="1:42" x14ac:dyDescent="0.25">
      <c r="A317">
        <v>2023</v>
      </c>
      <c r="B317">
        <v>9</v>
      </c>
      <c r="C317">
        <v>17</v>
      </c>
      <c r="D317" t="s">
        <v>1088</v>
      </c>
      <c r="E317" t="s">
        <v>282</v>
      </c>
      <c r="F317">
        <v>616507</v>
      </c>
      <c r="G317">
        <v>10267366</v>
      </c>
      <c r="H317" t="s">
        <v>282</v>
      </c>
      <c r="J317">
        <v>53627373</v>
      </c>
      <c r="K317">
        <v>1100</v>
      </c>
      <c r="L317">
        <v>1700</v>
      </c>
      <c r="M317">
        <v>1304</v>
      </c>
      <c r="P317">
        <v>216</v>
      </c>
      <c r="Q317">
        <v>1</v>
      </c>
      <c r="R317">
        <v>216</v>
      </c>
      <c r="S317">
        <v>45177.551697256946</v>
      </c>
      <c r="T317">
        <v>5500</v>
      </c>
      <c r="U317" t="s">
        <v>1154</v>
      </c>
      <c r="V317" t="s">
        <v>99</v>
      </c>
      <c r="W317" t="s">
        <v>2</v>
      </c>
      <c r="AI317">
        <v>62</v>
      </c>
      <c r="AJ317">
        <v>62</v>
      </c>
      <c r="AN317">
        <v>45170</v>
      </c>
      <c r="AO317">
        <v>45199</v>
      </c>
      <c r="AP317" t="s">
        <v>1101</v>
      </c>
    </row>
    <row r="318" spans="1:42" x14ac:dyDescent="0.25">
      <c r="A318">
        <v>2023</v>
      </c>
      <c r="B318">
        <v>9</v>
      </c>
      <c r="C318">
        <v>17</v>
      </c>
      <c r="D318" t="s">
        <v>1088</v>
      </c>
      <c r="E318" t="s">
        <v>282</v>
      </c>
      <c r="F318">
        <v>616507</v>
      </c>
      <c r="G318">
        <v>10267366</v>
      </c>
      <c r="H318" t="s">
        <v>282</v>
      </c>
      <c r="J318">
        <v>53627377</v>
      </c>
      <c r="K318">
        <v>1100</v>
      </c>
      <c r="L318">
        <v>1700</v>
      </c>
      <c r="M318">
        <v>1304</v>
      </c>
      <c r="P318">
        <v>216</v>
      </c>
      <c r="Q318">
        <v>1</v>
      </c>
      <c r="R318">
        <v>216</v>
      </c>
      <c r="S318">
        <v>45177.55180332176</v>
      </c>
      <c r="T318">
        <v>5500</v>
      </c>
      <c r="U318" t="s">
        <v>1154</v>
      </c>
      <c r="V318" t="s">
        <v>99</v>
      </c>
      <c r="W318" t="s">
        <v>2</v>
      </c>
      <c r="AI318">
        <v>62</v>
      </c>
      <c r="AJ318">
        <v>62</v>
      </c>
      <c r="AN318">
        <v>45170</v>
      </c>
      <c r="AO318">
        <v>45199</v>
      </c>
      <c r="AP318" t="s">
        <v>1101</v>
      </c>
    </row>
    <row r="319" spans="1:42" x14ac:dyDescent="0.25">
      <c r="A319">
        <v>2023</v>
      </c>
      <c r="B319">
        <v>9</v>
      </c>
      <c r="C319">
        <v>17</v>
      </c>
      <c r="D319" t="s">
        <v>1088</v>
      </c>
      <c r="E319" t="s">
        <v>282</v>
      </c>
      <c r="F319">
        <v>616507</v>
      </c>
      <c r="G319">
        <v>10267366</v>
      </c>
      <c r="H319" t="s">
        <v>282</v>
      </c>
      <c r="J319">
        <v>53627414</v>
      </c>
      <c r="K319">
        <v>1104</v>
      </c>
      <c r="L319">
        <v>1702</v>
      </c>
      <c r="M319">
        <v>1304</v>
      </c>
      <c r="N319">
        <v>53627373</v>
      </c>
      <c r="O319">
        <v>45177.551697256946</v>
      </c>
      <c r="P319">
        <v>216</v>
      </c>
      <c r="Q319">
        <v>1</v>
      </c>
      <c r="R319">
        <v>216</v>
      </c>
      <c r="S319">
        <v>45177.552437847226</v>
      </c>
      <c r="T319">
        <v>5509</v>
      </c>
      <c r="U319" t="s">
        <v>1152</v>
      </c>
      <c r="V319" t="s">
        <v>1153</v>
      </c>
      <c r="W319" t="s">
        <v>2</v>
      </c>
      <c r="AI319">
        <v>62</v>
      </c>
      <c r="AJ319">
        <v>62</v>
      </c>
      <c r="AN319">
        <v>45170</v>
      </c>
      <c r="AO319">
        <v>45199</v>
      </c>
      <c r="AP319" t="s">
        <v>1101</v>
      </c>
    </row>
    <row r="320" spans="1:42" x14ac:dyDescent="0.25">
      <c r="A320">
        <v>2023</v>
      </c>
      <c r="B320">
        <v>9</v>
      </c>
      <c r="C320">
        <v>17</v>
      </c>
      <c r="D320" t="s">
        <v>1088</v>
      </c>
      <c r="E320" t="s">
        <v>282</v>
      </c>
      <c r="F320">
        <v>616507</v>
      </c>
      <c r="G320">
        <v>10267366</v>
      </c>
      <c r="H320" t="s">
        <v>282</v>
      </c>
      <c r="J320">
        <v>53627422</v>
      </c>
      <c r="K320">
        <v>1104</v>
      </c>
      <c r="L320">
        <v>1702</v>
      </c>
      <c r="M320">
        <v>1304</v>
      </c>
      <c r="N320">
        <v>53627377</v>
      </c>
      <c r="O320">
        <v>45177.55180332176</v>
      </c>
      <c r="P320">
        <v>184.32</v>
      </c>
      <c r="Q320">
        <v>1</v>
      </c>
      <c r="R320">
        <v>184.32</v>
      </c>
      <c r="S320">
        <v>45177.552789780093</v>
      </c>
      <c r="T320">
        <v>5509</v>
      </c>
      <c r="U320" t="s">
        <v>1152</v>
      </c>
      <c r="V320" t="s">
        <v>1153</v>
      </c>
      <c r="W320" t="s">
        <v>2</v>
      </c>
      <c r="AI320">
        <v>62</v>
      </c>
      <c r="AJ320">
        <v>62</v>
      </c>
      <c r="AN320">
        <v>45170</v>
      </c>
      <c r="AO320">
        <v>45199</v>
      </c>
      <c r="AP320" t="s">
        <v>1101</v>
      </c>
    </row>
    <row r="321" spans="1:42" x14ac:dyDescent="0.25">
      <c r="A321">
        <v>2023</v>
      </c>
      <c r="B321">
        <v>9</v>
      </c>
      <c r="C321">
        <v>17</v>
      </c>
      <c r="D321" t="s">
        <v>1088</v>
      </c>
      <c r="E321" t="s">
        <v>282</v>
      </c>
      <c r="F321">
        <v>181208</v>
      </c>
      <c r="G321">
        <v>10324711</v>
      </c>
      <c r="H321" t="s">
        <v>282</v>
      </c>
      <c r="J321">
        <v>53648421</v>
      </c>
      <c r="K321">
        <v>1104</v>
      </c>
      <c r="L321">
        <v>1702</v>
      </c>
      <c r="M321">
        <v>1304</v>
      </c>
      <c r="N321">
        <v>53589273</v>
      </c>
      <c r="O321">
        <v>45176.676557407409</v>
      </c>
      <c r="P321">
        <v>66</v>
      </c>
      <c r="Q321">
        <v>1</v>
      </c>
      <c r="R321">
        <v>66</v>
      </c>
      <c r="S321">
        <v>45178.06737167824</v>
      </c>
      <c r="T321">
        <v>5509</v>
      </c>
      <c r="U321" t="s">
        <v>1152</v>
      </c>
      <c r="V321" t="s">
        <v>1153</v>
      </c>
      <c r="W321" t="s">
        <v>2</v>
      </c>
      <c r="AI321">
        <v>62</v>
      </c>
      <c r="AJ321">
        <v>62</v>
      </c>
      <c r="AN321">
        <v>45170</v>
      </c>
      <c r="AO321">
        <v>45199</v>
      </c>
      <c r="AP321" t="s">
        <v>1101</v>
      </c>
    </row>
    <row r="322" spans="1:42" x14ac:dyDescent="0.25">
      <c r="A322">
        <v>2023</v>
      </c>
      <c r="B322">
        <v>9</v>
      </c>
      <c r="C322">
        <v>17</v>
      </c>
      <c r="D322" t="s">
        <v>1088</v>
      </c>
      <c r="E322" t="s">
        <v>282</v>
      </c>
      <c r="F322">
        <v>618342</v>
      </c>
      <c r="G322">
        <v>10302920</v>
      </c>
      <c r="H322" t="s">
        <v>282</v>
      </c>
      <c r="J322">
        <v>53664396</v>
      </c>
      <c r="K322">
        <v>1106</v>
      </c>
      <c r="L322">
        <v>1706</v>
      </c>
      <c r="M322">
        <v>1301</v>
      </c>
      <c r="N322">
        <v>53646341</v>
      </c>
      <c r="O322">
        <v>45177.691606678243</v>
      </c>
      <c r="P322">
        <v>216</v>
      </c>
      <c r="Q322">
        <v>1</v>
      </c>
      <c r="R322">
        <v>216</v>
      </c>
      <c r="S322">
        <v>45180.450347106482</v>
      </c>
      <c r="T322">
        <v>5501</v>
      </c>
      <c r="U322" t="s">
        <v>1164</v>
      </c>
      <c r="V322" t="s">
        <v>1165</v>
      </c>
      <c r="AI322">
        <v>62</v>
      </c>
      <c r="AJ322">
        <v>62</v>
      </c>
      <c r="AN322">
        <v>45170</v>
      </c>
      <c r="AO322">
        <v>45199</v>
      </c>
      <c r="AP322" t="s">
        <v>1101</v>
      </c>
    </row>
    <row r="323" spans="1:42" x14ac:dyDescent="0.25">
      <c r="A323">
        <v>2023</v>
      </c>
      <c r="B323">
        <v>9</v>
      </c>
      <c r="C323">
        <v>17</v>
      </c>
      <c r="D323" t="s">
        <v>1088</v>
      </c>
      <c r="E323" t="s">
        <v>282</v>
      </c>
      <c r="F323">
        <v>618342</v>
      </c>
      <c r="G323">
        <v>10302920</v>
      </c>
      <c r="H323" t="s">
        <v>282</v>
      </c>
      <c r="J323">
        <v>53664397</v>
      </c>
      <c r="K323">
        <v>1105</v>
      </c>
      <c r="L323">
        <v>1702</v>
      </c>
      <c r="M323">
        <v>1300</v>
      </c>
      <c r="N323">
        <v>53646341</v>
      </c>
      <c r="O323">
        <v>45177.691606678243</v>
      </c>
      <c r="P323">
        <v>216</v>
      </c>
      <c r="Q323">
        <v>1</v>
      </c>
      <c r="R323">
        <v>-216</v>
      </c>
      <c r="S323">
        <v>45180.450353622684</v>
      </c>
      <c r="T323">
        <v>5511</v>
      </c>
      <c r="U323" t="s">
        <v>1156</v>
      </c>
      <c r="V323" t="s">
        <v>99</v>
      </c>
      <c r="W323" t="s">
        <v>2</v>
      </c>
      <c r="AI323">
        <v>62</v>
      </c>
      <c r="AJ323">
        <v>62</v>
      </c>
      <c r="AN323">
        <v>45170</v>
      </c>
      <c r="AO323">
        <v>45199</v>
      </c>
      <c r="AP323" t="s">
        <v>1101</v>
      </c>
    </row>
    <row r="324" spans="1:42" x14ac:dyDescent="0.25">
      <c r="A324">
        <v>2023</v>
      </c>
      <c r="B324">
        <v>9</v>
      </c>
      <c r="C324">
        <v>17</v>
      </c>
      <c r="D324" t="s">
        <v>1088</v>
      </c>
      <c r="E324" t="s">
        <v>282</v>
      </c>
      <c r="F324">
        <v>618342</v>
      </c>
      <c r="G324">
        <v>10302920</v>
      </c>
      <c r="H324" t="s">
        <v>282</v>
      </c>
      <c r="J324">
        <v>53664398</v>
      </c>
      <c r="K324">
        <v>1100</v>
      </c>
      <c r="L324">
        <v>1700</v>
      </c>
      <c r="M324">
        <v>1301</v>
      </c>
      <c r="P324">
        <v>216</v>
      </c>
      <c r="Q324">
        <v>1</v>
      </c>
      <c r="R324">
        <v>216</v>
      </c>
      <c r="S324">
        <v>45180.450354548608</v>
      </c>
      <c r="T324">
        <v>5500</v>
      </c>
      <c r="U324" t="s">
        <v>1151</v>
      </c>
      <c r="V324" t="s">
        <v>99</v>
      </c>
      <c r="W324" t="s">
        <v>1091</v>
      </c>
      <c r="X324" t="s">
        <v>1091</v>
      </c>
      <c r="AA324">
        <v>57941</v>
      </c>
      <c r="AB324" t="s">
        <v>1223</v>
      </c>
      <c r="AC324">
        <v>45190.087726307873</v>
      </c>
      <c r="AI324">
        <v>62</v>
      </c>
      <c r="AJ324">
        <v>62</v>
      </c>
      <c r="AN324">
        <v>45170</v>
      </c>
      <c r="AO324">
        <v>45199</v>
      </c>
      <c r="AP324" t="s">
        <v>1101</v>
      </c>
    </row>
    <row r="325" spans="1:42" x14ac:dyDescent="0.25">
      <c r="A325">
        <v>2023</v>
      </c>
      <c r="B325">
        <v>9</v>
      </c>
      <c r="C325">
        <v>17</v>
      </c>
      <c r="D325" t="s">
        <v>1088</v>
      </c>
      <c r="E325" t="s">
        <v>282</v>
      </c>
      <c r="F325">
        <v>618342</v>
      </c>
      <c r="G325">
        <v>10302920</v>
      </c>
      <c r="H325" t="s">
        <v>282</v>
      </c>
      <c r="J325">
        <v>53664399</v>
      </c>
      <c r="K325">
        <v>1106</v>
      </c>
      <c r="L325">
        <v>1706</v>
      </c>
      <c r="M325">
        <v>1301</v>
      </c>
      <c r="N325">
        <v>53646345</v>
      </c>
      <c r="O325">
        <v>45177.691693368055</v>
      </c>
      <c r="P325">
        <v>216</v>
      </c>
      <c r="Q325">
        <v>1</v>
      </c>
      <c r="R325">
        <v>216</v>
      </c>
      <c r="S325">
        <v>45180.450355474539</v>
      </c>
      <c r="T325">
        <v>5501</v>
      </c>
      <c r="U325" t="s">
        <v>1164</v>
      </c>
      <c r="V325" t="s">
        <v>1165</v>
      </c>
      <c r="AI325">
        <v>62</v>
      </c>
      <c r="AJ325">
        <v>62</v>
      </c>
      <c r="AN325">
        <v>45170</v>
      </c>
      <c r="AO325">
        <v>45199</v>
      </c>
      <c r="AP325" t="s">
        <v>1101</v>
      </c>
    </row>
    <row r="326" spans="1:42" x14ac:dyDescent="0.25">
      <c r="A326">
        <v>2023</v>
      </c>
      <c r="B326">
        <v>9</v>
      </c>
      <c r="C326">
        <v>17</v>
      </c>
      <c r="D326" t="s">
        <v>1088</v>
      </c>
      <c r="E326" t="s">
        <v>282</v>
      </c>
      <c r="F326">
        <v>618342</v>
      </c>
      <c r="G326">
        <v>10302920</v>
      </c>
      <c r="H326" t="s">
        <v>282</v>
      </c>
      <c r="J326">
        <v>53664400</v>
      </c>
      <c r="K326">
        <v>1105</v>
      </c>
      <c r="L326">
        <v>1702</v>
      </c>
      <c r="M326">
        <v>1300</v>
      </c>
      <c r="N326">
        <v>53646345</v>
      </c>
      <c r="O326">
        <v>45177.691693368055</v>
      </c>
      <c r="P326">
        <v>216</v>
      </c>
      <c r="Q326">
        <v>1</v>
      </c>
      <c r="R326">
        <v>-216</v>
      </c>
      <c r="S326">
        <v>45180.450357986112</v>
      </c>
      <c r="T326">
        <v>5511</v>
      </c>
      <c r="U326" t="s">
        <v>1156</v>
      </c>
      <c r="V326" t="s">
        <v>99</v>
      </c>
      <c r="W326" t="s">
        <v>2</v>
      </c>
      <c r="AI326">
        <v>62</v>
      </c>
      <c r="AJ326">
        <v>62</v>
      </c>
      <c r="AN326">
        <v>45170</v>
      </c>
      <c r="AO326">
        <v>45199</v>
      </c>
      <c r="AP326" t="s">
        <v>1101</v>
      </c>
    </row>
    <row r="327" spans="1:42" x14ac:dyDescent="0.25">
      <c r="A327">
        <v>2023</v>
      </c>
      <c r="B327">
        <v>9</v>
      </c>
      <c r="C327">
        <v>17</v>
      </c>
      <c r="D327" t="s">
        <v>1088</v>
      </c>
      <c r="E327" t="s">
        <v>282</v>
      </c>
      <c r="F327">
        <v>618342</v>
      </c>
      <c r="G327">
        <v>10302920</v>
      </c>
      <c r="H327" t="s">
        <v>282</v>
      </c>
      <c r="J327">
        <v>53664401</v>
      </c>
      <c r="K327">
        <v>1100</v>
      </c>
      <c r="L327">
        <v>1700</v>
      </c>
      <c r="M327">
        <v>1301</v>
      </c>
      <c r="P327">
        <v>216</v>
      </c>
      <c r="Q327">
        <v>1</v>
      </c>
      <c r="R327">
        <v>216</v>
      </c>
      <c r="S327">
        <v>45180.450359490744</v>
      </c>
      <c r="T327">
        <v>5500</v>
      </c>
      <c r="U327" t="s">
        <v>1151</v>
      </c>
      <c r="V327" t="s">
        <v>99</v>
      </c>
      <c r="W327" t="s">
        <v>1091</v>
      </c>
      <c r="X327" t="s">
        <v>1091</v>
      </c>
      <c r="AA327">
        <v>57941</v>
      </c>
      <c r="AB327" t="s">
        <v>1223</v>
      </c>
      <c r="AC327">
        <v>45190.087726307873</v>
      </c>
      <c r="AI327">
        <v>62</v>
      </c>
      <c r="AJ327">
        <v>62</v>
      </c>
      <c r="AN327">
        <v>45170</v>
      </c>
      <c r="AO327">
        <v>45199</v>
      </c>
      <c r="AP327" t="s">
        <v>1101</v>
      </c>
    </row>
    <row r="328" spans="1:42" x14ac:dyDescent="0.25">
      <c r="A328">
        <v>2023</v>
      </c>
      <c r="B328">
        <v>9</v>
      </c>
      <c r="C328">
        <v>17</v>
      </c>
      <c r="D328" t="s">
        <v>1088</v>
      </c>
      <c r="E328" t="s">
        <v>282</v>
      </c>
      <c r="F328">
        <v>620699</v>
      </c>
      <c r="G328">
        <v>10346376</v>
      </c>
      <c r="H328" t="s">
        <v>282</v>
      </c>
      <c r="J328">
        <v>53691312</v>
      </c>
      <c r="K328">
        <v>1100</v>
      </c>
      <c r="L328">
        <v>1700</v>
      </c>
      <c r="M328">
        <v>1304</v>
      </c>
      <c r="P328">
        <v>216</v>
      </c>
      <c r="Q328">
        <v>1</v>
      </c>
      <c r="R328">
        <v>216</v>
      </c>
      <c r="S328">
        <v>45180.681730208336</v>
      </c>
      <c r="T328">
        <v>5500</v>
      </c>
      <c r="U328" t="s">
        <v>1154</v>
      </c>
      <c r="V328" t="s">
        <v>99</v>
      </c>
      <c r="W328" t="s">
        <v>2</v>
      </c>
      <c r="AI328">
        <v>62</v>
      </c>
      <c r="AJ328">
        <v>62</v>
      </c>
      <c r="AN328">
        <v>45170</v>
      </c>
      <c r="AO328">
        <v>45199</v>
      </c>
      <c r="AP328" t="s">
        <v>1101</v>
      </c>
    </row>
    <row r="329" spans="1:42" x14ac:dyDescent="0.25">
      <c r="A329">
        <v>2023</v>
      </c>
      <c r="B329">
        <v>9</v>
      </c>
      <c r="C329">
        <v>17</v>
      </c>
      <c r="D329" t="s">
        <v>1088</v>
      </c>
      <c r="E329" t="s">
        <v>282</v>
      </c>
      <c r="F329">
        <v>620699</v>
      </c>
      <c r="G329">
        <v>10346376</v>
      </c>
      <c r="H329" t="s">
        <v>282</v>
      </c>
      <c r="J329">
        <v>53691313</v>
      </c>
      <c r="K329">
        <v>1100</v>
      </c>
      <c r="L329">
        <v>1700</v>
      </c>
      <c r="M329">
        <v>1304</v>
      </c>
      <c r="P329">
        <v>216</v>
      </c>
      <c r="Q329">
        <v>1</v>
      </c>
      <c r="R329">
        <v>216</v>
      </c>
      <c r="S329">
        <v>45180.681833136572</v>
      </c>
      <c r="T329">
        <v>5500</v>
      </c>
      <c r="U329" t="s">
        <v>1154</v>
      </c>
      <c r="V329" t="s">
        <v>99</v>
      </c>
      <c r="W329" t="s">
        <v>2</v>
      </c>
      <c r="AI329">
        <v>62</v>
      </c>
      <c r="AJ329">
        <v>62</v>
      </c>
      <c r="AN329">
        <v>45170</v>
      </c>
      <c r="AO329">
        <v>45199</v>
      </c>
      <c r="AP329" t="s">
        <v>1101</v>
      </c>
    </row>
    <row r="330" spans="1:42" x14ac:dyDescent="0.25">
      <c r="A330">
        <v>2023</v>
      </c>
      <c r="B330">
        <v>9</v>
      </c>
      <c r="C330">
        <v>17</v>
      </c>
      <c r="D330" t="s">
        <v>1088</v>
      </c>
      <c r="E330" t="s">
        <v>282</v>
      </c>
      <c r="F330">
        <v>619920</v>
      </c>
      <c r="G330">
        <v>10331628</v>
      </c>
      <c r="H330" t="s">
        <v>282</v>
      </c>
      <c r="J330">
        <v>53697535</v>
      </c>
      <c r="K330">
        <v>1104</v>
      </c>
      <c r="L330">
        <v>1702</v>
      </c>
      <c r="M330">
        <v>1304</v>
      </c>
      <c r="N330">
        <v>53671586</v>
      </c>
      <c r="O330">
        <v>45180.548755636577</v>
      </c>
      <c r="P330">
        <v>200</v>
      </c>
      <c r="Q330">
        <v>1</v>
      </c>
      <c r="R330">
        <v>200</v>
      </c>
      <c r="S330">
        <v>45181.067376736108</v>
      </c>
      <c r="T330">
        <v>5509</v>
      </c>
      <c r="U330" t="s">
        <v>1152</v>
      </c>
      <c r="V330" t="s">
        <v>1153</v>
      </c>
      <c r="W330" t="s">
        <v>2</v>
      </c>
      <c r="AI330">
        <v>62</v>
      </c>
      <c r="AJ330">
        <v>62</v>
      </c>
      <c r="AN330">
        <v>45170</v>
      </c>
      <c r="AO330">
        <v>45199</v>
      </c>
      <c r="AP330" t="s">
        <v>1101</v>
      </c>
    </row>
    <row r="331" spans="1:42" x14ac:dyDescent="0.25">
      <c r="A331">
        <v>2023</v>
      </c>
      <c r="B331">
        <v>9</v>
      </c>
      <c r="C331">
        <v>17</v>
      </c>
      <c r="D331" t="s">
        <v>1088</v>
      </c>
      <c r="E331" t="s">
        <v>282</v>
      </c>
      <c r="F331">
        <v>620699</v>
      </c>
      <c r="G331">
        <v>10346376</v>
      </c>
      <c r="H331" t="s">
        <v>282</v>
      </c>
      <c r="J331">
        <v>53697536</v>
      </c>
      <c r="K331">
        <v>1104</v>
      </c>
      <c r="L331">
        <v>1702</v>
      </c>
      <c r="M331">
        <v>1304</v>
      </c>
      <c r="N331">
        <v>53691312</v>
      </c>
      <c r="O331">
        <v>45180.681730208336</v>
      </c>
      <c r="P331">
        <v>216</v>
      </c>
      <c r="Q331">
        <v>1</v>
      </c>
      <c r="R331">
        <v>216</v>
      </c>
      <c r="S331">
        <v>45181.067376736108</v>
      </c>
      <c r="T331">
        <v>5509</v>
      </c>
      <c r="U331" t="s">
        <v>1152</v>
      </c>
      <c r="V331" t="s">
        <v>1153</v>
      </c>
      <c r="W331" t="s">
        <v>2</v>
      </c>
      <c r="AI331">
        <v>62</v>
      </c>
      <c r="AJ331">
        <v>62</v>
      </c>
      <c r="AN331">
        <v>45170</v>
      </c>
      <c r="AO331">
        <v>45199</v>
      </c>
      <c r="AP331" t="s">
        <v>1101</v>
      </c>
    </row>
    <row r="332" spans="1:42" x14ac:dyDescent="0.25">
      <c r="A332">
        <v>2023</v>
      </c>
      <c r="B332">
        <v>9</v>
      </c>
      <c r="C332">
        <v>17</v>
      </c>
      <c r="D332" t="s">
        <v>1088</v>
      </c>
      <c r="E332" t="s">
        <v>282</v>
      </c>
      <c r="F332">
        <v>620699</v>
      </c>
      <c r="G332">
        <v>10346376</v>
      </c>
      <c r="H332" t="s">
        <v>282</v>
      </c>
      <c r="J332">
        <v>53697537</v>
      </c>
      <c r="K332">
        <v>1104</v>
      </c>
      <c r="L332">
        <v>1702</v>
      </c>
      <c r="M332">
        <v>1304</v>
      </c>
      <c r="N332">
        <v>53691313</v>
      </c>
      <c r="O332">
        <v>45180.681833136572</v>
      </c>
      <c r="P332">
        <v>216</v>
      </c>
      <c r="Q332">
        <v>1</v>
      </c>
      <c r="R332">
        <v>216</v>
      </c>
      <c r="S332">
        <v>45181.067376736108</v>
      </c>
      <c r="T332">
        <v>5509</v>
      </c>
      <c r="U332" t="s">
        <v>1152</v>
      </c>
      <c r="V332" t="s">
        <v>1153</v>
      </c>
      <c r="W332" t="s">
        <v>2</v>
      </c>
      <c r="AI332">
        <v>62</v>
      </c>
      <c r="AJ332">
        <v>62</v>
      </c>
      <c r="AN332">
        <v>45170</v>
      </c>
      <c r="AO332">
        <v>45199</v>
      </c>
      <c r="AP332" t="s">
        <v>1101</v>
      </c>
    </row>
    <row r="333" spans="1:42" x14ac:dyDescent="0.25">
      <c r="A333">
        <v>2023</v>
      </c>
      <c r="B333">
        <v>9</v>
      </c>
      <c r="C333">
        <v>17</v>
      </c>
      <c r="D333" t="s">
        <v>1088</v>
      </c>
      <c r="E333" t="s">
        <v>282</v>
      </c>
      <c r="F333">
        <v>621445</v>
      </c>
      <c r="G333">
        <v>10362200</v>
      </c>
      <c r="H333" t="s">
        <v>282</v>
      </c>
      <c r="J333">
        <v>53717377</v>
      </c>
      <c r="K333">
        <v>1100</v>
      </c>
      <c r="L333">
        <v>1700</v>
      </c>
      <c r="M333">
        <v>1301</v>
      </c>
      <c r="P333">
        <v>7.5</v>
      </c>
      <c r="Q333">
        <v>2</v>
      </c>
      <c r="R333">
        <v>15</v>
      </c>
      <c r="S333">
        <v>45181.632475925922</v>
      </c>
      <c r="T333">
        <v>5500</v>
      </c>
      <c r="U333" t="s">
        <v>1151</v>
      </c>
      <c r="V333" t="s">
        <v>99</v>
      </c>
      <c r="W333" t="s">
        <v>1031</v>
      </c>
      <c r="X333" t="s">
        <v>1031</v>
      </c>
      <c r="AA333">
        <v>57859</v>
      </c>
      <c r="AB333" t="s">
        <v>1223</v>
      </c>
      <c r="AC333">
        <v>45183.08766646991</v>
      </c>
      <c r="AI333">
        <v>62</v>
      </c>
      <c r="AJ333">
        <v>62</v>
      </c>
      <c r="AN333">
        <v>45170</v>
      </c>
      <c r="AO333">
        <v>45199</v>
      </c>
      <c r="AP333" t="s">
        <v>1101</v>
      </c>
    </row>
    <row r="334" spans="1:42" x14ac:dyDescent="0.25">
      <c r="A334">
        <v>2023</v>
      </c>
      <c r="B334">
        <v>9</v>
      </c>
      <c r="C334">
        <v>17</v>
      </c>
      <c r="D334" t="s">
        <v>1088</v>
      </c>
      <c r="E334" t="s">
        <v>282</v>
      </c>
      <c r="F334">
        <v>621445</v>
      </c>
      <c r="G334">
        <v>10362200</v>
      </c>
      <c r="H334" t="s">
        <v>282</v>
      </c>
      <c r="J334">
        <v>53717387</v>
      </c>
      <c r="K334">
        <v>1100</v>
      </c>
      <c r="L334">
        <v>1700</v>
      </c>
      <c r="M334">
        <v>1301</v>
      </c>
      <c r="P334">
        <v>15</v>
      </c>
      <c r="Q334">
        <v>1</v>
      </c>
      <c r="R334">
        <v>15</v>
      </c>
      <c r="S334">
        <v>45181.632610995373</v>
      </c>
      <c r="T334">
        <v>5500</v>
      </c>
      <c r="U334" t="s">
        <v>1151</v>
      </c>
      <c r="V334" t="s">
        <v>99</v>
      </c>
      <c r="W334" t="s">
        <v>1031</v>
      </c>
      <c r="X334" t="s">
        <v>1031</v>
      </c>
      <c r="AA334">
        <v>57859</v>
      </c>
      <c r="AB334" t="s">
        <v>1223</v>
      </c>
      <c r="AC334">
        <v>45183.08766646991</v>
      </c>
      <c r="AI334">
        <v>62</v>
      </c>
      <c r="AJ334">
        <v>62</v>
      </c>
      <c r="AN334">
        <v>45170</v>
      </c>
      <c r="AO334">
        <v>45199</v>
      </c>
      <c r="AP334" t="s">
        <v>1101</v>
      </c>
    </row>
    <row r="335" spans="1:42" x14ac:dyDescent="0.25">
      <c r="A335">
        <v>2023</v>
      </c>
      <c r="B335">
        <v>9</v>
      </c>
      <c r="C335">
        <v>17</v>
      </c>
      <c r="D335" t="s">
        <v>1088</v>
      </c>
      <c r="E335" t="s">
        <v>282</v>
      </c>
      <c r="F335">
        <v>621449</v>
      </c>
      <c r="G335">
        <v>10362310</v>
      </c>
      <c r="H335" t="s">
        <v>282</v>
      </c>
      <c r="J335">
        <v>53717668</v>
      </c>
      <c r="K335">
        <v>1100</v>
      </c>
      <c r="L335">
        <v>1700</v>
      </c>
      <c r="M335">
        <v>1301</v>
      </c>
      <c r="P335">
        <v>85</v>
      </c>
      <c r="Q335">
        <v>1</v>
      </c>
      <c r="R335">
        <v>85</v>
      </c>
      <c r="S335">
        <v>45181.637110613425</v>
      </c>
      <c r="T335">
        <v>5500</v>
      </c>
      <c r="U335" t="s">
        <v>1151</v>
      </c>
      <c r="V335" t="s">
        <v>99</v>
      </c>
      <c r="W335" t="s">
        <v>1031</v>
      </c>
      <c r="X335" t="s">
        <v>1031</v>
      </c>
      <c r="AA335">
        <v>57859</v>
      </c>
      <c r="AB335" t="s">
        <v>1223</v>
      </c>
      <c r="AC335">
        <v>45183.08766646991</v>
      </c>
      <c r="AI335">
        <v>62</v>
      </c>
      <c r="AJ335">
        <v>62</v>
      </c>
      <c r="AN335">
        <v>45170</v>
      </c>
      <c r="AO335">
        <v>45199</v>
      </c>
      <c r="AP335" t="s">
        <v>1101</v>
      </c>
    </row>
    <row r="336" spans="1:42" x14ac:dyDescent="0.25">
      <c r="A336">
        <v>2023</v>
      </c>
      <c r="B336">
        <v>9</v>
      </c>
      <c r="C336">
        <v>17</v>
      </c>
      <c r="D336" t="s">
        <v>1088</v>
      </c>
      <c r="E336" t="s">
        <v>282</v>
      </c>
      <c r="F336">
        <v>621449</v>
      </c>
      <c r="G336">
        <v>10362310</v>
      </c>
      <c r="H336" t="s">
        <v>282</v>
      </c>
      <c r="J336">
        <v>53717669</v>
      </c>
      <c r="K336">
        <v>1100</v>
      </c>
      <c r="L336">
        <v>1700</v>
      </c>
      <c r="M336">
        <v>1301</v>
      </c>
      <c r="P336">
        <v>8</v>
      </c>
      <c r="Q336">
        <v>2</v>
      </c>
      <c r="R336">
        <v>16</v>
      </c>
      <c r="S336">
        <v>45181.63725216435</v>
      </c>
      <c r="T336">
        <v>5500</v>
      </c>
      <c r="U336" t="s">
        <v>1151</v>
      </c>
      <c r="V336" t="s">
        <v>99</v>
      </c>
      <c r="W336" t="s">
        <v>1031</v>
      </c>
      <c r="X336" t="s">
        <v>1031</v>
      </c>
      <c r="AA336">
        <v>57859</v>
      </c>
      <c r="AB336" t="s">
        <v>1223</v>
      </c>
      <c r="AC336">
        <v>45183.08766646991</v>
      </c>
      <c r="AI336">
        <v>62</v>
      </c>
      <c r="AJ336">
        <v>62</v>
      </c>
      <c r="AN336">
        <v>45170</v>
      </c>
      <c r="AO336">
        <v>45199</v>
      </c>
      <c r="AP336" t="s">
        <v>1101</v>
      </c>
    </row>
    <row r="337" spans="1:42" x14ac:dyDescent="0.25">
      <c r="A337">
        <v>2023</v>
      </c>
      <c r="B337">
        <v>9</v>
      </c>
      <c r="C337">
        <v>17</v>
      </c>
      <c r="D337" t="s">
        <v>1088</v>
      </c>
      <c r="E337" t="s">
        <v>282</v>
      </c>
      <c r="F337">
        <v>621449</v>
      </c>
      <c r="G337">
        <v>10362310</v>
      </c>
      <c r="H337" t="s">
        <v>282</v>
      </c>
      <c r="J337">
        <v>53717674</v>
      </c>
      <c r="K337">
        <v>1100</v>
      </c>
      <c r="L337">
        <v>1700</v>
      </c>
      <c r="M337">
        <v>1301</v>
      </c>
      <c r="P337">
        <v>5</v>
      </c>
      <c r="Q337">
        <v>2</v>
      </c>
      <c r="R337">
        <v>10</v>
      </c>
      <c r="S337">
        <v>45181.63740219907</v>
      </c>
      <c r="T337">
        <v>5500</v>
      </c>
      <c r="U337" t="s">
        <v>1151</v>
      </c>
      <c r="V337" t="s">
        <v>99</v>
      </c>
      <c r="W337" t="s">
        <v>1031</v>
      </c>
      <c r="X337" t="s">
        <v>1031</v>
      </c>
      <c r="AA337">
        <v>57859</v>
      </c>
      <c r="AB337" t="s">
        <v>1223</v>
      </c>
      <c r="AC337">
        <v>45183.08766646991</v>
      </c>
      <c r="AI337">
        <v>62</v>
      </c>
      <c r="AJ337">
        <v>62</v>
      </c>
      <c r="AN337">
        <v>45170</v>
      </c>
      <c r="AO337">
        <v>45199</v>
      </c>
      <c r="AP337" t="s">
        <v>1101</v>
      </c>
    </row>
    <row r="338" spans="1:42" x14ac:dyDescent="0.25">
      <c r="A338">
        <v>2023</v>
      </c>
      <c r="B338">
        <v>9</v>
      </c>
      <c r="C338">
        <v>17</v>
      </c>
      <c r="D338" t="s">
        <v>1088</v>
      </c>
      <c r="E338" t="s">
        <v>282</v>
      </c>
      <c r="F338">
        <v>621449</v>
      </c>
      <c r="G338">
        <v>10362310</v>
      </c>
      <c r="H338" t="s">
        <v>282</v>
      </c>
      <c r="J338">
        <v>53717675</v>
      </c>
      <c r="K338">
        <v>1100</v>
      </c>
      <c r="L338">
        <v>1700</v>
      </c>
      <c r="M338">
        <v>1301</v>
      </c>
      <c r="P338">
        <v>7.5</v>
      </c>
      <c r="Q338">
        <v>2</v>
      </c>
      <c r="R338">
        <v>15</v>
      </c>
      <c r="S338">
        <v>45181.637562071759</v>
      </c>
      <c r="T338">
        <v>5500</v>
      </c>
      <c r="U338" t="s">
        <v>1151</v>
      </c>
      <c r="V338" t="s">
        <v>99</v>
      </c>
      <c r="W338" t="s">
        <v>1031</v>
      </c>
      <c r="X338" t="s">
        <v>1031</v>
      </c>
      <c r="AA338">
        <v>57859</v>
      </c>
      <c r="AB338" t="s">
        <v>1223</v>
      </c>
      <c r="AC338">
        <v>45183.08766646991</v>
      </c>
      <c r="AI338">
        <v>62</v>
      </c>
      <c r="AJ338">
        <v>62</v>
      </c>
      <c r="AN338">
        <v>45170</v>
      </c>
      <c r="AO338">
        <v>45199</v>
      </c>
      <c r="AP338" t="s">
        <v>1101</v>
      </c>
    </row>
    <row r="339" spans="1:42" x14ac:dyDescent="0.25">
      <c r="A339">
        <v>2023</v>
      </c>
      <c r="B339">
        <v>9</v>
      </c>
      <c r="C339">
        <v>17</v>
      </c>
      <c r="D339" t="s">
        <v>1088</v>
      </c>
      <c r="E339" t="s">
        <v>282</v>
      </c>
      <c r="F339">
        <v>616507</v>
      </c>
      <c r="G339">
        <v>10267366</v>
      </c>
      <c r="H339" t="s">
        <v>282</v>
      </c>
      <c r="J339">
        <v>53732072</v>
      </c>
      <c r="K339">
        <v>1104</v>
      </c>
      <c r="L339">
        <v>1702</v>
      </c>
      <c r="M339">
        <v>1304</v>
      </c>
      <c r="N339">
        <v>53627373</v>
      </c>
      <c r="O339">
        <v>45177.551697256946</v>
      </c>
      <c r="P339">
        <v>216</v>
      </c>
      <c r="Q339">
        <v>1</v>
      </c>
      <c r="R339">
        <v>216</v>
      </c>
      <c r="S339">
        <v>45182.067373032405</v>
      </c>
      <c r="T339">
        <v>5509</v>
      </c>
      <c r="U339" t="s">
        <v>1152</v>
      </c>
      <c r="V339" t="s">
        <v>1153</v>
      </c>
      <c r="W339" t="s">
        <v>2</v>
      </c>
      <c r="AI339">
        <v>62</v>
      </c>
      <c r="AJ339">
        <v>62</v>
      </c>
      <c r="AN339">
        <v>45170</v>
      </c>
      <c r="AO339">
        <v>45199</v>
      </c>
      <c r="AP339" t="s">
        <v>1101</v>
      </c>
    </row>
    <row r="340" spans="1:42" x14ac:dyDescent="0.25">
      <c r="A340">
        <v>2023</v>
      </c>
      <c r="B340">
        <v>9</v>
      </c>
      <c r="C340">
        <v>17</v>
      </c>
      <c r="D340" t="s">
        <v>1088</v>
      </c>
      <c r="E340" t="s">
        <v>282</v>
      </c>
      <c r="F340">
        <v>616507</v>
      </c>
      <c r="G340">
        <v>10267366</v>
      </c>
      <c r="H340" t="s">
        <v>282</v>
      </c>
      <c r="J340">
        <v>53732073</v>
      </c>
      <c r="K340">
        <v>1104</v>
      </c>
      <c r="L340">
        <v>1702</v>
      </c>
      <c r="M340">
        <v>1304</v>
      </c>
      <c r="N340">
        <v>53627377</v>
      </c>
      <c r="O340">
        <v>45177.55180332176</v>
      </c>
      <c r="P340">
        <v>184.32</v>
      </c>
      <c r="Q340">
        <v>1</v>
      </c>
      <c r="R340">
        <v>184.32</v>
      </c>
      <c r="S340">
        <v>45182.067373032405</v>
      </c>
      <c r="T340">
        <v>5509</v>
      </c>
      <c r="U340" t="s">
        <v>1152</v>
      </c>
      <c r="V340" t="s">
        <v>1153</v>
      </c>
      <c r="W340" t="s">
        <v>2</v>
      </c>
      <c r="AI340">
        <v>62</v>
      </c>
      <c r="AJ340">
        <v>62</v>
      </c>
      <c r="AN340">
        <v>45170</v>
      </c>
      <c r="AO340">
        <v>45199</v>
      </c>
      <c r="AP340" t="s">
        <v>1101</v>
      </c>
    </row>
    <row r="341" spans="1:42" x14ac:dyDescent="0.25">
      <c r="A341">
        <v>2023</v>
      </c>
      <c r="B341">
        <v>9</v>
      </c>
      <c r="C341">
        <v>17</v>
      </c>
      <c r="D341" t="s">
        <v>1088</v>
      </c>
      <c r="E341" t="s">
        <v>282</v>
      </c>
      <c r="F341">
        <v>593585</v>
      </c>
      <c r="G341">
        <v>10360053</v>
      </c>
      <c r="H341" t="s">
        <v>282</v>
      </c>
      <c r="J341">
        <v>53732153</v>
      </c>
      <c r="K341">
        <v>1104</v>
      </c>
      <c r="L341">
        <v>1702</v>
      </c>
      <c r="M341">
        <v>1304</v>
      </c>
      <c r="N341">
        <v>53707262</v>
      </c>
      <c r="O341">
        <v>45181.492107488426</v>
      </c>
      <c r="P341">
        <v>120</v>
      </c>
      <c r="Q341">
        <v>1</v>
      </c>
      <c r="R341">
        <v>120</v>
      </c>
      <c r="S341">
        <v>45182.067373032405</v>
      </c>
      <c r="T341">
        <v>5509</v>
      </c>
      <c r="U341" t="s">
        <v>1152</v>
      </c>
      <c r="V341" t="s">
        <v>1153</v>
      </c>
      <c r="W341" t="s">
        <v>2</v>
      </c>
      <c r="AI341">
        <v>62</v>
      </c>
      <c r="AJ341">
        <v>62</v>
      </c>
      <c r="AN341">
        <v>45170</v>
      </c>
      <c r="AO341">
        <v>45199</v>
      </c>
      <c r="AP341" t="s">
        <v>1101</v>
      </c>
    </row>
    <row r="342" spans="1:42" x14ac:dyDescent="0.25">
      <c r="A342">
        <v>2023</v>
      </c>
      <c r="B342">
        <v>9</v>
      </c>
      <c r="C342">
        <v>17</v>
      </c>
      <c r="D342" t="s">
        <v>1088</v>
      </c>
      <c r="E342" t="s">
        <v>282</v>
      </c>
      <c r="F342">
        <v>593585</v>
      </c>
      <c r="G342">
        <v>10360053</v>
      </c>
      <c r="H342" t="s">
        <v>282</v>
      </c>
      <c r="J342">
        <v>53732154</v>
      </c>
      <c r="K342">
        <v>1104</v>
      </c>
      <c r="L342">
        <v>1702</v>
      </c>
      <c r="M342">
        <v>1304</v>
      </c>
      <c r="N342">
        <v>53707263</v>
      </c>
      <c r="O342">
        <v>45181.492224687499</v>
      </c>
      <c r="P342">
        <v>120</v>
      </c>
      <c r="Q342">
        <v>1</v>
      </c>
      <c r="R342">
        <v>120</v>
      </c>
      <c r="S342">
        <v>45182.067373032405</v>
      </c>
      <c r="T342">
        <v>5509</v>
      </c>
      <c r="U342" t="s">
        <v>1152</v>
      </c>
      <c r="V342" t="s">
        <v>1153</v>
      </c>
      <c r="W342" t="s">
        <v>2</v>
      </c>
      <c r="AI342">
        <v>62</v>
      </c>
      <c r="AJ342">
        <v>62</v>
      </c>
      <c r="AN342">
        <v>45170</v>
      </c>
      <c r="AO342">
        <v>45199</v>
      </c>
      <c r="AP342" t="s">
        <v>1101</v>
      </c>
    </row>
    <row r="343" spans="1:42" x14ac:dyDescent="0.25">
      <c r="A343">
        <v>2023</v>
      </c>
      <c r="B343">
        <v>9</v>
      </c>
      <c r="C343">
        <v>17</v>
      </c>
      <c r="D343" t="s">
        <v>1088</v>
      </c>
      <c r="E343" t="s">
        <v>282</v>
      </c>
      <c r="F343">
        <v>593585</v>
      </c>
      <c r="G343">
        <v>10360053</v>
      </c>
      <c r="H343" t="s">
        <v>282</v>
      </c>
      <c r="J343">
        <v>53732155</v>
      </c>
      <c r="K343">
        <v>1104</v>
      </c>
      <c r="L343">
        <v>1702</v>
      </c>
      <c r="M343">
        <v>1304</v>
      </c>
      <c r="N343">
        <v>53707264</v>
      </c>
      <c r="O343">
        <v>45181.492325810184</v>
      </c>
      <c r="P343">
        <v>14.4</v>
      </c>
      <c r="Q343">
        <v>1</v>
      </c>
      <c r="R343">
        <v>14.4</v>
      </c>
      <c r="S343">
        <v>45182.067373032405</v>
      </c>
      <c r="T343">
        <v>5509</v>
      </c>
      <c r="U343" t="s">
        <v>1152</v>
      </c>
      <c r="V343" t="s">
        <v>1153</v>
      </c>
      <c r="W343" t="s">
        <v>2</v>
      </c>
      <c r="AI343">
        <v>62</v>
      </c>
      <c r="AJ343">
        <v>62</v>
      </c>
      <c r="AN343">
        <v>45170</v>
      </c>
      <c r="AO343">
        <v>45199</v>
      </c>
      <c r="AP343" t="s">
        <v>1101</v>
      </c>
    </row>
    <row r="344" spans="1:42" x14ac:dyDescent="0.25">
      <c r="A344">
        <v>2023</v>
      </c>
      <c r="B344">
        <v>9</v>
      </c>
      <c r="C344">
        <v>17</v>
      </c>
      <c r="D344" t="s">
        <v>1088</v>
      </c>
      <c r="E344" t="s">
        <v>282</v>
      </c>
      <c r="F344">
        <v>378223</v>
      </c>
      <c r="G344">
        <v>10395989</v>
      </c>
      <c r="H344" t="s">
        <v>282</v>
      </c>
      <c r="J344">
        <v>53935774</v>
      </c>
      <c r="K344">
        <v>1100</v>
      </c>
      <c r="L344">
        <v>1700</v>
      </c>
      <c r="M344">
        <v>1304</v>
      </c>
      <c r="P344">
        <v>18</v>
      </c>
      <c r="Q344">
        <v>1</v>
      </c>
      <c r="R344">
        <v>18</v>
      </c>
      <c r="S344">
        <v>45188.496944062499</v>
      </c>
      <c r="T344">
        <v>5500</v>
      </c>
      <c r="U344" t="s">
        <v>1154</v>
      </c>
      <c r="V344" t="s">
        <v>99</v>
      </c>
      <c r="W344" t="s">
        <v>2</v>
      </c>
      <c r="AI344">
        <v>62</v>
      </c>
      <c r="AJ344">
        <v>62</v>
      </c>
      <c r="AN344">
        <v>45170</v>
      </c>
      <c r="AO344">
        <v>45199</v>
      </c>
      <c r="AP344" t="s">
        <v>1101</v>
      </c>
    </row>
    <row r="345" spans="1:42" x14ac:dyDescent="0.25">
      <c r="A345">
        <v>2023</v>
      </c>
      <c r="B345">
        <v>9</v>
      </c>
      <c r="C345">
        <v>17</v>
      </c>
      <c r="D345" t="s">
        <v>1088</v>
      </c>
      <c r="E345" t="s">
        <v>282</v>
      </c>
      <c r="F345">
        <v>378223</v>
      </c>
      <c r="G345">
        <v>10395989</v>
      </c>
      <c r="H345" t="s">
        <v>282</v>
      </c>
      <c r="J345">
        <v>53935775</v>
      </c>
      <c r="K345">
        <v>1100</v>
      </c>
      <c r="L345">
        <v>1700</v>
      </c>
      <c r="M345">
        <v>1304</v>
      </c>
      <c r="P345">
        <v>15</v>
      </c>
      <c r="Q345">
        <v>1</v>
      </c>
      <c r="R345">
        <v>15</v>
      </c>
      <c r="S345">
        <v>45188.497033182874</v>
      </c>
      <c r="T345">
        <v>5500</v>
      </c>
      <c r="U345" t="s">
        <v>1154</v>
      </c>
      <c r="V345" t="s">
        <v>99</v>
      </c>
      <c r="W345" t="s">
        <v>2</v>
      </c>
      <c r="AI345">
        <v>62</v>
      </c>
      <c r="AJ345">
        <v>62</v>
      </c>
      <c r="AN345">
        <v>45170</v>
      </c>
      <c r="AO345">
        <v>45199</v>
      </c>
      <c r="AP345" t="s">
        <v>1101</v>
      </c>
    </row>
    <row r="346" spans="1:42" x14ac:dyDescent="0.25">
      <c r="A346">
        <v>2023</v>
      </c>
      <c r="B346">
        <v>9</v>
      </c>
      <c r="C346">
        <v>17</v>
      </c>
      <c r="D346" t="s">
        <v>1088</v>
      </c>
      <c r="E346" t="s">
        <v>282</v>
      </c>
      <c r="F346">
        <v>378223</v>
      </c>
      <c r="G346">
        <v>10395989</v>
      </c>
      <c r="H346" t="s">
        <v>282</v>
      </c>
      <c r="J346">
        <v>53935771</v>
      </c>
      <c r="K346">
        <v>1100</v>
      </c>
      <c r="L346">
        <v>1700</v>
      </c>
      <c r="M346">
        <v>1304</v>
      </c>
      <c r="P346">
        <v>150</v>
      </c>
      <c r="Q346">
        <v>1</v>
      </c>
      <c r="R346">
        <v>150</v>
      </c>
      <c r="S346">
        <v>45188.496759953705</v>
      </c>
      <c r="T346">
        <v>5500</v>
      </c>
      <c r="U346" t="s">
        <v>1154</v>
      </c>
      <c r="V346" t="s">
        <v>99</v>
      </c>
      <c r="W346" t="s">
        <v>2</v>
      </c>
      <c r="AI346">
        <v>62</v>
      </c>
      <c r="AJ346">
        <v>62</v>
      </c>
      <c r="AN346">
        <v>45170</v>
      </c>
      <c r="AO346">
        <v>45199</v>
      </c>
      <c r="AP346" t="s">
        <v>1101</v>
      </c>
    </row>
    <row r="347" spans="1:42" x14ac:dyDescent="0.25">
      <c r="A347">
        <v>2023</v>
      </c>
      <c r="B347">
        <v>9</v>
      </c>
      <c r="C347">
        <v>17</v>
      </c>
      <c r="D347" t="s">
        <v>1088</v>
      </c>
      <c r="E347" t="s">
        <v>282</v>
      </c>
      <c r="F347">
        <v>378223</v>
      </c>
      <c r="G347">
        <v>10395989</v>
      </c>
      <c r="H347" t="s">
        <v>282</v>
      </c>
      <c r="J347">
        <v>53935773</v>
      </c>
      <c r="K347">
        <v>1100</v>
      </c>
      <c r="L347">
        <v>1700</v>
      </c>
      <c r="M347">
        <v>1304</v>
      </c>
      <c r="P347">
        <v>150</v>
      </c>
      <c r="Q347">
        <v>1</v>
      </c>
      <c r="R347">
        <v>150</v>
      </c>
      <c r="S347">
        <v>45188.496880937499</v>
      </c>
      <c r="T347">
        <v>5500</v>
      </c>
      <c r="U347" t="s">
        <v>1154</v>
      </c>
      <c r="V347" t="s">
        <v>99</v>
      </c>
      <c r="W347" t="s">
        <v>2</v>
      </c>
      <c r="AI347">
        <v>62</v>
      </c>
      <c r="AJ347">
        <v>62</v>
      </c>
      <c r="AN347">
        <v>45170</v>
      </c>
      <c r="AO347">
        <v>45199</v>
      </c>
      <c r="AP347" t="s">
        <v>1101</v>
      </c>
    </row>
    <row r="348" spans="1:42" x14ac:dyDescent="0.25">
      <c r="A348">
        <v>2023</v>
      </c>
      <c r="B348">
        <v>9</v>
      </c>
      <c r="C348">
        <v>17</v>
      </c>
      <c r="D348" t="s">
        <v>1088</v>
      </c>
      <c r="E348" t="s">
        <v>282</v>
      </c>
      <c r="F348">
        <v>105620</v>
      </c>
      <c r="G348">
        <v>10345683</v>
      </c>
      <c r="H348" t="s">
        <v>282</v>
      </c>
      <c r="J348">
        <v>53920873</v>
      </c>
      <c r="K348">
        <v>1104</v>
      </c>
      <c r="L348">
        <v>1702</v>
      </c>
      <c r="M348">
        <v>1304</v>
      </c>
      <c r="N348">
        <v>53638458</v>
      </c>
      <c r="O348">
        <v>45177.612731631947</v>
      </c>
      <c r="P348">
        <v>450</v>
      </c>
      <c r="Q348">
        <v>1</v>
      </c>
      <c r="R348">
        <v>450</v>
      </c>
      <c r="S348">
        <v>45188.067372337966</v>
      </c>
      <c r="T348">
        <v>5509</v>
      </c>
      <c r="U348" t="s">
        <v>1152</v>
      </c>
      <c r="V348" t="s">
        <v>1153</v>
      </c>
      <c r="W348" t="s">
        <v>2</v>
      </c>
      <c r="AI348">
        <v>62</v>
      </c>
      <c r="AJ348">
        <v>62</v>
      </c>
      <c r="AN348">
        <v>45170</v>
      </c>
      <c r="AO348">
        <v>45199</v>
      </c>
      <c r="AP348" t="s">
        <v>1101</v>
      </c>
    </row>
    <row r="349" spans="1:42" x14ac:dyDescent="0.25">
      <c r="A349">
        <v>2023</v>
      </c>
      <c r="B349">
        <v>9</v>
      </c>
      <c r="C349">
        <v>17</v>
      </c>
      <c r="D349" t="s">
        <v>1088</v>
      </c>
      <c r="E349" t="s">
        <v>282</v>
      </c>
      <c r="F349">
        <v>105620</v>
      </c>
      <c r="G349">
        <v>10345683</v>
      </c>
      <c r="H349" t="s">
        <v>282</v>
      </c>
      <c r="J349">
        <v>53920874</v>
      </c>
      <c r="K349">
        <v>1104</v>
      </c>
      <c r="L349">
        <v>1702</v>
      </c>
      <c r="M349">
        <v>1304</v>
      </c>
      <c r="N349">
        <v>53638459</v>
      </c>
      <c r="O349">
        <v>45177.612887847223</v>
      </c>
      <c r="P349">
        <v>450</v>
      </c>
      <c r="Q349">
        <v>1</v>
      </c>
      <c r="R349">
        <v>450</v>
      </c>
      <c r="S349">
        <v>45188.067372337966</v>
      </c>
      <c r="T349">
        <v>5509</v>
      </c>
      <c r="U349" t="s">
        <v>1152</v>
      </c>
      <c r="V349" t="s">
        <v>1153</v>
      </c>
      <c r="W349" t="s">
        <v>2</v>
      </c>
      <c r="AI349">
        <v>62</v>
      </c>
      <c r="AJ349">
        <v>62</v>
      </c>
      <c r="AN349">
        <v>45170</v>
      </c>
      <c r="AO349">
        <v>45199</v>
      </c>
      <c r="AP349" t="s">
        <v>1101</v>
      </c>
    </row>
    <row r="350" spans="1:42" x14ac:dyDescent="0.25">
      <c r="A350">
        <v>2023</v>
      </c>
      <c r="B350">
        <v>9</v>
      </c>
      <c r="C350">
        <v>17</v>
      </c>
      <c r="D350" t="s">
        <v>1088</v>
      </c>
      <c r="E350" t="s">
        <v>282</v>
      </c>
      <c r="F350">
        <v>105620</v>
      </c>
      <c r="G350">
        <v>10345683</v>
      </c>
      <c r="H350" t="s">
        <v>282</v>
      </c>
      <c r="J350">
        <v>53920875</v>
      </c>
      <c r="K350">
        <v>1104</v>
      </c>
      <c r="L350">
        <v>1702</v>
      </c>
      <c r="M350">
        <v>1304</v>
      </c>
      <c r="N350">
        <v>53638460</v>
      </c>
      <c r="O350">
        <v>45177.613008067128</v>
      </c>
      <c r="P350">
        <v>25</v>
      </c>
      <c r="Q350">
        <v>1</v>
      </c>
      <c r="R350">
        <v>25</v>
      </c>
      <c r="S350">
        <v>45188.067372337966</v>
      </c>
      <c r="T350">
        <v>5509</v>
      </c>
      <c r="U350" t="s">
        <v>1152</v>
      </c>
      <c r="V350" t="s">
        <v>1153</v>
      </c>
      <c r="W350" t="s">
        <v>2</v>
      </c>
      <c r="AI350">
        <v>62</v>
      </c>
      <c r="AJ350">
        <v>62</v>
      </c>
      <c r="AN350">
        <v>45170</v>
      </c>
      <c r="AO350">
        <v>45199</v>
      </c>
      <c r="AP350" t="s">
        <v>1101</v>
      </c>
    </row>
    <row r="351" spans="1:42" x14ac:dyDescent="0.25">
      <c r="A351">
        <v>2023</v>
      </c>
      <c r="B351">
        <v>9</v>
      </c>
      <c r="C351">
        <v>17</v>
      </c>
      <c r="D351" t="s">
        <v>1088</v>
      </c>
      <c r="E351" t="s">
        <v>282</v>
      </c>
      <c r="F351">
        <v>378223</v>
      </c>
      <c r="G351">
        <v>10395989</v>
      </c>
      <c r="H351" t="s">
        <v>282</v>
      </c>
      <c r="J351">
        <v>53958697</v>
      </c>
      <c r="K351">
        <v>1104</v>
      </c>
      <c r="L351">
        <v>1702</v>
      </c>
      <c r="M351">
        <v>1304</v>
      </c>
      <c r="N351">
        <v>53935771</v>
      </c>
      <c r="O351">
        <v>45188.496759953705</v>
      </c>
      <c r="P351">
        <v>150</v>
      </c>
      <c r="Q351">
        <v>1</v>
      </c>
      <c r="R351">
        <v>150</v>
      </c>
      <c r="S351">
        <v>45189.067373726852</v>
      </c>
      <c r="T351">
        <v>5509</v>
      </c>
      <c r="U351" t="s">
        <v>1152</v>
      </c>
      <c r="V351" t="s">
        <v>1153</v>
      </c>
      <c r="W351" t="s">
        <v>2</v>
      </c>
      <c r="AI351">
        <v>62</v>
      </c>
      <c r="AJ351">
        <v>62</v>
      </c>
      <c r="AN351">
        <v>45170</v>
      </c>
      <c r="AO351">
        <v>45199</v>
      </c>
      <c r="AP351" t="s">
        <v>1101</v>
      </c>
    </row>
    <row r="352" spans="1:42" x14ac:dyDescent="0.25">
      <c r="A352">
        <v>2023</v>
      </c>
      <c r="B352">
        <v>9</v>
      </c>
      <c r="C352">
        <v>17</v>
      </c>
      <c r="D352" t="s">
        <v>1088</v>
      </c>
      <c r="E352" t="s">
        <v>282</v>
      </c>
      <c r="F352">
        <v>378223</v>
      </c>
      <c r="G352">
        <v>10395989</v>
      </c>
      <c r="H352" t="s">
        <v>282</v>
      </c>
      <c r="J352">
        <v>53958698</v>
      </c>
      <c r="K352">
        <v>1104</v>
      </c>
      <c r="L352">
        <v>1702</v>
      </c>
      <c r="M352">
        <v>1304</v>
      </c>
      <c r="N352">
        <v>53935773</v>
      </c>
      <c r="O352">
        <v>45188.496880937499</v>
      </c>
      <c r="P352">
        <v>150</v>
      </c>
      <c r="Q352">
        <v>1</v>
      </c>
      <c r="R352">
        <v>150</v>
      </c>
      <c r="S352">
        <v>45189.067373726852</v>
      </c>
      <c r="T352">
        <v>5509</v>
      </c>
      <c r="U352" t="s">
        <v>1152</v>
      </c>
      <c r="V352" t="s">
        <v>1153</v>
      </c>
      <c r="W352" t="s">
        <v>2</v>
      </c>
      <c r="AI352">
        <v>62</v>
      </c>
      <c r="AJ352">
        <v>62</v>
      </c>
      <c r="AN352">
        <v>45170</v>
      </c>
      <c r="AO352">
        <v>45199</v>
      </c>
      <c r="AP352" t="s">
        <v>1101</v>
      </c>
    </row>
    <row r="353" spans="1:42" x14ac:dyDescent="0.25">
      <c r="A353">
        <v>2023</v>
      </c>
      <c r="B353">
        <v>9</v>
      </c>
      <c r="C353">
        <v>17</v>
      </c>
      <c r="D353" t="s">
        <v>1088</v>
      </c>
      <c r="E353" t="s">
        <v>282</v>
      </c>
      <c r="F353">
        <v>378223</v>
      </c>
      <c r="G353">
        <v>10395989</v>
      </c>
      <c r="H353" t="s">
        <v>282</v>
      </c>
      <c r="J353">
        <v>53958699</v>
      </c>
      <c r="K353">
        <v>1104</v>
      </c>
      <c r="L353">
        <v>1702</v>
      </c>
      <c r="M353">
        <v>1304</v>
      </c>
      <c r="N353">
        <v>53935774</v>
      </c>
      <c r="O353">
        <v>45188.496944062499</v>
      </c>
      <c r="P353">
        <v>18</v>
      </c>
      <c r="Q353">
        <v>1</v>
      </c>
      <c r="R353">
        <v>18</v>
      </c>
      <c r="S353">
        <v>45189.067373726852</v>
      </c>
      <c r="T353">
        <v>5509</v>
      </c>
      <c r="U353" t="s">
        <v>1152</v>
      </c>
      <c r="V353" t="s">
        <v>1153</v>
      </c>
      <c r="W353" t="s">
        <v>2</v>
      </c>
      <c r="AI353">
        <v>62</v>
      </c>
      <c r="AJ353">
        <v>62</v>
      </c>
      <c r="AN353">
        <v>45170</v>
      </c>
      <c r="AO353">
        <v>45199</v>
      </c>
      <c r="AP353" t="s">
        <v>1101</v>
      </c>
    </row>
    <row r="354" spans="1:42" x14ac:dyDescent="0.25">
      <c r="A354">
        <v>2023</v>
      </c>
      <c r="B354">
        <v>9</v>
      </c>
      <c r="C354">
        <v>17</v>
      </c>
      <c r="D354" t="s">
        <v>1088</v>
      </c>
      <c r="E354" t="s">
        <v>282</v>
      </c>
      <c r="F354">
        <v>378223</v>
      </c>
      <c r="G354">
        <v>10395989</v>
      </c>
      <c r="H354" t="s">
        <v>282</v>
      </c>
      <c r="J354">
        <v>53958700</v>
      </c>
      <c r="K354">
        <v>1104</v>
      </c>
      <c r="L354">
        <v>1702</v>
      </c>
      <c r="M354">
        <v>1304</v>
      </c>
      <c r="N354">
        <v>53935775</v>
      </c>
      <c r="O354">
        <v>45188.497033182874</v>
      </c>
      <c r="P354">
        <v>15</v>
      </c>
      <c r="Q354">
        <v>1</v>
      </c>
      <c r="R354">
        <v>15</v>
      </c>
      <c r="S354">
        <v>45189.067373726852</v>
      </c>
      <c r="T354">
        <v>5509</v>
      </c>
      <c r="U354" t="s">
        <v>1152</v>
      </c>
      <c r="V354" t="s">
        <v>1153</v>
      </c>
      <c r="W354" t="s">
        <v>2</v>
      </c>
      <c r="AI354">
        <v>62</v>
      </c>
      <c r="AJ354">
        <v>62</v>
      </c>
      <c r="AN354">
        <v>45170</v>
      </c>
      <c r="AO354">
        <v>45199</v>
      </c>
      <c r="AP354" t="s">
        <v>1101</v>
      </c>
    </row>
    <row r="355" spans="1:42" x14ac:dyDescent="0.25">
      <c r="A355">
        <v>2023</v>
      </c>
      <c r="B355">
        <v>9</v>
      </c>
      <c r="C355">
        <v>17</v>
      </c>
      <c r="D355" t="s">
        <v>1088</v>
      </c>
      <c r="E355" t="s">
        <v>282</v>
      </c>
      <c r="F355">
        <v>580115</v>
      </c>
      <c r="G355">
        <v>10212841</v>
      </c>
      <c r="H355" t="s">
        <v>282</v>
      </c>
      <c r="J355">
        <v>53986871</v>
      </c>
      <c r="K355">
        <v>1104</v>
      </c>
      <c r="L355">
        <v>1702</v>
      </c>
      <c r="M355">
        <v>1304</v>
      </c>
      <c r="N355">
        <v>52927961</v>
      </c>
      <c r="O355">
        <v>45155.583220335648</v>
      </c>
      <c r="P355">
        <v>58.74</v>
      </c>
      <c r="Q355">
        <v>1</v>
      </c>
      <c r="R355">
        <v>58.74</v>
      </c>
      <c r="S355">
        <v>45190.067371990743</v>
      </c>
      <c r="T355">
        <v>5509</v>
      </c>
      <c r="U355" t="s">
        <v>1152</v>
      </c>
      <c r="V355" t="s">
        <v>1153</v>
      </c>
      <c r="W355" t="s">
        <v>2</v>
      </c>
      <c r="AI355">
        <v>62</v>
      </c>
      <c r="AJ355">
        <v>62</v>
      </c>
      <c r="AN355">
        <v>45170</v>
      </c>
      <c r="AO355">
        <v>45199</v>
      </c>
      <c r="AP355" t="s">
        <v>1101</v>
      </c>
    </row>
    <row r="356" spans="1:42" x14ac:dyDescent="0.25">
      <c r="A356">
        <v>2023</v>
      </c>
      <c r="B356">
        <v>9</v>
      </c>
      <c r="C356">
        <v>17</v>
      </c>
      <c r="D356" t="s">
        <v>1088</v>
      </c>
      <c r="E356" t="s">
        <v>282</v>
      </c>
      <c r="F356">
        <v>619920</v>
      </c>
      <c r="G356">
        <v>10331628</v>
      </c>
      <c r="H356" t="s">
        <v>282</v>
      </c>
      <c r="J356">
        <v>53992595</v>
      </c>
      <c r="K356">
        <v>1104</v>
      </c>
      <c r="L356">
        <v>1702</v>
      </c>
      <c r="M356">
        <v>1304</v>
      </c>
      <c r="N356">
        <v>53671586</v>
      </c>
      <c r="O356">
        <v>45180.548755636577</v>
      </c>
      <c r="P356">
        <v>250</v>
      </c>
      <c r="Q356">
        <v>1</v>
      </c>
      <c r="R356">
        <v>250</v>
      </c>
      <c r="S356">
        <v>45190.442284027777</v>
      </c>
      <c r="T356">
        <v>5509</v>
      </c>
      <c r="U356" t="s">
        <v>1152</v>
      </c>
      <c r="V356" t="s">
        <v>1153</v>
      </c>
      <c r="W356" t="s">
        <v>2</v>
      </c>
      <c r="AI356">
        <v>62</v>
      </c>
      <c r="AJ356">
        <v>62</v>
      </c>
      <c r="AN356">
        <v>45170</v>
      </c>
      <c r="AO356">
        <v>45199</v>
      </c>
      <c r="AP356" t="s">
        <v>1101</v>
      </c>
    </row>
    <row r="357" spans="1:42" x14ac:dyDescent="0.25">
      <c r="A357">
        <v>2023</v>
      </c>
      <c r="B357">
        <v>9</v>
      </c>
      <c r="C357">
        <v>17</v>
      </c>
      <c r="D357" t="s">
        <v>1088</v>
      </c>
      <c r="E357" t="s">
        <v>282</v>
      </c>
      <c r="F357">
        <v>621615</v>
      </c>
      <c r="G357">
        <v>10365756</v>
      </c>
      <c r="H357" t="s">
        <v>282</v>
      </c>
      <c r="J357">
        <v>54007797</v>
      </c>
      <c r="K357">
        <v>1100</v>
      </c>
      <c r="L357">
        <v>1702</v>
      </c>
      <c r="M357">
        <v>1301</v>
      </c>
      <c r="P357">
        <v>216</v>
      </c>
      <c r="Q357">
        <v>1</v>
      </c>
      <c r="R357">
        <v>216</v>
      </c>
      <c r="S357">
        <v>45190.586775266202</v>
      </c>
      <c r="T357">
        <v>5500</v>
      </c>
      <c r="U357" t="s">
        <v>1151</v>
      </c>
      <c r="V357" t="s">
        <v>99</v>
      </c>
      <c r="W357" t="s">
        <v>1091</v>
      </c>
      <c r="X357" t="s">
        <v>1091</v>
      </c>
      <c r="AI357">
        <v>62</v>
      </c>
      <c r="AJ357">
        <v>62</v>
      </c>
      <c r="AN357">
        <v>45170</v>
      </c>
      <c r="AO357">
        <v>45199</v>
      </c>
      <c r="AP357" t="s">
        <v>1101</v>
      </c>
    </row>
    <row r="358" spans="1:42" x14ac:dyDescent="0.25">
      <c r="A358">
        <v>2023</v>
      </c>
      <c r="B358">
        <v>9</v>
      </c>
      <c r="C358">
        <v>17</v>
      </c>
      <c r="D358" t="s">
        <v>1088</v>
      </c>
      <c r="E358" t="s">
        <v>282</v>
      </c>
      <c r="F358">
        <v>621615</v>
      </c>
      <c r="G358">
        <v>10365756</v>
      </c>
      <c r="H358" t="s">
        <v>282</v>
      </c>
      <c r="J358">
        <v>54007810</v>
      </c>
      <c r="K358">
        <v>1100</v>
      </c>
      <c r="L358">
        <v>1702</v>
      </c>
      <c r="M358">
        <v>1301</v>
      </c>
      <c r="P358">
        <v>216</v>
      </c>
      <c r="Q358">
        <v>1</v>
      </c>
      <c r="R358">
        <v>216</v>
      </c>
      <c r="S358">
        <v>45190.587111886576</v>
      </c>
      <c r="T358">
        <v>5500</v>
      </c>
      <c r="U358" t="s">
        <v>1151</v>
      </c>
      <c r="V358" t="s">
        <v>99</v>
      </c>
      <c r="W358" t="s">
        <v>1091</v>
      </c>
      <c r="X358" t="s">
        <v>1091</v>
      </c>
      <c r="AI358">
        <v>62</v>
      </c>
      <c r="AJ358">
        <v>62</v>
      </c>
      <c r="AN358">
        <v>45170</v>
      </c>
      <c r="AO358">
        <v>45199</v>
      </c>
      <c r="AP358" t="s">
        <v>1101</v>
      </c>
    </row>
    <row r="359" spans="1:42" x14ac:dyDescent="0.25">
      <c r="A359">
        <v>2023</v>
      </c>
      <c r="B359">
        <v>9</v>
      </c>
      <c r="C359">
        <v>17</v>
      </c>
      <c r="D359" t="s">
        <v>1088</v>
      </c>
      <c r="E359" t="s">
        <v>282</v>
      </c>
      <c r="F359">
        <v>102362</v>
      </c>
      <c r="G359">
        <v>10380877</v>
      </c>
      <c r="H359" t="s">
        <v>282</v>
      </c>
      <c r="J359">
        <v>54020426</v>
      </c>
      <c r="K359">
        <v>1104</v>
      </c>
      <c r="L359">
        <v>1702</v>
      </c>
      <c r="M359">
        <v>1304</v>
      </c>
      <c r="N359">
        <v>53996744</v>
      </c>
      <c r="O359">
        <v>45190.482121145833</v>
      </c>
      <c r="P359">
        <v>200</v>
      </c>
      <c r="Q359">
        <v>1</v>
      </c>
      <c r="R359">
        <v>200</v>
      </c>
      <c r="S359">
        <v>45191.067372141202</v>
      </c>
      <c r="T359">
        <v>5509</v>
      </c>
      <c r="U359" t="s">
        <v>1152</v>
      </c>
      <c r="V359" t="s">
        <v>1153</v>
      </c>
      <c r="W359" t="s">
        <v>2</v>
      </c>
      <c r="AI359">
        <v>62</v>
      </c>
      <c r="AJ359">
        <v>62</v>
      </c>
      <c r="AN359">
        <v>45170</v>
      </c>
      <c r="AO359">
        <v>45199</v>
      </c>
      <c r="AP359" t="s">
        <v>1101</v>
      </c>
    </row>
    <row r="360" spans="1:42" x14ac:dyDescent="0.25">
      <c r="A360">
        <v>2023</v>
      </c>
      <c r="B360">
        <v>9</v>
      </c>
      <c r="C360">
        <v>17</v>
      </c>
      <c r="D360" t="s">
        <v>1088</v>
      </c>
      <c r="E360" t="s">
        <v>282</v>
      </c>
      <c r="F360">
        <v>554406</v>
      </c>
      <c r="G360">
        <v>10414096</v>
      </c>
      <c r="H360" t="s">
        <v>282</v>
      </c>
      <c r="J360">
        <v>54020439</v>
      </c>
      <c r="K360">
        <v>1104</v>
      </c>
      <c r="L360">
        <v>1702</v>
      </c>
      <c r="M360">
        <v>1304</v>
      </c>
      <c r="N360">
        <v>54016613</v>
      </c>
      <c r="O360">
        <v>45190.671266701385</v>
      </c>
      <c r="P360">
        <v>150</v>
      </c>
      <c r="Q360">
        <v>1</v>
      </c>
      <c r="R360">
        <v>150</v>
      </c>
      <c r="S360">
        <v>45191.067372141202</v>
      </c>
      <c r="T360">
        <v>5509</v>
      </c>
      <c r="U360" t="s">
        <v>1152</v>
      </c>
      <c r="V360" t="s">
        <v>1153</v>
      </c>
      <c r="W360" t="s">
        <v>2</v>
      </c>
      <c r="AI360">
        <v>62</v>
      </c>
      <c r="AJ360">
        <v>62</v>
      </c>
      <c r="AN360">
        <v>45170</v>
      </c>
      <c r="AO360">
        <v>45199</v>
      </c>
      <c r="AP360" t="s">
        <v>1101</v>
      </c>
    </row>
    <row r="361" spans="1:42" x14ac:dyDescent="0.25">
      <c r="A361">
        <v>2023</v>
      </c>
      <c r="B361">
        <v>9</v>
      </c>
      <c r="C361">
        <v>17</v>
      </c>
      <c r="D361" t="s">
        <v>1088</v>
      </c>
      <c r="E361" t="s">
        <v>282</v>
      </c>
      <c r="F361">
        <v>554406</v>
      </c>
      <c r="G361">
        <v>10414096</v>
      </c>
      <c r="H361" t="s">
        <v>282</v>
      </c>
      <c r="J361">
        <v>54020440</v>
      </c>
      <c r="K361">
        <v>1104</v>
      </c>
      <c r="L361">
        <v>1702</v>
      </c>
      <c r="M361">
        <v>1304</v>
      </c>
      <c r="N361">
        <v>54016614</v>
      </c>
      <c r="O361">
        <v>45190.671405752313</v>
      </c>
      <c r="P361">
        <v>150</v>
      </c>
      <c r="Q361">
        <v>1</v>
      </c>
      <c r="R361">
        <v>150</v>
      </c>
      <c r="S361">
        <v>45191.067372141202</v>
      </c>
      <c r="T361">
        <v>5509</v>
      </c>
      <c r="U361" t="s">
        <v>1152</v>
      </c>
      <c r="V361" t="s">
        <v>1153</v>
      </c>
      <c r="W361" t="s">
        <v>2</v>
      </c>
      <c r="AI361">
        <v>62</v>
      </c>
      <c r="AJ361">
        <v>62</v>
      </c>
      <c r="AN361">
        <v>45170</v>
      </c>
      <c r="AO361">
        <v>45199</v>
      </c>
      <c r="AP361" t="s">
        <v>1101</v>
      </c>
    </row>
    <row r="362" spans="1:42" x14ac:dyDescent="0.25">
      <c r="A362">
        <v>2023</v>
      </c>
      <c r="B362">
        <v>9</v>
      </c>
      <c r="C362">
        <v>17</v>
      </c>
      <c r="D362" t="s">
        <v>1088</v>
      </c>
      <c r="E362" t="s">
        <v>282</v>
      </c>
      <c r="F362">
        <v>378635</v>
      </c>
      <c r="G362">
        <v>10405779</v>
      </c>
      <c r="H362" t="s">
        <v>282</v>
      </c>
      <c r="J362">
        <v>54040796</v>
      </c>
      <c r="K362">
        <v>1100</v>
      </c>
      <c r="L362">
        <v>1700</v>
      </c>
      <c r="M362">
        <v>1304</v>
      </c>
      <c r="P362">
        <v>216</v>
      </c>
      <c r="Q362">
        <v>1</v>
      </c>
      <c r="R362">
        <v>216</v>
      </c>
      <c r="S362">
        <v>45191.478243437501</v>
      </c>
      <c r="T362">
        <v>5500</v>
      </c>
      <c r="U362" t="s">
        <v>1154</v>
      </c>
      <c r="V362" t="s">
        <v>99</v>
      </c>
      <c r="W362" t="s">
        <v>2</v>
      </c>
      <c r="AI362">
        <v>62</v>
      </c>
      <c r="AJ362">
        <v>62</v>
      </c>
      <c r="AN362">
        <v>45170</v>
      </c>
      <c r="AO362">
        <v>45199</v>
      </c>
      <c r="AP362" t="s">
        <v>1101</v>
      </c>
    </row>
    <row r="363" spans="1:42" x14ac:dyDescent="0.25">
      <c r="A363">
        <v>2023</v>
      </c>
      <c r="B363">
        <v>9</v>
      </c>
      <c r="C363">
        <v>17</v>
      </c>
      <c r="D363" t="s">
        <v>1088</v>
      </c>
      <c r="E363" t="s">
        <v>282</v>
      </c>
      <c r="F363">
        <v>378635</v>
      </c>
      <c r="G363">
        <v>10405779</v>
      </c>
      <c r="H363" t="s">
        <v>282</v>
      </c>
      <c r="J363">
        <v>54040797</v>
      </c>
      <c r="K363">
        <v>1100</v>
      </c>
      <c r="L363">
        <v>1700</v>
      </c>
      <c r="M363">
        <v>1304</v>
      </c>
      <c r="P363">
        <v>216</v>
      </c>
      <c r="Q363">
        <v>1</v>
      </c>
      <c r="R363">
        <v>216</v>
      </c>
      <c r="S363">
        <v>45191.478360150461</v>
      </c>
      <c r="T363">
        <v>5500</v>
      </c>
      <c r="U363" t="s">
        <v>1154</v>
      </c>
      <c r="V363" t="s">
        <v>99</v>
      </c>
      <c r="W363" t="s">
        <v>2</v>
      </c>
      <c r="AI363">
        <v>62</v>
      </c>
      <c r="AJ363">
        <v>62</v>
      </c>
      <c r="AN363">
        <v>45170</v>
      </c>
      <c r="AO363">
        <v>45199</v>
      </c>
      <c r="AP363" t="s">
        <v>1101</v>
      </c>
    </row>
    <row r="364" spans="1:42" x14ac:dyDescent="0.25">
      <c r="A364">
        <v>2023</v>
      </c>
      <c r="B364">
        <v>9</v>
      </c>
      <c r="C364">
        <v>17</v>
      </c>
      <c r="D364" t="s">
        <v>1088</v>
      </c>
      <c r="E364" t="s">
        <v>282</v>
      </c>
      <c r="F364">
        <v>378635</v>
      </c>
      <c r="G364">
        <v>10405779</v>
      </c>
      <c r="H364" t="s">
        <v>282</v>
      </c>
      <c r="J364">
        <v>54040798</v>
      </c>
      <c r="K364">
        <v>1100</v>
      </c>
      <c r="L364">
        <v>1700</v>
      </c>
      <c r="M364">
        <v>1304</v>
      </c>
      <c r="P364">
        <v>18</v>
      </c>
      <c r="Q364">
        <v>1</v>
      </c>
      <c r="R364">
        <v>18</v>
      </c>
      <c r="S364">
        <v>45191.47842230324</v>
      </c>
      <c r="T364">
        <v>5500</v>
      </c>
      <c r="U364" t="s">
        <v>1154</v>
      </c>
      <c r="V364" t="s">
        <v>99</v>
      </c>
      <c r="W364" t="s">
        <v>2</v>
      </c>
      <c r="AI364">
        <v>62</v>
      </c>
      <c r="AJ364">
        <v>62</v>
      </c>
      <c r="AN364">
        <v>45170</v>
      </c>
      <c r="AO364">
        <v>45199</v>
      </c>
      <c r="AP364" t="s">
        <v>1101</v>
      </c>
    </row>
    <row r="365" spans="1:42" x14ac:dyDescent="0.25">
      <c r="A365">
        <v>2023</v>
      </c>
      <c r="B365">
        <v>9</v>
      </c>
      <c r="C365">
        <v>17</v>
      </c>
      <c r="D365" t="s">
        <v>1088</v>
      </c>
      <c r="E365" t="s">
        <v>282</v>
      </c>
      <c r="F365">
        <v>624116</v>
      </c>
      <c r="G365">
        <v>10411744</v>
      </c>
      <c r="H365" t="s">
        <v>282</v>
      </c>
      <c r="J365">
        <v>54059364</v>
      </c>
      <c r="K365">
        <v>1100</v>
      </c>
      <c r="L365">
        <v>1700</v>
      </c>
      <c r="M365">
        <v>1301</v>
      </c>
      <c r="P365">
        <v>216</v>
      </c>
      <c r="Q365">
        <v>1</v>
      </c>
      <c r="R365">
        <v>216</v>
      </c>
      <c r="S365">
        <v>45191.604604398148</v>
      </c>
      <c r="T365">
        <v>5500</v>
      </c>
      <c r="U365" t="s">
        <v>1151</v>
      </c>
      <c r="V365" t="s">
        <v>99</v>
      </c>
      <c r="W365" t="s">
        <v>1091</v>
      </c>
      <c r="X365" t="s">
        <v>1091</v>
      </c>
      <c r="AA365">
        <v>57970</v>
      </c>
      <c r="AB365" t="s">
        <v>1223</v>
      </c>
      <c r="AC365">
        <v>45193.083569062503</v>
      </c>
      <c r="AI365">
        <v>62</v>
      </c>
      <c r="AJ365">
        <v>62</v>
      </c>
      <c r="AN365">
        <v>45170</v>
      </c>
      <c r="AO365">
        <v>45199</v>
      </c>
      <c r="AP365" t="s">
        <v>1101</v>
      </c>
    </row>
    <row r="366" spans="1:42" x14ac:dyDescent="0.25">
      <c r="A366">
        <v>2023</v>
      </c>
      <c r="B366">
        <v>9</v>
      </c>
      <c r="C366">
        <v>17</v>
      </c>
      <c r="D366" t="s">
        <v>1088</v>
      </c>
      <c r="E366" t="s">
        <v>282</v>
      </c>
      <c r="F366">
        <v>624116</v>
      </c>
      <c r="G366">
        <v>10411744</v>
      </c>
      <c r="H366" t="s">
        <v>282</v>
      </c>
      <c r="J366">
        <v>54059365</v>
      </c>
      <c r="K366">
        <v>1100</v>
      </c>
      <c r="L366">
        <v>1700</v>
      </c>
      <c r="M366">
        <v>1301</v>
      </c>
      <c r="P366">
        <v>216</v>
      </c>
      <c r="Q366">
        <v>1</v>
      </c>
      <c r="R366">
        <v>216</v>
      </c>
      <c r="S366">
        <v>45191.604701701392</v>
      </c>
      <c r="T366">
        <v>5500</v>
      </c>
      <c r="U366" t="s">
        <v>1151</v>
      </c>
      <c r="V366" t="s">
        <v>99</v>
      </c>
      <c r="W366" t="s">
        <v>1091</v>
      </c>
      <c r="X366" t="s">
        <v>1091</v>
      </c>
      <c r="AA366">
        <v>57970</v>
      </c>
      <c r="AB366" t="s">
        <v>1223</v>
      </c>
      <c r="AC366">
        <v>45193.083569062503</v>
      </c>
      <c r="AI366">
        <v>62</v>
      </c>
      <c r="AJ366">
        <v>62</v>
      </c>
      <c r="AN366">
        <v>45170</v>
      </c>
      <c r="AO366">
        <v>45199</v>
      </c>
      <c r="AP366" t="s">
        <v>1101</v>
      </c>
    </row>
    <row r="367" spans="1:42" x14ac:dyDescent="0.25">
      <c r="A367">
        <v>2023</v>
      </c>
      <c r="B367">
        <v>9</v>
      </c>
      <c r="C367">
        <v>17</v>
      </c>
      <c r="D367" t="s">
        <v>1088</v>
      </c>
      <c r="E367" t="s">
        <v>282</v>
      </c>
      <c r="F367">
        <v>624642</v>
      </c>
      <c r="G367">
        <v>10422498</v>
      </c>
      <c r="H367" t="s">
        <v>282</v>
      </c>
      <c r="J367">
        <v>54081854</v>
      </c>
      <c r="K367">
        <v>1100</v>
      </c>
      <c r="L367">
        <v>1700</v>
      </c>
      <c r="M367">
        <v>1301</v>
      </c>
      <c r="P367">
        <v>109.5</v>
      </c>
      <c r="Q367">
        <v>1</v>
      </c>
      <c r="R367">
        <v>109.5</v>
      </c>
      <c r="S367">
        <v>45194.421555706016</v>
      </c>
      <c r="T367">
        <v>5500</v>
      </c>
      <c r="U367" t="s">
        <v>1151</v>
      </c>
      <c r="V367" t="s">
        <v>99</v>
      </c>
      <c r="W367" t="s">
        <v>1031</v>
      </c>
      <c r="X367" t="s">
        <v>1031</v>
      </c>
      <c r="AA367">
        <v>58008</v>
      </c>
      <c r="AB367" t="s">
        <v>1223</v>
      </c>
      <c r="AC367">
        <v>45196.087766550925</v>
      </c>
      <c r="AI367">
        <v>62</v>
      </c>
      <c r="AJ367">
        <v>62</v>
      </c>
      <c r="AN367">
        <v>45170</v>
      </c>
      <c r="AO367">
        <v>45199</v>
      </c>
      <c r="AP367" t="s">
        <v>1101</v>
      </c>
    </row>
    <row r="368" spans="1:42" x14ac:dyDescent="0.25">
      <c r="A368">
        <v>2023</v>
      </c>
      <c r="B368">
        <v>9</v>
      </c>
      <c r="C368">
        <v>17</v>
      </c>
      <c r="D368" t="s">
        <v>1088</v>
      </c>
      <c r="E368" t="s">
        <v>282</v>
      </c>
      <c r="F368">
        <v>624642</v>
      </c>
      <c r="G368">
        <v>10422498</v>
      </c>
      <c r="H368" t="s">
        <v>282</v>
      </c>
      <c r="J368">
        <v>54081853</v>
      </c>
      <c r="K368">
        <v>1100</v>
      </c>
      <c r="L368">
        <v>1700</v>
      </c>
      <c r="M368">
        <v>1301</v>
      </c>
      <c r="P368">
        <v>109.5</v>
      </c>
      <c r="Q368">
        <v>1</v>
      </c>
      <c r="R368">
        <v>109.5</v>
      </c>
      <c r="S368">
        <v>45194.421445752312</v>
      </c>
      <c r="T368">
        <v>5500</v>
      </c>
      <c r="U368" t="s">
        <v>1151</v>
      </c>
      <c r="V368" t="s">
        <v>99</v>
      </c>
      <c r="W368" t="s">
        <v>1031</v>
      </c>
      <c r="X368" t="s">
        <v>1031</v>
      </c>
      <c r="AA368">
        <v>58008</v>
      </c>
      <c r="AB368" t="s">
        <v>1223</v>
      </c>
      <c r="AC368">
        <v>45196.087766550925</v>
      </c>
      <c r="AI368">
        <v>62</v>
      </c>
      <c r="AJ368">
        <v>62</v>
      </c>
      <c r="AN368">
        <v>45170</v>
      </c>
      <c r="AO368">
        <v>45199</v>
      </c>
      <c r="AP368" t="s">
        <v>1101</v>
      </c>
    </row>
    <row r="369" spans="1:42" x14ac:dyDescent="0.25">
      <c r="A369">
        <v>2023</v>
      </c>
      <c r="B369">
        <v>9</v>
      </c>
      <c r="C369">
        <v>17</v>
      </c>
      <c r="D369" t="s">
        <v>1088</v>
      </c>
      <c r="E369" t="s">
        <v>282</v>
      </c>
      <c r="F369">
        <v>624642</v>
      </c>
      <c r="G369">
        <v>10422498</v>
      </c>
      <c r="H369" t="s">
        <v>282</v>
      </c>
      <c r="J369">
        <v>54081856</v>
      </c>
      <c r="K369">
        <v>1100</v>
      </c>
      <c r="L369">
        <v>1700</v>
      </c>
      <c r="M369">
        <v>1301</v>
      </c>
      <c r="P369">
        <v>15</v>
      </c>
      <c r="Q369">
        <v>1</v>
      </c>
      <c r="R369">
        <v>15</v>
      </c>
      <c r="S369">
        <v>45194.421915081017</v>
      </c>
      <c r="T369">
        <v>5500</v>
      </c>
      <c r="U369" t="s">
        <v>1151</v>
      </c>
      <c r="V369" t="s">
        <v>99</v>
      </c>
      <c r="W369" t="s">
        <v>1031</v>
      </c>
      <c r="X369" t="s">
        <v>1031</v>
      </c>
      <c r="AA369">
        <v>58008</v>
      </c>
      <c r="AB369" t="s">
        <v>1223</v>
      </c>
      <c r="AC369">
        <v>45196.087766550925</v>
      </c>
      <c r="AI369">
        <v>62</v>
      </c>
      <c r="AJ369">
        <v>62</v>
      </c>
      <c r="AN369">
        <v>45170</v>
      </c>
      <c r="AO369">
        <v>45199</v>
      </c>
      <c r="AP369" t="s">
        <v>1101</v>
      </c>
    </row>
    <row r="370" spans="1:42" x14ac:dyDescent="0.25">
      <c r="A370">
        <v>2023</v>
      </c>
      <c r="B370">
        <v>9</v>
      </c>
      <c r="C370">
        <v>17</v>
      </c>
      <c r="D370" t="s">
        <v>1088</v>
      </c>
      <c r="E370" t="s">
        <v>282</v>
      </c>
      <c r="F370">
        <v>624276</v>
      </c>
      <c r="G370">
        <v>10414410</v>
      </c>
      <c r="H370" t="s">
        <v>282</v>
      </c>
      <c r="J370">
        <v>54106378</v>
      </c>
      <c r="K370">
        <v>1100</v>
      </c>
      <c r="L370">
        <v>1700</v>
      </c>
      <c r="M370">
        <v>1304</v>
      </c>
      <c r="P370">
        <v>216</v>
      </c>
      <c r="Q370">
        <v>1</v>
      </c>
      <c r="R370">
        <v>216</v>
      </c>
      <c r="S370">
        <v>45194.639765196756</v>
      </c>
      <c r="T370">
        <v>5500</v>
      </c>
      <c r="U370" t="s">
        <v>1154</v>
      </c>
      <c r="V370" t="s">
        <v>99</v>
      </c>
      <c r="W370" t="s">
        <v>2</v>
      </c>
      <c r="AI370">
        <v>62</v>
      </c>
      <c r="AJ370">
        <v>62</v>
      </c>
      <c r="AN370">
        <v>45170</v>
      </c>
      <c r="AO370">
        <v>45199</v>
      </c>
      <c r="AP370" t="s">
        <v>1101</v>
      </c>
    </row>
    <row r="371" spans="1:42" x14ac:dyDescent="0.25">
      <c r="A371">
        <v>2023</v>
      </c>
      <c r="B371">
        <v>9</v>
      </c>
      <c r="C371">
        <v>17</v>
      </c>
      <c r="D371" t="s">
        <v>1088</v>
      </c>
      <c r="E371" t="s">
        <v>282</v>
      </c>
      <c r="F371">
        <v>624276</v>
      </c>
      <c r="G371">
        <v>10414410</v>
      </c>
      <c r="H371" t="s">
        <v>282</v>
      </c>
      <c r="J371">
        <v>54106385</v>
      </c>
      <c r="K371">
        <v>1100</v>
      </c>
      <c r="L371">
        <v>1700</v>
      </c>
      <c r="M371">
        <v>1304</v>
      </c>
      <c r="P371">
        <v>216</v>
      </c>
      <c r="Q371">
        <v>1</v>
      </c>
      <c r="R371">
        <v>216</v>
      </c>
      <c r="S371">
        <v>45194.639858530092</v>
      </c>
      <c r="T371">
        <v>5500</v>
      </c>
      <c r="U371" t="s">
        <v>1154</v>
      </c>
      <c r="V371" t="s">
        <v>99</v>
      </c>
      <c r="W371" t="s">
        <v>2</v>
      </c>
      <c r="AI371">
        <v>62</v>
      </c>
      <c r="AJ371">
        <v>62</v>
      </c>
      <c r="AN371">
        <v>45170</v>
      </c>
      <c r="AO371">
        <v>45199</v>
      </c>
      <c r="AP371" t="s">
        <v>1101</v>
      </c>
    </row>
    <row r="372" spans="1:42" x14ac:dyDescent="0.25">
      <c r="A372">
        <v>2023</v>
      </c>
      <c r="B372">
        <v>9</v>
      </c>
      <c r="C372">
        <v>17</v>
      </c>
      <c r="D372" t="s">
        <v>1088</v>
      </c>
      <c r="E372" t="s">
        <v>282</v>
      </c>
      <c r="F372">
        <v>624276</v>
      </c>
      <c r="G372">
        <v>10414410</v>
      </c>
      <c r="H372" t="s">
        <v>282</v>
      </c>
      <c r="J372">
        <v>54106386</v>
      </c>
      <c r="K372">
        <v>1100</v>
      </c>
      <c r="L372">
        <v>1700</v>
      </c>
      <c r="M372">
        <v>1304</v>
      </c>
      <c r="P372">
        <v>18</v>
      </c>
      <c r="Q372">
        <v>1</v>
      </c>
      <c r="R372">
        <v>18</v>
      </c>
      <c r="S372">
        <v>45194.639918090281</v>
      </c>
      <c r="T372">
        <v>5500</v>
      </c>
      <c r="U372" t="s">
        <v>1154</v>
      </c>
      <c r="V372" t="s">
        <v>99</v>
      </c>
      <c r="W372" t="s">
        <v>2</v>
      </c>
      <c r="AI372">
        <v>62</v>
      </c>
      <c r="AJ372">
        <v>62</v>
      </c>
      <c r="AN372">
        <v>45170</v>
      </c>
      <c r="AO372">
        <v>45199</v>
      </c>
      <c r="AP372" t="s">
        <v>1101</v>
      </c>
    </row>
    <row r="373" spans="1:42" x14ac:dyDescent="0.25">
      <c r="A373">
        <v>2023</v>
      </c>
      <c r="B373">
        <v>9</v>
      </c>
      <c r="C373">
        <v>17</v>
      </c>
      <c r="D373" t="s">
        <v>1088</v>
      </c>
      <c r="E373" t="s">
        <v>282</v>
      </c>
      <c r="F373">
        <v>623638</v>
      </c>
      <c r="G373">
        <v>10402670</v>
      </c>
      <c r="H373" t="s">
        <v>282</v>
      </c>
      <c r="J373">
        <v>54112724</v>
      </c>
      <c r="K373">
        <v>1104</v>
      </c>
      <c r="L373">
        <v>1702</v>
      </c>
      <c r="M373">
        <v>1304</v>
      </c>
      <c r="N373">
        <v>54103804</v>
      </c>
      <c r="O373">
        <v>45194.621422719909</v>
      </c>
      <c r="P373">
        <v>200</v>
      </c>
      <c r="Q373">
        <v>1</v>
      </c>
      <c r="R373">
        <v>200</v>
      </c>
      <c r="S373">
        <v>45195.067372106481</v>
      </c>
      <c r="T373">
        <v>5509</v>
      </c>
      <c r="U373" t="s">
        <v>1152</v>
      </c>
      <c r="V373" t="s">
        <v>1153</v>
      </c>
      <c r="W373" t="s">
        <v>2</v>
      </c>
      <c r="AI373">
        <v>62</v>
      </c>
      <c r="AJ373">
        <v>62</v>
      </c>
      <c r="AN373">
        <v>45170</v>
      </c>
      <c r="AO373">
        <v>45199</v>
      </c>
      <c r="AP373" t="s">
        <v>1101</v>
      </c>
    </row>
    <row r="374" spans="1:42" x14ac:dyDescent="0.25">
      <c r="A374">
        <v>2023</v>
      </c>
      <c r="B374">
        <v>9</v>
      </c>
      <c r="C374">
        <v>17</v>
      </c>
      <c r="D374" t="s">
        <v>1088</v>
      </c>
      <c r="E374" t="s">
        <v>282</v>
      </c>
      <c r="F374">
        <v>522857</v>
      </c>
      <c r="G374">
        <v>10239489</v>
      </c>
      <c r="H374" t="s">
        <v>282</v>
      </c>
      <c r="J374">
        <v>54148720</v>
      </c>
      <c r="K374">
        <v>1101</v>
      </c>
      <c r="L374">
        <v>1702</v>
      </c>
      <c r="M374">
        <v>1301</v>
      </c>
      <c r="N374">
        <v>52928613</v>
      </c>
      <c r="O374">
        <v>45155.589808182871</v>
      </c>
      <c r="P374">
        <v>170</v>
      </c>
      <c r="Q374">
        <v>1</v>
      </c>
      <c r="R374">
        <v>170</v>
      </c>
      <c r="S374">
        <v>45195.634133067128</v>
      </c>
      <c r="T374">
        <v>5502</v>
      </c>
      <c r="U374" t="s">
        <v>1217</v>
      </c>
      <c r="V374" t="s">
        <v>1155</v>
      </c>
      <c r="W374" t="s">
        <v>1031</v>
      </c>
      <c r="X374" t="s">
        <v>1031</v>
      </c>
      <c r="AD374">
        <v>832844</v>
      </c>
      <c r="AE374" t="s">
        <v>1288</v>
      </c>
      <c r="AF374">
        <v>45195.634012187496</v>
      </c>
      <c r="AI374">
        <v>62</v>
      </c>
      <c r="AJ374">
        <v>62</v>
      </c>
      <c r="AN374">
        <v>45170</v>
      </c>
      <c r="AO374">
        <v>45199</v>
      </c>
      <c r="AP374" t="s">
        <v>1101</v>
      </c>
    </row>
    <row r="375" spans="1:42" x14ac:dyDescent="0.25">
      <c r="A375">
        <v>2023</v>
      </c>
      <c r="B375">
        <v>9</v>
      </c>
      <c r="C375">
        <v>17</v>
      </c>
      <c r="D375" t="s">
        <v>1088</v>
      </c>
      <c r="E375" t="s">
        <v>282</v>
      </c>
      <c r="F375">
        <v>522857</v>
      </c>
      <c r="G375">
        <v>10239489</v>
      </c>
      <c r="H375" t="s">
        <v>282</v>
      </c>
      <c r="J375">
        <v>54148721</v>
      </c>
      <c r="K375">
        <v>1101</v>
      </c>
      <c r="L375">
        <v>1702</v>
      </c>
      <c r="M375">
        <v>1301</v>
      </c>
      <c r="N375">
        <v>52928614</v>
      </c>
      <c r="O375">
        <v>45155.589986030092</v>
      </c>
      <c r="P375">
        <v>50</v>
      </c>
      <c r="Q375">
        <v>1</v>
      </c>
      <c r="R375">
        <v>50</v>
      </c>
      <c r="S375">
        <v>45195.634133067128</v>
      </c>
      <c r="T375">
        <v>5502</v>
      </c>
      <c r="U375" t="s">
        <v>1217</v>
      </c>
      <c r="V375" t="s">
        <v>1155</v>
      </c>
      <c r="W375" t="s">
        <v>1031</v>
      </c>
      <c r="X375" t="s">
        <v>1031</v>
      </c>
      <c r="AD375">
        <v>832844</v>
      </c>
      <c r="AE375" t="s">
        <v>1288</v>
      </c>
      <c r="AF375">
        <v>45195.634012187496</v>
      </c>
      <c r="AI375">
        <v>62</v>
      </c>
      <c r="AJ375">
        <v>62</v>
      </c>
      <c r="AN375">
        <v>45170</v>
      </c>
      <c r="AO375">
        <v>45199</v>
      </c>
      <c r="AP375" t="s">
        <v>1101</v>
      </c>
    </row>
    <row r="376" spans="1:42" x14ac:dyDescent="0.25">
      <c r="A376">
        <v>2023</v>
      </c>
      <c r="B376">
        <v>9</v>
      </c>
      <c r="C376">
        <v>17</v>
      </c>
      <c r="D376" t="s">
        <v>1088</v>
      </c>
      <c r="E376" t="s">
        <v>282</v>
      </c>
      <c r="F376">
        <v>522857</v>
      </c>
      <c r="G376">
        <v>10239489</v>
      </c>
      <c r="H376" t="s">
        <v>282</v>
      </c>
      <c r="J376">
        <v>54148722</v>
      </c>
      <c r="K376">
        <v>1101</v>
      </c>
      <c r="L376">
        <v>1702</v>
      </c>
      <c r="M376">
        <v>1301</v>
      </c>
      <c r="N376">
        <v>52928634</v>
      </c>
      <c r="O376">
        <v>45155.590120486107</v>
      </c>
      <c r="P376">
        <v>32</v>
      </c>
      <c r="Q376">
        <v>1</v>
      </c>
      <c r="R376">
        <v>32</v>
      </c>
      <c r="S376">
        <v>45195.634133067128</v>
      </c>
      <c r="T376">
        <v>5502</v>
      </c>
      <c r="U376" t="s">
        <v>1217</v>
      </c>
      <c r="V376" t="s">
        <v>1155</v>
      </c>
      <c r="W376" t="s">
        <v>1031</v>
      </c>
      <c r="X376" t="s">
        <v>1031</v>
      </c>
      <c r="AD376">
        <v>832844</v>
      </c>
      <c r="AE376" t="s">
        <v>1288</v>
      </c>
      <c r="AF376">
        <v>45195.634012187496</v>
      </c>
      <c r="AI376">
        <v>62</v>
      </c>
      <c r="AJ376">
        <v>62</v>
      </c>
      <c r="AN376">
        <v>45170</v>
      </c>
      <c r="AO376">
        <v>45199</v>
      </c>
      <c r="AP376" t="s">
        <v>1101</v>
      </c>
    </row>
    <row r="377" spans="1:42" x14ac:dyDescent="0.25">
      <c r="A377">
        <v>2023</v>
      </c>
      <c r="B377">
        <v>9</v>
      </c>
      <c r="C377">
        <v>17</v>
      </c>
      <c r="D377" t="s">
        <v>1088</v>
      </c>
      <c r="E377" t="s">
        <v>282</v>
      </c>
      <c r="F377">
        <v>522857</v>
      </c>
      <c r="G377">
        <v>10239489</v>
      </c>
      <c r="H377" t="s">
        <v>282</v>
      </c>
      <c r="J377">
        <v>54148723</v>
      </c>
      <c r="K377">
        <v>1101</v>
      </c>
      <c r="L377">
        <v>1702</v>
      </c>
      <c r="M377">
        <v>1301</v>
      </c>
      <c r="N377">
        <v>52928657</v>
      </c>
      <c r="O377">
        <v>45155.590463541666</v>
      </c>
      <c r="P377">
        <v>16</v>
      </c>
      <c r="Q377">
        <v>1</v>
      </c>
      <c r="R377">
        <v>16</v>
      </c>
      <c r="S377">
        <v>45195.634133067128</v>
      </c>
      <c r="T377">
        <v>5502</v>
      </c>
      <c r="U377" t="s">
        <v>1217</v>
      </c>
      <c r="V377" t="s">
        <v>1155</v>
      </c>
      <c r="W377" t="s">
        <v>1031</v>
      </c>
      <c r="X377" t="s">
        <v>1031</v>
      </c>
      <c r="AD377">
        <v>832844</v>
      </c>
      <c r="AE377" t="s">
        <v>1288</v>
      </c>
      <c r="AF377">
        <v>45195.634012187496</v>
      </c>
      <c r="AI377">
        <v>62</v>
      </c>
      <c r="AJ377">
        <v>62</v>
      </c>
      <c r="AN377">
        <v>45170</v>
      </c>
      <c r="AO377">
        <v>45199</v>
      </c>
      <c r="AP377" t="s">
        <v>1101</v>
      </c>
    </row>
    <row r="378" spans="1:42" x14ac:dyDescent="0.25">
      <c r="A378">
        <v>2023</v>
      </c>
      <c r="B378">
        <v>9</v>
      </c>
      <c r="C378">
        <v>17</v>
      </c>
      <c r="D378" t="s">
        <v>1088</v>
      </c>
      <c r="E378" t="s">
        <v>282</v>
      </c>
      <c r="F378">
        <v>522857</v>
      </c>
      <c r="G378">
        <v>10239489</v>
      </c>
      <c r="H378" t="s">
        <v>282</v>
      </c>
      <c r="J378">
        <v>54148724</v>
      </c>
      <c r="K378">
        <v>1101</v>
      </c>
      <c r="L378">
        <v>1702</v>
      </c>
      <c r="M378">
        <v>1301</v>
      </c>
      <c r="N378">
        <v>52928662</v>
      </c>
      <c r="O378">
        <v>45155.590734178244</v>
      </c>
      <c r="P378">
        <v>15</v>
      </c>
      <c r="Q378">
        <v>1</v>
      </c>
      <c r="R378">
        <v>15</v>
      </c>
      <c r="S378">
        <v>45195.634133067128</v>
      </c>
      <c r="T378">
        <v>5502</v>
      </c>
      <c r="U378" t="s">
        <v>1217</v>
      </c>
      <c r="V378" t="s">
        <v>1155</v>
      </c>
      <c r="W378" t="s">
        <v>1031</v>
      </c>
      <c r="X378" t="s">
        <v>1031</v>
      </c>
      <c r="AD378">
        <v>832844</v>
      </c>
      <c r="AE378" t="s">
        <v>1288</v>
      </c>
      <c r="AF378">
        <v>45195.634012187496</v>
      </c>
      <c r="AI378">
        <v>62</v>
      </c>
      <c r="AJ378">
        <v>62</v>
      </c>
      <c r="AN378">
        <v>45170</v>
      </c>
      <c r="AO378">
        <v>45199</v>
      </c>
      <c r="AP378" t="s">
        <v>1101</v>
      </c>
    </row>
    <row r="379" spans="1:42" x14ac:dyDescent="0.25">
      <c r="A379">
        <v>2023</v>
      </c>
      <c r="B379">
        <v>9</v>
      </c>
      <c r="C379">
        <v>17</v>
      </c>
      <c r="D379" t="s">
        <v>1088</v>
      </c>
      <c r="E379" t="s">
        <v>282</v>
      </c>
      <c r="F379">
        <v>618240</v>
      </c>
      <c r="G379">
        <v>10301196</v>
      </c>
      <c r="H379" t="s">
        <v>282</v>
      </c>
      <c r="J379">
        <v>54148725</v>
      </c>
      <c r="K379">
        <v>1101</v>
      </c>
      <c r="L379">
        <v>1702</v>
      </c>
      <c r="M379">
        <v>1301</v>
      </c>
      <c r="N379">
        <v>53340624</v>
      </c>
      <c r="O379">
        <v>45168.469834224539</v>
      </c>
      <c r="P379">
        <v>85</v>
      </c>
      <c r="Q379">
        <v>1</v>
      </c>
      <c r="R379">
        <v>85</v>
      </c>
      <c r="S379">
        <v>45195.634133067128</v>
      </c>
      <c r="T379">
        <v>5502</v>
      </c>
      <c r="U379" t="s">
        <v>1217</v>
      </c>
      <c r="V379" t="s">
        <v>1155</v>
      </c>
      <c r="W379" t="s">
        <v>1031</v>
      </c>
      <c r="X379" t="s">
        <v>1031</v>
      </c>
      <c r="AD379">
        <v>832844</v>
      </c>
      <c r="AE379" t="s">
        <v>1288</v>
      </c>
      <c r="AF379">
        <v>45195.634012187496</v>
      </c>
      <c r="AI379">
        <v>62</v>
      </c>
      <c r="AJ379">
        <v>62</v>
      </c>
      <c r="AN379">
        <v>45170</v>
      </c>
      <c r="AO379">
        <v>45199</v>
      </c>
      <c r="AP379" t="s">
        <v>1101</v>
      </c>
    </row>
    <row r="380" spans="1:42" x14ac:dyDescent="0.25">
      <c r="A380">
        <v>2023</v>
      </c>
      <c r="B380">
        <v>9</v>
      </c>
      <c r="C380">
        <v>17</v>
      </c>
      <c r="D380" t="s">
        <v>1088</v>
      </c>
      <c r="E380" t="s">
        <v>282</v>
      </c>
      <c r="F380">
        <v>618240</v>
      </c>
      <c r="G380">
        <v>10301196</v>
      </c>
      <c r="H380" t="s">
        <v>282</v>
      </c>
      <c r="J380">
        <v>54148726</v>
      </c>
      <c r="K380">
        <v>1101</v>
      </c>
      <c r="L380">
        <v>1702</v>
      </c>
      <c r="M380">
        <v>1301</v>
      </c>
      <c r="N380">
        <v>53340625</v>
      </c>
      <c r="O380">
        <v>45168.469990891201</v>
      </c>
      <c r="P380">
        <v>16</v>
      </c>
      <c r="Q380">
        <v>1</v>
      </c>
      <c r="R380">
        <v>16</v>
      </c>
      <c r="S380">
        <v>45195.634133067128</v>
      </c>
      <c r="T380">
        <v>5502</v>
      </c>
      <c r="U380" t="s">
        <v>1217</v>
      </c>
      <c r="V380" t="s">
        <v>1155</v>
      </c>
      <c r="W380" t="s">
        <v>1031</v>
      </c>
      <c r="X380" t="s">
        <v>1031</v>
      </c>
      <c r="AD380">
        <v>832844</v>
      </c>
      <c r="AE380" t="s">
        <v>1288</v>
      </c>
      <c r="AF380">
        <v>45195.634012187496</v>
      </c>
      <c r="AI380">
        <v>62</v>
      </c>
      <c r="AJ380">
        <v>62</v>
      </c>
      <c r="AN380">
        <v>45170</v>
      </c>
      <c r="AO380">
        <v>45199</v>
      </c>
      <c r="AP380" t="s">
        <v>1101</v>
      </c>
    </row>
    <row r="381" spans="1:42" x14ac:dyDescent="0.25">
      <c r="A381">
        <v>2023</v>
      </c>
      <c r="B381">
        <v>9</v>
      </c>
      <c r="C381">
        <v>17</v>
      </c>
      <c r="D381" t="s">
        <v>1088</v>
      </c>
      <c r="E381" t="s">
        <v>282</v>
      </c>
      <c r="F381">
        <v>618240</v>
      </c>
      <c r="G381">
        <v>10301196</v>
      </c>
      <c r="H381" t="s">
        <v>282</v>
      </c>
      <c r="J381">
        <v>54148727</v>
      </c>
      <c r="K381">
        <v>1101</v>
      </c>
      <c r="L381">
        <v>1702</v>
      </c>
      <c r="M381">
        <v>1301</v>
      </c>
      <c r="N381">
        <v>53340626</v>
      </c>
      <c r="O381">
        <v>45168.470126354165</v>
      </c>
      <c r="P381">
        <v>8</v>
      </c>
      <c r="Q381">
        <v>1</v>
      </c>
      <c r="R381">
        <v>8</v>
      </c>
      <c r="S381">
        <v>45195.634133067128</v>
      </c>
      <c r="T381">
        <v>5502</v>
      </c>
      <c r="U381" t="s">
        <v>1217</v>
      </c>
      <c r="V381" t="s">
        <v>1155</v>
      </c>
      <c r="W381" t="s">
        <v>1031</v>
      </c>
      <c r="X381" t="s">
        <v>1031</v>
      </c>
      <c r="AD381">
        <v>832844</v>
      </c>
      <c r="AE381" t="s">
        <v>1288</v>
      </c>
      <c r="AF381">
        <v>45195.634012187496</v>
      </c>
      <c r="AI381">
        <v>62</v>
      </c>
      <c r="AJ381">
        <v>62</v>
      </c>
      <c r="AN381">
        <v>45170</v>
      </c>
      <c r="AO381">
        <v>45199</v>
      </c>
      <c r="AP381" t="s">
        <v>1101</v>
      </c>
    </row>
    <row r="382" spans="1:42" x14ac:dyDescent="0.25">
      <c r="A382">
        <v>2023</v>
      </c>
      <c r="B382">
        <v>9</v>
      </c>
      <c r="C382">
        <v>17</v>
      </c>
      <c r="D382" t="s">
        <v>1088</v>
      </c>
      <c r="E382" t="s">
        <v>282</v>
      </c>
      <c r="F382">
        <v>618240</v>
      </c>
      <c r="G382">
        <v>10301196</v>
      </c>
      <c r="H382" t="s">
        <v>282</v>
      </c>
      <c r="J382">
        <v>54148728</v>
      </c>
      <c r="K382">
        <v>1101</v>
      </c>
      <c r="L382">
        <v>1702</v>
      </c>
      <c r="M382">
        <v>1301</v>
      </c>
      <c r="N382">
        <v>53340628</v>
      </c>
      <c r="O382">
        <v>45168.470226817131</v>
      </c>
      <c r="P382">
        <v>15</v>
      </c>
      <c r="Q382">
        <v>1</v>
      </c>
      <c r="R382">
        <v>15</v>
      </c>
      <c r="S382">
        <v>45195.634133067128</v>
      </c>
      <c r="T382">
        <v>5502</v>
      </c>
      <c r="U382" t="s">
        <v>1217</v>
      </c>
      <c r="V382" t="s">
        <v>1155</v>
      </c>
      <c r="W382" t="s">
        <v>1031</v>
      </c>
      <c r="X382" t="s">
        <v>1031</v>
      </c>
      <c r="AD382">
        <v>832844</v>
      </c>
      <c r="AE382" t="s">
        <v>1288</v>
      </c>
      <c r="AF382">
        <v>45195.634012187496</v>
      </c>
      <c r="AI382">
        <v>62</v>
      </c>
      <c r="AJ382">
        <v>62</v>
      </c>
      <c r="AN382">
        <v>45170</v>
      </c>
      <c r="AO382">
        <v>45199</v>
      </c>
      <c r="AP382" t="s">
        <v>1101</v>
      </c>
    </row>
    <row r="383" spans="1:42" x14ac:dyDescent="0.25">
      <c r="A383">
        <v>2023</v>
      </c>
      <c r="B383">
        <v>9</v>
      </c>
      <c r="C383">
        <v>17</v>
      </c>
      <c r="D383" t="s">
        <v>1088</v>
      </c>
      <c r="E383" t="s">
        <v>282</v>
      </c>
      <c r="F383">
        <v>615271</v>
      </c>
      <c r="G383">
        <v>10244214</v>
      </c>
      <c r="H383" t="s">
        <v>282</v>
      </c>
      <c r="J383">
        <v>54148729</v>
      </c>
      <c r="K383">
        <v>1101</v>
      </c>
      <c r="L383">
        <v>1702</v>
      </c>
      <c r="M383">
        <v>1301</v>
      </c>
      <c r="N383">
        <v>52963647</v>
      </c>
      <c r="O383">
        <v>45156.483504629628</v>
      </c>
      <c r="P383">
        <v>170</v>
      </c>
      <c r="Q383">
        <v>1</v>
      </c>
      <c r="R383">
        <v>170</v>
      </c>
      <c r="S383">
        <v>45195.634133067128</v>
      </c>
      <c r="T383">
        <v>5502</v>
      </c>
      <c r="U383" t="s">
        <v>1217</v>
      </c>
      <c r="V383" t="s">
        <v>1155</v>
      </c>
      <c r="W383" t="s">
        <v>1031</v>
      </c>
      <c r="X383" t="s">
        <v>1031</v>
      </c>
      <c r="AD383">
        <v>832844</v>
      </c>
      <c r="AE383" t="s">
        <v>1288</v>
      </c>
      <c r="AF383">
        <v>45195.634012187496</v>
      </c>
      <c r="AI383">
        <v>62</v>
      </c>
      <c r="AJ383">
        <v>62</v>
      </c>
      <c r="AN383">
        <v>45170</v>
      </c>
      <c r="AO383">
        <v>45199</v>
      </c>
      <c r="AP383" t="s">
        <v>1101</v>
      </c>
    </row>
    <row r="384" spans="1:42" x14ac:dyDescent="0.25">
      <c r="A384">
        <v>2023</v>
      </c>
      <c r="B384">
        <v>9</v>
      </c>
      <c r="C384">
        <v>17</v>
      </c>
      <c r="D384" t="s">
        <v>1088</v>
      </c>
      <c r="E384" t="s">
        <v>282</v>
      </c>
      <c r="F384">
        <v>615271</v>
      </c>
      <c r="G384">
        <v>10244214</v>
      </c>
      <c r="H384" t="s">
        <v>282</v>
      </c>
      <c r="J384">
        <v>54148730</v>
      </c>
      <c r="K384">
        <v>1101</v>
      </c>
      <c r="L384">
        <v>1702</v>
      </c>
      <c r="M384">
        <v>1301</v>
      </c>
      <c r="N384">
        <v>52963657</v>
      </c>
      <c r="O384">
        <v>45156.483650312497</v>
      </c>
      <c r="P384">
        <v>10</v>
      </c>
      <c r="Q384">
        <v>1</v>
      </c>
      <c r="R384">
        <v>10</v>
      </c>
      <c r="S384">
        <v>45195.634133067128</v>
      </c>
      <c r="T384">
        <v>5502</v>
      </c>
      <c r="U384" t="s">
        <v>1217</v>
      </c>
      <c r="V384" t="s">
        <v>1155</v>
      </c>
      <c r="W384" t="s">
        <v>1031</v>
      </c>
      <c r="X384" t="s">
        <v>1031</v>
      </c>
      <c r="AD384">
        <v>832844</v>
      </c>
      <c r="AE384" t="s">
        <v>1288</v>
      </c>
      <c r="AF384">
        <v>45195.634012187496</v>
      </c>
      <c r="AI384">
        <v>62</v>
      </c>
      <c r="AJ384">
        <v>62</v>
      </c>
      <c r="AN384">
        <v>45170</v>
      </c>
      <c r="AO384">
        <v>45199</v>
      </c>
      <c r="AP384" t="s">
        <v>1101</v>
      </c>
    </row>
    <row r="385" spans="1:42" x14ac:dyDescent="0.25">
      <c r="A385">
        <v>2023</v>
      </c>
      <c r="B385">
        <v>9</v>
      </c>
      <c r="C385">
        <v>17</v>
      </c>
      <c r="D385" t="s">
        <v>1088</v>
      </c>
      <c r="E385" t="s">
        <v>282</v>
      </c>
      <c r="F385">
        <v>615271</v>
      </c>
      <c r="G385">
        <v>10244214</v>
      </c>
      <c r="H385" t="s">
        <v>282</v>
      </c>
      <c r="J385">
        <v>54148731</v>
      </c>
      <c r="K385">
        <v>1101</v>
      </c>
      <c r="L385">
        <v>1702</v>
      </c>
      <c r="M385">
        <v>1301</v>
      </c>
      <c r="N385">
        <v>52963667</v>
      </c>
      <c r="O385">
        <v>45156.483769641207</v>
      </c>
      <c r="P385">
        <v>15</v>
      </c>
      <c r="Q385">
        <v>1</v>
      </c>
      <c r="R385">
        <v>15</v>
      </c>
      <c r="S385">
        <v>45195.634133067128</v>
      </c>
      <c r="T385">
        <v>5502</v>
      </c>
      <c r="U385" t="s">
        <v>1217</v>
      </c>
      <c r="V385" t="s">
        <v>1155</v>
      </c>
      <c r="W385" t="s">
        <v>1031</v>
      </c>
      <c r="X385" t="s">
        <v>1031</v>
      </c>
      <c r="AD385">
        <v>832844</v>
      </c>
      <c r="AE385" t="s">
        <v>1288</v>
      </c>
      <c r="AF385">
        <v>45195.634012187496</v>
      </c>
      <c r="AI385">
        <v>62</v>
      </c>
      <c r="AJ385">
        <v>62</v>
      </c>
      <c r="AN385">
        <v>45170</v>
      </c>
      <c r="AO385">
        <v>45199</v>
      </c>
      <c r="AP385" t="s">
        <v>1101</v>
      </c>
    </row>
    <row r="386" spans="1:42" x14ac:dyDescent="0.25">
      <c r="A386">
        <v>2023</v>
      </c>
      <c r="B386">
        <v>9</v>
      </c>
      <c r="C386">
        <v>17</v>
      </c>
      <c r="D386" t="s">
        <v>1088</v>
      </c>
      <c r="E386" t="s">
        <v>282</v>
      </c>
      <c r="F386">
        <v>615271</v>
      </c>
      <c r="G386">
        <v>10244214</v>
      </c>
      <c r="H386" t="s">
        <v>282</v>
      </c>
      <c r="J386">
        <v>54148732</v>
      </c>
      <c r="K386">
        <v>1101</v>
      </c>
      <c r="L386">
        <v>1702</v>
      </c>
      <c r="M386">
        <v>1301</v>
      </c>
      <c r="N386">
        <v>52963670</v>
      </c>
      <c r="O386">
        <v>45156.483896412035</v>
      </c>
      <c r="P386">
        <v>16</v>
      </c>
      <c r="Q386">
        <v>1</v>
      </c>
      <c r="R386">
        <v>16</v>
      </c>
      <c r="S386">
        <v>45195.634133067128</v>
      </c>
      <c r="T386">
        <v>5502</v>
      </c>
      <c r="U386" t="s">
        <v>1217</v>
      </c>
      <c r="V386" t="s">
        <v>1155</v>
      </c>
      <c r="W386" t="s">
        <v>1031</v>
      </c>
      <c r="X386" t="s">
        <v>1031</v>
      </c>
      <c r="AD386">
        <v>832844</v>
      </c>
      <c r="AE386" t="s">
        <v>1288</v>
      </c>
      <c r="AF386">
        <v>45195.634012187496</v>
      </c>
      <c r="AI386">
        <v>62</v>
      </c>
      <c r="AJ386">
        <v>62</v>
      </c>
      <c r="AN386">
        <v>45170</v>
      </c>
      <c r="AO386">
        <v>45199</v>
      </c>
      <c r="AP386" t="s">
        <v>1101</v>
      </c>
    </row>
    <row r="387" spans="1:42" x14ac:dyDescent="0.25">
      <c r="A387">
        <v>2023</v>
      </c>
      <c r="B387">
        <v>9</v>
      </c>
      <c r="C387">
        <v>17</v>
      </c>
      <c r="D387" t="s">
        <v>1088</v>
      </c>
      <c r="E387" t="s">
        <v>282</v>
      </c>
      <c r="F387">
        <v>615271</v>
      </c>
      <c r="G387">
        <v>10244214</v>
      </c>
      <c r="H387" t="s">
        <v>282</v>
      </c>
      <c r="J387">
        <v>54148733</v>
      </c>
      <c r="K387">
        <v>1101</v>
      </c>
      <c r="L387">
        <v>1702</v>
      </c>
      <c r="M387">
        <v>1301</v>
      </c>
      <c r="N387">
        <v>52963671</v>
      </c>
      <c r="O387">
        <v>45156.484023067133</v>
      </c>
      <c r="P387">
        <v>12</v>
      </c>
      <c r="Q387">
        <v>1</v>
      </c>
      <c r="R387">
        <v>12</v>
      </c>
      <c r="S387">
        <v>45195.634133067128</v>
      </c>
      <c r="T387">
        <v>5502</v>
      </c>
      <c r="U387" t="s">
        <v>1217</v>
      </c>
      <c r="V387" t="s">
        <v>1155</v>
      </c>
      <c r="W387" t="s">
        <v>1031</v>
      </c>
      <c r="X387" t="s">
        <v>1031</v>
      </c>
      <c r="AD387">
        <v>832844</v>
      </c>
      <c r="AE387" t="s">
        <v>1288</v>
      </c>
      <c r="AF387">
        <v>45195.634012187496</v>
      </c>
      <c r="AI387">
        <v>62</v>
      </c>
      <c r="AJ387">
        <v>62</v>
      </c>
      <c r="AN387">
        <v>45170</v>
      </c>
      <c r="AO387">
        <v>45199</v>
      </c>
      <c r="AP387" t="s">
        <v>1101</v>
      </c>
    </row>
    <row r="388" spans="1:42" x14ac:dyDescent="0.25">
      <c r="A388">
        <v>2023</v>
      </c>
      <c r="B388">
        <v>9</v>
      </c>
      <c r="C388">
        <v>17</v>
      </c>
      <c r="D388" t="s">
        <v>1088</v>
      </c>
      <c r="E388" t="s">
        <v>282</v>
      </c>
      <c r="F388">
        <v>615271</v>
      </c>
      <c r="G388">
        <v>10244214</v>
      </c>
      <c r="H388" t="s">
        <v>282</v>
      </c>
      <c r="J388">
        <v>54148734</v>
      </c>
      <c r="K388">
        <v>1101</v>
      </c>
      <c r="L388">
        <v>1702</v>
      </c>
      <c r="M388">
        <v>1301</v>
      </c>
      <c r="N388">
        <v>52963888</v>
      </c>
      <c r="O388">
        <v>45156.495024687501</v>
      </c>
      <c r="P388">
        <v>15</v>
      </c>
      <c r="Q388">
        <v>1</v>
      </c>
      <c r="R388">
        <v>15</v>
      </c>
      <c r="S388">
        <v>45195.634133067128</v>
      </c>
      <c r="T388">
        <v>5502</v>
      </c>
      <c r="U388" t="s">
        <v>1217</v>
      </c>
      <c r="V388" t="s">
        <v>1155</v>
      </c>
      <c r="W388" t="s">
        <v>1031</v>
      </c>
      <c r="X388" t="s">
        <v>1031</v>
      </c>
      <c r="AD388">
        <v>832844</v>
      </c>
      <c r="AE388" t="s">
        <v>1288</v>
      </c>
      <c r="AF388">
        <v>45195.634012187496</v>
      </c>
      <c r="AI388">
        <v>62</v>
      </c>
      <c r="AJ388">
        <v>62</v>
      </c>
      <c r="AN388">
        <v>45170</v>
      </c>
      <c r="AO388">
        <v>45199</v>
      </c>
      <c r="AP388" t="s">
        <v>1101</v>
      </c>
    </row>
    <row r="389" spans="1:42" x14ac:dyDescent="0.25">
      <c r="A389">
        <v>2023</v>
      </c>
      <c r="B389">
        <v>9</v>
      </c>
      <c r="C389">
        <v>17</v>
      </c>
      <c r="D389" t="s">
        <v>1088</v>
      </c>
      <c r="E389" t="s">
        <v>282</v>
      </c>
      <c r="F389">
        <v>618253</v>
      </c>
      <c r="G389">
        <v>10301313</v>
      </c>
      <c r="H389" t="s">
        <v>282</v>
      </c>
      <c r="J389">
        <v>54148735</v>
      </c>
      <c r="K389">
        <v>1101</v>
      </c>
      <c r="L389">
        <v>1702</v>
      </c>
      <c r="M389">
        <v>1301</v>
      </c>
      <c r="N389">
        <v>53340996</v>
      </c>
      <c r="O389">
        <v>45168.474294097221</v>
      </c>
      <c r="P389">
        <v>85</v>
      </c>
      <c r="Q389">
        <v>1</v>
      </c>
      <c r="R389">
        <v>85</v>
      </c>
      <c r="S389">
        <v>45195.634133067128</v>
      </c>
      <c r="T389">
        <v>5502</v>
      </c>
      <c r="U389" t="s">
        <v>1217</v>
      </c>
      <c r="V389" t="s">
        <v>1155</v>
      </c>
      <c r="W389" t="s">
        <v>1031</v>
      </c>
      <c r="X389" t="s">
        <v>1031</v>
      </c>
      <c r="AD389">
        <v>832844</v>
      </c>
      <c r="AE389" t="s">
        <v>1288</v>
      </c>
      <c r="AF389">
        <v>45195.634012187496</v>
      </c>
      <c r="AI389">
        <v>62</v>
      </c>
      <c r="AJ389">
        <v>62</v>
      </c>
      <c r="AN389">
        <v>45170</v>
      </c>
      <c r="AO389">
        <v>45199</v>
      </c>
      <c r="AP389" t="s">
        <v>1101</v>
      </c>
    </row>
    <row r="390" spans="1:42" x14ac:dyDescent="0.25">
      <c r="A390">
        <v>2023</v>
      </c>
      <c r="B390">
        <v>9</v>
      </c>
      <c r="C390">
        <v>17</v>
      </c>
      <c r="D390" t="s">
        <v>1088</v>
      </c>
      <c r="E390" t="s">
        <v>282</v>
      </c>
      <c r="F390">
        <v>618253</v>
      </c>
      <c r="G390">
        <v>10301313</v>
      </c>
      <c r="H390" t="s">
        <v>282</v>
      </c>
      <c r="J390">
        <v>54148736</v>
      </c>
      <c r="K390">
        <v>1101</v>
      </c>
      <c r="L390">
        <v>1702</v>
      </c>
      <c r="M390">
        <v>1301</v>
      </c>
      <c r="N390">
        <v>53341003</v>
      </c>
      <c r="O390">
        <v>45168.474528472223</v>
      </c>
      <c r="P390">
        <v>10</v>
      </c>
      <c r="Q390">
        <v>1</v>
      </c>
      <c r="R390">
        <v>10</v>
      </c>
      <c r="S390">
        <v>45195.634133067128</v>
      </c>
      <c r="T390">
        <v>5502</v>
      </c>
      <c r="U390" t="s">
        <v>1217</v>
      </c>
      <c r="V390" t="s">
        <v>1155</v>
      </c>
      <c r="W390" t="s">
        <v>1031</v>
      </c>
      <c r="X390" t="s">
        <v>1031</v>
      </c>
      <c r="AD390">
        <v>832844</v>
      </c>
      <c r="AE390" t="s">
        <v>1288</v>
      </c>
      <c r="AF390">
        <v>45195.634012187496</v>
      </c>
      <c r="AI390">
        <v>62</v>
      </c>
      <c r="AJ390">
        <v>62</v>
      </c>
      <c r="AN390">
        <v>45170</v>
      </c>
      <c r="AO390">
        <v>45199</v>
      </c>
      <c r="AP390" t="s">
        <v>1101</v>
      </c>
    </row>
    <row r="391" spans="1:42" x14ac:dyDescent="0.25">
      <c r="A391">
        <v>2023</v>
      </c>
      <c r="B391">
        <v>9</v>
      </c>
      <c r="C391">
        <v>17</v>
      </c>
      <c r="D391" t="s">
        <v>1088</v>
      </c>
      <c r="E391" t="s">
        <v>282</v>
      </c>
      <c r="F391">
        <v>618253</v>
      </c>
      <c r="G391">
        <v>10301313</v>
      </c>
      <c r="H391" t="s">
        <v>282</v>
      </c>
      <c r="J391">
        <v>54148737</v>
      </c>
      <c r="K391">
        <v>1101</v>
      </c>
      <c r="L391">
        <v>1702</v>
      </c>
      <c r="M391">
        <v>1301</v>
      </c>
      <c r="N391">
        <v>53341351</v>
      </c>
      <c r="O391">
        <v>45168.474659143518</v>
      </c>
      <c r="P391">
        <v>15</v>
      </c>
      <c r="Q391">
        <v>1</v>
      </c>
      <c r="R391">
        <v>15</v>
      </c>
      <c r="S391">
        <v>45195.634133067128</v>
      </c>
      <c r="T391">
        <v>5502</v>
      </c>
      <c r="U391" t="s">
        <v>1217</v>
      </c>
      <c r="V391" t="s">
        <v>1155</v>
      </c>
      <c r="W391" t="s">
        <v>1031</v>
      </c>
      <c r="X391" t="s">
        <v>1031</v>
      </c>
      <c r="AD391">
        <v>832844</v>
      </c>
      <c r="AE391" t="s">
        <v>1288</v>
      </c>
      <c r="AF391">
        <v>45195.634012187496</v>
      </c>
      <c r="AI391">
        <v>62</v>
      </c>
      <c r="AJ391">
        <v>62</v>
      </c>
      <c r="AN391">
        <v>45170</v>
      </c>
      <c r="AO391">
        <v>45199</v>
      </c>
      <c r="AP391" t="s">
        <v>1101</v>
      </c>
    </row>
    <row r="392" spans="1:42" x14ac:dyDescent="0.25">
      <c r="A392">
        <v>2023</v>
      </c>
      <c r="B392">
        <v>9</v>
      </c>
      <c r="C392">
        <v>17</v>
      </c>
      <c r="D392" t="s">
        <v>1088</v>
      </c>
      <c r="E392" t="s">
        <v>282</v>
      </c>
      <c r="F392">
        <v>618253</v>
      </c>
      <c r="G392">
        <v>10301313</v>
      </c>
      <c r="H392" t="s">
        <v>282</v>
      </c>
      <c r="J392">
        <v>54148738</v>
      </c>
      <c r="K392">
        <v>1101</v>
      </c>
      <c r="L392">
        <v>1702</v>
      </c>
      <c r="M392">
        <v>1301</v>
      </c>
      <c r="N392">
        <v>53341387</v>
      </c>
      <c r="O392">
        <v>45168.475617094904</v>
      </c>
      <c r="P392">
        <v>16</v>
      </c>
      <c r="Q392">
        <v>1</v>
      </c>
      <c r="R392">
        <v>16</v>
      </c>
      <c r="S392">
        <v>45195.634133067128</v>
      </c>
      <c r="T392">
        <v>5502</v>
      </c>
      <c r="U392" t="s">
        <v>1217</v>
      </c>
      <c r="V392" t="s">
        <v>1155</v>
      </c>
      <c r="W392" t="s">
        <v>1031</v>
      </c>
      <c r="X392" t="s">
        <v>1031</v>
      </c>
      <c r="AD392">
        <v>832844</v>
      </c>
      <c r="AE392" t="s">
        <v>1288</v>
      </c>
      <c r="AF392">
        <v>45195.634012187496</v>
      </c>
      <c r="AI392">
        <v>62</v>
      </c>
      <c r="AJ392">
        <v>62</v>
      </c>
      <c r="AN392">
        <v>45170</v>
      </c>
      <c r="AO392">
        <v>45199</v>
      </c>
      <c r="AP392" t="s">
        <v>1101</v>
      </c>
    </row>
    <row r="393" spans="1:42" x14ac:dyDescent="0.25">
      <c r="A393">
        <v>2023</v>
      </c>
      <c r="B393">
        <v>9</v>
      </c>
      <c r="C393">
        <v>17</v>
      </c>
      <c r="D393" t="s">
        <v>1088</v>
      </c>
      <c r="E393" t="s">
        <v>282</v>
      </c>
      <c r="F393">
        <v>618253</v>
      </c>
      <c r="G393">
        <v>10301313</v>
      </c>
      <c r="H393" t="s">
        <v>282</v>
      </c>
      <c r="J393">
        <v>54148739</v>
      </c>
      <c r="K393">
        <v>1101</v>
      </c>
      <c r="L393">
        <v>1702</v>
      </c>
      <c r="M393">
        <v>1301</v>
      </c>
      <c r="N393">
        <v>53341388</v>
      </c>
      <c r="O393">
        <v>45168.475767627315</v>
      </c>
      <c r="P393">
        <v>15</v>
      </c>
      <c r="Q393">
        <v>1</v>
      </c>
      <c r="R393">
        <v>15</v>
      </c>
      <c r="S393">
        <v>45195.634133067128</v>
      </c>
      <c r="T393">
        <v>5502</v>
      </c>
      <c r="U393" t="s">
        <v>1217</v>
      </c>
      <c r="V393" t="s">
        <v>1155</v>
      </c>
      <c r="W393" t="s">
        <v>1031</v>
      </c>
      <c r="X393" t="s">
        <v>1031</v>
      </c>
      <c r="AD393">
        <v>832844</v>
      </c>
      <c r="AE393" t="s">
        <v>1288</v>
      </c>
      <c r="AF393">
        <v>45195.634012187496</v>
      </c>
      <c r="AI393">
        <v>62</v>
      </c>
      <c r="AJ393">
        <v>62</v>
      </c>
      <c r="AN393">
        <v>45170</v>
      </c>
      <c r="AO393">
        <v>45199</v>
      </c>
      <c r="AP393" t="s">
        <v>1101</v>
      </c>
    </row>
    <row r="394" spans="1:42" x14ac:dyDescent="0.25">
      <c r="A394">
        <v>2023</v>
      </c>
      <c r="B394">
        <v>9</v>
      </c>
      <c r="C394">
        <v>17</v>
      </c>
      <c r="D394" t="s">
        <v>1088</v>
      </c>
      <c r="E394" t="s">
        <v>282</v>
      </c>
      <c r="F394">
        <v>607929</v>
      </c>
      <c r="G394">
        <v>10433684</v>
      </c>
      <c r="H394" t="s">
        <v>282</v>
      </c>
      <c r="J394">
        <v>54144160</v>
      </c>
      <c r="K394">
        <v>1100</v>
      </c>
      <c r="L394">
        <v>1700</v>
      </c>
      <c r="M394">
        <v>1304</v>
      </c>
      <c r="P394">
        <v>150</v>
      </c>
      <c r="Q394">
        <v>1</v>
      </c>
      <c r="R394">
        <v>150</v>
      </c>
      <c r="S394">
        <v>45195.625677627315</v>
      </c>
      <c r="T394">
        <v>5500</v>
      </c>
      <c r="U394" t="s">
        <v>1154</v>
      </c>
      <c r="V394" t="s">
        <v>99</v>
      </c>
      <c r="W394" t="s">
        <v>2</v>
      </c>
      <c r="AI394">
        <v>62</v>
      </c>
      <c r="AJ394">
        <v>62</v>
      </c>
      <c r="AN394">
        <v>45170</v>
      </c>
      <c r="AO394">
        <v>45199</v>
      </c>
      <c r="AP394" t="s">
        <v>1101</v>
      </c>
    </row>
    <row r="395" spans="1:42" x14ac:dyDescent="0.25">
      <c r="A395">
        <v>2023</v>
      </c>
      <c r="B395">
        <v>9</v>
      </c>
      <c r="C395">
        <v>17</v>
      </c>
      <c r="D395" t="s">
        <v>1088</v>
      </c>
      <c r="E395" t="s">
        <v>282</v>
      </c>
      <c r="F395">
        <v>607929</v>
      </c>
      <c r="G395">
        <v>10433684</v>
      </c>
      <c r="H395" t="s">
        <v>282</v>
      </c>
      <c r="J395">
        <v>54144164</v>
      </c>
      <c r="K395">
        <v>1100</v>
      </c>
      <c r="L395">
        <v>1700</v>
      </c>
      <c r="M395">
        <v>1304</v>
      </c>
      <c r="P395">
        <v>150</v>
      </c>
      <c r="Q395">
        <v>1</v>
      </c>
      <c r="R395">
        <v>150</v>
      </c>
      <c r="S395">
        <v>45195.625798414352</v>
      </c>
      <c r="T395">
        <v>5500</v>
      </c>
      <c r="U395" t="s">
        <v>1154</v>
      </c>
      <c r="V395" t="s">
        <v>99</v>
      </c>
      <c r="W395" t="s">
        <v>2</v>
      </c>
      <c r="AI395">
        <v>62</v>
      </c>
      <c r="AJ395">
        <v>62</v>
      </c>
      <c r="AN395">
        <v>45170</v>
      </c>
      <c r="AO395">
        <v>45199</v>
      </c>
      <c r="AP395" t="s">
        <v>1101</v>
      </c>
    </row>
    <row r="396" spans="1:42" x14ac:dyDescent="0.25">
      <c r="A396">
        <v>2023</v>
      </c>
      <c r="B396">
        <v>9</v>
      </c>
      <c r="C396">
        <v>17</v>
      </c>
      <c r="D396" t="s">
        <v>1088</v>
      </c>
      <c r="E396" t="s">
        <v>282</v>
      </c>
      <c r="F396">
        <v>624160</v>
      </c>
      <c r="G396">
        <v>10412639</v>
      </c>
      <c r="H396" t="s">
        <v>282</v>
      </c>
      <c r="J396">
        <v>54254516</v>
      </c>
      <c r="K396">
        <v>1104</v>
      </c>
      <c r="L396">
        <v>1702</v>
      </c>
      <c r="M396">
        <v>1304</v>
      </c>
      <c r="N396">
        <v>54248803</v>
      </c>
      <c r="O396">
        <v>45197.678137303243</v>
      </c>
      <c r="P396">
        <v>200</v>
      </c>
      <c r="Q396">
        <v>1</v>
      </c>
      <c r="R396">
        <v>200</v>
      </c>
      <c r="S396">
        <v>45198.067372337966</v>
      </c>
      <c r="T396">
        <v>5509</v>
      </c>
      <c r="U396" t="s">
        <v>1152</v>
      </c>
      <c r="V396" t="s">
        <v>1153</v>
      </c>
      <c r="W396" t="s">
        <v>2</v>
      </c>
      <c r="AI396">
        <v>62</v>
      </c>
      <c r="AJ396">
        <v>62</v>
      </c>
      <c r="AN396">
        <v>45170</v>
      </c>
      <c r="AO396">
        <v>45199</v>
      </c>
      <c r="AP396" t="s">
        <v>1101</v>
      </c>
    </row>
    <row r="397" spans="1:42" x14ac:dyDescent="0.25">
      <c r="A397">
        <v>2023</v>
      </c>
      <c r="B397">
        <v>9</v>
      </c>
      <c r="C397">
        <v>17</v>
      </c>
      <c r="D397" t="s">
        <v>1088</v>
      </c>
      <c r="E397" t="s">
        <v>282</v>
      </c>
      <c r="F397">
        <v>469595</v>
      </c>
      <c r="G397">
        <v>10436772</v>
      </c>
      <c r="H397" t="s">
        <v>282</v>
      </c>
      <c r="J397">
        <v>54285304</v>
      </c>
      <c r="K397">
        <v>1100</v>
      </c>
      <c r="L397">
        <v>1700</v>
      </c>
      <c r="M397">
        <v>1304</v>
      </c>
      <c r="P397">
        <v>216</v>
      </c>
      <c r="Q397">
        <v>1</v>
      </c>
      <c r="R397">
        <v>216</v>
      </c>
      <c r="S397">
        <v>45198.422988576393</v>
      </c>
      <c r="T397">
        <v>5500</v>
      </c>
      <c r="U397" t="s">
        <v>1154</v>
      </c>
      <c r="V397" t="s">
        <v>99</v>
      </c>
      <c r="W397" t="s">
        <v>2</v>
      </c>
      <c r="AI397">
        <v>62</v>
      </c>
      <c r="AJ397">
        <v>62</v>
      </c>
      <c r="AN397">
        <v>45170</v>
      </c>
      <c r="AO397">
        <v>45199</v>
      </c>
      <c r="AP397" t="s">
        <v>1101</v>
      </c>
    </row>
    <row r="398" spans="1:42" x14ac:dyDescent="0.25">
      <c r="A398">
        <v>2023</v>
      </c>
      <c r="B398">
        <v>9</v>
      </c>
      <c r="C398">
        <v>17</v>
      </c>
      <c r="D398" t="s">
        <v>1088</v>
      </c>
      <c r="E398" t="s">
        <v>282</v>
      </c>
      <c r="F398">
        <v>469595</v>
      </c>
      <c r="G398">
        <v>10436772</v>
      </c>
      <c r="H398" t="s">
        <v>282</v>
      </c>
      <c r="J398">
        <v>54285307</v>
      </c>
      <c r="K398">
        <v>1100</v>
      </c>
      <c r="L398">
        <v>1700</v>
      </c>
      <c r="M398">
        <v>1304</v>
      </c>
      <c r="P398">
        <v>216</v>
      </c>
      <c r="Q398">
        <v>1</v>
      </c>
      <c r="R398">
        <v>216</v>
      </c>
      <c r="S398">
        <v>45198.423129131945</v>
      </c>
      <c r="T398">
        <v>5500</v>
      </c>
      <c r="U398" t="s">
        <v>1154</v>
      </c>
      <c r="V398" t="s">
        <v>99</v>
      </c>
      <c r="W398" t="s">
        <v>2</v>
      </c>
      <c r="AI398">
        <v>62</v>
      </c>
      <c r="AJ398">
        <v>62</v>
      </c>
      <c r="AN398">
        <v>45170</v>
      </c>
      <c r="AO398">
        <v>45199</v>
      </c>
      <c r="AP398" t="s">
        <v>1101</v>
      </c>
    </row>
    <row r="399" spans="1:42" x14ac:dyDescent="0.25">
      <c r="A399">
        <v>2023</v>
      </c>
      <c r="B399">
        <v>9</v>
      </c>
      <c r="C399">
        <v>17</v>
      </c>
      <c r="D399" t="s">
        <v>1088</v>
      </c>
      <c r="E399" t="s">
        <v>282</v>
      </c>
      <c r="F399">
        <v>623681</v>
      </c>
      <c r="G399">
        <v>10403222</v>
      </c>
      <c r="H399" t="s">
        <v>282</v>
      </c>
      <c r="J399">
        <v>54304547</v>
      </c>
      <c r="K399">
        <v>1100</v>
      </c>
      <c r="L399">
        <v>1700</v>
      </c>
      <c r="M399">
        <v>1301</v>
      </c>
      <c r="P399">
        <v>7.5</v>
      </c>
      <c r="Q399">
        <v>2</v>
      </c>
      <c r="R399">
        <v>15</v>
      </c>
      <c r="S399">
        <v>45198.645846793981</v>
      </c>
      <c r="T399">
        <v>5500</v>
      </c>
      <c r="U399" t="s">
        <v>1151</v>
      </c>
      <c r="V399" t="s">
        <v>99</v>
      </c>
      <c r="W399" t="s">
        <v>1031</v>
      </c>
      <c r="X399" t="s">
        <v>1031</v>
      </c>
      <c r="AA399">
        <v>58053</v>
      </c>
      <c r="AB399" t="s">
        <v>1223</v>
      </c>
      <c r="AC399">
        <v>45199.084342476854</v>
      </c>
      <c r="AI399">
        <v>62</v>
      </c>
      <c r="AJ399">
        <v>62</v>
      </c>
      <c r="AN399">
        <v>45170</v>
      </c>
      <c r="AO399">
        <v>45199</v>
      </c>
      <c r="AP399" t="s">
        <v>1101</v>
      </c>
    </row>
    <row r="400" spans="1:42" x14ac:dyDescent="0.25">
      <c r="A400">
        <v>2023</v>
      </c>
      <c r="B400">
        <v>9</v>
      </c>
      <c r="C400">
        <v>17</v>
      </c>
      <c r="D400" t="s">
        <v>1088</v>
      </c>
      <c r="E400" t="s">
        <v>282</v>
      </c>
      <c r="F400">
        <v>623681</v>
      </c>
      <c r="G400">
        <v>10403222</v>
      </c>
      <c r="H400" t="s">
        <v>282</v>
      </c>
      <c r="J400">
        <v>54304554</v>
      </c>
      <c r="K400">
        <v>1100</v>
      </c>
      <c r="L400">
        <v>1700</v>
      </c>
      <c r="M400">
        <v>1301</v>
      </c>
      <c r="P400">
        <v>15</v>
      </c>
      <c r="Q400">
        <v>1</v>
      </c>
      <c r="R400">
        <v>15</v>
      </c>
      <c r="S400">
        <v>45198.646246261575</v>
      </c>
      <c r="T400">
        <v>5500</v>
      </c>
      <c r="U400" t="s">
        <v>1151</v>
      </c>
      <c r="V400" t="s">
        <v>99</v>
      </c>
      <c r="W400" t="s">
        <v>1031</v>
      </c>
      <c r="X400" t="s">
        <v>1031</v>
      </c>
      <c r="AA400">
        <v>58053</v>
      </c>
      <c r="AB400" t="s">
        <v>1223</v>
      </c>
      <c r="AC400">
        <v>45199.084342476854</v>
      </c>
      <c r="AI400">
        <v>62</v>
      </c>
      <c r="AJ400">
        <v>62</v>
      </c>
      <c r="AN400">
        <v>45170</v>
      </c>
      <c r="AO400">
        <v>45199</v>
      </c>
      <c r="AP400" t="s">
        <v>1101</v>
      </c>
    </row>
    <row r="401" spans="1:42" x14ac:dyDescent="0.25">
      <c r="A401">
        <v>2023</v>
      </c>
      <c r="B401">
        <v>9</v>
      </c>
      <c r="C401">
        <v>17</v>
      </c>
      <c r="D401" t="s">
        <v>1088</v>
      </c>
      <c r="E401" t="s">
        <v>282</v>
      </c>
      <c r="F401">
        <v>580115</v>
      </c>
      <c r="H401" t="s">
        <v>282</v>
      </c>
      <c r="I401">
        <v>1252071</v>
      </c>
      <c r="M401">
        <v>1304</v>
      </c>
      <c r="P401">
        <v>318</v>
      </c>
      <c r="Q401">
        <v>1</v>
      </c>
      <c r="R401">
        <v>318</v>
      </c>
      <c r="S401">
        <v>45190</v>
      </c>
      <c r="U401" t="s">
        <v>222</v>
      </c>
      <c r="V401" t="s">
        <v>102</v>
      </c>
      <c r="W401" t="s">
        <v>1091</v>
      </c>
      <c r="AI401">
        <v>62</v>
      </c>
      <c r="AL401" t="s">
        <v>1159</v>
      </c>
      <c r="AM401" t="s">
        <v>282</v>
      </c>
      <c r="AN401">
        <v>45170</v>
      </c>
      <c r="AO401">
        <v>45199</v>
      </c>
      <c r="AP401" t="s">
        <v>1101</v>
      </c>
    </row>
    <row r="402" spans="1:42" x14ac:dyDescent="0.25">
      <c r="A402">
        <v>2023</v>
      </c>
      <c r="B402">
        <v>9</v>
      </c>
      <c r="C402">
        <v>17</v>
      </c>
      <c r="D402" t="s">
        <v>1088</v>
      </c>
      <c r="E402" t="s">
        <v>282</v>
      </c>
      <c r="F402">
        <v>618069</v>
      </c>
      <c r="H402" t="s">
        <v>282</v>
      </c>
      <c r="I402">
        <v>1241323</v>
      </c>
      <c r="M402">
        <v>1304</v>
      </c>
      <c r="P402">
        <v>225</v>
      </c>
      <c r="Q402">
        <v>1</v>
      </c>
      <c r="R402">
        <v>225</v>
      </c>
      <c r="S402">
        <v>45176</v>
      </c>
      <c r="U402" t="s">
        <v>222</v>
      </c>
      <c r="V402" t="s">
        <v>102</v>
      </c>
      <c r="AI402">
        <v>62</v>
      </c>
      <c r="AL402" t="s">
        <v>1159</v>
      </c>
      <c r="AM402" t="s">
        <v>282</v>
      </c>
      <c r="AN402">
        <v>45170</v>
      </c>
      <c r="AO402">
        <v>45199</v>
      </c>
      <c r="AP402" t="s">
        <v>1101</v>
      </c>
    </row>
    <row r="403" spans="1:42" x14ac:dyDescent="0.25">
      <c r="A403">
        <v>2023</v>
      </c>
      <c r="B403">
        <v>9</v>
      </c>
      <c r="C403">
        <v>17</v>
      </c>
      <c r="D403" t="s">
        <v>1088</v>
      </c>
      <c r="E403" t="s">
        <v>282</v>
      </c>
      <c r="F403">
        <v>622093</v>
      </c>
      <c r="H403" t="s">
        <v>282</v>
      </c>
      <c r="I403">
        <v>1250368</v>
      </c>
      <c r="M403">
        <v>1304</v>
      </c>
      <c r="P403">
        <v>225</v>
      </c>
      <c r="Q403">
        <v>1</v>
      </c>
      <c r="R403">
        <v>225</v>
      </c>
      <c r="S403">
        <v>45188</v>
      </c>
      <c r="U403" t="s">
        <v>222</v>
      </c>
      <c r="V403" t="s">
        <v>102</v>
      </c>
      <c r="AI403">
        <v>62</v>
      </c>
      <c r="AL403" t="s">
        <v>1159</v>
      </c>
      <c r="AM403" t="s">
        <v>282</v>
      </c>
      <c r="AN403">
        <v>45170</v>
      </c>
      <c r="AO403">
        <v>45199</v>
      </c>
      <c r="AP403" t="s">
        <v>1101</v>
      </c>
    </row>
    <row r="404" spans="1:42" x14ac:dyDescent="0.25">
      <c r="A404">
        <v>2023</v>
      </c>
      <c r="B404">
        <v>9</v>
      </c>
      <c r="C404">
        <v>17</v>
      </c>
      <c r="D404" t="s">
        <v>1088</v>
      </c>
      <c r="E404" t="s">
        <v>282</v>
      </c>
      <c r="F404">
        <v>613528</v>
      </c>
      <c r="H404" t="s">
        <v>282</v>
      </c>
      <c r="I404">
        <v>1251479</v>
      </c>
      <c r="M404">
        <v>1304</v>
      </c>
      <c r="P404">
        <v>216</v>
      </c>
      <c r="Q404">
        <v>1</v>
      </c>
      <c r="R404">
        <v>216</v>
      </c>
      <c r="S404">
        <v>45189</v>
      </c>
      <c r="U404" t="s">
        <v>222</v>
      </c>
      <c r="V404" t="s">
        <v>102</v>
      </c>
      <c r="AI404">
        <v>62</v>
      </c>
      <c r="AL404" t="s">
        <v>1159</v>
      </c>
      <c r="AM404" t="s">
        <v>282</v>
      </c>
      <c r="AN404">
        <v>45170</v>
      </c>
      <c r="AO404">
        <v>45199</v>
      </c>
      <c r="AP404" t="s">
        <v>1101</v>
      </c>
    </row>
    <row r="405" spans="1:42" x14ac:dyDescent="0.25">
      <c r="A405">
        <v>2023</v>
      </c>
      <c r="B405">
        <v>9</v>
      </c>
      <c r="C405">
        <v>17</v>
      </c>
      <c r="D405" t="s">
        <v>1088</v>
      </c>
      <c r="E405" t="s">
        <v>282</v>
      </c>
      <c r="F405">
        <v>616414</v>
      </c>
      <c r="H405" t="s">
        <v>282</v>
      </c>
      <c r="I405">
        <v>1238020</v>
      </c>
      <c r="M405">
        <v>1304</v>
      </c>
      <c r="P405">
        <v>450</v>
      </c>
      <c r="Q405">
        <v>1</v>
      </c>
      <c r="R405">
        <v>450</v>
      </c>
      <c r="S405">
        <v>45170</v>
      </c>
      <c r="U405" t="s">
        <v>222</v>
      </c>
      <c r="V405" t="s">
        <v>102</v>
      </c>
      <c r="AI405">
        <v>62</v>
      </c>
      <c r="AL405" t="s">
        <v>1159</v>
      </c>
      <c r="AM405" t="s">
        <v>282</v>
      </c>
      <c r="AN405">
        <v>45170</v>
      </c>
      <c r="AO405">
        <v>45199</v>
      </c>
      <c r="AP405" t="s">
        <v>1101</v>
      </c>
    </row>
    <row r="406" spans="1:42" x14ac:dyDescent="0.25">
      <c r="A406">
        <v>2023</v>
      </c>
      <c r="B406">
        <v>9</v>
      </c>
      <c r="C406">
        <v>17</v>
      </c>
      <c r="D406" t="s">
        <v>1088</v>
      </c>
      <c r="E406" t="s">
        <v>282</v>
      </c>
      <c r="F406">
        <v>619301</v>
      </c>
      <c r="H406" t="s">
        <v>282</v>
      </c>
      <c r="I406">
        <v>1255154</v>
      </c>
      <c r="M406">
        <v>1304</v>
      </c>
      <c r="P406">
        <v>-334.5</v>
      </c>
      <c r="Q406">
        <v>1</v>
      </c>
      <c r="R406">
        <v>-334.5</v>
      </c>
      <c r="S406">
        <v>45171</v>
      </c>
      <c r="U406" t="s">
        <v>222</v>
      </c>
      <c r="V406" t="s">
        <v>102</v>
      </c>
      <c r="W406" t="s">
        <v>1090</v>
      </c>
      <c r="AI406">
        <v>62</v>
      </c>
      <c r="AL406" t="s">
        <v>1159</v>
      </c>
      <c r="AM406" t="s">
        <v>282</v>
      </c>
      <c r="AN406">
        <v>45170</v>
      </c>
      <c r="AO406">
        <v>45199</v>
      </c>
      <c r="AP406" t="s">
        <v>1101</v>
      </c>
    </row>
    <row r="407" spans="1:42" x14ac:dyDescent="0.25">
      <c r="A407">
        <v>2023</v>
      </c>
      <c r="B407">
        <v>9</v>
      </c>
      <c r="C407">
        <v>17</v>
      </c>
      <c r="D407" t="s">
        <v>1088</v>
      </c>
      <c r="E407" t="s">
        <v>282</v>
      </c>
      <c r="F407">
        <v>619301</v>
      </c>
      <c r="H407" t="s">
        <v>282</v>
      </c>
      <c r="I407">
        <v>1254151</v>
      </c>
      <c r="M407">
        <v>1304</v>
      </c>
      <c r="P407">
        <v>334.5</v>
      </c>
      <c r="Q407">
        <v>1</v>
      </c>
      <c r="R407">
        <v>334.5</v>
      </c>
      <c r="S407">
        <v>45194</v>
      </c>
      <c r="U407" t="s">
        <v>222</v>
      </c>
      <c r="V407" t="s">
        <v>102</v>
      </c>
      <c r="W407" t="s">
        <v>1090</v>
      </c>
      <c r="AI407">
        <v>62</v>
      </c>
      <c r="AL407" t="s">
        <v>1159</v>
      </c>
      <c r="AM407" t="s">
        <v>282</v>
      </c>
      <c r="AN407">
        <v>45170</v>
      </c>
      <c r="AO407">
        <v>45199</v>
      </c>
      <c r="AP407" t="s">
        <v>1101</v>
      </c>
    </row>
    <row r="408" spans="1:42" x14ac:dyDescent="0.25">
      <c r="A408">
        <v>2023</v>
      </c>
      <c r="B408">
        <v>9</v>
      </c>
      <c r="C408">
        <v>17</v>
      </c>
      <c r="D408" t="s">
        <v>1088</v>
      </c>
      <c r="E408" t="s">
        <v>282</v>
      </c>
      <c r="F408">
        <v>605813</v>
      </c>
      <c r="G408">
        <v>10077725</v>
      </c>
      <c r="H408" t="s">
        <v>282</v>
      </c>
      <c r="J408">
        <v>53696893</v>
      </c>
      <c r="K408">
        <v>1104</v>
      </c>
      <c r="L408">
        <v>1702</v>
      </c>
      <c r="M408">
        <v>1304</v>
      </c>
      <c r="N408">
        <v>52085600</v>
      </c>
      <c r="O408">
        <v>45128.484901851851</v>
      </c>
      <c r="P408">
        <v>50</v>
      </c>
      <c r="Q408">
        <v>1</v>
      </c>
      <c r="R408">
        <v>50</v>
      </c>
      <c r="S408">
        <v>45181.067376736108</v>
      </c>
      <c r="T408">
        <v>5509</v>
      </c>
      <c r="U408" t="s">
        <v>1152</v>
      </c>
      <c r="V408" t="s">
        <v>1153</v>
      </c>
      <c r="W408" t="s">
        <v>2</v>
      </c>
      <c r="X408" t="s">
        <v>1091</v>
      </c>
      <c r="AI408">
        <v>62</v>
      </c>
      <c r="AJ408">
        <v>62</v>
      </c>
      <c r="AN408">
        <v>45170</v>
      </c>
      <c r="AO408">
        <v>45199</v>
      </c>
      <c r="AP408" t="s">
        <v>1101</v>
      </c>
    </row>
    <row r="409" spans="1:42" x14ac:dyDescent="0.25">
      <c r="A409">
        <v>2023</v>
      </c>
      <c r="B409">
        <v>9</v>
      </c>
      <c r="C409">
        <v>17</v>
      </c>
      <c r="D409" t="s">
        <v>1088</v>
      </c>
      <c r="E409" t="s">
        <v>282</v>
      </c>
      <c r="F409">
        <v>607384</v>
      </c>
      <c r="G409">
        <v>10089736</v>
      </c>
      <c r="H409" t="s">
        <v>282</v>
      </c>
      <c r="J409">
        <v>53961915</v>
      </c>
      <c r="K409">
        <v>1101</v>
      </c>
      <c r="L409">
        <v>1702</v>
      </c>
      <c r="M409">
        <v>1301</v>
      </c>
      <c r="N409">
        <v>52072823</v>
      </c>
      <c r="O409">
        <v>45128.431553472219</v>
      </c>
      <c r="P409">
        <v>109.5</v>
      </c>
      <c r="Q409">
        <v>1</v>
      </c>
      <c r="R409">
        <v>109.5</v>
      </c>
      <c r="S409">
        <v>45189.372612118059</v>
      </c>
      <c r="T409">
        <v>5502</v>
      </c>
      <c r="U409" t="s">
        <v>1217</v>
      </c>
      <c r="V409" t="s">
        <v>1155</v>
      </c>
      <c r="W409" t="s">
        <v>1031</v>
      </c>
      <c r="X409" t="s">
        <v>1031</v>
      </c>
      <c r="AD409">
        <v>830515</v>
      </c>
      <c r="AE409" t="s">
        <v>1287</v>
      </c>
      <c r="AF409">
        <v>45189.372611770836</v>
      </c>
      <c r="AI409">
        <v>62</v>
      </c>
      <c r="AJ409">
        <v>62</v>
      </c>
      <c r="AN409">
        <v>45170</v>
      </c>
      <c r="AO409">
        <v>45199</v>
      </c>
      <c r="AP409" t="s">
        <v>1101</v>
      </c>
    </row>
    <row r="410" spans="1:42" x14ac:dyDescent="0.25">
      <c r="A410">
        <v>2023</v>
      </c>
      <c r="B410">
        <v>9</v>
      </c>
      <c r="C410">
        <v>17</v>
      </c>
      <c r="D410" t="s">
        <v>1088</v>
      </c>
      <c r="E410" t="s">
        <v>282</v>
      </c>
      <c r="F410">
        <v>607384</v>
      </c>
      <c r="G410">
        <v>10089736</v>
      </c>
      <c r="H410" t="s">
        <v>282</v>
      </c>
      <c r="J410">
        <v>53961916</v>
      </c>
      <c r="K410">
        <v>1101</v>
      </c>
      <c r="L410">
        <v>1702</v>
      </c>
      <c r="M410">
        <v>1301</v>
      </c>
      <c r="N410">
        <v>52072851</v>
      </c>
      <c r="O410">
        <v>45128.431684143521</v>
      </c>
      <c r="P410">
        <v>109.5</v>
      </c>
      <c r="Q410">
        <v>1</v>
      </c>
      <c r="R410">
        <v>109.5</v>
      </c>
      <c r="S410">
        <v>45189.372612118059</v>
      </c>
      <c r="T410">
        <v>5502</v>
      </c>
      <c r="U410" t="s">
        <v>1217</v>
      </c>
      <c r="V410" t="s">
        <v>1155</v>
      </c>
      <c r="W410" t="s">
        <v>1031</v>
      </c>
      <c r="X410" t="s">
        <v>1031</v>
      </c>
      <c r="AD410">
        <v>830515</v>
      </c>
      <c r="AE410" t="s">
        <v>1287</v>
      </c>
      <c r="AF410">
        <v>45189.372611770836</v>
      </c>
      <c r="AI410">
        <v>62</v>
      </c>
      <c r="AJ410">
        <v>62</v>
      </c>
      <c r="AN410">
        <v>45170</v>
      </c>
      <c r="AO410">
        <v>45199</v>
      </c>
      <c r="AP410" t="s">
        <v>1101</v>
      </c>
    </row>
    <row r="411" spans="1:42" x14ac:dyDescent="0.25">
      <c r="A411">
        <v>2023</v>
      </c>
      <c r="B411">
        <v>9</v>
      </c>
      <c r="C411">
        <v>17</v>
      </c>
      <c r="D411" t="s">
        <v>1088</v>
      </c>
      <c r="E411" t="s">
        <v>282</v>
      </c>
      <c r="F411">
        <v>607384</v>
      </c>
      <c r="G411">
        <v>10089736</v>
      </c>
      <c r="H411" t="s">
        <v>282</v>
      </c>
      <c r="J411">
        <v>53961917</v>
      </c>
      <c r="K411">
        <v>1101</v>
      </c>
      <c r="L411">
        <v>1702</v>
      </c>
      <c r="M411">
        <v>1301</v>
      </c>
      <c r="N411">
        <v>52072857</v>
      </c>
      <c r="O411">
        <v>45128.431771875003</v>
      </c>
      <c r="P411">
        <v>15</v>
      </c>
      <c r="Q411">
        <v>1</v>
      </c>
      <c r="R411">
        <v>15</v>
      </c>
      <c r="S411">
        <v>45189.372612118059</v>
      </c>
      <c r="T411">
        <v>5502</v>
      </c>
      <c r="U411" t="s">
        <v>1217</v>
      </c>
      <c r="V411" t="s">
        <v>1155</v>
      </c>
      <c r="W411" t="s">
        <v>1031</v>
      </c>
      <c r="X411" t="s">
        <v>1031</v>
      </c>
      <c r="AD411">
        <v>830515</v>
      </c>
      <c r="AE411" t="s">
        <v>1287</v>
      </c>
      <c r="AF411">
        <v>45189.372611770836</v>
      </c>
      <c r="AI411">
        <v>62</v>
      </c>
      <c r="AJ411">
        <v>62</v>
      </c>
      <c r="AN411">
        <v>45170</v>
      </c>
      <c r="AO411">
        <v>45199</v>
      </c>
      <c r="AP411" t="s">
        <v>1101</v>
      </c>
    </row>
    <row r="412" spans="1:42" x14ac:dyDescent="0.25">
      <c r="A412">
        <v>2023</v>
      </c>
      <c r="B412">
        <v>9</v>
      </c>
      <c r="C412">
        <v>17</v>
      </c>
      <c r="D412" t="s">
        <v>1088</v>
      </c>
      <c r="E412" t="s">
        <v>282</v>
      </c>
      <c r="F412">
        <v>518579</v>
      </c>
      <c r="G412">
        <v>10089764</v>
      </c>
      <c r="H412" t="s">
        <v>282</v>
      </c>
      <c r="J412">
        <v>53961918</v>
      </c>
      <c r="K412">
        <v>1101</v>
      </c>
      <c r="L412">
        <v>1702</v>
      </c>
      <c r="M412">
        <v>1301</v>
      </c>
      <c r="N412">
        <v>52073186</v>
      </c>
      <c r="O412">
        <v>45128.433672488427</v>
      </c>
      <c r="P412">
        <v>109.5</v>
      </c>
      <c r="Q412">
        <v>1</v>
      </c>
      <c r="R412">
        <v>109.5</v>
      </c>
      <c r="S412">
        <v>45189.372612118059</v>
      </c>
      <c r="T412">
        <v>5502</v>
      </c>
      <c r="U412" t="s">
        <v>1217</v>
      </c>
      <c r="V412" t="s">
        <v>1155</v>
      </c>
      <c r="W412" t="s">
        <v>1031</v>
      </c>
      <c r="X412" t="s">
        <v>1031</v>
      </c>
      <c r="AD412">
        <v>830515</v>
      </c>
      <c r="AE412" t="s">
        <v>1287</v>
      </c>
      <c r="AF412">
        <v>45189.372611770836</v>
      </c>
      <c r="AI412">
        <v>62</v>
      </c>
      <c r="AJ412">
        <v>62</v>
      </c>
      <c r="AN412">
        <v>45170</v>
      </c>
      <c r="AO412">
        <v>45199</v>
      </c>
      <c r="AP412" t="s">
        <v>1101</v>
      </c>
    </row>
    <row r="413" spans="1:42" x14ac:dyDescent="0.25">
      <c r="A413">
        <v>2023</v>
      </c>
      <c r="B413">
        <v>9</v>
      </c>
      <c r="C413">
        <v>17</v>
      </c>
      <c r="D413" t="s">
        <v>1088</v>
      </c>
      <c r="E413" t="s">
        <v>282</v>
      </c>
      <c r="F413">
        <v>518579</v>
      </c>
      <c r="G413">
        <v>10089764</v>
      </c>
      <c r="H413" t="s">
        <v>282</v>
      </c>
      <c r="J413">
        <v>53961919</v>
      </c>
      <c r="K413">
        <v>1101</v>
      </c>
      <c r="L413">
        <v>1702</v>
      </c>
      <c r="M413">
        <v>1301</v>
      </c>
      <c r="N413">
        <v>52073190</v>
      </c>
      <c r="O413">
        <v>45128.433805590277</v>
      </c>
      <c r="P413">
        <v>109.5</v>
      </c>
      <c r="Q413">
        <v>1</v>
      </c>
      <c r="R413">
        <v>109.5</v>
      </c>
      <c r="S413">
        <v>45189.372612118059</v>
      </c>
      <c r="T413">
        <v>5502</v>
      </c>
      <c r="U413" t="s">
        <v>1217</v>
      </c>
      <c r="V413" t="s">
        <v>1155</v>
      </c>
      <c r="W413" t="s">
        <v>1031</v>
      </c>
      <c r="X413" t="s">
        <v>1031</v>
      </c>
      <c r="AD413">
        <v>830515</v>
      </c>
      <c r="AE413" t="s">
        <v>1287</v>
      </c>
      <c r="AF413">
        <v>45189.372611770836</v>
      </c>
      <c r="AI413">
        <v>62</v>
      </c>
      <c r="AJ413">
        <v>62</v>
      </c>
      <c r="AN413">
        <v>45170</v>
      </c>
      <c r="AO413">
        <v>45199</v>
      </c>
      <c r="AP413" t="s">
        <v>1101</v>
      </c>
    </row>
    <row r="414" spans="1:42" x14ac:dyDescent="0.25">
      <c r="A414">
        <v>2023</v>
      </c>
      <c r="B414">
        <v>9</v>
      </c>
      <c r="C414">
        <v>17</v>
      </c>
      <c r="D414" t="s">
        <v>1088</v>
      </c>
      <c r="E414" t="s">
        <v>282</v>
      </c>
      <c r="F414">
        <v>518579</v>
      </c>
      <c r="G414">
        <v>10089764</v>
      </c>
      <c r="H414" t="s">
        <v>282</v>
      </c>
      <c r="J414">
        <v>53961920</v>
      </c>
      <c r="K414">
        <v>1101</v>
      </c>
      <c r="L414">
        <v>1702</v>
      </c>
      <c r="M414">
        <v>1301</v>
      </c>
      <c r="N414">
        <v>52073224</v>
      </c>
      <c r="O414">
        <v>45128.433877083335</v>
      </c>
      <c r="P414">
        <v>15</v>
      </c>
      <c r="Q414">
        <v>1</v>
      </c>
      <c r="R414">
        <v>15</v>
      </c>
      <c r="S414">
        <v>45189.372612118059</v>
      </c>
      <c r="T414">
        <v>5502</v>
      </c>
      <c r="U414" t="s">
        <v>1217</v>
      </c>
      <c r="V414" t="s">
        <v>1155</v>
      </c>
      <c r="W414" t="s">
        <v>1031</v>
      </c>
      <c r="X414" t="s">
        <v>1031</v>
      </c>
      <c r="AD414">
        <v>830515</v>
      </c>
      <c r="AE414" t="s">
        <v>1287</v>
      </c>
      <c r="AF414">
        <v>45189.372611770836</v>
      </c>
      <c r="AI414">
        <v>62</v>
      </c>
      <c r="AJ414">
        <v>62</v>
      </c>
      <c r="AN414">
        <v>45170</v>
      </c>
      <c r="AO414">
        <v>45199</v>
      </c>
      <c r="AP414" t="s">
        <v>1101</v>
      </c>
    </row>
    <row r="415" spans="1:42" x14ac:dyDescent="0.25">
      <c r="A415">
        <v>2023</v>
      </c>
      <c r="B415">
        <v>9</v>
      </c>
      <c r="C415">
        <v>17</v>
      </c>
      <c r="D415" t="s">
        <v>1088</v>
      </c>
      <c r="E415" t="s">
        <v>282</v>
      </c>
      <c r="F415">
        <v>607387</v>
      </c>
      <c r="G415">
        <v>10089890</v>
      </c>
      <c r="H415" t="s">
        <v>282</v>
      </c>
      <c r="J415">
        <v>53961921</v>
      </c>
      <c r="K415">
        <v>1101</v>
      </c>
      <c r="L415">
        <v>1702</v>
      </c>
      <c r="M415">
        <v>1301</v>
      </c>
      <c r="N415">
        <v>52076866</v>
      </c>
      <c r="O415">
        <v>45128.438506516206</v>
      </c>
      <c r="P415">
        <v>109.5</v>
      </c>
      <c r="Q415">
        <v>1</v>
      </c>
      <c r="R415">
        <v>109.5</v>
      </c>
      <c r="S415">
        <v>45189.372612118059</v>
      </c>
      <c r="T415">
        <v>5502</v>
      </c>
      <c r="U415" t="s">
        <v>1217</v>
      </c>
      <c r="V415" t="s">
        <v>1155</v>
      </c>
      <c r="W415" t="s">
        <v>1031</v>
      </c>
      <c r="X415" t="s">
        <v>1031</v>
      </c>
      <c r="AD415">
        <v>830515</v>
      </c>
      <c r="AE415" t="s">
        <v>1287</v>
      </c>
      <c r="AF415">
        <v>45189.372611770836</v>
      </c>
      <c r="AI415">
        <v>62</v>
      </c>
      <c r="AJ415">
        <v>62</v>
      </c>
      <c r="AN415">
        <v>45170</v>
      </c>
      <c r="AO415">
        <v>45199</v>
      </c>
      <c r="AP415" t="s">
        <v>1101</v>
      </c>
    </row>
    <row r="416" spans="1:42" x14ac:dyDescent="0.25">
      <c r="A416">
        <v>2023</v>
      </c>
      <c r="B416">
        <v>9</v>
      </c>
      <c r="C416">
        <v>17</v>
      </c>
      <c r="D416" t="s">
        <v>1088</v>
      </c>
      <c r="E416" t="s">
        <v>282</v>
      </c>
      <c r="F416">
        <v>607387</v>
      </c>
      <c r="G416">
        <v>10089890</v>
      </c>
      <c r="H416" t="s">
        <v>282</v>
      </c>
      <c r="J416">
        <v>53961922</v>
      </c>
      <c r="K416">
        <v>1101</v>
      </c>
      <c r="L416">
        <v>1702</v>
      </c>
      <c r="M416">
        <v>1301</v>
      </c>
      <c r="N416">
        <v>52076872</v>
      </c>
      <c r="O416">
        <v>45128.438608761571</v>
      </c>
      <c r="P416">
        <v>109.5</v>
      </c>
      <c r="Q416">
        <v>1</v>
      </c>
      <c r="R416">
        <v>109.5</v>
      </c>
      <c r="S416">
        <v>45189.372612118059</v>
      </c>
      <c r="T416">
        <v>5502</v>
      </c>
      <c r="U416" t="s">
        <v>1217</v>
      </c>
      <c r="V416" t="s">
        <v>1155</v>
      </c>
      <c r="W416" t="s">
        <v>1031</v>
      </c>
      <c r="X416" t="s">
        <v>1031</v>
      </c>
      <c r="AD416">
        <v>830515</v>
      </c>
      <c r="AE416" t="s">
        <v>1287</v>
      </c>
      <c r="AF416">
        <v>45189.372611770836</v>
      </c>
      <c r="AI416">
        <v>62</v>
      </c>
      <c r="AJ416">
        <v>62</v>
      </c>
      <c r="AN416">
        <v>45170</v>
      </c>
      <c r="AO416">
        <v>45199</v>
      </c>
      <c r="AP416" t="s">
        <v>1101</v>
      </c>
    </row>
    <row r="417" spans="1:42" x14ac:dyDescent="0.25">
      <c r="A417">
        <v>2023</v>
      </c>
      <c r="B417">
        <v>9</v>
      </c>
      <c r="C417">
        <v>17</v>
      </c>
      <c r="D417" t="s">
        <v>1088</v>
      </c>
      <c r="E417" t="s">
        <v>282</v>
      </c>
      <c r="F417">
        <v>607387</v>
      </c>
      <c r="G417">
        <v>10089890</v>
      </c>
      <c r="H417" t="s">
        <v>282</v>
      </c>
      <c r="J417">
        <v>53961923</v>
      </c>
      <c r="K417">
        <v>1101</v>
      </c>
      <c r="L417">
        <v>1702</v>
      </c>
      <c r="M417">
        <v>1301</v>
      </c>
      <c r="N417">
        <v>52076877</v>
      </c>
      <c r="O417">
        <v>45128.438682175925</v>
      </c>
      <c r="P417">
        <v>15</v>
      </c>
      <c r="Q417">
        <v>1</v>
      </c>
      <c r="R417">
        <v>15</v>
      </c>
      <c r="S417">
        <v>45189.372612118059</v>
      </c>
      <c r="T417">
        <v>5502</v>
      </c>
      <c r="U417" t="s">
        <v>1217</v>
      </c>
      <c r="V417" t="s">
        <v>1155</v>
      </c>
      <c r="W417" t="s">
        <v>1031</v>
      </c>
      <c r="X417" t="s">
        <v>1031</v>
      </c>
      <c r="AD417">
        <v>830515</v>
      </c>
      <c r="AE417" t="s">
        <v>1287</v>
      </c>
      <c r="AF417">
        <v>45189.372611770836</v>
      </c>
      <c r="AI417">
        <v>62</v>
      </c>
      <c r="AJ417">
        <v>62</v>
      </c>
      <c r="AN417">
        <v>45170</v>
      </c>
      <c r="AO417">
        <v>45199</v>
      </c>
      <c r="AP417" t="s">
        <v>1101</v>
      </c>
    </row>
    <row r="418" spans="1:42" x14ac:dyDescent="0.25">
      <c r="A418">
        <v>2023</v>
      </c>
      <c r="B418">
        <v>9</v>
      </c>
      <c r="C418">
        <v>17</v>
      </c>
      <c r="D418" t="s">
        <v>1088</v>
      </c>
      <c r="E418" t="s">
        <v>282</v>
      </c>
      <c r="F418">
        <v>518574</v>
      </c>
      <c r="G418">
        <v>10089182</v>
      </c>
      <c r="H418" t="s">
        <v>282</v>
      </c>
      <c r="J418">
        <v>53961924</v>
      </c>
      <c r="K418">
        <v>1101</v>
      </c>
      <c r="L418">
        <v>1702</v>
      </c>
      <c r="M418">
        <v>1301</v>
      </c>
      <c r="N418">
        <v>52072210</v>
      </c>
      <c r="O418">
        <v>45128.420859872684</v>
      </c>
      <c r="P418">
        <v>109.5</v>
      </c>
      <c r="Q418">
        <v>1</v>
      </c>
      <c r="R418">
        <v>109.5</v>
      </c>
      <c r="S418">
        <v>45189.372612118059</v>
      </c>
      <c r="T418">
        <v>5502</v>
      </c>
      <c r="U418" t="s">
        <v>1217</v>
      </c>
      <c r="V418" t="s">
        <v>1155</v>
      </c>
      <c r="W418" t="s">
        <v>1031</v>
      </c>
      <c r="X418" t="s">
        <v>1031</v>
      </c>
      <c r="AD418">
        <v>830515</v>
      </c>
      <c r="AE418" t="s">
        <v>1287</v>
      </c>
      <c r="AF418">
        <v>45189.372611770836</v>
      </c>
      <c r="AI418">
        <v>62</v>
      </c>
      <c r="AJ418">
        <v>62</v>
      </c>
      <c r="AN418">
        <v>45170</v>
      </c>
      <c r="AO418">
        <v>45199</v>
      </c>
      <c r="AP418" t="s">
        <v>1101</v>
      </c>
    </row>
    <row r="419" spans="1:42" x14ac:dyDescent="0.25">
      <c r="A419">
        <v>2023</v>
      </c>
      <c r="B419">
        <v>9</v>
      </c>
      <c r="C419">
        <v>17</v>
      </c>
      <c r="D419" t="s">
        <v>1088</v>
      </c>
      <c r="E419" t="s">
        <v>282</v>
      </c>
      <c r="F419">
        <v>518574</v>
      </c>
      <c r="G419">
        <v>10089182</v>
      </c>
      <c r="H419" t="s">
        <v>282</v>
      </c>
      <c r="J419">
        <v>53961925</v>
      </c>
      <c r="K419">
        <v>1101</v>
      </c>
      <c r="L419">
        <v>1702</v>
      </c>
      <c r="M419">
        <v>1301</v>
      </c>
      <c r="N419">
        <v>52072219</v>
      </c>
      <c r="O419">
        <v>45128.420967789352</v>
      </c>
      <c r="P419">
        <v>109.5</v>
      </c>
      <c r="Q419">
        <v>1</v>
      </c>
      <c r="R419">
        <v>109.5</v>
      </c>
      <c r="S419">
        <v>45189.372612118059</v>
      </c>
      <c r="T419">
        <v>5502</v>
      </c>
      <c r="U419" t="s">
        <v>1217</v>
      </c>
      <c r="V419" t="s">
        <v>1155</v>
      </c>
      <c r="W419" t="s">
        <v>1031</v>
      </c>
      <c r="X419" t="s">
        <v>1031</v>
      </c>
      <c r="AD419">
        <v>830515</v>
      </c>
      <c r="AE419" t="s">
        <v>1287</v>
      </c>
      <c r="AF419">
        <v>45189.372611770836</v>
      </c>
      <c r="AI419">
        <v>62</v>
      </c>
      <c r="AJ419">
        <v>62</v>
      </c>
      <c r="AN419">
        <v>45170</v>
      </c>
      <c r="AO419">
        <v>45199</v>
      </c>
      <c r="AP419" t="s">
        <v>1101</v>
      </c>
    </row>
    <row r="420" spans="1:42" x14ac:dyDescent="0.25">
      <c r="A420">
        <v>2023</v>
      </c>
      <c r="B420">
        <v>9</v>
      </c>
      <c r="C420">
        <v>17</v>
      </c>
      <c r="D420" t="s">
        <v>1088</v>
      </c>
      <c r="E420" t="s">
        <v>282</v>
      </c>
      <c r="F420">
        <v>518574</v>
      </c>
      <c r="G420">
        <v>10089182</v>
      </c>
      <c r="H420" t="s">
        <v>282</v>
      </c>
      <c r="J420">
        <v>53961926</v>
      </c>
      <c r="K420">
        <v>1101</v>
      </c>
      <c r="L420">
        <v>1702</v>
      </c>
      <c r="M420">
        <v>1301</v>
      </c>
      <c r="N420">
        <v>52072220</v>
      </c>
      <c r="O420">
        <v>45128.421049965276</v>
      </c>
      <c r="P420">
        <v>15</v>
      </c>
      <c r="Q420">
        <v>1</v>
      </c>
      <c r="R420">
        <v>15</v>
      </c>
      <c r="S420">
        <v>45189.372612118059</v>
      </c>
      <c r="T420">
        <v>5502</v>
      </c>
      <c r="U420" t="s">
        <v>1217</v>
      </c>
      <c r="V420" t="s">
        <v>1155</v>
      </c>
      <c r="W420" t="s">
        <v>1031</v>
      </c>
      <c r="X420" t="s">
        <v>1031</v>
      </c>
      <c r="AD420">
        <v>830515</v>
      </c>
      <c r="AE420" t="s">
        <v>1287</v>
      </c>
      <c r="AF420">
        <v>45189.372611770836</v>
      </c>
      <c r="AI420">
        <v>62</v>
      </c>
      <c r="AJ420">
        <v>62</v>
      </c>
      <c r="AN420">
        <v>45170</v>
      </c>
      <c r="AO420">
        <v>45199</v>
      </c>
      <c r="AP420" t="s">
        <v>1101</v>
      </c>
    </row>
    <row r="421" spans="1:42" x14ac:dyDescent="0.25">
      <c r="A421">
        <v>2023</v>
      </c>
      <c r="B421">
        <v>9</v>
      </c>
      <c r="C421">
        <v>17</v>
      </c>
      <c r="D421" t="s">
        <v>1088</v>
      </c>
      <c r="E421" t="s">
        <v>282</v>
      </c>
      <c r="F421">
        <v>445569</v>
      </c>
      <c r="G421">
        <v>10089216</v>
      </c>
      <c r="H421" t="s">
        <v>282</v>
      </c>
      <c r="J421">
        <v>53961927</v>
      </c>
      <c r="K421">
        <v>1101</v>
      </c>
      <c r="L421">
        <v>1702</v>
      </c>
      <c r="M421">
        <v>1301</v>
      </c>
      <c r="N421">
        <v>52072381</v>
      </c>
      <c r="O421">
        <v>45128.422921956022</v>
      </c>
      <c r="P421">
        <v>109.5</v>
      </c>
      <c r="Q421">
        <v>1</v>
      </c>
      <c r="R421">
        <v>109.5</v>
      </c>
      <c r="S421">
        <v>45189.372612118059</v>
      </c>
      <c r="T421">
        <v>5502</v>
      </c>
      <c r="U421" t="s">
        <v>1217</v>
      </c>
      <c r="V421" t="s">
        <v>1155</v>
      </c>
      <c r="W421" t="s">
        <v>1031</v>
      </c>
      <c r="X421" t="s">
        <v>1031</v>
      </c>
      <c r="AD421">
        <v>830515</v>
      </c>
      <c r="AE421" t="s">
        <v>1287</v>
      </c>
      <c r="AF421">
        <v>45189.372611770836</v>
      </c>
      <c r="AI421">
        <v>62</v>
      </c>
      <c r="AJ421">
        <v>62</v>
      </c>
      <c r="AN421">
        <v>45170</v>
      </c>
      <c r="AO421">
        <v>45199</v>
      </c>
      <c r="AP421" t="s">
        <v>1101</v>
      </c>
    </row>
    <row r="422" spans="1:42" x14ac:dyDescent="0.25">
      <c r="A422">
        <v>2023</v>
      </c>
      <c r="B422">
        <v>9</v>
      </c>
      <c r="C422">
        <v>17</v>
      </c>
      <c r="D422" t="s">
        <v>1088</v>
      </c>
      <c r="E422" t="s">
        <v>282</v>
      </c>
      <c r="F422">
        <v>445569</v>
      </c>
      <c r="G422">
        <v>10089216</v>
      </c>
      <c r="H422" t="s">
        <v>282</v>
      </c>
      <c r="J422">
        <v>53961928</v>
      </c>
      <c r="K422">
        <v>1101</v>
      </c>
      <c r="L422">
        <v>1702</v>
      </c>
      <c r="M422">
        <v>1301</v>
      </c>
      <c r="N422">
        <v>52072382</v>
      </c>
      <c r="O422">
        <v>45128.423030752318</v>
      </c>
      <c r="P422">
        <v>109.5</v>
      </c>
      <c r="Q422">
        <v>1</v>
      </c>
      <c r="R422">
        <v>109.5</v>
      </c>
      <c r="S422">
        <v>45189.372612118059</v>
      </c>
      <c r="T422">
        <v>5502</v>
      </c>
      <c r="U422" t="s">
        <v>1217</v>
      </c>
      <c r="V422" t="s">
        <v>1155</v>
      </c>
      <c r="W422" t="s">
        <v>1031</v>
      </c>
      <c r="X422" t="s">
        <v>1031</v>
      </c>
      <c r="AD422">
        <v>830515</v>
      </c>
      <c r="AE422" t="s">
        <v>1287</v>
      </c>
      <c r="AF422">
        <v>45189.372611770836</v>
      </c>
      <c r="AI422">
        <v>62</v>
      </c>
      <c r="AJ422">
        <v>62</v>
      </c>
      <c r="AN422">
        <v>45170</v>
      </c>
      <c r="AO422">
        <v>45199</v>
      </c>
      <c r="AP422" t="s">
        <v>1101</v>
      </c>
    </row>
    <row r="423" spans="1:42" x14ac:dyDescent="0.25">
      <c r="A423">
        <v>2023</v>
      </c>
      <c r="B423">
        <v>9</v>
      </c>
      <c r="C423">
        <v>17</v>
      </c>
      <c r="D423" t="s">
        <v>1088</v>
      </c>
      <c r="E423" t="s">
        <v>282</v>
      </c>
      <c r="F423">
        <v>445569</v>
      </c>
      <c r="G423">
        <v>10089216</v>
      </c>
      <c r="H423" t="s">
        <v>282</v>
      </c>
      <c r="J423">
        <v>53961929</v>
      </c>
      <c r="K423">
        <v>1101</v>
      </c>
      <c r="L423">
        <v>1702</v>
      </c>
      <c r="M423">
        <v>1301</v>
      </c>
      <c r="N423">
        <v>52072387</v>
      </c>
      <c r="O423">
        <v>45128.423139386578</v>
      </c>
      <c r="P423">
        <v>15</v>
      </c>
      <c r="Q423">
        <v>1</v>
      </c>
      <c r="R423">
        <v>15</v>
      </c>
      <c r="S423">
        <v>45189.372612118059</v>
      </c>
      <c r="T423">
        <v>5502</v>
      </c>
      <c r="U423" t="s">
        <v>1217</v>
      </c>
      <c r="V423" t="s">
        <v>1155</v>
      </c>
      <c r="W423" t="s">
        <v>1031</v>
      </c>
      <c r="X423" t="s">
        <v>1031</v>
      </c>
      <c r="AD423">
        <v>830515</v>
      </c>
      <c r="AE423" t="s">
        <v>1287</v>
      </c>
      <c r="AF423">
        <v>45189.372611770836</v>
      </c>
      <c r="AI423">
        <v>62</v>
      </c>
      <c r="AJ423">
        <v>62</v>
      </c>
      <c r="AN423">
        <v>45170</v>
      </c>
      <c r="AO423">
        <v>45199</v>
      </c>
      <c r="AP423" t="s">
        <v>1101</v>
      </c>
    </row>
    <row r="424" spans="1:42" x14ac:dyDescent="0.25">
      <c r="A424">
        <v>2023</v>
      </c>
      <c r="B424">
        <v>9</v>
      </c>
      <c r="C424">
        <v>17</v>
      </c>
      <c r="D424" t="s">
        <v>1088</v>
      </c>
      <c r="E424" t="s">
        <v>282</v>
      </c>
      <c r="F424">
        <v>607391</v>
      </c>
      <c r="G424">
        <v>10089945</v>
      </c>
      <c r="H424" t="s">
        <v>282</v>
      </c>
      <c r="J424">
        <v>53961932</v>
      </c>
      <c r="K424">
        <v>1101</v>
      </c>
      <c r="L424">
        <v>1702</v>
      </c>
      <c r="M424">
        <v>1301</v>
      </c>
      <c r="N424">
        <v>52077810</v>
      </c>
      <c r="O424">
        <v>45128.441746643519</v>
      </c>
      <c r="P424">
        <v>15</v>
      </c>
      <c r="Q424">
        <v>1</v>
      </c>
      <c r="R424">
        <v>15</v>
      </c>
      <c r="S424">
        <v>45189.372612118059</v>
      </c>
      <c r="T424">
        <v>5502</v>
      </c>
      <c r="U424" t="s">
        <v>1217</v>
      </c>
      <c r="V424" t="s">
        <v>1155</v>
      </c>
      <c r="W424" t="s">
        <v>1031</v>
      </c>
      <c r="X424" t="s">
        <v>1031</v>
      </c>
      <c r="AD424">
        <v>830515</v>
      </c>
      <c r="AE424" t="s">
        <v>1287</v>
      </c>
      <c r="AF424">
        <v>45189.372611770836</v>
      </c>
      <c r="AI424">
        <v>62</v>
      </c>
      <c r="AJ424">
        <v>62</v>
      </c>
      <c r="AN424">
        <v>45170</v>
      </c>
      <c r="AO424">
        <v>45199</v>
      </c>
      <c r="AP424" t="s">
        <v>1101</v>
      </c>
    </row>
    <row r="425" spans="1:42" x14ac:dyDescent="0.25">
      <c r="A425">
        <v>2023</v>
      </c>
      <c r="B425">
        <v>9</v>
      </c>
      <c r="C425">
        <v>17</v>
      </c>
      <c r="D425" t="s">
        <v>1088</v>
      </c>
      <c r="E425" t="s">
        <v>282</v>
      </c>
      <c r="F425">
        <v>586428</v>
      </c>
      <c r="G425">
        <v>10089148</v>
      </c>
      <c r="H425" t="s">
        <v>282</v>
      </c>
      <c r="J425">
        <v>53961933</v>
      </c>
      <c r="K425">
        <v>1101</v>
      </c>
      <c r="L425">
        <v>1702</v>
      </c>
      <c r="M425">
        <v>1301</v>
      </c>
      <c r="N425">
        <v>52069139</v>
      </c>
      <c r="O425">
        <v>45128.418046990744</v>
      </c>
      <c r="P425">
        <v>109.5</v>
      </c>
      <c r="Q425">
        <v>1</v>
      </c>
      <c r="R425">
        <v>109.5</v>
      </c>
      <c r="S425">
        <v>45189.372612118059</v>
      </c>
      <c r="T425">
        <v>5502</v>
      </c>
      <c r="U425" t="s">
        <v>1217</v>
      </c>
      <c r="V425" t="s">
        <v>1155</v>
      </c>
      <c r="W425" t="s">
        <v>1031</v>
      </c>
      <c r="X425" t="s">
        <v>1031</v>
      </c>
      <c r="AD425">
        <v>830515</v>
      </c>
      <c r="AE425" t="s">
        <v>1287</v>
      </c>
      <c r="AF425">
        <v>45189.372611770836</v>
      </c>
      <c r="AI425">
        <v>62</v>
      </c>
      <c r="AJ425">
        <v>62</v>
      </c>
      <c r="AN425">
        <v>45170</v>
      </c>
      <c r="AO425">
        <v>45199</v>
      </c>
      <c r="AP425" t="s">
        <v>1101</v>
      </c>
    </row>
    <row r="426" spans="1:42" x14ac:dyDescent="0.25">
      <c r="A426">
        <v>2023</v>
      </c>
      <c r="B426">
        <v>9</v>
      </c>
      <c r="C426">
        <v>17</v>
      </c>
      <c r="D426" t="s">
        <v>1088</v>
      </c>
      <c r="E426" t="s">
        <v>282</v>
      </c>
      <c r="F426">
        <v>586428</v>
      </c>
      <c r="G426">
        <v>10089148</v>
      </c>
      <c r="H426" t="s">
        <v>282</v>
      </c>
      <c r="J426">
        <v>53961934</v>
      </c>
      <c r="K426">
        <v>1101</v>
      </c>
      <c r="L426">
        <v>1702</v>
      </c>
      <c r="M426">
        <v>1301</v>
      </c>
      <c r="N426">
        <v>52069143</v>
      </c>
      <c r="O426">
        <v>45128.418149884259</v>
      </c>
      <c r="P426">
        <v>109.5</v>
      </c>
      <c r="Q426">
        <v>1</v>
      </c>
      <c r="R426">
        <v>109.5</v>
      </c>
      <c r="S426">
        <v>45189.372612118059</v>
      </c>
      <c r="T426">
        <v>5502</v>
      </c>
      <c r="U426" t="s">
        <v>1217</v>
      </c>
      <c r="V426" t="s">
        <v>1155</v>
      </c>
      <c r="W426" t="s">
        <v>1031</v>
      </c>
      <c r="X426" t="s">
        <v>1031</v>
      </c>
      <c r="AD426">
        <v>830515</v>
      </c>
      <c r="AE426" t="s">
        <v>1287</v>
      </c>
      <c r="AF426">
        <v>45189.372611770836</v>
      </c>
      <c r="AI426">
        <v>62</v>
      </c>
      <c r="AJ426">
        <v>62</v>
      </c>
      <c r="AN426">
        <v>45170</v>
      </c>
      <c r="AO426">
        <v>45199</v>
      </c>
      <c r="AP426" t="s">
        <v>1101</v>
      </c>
    </row>
    <row r="427" spans="1:42" x14ac:dyDescent="0.25">
      <c r="A427">
        <v>2023</v>
      </c>
      <c r="B427">
        <v>9</v>
      </c>
      <c r="C427">
        <v>17</v>
      </c>
      <c r="D427" t="s">
        <v>1088</v>
      </c>
      <c r="E427" t="s">
        <v>282</v>
      </c>
      <c r="F427">
        <v>586428</v>
      </c>
      <c r="G427">
        <v>10089148</v>
      </c>
      <c r="H427" t="s">
        <v>282</v>
      </c>
      <c r="J427">
        <v>53961935</v>
      </c>
      <c r="K427">
        <v>1101</v>
      </c>
      <c r="L427">
        <v>1702</v>
      </c>
      <c r="M427">
        <v>1301</v>
      </c>
      <c r="N427">
        <v>52069145</v>
      </c>
      <c r="O427">
        <v>45128.418227662034</v>
      </c>
      <c r="P427">
        <v>15</v>
      </c>
      <c r="Q427">
        <v>1</v>
      </c>
      <c r="R427">
        <v>15</v>
      </c>
      <c r="S427">
        <v>45189.372612118059</v>
      </c>
      <c r="T427">
        <v>5502</v>
      </c>
      <c r="U427" t="s">
        <v>1217</v>
      </c>
      <c r="V427" t="s">
        <v>1155</v>
      </c>
      <c r="W427" t="s">
        <v>1031</v>
      </c>
      <c r="X427" t="s">
        <v>1031</v>
      </c>
      <c r="AD427">
        <v>830515</v>
      </c>
      <c r="AE427" t="s">
        <v>1287</v>
      </c>
      <c r="AF427">
        <v>45189.372611770836</v>
      </c>
      <c r="AI427">
        <v>62</v>
      </c>
      <c r="AJ427">
        <v>62</v>
      </c>
      <c r="AN427">
        <v>45170</v>
      </c>
      <c r="AO427">
        <v>45199</v>
      </c>
      <c r="AP427" t="s">
        <v>1101</v>
      </c>
    </row>
    <row r="428" spans="1:42" x14ac:dyDescent="0.25">
      <c r="A428">
        <v>2023</v>
      </c>
      <c r="B428">
        <v>9</v>
      </c>
      <c r="C428">
        <v>17</v>
      </c>
      <c r="D428" t="s">
        <v>1088</v>
      </c>
      <c r="E428" t="s">
        <v>282</v>
      </c>
      <c r="F428">
        <v>607393</v>
      </c>
      <c r="G428">
        <v>10090054</v>
      </c>
      <c r="H428" t="s">
        <v>282</v>
      </c>
      <c r="J428">
        <v>53961936</v>
      </c>
      <c r="K428">
        <v>1101</v>
      </c>
      <c r="L428">
        <v>1702</v>
      </c>
      <c r="M428">
        <v>1301</v>
      </c>
      <c r="N428">
        <v>52079134</v>
      </c>
      <c r="O428">
        <v>45128.446636377317</v>
      </c>
      <c r="P428">
        <v>109.5</v>
      </c>
      <c r="Q428">
        <v>1</v>
      </c>
      <c r="R428">
        <v>109.5</v>
      </c>
      <c r="S428">
        <v>45189.372612118059</v>
      </c>
      <c r="T428">
        <v>5502</v>
      </c>
      <c r="U428" t="s">
        <v>1217</v>
      </c>
      <c r="V428" t="s">
        <v>1155</v>
      </c>
      <c r="W428" t="s">
        <v>1031</v>
      </c>
      <c r="X428" t="s">
        <v>1031</v>
      </c>
      <c r="AD428">
        <v>830515</v>
      </c>
      <c r="AE428" t="s">
        <v>1287</v>
      </c>
      <c r="AF428">
        <v>45189.372611770836</v>
      </c>
      <c r="AI428">
        <v>62</v>
      </c>
      <c r="AJ428">
        <v>62</v>
      </c>
      <c r="AN428">
        <v>45170</v>
      </c>
      <c r="AO428">
        <v>45199</v>
      </c>
      <c r="AP428" t="s">
        <v>1101</v>
      </c>
    </row>
    <row r="429" spans="1:42" x14ac:dyDescent="0.25">
      <c r="A429">
        <v>2023</v>
      </c>
      <c r="B429">
        <v>9</v>
      </c>
      <c r="C429">
        <v>17</v>
      </c>
      <c r="D429" t="s">
        <v>1088</v>
      </c>
      <c r="E429" t="s">
        <v>282</v>
      </c>
      <c r="F429">
        <v>607393</v>
      </c>
      <c r="G429">
        <v>10090054</v>
      </c>
      <c r="H429" t="s">
        <v>282</v>
      </c>
      <c r="J429">
        <v>53961937</v>
      </c>
      <c r="K429">
        <v>1101</v>
      </c>
      <c r="L429">
        <v>1702</v>
      </c>
      <c r="M429">
        <v>1301</v>
      </c>
      <c r="N429">
        <v>52079142</v>
      </c>
      <c r="O429">
        <v>45128.446791898146</v>
      </c>
      <c r="P429">
        <v>109.5</v>
      </c>
      <c r="Q429">
        <v>1</v>
      </c>
      <c r="R429">
        <v>109.5</v>
      </c>
      <c r="S429">
        <v>45189.372612118059</v>
      </c>
      <c r="T429">
        <v>5502</v>
      </c>
      <c r="U429" t="s">
        <v>1217</v>
      </c>
      <c r="V429" t="s">
        <v>1155</v>
      </c>
      <c r="W429" t="s">
        <v>1031</v>
      </c>
      <c r="X429" t="s">
        <v>1031</v>
      </c>
      <c r="AD429">
        <v>830515</v>
      </c>
      <c r="AE429" t="s">
        <v>1287</v>
      </c>
      <c r="AF429">
        <v>45189.372611770836</v>
      </c>
      <c r="AI429">
        <v>62</v>
      </c>
      <c r="AJ429">
        <v>62</v>
      </c>
      <c r="AN429">
        <v>45170</v>
      </c>
      <c r="AO429">
        <v>45199</v>
      </c>
      <c r="AP429" t="s">
        <v>1101</v>
      </c>
    </row>
    <row r="430" spans="1:42" x14ac:dyDescent="0.25">
      <c r="A430">
        <v>2023</v>
      </c>
      <c r="B430">
        <v>9</v>
      </c>
      <c r="C430">
        <v>17</v>
      </c>
      <c r="D430" t="s">
        <v>1088</v>
      </c>
      <c r="E430" t="s">
        <v>282</v>
      </c>
      <c r="F430">
        <v>607393</v>
      </c>
      <c r="G430">
        <v>10090054</v>
      </c>
      <c r="H430" t="s">
        <v>282</v>
      </c>
      <c r="J430">
        <v>53961938</v>
      </c>
      <c r="K430">
        <v>1101</v>
      </c>
      <c r="L430">
        <v>1702</v>
      </c>
      <c r="M430">
        <v>1301</v>
      </c>
      <c r="N430">
        <v>52079144</v>
      </c>
      <c r="O430">
        <v>45128.446875844907</v>
      </c>
      <c r="P430">
        <v>15</v>
      </c>
      <c r="Q430">
        <v>1</v>
      </c>
      <c r="R430">
        <v>15</v>
      </c>
      <c r="S430">
        <v>45189.372612118059</v>
      </c>
      <c r="T430">
        <v>5502</v>
      </c>
      <c r="U430" t="s">
        <v>1217</v>
      </c>
      <c r="V430" t="s">
        <v>1155</v>
      </c>
      <c r="W430" t="s">
        <v>1031</v>
      </c>
      <c r="X430" t="s">
        <v>1031</v>
      </c>
      <c r="AD430">
        <v>830515</v>
      </c>
      <c r="AE430" t="s">
        <v>1287</v>
      </c>
      <c r="AF430">
        <v>45189.372611770836</v>
      </c>
      <c r="AI430">
        <v>62</v>
      </c>
      <c r="AJ430">
        <v>62</v>
      </c>
      <c r="AN430">
        <v>45170</v>
      </c>
      <c r="AO430">
        <v>45199</v>
      </c>
      <c r="AP430" t="s">
        <v>1101</v>
      </c>
    </row>
    <row r="431" spans="1:42" x14ac:dyDescent="0.25">
      <c r="A431">
        <v>2023</v>
      </c>
      <c r="B431">
        <v>9</v>
      </c>
      <c r="C431">
        <v>17</v>
      </c>
      <c r="D431" t="s">
        <v>1088</v>
      </c>
      <c r="E431" t="s">
        <v>282</v>
      </c>
      <c r="F431">
        <v>537000</v>
      </c>
      <c r="G431">
        <v>10078913</v>
      </c>
      <c r="H431" t="s">
        <v>282</v>
      </c>
      <c r="J431">
        <v>53961939</v>
      </c>
      <c r="K431">
        <v>1101</v>
      </c>
      <c r="L431">
        <v>1702</v>
      </c>
      <c r="M431">
        <v>1301</v>
      </c>
      <c r="N431">
        <v>52016891</v>
      </c>
      <c r="O431">
        <v>45126.665209571758</v>
      </c>
      <c r="P431">
        <v>109.5</v>
      </c>
      <c r="Q431">
        <v>1</v>
      </c>
      <c r="R431">
        <v>109.5</v>
      </c>
      <c r="S431">
        <v>45189.372612118059</v>
      </c>
      <c r="T431">
        <v>5502</v>
      </c>
      <c r="U431" t="s">
        <v>1217</v>
      </c>
      <c r="V431" t="s">
        <v>1155</v>
      </c>
      <c r="W431" t="s">
        <v>1031</v>
      </c>
      <c r="X431" t="s">
        <v>1031</v>
      </c>
      <c r="AD431">
        <v>830515</v>
      </c>
      <c r="AE431" t="s">
        <v>1287</v>
      </c>
      <c r="AF431">
        <v>45189.372611770836</v>
      </c>
      <c r="AI431">
        <v>62</v>
      </c>
      <c r="AJ431">
        <v>62</v>
      </c>
      <c r="AN431">
        <v>45170</v>
      </c>
      <c r="AO431">
        <v>45199</v>
      </c>
      <c r="AP431" t="s">
        <v>1101</v>
      </c>
    </row>
    <row r="432" spans="1:42" x14ac:dyDescent="0.25">
      <c r="A432">
        <v>2023</v>
      </c>
      <c r="B432">
        <v>9</v>
      </c>
      <c r="C432">
        <v>17</v>
      </c>
      <c r="D432" t="s">
        <v>1088</v>
      </c>
      <c r="E432" t="s">
        <v>282</v>
      </c>
      <c r="F432">
        <v>537000</v>
      </c>
      <c r="G432">
        <v>10078913</v>
      </c>
      <c r="H432" t="s">
        <v>282</v>
      </c>
      <c r="J432">
        <v>53961940</v>
      </c>
      <c r="K432">
        <v>1101</v>
      </c>
      <c r="L432">
        <v>1702</v>
      </c>
      <c r="M432">
        <v>1301</v>
      </c>
      <c r="N432">
        <v>52016894</v>
      </c>
      <c r="O432">
        <v>45126.665328784722</v>
      </c>
      <c r="P432">
        <v>109.5</v>
      </c>
      <c r="Q432">
        <v>1</v>
      </c>
      <c r="R432">
        <v>109.5</v>
      </c>
      <c r="S432">
        <v>45189.372612118059</v>
      </c>
      <c r="T432">
        <v>5502</v>
      </c>
      <c r="U432" t="s">
        <v>1217</v>
      </c>
      <c r="V432" t="s">
        <v>1155</v>
      </c>
      <c r="W432" t="s">
        <v>1031</v>
      </c>
      <c r="X432" t="s">
        <v>1031</v>
      </c>
      <c r="AD432">
        <v>830515</v>
      </c>
      <c r="AE432" t="s">
        <v>1287</v>
      </c>
      <c r="AF432">
        <v>45189.372611770836</v>
      </c>
      <c r="AI432">
        <v>62</v>
      </c>
      <c r="AJ432">
        <v>62</v>
      </c>
      <c r="AN432">
        <v>45170</v>
      </c>
      <c r="AO432">
        <v>45199</v>
      </c>
      <c r="AP432" t="s">
        <v>1101</v>
      </c>
    </row>
    <row r="433" spans="1:42" x14ac:dyDescent="0.25">
      <c r="A433">
        <v>2023</v>
      </c>
      <c r="B433">
        <v>9</v>
      </c>
      <c r="C433">
        <v>17</v>
      </c>
      <c r="D433" t="s">
        <v>1088</v>
      </c>
      <c r="E433" t="s">
        <v>282</v>
      </c>
      <c r="F433">
        <v>537000</v>
      </c>
      <c r="G433">
        <v>10078913</v>
      </c>
      <c r="H433" t="s">
        <v>282</v>
      </c>
      <c r="J433">
        <v>53961941</v>
      </c>
      <c r="K433">
        <v>1101</v>
      </c>
      <c r="L433">
        <v>1702</v>
      </c>
      <c r="M433">
        <v>1301</v>
      </c>
      <c r="N433">
        <v>52016902</v>
      </c>
      <c r="O433">
        <v>45126.665419756944</v>
      </c>
      <c r="P433">
        <v>15</v>
      </c>
      <c r="Q433">
        <v>1</v>
      </c>
      <c r="R433">
        <v>15</v>
      </c>
      <c r="S433">
        <v>45189.372612118059</v>
      </c>
      <c r="T433">
        <v>5502</v>
      </c>
      <c r="U433" t="s">
        <v>1217</v>
      </c>
      <c r="V433" t="s">
        <v>1155</v>
      </c>
      <c r="W433" t="s">
        <v>1031</v>
      </c>
      <c r="X433" t="s">
        <v>1031</v>
      </c>
      <c r="AD433">
        <v>830515</v>
      </c>
      <c r="AE433" t="s">
        <v>1287</v>
      </c>
      <c r="AF433">
        <v>45189.372611770836</v>
      </c>
      <c r="AI433">
        <v>62</v>
      </c>
      <c r="AJ433">
        <v>62</v>
      </c>
      <c r="AN433">
        <v>45170</v>
      </c>
      <c r="AO433">
        <v>45199</v>
      </c>
      <c r="AP433" t="s">
        <v>1101</v>
      </c>
    </row>
    <row r="434" spans="1:42" x14ac:dyDescent="0.25">
      <c r="A434">
        <v>2023</v>
      </c>
      <c r="B434">
        <v>9</v>
      </c>
      <c r="C434">
        <v>17</v>
      </c>
      <c r="D434" t="s">
        <v>1088</v>
      </c>
      <c r="E434" t="s">
        <v>282</v>
      </c>
      <c r="F434">
        <v>611117</v>
      </c>
      <c r="G434">
        <v>10158574</v>
      </c>
      <c r="H434" t="s">
        <v>282</v>
      </c>
      <c r="J434">
        <v>53977158</v>
      </c>
      <c r="K434">
        <v>1104</v>
      </c>
      <c r="L434">
        <v>1702</v>
      </c>
      <c r="M434">
        <v>1304</v>
      </c>
      <c r="N434">
        <v>52493236</v>
      </c>
      <c r="O434">
        <v>45141.594032488429</v>
      </c>
      <c r="P434">
        <v>216</v>
      </c>
      <c r="Q434">
        <v>1</v>
      </c>
      <c r="R434">
        <v>216</v>
      </c>
      <c r="S434">
        <v>45189.601434722223</v>
      </c>
      <c r="T434">
        <v>5509</v>
      </c>
      <c r="U434" t="s">
        <v>1152</v>
      </c>
      <c r="V434" t="s">
        <v>1153</v>
      </c>
      <c r="W434" t="s">
        <v>2</v>
      </c>
      <c r="AI434">
        <v>62</v>
      </c>
      <c r="AJ434">
        <v>62</v>
      </c>
      <c r="AN434">
        <v>45170</v>
      </c>
      <c r="AO434">
        <v>45199</v>
      </c>
      <c r="AP434" t="s">
        <v>1101</v>
      </c>
    </row>
    <row r="435" spans="1:42" x14ac:dyDescent="0.25">
      <c r="A435">
        <v>2023</v>
      </c>
      <c r="B435">
        <v>9</v>
      </c>
      <c r="C435">
        <v>17</v>
      </c>
      <c r="D435" t="s">
        <v>1088</v>
      </c>
      <c r="E435" t="s">
        <v>282</v>
      </c>
      <c r="F435">
        <v>613249</v>
      </c>
      <c r="G435">
        <v>10204016</v>
      </c>
      <c r="H435" t="s">
        <v>282</v>
      </c>
      <c r="J435">
        <v>54162766</v>
      </c>
      <c r="K435">
        <v>1102</v>
      </c>
      <c r="L435">
        <v>1702</v>
      </c>
      <c r="M435">
        <v>1304</v>
      </c>
      <c r="N435">
        <v>52933277</v>
      </c>
      <c r="O435">
        <v>45155.695581562497</v>
      </c>
      <c r="P435">
        <v>33.090000000000003</v>
      </c>
      <c r="Q435">
        <v>1</v>
      </c>
      <c r="R435">
        <v>33.090000000000003</v>
      </c>
      <c r="S435">
        <v>45196.339875231482</v>
      </c>
      <c r="T435">
        <v>5502</v>
      </c>
      <c r="U435" t="s">
        <v>103</v>
      </c>
      <c r="V435" t="s">
        <v>1163</v>
      </c>
      <c r="W435" t="s">
        <v>2</v>
      </c>
      <c r="X435" t="s">
        <v>1091</v>
      </c>
      <c r="AD435">
        <v>833256</v>
      </c>
      <c r="AE435" t="s">
        <v>1289</v>
      </c>
      <c r="AF435">
        <v>45196.339874965277</v>
      </c>
      <c r="AI435">
        <v>62</v>
      </c>
      <c r="AJ435">
        <v>62</v>
      </c>
      <c r="AN435">
        <v>45170</v>
      </c>
      <c r="AO435">
        <v>45199</v>
      </c>
      <c r="AP435" t="s">
        <v>1101</v>
      </c>
    </row>
    <row r="436" spans="1:42" x14ac:dyDescent="0.25">
      <c r="A436">
        <v>2023</v>
      </c>
      <c r="B436">
        <v>9</v>
      </c>
      <c r="C436">
        <v>17</v>
      </c>
      <c r="D436" t="s">
        <v>1088</v>
      </c>
      <c r="E436" t="s">
        <v>282</v>
      </c>
      <c r="F436">
        <v>613249</v>
      </c>
      <c r="G436">
        <v>10204016</v>
      </c>
      <c r="H436" t="s">
        <v>282</v>
      </c>
      <c r="J436">
        <v>54162767</v>
      </c>
      <c r="K436">
        <v>1102</v>
      </c>
      <c r="L436">
        <v>1702</v>
      </c>
      <c r="M436">
        <v>1304</v>
      </c>
      <c r="N436">
        <v>52933278</v>
      </c>
      <c r="O436">
        <v>45155.695690474538</v>
      </c>
      <c r="P436">
        <v>33.090000000000003</v>
      </c>
      <c r="Q436">
        <v>1</v>
      </c>
      <c r="R436">
        <v>33.090000000000003</v>
      </c>
      <c r="S436">
        <v>45196.339875231482</v>
      </c>
      <c r="T436">
        <v>5502</v>
      </c>
      <c r="U436" t="s">
        <v>103</v>
      </c>
      <c r="V436" t="s">
        <v>1163</v>
      </c>
      <c r="W436" t="s">
        <v>2</v>
      </c>
      <c r="X436" t="s">
        <v>1091</v>
      </c>
      <c r="AD436">
        <v>833256</v>
      </c>
      <c r="AE436" t="s">
        <v>1289</v>
      </c>
      <c r="AF436">
        <v>45196.339874965277</v>
      </c>
      <c r="AI436">
        <v>62</v>
      </c>
      <c r="AJ436">
        <v>62</v>
      </c>
      <c r="AN436">
        <v>45170</v>
      </c>
      <c r="AO436">
        <v>45199</v>
      </c>
      <c r="AP436" t="s">
        <v>1101</v>
      </c>
    </row>
    <row r="437" spans="1:42" x14ac:dyDescent="0.25">
      <c r="A437">
        <v>2023</v>
      </c>
      <c r="B437">
        <v>9</v>
      </c>
      <c r="C437">
        <v>17</v>
      </c>
      <c r="D437" t="s">
        <v>1088</v>
      </c>
      <c r="E437" t="s">
        <v>282</v>
      </c>
      <c r="F437">
        <v>618272</v>
      </c>
      <c r="G437">
        <v>10301540</v>
      </c>
      <c r="H437" t="s">
        <v>282</v>
      </c>
      <c r="J437">
        <v>53432756</v>
      </c>
      <c r="K437">
        <v>1100</v>
      </c>
      <c r="L437">
        <v>1700</v>
      </c>
      <c r="M437">
        <v>1301</v>
      </c>
      <c r="P437">
        <v>216</v>
      </c>
      <c r="Q437">
        <v>1</v>
      </c>
      <c r="R437">
        <v>216</v>
      </c>
      <c r="S437">
        <v>45170.518326469908</v>
      </c>
      <c r="T437">
        <v>5500</v>
      </c>
      <c r="U437" t="s">
        <v>1151</v>
      </c>
      <c r="V437" t="s">
        <v>99</v>
      </c>
      <c r="W437" t="s">
        <v>1179</v>
      </c>
      <c r="X437" t="s">
        <v>1179</v>
      </c>
      <c r="AA437">
        <v>57802</v>
      </c>
      <c r="AB437" t="s">
        <v>1223</v>
      </c>
      <c r="AC437">
        <v>45178.083578819445</v>
      </c>
      <c r="AI437">
        <v>62</v>
      </c>
      <c r="AJ437">
        <v>62</v>
      </c>
      <c r="AN437">
        <v>45170</v>
      </c>
      <c r="AO437">
        <v>45199</v>
      </c>
      <c r="AP437" t="s">
        <v>1101</v>
      </c>
    </row>
    <row r="438" spans="1:42" x14ac:dyDescent="0.25">
      <c r="A438">
        <v>2023</v>
      </c>
      <c r="B438">
        <v>9</v>
      </c>
      <c r="C438">
        <v>17</v>
      </c>
      <c r="D438" t="s">
        <v>1088</v>
      </c>
      <c r="E438" t="s">
        <v>282</v>
      </c>
      <c r="F438">
        <v>618272</v>
      </c>
      <c r="G438">
        <v>10301540</v>
      </c>
      <c r="H438" t="s">
        <v>282</v>
      </c>
      <c r="J438">
        <v>53432766</v>
      </c>
      <c r="K438">
        <v>1100</v>
      </c>
      <c r="L438">
        <v>1700</v>
      </c>
      <c r="M438">
        <v>1301</v>
      </c>
      <c r="P438">
        <v>216</v>
      </c>
      <c r="Q438">
        <v>1</v>
      </c>
      <c r="R438">
        <v>216</v>
      </c>
      <c r="S438">
        <v>45170.518438043982</v>
      </c>
      <c r="T438">
        <v>5500</v>
      </c>
      <c r="U438" t="s">
        <v>1151</v>
      </c>
      <c r="V438" t="s">
        <v>99</v>
      </c>
      <c r="W438" t="s">
        <v>1179</v>
      </c>
      <c r="X438" t="s">
        <v>1179</v>
      </c>
      <c r="AA438">
        <v>57802</v>
      </c>
      <c r="AB438" t="s">
        <v>1223</v>
      </c>
      <c r="AC438">
        <v>45178.083578819445</v>
      </c>
      <c r="AI438">
        <v>62</v>
      </c>
      <c r="AJ438">
        <v>62</v>
      </c>
      <c r="AN438">
        <v>45170</v>
      </c>
      <c r="AO438">
        <v>45199</v>
      </c>
      <c r="AP438" t="s">
        <v>1101</v>
      </c>
    </row>
    <row r="439" spans="1:42" x14ac:dyDescent="0.25">
      <c r="A439">
        <v>2023</v>
      </c>
      <c r="B439">
        <v>9</v>
      </c>
      <c r="C439">
        <v>17</v>
      </c>
      <c r="D439" t="s">
        <v>1088</v>
      </c>
      <c r="E439" t="s">
        <v>282</v>
      </c>
      <c r="F439">
        <v>613964</v>
      </c>
      <c r="G439">
        <v>10218084</v>
      </c>
      <c r="H439" t="s">
        <v>282</v>
      </c>
      <c r="J439">
        <v>53415482</v>
      </c>
      <c r="K439">
        <v>1101</v>
      </c>
      <c r="L439">
        <v>1702</v>
      </c>
      <c r="M439">
        <v>1301</v>
      </c>
      <c r="N439">
        <v>52933651</v>
      </c>
      <c r="O439">
        <v>45155.713346377313</v>
      </c>
      <c r="P439">
        <v>165.43</v>
      </c>
      <c r="Q439">
        <v>1</v>
      </c>
      <c r="R439">
        <v>165.43</v>
      </c>
      <c r="S439">
        <v>45170.342364155091</v>
      </c>
      <c r="T439">
        <v>5502</v>
      </c>
      <c r="U439" t="s">
        <v>1217</v>
      </c>
      <c r="V439" t="s">
        <v>1155</v>
      </c>
      <c r="W439" t="s">
        <v>1091</v>
      </c>
      <c r="X439" t="s">
        <v>1091</v>
      </c>
      <c r="AD439">
        <v>823468</v>
      </c>
      <c r="AE439" t="s">
        <v>1274</v>
      </c>
      <c r="AF439">
        <v>45170.34236396991</v>
      </c>
      <c r="AI439">
        <v>62</v>
      </c>
      <c r="AJ439">
        <v>62</v>
      </c>
      <c r="AN439">
        <v>45170</v>
      </c>
      <c r="AO439">
        <v>45199</v>
      </c>
      <c r="AP439" t="s">
        <v>1101</v>
      </c>
    </row>
    <row r="440" spans="1:42" x14ac:dyDescent="0.25">
      <c r="A440">
        <v>2023</v>
      </c>
      <c r="B440">
        <v>9</v>
      </c>
      <c r="C440">
        <v>17</v>
      </c>
      <c r="D440" t="s">
        <v>1088</v>
      </c>
      <c r="E440" t="s">
        <v>282</v>
      </c>
      <c r="F440">
        <v>613964</v>
      </c>
      <c r="G440">
        <v>10218084</v>
      </c>
      <c r="H440" t="s">
        <v>282</v>
      </c>
      <c r="J440">
        <v>53415483</v>
      </c>
      <c r="K440">
        <v>1103</v>
      </c>
      <c r="L440">
        <v>1702</v>
      </c>
      <c r="M440">
        <v>1301</v>
      </c>
      <c r="N440">
        <v>52933651</v>
      </c>
      <c r="O440">
        <v>45155.713346377313</v>
      </c>
      <c r="P440">
        <v>50.57</v>
      </c>
      <c r="Q440">
        <v>1</v>
      </c>
      <c r="R440">
        <v>50.57</v>
      </c>
      <c r="S440">
        <v>45170.342364155091</v>
      </c>
      <c r="T440">
        <v>5503</v>
      </c>
      <c r="U440" t="s">
        <v>1218</v>
      </c>
      <c r="V440" t="s">
        <v>1157</v>
      </c>
      <c r="W440" t="s">
        <v>1091</v>
      </c>
      <c r="X440" t="s">
        <v>1091</v>
      </c>
      <c r="AD440">
        <v>823468</v>
      </c>
      <c r="AE440" t="s">
        <v>1274</v>
      </c>
      <c r="AF440">
        <v>45170.34236396991</v>
      </c>
      <c r="AI440">
        <v>62</v>
      </c>
      <c r="AJ440">
        <v>62</v>
      </c>
      <c r="AK440" t="s">
        <v>1219</v>
      </c>
      <c r="AN440">
        <v>45170</v>
      </c>
      <c r="AO440">
        <v>45199</v>
      </c>
      <c r="AP440" t="s">
        <v>1101</v>
      </c>
    </row>
    <row r="441" spans="1:42" x14ac:dyDescent="0.25">
      <c r="A441">
        <v>2023</v>
      </c>
      <c r="B441">
        <v>9</v>
      </c>
      <c r="C441">
        <v>17</v>
      </c>
      <c r="D441" t="s">
        <v>1088</v>
      </c>
      <c r="E441" t="s">
        <v>282</v>
      </c>
      <c r="F441">
        <v>613964</v>
      </c>
      <c r="G441">
        <v>10218084</v>
      </c>
      <c r="H441" t="s">
        <v>282</v>
      </c>
      <c r="J441">
        <v>53415484</v>
      </c>
      <c r="K441">
        <v>1101</v>
      </c>
      <c r="L441">
        <v>1702</v>
      </c>
      <c r="M441">
        <v>1301</v>
      </c>
      <c r="N441">
        <v>52933654</v>
      </c>
      <c r="O441">
        <v>45155.713451585645</v>
      </c>
      <c r="P441">
        <v>165.43</v>
      </c>
      <c r="Q441">
        <v>1</v>
      </c>
      <c r="R441">
        <v>165.43</v>
      </c>
      <c r="S441">
        <v>45170.342364155091</v>
      </c>
      <c r="T441">
        <v>5502</v>
      </c>
      <c r="U441" t="s">
        <v>1217</v>
      </c>
      <c r="V441" t="s">
        <v>1155</v>
      </c>
      <c r="W441" t="s">
        <v>1091</v>
      </c>
      <c r="X441" t="s">
        <v>1091</v>
      </c>
      <c r="AD441">
        <v>823468</v>
      </c>
      <c r="AE441" t="s">
        <v>1274</v>
      </c>
      <c r="AF441">
        <v>45170.34236396991</v>
      </c>
      <c r="AI441">
        <v>62</v>
      </c>
      <c r="AJ441">
        <v>62</v>
      </c>
      <c r="AN441">
        <v>45170</v>
      </c>
      <c r="AO441">
        <v>45199</v>
      </c>
      <c r="AP441" t="s">
        <v>1101</v>
      </c>
    </row>
    <row r="442" spans="1:42" x14ac:dyDescent="0.25">
      <c r="A442">
        <v>2023</v>
      </c>
      <c r="B442">
        <v>9</v>
      </c>
      <c r="C442">
        <v>17</v>
      </c>
      <c r="D442" t="s">
        <v>1088</v>
      </c>
      <c r="E442" t="s">
        <v>282</v>
      </c>
      <c r="F442">
        <v>613964</v>
      </c>
      <c r="G442">
        <v>10218084</v>
      </c>
      <c r="H442" t="s">
        <v>282</v>
      </c>
      <c r="J442">
        <v>53415485</v>
      </c>
      <c r="K442">
        <v>1103</v>
      </c>
      <c r="L442">
        <v>1702</v>
      </c>
      <c r="M442">
        <v>1301</v>
      </c>
      <c r="N442">
        <v>52933654</v>
      </c>
      <c r="O442">
        <v>45155.713451585645</v>
      </c>
      <c r="P442">
        <v>50.57</v>
      </c>
      <c r="Q442">
        <v>1</v>
      </c>
      <c r="R442">
        <v>50.57</v>
      </c>
      <c r="S442">
        <v>45170.342364155091</v>
      </c>
      <c r="T442">
        <v>5503</v>
      </c>
      <c r="U442" t="s">
        <v>1218</v>
      </c>
      <c r="V442" t="s">
        <v>1157</v>
      </c>
      <c r="W442" t="s">
        <v>1091</v>
      </c>
      <c r="X442" t="s">
        <v>1091</v>
      </c>
      <c r="AD442">
        <v>823468</v>
      </c>
      <c r="AE442" t="s">
        <v>1274</v>
      </c>
      <c r="AF442">
        <v>45170.34236396991</v>
      </c>
      <c r="AI442">
        <v>62</v>
      </c>
      <c r="AJ442">
        <v>62</v>
      </c>
      <c r="AK442" t="s">
        <v>1219</v>
      </c>
      <c r="AN442">
        <v>45170</v>
      </c>
      <c r="AO442">
        <v>45199</v>
      </c>
      <c r="AP442" t="s">
        <v>1101</v>
      </c>
    </row>
    <row r="443" spans="1:42" x14ac:dyDescent="0.25">
      <c r="A443">
        <v>2023</v>
      </c>
      <c r="B443">
        <v>9</v>
      </c>
      <c r="C443">
        <v>17</v>
      </c>
      <c r="D443" t="s">
        <v>1088</v>
      </c>
      <c r="E443" t="s">
        <v>282</v>
      </c>
      <c r="F443">
        <v>213869</v>
      </c>
      <c r="G443">
        <v>10291589</v>
      </c>
      <c r="H443" t="s">
        <v>282</v>
      </c>
      <c r="J443">
        <v>53465247</v>
      </c>
      <c r="K443">
        <v>1100</v>
      </c>
      <c r="L443">
        <v>1700</v>
      </c>
      <c r="M443">
        <v>1304</v>
      </c>
      <c r="P443">
        <v>216</v>
      </c>
      <c r="Q443">
        <v>1</v>
      </c>
      <c r="R443">
        <v>216</v>
      </c>
      <c r="S443">
        <v>45174.465087002318</v>
      </c>
      <c r="T443">
        <v>5500</v>
      </c>
      <c r="U443" t="s">
        <v>1154</v>
      </c>
      <c r="V443" t="s">
        <v>99</v>
      </c>
      <c r="W443" t="s">
        <v>2</v>
      </c>
      <c r="AI443">
        <v>62</v>
      </c>
      <c r="AJ443">
        <v>62</v>
      </c>
      <c r="AN443">
        <v>45170</v>
      </c>
      <c r="AO443">
        <v>45199</v>
      </c>
      <c r="AP443" t="s">
        <v>1101</v>
      </c>
    </row>
    <row r="444" spans="1:42" x14ac:dyDescent="0.25">
      <c r="A444">
        <v>2023</v>
      </c>
      <c r="B444">
        <v>9</v>
      </c>
      <c r="C444">
        <v>17</v>
      </c>
      <c r="D444" t="s">
        <v>1088</v>
      </c>
      <c r="E444" t="s">
        <v>282</v>
      </c>
      <c r="F444">
        <v>213869</v>
      </c>
      <c r="G444">
        <v>10291589</v>
      </c>
      <c r="H444" t="s">
        <v>282</v>
      </c>
      <c r="J444">
        <v>53465248</v>
      </c>
      <c r="K444">
        <v>1100</v>
      </c>
      <c r="L444">
        <v>1700</v>
      </c>
      <c r="M444">
        <v>1304</v>
      </c>
      <c r="P444">
        <v>216</v>
      </c>
      <c r="Q444">
        <v>1</v>
      </c>
      <c r="R444">
        <v>216</v>
      </c>
      <c r="S444">
        <v>45174.465207604168</v>
      </c>
      <c r="T444">
        <v>5500</v>
      </c>
      <c r="U444" t="s">
        <v>1154</v>
      </c>
      <c r="V444" t="s">
        <v>99</v>
      </c>
      <c r="W444" t="s">
        <v>2</v>
      </c>
      <c r="AI444">
        <v>62</v>
      </c>
      <c r="AJ444">
        <v>62</v>
      </c>
      <c r="AN444">
        <v>45170</v>
      </c>
      <c r="AO444">
        <v>45199</v>
      </c>
      <c r="AP444" t="s">
        <v>1101</v>
      </c>
    </row>
    <row r="445" spans="1:42" x14ac:dyDescent="0.25">
      <c r="A445">
        <v>2023</v>
      </c>
      <c r="B445">
        <v>9</v>
      </c>
      <c r="C445">
        <v>17</v>
      </c>
      <c r="D445" t="s">
        <v>1088</v>
      </c>
      <c r="E445" t="s">
        <v>282</v>
      </c>
      <c r="F445">
        <v>213869</v>
      </c>
      <c r="G445">
        <v>10291589</v>
      </c>
      <c r="H445" t="s">
        <v>282</v>
      </c>
      <c r="J445">
        <v>53465256</v>
      </c>
      <c r="K445">
        <v>1100</v>
      </c>
      <c r="L445">
        <v>1700</v>
      </c>
      <c r="M445">
        <v>1304</v>
      </c>
      <c r="P445">
        <v>18</v>
      </c>
      <c r="Q445">
        <v>1</v>
      </c>
      <c r="R445">
        <v>18</v>
      </c>
      <c r="S445">
        <v>45174.465564814818</v>
      </c>
      <c r="T445">
        <v>5500</v>
      </c>
      <c r="U445" t="s">
        <v>1154</v>
      </c>
      <c r="V445" t="s">
        <v>99</v>
      </c>
      <c r="W445" t="s">
        <v>2</v>
      </c>
      <c r="AI445">
        <v>62</v>
      </c>
      <c r="AJ445">
        <v>62</v>
      </c>
      <c r="AN445">
        <v>45170</v>
      </c>
      <c r="AO445">
        <v>45199</v>
      </c>
      <c r="AP445" t="s">
        <v>1101</v>
      </c>
    </row>
    <row r="446" spans="1:42" x14ac:dyDescent="0.25">
      <c r="A446">
        <v>2023</v>
      </c>
      <c r="B446">
        <v>9</v>
      </c>
      <c r="C446">
        <v>17</v>
      </c>
      <c r="D446" t="s">
        <v>1088</v>
      </c>
      <c r="E446" t="s">
        <v>282</v>
      </c>
      <c r="F446">
        <v>95780</v>
      </c>
      <c r="G446">
        <v>10315398</v>
      </c>
      <c r="H446" t="s">
        <v>282</v>
      </c>
      <c r="J446">
        <v>53471040</v>
      </c>
      <c r="K446">
        <v>1100</v>
      </c>
      <c r="L446">
        <v>1700</v>
      </c>
      <c r="M446">
        <v>1304</v>
      </c>
      <c r="P446">
        <v>216</v>
      </c>
      <c r="Q446">
        <v>1</v>
      </c>
      <c r="R446">
        <v>216</v>
      </c>
      <c r="S446">
        <v>45174.546293715277</v>
      </c>
      <c r="T446">
        <v>5500</v>
      </c>
      <c r="U446" t="s">
        <v>1154</v>
      </c>
      <c r="V446" t="s">
        <v>99</v>
      </c>
      <c r="W446" t="s">
        <v>2</v>
      </c>
      <c r="AI446">
        <v>62</v>
      </c>
      <c r="AJ446">
        <v>62</v>
      </c>
      <c r="AN446">
        <v>45170</v>
      </c>
      <c r="AO446">
        <v>45199</v>
      </c>
      <c r="AP446" t="s">
        <v>1101</v>
      </c>
    </row>
    <row r="447" spans="1:42" x14ac:dyDescent="0.25">
      <c r="A447">
        <v>2023</v>
      </c>
      <c r="B447">
        <v>9</v>
      </c>
      <c r="C447">
        <v>17</v>
      </c>
      <c r="D447" t="s">
        <v>1088</v>
      </c>
      <c r="E447" t="s">
        <v>282</v>
      </c>
      <c r="F447">
        <v>95780</v>
      </c>
      <c r="G447">
        <v>10315398</v>
      </c>
      <c r="H447" t="s">
        <v>282</v>
      </c>
      <c r="J447">
        <v>53471041</v>
      </c>
      <c r="K447">
        <v>1100</v>
      </c>
      <c r="L447">
        <v>1700</v>
      </c>
      <c r="M447">
        <v>1304</v>
      </c>
      <c r="P447">
        <v>216</v>
      </c>
      <c r="Q447">
        <v>1</v>
      </c>
      <c r="R447">
        <v>216</v>
      </c>
      <c r="S447">
        <v>45174.546416006946</v>
      </c>
      <c r="T447">
        <v>5500</v>
      </c>
      <c r="U447" t="s">
        <v>1154</v>
      </c>
      <c r="V447" t="s">
        <v>99</v>
      </c>
      <c r="W447" t="s">
        <v>2</v>
      </c>
      <c r="AI447">
        <v>62</v>
      </c>
      <c r="AJ447">
        <v>62</v>
      </c>
      <c r="AN447">
        <v>45170</v>
      </c>
      <c r="AO447">
        <v>45199</v>
      </c>
      <c r="AP447" t="s">
        <v>1101</v>
      </c>
    </row>
    <row r="448" spans="1:42" x14ac:dyDescent="0.25">
      <c r="A448">
        <v>2023</v>
      </c>
      <c r="B448">
        <v>9</v>
      </c>
      <c r="C448">
        <v>17</v>
      </c>
      <c r="D448" t="s">
        <v>1088</v>
      </c>
      <c r="E448" t="s">
        <v>282</v>
      </c>
      <c r="F448">
        <v>95780</v>
      </c>
      <c r="G448">
        <v>10315398</v>
      </c>
      <c r="H448" t="s">
        <v>282</v>
      </c>
      <c r="J448">
        <v>53471042</v>
      </c>
      <c r="K448">
        <v>1100</v>
      </c>
      <c r="L448">
        <v>1700</v>
      </c>
      <c r="M448">
        <v>1304</v>
      </c>
      <c r="P448">
        <v>18</v>
      </c>
      <c r="Q448">
        <v>1</v>
      </c>
      <c r="R448">
        <v>18</v>
      </c>
      <c r="S448">
        <v>45174.546487037034</v>
      </c>
      <c r="T448">
        <v>5500</v>
      </c>
      <c r="U448" t="s">
        <v>1154</v>
      </c>
      <c r="V448" t="s">
        <v>99</v>
      </c>
      <c r="W448" t="s">
        <v>2</v>
      </c>
      <c r="AI448">
        <v>62</v>
      </c>
      <c r="AJ448">
        <v>62</v>
      </c>
      <c r="AN448">
        <v>45170</v>
      </c>
      <c r="AO448">
        <v>45199</v>
      </c>
      <c r="AP448" t="s">
        <v>1101</v>
      </c>
    </row>
    <row r="449" spans="1:42" x14ac:dyDescent="0.25">
      <c r="A449">
        <v>2023</v>
      </c>
      <c r="B449">
        <v>9</v>
      </c>
      <c r="C449">
        <v>17</v>
      </c>
      <c r="D449" t="s">
        <v>1088</v>
      </c>
      <c r="E449" t="s">
        <v>282</v>
      </c>
      <c r="F449">
        <v>618969</v>
      </c>
      <c r="G449">
        <v>10315720</v>
      </c>
      <c r="H449" t="s">
        <v>282</v>
      </c>
      <c r="J449">
        <v>53479099</v>
      </c>
      <c r="K449">
        <v>1100</v>
      </c>
      <c r="L449">
        <v>1700</v>
      </c>
      <c r="M449">
        <v>1304</v>
      </c>
      <c r="P449">
        <v>216</v>
      </c>
      <c r="Q449">
        <v>1</v>
      </c>
      <c r="R449">
        <v>216</v>
      </c>
      <c r="S449">
        <v>45174.614760104167</v>
      </c>
      <c r="T449">
        <v>5500</v>
      </c>
      <c r="U449" t="s">
        <v>1154</v>
      </c>
      <c r="V449" t="s">
        <v>99</v>
      </c>
      <c r="W449" t="s">
        <v>2</v>
      </c>
      <c r="AI449">
        <v>62</v>
      </c>
      <c r="AJ449">
        <v>62</v>
      </c>
      <c r="AN449">
        <v>45170</v>
      </c>
      <c r="AO449">
        <v>45199</v>
      </c>
      <c r="AP449" t="s">
        <v>1101</v>
      </c>
    </row>
    <row r="450" spans="1:42" x14ac:dyDescent="0.25">
      <c r="A450">
        <v>2023</v>
      </c>
      <c r="B450">
        <v>9</v>
      </c>
      <c r="C450">
        <v>17</v>
      </c>
      <c r="D450" t="s">
        <v>1088</v>
      </c>
      <c r="E450" t="s">
        <v>282</v>
      </c>
      <c r="F450">
        <v>227610</v>
      </c>
      <c r="G450">
        <v>10325361</v>
      </c>
      <c r="H450" t="s">
        <v>282</v>
      </c>
      <c r="J450">
        <v>53487498</v>
      </c>
      <c r="K450">
        <v>1100</v>
      </c>
      <c r="L450">
        <v>1700</v>
      </c>
      <c r="M450">
        <v>1304</v>
      </c>
      <c r="P450">
        <v>150</v>
      </c>
      <c r="Q450">
        <v>1</v>
      </c>
      <c r="R450">
        <v>150</v>
      </c>
      <c r="S450">
        <v>45174.683742974536</v>
      </c>
      <c r="T450">
        <v>5500</v>
      </c>
      <c r="U450" t="s">
        <v>1154</v>
      </c>
      <c r="V450" t="s">
        <v>99</v>
      </c>
      <c r="W450" t="s">
        <v>2</v>
      </c>
      <c r="AI450">
        <v>62</v>
      </c>
      <c r="AJ450">
        <v>62</v>
      </c>
      <c r="AN450">
        <v>45170</v>
      </c>
      <c r="AO450">
        <v>45199</v>
      </c>
      <c r="AP450" t="s">
        <v>1101</v>
      </c>
    </row>
    <row r="451" spans="1:42" x14ac:dyDescent="0.25">
      <c r="A451">
        <v>2023</v>
      </c>
      <c r="B451">
        <v>9</v>
      </c>
      <c r="C451">
        <v>17</v>
      </c>
      <c r="D451" t="s">
        <v>1088</v>
      </c>
      <c r="E451" t="s">
        <v>282</v>
      </c>
      <c r="F451">
        <v>227610</v>
      </c>
      <c r="G451">
        <v>10325361</v>
      </c>
      <c r="H451" t="s">
        <v>282</v>
      </c>
      <c r="J451">
        <v>53487505</v>
      </c>
      <c r="K451">
        <v>1100</v>
      </c>
      <c r="L451">
        <v>1700</v>
      </c>
      <c r="M451">
        <v>1304</v>
      </c>
      <c r="P451">
        <v>150</v>
      </c>
      <c r="Q451">
        <v>1</v>
      </c>
      <c r="R451">
        <v>150</v>
      </c>
      <c r="S451">
        <v>45174.683865590276</v>
      </c>
      <c r="T451">
        <v>5500</v>
      </c>
      <c r="U451" t="s">
        <v>1154</v>
      </c>
      <c r="V451" t="s">
        <v>99</v>
      </c>
      <c r="W451" t="s">
        <v>2</v>
      </c>
      <c r="AI451">
        <v>62</v>
      </c>
      <c r="AJ451">
        <v>62</v>
      </c>
      <c r="AN451">
        <v>45170</v>
      </c>
      <c r="AO451">
        <v>45199</v>
      </c>
      <c r="AP451" t="s">
        <v>1101</v>
      </c>
    </row>
    <row r="452" spans="1:42" x14ac:dyDescent="0.25">
      <c r="A452">
        <v>2023</v>
      </c>
      <c r="B452">
        <v>9</v>
      </c>
      <c r="C452">
        <v>17</v>
      </c>
      <c r="D452" t="s">
        <v>1088</v>
      </c>
      <c r="E452" t="s">
        <v>282</v>
      </c>
      <c r="F452">
        <v>227610</v>
      </c>
      <c r="G452">
        <v>10325361</v>
      </c>
      <c r="H452" t="s">
        <v>282</v>
      </c>
      <c r="J452">
        <v>53487517</v>
      </c>
      <c r="K452">
        <v>1100</v>
      </c>
      <c r="L452">
        <v>1700</v>
      </c>
      <c r="M452">
        <v>1304</v>
      </c>
      <c r="P452">
        <v>15</v>
      </c>
      <c r="Q452">
        <v>1</v>
      </c>
      <c r="R452">
        <v>15</v>
      </c>
      <c r="S452">
        <v>45174.684190127315</v>
      </c>
      <c r="T452">
        <v>5500</v>
      </c>
      <c r="U452" t="s">
        <v>1154</v>
      </c>
      <c r="V452" t="s">
        <v>99</v>
      </c>
      <c r="W452" t="s">
        <v>2</v>
      </c>
      <c r="AI452">
        <v>62</v>
      </c>
      <c r="AJ452">
        <v>62</v>
      </c>
      <c r="AN452">
        <v>45170</v>
      </c>
      <c r="AO452">
        <v>45199</v>
      </c>
      <c r="AP452" t="s">
        <v>1101</v>
      </c>
    </row>
    <row r="453" spans="1:42" x14ac:dyDescent="0.25">
      <c r="A453">
        <v>2023</v>
      </c>
      <c r="B453">
        <v>9</v>
      </c>
      <c r="C453">
        <v>17</v>
      </c>
      <c r="D453" t="s">
        <v>1088</v>
      </c>
      <c r="E453" t="s">
        <v>282</v>
      </c>
      <c r="F453">
        <v>213869</v>
      </c>
      <c r="G453">
        <v>10291589</v>
      </c>
      <c r="H453" t="s">
        <v>282</v>
      </c>
      <c r="J453">
        <v>53491859</v>
      </c>
      <c r="K453">
        <v>1104</v>
      </c>
      <c r="L453">
        <v>1702</v>
      </c>
      <c r="M453">
        <v>1304</v>
      </c>
      <c r="N453">
        <v>53465247</v>
      </c>
      <c r="O453">
        <v>45174.465087002318</v>
      </c>
      <c r="P453">
        <v>216</v>
      </c>
      <c r="Q453">
        <v>1</v>
      </c>
      <c r="R453">
        <v>216</v>
      </c>
      <c r="S453">
        <v>45175.06737384259</v>
      </c>
      <c r="T453">
        <v>5509</v>
      </c>
      <c r="U453" t="s">
        <v>1152</v>
      </c>
      <c r="V453" t="s">
        <v>1153</v>
      </c>
      <c r="W453" t="s">
        <v>2</v>
      </c>
      <c r="AI453">
        <v>62</v>
      </c>
      <c r="AJ453">
        <v>62</v>
      </c>
      <c r="AN453">
        <v>45170</v>
      </c>
      <c r="AO453">
        <v>45199</v>
      </c>
      <c r="AP453" t="s">
        <v>1101</v>
      </c>
    </row>
    <row r="454" spans="1:42" x14ac:dyDescent="0.25">
      <c r="A454">
        <v>2023</v>
      </c>
      <c r="B454">
        <v>9</v>
      </c>
      <c r="C454">
        <v>17</v>
      </c>
      <c r="D454" t="s">
        <v>1088</v>
      </c>
      <c r="E454" t="s">
        <v>282</v>
      </c>
      <c r="F454">
        <v>213869</v>
      </c>
      <c r="G454">
        <v>10291589</v>
      </c>
      <c r="H454" t="s">
        <v>282</v>
      </c>
      <c r="J454">
        <v>53491860</v>
      </c>
      <c r="K454">
        <v>1104</v>
      </c>
      <c r="L454">
        <v>1702</v>
      </c>
      <c r="M454">
        <v>1304</v>
      </c>
      <c r="N454">
        <v>53465248</v>
      </c>
      <c r="O454">
        <v>45174.465207604168</v>
      </c>
      <c r="P454">
        <v>216</v>
      </c>
      <c r="Q454">
        <v>1</v>
      </c>
      <c r="R454">
        <v>216</v>
      </c>
      <c r="S454">
        <v>45175.06737384259</v>
      </c>
      <c r="T454">
        <v>5509</v>
      </c>
      <c r="U454" t="s">
        <v>1152</v>
      </c>
      <c r="V454" t="s">
        <v>1153</v>
      </c>
      <c r="W454" t="s">
        <v>2</v>
      </c>
      <c r="AI454">
        <v>62</v>
      </c>
      <c r="AJ454">
        <v>62</v>
      </c>
      <c r="AN454">
        <v>45170</v>
      </c>
      <c r="AO454">
        <v>45199</v>
      </c>
      <c r="AP454" t="s">
        <v>1101</v>
      </c>
    </row>
    <row r="455" spans="1:42" x14ac:dyDescent="0.25">
      <c r="A455">
        <v>2023</v>
      </c>
      <c r="B455">
        <v>9</v>
      </c>
      <c r="C455">
        <v>17</v>
      </c>
      <c r="D455" t="s">
        <v>1088</v>
      </c>
      <c r="E455" t="s">
        <v>282</v>
      </c>
      <c r="F455">
        <v>213869</v>
      </c>
      <c r="G455">
        <v>10291589</v>
      </c>
      <c r="H455" t="s">
        <v>282</v>
      </c>
      <c r="J455">
        <v>53491861</v>
      </c>
      <c r="K455">
        <v>1104</v>
      </c>
      <c r="L455">
        <v>1702</v>
      </c>
      <c r="M455">
        <v>1304</v>
      </c>
      <c r="N455">
        <v>53465256</v>
      </c>
      <c r="O455">
        <v>45174.465564814818</v>
      </c>
      <c r="P455">
        <v>18</v>
      </c>
      <c r="Q455">
        <v>1</v>
      </c>
      <c r="R455">
        <v>18</v>
      </c>
      <c r="S455">
        <v>45175.06737384259</v>
      </c>
      <c r="T455">
        <v>5509</v>
      </c>
      <c r="U455" t="s">
        <v>1152</v>
      </c>
      <c r="V455" t="s">
        <v>1153</v>
      </c>
      <c r="W455" t="s">
        <v>2</v>
      </c>
      <c r="AI455">
        <v>62</v>
      </c>
      <c r="AJ455">
        <v>62</v>
      </c>
      <c r="AN455">
        <v>45170</v>
      </c>
      <c r="AO455">
        <v>45199</v>
      </c>
      <c r="AP455" t="s">
        <v>1101</v>
      </c>
    </row>
    <row r="456" spans="1:42" x14ac:dyDescent="0.25">
      <c r="A456">
        <v>2023</v>
      </c>
      <c r="B456">
        <v>9</v>
      </c>
      <c r="C456">
        <v>17</v>
      </c>
      <c r="D456" t="s">
        <v>1088</v>
      </c>
      <c r="E456" t="s">
        <v>282</v>
      </c>
      <c r="F456">
        <v>618969</v>
      </c>
      <c r="G456">
        <v>10315720</v>
      </c>
      <c r="H456" t="s">
        <v>282</v>
      </c>
      <c r="J456">
        <v>53492130</v>
      </c>
      <c r="K456">
        <v>1104</v>
      </c>
      <c r="L456">
        <v>1702</v>
      </c>
      <c r="M456">
        <v>1304</v>
      </c>
      <c r="N456">
        <v>53478675</v>
      </c>
      <c r="O456">
        <v>45174.612400891201</v>
      </c>
      <c r="P456">
        <v>216</v>
      </c>
      <c r="Q456">
        <v>1</v>
      </c>
      <c r="R456">
        <v>216</v>
      </c>
      <c r="S456">
        <v>45175.06737384259</v>
      </c>
      <c r="T456">
        <v>5509</v>
      </c>
      <c r="U456" t="s">
        <v>1152</v>
      </c>
      <c r="V456" t="s">
        <v>1153</v>
      </c>
      <c r="W456" t="s">
        <v>2</v>
      </c>
      <c r="AI456">
        <v>62</v>
      </c>
      <c r="AJ456">
        <v>62</v>
      </c>
      <c r="AN456">
        <v>45170</v>
      </c>
      <c r="AO456">
        <v>45199</v>
      </c>
      <c r="AP456" t="s">
        <v>1101</v>
      </c>
    </row>
    <row r="457" spans="1:42" x14ac:dyDescent="0.25">
      <c r="A457">
        <v>2023</v>
      </c>
      <c r="B457">
        <v>9</v>
      </c>
      <c r="C457">
        <v>17</v>
      </c>
      <c r="D457" t="s">
        <v>1088</v>
      </c>
      <c r="E457" t="s">
        <v>282</v>
      </c>
      <c r="F457">
        <v>618969</v>
      </c>
      <c r="G457">
        <v>10315720</v>
      </c>
      <c r="H457" t="s">
        <v>282</v>
      </c>
      <c r="J457">
        <v>53492131</v>
      </c>
      <c r="K457">
        <v>1104</v>
      </c>
      <c r="L457">
        <v>1702</v>
      </c>
      <c r="M457">
        <v>1304</v>
      </c>
      <c r="N457">
        <v>53479099</v>
      </c>
      <c r="O457">
        <v>45174.614760104167</v>
      </c>
      <c r="P457">
        <v>34</v>
      </c>
      <c r="Q457">
        <v>1</v>
      </c>
      <c r="R457">
        <v>34</v>
      </c>
      <c r="S457">
        <v>45175.06737384259</v>
      </c>
      <c r="T457">
        <v>5509</v>
      </c>
      <c r="U457" t="s">
        <v>1152</v>
      </c>
      <c r="V457" t="s">
        <v>1153</v>
      </c>
      <c r="W457" t="s">
        <v>2</v>
      </c>
      <c r="AI457">
        <v>62</v>
      </c>
      <c r="AJ457">
        <v>62</v>
      </c>
      <c r="AN457">
        <v>45170</v>
      </c>
      <c r="AO457">
        <v>45199</v>
      </c>
      <c r="AP457" t="s">
        <v>1101</v>
      </c>
    </row>
    <row r="458" spans="1:42" x14ac:dyDescent="0.25">
      <c r="A458">
        <v>2023</v>
      </c>
      <c r="B458">
        <v>9</v>
      </c>
      <c r="C458">
        <v>17</v>
      </c>
      <c r="D458" t="s">
        <v>1088</v>
      </c>
      <c r="E458" t="s">
        <v>282</v>
      </c>
      <c r="F458">
        <v>155558</v>
      </c>
      <c r="G458">
        <v>10213979</v>
      </c>
      <c r="H458" t="s">
        <v>282</v>
      </c>
      <c r="J458">
        <v>53608023</v>
      </c>
      <c r="K458">
        <v>1104</v>
      </c>
      <c r="L458">
        <v>1702</v>
      </c>
      <c r="M458">
        <v>1304</v>
      </c>
      <c r="N458">
        <v>53293962</v>
      </c>
      <c r="O458">
        <v>45167.474371909724</v>
      </c>
      <c r="P458">
        <v>768</v>
      </c>
      <c r="Q458">
        <v>1</v>
      </c>
      <c r="R458">
        <v>768</v>
      </c>
      <c r="S458">
        <v>45177.426903935186</v>
      </c>
      <c r="T458">
        <v>5509</v>
      </c>
      <c r="U458" t="s">
        <v>1152</v>
      </c>
      <c r="V458" t="s">
        <v>1153</v>
      </c>
      <c r="W458" t="s">
        <v>2</v>
      </c>
      <c r="AI458">
        <v>62</v>
      </c>
      <c r="AJ458">
        <v>62</v>
      </c>
      <c r="AN458">
        <v>45170</v>
      </c>
      <c r="AO458">
        <v>45199</v>
      </c>
      <c r="AP458" t="s">
        <v>1101</v>
      </c>
    </row>
    <row r="459" spans="1:42" x14ac:dyDescent="0.25">
      <c r="A459">
        <v>2023</v>
      </c>
      <c r="B459">
        <v>9</v>
      </c>
      <c r="C459">
        <v>17</v>
      </c>
      <c r="D459" t="s">
        <v>1088</v>
      </c>
      <c r="E459" t="s">
        <v>282</v>
      </c>
      <c r="F459">
        <v>181208</v>
      </c>
      <c r="G459">
        <v>10324711</v>
      </c>
      <c r="H459" t="s">
        <v>282</v>
      </c>
      <c r="J459">
        <v>53589240</v>
      </c>
      <c r="K459">
        <v>1100</v>
      </c>
      <c r="L459">
        <v>1700</v>
      </c>
      <c r="M459">
        <v>1304</v>
      </c>
      <c r="P459">
        <v>50</v>
      </c>
      <c r="Q459">
        <v>2</v>
      </c>
      <c r="R459">
        <v>100</v>
      </c>
      <c r="S459">
        <v>45176.676160381947</v>
      </c>
      <c r="T459">
        <v>5500</v>
      </c>
      <c r="U459" t="s">
        <v>1154</v>
      </c>
      <c r="V459" t="s">
        <v>99</v>
      </c>
      <c r="W459" t="s">
        <v>2</v>
      </c>
      <c r="AI459">
        <v>62</v>
      </c>
      <c r="AJ459">
        <v>62</v>
      </c>
      <c r="AN459">
        <v>45170</v>
      </c>
      <c r="AO459">
        <v>45199</v>
      </c>
      <c r="AP459" t="s">
        <v>1101</v>
      </c>
    </row>
    <row r="460" spans="1:42" x14ac:dyDescent="0.25">
      <c r="A460">
        <v>2023</v>
      </c>
      <c r="B460">
        <v>9</v>
      </c>
      <c r="C460">
        <v>17</v>
      </c>
      <c r="D460" t="s">
        <v>1088</v>
      </c>
      <c r="E460" t="s">
        <v>282</v>
      </c>
      <c r="F460">
        <v>618565</v>
      </c>
      <c r="G460">
        <v>10307747</v>
      </c>
      <c r="H460" t="s">
        <v>282</v>
      </c>
      <c r="J460">
        <v>53605105</v>
      </c>
      <c r="K460">
        <v>1100</v>
      </c>
      <c r="L460">
        <v>1700</v>
      </c>
      <c r="M460">
        <v>1304</v>
      </c>
      <c r="P460">
        <v>216</v>
      </c>
      <c r="Q460">
        <v>1</v>
      </c>
      <c r="R460">
        <v>216</v>
      </c>
      <c r="S460">
        <v>45177.407123645833</v>
      </c>
      <c r="T460">
        <v>5500</v>
      </c>
      <c r="U460" t="s">
        <v>1154</v>
      </c>
      <c r="V460" t="s">
        <v>99</v>
      </c>
      <c r="W460" t="s">
        <v>2</v>
      </c>
      <c r="AI460">
        <v>62</v>
      </c>
      <c r="AJ460">
        <v>62</v>
      </c>
      <c r="AN460">
        <v>45170</v>
      </c>
      <c r="AO460">
        <v>45199</v>
      </c>
      <c r="AP460" t="s">
        <v>1101</v>
      </c>
    </row>
    <row r="461" spans="1:42" x14ac:dyDescent="0.25">
      <c r="A461">
        <v>2023</v>
      </c>
      <c r="B461">
        <v>9</v>
      </c>
      <c r="C461">
        <v>17</v>
      </c>
      <c r="D461" t="s">
        <v>1088</v>
      </c>
      <c r="E461" t="s">
        <v>282</v>
      </c>
      <c r="F461">
        <v>618565</v>
      </c>
      <c r="G461">
        <v>10307747</v>
      </c>
      <c r="H461" t="s">
        <v>282</v>
      </c>
      <c r="J461">
        <v>53605106</v>
      </c>
      <c r="K461">
        <v>1100</v>
      </c>
      <c r="L461">
        <v>1700</v>
      </c>
      <c r="M461">
        <v>1304</v>
      </c>
      <c r="P461">
        <v>216</v>
      </c>
      <c r="Q461">
        <v>1</v>
      </c>
      <c r="R461">
        <v>216</v>
      </c>
      <c r="S461">
        <v>45177.407211030091</v>
      </c>
      <c r="T461">
        <v>5500</v>
      </c>
      <c r="U461" t="s">
        <v>1154</v>
      </c>
      <c r="V461" t="s">
        <v>99</v>
      </c>
      <c r="W461" t="s">
        <v>2</v>
      </c>
      <c r="AI461">
        <v>62</v>
      </c>
      <c r="AJ461">
        <v>62</v>
      </c>
      <c r="AN461">
        <v>45170</v>
      </c>
      <c r="AO461">
        <v>45199</v>
      </c>
      <c r="AP461" t="s">
        <v>1101</v>
      </c>
    </row>
    <row r="462" spans="1:42" x14ac:dyDescent="0.25">
      <c r="A462">
        <v>2023</v>
      </c>
      <c r="B462">
        <v>9</v>
      </c>
      <c r="C462">
        <v>17</v>
      </c>
      <c r="D462" t="s">
        <v>1088</v>
      </c>
      <c r="E462" t="s">
        <v>282</v>
      </c>
      <c r="F462">
        <v>618565</v>
      </c>
      <c r="G462">
        <v>10307747</v>
      </c>
      <c r="H462" t="s">
        <v>282</v>
      </c>
      <c r="J462">
        <v>53605114</v>
      </c>
      <c r="K462">
        <v>1104</v>
      </c>
      <c r="L462">
        <v>1702</v>
      </c>
      <c r="M462">
        <v>1304</v>
      </c>
      <c r="N462">
        <v>53605105</v>
      </c>
      <c r="O462">
        <v>45177.407123645833</v>
      </c>
      <c r="P462">
        <v>216</v>
      </c>
      <c r="Q462">
        <v>1</v>
      </c>
      <c r="R462">
        <v>216</v>
      </c>
      <c r="S462">
        <v>45177.407602430554</v>
      </c>
      <c r="T462">
        <v>5509</v>
      </c>
      <c r="U462" t="s">
        <v>1152</v>
      </c>
      <c r="V462" t="s">
        <v>1153</v>
      </c>
      <c r="W462" t="s">
        <v>2</v>
      </c>
      <c r="AI462">
        <v>62</v>
      </c>
      <c r="AJ462">
        <v>62</v>
      </c>
      <c r="AN462">
        <v>45170</v>
      </c>
      <c r="AO462">
        <v>45199</v>
      </c>
      <c r="AP462" t="s">
        <v>1101</v>
      </c>
    </row>
    <row r="463" spans="1:42" x14ac:dyDescent="0.25">
      <c r="A463">
        <v>2023</v>
      </c>
      <c r="B463">
        <v>9</v>
      </c>
      <c r="C463">
        <v>17</v>
      </c>
      <c r="D463" t="s">
        <v>1088</v>
      </c>
      <c r="E463" t="s">
        <v>282</v>
      </c>
      <c r="F463">
        <v>618565</v>
      </c>
      <c r="G463">
        <v>10307747</v>
      </c>
      <c r="H463" t="s">
        <v>282</v>
      </c>
      <c r="J463">
        <v>53605118</v>
      </c>
      <c r="K463">
        <v>1104</v>
      </c>
      <c r="L463">
        <v>1702</v>
      </c>
      <c r="M463">
        <v>1304</v>
      </c>
      <c r="N463">
        <v>53605106</v>
      </c>
      <c r="O463">
        <v>45177.407211030091</v>
      </c>
      <c r="P463">
        <v>216</v>
      </c>
      <c r="Q463">
        <v>1</v>
      </c>
      <c r="R463">
        <v>216</v>
      </c>
      <c r="S463">
        <v>45177.407694675923</v>
      </c>
      <c r="T463">
        <v>5509</v>
      </c>
      <c r="U463" t="s">
        <v>1152</v>
      </c>
      <c r="V463" t="s">
        <v>1153</v>
      </c>
      <c r="W463" t="s">
        <v>2</v>
      </c>
      <c r="AI463">
        <v>62</v>
      </c>
      <c r="AJ463">
        <v>62</v>
      </c>
      <c r="AN463">
        <v>45170</v>
      </c>
      <c r="AO463">
        <v>45199</v>
      </c>
      <c r="AP463" t="s">
        <v>1101</v>
      </c>
    </row>
    <row r="464" spans="1:42" x14ac:dyDescent="0.25">
      <c r="A464">
        <v>2023</v>
      </c>
      <c r="B464">
        <v>9</v>
      </c>
      <c r="C464">
        <v>17</v>
      </c>
      <c r="D464" t="s">
        <v>1088</v>
      </c>
      <c r="E464" t="s">
        <v>282</v>
      </c>
      <c r="F464">
        <v>468088</v>
      </c>
      <c r="G464">
        <v>10339947</v>
      </c>
      <c r="H464" t="s">
        <v>282</v>
      </c>
      <c r="J464">
        <v>53627863</v>
      </c>
      <c r="K464">
        <v>1100</v>
      </c>
      <c r="L464">
        <v>1700</v>
      </c>
      <c r="M464">
        <v>1304</v>
      </c>
      <c r="P464">
        <v>282</v>
      </c>
      <c r="Q464">
        <v>1</v>
      </c>
      <c r="R464">
        <v>282</v>
      </c>
      <c r="S464">
        <v>45177.556087696757</v>
      </c>
      <c r="T464">
        <v>5500</v>
      </c>
      <c r="U464" t="s">
        <v>1154</v>
      </c>
      <c r="V464" t="s">
        <v>99</v>
      </c>
      <c r="W464" t="s">
        <v>2</v>
      </c>
      <c r="AI464">
        <v>62</v>
      </c>
      <c r="AJ464">
        <v>62</v>
      </c>
      <c r="AN464">
        <v>45170</v>
      </c>
      <c r="AO464">
        <v>45199</v>
      </c>
      <c r="AP464" t="s">
        <v>1101</v>
      </c>
    </row>
    <row r="465" spans="1:42" x14ac:dyDescent="0.25">
      <c r="A465">
        <v>2023</v>
      </c>
      <c r="B465">
        <v>9</v>
      </c>
      <c r="C465">
        <v>17</v>
      </c>
      <c r="D465" t="s">
        <v>1088</v>
      </c>
      <c r="E465" t="s">
        <v>282</v>
      </c>
      <c r="F465">
        <v>276017</v>
      </c>
      <c r="G465">
        <v>10322056</v>
      </c>
      <c r="H465" t="s">
        <v>282</v>
      </c>
      <c r="J465">
        <v>53628017</v>
      </c>
      <c r="K465">
        <v>1100</v>
      </c>
      <c r="L465">
        <v>1700</v>
      </c>
      <c r="M465">
        <v>1301</v>
      </c>
      <c r="P465">
        <v>216</v>
      </c>
      <c r="Q465">
        <v>1</v>
      </c>
      <c r="R465">
        <v>216</v>
      </c>
      <c r="S465">
        <v>45177.55730015046</v>
      </c>
      <c r="T465">
        <v>5500</v>
      </c>
      <c r="U465" t="s">
        <v>1151</v>
      </c>
      <c r="V465" t="s">
        <v>99</v>
      </c>
      <c r="W465" t="s">
        <v>1269</v>
      </c>
      <c r="X465" t="s">
        <v>1269</v>
      </c>
      <c r="AA465">
        <v>57842</v>
      </c>
      <c r="AB465" t="s">
        <v>1223</v>
      </c>
      <c r="AC465">
        <v>45182.087616863428</v>
      </c>
      <c r="AI465">
        <v>62</v>
      </c>
      <c r="AJ465">
        <v>62</v>
      </c>
      <c r="AN465">
        <v>45170</v>
      </c>
      <c r="AO465">
        <v>45199</v>
      </c>
      <c r="AP465" t="s">
        <v>1101</v>
      </c>
    </row>
    <row r="466" spans="1:42" x14ac:dyDescent="0.25">
      <c r="A466">
        <v>2023</v>
      </c>
      <c r="B466">
        <v>9</v>
      </c>
      <c r="C466">
        <v>17</v>
      </c>
      <c r="D466" t="s">
        <v>1088</v>
      </c>
      <c r="E466" t="s">
        <v>282</v>
      </c>
      <c r="F466">
        <v>276017</v>
      </c>
      <c r="G466">
        <v>10322056</v>
      </c>
      <c r="H466" t="s">
        <v>282</v>
      </c>
      <c r="J466">
        <v>53628024</v>
      </c>
      <c r="K466">
        <v>1100</v>
      </c>
      <c r="L466">
        <v>1700</v>
      </c>
      <c r="M466">
        <v>1301</v>
      </c>
      <c r="P466">
        <v>216</v>
      </c>
      <c r="Q466">
        <v>1</v>
      </c>
      <c r="R466">
        <v>216</v>
      </c>
      <c r="S466">
        <v>45177.557446678242</v>
      </c>
      <c r="T466">
        <v>5500</v>
      </c>
      <c r="U466" t="s">
        <v>1151</v>
      </c>
      <c r="V466" t="s">
        <v>99</v>
      </c>
      <c r="W466" t="s">
        <v>1269</v>
      </c>
      <c r="X466" t="s">
        <v>1269</v>
      </c>
      <c r="AA466">
        <v>57842</v>
      </c>
      <c r="AB466" t="s">
        <v>1223</v>
      </c>
      <c r="AC466">
        <v>45182.087616863428</v>
      </c>
      <c r="AI466">
        <v>62</v>
      </c>
      <c r="AJ466">
        <v>62</v>
      </c>
      <c r="AN466">
        <v>45170</v>
      </c>
      <c r="AO466">
        <v>45199</v>
      </c>
      <c r="AP466" t="s">
        <v>1101</v>
      </c>
    </row>
    <row r="467" spans="1:42" x14ac:dyDescent="0.25">
      <c r="A467">
        <v>2023</v>
      </c>
      <c r="B467">
        <v>9</v>
      </c>
      <c r="C467">
        <v>17</v>
      </c>
      <c r="D467" t="s">
        <v>1088</v>
      </c>
      <c r="E467" t="s">
        <v>282</v>
      </c>
      <c r="F467">
        <v>262133</v>
      </c>
      <c r="G467">
        <v>10253242</v>
      </c>
      <c r="H467" t="s">
        <v>282</v>
      </c>
      <c r="J467">
        <v>53649152</v>
      </c>
      <c r="K467">
        <v>1104</v>
      </c>
      <c r="L467">
        <v>1702</v>
      </c>
      <c r="M467">
        <v>1304</v>
      </c>
      <c r="N467">
        <v>53010237</v>
      </c>
      <c r="O467">
        <v>45159.610313773148</v>
      </c>
      <c r="P467">
        <v>109.5</v>
      </c>
      <c r="Q467">
        <v>1</v>
      </c>
      <c r="R467">
        <v>109.5</v>
      </c>
      <c r="S467">
        <v>45178.06737167824</v>
      </c>
      <c r="T467">
        <v>5509</v>
      </c>
      <c r="U467" t="s">
        <v>1152</v>
      </c>
      <c r="V467" t="s">
        <v>1153</v>
      </c>
      <c r="W467" t="s">
        <v>2</v>
      </c>
      <c r="AI467">
        <v>62</v>
      </c>
      <c r="AJ467">
        <v>62</v>
      </c>
      <c r="AN467">
        <v>45170</v>
      </c>
      <c r="AO467">
        <v>45199</v>
      </c>
      <c r="AP467" t="s">
        <v>1101</v>
      </c>
    </row>
    <row r="468" spans="1:42" x14ac:dyDescent="0.25">
      <c r="A468">
        <v>2023</v>
      </c>
      <c r="B468">
        <v>9</v>
      </c>
      <c r="C468">
        <v>17</v>
      </c>
      <c r="D468" t="s">
        <v>1088</v>
      </c>
      <c r="E468" t="s">
        <v>282</v>
      </c>
      <c r="F468">
        <v>262133</v>
      </c>
      <c r="G468">
        <v>10253242</v>
      </c>
      <c r="H468" t="s">
        <v>282</v>
      </c>
      <c r="J468">
        <v>53649153</v>
      </c>
      <c r="K468">
        <v>1104</v>
      </c>
      <c r="L468">
        <v>1702</v>
      </c>
      <c r="M468">
        <v>1304</v>
      </c>
      <c r="N468">
        <v>53010243</v>
      </c>
      <c r="O468">
        <v>45159.610425381943</v>
      </c>
      <c r="P468">
        <v>109.5</v>
      </c>
      <c r="Q468">
        <v>1</v>
      </c>
      <c r="R468">
        <v>109.5</v>
      </c>
      <c r="S468">
        <v>45178.06737167824</v>
      </c>
      <c r="T468">
        <v>5509</v>
      </c>
      <c r="U468" t="s">
        <v>1152</v>
      </c>
      <c r="V468" t="s">
        <v>1153</v>
      </c>
      <c r="W468" t="s">
        <v>2</v>
      </c>
      <c r="AI468">
        <v>62</v>
      </c>
      <c r="AJ468">
        <v>62</v>
      </c>
      <c r="AN468">
        <v>45170</v>
      </c>
      <c r="AO468">
        <v>45199</v>
      </c>
      <c r="AP468" t="s">
        <v>1101</v>
      </c>
    </row>
    <row r="469" spans="1:42" x14ac:dyDescent="0.25">
      <c r="A469">
        <v>2023</v>
      </c>
      <c r="B469">
        <v>9</v>
      </c>
      <c r="C469">
        <v>17</v>
      </c>
      <c r="D469" t="s">
        <v>1088</v>
      </c>
      <c r="E469" t="s">
        <v>282</v>
      </c>
      <c r="F469">
        <v>595991</v>
      </c>
      <c r="G469">
        <v>10349186</v>
      </c>
      <c r="H469" t="s">
        <v>282</v>
      </c>
      <c r="J469">
        <v>53662869</v>
      </c>
      <c r="K469">
        <v>1100</v>
      </c>
      <c r="L469">
        <v>1700</v>
      </c>
      <c r="M469">
        <v>1301</v>
      </c>
      <c r="P469">
        <v>150</v>
      </c>
      <c r="Q469">
        <v>1</v>
      </c>
      <c r="R469">
        <v>150</v>
      </c>
      <c r="S469">
        <v>45180.424213194441</v>
      </c>
      <c r="T469">
        <v>5500</v>
      </c>
      <c r="U469" t="s">
        <v>1151</v>
      </c>
      <c r="V469" t="s">
        <v>99</v>
      </c>
      <c r="W469" t="s">
        <v>1089</v>
      </c>
      <c r="X469" t="s">
        <v>1089</v>
      </c>
      <c r="AA469">
        <v>57842</v>
      </c>
      <c r="AB469" t="s">
        <v>1223</v>
      </c>
      <c r="AC469">
        <v>45182.087616863428</v>
      </c>
      <c r="AI469">
        <v>62</v>
      </c>
      <c r="AJ469">
        <v>62</v>
      </c>
      <c r="AN469">
        <v>45170</v>
      </c>
      <c r="AO469">
        <v>45199</v>
      </c>
      <c r="AP469" t="s">
        <v>1101</v>
      </c>
    </row>
    <row r="470" spans="1:42" x14ac:dyDescent="0.25">
      <c r="A470">
        <v>2023</v>
      </c>
      <c r="B470">
        <v>9</v>
      </c>
      <c r="C470">
        <v>17</v>
      </c>
      <c r="D470" t="s">
        <v>1088</v>
      </c>
      <c r="E470" t="s">
        <v>282</v>
      </c>
      <c r="F470">
        <v>595991</v>
      </c>
      <c r="G470">
        <v>10349186</v>
      </c>
      <c r="H470" t="s">
        <v>282</v>
      </c>
      <c r="J470">
        <v>53662877</v>
      </c>
      <c r="K470">
        <v>1100</v>
      </c>
      <c r="L470">
        <v>1700</v>
      </c>
      <c r="M470">
        <v>1301</v>
      </c>
      <c r="P470">
        <v>150</v>
      </c>
      <c r="Q470">
        <v>1</v>
      </c>
      <c r="R470">
        <v>150</v>
      </c>
      <c r="S470">
        <v>45180.424316863428</v>
      </c>
      <c r="T470">
        <v>5500</v>
      </c>
      <c r="U470" t="s">
        <v>1151</v>
      </c>
      <c r="V470" t="s">
        <v>99</v>
      </c>
      <c r="W470" t="s">
        <v>1089</v>
      </c>
      <c r="X470" t="s">
        <v>1089</v>
      </c>
      <c r="AA470">
        <v>57842</v>
      </c>
      <c r="AB470" t="s">
        <v>1223</v>
      </c>
      <c r="AC470">
        <v>45182.087616863428</v>
      </c>
      <c r="AI470">
        <v>62</v>
      </c>
      <c r="AJ470">
        <v>62</v>
      </c>
      <c r="AN470">
        <v>45170</v>
      </c>
      <c r="AO470">
        <v>45199</v>
      </c>
      <c r="AP470" t="s">
        <v>1101</v>
      </c>
    </row>
    <row r="471" spans="1:42" x14ac:dyDescent="0.25">
      <c r="A471">
        <v>2023</v>
      </c>
      <c r="B471">
        <v>9</v>
      </c>
      <c r="C471">
        <v>17</v>
      </c>
      <c r="D471" t="s">
        <v>1088</v>
      </c>
      <c r="E471" t="s">
        <v>282</v>
      </c>
      <c r="F471">
        <v>161148</v>
      </c>
      <c r="G471">
        <v>10323639</v>
      </c>
      <c r="H471" t="s">
        <v>282</v>
      </c>
      <c r="J471">
        <v>53691791</v>
      </c>
      <c r="K471">
        <v>1100</v>
      </c>
      <c r="L471">
        <v>1700</v>
      </c>
      <c r="M471">
        <v>1304</v>
      </c>
      <c r="P471">
        <v>216</v>
      </c>
      <c r="Q471">
        <v>1</v>
      </c>
      <c r="R471">
        <v>216</v>
      </c>
      <c r="S471">
        <v>45180.708835798614</v>
      </c>
      <c r="T471">
        <v>5500</v>
      </c>
      <c r="U471" t="s">
        <v>1154</v>
      </c>
      <c r="V471" t="s">
        <v>99</v>
      </c>
      <c r="W471" t="s">
        <v>2</v>
      </c>
      <c r="AI471">
        <v>62</v>
      </c>
      <c r="AJ471">
        <v>62</v>
      </c>
      <c r="AN471">
        <v>45170</v>
      </c>
      <c r="AO471">
        <v>45199</v>
      </c>
      <c r="AP471" t="s">
        <v>1101</v>
      </c>
    </row>
    <row r="472" spans="1:42" x14ac:dyDescent="0.25">
      <c r="A472">
        <v>2023</v>
      </c>
      <c r="B472">
        <v>9</v>
      </c>
      <c r="C472">
        <v>17</v>
      </c>
      <c r="D472" t="s">
        <v>1088</v>
      </c>
      <c r="E472" t="s">
        <v>282</v>
      </c>
      <c r="F472">
        <v>161148</v>
      </c>
      <c r="G472">
        <v>10323639</v>
      </c>
      <c r="H472" t="s">
        <v>282</v>
      </c>
      <c r="J472">
        <v>53691797</v>
      </c>
      <c r="K472">
        <v>1100</v>
      </c>
      <c r="L472">
        <v>1700</v>
      </c>
      <c r="M472">
        <v>1304</v>
      </c>
      <c r="P472">
        <v>216</v>
      </c>
      <c r="Q472">
        <v>1</v>
      </c>
      <c r="R472">
        <v>216</v>
      </c>
      <c r="S472">
        <v>45180.708964004632</v>
      </c>
      <c r="T472">
        <v>5500</v>
      </c>
      <c r="U472" t="s">
        <v>1154</v>
      </c>
      <c r="V472" t="s">
        <v>99</v>
      </c>
      <c r="W472" t="s">
        <v>2</v>
      </c>
      <c r="AI472">
        <v>62</v>
      </c>
      <c r="AJ472">
        <v>62</v>
      </c>
      <c r="AN472">
        <v>45170</v>
      </c>
      <c r="AO472">
        <v>45199</v>
      </c>
      <c r="AP472" t="s">
        <v>1101</v>
      </c>
    </row>
    <row r="473" spans="1:42" x14ac:dyDescent="0.25">
      <c r="A473">
        <v>2023</v>
      </c>
      <c r="B473">
        <v>9</v>
      </c>
      <c r="C473">
        <v>17</v>
      </c>
      <c r="D473" t="s">
        <v>1088</v>
      </c>
      <c r="E473" t="s">
        <v>282</v>
      </c>
      <c r="F473">
        <v>161148</v>
      </c>
      <c r="G473">
        <v>10323639</v>
      </c>
      <c r="H473" t="s">
        <v>282</v>
      </c>
      <c r="J473">
        <v>53691801</v>
      </c>
      <c r="K473">
        <v>1100</v>
      </c>
      <c r="L473">
        <v>1700</v>
      </c>
      <c r="M473">
        <v>1304</v>
      </c>
      <c r="P473">
        <v>18</v>
      </c>
      <c r="Q473">
        <v>1</v>
      </c>
      <c r="R473">
        <v>18</v>
      </c>
      <c r="S473">
        <v>45180.709031053244</v>
      </c>
      <c r="T473">
        <v>5500</v>
      </c>
      <c r="U473" t="s">
        <v>1154</v>
      </c>
      <c r="V473" t="s">
        <v>99</v>
      </c>
      <c r="W473" t="s">
        <v>2</v>
      </c>
      <c r="AI473">
        <v>62</v>
      </c>
      <c r="AJ473">
        <v>62</v>
      </c>
      <c r="AN473">
        <v>45170</v>
      </c>
      <c r="AO473">
        <v>45199</v>
      </c>
      <c r="AP473" t="s">
        <v>1101</v>
      </c>
    </row>
    <row r="474" spans="1:42" x14ac:dyDescent="0.25">
      <c r="A474">
        <v>2023</v>
      </c>
      <c r="B474">
        <v>9</v>
      </c>
      <c r="C474">
        <v>17</v>
      </c>
      <c r="D474" t="s">
        <v>1088</v>
      </c>
      <c r="E474" t="s">
        <v>282</v>
      </c>
      <c r="F474">
        <v>616114</v>
      </c>
      <c r="G474">
        <v>10260369</v>
      </c>
      <c r="H474" t="s">
        <v>282</v>
      </c>
      <c r="J474">
        <v>53732771</v>
      </c>
      <c r="K474">
        <v>1104</v>
      </c>
      <c r="L474">
        <v>1702</v>
      </c>
      <c r="M474">
        <v>1304</v>
      </c>
      <c r="N474">
        <v>53073835</v>
      </c>
      <c r="O474">
        <v>45160.616650000004</v>
      </c>
      <c r="P474">
        <v>150</v>
      </c>
      <c r="Q474">
        <v>1</v>
      </c>
      <c r="R474">
        <v>150</v>
      </c>
      <c r="S474">
        <v>45182.067373032405</v>
      </c>
      <c r="T474">
        <v>5509</v>
      </c>
      <c r="U474" t="s">
        <v>1152</v>
      </c>
      <c r="V474" t="s">
        <v>1153</v>
      </c>
      <c r="W474" t="s">
        <v>2</v>
      </c>
      <c r="AI474">
        <v>62</v>
      </c>
      <c r="AJ474">
        <v>62</v>
      </c>
      <c r="AN474">
        <v>45170</v>
      </c>
      <c r="AO474">
        <v>45199</v>
      </c>
      <c r="AP474" t="s">
        <v>1101</v>
      </c>
    </row>
    <row r="475" spans="1:42" x14ac:dyDescent="0.25">
      <c r="A475">
        <v>2023</v>
      </c>
      <c r="B475">
        <v>9</v>
      </c>
      <c r="C475">
        <v>17</v>
      </c>
      <c r="D475" t="s">
        <v>1088</v>
      </c>
      <c r="E475" t="s">
        <v>282</v>
      </c>
      <c r="F475">
        <v>616114</v>
      </c>
      <c r="G475">
        <v>10260369</v>
      </c>
      <c r="H475" t="s">
        <v>282</v>
      </c>
      <c r="J475">
        <v>53732772</v>
      </c>
      <c r="K475">
        <v>1104</v>
      </c>
      <c r="L475">
        <v>1702</v>
      </c>
      <c r="M475">
        <v>1304</v>
      </c>
      <c r="N475">
        <v>53073840</v>
      </c>
      <c r="O475">
        <v>45160.616776770832</v>
      </c>
      <c r="P475">
        <v>150</v>
      </c>
      <c r="Q475">
        <v>1</v>
      </c>
      <c r="R475">
        <v>150</v>
      </c>
      <c r="S475">
        <v>45182.067373032405</v>
      </c>
      <c r="T475">
        <v>5509</v>
      </c>
      <c r="U475" t="s">
        <v>1152</v>
      </c>
      <c r="V475" t="s">
        <v>1153</v>
      </c>
      <c r="W475" t="s">
        <v>2</v>
      </c>
      <c r="AI475">
        <v>62</v>
      </c>
      <c r="AJ475">
        <v>62</v>
      </c>
      <c r="AN475">
        <v>45170</v>
      </c>
      <c r="AO475">
        <v>45199</v>
      </c>
      <c r="AP475" t="s">
        <v>1101</v>
      </c>
    </row>
    <row r="476" spans="1:42" x14ac:dyDescent="0.25">
      <c r="A476">
        <v>2023</v>
      </c>
      <c r="B476">
        <v>9</v>
      </c>
      <c r="C476">
        <v>17</v>
      </c>
      <c r="D476" t="s">
        <v>1088</v>
      </c>
      <c r="E476" t="s">
        <v>282</v>
      </c>
      <c r="F476">
        <v>616114</v>
      </c>
      <c r="G476">
        <v>10260369</v>
      </c>
      <c r="H476" t="s">
        <v>282</v>
      </c>
      <c r="J476">
        <v>53732773</v>
      </c>
      <c r="K476">
        <v>1104</v>
      </c>
      <c r="L476">
        <v>1702</v>
      </c>
      <c r="M476">
        <v>1304</v>
      </c>
      <c r="N476">
        <v>53073843</v>
      </c>
      <c r="O476">
        <v>45160.616826192127</v>
      </c>
      <c r="P476">
        <v>18</v>
      </c>
      <c r="Q476">
        <v>1</v>
      </c>
      <c r="R476">
        <v>18</v>
      </c>
      <c r="S476">
        <v>45182.067373032405</v>
      </c>
      <c r="T476">
        <v>5509</v>
      </c>
      <c r="U476" t="s">
        <v>1152</v>
      </c>
      <c r="V476" t="s">
        <v>1153</v>
      </c>
      <c r="W476" t="s">
        <v>2</v>
      </c>
      <c r="AI476">
        <v>62</v>
      </c>
      <c r="AJ476">
        <v>62</v>
      </c>
      <c r="AN476">
        <v>45170</v>
      </c>
      <c r="AO476">
        <v>45199</v>
      </c>
      <c r="AP476" t="s">
        <v>1101</v>
      </c>
    </row>
    <row r="477" spans="1:42" x14ac:dyDescent="0.25">
      <c r="A477">
        <v>2023</v>
      </c>
      <c r="B477">
        <v>9</v>
      </c>
      <c r="C477">
        <v>17</v>
      </c>
      <c r="D477" t="s">
        <v>1088</v>
      </c>
      <c r="E477" t="s">
        <v>282</v>
      </c>
      <c r="F477">
        <v>616114</v>
      </c>
      <c r="G477">
        <v>10260369</v>
      </c>
      <c r="H477" t="s">
        <v>282</v>
      </c>
      <c r="J477">
        <v>53732774</v>
      </c>
      <c r="K477">
        <v>1104</v>
      </c>
      <c r="L477">
        <v>1702</v>
      </c>
      <c r="M477">
        <v>1304</v>
      </c>
      <c r="N477">
        <v>53073844</v>
      </c>
      <c r="O477">
        <v>45160.616913923608</v>
      </c>
      <c r="P477">
        <v>15</v>
      </c>
      <c r="Q477">
        <v>1</v>
      </c>
      <c r="R477">
        <v>15</v>
      </c>
      <c r="S477">
        <v>45182.067373032405</v>
      </c>
      <c r="T477">
        <v>5509</v>
      </c>
      <c r="U477" t="s">
        <v>1152</v>
      </c>
      <c r="V477" t="s">
        <v>1153</v>
      </c>
      <c r="W477" t="s">
        <v>2</v>
      </c>
      <c r="AI477">
        <v>62</v>
      </c>
      <c r="AJ477">
        <v>62</v>
      </c>
      <c r="AN477">
        <v>45170</v>
      </c>
      <c r="AO477">
        <v>45199</v>
      </c>
      <c r="AP477" t="s">
        <v>1101</v>
      </c>
    </row>
    <row r="478" spans="1:42" x14ac:dyDescent="0.25">
      <c r="A478">
        <v>2023</v>
      </c>
      <c r="B478">
        <v>9</v>
      </c>
      <c r="C478">
        <v>17</v>
      </c>
      <c r="D478" t="s">
        <v>1088</v>
      </c>
      <c r="E478" t="s">
        <v>282</v>
      </c>
      <c r="F478">
        <v>620528</v>
      </c>
      <c r="G478">
        <v>10343235</v>
      </c>
      <c r="H478" t="s">
        <v>282</v>
      </c>
      <c r="J478">
        <v>53732785</v>
      </c>
      <c r="K478">
        <v>1104</v>
      </c>
      <c r="L478">
        <v>1702</v>
      </c>
      <c r="M478">
        <v>1304</v>
      </c>
      <c r="N478">
        <v>53707462</v>
      </c>
      <c r="O478">
        <v>45181.496214039355</v>
      </c>
      <c r="P478">
        <v>216</v>
      </c>
      <c r="Q478">
        <v>1</v>
      </c>
      <c r="R478">
        <v>216</v>
      </c>
      <c r="S478">
        <v>45182.067373032405</v>
      </c>
      <c r="T478">
        <v>5509</v>
      </c>
      <c r="U478" t="s">
        <v>1152</v>
      </c>
      <c r="V478" t="s">
        <v>1153</v>
      </c>
      <c r="W478" t="s">
        <v>2</v>
      </c>
      <c r="AI478">
        <v>62</v>
      </c>
      <c r="AJ478">
        <v>62</v>
      </c>
      <c r="AN478">
        <v>45170</v>
      </c>
      <c r="AO478">
        <v>45199</v>
      </c>
      <c r="AP478" t="s">
        <v>1101</v>
      </c>
    </row>
    <row r="479" spans="1:42" x14ac:dyDescent="0.25">
      <c r="A479">
        <v>2023</v>
      </c>
      <c r="B479">
        <v>9</v>
      </c>
      <c r="C479">
        <v>17</v>
      </c>
      <c r="D479" t="s">
        <v>1088</v>
      </c>
      <c r="E479" t="s">
        <v>282</v>
      </c>
      <c r="F479">
        <v>620528</v>
      </c>
      <c r="G479">
        <v>10343235</v>
      </c>
      <c r="H479" t="s">
        <v>282</v>
      </c>
      <c r="J479">
        <v>53732786</v>
      </c>
      <c r="K479">
        <v>1104</v>
      </c>
      <c r="L479">
        <v>1702</v>
      </c>
      <c r="M479">
        <v>1304</v>
      </c>
      <c r="N479">
        <v>53707464</v>
      </c>
      <c r="O479">
        <v>45181.496326423614</v>
      </c>
      <c r="P479">
        <v>9</v>
      </c>
      <c r="Q479">
        <v>1</v>
      </c>
      <c r="R479">
        <v>9</v>
      </c>
      <c r="S479">
        <v>45182.067373032405</v>
      </c>
      <c r="T479">
        <v>5509</v>
      </c>
      <c r="U479" t="s">
        <v>1152</v>
      </c>
      <c r="V479" t="s">
        <v>1153</v>
      </c>
      <c r="W479" t="s">
        <v>2</v>
      </c>
      <c r="AI479">
        <v>62</v>
      </c>
      <c r="AJ479">
        <v>62</v>
      </c>
      <c r="AN479">
        <v>45170</v>
      </c>
      <c r="AO479">
        <v>45199</v>
      </c>
      <c r="AP479" t="s">
        <v>1101</v>
      </c>
    </row>
    <row r="480" spans="1:42" x14ac:dyDescent="0.25">
      <c r="A480">
        <v>2023</v>
      </c>
      <c r="B480">
        <v>9</v>
      </c>
      <c r="C480">
        <v>17</v>
      </c>
      <c r="D480" t="s">
        <v>1088</v>
      </c>
      <c r="E480" t="s">
        <v>282</v>
      </c>
      <c r="F480">
        <v>618779</v>
      </c>
      <c r="G480">
        <v>10312026</v>
      </c>
      <c r="H480" t="s">
        <v>282</v>
      </c>
      <c r="J480">
        <v>53732912</v>
      </c>
      <c r="K480">
        <v>1104</v>
      </c>
      <c r="L480">
        <v>1702</v>
      </c>
      <c r="M480">
        <v>1304</v>
      </c>
      <c r="N480">
        <v>53464958</v>
      </c>
      <c r="O480">
        <v>45174.448215972225</v>
      </c>
      <c r="P480">
        <v>216</v>
      </c>
      <c r="Q480">
        <v>1</v>
      </c>
      <c r="R480">
        <v>216</v>
      </c>
      <c r="S480">
        <v>45182.067373032405</v>
      </c>
      <c r="T480">
        <v>5509</v>
      </c>
      <c r="U480" t="s">
        <v>1152</v>
      </c>
      <c r="V480" t="s">
        <v>1153</v>
      </c>
      <c r="W480" t="s">
        <v>2</v>
      </c>
      <c r="AI480">
        <v>62</v>
      </c>
      <c r="AJ480">
        <v>62</v>
      </c>
      <c r="AN480">
        <v>45170</v>
      </c>
      <c r="AO480">
        <v>45199</v>
      </c>
      <c r="AP480" t="s">
        <v>1101</v>
      </c>
    </row>
    <row r="481" spans="1:42" x14ac:dyDescent="0.25">
      <c r="A481">
        <v>2023</v>
      </c>
      <c r="B481">
        <v>9</v>
      </c>
      <c r="C481">
        <v>17</v>
      </c>
      <c r="D481" t="s">
        <v>1088</v>
      </c>
      <c r="E481" t="s">
        <v>282</v>
      </c>
      <c r="F481">
        <v>618779</v>
      </c>
      <c r="G481">
        <v>10312026</v>
      </c>
      <c r="H481" t="s">
        <v>282</v>
      </c>
      <c r="J481">
        <v>53732913</v>
      </c>
      <c r="K481">
        <v>1104</v>
      </c>
      <c r="L481">
        <v>1702</v>
      </c>
      <c r="M481">
        <v>1304</v>
      </c>
      <c r="N481">
        <v>53464961</v>
      </c>
      <c r="O481">
        <v>45174.448319409719</v>
      </c>
      <c r="P481">
        <v>216</v>
      </c>
      <c r="Q481">
        <v>1</v>
      </c>
      <c r="R481">
        <v>216</v>
      </c>
      <c r="S481">
        <v>45182.067373032405</v>
      </c>
      <c r="T481">
        <v>5509</v>
      </c>
      <c r="U481" t="s">
        <v>1152</v>
      </c>
      <c r="V481" t="s">
        <v>1153</v>
      </c>
      <c r="W481" t="s">
        <v>2</v>
      </c>
      <c r="AI481">
        <v>62</v>
      </c>
      <c r="AJ481">
        <v>62</v>
      </c>
      <c r="AN481">
        <v>45170</v>
      </c>
      <c r="AO481">
        <v>45199</v>
      </c>
      <c r="AP481" t="s">
        <v>1101</v>
      </c>
    </row>
    <row r="482" spans="1:42" x14ac:dyDescent="0.25">
      <c r="A482">
        <v>2023</v>
      </c>
      <c r="B482">
        <v>9</v>
      </c>
      <c r="C482">
        <v>17</v>
      </c>
      <c r="D482" t="s">
        <v>1088</v>
      </c>
      <c r="E482" t="s">
        <v>282</v>
      </c>
      <c r="F482">
        <v>617621</v>
      </c>
      <c r="G482">
        <v>10288556</v>
      </c>
      <c r="H482" t="s">
        <v>282</v>
      </c>
      <c r="J482">
        <v>53775753</v>
      </c>
      <c r="K482">
        <v>1105</v>
      </c>
      <c r="L482">
        <v>1702</v>
      </c>
      <c r="M482">
        <v>1300</v>
      </c>
      <c r="N482">
        <v>53674363</v>
      </c>
      <c r="O482">
        <v>45180.587675960647</v>
      </c>
      <c r="P482">
        <v>216</v>
      </c>
      <c r="Q482">
        <v>1</v>
      </c>
      <c r="R482">
        <v>-216</v>
      </c>
      <c r="S482">
        <v>45182.707458182871</v>
      </c>
      <c r="T482">
        <v>5511</v>
      </c>
      <c r="U482" t="s">
        <v>1156</v>
      </c>
      <c r="V482" t="s">
        <v>99</v>
      </c>
      <c r="W482" t="s">
        <v>1090</v>
      </c>
      <c r="X482" t="s">
        <v>1090</v>
      </c>
      <c r="AI482">
        <v>62</v>
      </c>
      <c r="AJ482">
        <v>62</v>
      </c>
      <c r="AN482">
        <v>45170</v>
      </c>
      <c r="AO482">
        <v>45199</v>
      </c>
      <c r="AP482" t="s">
        <v>1101</v>
      </c>
    </row>
    <row r="483" spans="1:42" x14ac:dyDescent="0.25">
      <c r="A483">
        <v>2023</v>
      </c>
      <c r="B483">
        <v>9</v>
      </c>
      <c r="C483">
        <v>17</v>
      </c>
      <c r="D483" t="s">
        <v>1088</v>
      </c>
      <c r="E483" t="s">
        <v>282</v>
      </c>
      <c r="F483">
        <v>617621</v>
      </c>
      <c r="G483">
        <v>10288556</v>
      </c>
      <c r="H483" t="s">
        <v>282</v>
      </c>
      <c r="J483">
        <v>53775757</v>
      </c>
      <c r="K483">
        <v>1105</v>
      </c>
      <c r="L483">
        <v>1702</v>
      </c>
      <c r="M483">
        <v>1300</v>
      </c>
      <c r="N483">
        <v>53674366</v>
      </c>
      <c r="O483">
        <v>45180.587682372687</v>
      </c>
      <c r="P483">
        <v>216</v>
      </c>
      <c r="Q483">
        <v>1</v>
      </c>
      <c r="R483">
        <v>-216</v>
      </c>
      <c r="S483">
        <v>45182.707543206016</v>
      </c>
      <c r="T483">
        <v>5511</v>
      </c>
      <c r="U483" t="s">
        <v>1156</v>
      </c>
      <c r="V483" t="s">
        <v>99</v>
      </c>
      <c r="W483" t="s">
        <v>1090</v>
      </c>
      <c r="X483" t="s">
        <v>1090</v>
      </c>
      <c r="AI483">
        <v>62</v>
      </c>
      <c r="AJ483">
        <v>62</v>
      </c>
      <c r="AN483">
        <v>45170</v>
      </c>
      <c r="AO483">
        <v>45199</v>
      </c>
      <c r="AP483" t="s">
        <v>1101</v>
      </c>
    </row>
    <row r="484" spans="1:42" x14ac:dyDescent="0.25">
      <c r="A484">
        <v>2023</v>
      </c>
      <c r="B484">
        <v>9</v>
      </c>
      <c r="C484">
        <v>17</v>
      </c>
      <c r="D484" t="s">
        <v>1088</v>
      </c>
      <c r="E484" t="s">
        <v>282</v>
      </c>
      <c r="F484">
        <v>619938</v>
      </c>
      <c r="G484">
        <v>10331849</v>
      </c>
      <c r="H484" t="s">
        <v>282</v>
      </c>
      <c r="J484">
        <v>53815381</v>
      </c>
      <c r="K484">
        <v>1100</v>
      </c>
      <c r="L484">
        <v>1700</v>
      </c>
      <c r="M484">
        <v>1304</v>
      </c>
      <c r="P484">
        <v>216</v>
      </c>
      <c r="Q484">
        <v>1</v>
      </c>
      <c r="R484">
        <v>216</v>
      </c>
      <c r="S484">
        <v>45183.619117245369</v>
      </c>
      <c r="T484">
        <v>5500</v>
      </c>
      <c r="U484" t="s">
        <v>1154</v>
      </c>
      <c r="V484" t="s">
        <v>99</v>
      </c>
      <c r="W484" t="s">
        <v>2</v>
      </c>
      <c r="AI484">
        <v>62</v>
      </c>
      <c r="AJ484">
        <v>62</v>
      </c>
      <c r="AN484">
        <v>45170</v>
      </c>
      <c r="AO484">
        <v>45199</v>
      </c>
      <c r="AP484" t="s">
        <v>1101</v>
      </c>
    </row>
    <row r="485" spans="1:42" x14ac:dyDescent="0.25">
      <c r="A485">
        <v>2023</v>
      </c>
      <c r="B485">
        <v>9</v>
      </c>
      <c r="C485">
        <v>17</v>
      </c>
      <c r="D485" t="s">
        <v>1088</v>
      </c>
      <c r="E485" t="s">
        <v>282</v>
      </c>
      <c r="F485">
        <v>619938</v>
      </c>
      <c r="G485">
        <v>10331849</v>
      </c>
      <c r="H485" t="s">
        <v>282</v>
      </c>
      <c r="J485">
        <v>53815382</v>
      </c>
      <c r="K485">
        <v>1100</v>
      </c>
      <c r="L485">
        <v>1700</v>
      </c>
      <c r="M485">
        <v>1304</v>
      </c>
      <c r="P485">
        <v>216</v>
      </c>
      <c r="Q485">
        <v>1</v>
      </c>
      <c r="R485">
        <v>216</v>
      </c>
      <c r="S485">
        <v>45183.619277199075</v>
      </c>
      <c r="T485">
        <v>5500</v>
      </c>
      <c r="U485" t="s">
        <v>1154</v>
      </c>
      <c r="V485" t="s">
        <v>99</v>
      </c>
      <c r="W485" t="s">
        <v>2</v>
      </c>
      <c r="AI485">
        <v>62</v>
      </c>
      <c r="AJ485">
        <v>62</v>
      </c>
      <c r="AN485">
        <v>45170</v>
      </c>
      <c r="AO485">
        <v>45199</v>
      </c>
      <c r="AP485" t="s">
        <v>1101</v>
      </c>
    </row>
    <row r="486" spans="1:42" x14ac:dyDescent="0.25">
      <c r="A486">
        <v>2023</v>
      </c>
      <c r="B486">
        <v>9</v>
      </c>
      <c r="C486">
        <v>17</v>
      </c>
      <c r="D486" t="s">
        <v>1088</v>
      </c>
      <c r="E486" t="s">
        <v>282</v>
      </c>
      <c r="F486">
        <v>561676</v>
      </c>
      <c r="G486">
        <v>10356210</v>
      </c>
      <c r="H486" t="s">
        <v>282</v>
      </c>
      <c r="J486">
        <v>53821442</v>
      </c>
      <c r="K486">
        <v>1100</v>
      </c>
      <c r="L486">
        <v>1700</v>
      </c>
      <c r="M486">
        <v>1304</v>
      </c>
      <c r="P486">
        <v>216</v>
      </c>
      <c r="Q486">
        <v>1</v>
      </c>
      <c r="R486">
        <v>216</v>
      </c>
      <c r="S486">
        <v>45183.642583217596</v>
      </c>
      <c r="T486">
        <v>5500</v>
      </c>
      <c r="U486" t="s">
        <v>1154</v>
      </c>
      <c r="V486" t="s">
        <v>99</v>
      </c>
      <c r="W486" t="s">
        <v>2</v>
      </c>
      <c r="AI486">
        <v>62</v>
      </c>
      <c r="AJ486">
        <v>62</v>
      </c>
      <c r="AN486">
        <v>45170</v>
      </c>
      <c r="AO486">
        <v>45199</v>
      </c>
      <c r="AP486" t="s">
        <v>1101</v>
      </c>
    </row>
    <row r="487" spans="1:42" x14ac:dyDescent="0.25">
      <c r="A487">
        <v>2023</v>
      </c>
      <c r="B487">
        <v>9</v>
      </c>
      <c r="C487">
        <v>17</v>
      </c>
      <c r="D487" t="s">
        <v>1088</v>
      </c>
      <c r="E487" t="s">
        <v>282</v>
      </c>
      <c r="F487">
        <v>561676</v>
      </c>
      <c r="G487">
        <v>10356210</v>
      </c>
      <c r="H487" t="s">
        <v>282</v>
      </c>
      <c r="J487">
        <v>53821443</v>
      </c>
      <c r="K487">
        <v>1100</v>
      </c>
      <c r="L487">
        <v>1700</v>
      </c>
      <c r="M487">
        <v>1304</v>
      </c>
      <c r="P487">
        <v>216</v>
      </c>
      <c r="Q487">
        <v>1</v>
      </c>
      <c r="R487">
        <v>216</v>
      </c>
      <c r="S487">
        <v>45183.642711840279</v>
      </c>
      <c r="T487">
        <v>5500</v>
      </c>
      <c r="U487" t="s">
        <v>1154</v>
      </c>
      <c r="V487" t="s">
        <v>99</v>
      </c>
      <c r="W487" t="s">
        <v>2</v>
      </c>
      <c r="AI487">
        <v>62</v>
      </c>
      <c r="AJ487">
        <v>62</v>
      </c>
      <c r="AN487">
        <v>45170</v>
      </c>
      <c r="AO487">
        <v>45199</v>
      </c>
      <c r="AP487" t="s">
        <v>1101</v>
      </c>
    </row>
    <row r="488" spans="1:42" x14ac:dyDescent="0.25">
      <c r="A488">
        <v>2023</v>
      </c>
      <c r="B488">
        <v>9</v>
      </c>
      <c r="C488">
        <v>17</v>
      </c>
      <c r="D488" t="s">
        <v>1088</v>
      </c>
      <c r="E488" t="s">
        <v>282</v>
      </c>
      <c r="F488">
        <v>561676</v>
      </c>
      <c r="G488">
        <v>10356210</v>
      </c>
      <c r="H488" t="s">
        <v>282</v>
      </c>
      <c r="J488">
        <v>53821448</v>
      </c>
      <c r="K488">
        <v>1100</v>
      </c>
      <c r="L488">
        <v>1700</v>
      </c>
      <c r="M488">
        <v>1304</v>
      </c>
      <c r="P488">
        <v>18</v>
      </c>
      <c r="Q488">
        <v>1</v>
      </c>
      <c r="R488">
        <v>18</v>
      </c>
      <c r="S488">
        <v>45183.642816550928</v>
      </c>
      <c r="T488">
        <v>5500</v>
      </c>
      <c r="U488" t="s">
        <v>1154</v>
      </c>
      <c r="V488" t="s">
        <v>99</v>
      </c>
      <c r="W488" t="s">
        <v>2</v>
      </c>
      <c r="AI488">
        <v>62</v>
      </c>
      <c r="AJ488">
        <v>62</v>
      </c>
      <c r="AN488">
        <v>45170</v>
      </c>
      <c r="AO488">
        <v>45199</v>
      </c>
      <c r="AP488" t="s">
        <v>1101</v>
      </c>
    </row>
    <row r="489" spans="1:42" x14ac:dyDescent="0.25">
      <c r="A489">
        <v>2023</v>
      </c>
      <c r="B489">
        <v>9</v>
      </c>
      <c r="C489">
        <v>17</v>
      </c>
      <c r="D489" t="s">
        <v>1088</v>
      </c>
      <c r="E489" t="s">
        <v>282</v>
      </c>
      <c r="F489">
        <v>619938</v>
      </c>
      <c r="G489">
        <v>10331849</v>
      </c>
      <c r="H489" t="s">
        <v>282</v>
      </c>
      <c r="J489">
        <v>53833312</v>
      </c>
      <c r="K489">
        <v>1104</v>
      </c>
      <c r="L489">
        <v>1702</v>
      </c>
      <c r="M489">
        <v>1304</v>
      </c>
      <c r="N489">
        <v>53815381</v>
      </c>
      <c r="O489">
        <v>45183.619117245369</v>
      </c>
      <c r="P489">
        <v>216</v>
      </c>
      <c r="Q489">
        <v>1</v>
      </c>
      <c r="R489">
        <v>216</v>
      </c>
      <c r="S489">
        <v>45184.06737207176</v>
      </c>
      <c r="T489">
        <v>5509</v>
      </c>
      <c r="U489" t="s">
        <v>1152</v>
      </c>
      <c r="V489" t="s">
        <v>1153</v>
      </c>
      <c r="W489" t="s">
        <v>2</v>
      </c>
      <c r="AI489">
        <v>62</v>
      </c>
      <c r="AJ489">
        <v>62</v>
      </c>
      <c r="AN489">
        <v>45170</v>
      </c>
      <c r="AO489">
        <v>45199</v>
      </c>
      <c r="AP489" t="s">
        <v>1101</v>
      </c>
    </row>
    <row r="490" spans="1:42" x14ac:dyDescent="0.25">
      <c r="A490">
        <v>2023</v>
      </c>
      <c r="B490">
        <v>9</v>
      </c>
      <c r="C490">
        <v>17</v>
      </c>
      <c r="D490" t="s">
        <v>1088</v>
      </c>
      <c r="E490" t="s">
        <v>282</v>
      </c>
      <c r="F490">
        <v>619938</v>
      </c>
      <c r="G490">
        <v>10331849</v>
      </c>
      <c r="H490" t="s">
        <v>282</v>
      </c>
      <c r="J490">
        <v>53833313</v>
      </c>
      <c r="K490">
        <v>1104</v>
      </c>
      <c r="L490">
        <v>1702</v>
      </c>
      <c r="M490">
        <v>1304</v>
      </c>
      <c r="N490">
        <v>53815382</v>
      </c>
      <c r="O490">
        <v>45183.619277199075</v>
      </c>
      <c r="P490">
        <v>216</v>
      </c>
      <c r="Q490">
        <v>1</v>
      </c>
      <c r="R490">
        <v>216</v>
      </c>
      <c r="S490">
        <v>45184.06737207176</v>
      </c>
      <c r="T490">
        <v>5509</v>
      </c>
      <c r="U490" t="s">
        <v>1152</v>
      </c>
      <c r="V490" t="s">
        <v>1153</v>
      </c>
      <c r="W490" t="s">
        <v>2</v>
      </c>
      <c r="AI490">
        <v>62</v>
      </c>
      <c r="AJ490">
        <v>62</v>
      </c>
      <c r="AN490">
        <v>45170</v>
      </c>
      <c r="AO490">
        <v>45199</v>
      </c>
      <c r="AP490" t="s">
        <v>1101</v>
      </c>
    </row>
    <row r="491" spans="1:42" x14ac:dyDescent="0.25">
      <c r="A491">
        <v>2023</v>
      </c>
      <c r="B491">
        <v>9</v>
      </c>
      <c r="C491">
        <v>17</v>
      </c>
      <c r="D491" t="s">
        <v>1088</v>
      </c>
      <c r="E491" t="s">
        <v>282</v>
      </c>
      <c r="F491">
        <v>619938</v>
      </c>
      <c r="G491">
        <v>10331849</v>
      </c>
      <c r="H491" t="s">
        <v>282</v>
      </c>
      <c r="J491">
        <v>53833314</v>
      </c>
      <c r="K491">
        <v>1104</v>
      </c>
      <c r="L491">
        <v>1702</v>
      </c>
      <c r="M491">
        <v>1304</v>
      </c>
      <c r="N491">
        <v>53815386</v>
      </c>
      <c r="O491">
        <v>45183.61934193287</v>
      </c>
      <c r="P491">
        <v>18</v>
      </c>
      <c r="Q491">
        <v>1</v>
      </c>
      <c r="R491">
        <v>18</v>
      </c>
      <c r="S491">
        <v>45184.06737207176</v>
      </c>
      <c r="T491">
        <v>5509</v>
      </c>
      <c r="U491" t="s">
        <v>1152</v>
      </c>
      <c r="V491" t="s">
        <v>1153</v>
      </c>
      <c r="W491" t="s">
        <v>2</v>
      </c>
      <c r="AI491">
        <v>62</v>
      </c>
      <c r="AJ491">
        <v>62</v>
      </c>
      <c r="AN491">
        <v>45170</v>
      </c>
      <c r="AO491">
        <v>45199</v>
      </c>
      <c r="AP491" t="s">
        <v>1101</v>
      </c>
    </row>
    <row r="492" spans="1:42" x14ac:dyDescent="0.25">
      <c r="A492">
        <v>2023</v>
      </c>
      <c r="B492">
        <v>9</v>
      </c>
      <c r="C492">
        <v>17</v>
      </c>
      <c r="D492" t="s">
        <v>1088</v>
      </c>
      <c r="E492" t="s">
        <v>282</v>
      </c>
      <c r="F492">
        <v>621106</v>
      </c>
      <c r="G492">
        <v>10353982</v>
      </c>
      <c r="H492" t="s">
        <v>282</v>
      </c>
      <c r="J492">
        <v>53833316</v>
      </c>
      <c r="K492">
        <v>1104</v>
      </c>
      <c r="L492">
        <v>1702</v>
      </c>
      <c r="M492">
        <v>1304</v>
      </c>
      <c r="N492">
        <v>53796785</v>
      </c>
      <c r="O492">
        <v>45183.448970057871</v>
      </c>
      <c r="P492">
        <v>216</v>
      </c>
      <c r="Q492">
        <v>1</v>
      </c>
      <c r="R492">
        <v>216</v>
      </c>
      <c r="S492">
        <v>45184.06737207176</v>
      </c>
      <c r="T492">
        <v>5509</v>
      </c>
      <c r="U492" t="s">
        <v>1152</v>
      </c>
      <c r="V492" t="s">
        <v>1153</v>
      </c>
      <c r="W492" t="s">
        <v>2</v>
      </c>
      <c r="AI492">
        <v>62</v>
      </c>
      <c r="AJ492">
        <v>62</v>
      </c>
      <c r="AN492">
        <v>45170</v>
      </c>
      <c r="AO492">
        <v>45199</v>
      </c>
      <c r="AP492" t="s">
        <v>1101</v>
      </c>
    </row>
    <row r="493" spans="1:42" x14ac:dyDescent="0.25">
      <c r="A493">
        <v>2023</v>
      </c>
      <c r="B493">
        <v>9</v>
      </c>
      <c r="C493">
        <v>17</v>
      </c>
      <c r="D493" t="s">
        <v>1088</v>
      </c>
      <c r="E493" t="s">
        <v>282</v>
      </c>
      <c r="F493">
        <v>621106</v>
      </c>
      <c r="G493">
        <v>10353982</v>
      </c>
      <c r="H493" t="s">
        <v>282</v>
      </c>
      <c r="J493">
        <v>53833317</v>
      </c>
      <c r="K493">
        <v>1104</v>
      </c>
      <c r="L493">
        <v>1702</v>
      </c>
      <c r="M493">
        <v>1304</v>
      </c>
      <c r="N493">
        <v>53796786</v>
      </c>
      <c r="O493">
        <v>45183.449090509261</v>
      </c>
      <c r="P493">
        <v>216</v>
      </c>
      <c r="Q493">
        <v>1</v>
      </c>
      <c r="R493">
        <v>216</v>
      </c>
      <c r="S493">
        <v>45184.06737207176</v>
      </c>
      <c r="T493">
        <v>5509</v>
      </c>
      <c r="U493" t="s">
        <v>1152</v>
      </c>
      <c r="V493" t="s">
        <v>1153</v>
      </c>
      <c r="W493" t="s">
        <v>2</v>
      </c>
      <c r="AI493">
        <v>62</v>
      </c>
      <c r="AJ493">
        <v>62</v>
      </c>
      <c r="AN493">
        <v>45170</v>
      </c>
      <c r="AO493">
        <v>45199</v>
      </c>
      <c r="AP493" t="s">
        <v>1101</v>
      </c>
    </row>
    <row r="494" spans="1:42" x14ac:dyDescent="0.25">
      <c r="A494">
        <v>2023</v>
      </c>
      <c r="B494">
        <v>9</v>
      </c>
      <c r="C494">
        <v>17</v>
      </c>
      <c r="D494" t="s">
        <v>1088</v>
      </c>
      <c r="E494" t="s">
        <v>282</v>
      </c>
      <c r="F494">
        <v>621106</v>
      </c>
      <c r="G494">
        <v>10353982</v>
      </c>
      <c r="H494" t="s">
        <v>282</v>
      </c>
      <c r="J494">
        <v>53833318</v>
      </c>
      <c r="K494">
        <v>1104</v>
      </c>
      <c r="L494">
        <v>1702</v>
      </c>
      <c r="M494">
        <v>1304</v>
      </c>
      <c r="N494">
        <v>53796787</v>
      </c>
      <c r="O494">
        <v>45183.449212500003</v>
      </c>
      <c r="P494">
        <v>18</v>
      </c>
      <c r="Q494">
        <v>1</v>
      </c>
      <c r="R494">
        <v>18</v>
      </c>
      <c r="S494">
        <v>45184.06737207176</v>
      </c>
      <c r="T494">
        <v>5509</v>
      </c>
      <c r="U494" t="s">
        <v>1152</v>
      </c>
      <c r="V494" t="s">
        <v>1153</v>
      </c>
      <c r="W494" t="s">
        <v>2</v>
      </c>
      <c r="AI494">
        <v>62</v>
      </c>
      <c r="AJ494">
        <v>62</v>
      </c>
      <c r="AN494">
        <v>45170</v>
      </c>
      <c r="AO494">
        <v>45199</v>
      </c>
      <c r="AP494" t="s">
        <v>1101</v>
      </c>
    </row>
    <row r="495" spans="1:42" x14ac:dyDescent="0.25">
      <c r="A495">
        <v>2023</v>
      </c>
      <c r="B495">
        <v>9</v>
      </c>
      <c r="C495">
        <v>17</v>
      </c>
      <c r="D495" t="s">
        <v>1088</v>
      </c>
      <c r="E495" t="s">
        <v>282</v>
      </c>
      <c r="F495">
        <v>95780</v>
      </c>
      <c r="G495">
        <v>10315398</v>
      </c>
      <c r="H495" t="s">
        <v>282</v>
      </c>
      <c r="J495">
        <v>53833319</v>
      </c>
      <c r="K495">
        <v>1104</v>
      </c>
      <c r="L495">
        <v>1702</v>
      </c>
      <c r="M495">
        <v>1304</v>
      </c>
      <c r="N495">
        <v>53471040</v>
      </c>
      <c r="O495">
        <v>45174.546293715277</v>
      </c>
      <c r="P495">
        <v>216</v>
      </c>
      <c r="Q495">
        <v>1</v>
      </c>
      <c r="R495">
        <v>216</v>
      </c>
      <c r="S495">
        <v>45184.06737207176</v>
      </c>
      <c r="T495">
        <v>5509</v>
      </c>
      <c r="U495" t="s">
        <v>1152</v>
      </c>
      <c r="V495" t="s">
        <v>1153</v>
      </c>
      <c r="W495" t="s">
        <v>2</v>
      </c>
      <c r="AI495">
        <v>62</v>
      </c>
      <c r="AJ495">
        <v>62</v>
      </c>
      <c r="AN495">
        <v>45170</v>
      </c>
      <c r="AO495">
        <v>45199</v>
      </c>
      <c r="AP495" t="s">
        <v>1101</v>
      </c>
    </row>
    <row r="496" spans="1:42" x14ac:dyDescent="0.25">
      <c r="A496">
        <v>2023</v>
      </c>
      <c r="B496">
        <v>9</v>
      </c>
      <c r="C496">
        <v>17</v>
      </c>
      <c r="D496" t="s">
        <v>1088</v>
      </c>
      <c r="E496" t="s">
        <v>282</v>
      </c>
      <c r="F496">
        <v>95780</v>
      </c>
      <c r="G496">
        <v>10315398</v>
      </c>
      <c r="H496" t="s">
        <v>282</v>
      </c>
      <c r="J496">
        <v>53833320</v>
      </c>
      <c r="K496">
        <v>1104</v>
      </c>
      <c r="L496">
        <v>1702</v>
      </c>
      <c r="M496">
        <v>1304</v>
      </c>
      <c r="N496">
        <v>53471041</v>
      </c>
      <c r="O496">
        <v>45174.546416006946</v>
      </c>
      <c r="P496">
        <v>216</v>
      </c>
      <c r="Q496">
        <v>1</v>
      </c>
      <c r="R496">
        <v>216</v>
      </c>
      <c r="S496">
        <v>45184.06737207176</v>
      </c>
      <c r="T496">
        <v>5509</v>
      </c>
      <c r="U496" t="s">
        <v>1152</v>
      </c>
      <c r="V496" t="s">
        <v>1153</v>
      </c>
      <c r="W496" t="s">
        <v>2</v>
      </c>
      <c r="AI496">
        <v>62</v>
      </c>
      <c r="AJ496">
        <v>62</v>
      </c>
      <c r="AN496">
        <v>45170</v>
      </c>
      <c r="AO496">
        <v>45199</v>
      </c>
      <c r="AP496" t="s">
        <v>1101</v>
      </c>
    </row>
    <row r="497" spans="1:42" x14ac:dyDescent="0.25">
      <c r="A497">
        <v>2023</v>
      </c>
      <c r="B497">
        <v>9</v>
      </c>
      <c r="C497">
        <v>17</v>
      </c>
      <c r="D497" t="s">
        <v>1088</v>
      </c>
      <c r="E497" t="s">
        <v>282</v>
      </c>
      <c r="F497">
        <v>95780</v>
      </c>
      <c r="G497">
        <v>10315398</v>
      </c>
      <c r="H497" t="s">
        <v>282</v>
      </c>
      <c r="J497">
        <v>53833321</v>
      </c>
      <c r="K497">
        <v>1104</v>
      </c>
      <c r="L497">
        <v>1702</v>
      </c>
      <c r="M497">
        <v>1304</v>
      </c>
      <c r="N497">
        <v>53471042</v>
      </c>
      <c r="O497">
        <v>45174.546487037034</v>
      </c>
      <c r="P497">
        <v>18</v>
      </c>
      <c r="Q497">
        <v>1</v>
      </c>
      <c r="R497">
        <v>18</v>
      </c>
      <c r="S497">
        <v>45184.06737207176</v>
      </c>
      <c r="T497">
        <v>5509</v>
      </c>
      <c r="U497" t="s">
        <v>1152</v>
      </c>
      <c r="V497" t="s">
        <v>1153</v>
      </c>
      <c r="W497" t="s">
        <v>2</v>
      </c>
      <c r="AI497">
        <v>62</v>
      </c>
      <c r="AJ497">
        <v>62</v>
      </c>
      <c r="AN497">
        <v>45170</v>
      </c>
      <c r="AO497">
        <v>45199</v>
      </c>
      <c r="AP497" t="s">
        <v>1101</v>
      </c>
    </row>
    <row r="498" spans="1:42" x14ac:dyDescent="0.25">
      <c r="A498">
        <v>2023</v>
      </c>
      <c r="B498">
        <v>9</v>
      </c>
      <c r="C498">
        <v>17</v>
      </c>
      <c r="D498" t="s">
        <v>1088</v>
      </c>
      <c r="E498" t="s">
        <v>282</v>
      </c>
      <c r="F498">
        <v>425072</v>
      </c>
      <c r="G498">
        <v>10330803</v>
      </c>
      <c r="H498" t="s">
        <v>282</v>
      </c>
      <c r="J498">
        <v>53863937</v>
      </c>
      <c r="K498">
        <v>1104</v>
      </c>
      <c r="L498">
        <v>1702</v>
      </c>
      <c r="M498">
        <v>1304</v>
      </c>
      <c r="N498">
        <v>53859247</v>
      </c>
      <c r="O498">
        <v>45184.596739699075</v>
      </c>
      <c r="P498">
        <v>216</v>
      </c>
      <c r="Q498">
        <v>1</v>
      </c>
      <c r="R498">
        <v>216</v>
      </c>
      <c r="S498">
        <v>45185.067373877311</v>
      </c>
      <c r="T498">
        <v>5509</v>
      </c>
      <c r="U498" t="s">
        <v>1152</v>
      </c>
      <c r="V498" t="s">
        <v>1153</v>
      </c>
      <c r="W498" t="s">
        <v>2</v>
      </c>
      <c r="AI498">
        <v>62</v>
      </c>
      <c r="AJ498">
        <v>62</v>
      </c>
      <c r="AN498">
        <v>45170</v>
      </c>
      <c r="AO498">
        <v>45199</v>
      </c>
      <c r="AP498" t="s">
        <v>1101</v>
      </c>
    </row>
    <row r="499" spans="1:42" x14ac:dyDescent="0.25">
      <c r="A499">
        <v>2023</v>
      </c>
      <c r="B499">
        <v>9</v>
      </c>
      <c r="C499">
        <v>17</v>
      </c>
      <c r="D499" t="s">
        <v>1088</v>
      </c>
      <c r="E499" t="s">
        <v>282</v>
      </c>
      <c r="F499">
        <v>425072</v>
      </c>
      <c r="G499">
        <v>10330803</v>
      </c>
      <c r="H499" t="s">
        <v>282</v>
      </c>
      <c r="J499">
        <v>53863938</v>
      </c>
      <c r="K499">
        <v>1104</v>
      </c>
      <c r="L499">
        <v>1702</v>
      </c>
      <c r="M499">
        <v>1304</v>
      </c>
      <c r="N499">
        <v>53859248</v>
      </c>
      <c r="O499">
        <v>45184.596843900465</v>
      </c>
      <c r="P499">
        <v>216</v>
      </c>
      <c r="Q499">
        <v>1</v>
      </c>
      <c r="R499">
        <v>216</v>
      </c>
      <c r="S499">
        <v>45185.067373877311</v>
      </c>
      <c r="T499">
        <v>5509</v>
      </c>
      <c r="U499" t="s">
        <v>1152</v>
      </c>
      <c r="V499" t="s">
        <v>1153</v>
      </c>
      <c r="W499" t="s">
        <v>2</v>
      </c>
      <c r="AI499">
        <v>62</v>
      </c>
      <c r="AJ499">
        <v>62</v>
      </c>
      <c r="AN499">
        <v>45170</v>
      </c>
      <c r="AO499">
        <v>45199</v>
      </c>
      <c r="AP499" t="s">
        <v>1101</v>
      </c>
    </row>
    <row r="500" spans="1:42" x14ac:dyDescent="0.25">
      <c r="A500">
        <v>2023</v>
      </c>
      <c r="B500">
        <v>9</v>
      </c>
      <c r="C500">
        <v>17</v>
      </c>
      <c r="D500" t="s">
        <v>1088</v>
      </c>
      <c r="E500" t="s">
        <v>282</v>
      </c>
      <c r="F500">
        <v>425072</v>
      </c>
      <c r="G500">
        <v>10330803</v>
      </c>
      <c r="H500" t="s">
        <v>282</v>
      </c>
      <c r="J500">
        <v>53863939</v>
      </c>
      <c r="K500">
        <v>1104</v>
      </c>
      <c r="L500">
        <v>1702</v>
      </c>
      <c r="M500">
        <v>1304</v>
      </c>
      <c r="N500">
        <v>53859249</v>
      </c>
      <c r="O500">
        <v>45184.596897685187</v>
      </c>
      <c r="P500">
        <v>18</v>
      </c>
      <c r="Q500">
        <v>1</v>
      </c>
      <c r="R500">
        <v>18</v>
      </c>
      <c r="S500">
        <v>45185.067373877311</v>
      </c>
      <c r="T500">
        <v>5509</v>
      </c>
      <c r="U500" t="s">
        <v>1152</v>
      </c>
      <c r="V500" t="s">
        <v>1153</v>
      </c>
      <c r="W500" t="s">
        <v>2</v>
      </c>
      <c r="AI500">
        <v>62</v>
      </c>
      <c r="AJ500">
        <v>62</v>
      </c>
      <c r="AN500">
        <v>45170</v>
      </c>
      <c r="AO500">
        <v>45199</v>
      </c>
      <c r="AP500" t="s">
        <v>1101</v>
      </c>
    </row>
    <row r="501" spans="1:42" x14ac:dyDescent="0.25">
      <c r="A501">
        <v>2023</v>
      </c>
      <c r="B501">
        <v>9</v>
      </c>
      <c r="C501">
        <v>17</v>
      </c>
      <c r="D501" t="s">
        <v>1088</v>
      </c>
      <c r="E501" t="s">
        <v>282</v>
      </c>
      <c r="F501">
        <v>622662</v>
      </c>
      <c r="G501">
        <v>10384058</v>
      </c>
      <c r="H501" t="s">
        <v>282</v>
      </c>
      <c r="J501">
        <v>53862282</v>
      </c>
      <c r="K501">
        <v>1100</v>
      </c>
      <c r="L501">
        <v>1700</v>
      </c>
      <c r="M501">
        <v>1301</v>
      </c>
      <c r="P501">
        <v>85</v>
      </c>
      <c r="Q501">
        <v>1</v>
      </c>
      <c r="R501">
        <v>85</v>
      </c>
      <c r="S501">
        <v>45184.66643005787</v>
      </c>
      <c r="T501">
        <v>5500</v>
      </c>
      <c r="U501" t="s">
        <v>1151</v>
      </c>
      <c r="V501" t="s">
        <v>99</v>
      </c>
      <c r="W501" t="s">
        <v>1031</v>
      </c>
      <c r="X501" t="s">
        <v>1031</v>
      </c>
      <c r="AA501">
        <v>57887</v>
      </c>
      <c r="AB501" t="s">
        <v>1223</v>
      </c>
      <c r="AC501">
        <v>45186.083636307871</v>
      </c>
      <c r="AI501">
        <v>62</v>
      </c>
      <c r="AJ501">
        <v>62</v>
      </c>
      <c r="AN501">
        <v>45170</v>
      </c>
      <c r="AO501">
        <v>45199</v>
      </c>
      <c r="AP501" t="s">
        <v>1101</v>
      </c>
    </row>
    <row r="502" spans="1:42" x14ac:dyDescent="0.25">
      <c r="A502">
        <v>2023</v>
      </c>
      <c r="B502">
        <v>9</v>
      </c>
      <c r="C502">
        <v>17</v>
      </c>
      <c r="D502" t="s">
        <v>1088</v>
      </c>
      <c r="E502" t="s">
        <v>282</v>
      </c>
      <c r="F502">
        <v>622662</v>
      </c>
      <c r="G502">
        <v>10384058</v>
      </c>
      <c r="H502" t="s">
        <v>282</v>
      </c>
      <c r="J502">
        <v>53862283</v>
      </c>
      <c r="K502">
        <v>1100</v>
      </c>
      <c r="L502">
        <v>1700</v>
      </c>
      <c r="M502">
        <v>1301</v>
      </c>
      <c r="P502">
        <v>7.5</v>
      </c>
      <c r="Q502">
        <v>2</v>
      </c>
      <c r="R502">
        <v>15</v>
      </c>
      <c r="S502">
        <v>45184.666573807874</v>
      </c>
      <c r="T502">
        <v>5500</v>
      </c>
      <c r="U502" t="s">
        <v>1151</v>
      </c>
      <c r="V502" t="s">
        <v>99</v>
      </c>
      <c r="W502" t="s">
        <v>1031</v>
      </c>
      <c r="X502" t="s">
        <v>1031</v>
      </c>
      <c r="AA502">
        <v>57887</v>
      </c>
      <c r="AB502" t="s">
        <v>1223</v>
      </c>
      <c r="AC502">
        <v>45186.083636307871</v>
      </c>
      <c r="AI502">
        <v>62</v>
      </c>
      <c r="AJ502">
        <v>62</v>
      </c>
      <c r="AN502">
        <v>45170</v>
      </c>
      <c r="AO502">
        <v>45199</v>
      </c>
      <c r="AP502" t="s">
        <v>1101</v>
      </c>
    </row>
    <row r="503" spans="1:42" x14ac:dyDescent="0.25">
      <c r="A503">
        <v>2023</v>
      </c>
      <c r="B503">
        <v>9</v>
      </c>
      <c r="C503">
        <v>17</v>
      </c>
      <c r="D503" t="s">
        <v>1088</v>
      </c>
      <c r="E503" t="s">
        <v>282</v>
      </c>
      <c r="F503">
        <v>622662</v>
      </c>
      <c r="G503">
        <v>10384058</v>
      </c>
      <c r="H503" t="s">
        <v>282</v>
      </c>
      <c r="J503">
        <v>53862287</v>
      </c>
      <c r="K503">
        <v>1100</v>
      </c>
      <c r="L503">
        <v>1700</v>
      </c>
      <c r="M503">
        <v>1301</v>
      </c>
      <c r="P503">
        <v>8</v>
      </c>
      <c r="Q503">
        <v>2</v>
      </c>
      <c r="R503">
        <v>16</v>
      </c>
      <c r="S503">
        <v>45184.666747766205</v>
      </c>
      <c r="T503">
        <v>5500</v>
      </c>
      <c r="U503" t="s">
        <v>1151</v>
      </c>
      <c r="V503" t="s">
        <v>99</v>
      </c>
      <c r="W503" t="s">
        <v>1031</v>
      </c>
      <c r="X503" t="s">
        <v>1031</v>
      </c>
      <c r="AA503">
        <v>57887</v>
      </c>
      <c r="AB503" t="s">
        <v>1223</v>
      </c>
      <c r="AC503">
        <v>45186.083636307871</v>
      </c>
      <c r="AI503">
        <v>62</v>
      </c>
      <c r="AJ503">
        <v>62</v>
      </c>
      <c r="AN503">
        <v>45170</v>
      </c>
      <c r="AO503">
        <v>45199</v>
      </c>
      <c r="AP503" t="s">
        <v>1101</v>
      </c>
    </row>
    <row r="504" spans="1:42" x14ac:dyDescent="0.25">
      <c r="A504">
        <v>2023</v>
      </c>
      <c r="B504">
        <v>9</v>
      </c>
      <c r="C504">
        <v>17</v>
      </c>
      <c r="D504" t="s">
        <v>1088</v>
      </c>
      <c r="E504" t="s">
        <v>282</v>
      </c>
      <c r="F504">
        <v>622662</v>
      </c>
      <c r="G504">
        <v>10384058</v>
      </c>
      <c r="H504" t="s">
        <v>282</v>
      </c>
      <c r="J504">
        <v>53862295</v>
      </c>
      <c r="K504">
        <v>1100</v>
      </c>
      <c r="L504">
        <v>1700</v>
      </c>
      <c r="M504">
        <v>1301</v>
      </c>
      <c r="P504">
        <v>4</v>
      </c>
      <c r="Q504">
        <v>2</v>
      </c>
      <c r="R504">
        <v>8</v>
      </c>
      <c r="S504">
        <v>45184.666980289352</v>
      </c>
      <c r="T504">
        <v>5500</v>
      </c>
      <c r="U504" t="s">
        <v>1151</v>
      </c>
      <c r="V504" t="s">
        <v>99</v>
      </c>
      <c r="W504" t="s">
        <v>1031</v>
      </c>
      <c r="X504" t="s">
        <v>1031</v>
      </c>
      <c r="AA504">
        <v>57887</v>
      </c>
      <c r="AB504" t="s">
        <v>1223</v>
      </c>
      <c r="AC504">
        <v>45186.083636307871</v>
      </c>
      <c r="AI504">
        <v>62</v>
      </c>
      <c r="AJ504">
        <v>62</v>
      </c>
      <c r="AN504">
        <v>45170</v>
      </c>
      <c r="AO504">
        <v>45199</v>
      </c>
      <c r="AP504" t="s">
        <v>1101</v>
      </c>
    </row>
    <row r="505" spans="1:42" x14ac:dyDescent="0.25">
      <c r="A505">
        <v>2023</v>
      </c>
      <c r="B505">
        <v>9</v>
      </c>
      <c r="C505">
        <v>17</v>
      </c>
      <c r="D505" t="s">
        <v>1088</v>
      </c>
      <c r="E505" t="s">
        <v>282</v>
      </c>
      <c r="F505">
        <v>623018</v>
      </c>
      <c r="G505">
        <v>10389922</v>
      </c>
      <c r="H505" t="s">
        <v>282</v>
      </c>
      <c r="J505">
        <v>53907967</v>
      </c>
      <c r="K505">
        <v>1100</v>
      </c>
      <c r="L505">
        <v>1700</v>
      </c>
      <c r="M505">
        <v>1301</v>
      </c>
      <c r="P505">
        <v>85</v>
      </c>
      <c r="Q505">
        <v>1</v>
      </c>
      <c r="R505">
        <v>85</v>
      </c>
      <c r="S505">
        <v>45187.625585682872</v>
      </c>
      <c r="T505">
        <v>5500</v>
      </c>
      <c r="U505" t="s">
        <v>1151</v>
      </c>
      <c r="V505" t="s">
        <v>99</v>
      </c>
      <c r="W505" t="s">
        <v>1031</v>
      </c>
      <c r="X505" t="s">
        <v>1031</v>
      </c>
      <c r="AA505">
        <v>57924</v>
      </c>
      <c r="AB505" t="s">
        <v>1223</v>
      </c>
      <c r="AC505">
        <v>45189.087667210646</v>
      </c>
      <c r="AI505">
        <v>62</v>
      </c>
      <c r="AJ505">
        <v>62</v>
      </c>
      <c r="AN505">
        <v>45170</v>
      </c>
      <c r="AO505">
        <v>45199</v>
      </c>
      <c r="AP505" t="s">
        <v>1101</v>
      </c>
    </row>
    <row r="506" spans="1:42" x14ac:dyDescent="0.25">
      <c r="A506">
        <v>2023</v>
      </c>
      <c r="B506">
        <v>9</v>
      </c>
      <c r="C506">
        <v>17</v>
      </c>
      <c r="D506" t="s">
        <v>1088</v>
      </c>
      <c r="E506" t="s">
        <v>282</v>
      </c>
      <c r="F506">
        <v>623018</v>
      </c>
      <c r="G506">
        <v>10389922</v>
      </c>
      <c r="H506" t="s">
        <v>282</v>
      </c>
      <c r="J506">
        <v>53907971</v>
      </c>
      <c r="K506">
        <v>1100</v>
      </c>
      <c r="L506">
        <v>1700</v>
      </c>
      <c r="M506">
        <v>1301</v>
      </c>
      <c r="P506">
        <v>7.5</v>
      </c>
      <c r="Q506">
        <v>2</v>
      </c>
      <c r="R506">
        <v>15</v>
      </c>
      <c r="S506">
        <v>45187.625723761572</v>
      </c>
      <c r="T506">
        <v>5500</v>
      </c>
      <c r="U506" t="s">
        <v>1151</v>
      </c>
      <c r="V506" t="s">
        <v>99</v>
      </c>
      <c r="W506" t="s">
        <v>1031</v>
      </c>
      <c r="X506" t="s">
        <v>1031</v>
      </c>
      <c r="AA506">
        <v>57924</v>
      </c>
      <c r="AB506" t="s">
        <v>1223</v>
      </c>
      <c r="AC506">
        <v>45189.087667210646</v>
      </c>
      <c r="AI506">
        <v>62</v>
      </c>
      <c r="AJ506">
        <v>62</v>
      </c>
      <c r="AN506">
        <v>45170</v>
      </c>
      <c r="AO506">
        <v>45199</v>
      </c>
      <c r="AP506" t="s">
        <v>1101</v>
      </c>
    </row>
    <row r="507" spans="1:42" x14ac:dyDescent="0.25">
      <c r="A507">
        <v>2023</v>
      </c>
      <c r="B507">
        <v>9</v>
      </c>
      <c r="C507">
        <v>17</v>
      </c>
      <c r="D507" t="s">
        <v>1088</v>
      </c>
      <c r="E507" t="s">
        <v>282</v>
      </c>
      <c r="F507">
        <v>561159</v>
      </c>
      <c r="G507">
        <v>10303824</v>
      </c>
      <c r="H507" t="s">
        <v>282</v>
      </c>
      <c r="J507">
        <v>53941078</v>
      </c>
      <c r="K507">
        <v>1105</v>
      </c>
      <c r="L507">
        <v>1702</v>
      </c>
      <c r="M507">
        <v>1300</v>
      </c>
      <c r="N507">
        <v>53352100</v>
      </c>
      <c r="O507">
        <v>45168.617081944445</v>
      </c>
      <c r="P507">
        <v>116</v>
      </c>
      <c r="Q507">
        <v>1</v>
      </c>
      <c r="R507">
        <v>-116</v>
      </c>
      <c r="S507">
        <v>45188.561338194442</v>
      </c>
      <c r="T507">
        <v>5511</v>
      </c>
      <c r="U507" t="s">
        <v>1156</v>
      </c>
      <c r="V507" t="s">
        <v>99</v>
      </c>
      <c r="W507" t="s">
        <v>1031</v>
      </c>
      <c r="X507" t="s">
        <v>1031</v>
      </c>
      <c r="AI507">
        <v>62</v>
      </c>
      <c r="AJ507">
        <v>62</v>
      </c>
      <c r="AN507">
        <v>45170</v>
      </c>
      <c r="AO507">
        <v>45199</v>
      </c>
      <c r="AP507" t="s">
        <v>1101</v>
      </c>
    </row>
    <row r="508" spans="1:42" x14ac:dyDescent="0.25">
      <c r="A508">
        <v>2023</v>
      </c>
      <c r="B508">
        <v>9</v>
      </c>
      <c r="C508">
        <v>17</v>
      </c>
      <c r="D508" t="s">
        <v>1088</v>
      </c>
      <c r="E508" t="s">
        <v>282</v>
      </c>
      <c r="F508">
        <v>561159</v>
      </c>
      <c r="G508">
        <v>10303824</v>
      </c>
      <c r="H508" t="s">
        <v>282</v>
      </c>
      <c r="J508">
        <v>53941079</v>
      </c>
      <c r="K508">
        <v>1105</v>
      </c>
      <c r="L508">
        <v>1702</v>
      </c>
      <c r="M508">
        <v>1300</v>
      </c>
      <c r="N508">
        <v>53352103</v>
      </c>
      <c r="O508">
        <v>45168.617200196757</v>
      </c>
      <c r="P508">
        <v>116</v>
      </c>
      <c r="Q508">
        <v>1</v>
      </c>
      <c r="R508">
        <v>-116</v>
      </c>
      <c r="S508">
        <v>45188.561384143519</v>
      </c>
      <c r="T508">
        <v>5511</v>
      </c>
      <c r="U508" t="s">
        <v>1156</v>
      </c>
      <c r="V508" t="s">
        <v>99</v>
      </c>
      <c r="W508" t="s">
        <v>1031</v>
      </c>
      <c r="X508" t="s">
        <v>1031</v>
      </c>
      <c r="AI508">
        <v>62</v>
      </c>
      <c r="AJ508">
        <v>62</v>
      </c>
      <c r="AN508">
        <v>45170</v>
      </c>
      <c r="AO508">
        <v>45199</v>
      </c>
      <c r="AP508" t="s">
        <v>1101</v>
      </c>
    </row>
    <row r="509" spans="1:42" x14ac:dyDescent="0.25">
      <c r="A509">
        <v>2023</v>
      </c>
      <c r="B509">
        <v>9</v>
      </c>
      <c r="C509">
        <v>17</v>
      </c>
      <c r="D509" t="s">
        <v>1088</v>
      </c>
      <c r="E509" t="s">
        <v>282</v>
      </c>
      <c r="F509">
        <v>561159</v>
      </c>
      <c r="G509">
        <v>10303824</v>
      </c>
      <c r="H509" t="s">
        <v>282</v>
      </c>
      <c r="J509">
        <v>53941080</v>
      </c>
      <c r="K509">
        <v>1105</v>
      </c>
      <c r="L509">
        <v>1702</v>
      </c>
      <c r="M509">
        <v>1300</v>
      </c>
      <c r="N509">
        <v>53352177</v>
      </c>
      <c r="O509">
        <v>45168.620707835646</v>
      </c>
      <c r="P509">
        <v>75</v>
      </c>
      <c r="Q509">
        <v>1</v>
      </c>
      <c r="R509">
        <v>-75</v>
      </c>
      <c r="S509">
        <v>45188.561432372684</v>
      </c>
      <c r="T509">
        <v>5511</v>
      </c>
      <c r="U509" t="s">
        <v>1156</v>
      </c>
      <c r="V509" t="s">
        <v>99</v>
      </c>
      <c r="W509" t="s">
        <v>1031</v>
      </c>
      <c r="X509" t="s">
        <v>1031</v>
      </c>
      <c r="AI509">
        <v>62</v>
      </c>
      <c r="AJ509">
        <v>62</v>
      </c>
      <c r="AN509">
        <v>45170</v>
      </c>
      <c r="AO509">
        <v>45199</v>
      </c>
      <c r="AP509" t="s">
        <v>1101</v>
      </c>
    </row>
    <row r="510" spans="1:42" x14ac:dyDescent="0.25">
      <c r="A510">
        <v>2023</v>
      </c>
      <c r="B510">
        <v>9</v>
      </c>
      <c r="C510">
        <v>17</v>
      </c>
      <c r="D510" t="s">
        <v>1088</v>
      </c>
      <c r="E510" t="s">
        <v>282</v>
      </c>
      <c r="F510">
        <v>561159</v>
      </c>
      <c r="G510">
        <v>10303824</v>
      </c>
      <c r="H510" t="s">
        <v>282</v>
      </c>
      <c r="J510">
        <v>53941081</v>
      </c>
      <c r="K510">
        <v>1100</v>
      </c>
      <c r="L510">
        <v>1700</v>
      </c>
      <c r="M510">
        <v>1304</v>
      </c>
      <c r="P510">
        <v>116</v>
      </c>
      <c r="Q510">
        <v>1</v>
      </c>
      <c r="R510">
        <v>116</v>
      </c>
      <c r="S510">
        <v>45188.561575775464</v>
      </c>
      <c r="T510">
        <v>5500</v>
      </c>
      <c r="U510" t="s">
        <v>1154</v>
      </c>
      <c r="V510" t="s">
        <v>99</v>
      </c>
      <c r="W510" t="s">
        <v>2</v>
      </c>
      <c r="AI510">
        <v>62</v>
      </c>
      <c r="AJ510">
        <v>62</v>
      </c>
      <c r="AN510">
        <v>45170</v>
      </c>
      <c r="AO510">
        <v>45199</v>
      </c>
      <c r="AP510" t="s">
        <v>1101</v>
      </c>
    </row>
    <row r="511" spans="1:42" x14ac:dyDescent="0.25">
      <c r="A511">
        <v>2023</v>
      </c>
      <c r="B511">
        <v>9</v>
      </c>
      <c r="C511">
        <v>17</v>
      </c>
      <c r="D511" t="s">
        <v>1088</v>
      </c>
      <c r="E511" t="s">
        <v>282</v>
      </c>
      <c r="F511">
        <v>561159</v>
      </c>
      <c r="G511">
        <v>10303824</v>
      </c>
      <c r="H511" t="s">
        <v>282</v>
      </c>
      <c r="J511">
        <v>53941085</v>
      </c>
      <c r="K511">
        <v>1100</v>
      </c>
      <c r="L511">
        <v>1700</v>
      </c>
      <c r="M511">
        <v>1304</v>
      </c>
      <c r="P511">
        <v>116</v>
      </c>
      <c r="Q511">
        <v>1</v>
      </c>
      <c r="R511">
        <v>116</v>
      </c>
      <c r="S511">
        <v>45188.561677048609</v>
      </c>
      <c r="T511">
        <v>5500</v>
      </c>
      <c r="U511" t="s">
        <v>1154</v>
      </c>
      <c r="V511" t="s">
        <v>99</v>
      </c>
      <c r="W511" t="s">
        <v>2</v>
      </c>
      <c r="AI511">
        <v>62</v>
      </c>
      <c r="AJ511">
        <v>62</v>
      </c>
      <c r="AN511">
        <v>45170</v>
      </c>
      <c r="AO511">
        <v>45199</v>
      </c>
      <c r="AP511" t="s">
        <v>1101</v>
      </c>
    </row>
    <row r="512" spans="1:42" x14ac:dyDescent="0.25">
      <c r="A512">
        <v>2023</v>
      </c>
      <c r="B512">
        <v>9</v>
      </c>
      <c r="C512">
        <v>17</v>
      </c>
      <c r="D512" t="s">
        <v>1088</v>
      </c>
      <c r="E512" t="s">
        <v>282</v>
      </c>
      <c r="F512">
        <v>561159</v>
      </c>
      <c r="G512">
        <v>10303824</v>
      </c>
      <c r="H512" t="s">
        <v>282</v>
      </c>
      <c r="J512">
        <v>53941092</v>
      </c>
      <c r="K512">
        <v>1100</v>
      </c>
      <c r="L512">
        <v>1700</v>
      </c>
      <c r="M512">
        <v>1304</v>
      </c>
      <c r="P512">
        <v>75</v>
      </c>
      <c r="Q512">
        <v>1</v>
      </c>
      <c r="R512">
        <v>75</v>
      </c>
      <c r="S512">
        <v>45188.561866516204</v>
      </c>
      <c r="T512">
        <v>5500</v>
      </c>
      <c r="U512" t="s">
        <v>1154</v>
      </c>
      <c r="V512" t="s">
        <v>99</v>
      </c>
      <c r="W512" t="s">
        <v>2</v>
      </c>
      <c r="AI512">
        <v>62</v>
      </c>
      <c r="AJ512">
        <v>62</v>
      </c>
      <c r="AN512">
        <v>45170</v>
      </c>
      <c r="AO512">
        <v>45199</v>
      </c>
      <c r="AP512" t="s">
        <v>1101</v>
      </c>
    </row>
    <row r="513" spans="1:42" x14ac:dyDescent="0.25">
      <c r="A513">
        <v>2023</v>
      </c>
      <c r="B513">
        <v>9</v>
      </c>
      <c r="C513">
        <v>17</v>
      </c>
      <c r="D513" t="s">
        <v>1088</v>
      </c>
      <c r="E513" t="s">
        <v>282</v>
      </c>
      <c r="F513">
        <v>208037</v>
      </c>
      <c r="G513">
        <v>10245853</v>
      </c>
      <c r="H513" t="s">
        <v>282</v>
      </c>
      <c r="J513">
        <v>53959390</v>
      </c>
      <c r="K513">
        <v>1104</v>
      </c>
      <c r="L513">
        <v>1702</v>
      </c>
      <c r="M513">
        <v>1304</v>
      </c>
      <c r="N513">
        <v>53400516</v>
      </c>
      <c r="O513">
        <v>45169.589954201387</v>
      </c>
      <c r="P513">
        <v>225</v>
      </c>
      <c r="Q513">
        <v>1</v>
      </c>
      <c r="R513">
        <v>225</v>
      </c>
      <c r="S513">
        <v>45189.067373726852</v>
      </c>
      <c r="T513">
        <v>5509</v>
      </c>
      <c r="U513" t="s">
        <v>1152</v>
      </c>
      <c r="V513" t="s">
        <v>1153</v>
      </c>
      <c r="W513" t="s">
        <v>2</v>
      </c>
      <c r="AI513">
        <v>62</v>
      </c>
      <c r="AJ513">
        <v>62</v>
      </c>
      <c r="AN513">
        <v>45170</v>
      </c>
      <c r="AO513">
        <v>45199</v>
      </c>
      <c r="AP513" t="s">
        <v>1101</v>
      </c>
    </row>
    <row r="514" spans="1:42" x14ac:dyDescent="0.25">
      <c r="A514">
        <v>2023</v>
      </c>
      <c r="B514">
        <v>9</v>
      </c>
      <c r="C514">
        <v>17</v>
      </c>
      <c r="D514" t="s">
        <v>1088</v>
      </c>
      <c r="E514" t="s">
        <v>282</v>
      </c>
      <c r="F514">
        <v>623676</v>
      </c>
      <c r="G514">
        <v>10403072</v>
      </c>
      <c r="H514" t="s">
        <v>282</v>
      </c>
      <c r="J514">
        <v>53966614</v>
      </c>
      <c r="K514">
        <v>1100</v>
      </c>
      <c r="L514">
        <v>1700</v>
      </c>
      <c r="M514">
        <v>1301</v>
      </c>
      <c r="P514">
        <v>85</v>
      </c>
      <c r="Q514">
        <v>1</v>
      </c>
      <c r="R514">
        <v>85</v>
      </c>
      <c r="S514">
        <v>45189.459700844905</v>
      </c>
      <c r="T514">
        <v>5500</v>
      </c>
      <c r="U514" t="s">
        <v>1151</v>
      </c>
      <c r="V514" t="s">
        <v>99</v>
      </c>
      <c r="W514" t="s">
        <v>1031</v>
      </c>
      <c r="X514" t="s">
        <v>1031</v>
      </c>
      <c r="AA514">
        <v>57958</v>
      </c>
      <c r="AB514" t="s">
        <v>1223</v>
      </c>
      <c r="AC514">
        <v>45191.087613807867</v>
      </c>
      <c r="AI514">
        <v>62</v>
      </c>
      <c r="AJ514">
        <v>62</v>
      </c>
      <c r="AN514">
        <v>45170</v>
      </c>
      <c r="AO514">
        <v>45199</v>
      </c>
      <c r="AP514" t="s">
        <v>1101</v>
      </c>
    </row>
    <row r="515" spans="1:42" x14ac:dyDescent="0.25">
      <c r="A515">
        <v>2023</v>
      </c>
      <c r="B515">
        <v>9</v>
      </c>
      <c r="C515">
        <v>17</v>
      </c>
      <c r="D515" t="s">
        <v>1088</v>
      </c>
      <c r="E515" t="s">
        <v>282</v>
      </c>
      <c r="F515">
        <v>623676</v>
      </c>
      <c r="G515">
        <v>10403072</v>
      </c>
      <c r="H515" t="s">
        <v>282</v>
      </c>
      <c r="J515">
        <v>53966618</v>
      </c>
      <c r="K515">
        <v>1100</v>
      </c>
      <c r="L515">
        <v>1700</v>
      </c>
      <c r="M515">
        <v>1301</v>
      </c>
      <c r="P515">
        <v>5</v>
      </c>
      <c r="Q515">
        <v>2</v>
      </c>
      <c r="R515">
        <v>10</v>
      </c>
      <c r="S515">
        <v>45189.459891666665</v>
      </c>
      <c r="T515">
        <v>5500</v>
      </c>
      <c r="U515" t="s">
        <v>1151</v>
      </c>
      <c r="V515" t="s">
        <v>99</v>
      </c>
      <c r="W515" t="s">
        <v>1031</v>
      </c>
      <c r="X515" t="s">
        <v>1031</v>
      </c>
      <c r="AA515">
        <v>57958</v>
      </c>
      <c r="AB515" t="s">
        <v>1223</v>
      </c>
      <c r="AC515">
        <v>45191.087613807867</v>
      </c>
      <c r="AI515">
        <v>62</v>
      </c>
      <c r="AJ515">
        <v>62</v>
      </c>
      <c r="AN515">
        <v>45170</v>
      </c>
      <c r="AO515">
        <v>45199</v>
      </c>
      <c r="AP515" t="s">
        <v>1101</v>
      </c>
    </row>
    <row r="516" spans="1:42" x14ac:dyDescent="0.25">
      <c r="A516">
        <v>2023</v>
      </c>
      <c r="B516">
        <v>9</v>
      </c>
      <c r="C516">
        <v>17</v>
      </c>
      <c r="D516" t="s">
        <v>1088</v>
      </c>
      <c r="E516" t="s">
        <v>282</v>
      </c>
      <c r="F516">
        <v>623676</v>
      </c>
      <c r="G516">
        <v>10403072</v>
      </c>
      <c r="H516" t="s">
        <v>282</v>
      </c>
      <c r="J516">
        <v>53966625</v>
      </c>
      <c r="K516">
        <v>1100</v>
      </c>
      <c r="L516">
        <v>1700</v>
      </c>
      <c r="M516">
        <v>1301</v>
      </c>
      <c r="P516">
        <v>8</v>
      </c>
      <c r="Q516">
        <v>2</v>
      </c>
      <c r="R516">
        <v>16</v>
      </c>
      <c r="S516">
        <v>45189.46004834491</v>
      </c>
      <c r="T516">
        <v>5500</v>
      </c>
      <c r="U516" t="s">
        <v>1151</v>
      </c>
      <c r="V516" t="s">
        <v>99</v>
      </c>
      <c r="W516" t="s">
        <v>1031</v>
      </c>
      <c r="X516" t="s">
        <v>1031</v>
      </c>
      <c r="AA516">
        <v>57958</v>
      </c>
      <c r="AB516" t="s">
        <v>1223</v>
      </c>
      <c r="AC516">
        <v>45191.087613807867</v>
      </c>
      <c r="AI516">
        <v>62</v>
      </c>
      <c r="AJ516">
        <v>62</v>
      </c>
      <c r="AN516">
        <v>45170</v>
      </c>
      <c r="AO516">
        <v>45199</v>
      </c>
      <c r="AP516" t="s">
        <v>1101</v>
      </c>
    </row>
    <row r="517" spans="1:42" x14ac:dyDescent="0.25">
      <c r="A517">
        <v>2023</v>
      </c>
      <c r="B517">
        <v>9</v>
      </c>
      <c r="C517">
        <v>17</v>
      </c>
      <c r="D517" t="s">
        <v>1088</v>
      </c>
      <c r="E517" t="s">
        <v>282</v>
      </c>
      <c r="F517">
        <v>623676</v>
      </c>
      <c r="G517">
        <v>10403072</v>
      </c>
      <c r="H517" t="s">
        <v>282</v>
      </c>
      <c r="J517">
        <v>53966629</v>
      </c>
      <c r="K517">
        <v>1100</v>
      </c>
      <c r="L517">
        <v>1700</v>
      </c>
      <c r="M517">
        <v>1301</v>
      </c>
      <c r="P517">
        <v>7.5</v>
      </c>
      <c r="Q517">
        <v>2</v>
      </c>
      <c r="R517">
        <v>15</v>
      </c>
      <c r="S517">
        <v>45189.460182407405</v>
      </c>
      <c r="T517">
        <v>5500</v>
      </c>
      <c r="U517" t="s">
        <v>1151</v>
      </c>
      <c r="V517" t="s">
        <v>99</v>
      </c>
      <c r="W517" t="s">
        <v>1031</v>
      </c>
      <c r="X517" t="s">
        <v>1031</v>
      </c>
      <c r="AA517">
        <v>57958</v>
      </c>
      <c r="AB517" t="s">
        <v>1223</v>
      </c>
      <c r="AC517">
        <v>45191.087613807867</v>
      </c>
      <c r="AI517">
        <v>62</v>
      </c>
      <c r="AJ517">
        <v>62</v>
      </c>
      <c r="AN517">
        <v>45170</v>
      </c>
      <c r="AO517">
        <v>45199</v>
      </c>
      <c r="AP517" t="s">
        <v>1101</v>
      </c>
    </row>
    <row r="518" spans="1:42" x14ac:dyDescent="0.25">
      <c r="A518">
        <v>2023</v>
      </c>
      <c r="B518">
        <v>9</v>
      </c>
      <c r="C518">
        <v>17</v>
      </c>
      <c r="D518" t="s">
        <v>1088</v>
      </c>
      <c r="E518" t="s">
        <v>282</v>
      </c>
      <c r="F518">
        <v>452885</v>
      </c>
      <c r="G518">
        <v>10383178</v>
      </c>
      <c r="H518" t="s">
        <v>282</v>
      </c>
      <c r="J518">
        <v>54016580</v>
      </c>
      <c r="K518">
        <v>1100</v>
      </c>
      <c r="L518">
        <v>1700</v>
      </c>
      <c r="M518">
        <v>1304</v>
      </c>
      <c r="P518">
        <v>216</v>
      </c>
      <c r="Q518">
        <v>1</v>
      </c>
      <c r="R518">
        <v>216</v>
      </c>
      <c r="S518">
        <v>45190.670578553239</v>
      </c>
      <c r="T518">
        <v>5500</v>
      </c>
      <c r="U518" t="s">
        <v>1154</v>
      </c>
      <c r="V518" t="s">
        <v>99</v>
      </c>
      <c r="W518" t="s">
        <v>2</v>
      </c>
      <c r="AI518">
        <v>62</v>
      </c>
      <c r="AJ518">
        <v>62</v>
      </c>
      <c r="AN518">
        <v>45170</v>
      </c>
      <c r="AO518">
        <v>45199</v>
      </c>
      <c r="AP518" t="s">
        <v>1101</v>
      </c>
    </row>
    <row r="519" spans="1:42" x14ac:dyDescent="0.25">
      <c r="A519">
        <v>2023</v>
      </c>
      <c r="B519">
        <v>9</v>
      </c>
      <c r="C519">
        <v>17</v>
      </c>
      <c r="D519" t="s">
        <v>1088</v>
      </c>
      <c r="E519" t="s">
        <v>282</v>
      </c>
      <c r="F519">
        <v>452885</v>
      </c>
      <c r="G519">
        <v>10383178</v>
      </c>
      <c r="H519" t="s">
        <v>282</v>
      </c>
      <c r="J519">
        <v>54016581</v>
      </c>
      <c r="K519">
        <v>1100</v>
      </c>
      <c r="L519">
        <v>1700</v>
      </c>
      <c r="M519">
        <v>1304</v>
      </c>
      <c r="P519">
        <v>18</v>
      </c>
      <c r="Q519">
        <v>1</v>
      </c>
      <c r="R519">
        <v>18</v>
      </c>
      <c r="S519">
        <v>45190.670689618055</v>
      </c>
      <c r="T519">
        <v>5500</v>
      </c>
      <c r="U519" t="s">
        <v>1154</v>
      </c>
      <c r="V519" t="s">
        <v>99</v>
      </c>
      <c r="W519" t="s">
        <v>2</v>
      </c>
      <c r="AI519">
        <v>62</v>
      </c>
      <c r="AJ519">
        <v>62</v>
      </c>
      <c r="AN519">
        <v>45170</v>
      </c>
      <c r="AO519">
        <v>45199</v>
      </c>
      <c r="AP519" t="s">
        <v>1101</v>
      </c>
    </row>
    <row r="520" spans="1:42" x14ac:dyDescent="0.25">
      <c r="A520">
        <v>2023</v>
      </c>
      <c r="B520">
        <v>9</v>
      </c>
      <c r="C520">
        <v>17</v>
      </c>
      <c r="D520" t="s">
        <v>1088</v>
      </c>
      <c r="E520" t="s">
        <v>282</v>
      </c>
      <c r="F520">
        <v>554406</v>
      </c>
      <c r="G520">
        <v>10414096</v>
      </c>
      <c r="H520" t="s">
        <v>282</v>
      </c>
      <c r="J520">
        <v>54016613</v>
      </c>
      <c r="K520">
        <v>1100</v>
      </c>
      <c r="L520">
        <v>1700</v>
      </c>
      <c r="M520">
        <v>1304</v>
      </c>
      <c r="P520">
        <v>150</v>
      </c>
      <c r="Q520">
        <v>1</v>
      </c>
      <c r="R520">
        <v>150</v>
      </c>
      <c r="S520">
        <v>45190.671266701385</v>
      </c>
      <c r="T520">
        <v>5500</v>
      </c>
      <c r="U520" t="s">
        <v>1154</v>
      </c>
      <c r="V520" t="s">
        <v>99</v>
      </c>
      <c r="W520" t="s">
        <v>2</v>
      </c>
      <c r="AI520">
        <v>62</v>
      </c>
      <c r="AJ520">
        <v>62</v>
      </c>
      <c r="AN520">
        <v>45170</v>
      </c>
      <c r="AO520">
        <v>45199</v>
      </c>
      <c r="AP520" t="s">
        <v>1101</v>
      </c>
    </row>
    <row r="521" spans="1:42" x14ac:dyDescent="0.25">
      <c r="A521">
        <v>2023</v>
      </c>
      <c r="B521">
        <v>9</v>
      </c>
      <c r="C521">
        <v>17</v>
      </c>
      <c r="D521" t="s">
        <v>1088</v>
      </c>
      <c r="E521" t="s">
        <v>282</v>
      </c>
      <c r="F521">
        <v>554406</v>
      </c>
      <c r="G521">
        <v>10414096</v>
      </c>
      <c r="H521" t="s">
        <v>282</v>
      </c>
      <c r="J521">
        <v>54016614</v>
      </c>
      <c r="K521">
        <v>1100</v>
      </c>
      <c r="L521">
        <v>1700</v>
      </c>
      <c r="M521">
        <v>1304</v>
      </c>
      <c r="P521">
        <v>150</v>
      </c>
      <c r="Q521">
        <v>1</v>
      </c>
      <c r="R521">
        <v>150</v>
      </c>
      <c r="S521">
        <v>45190.671405752313</v>
      </c>
      <c r="T521">
        <v>5500</v>
      </c>
      <c r="U521" t="s">
        <v>1154</v>
      </c>
      <c r="V521" t="s">
        <v>99</v>
      </c>
      <c r="W521" t="s">
        <v>2</v>
      </c>
      <c r="AI521">
        <v>62</v>
      </c>
      <c r="AJ521">
        <v>62</v>
      </c>
      <c r="AN521">
        <v>45170</v>
      </c>
      <c r="AO521">
        <v>45199</v>
      </c>
      <c r="AP521" t="s">
        <v>1101</v>
      </c>
    </row>
    <row r="522" spans="1:42" x14ac:dyDescent="0.25">
      <c r="A522">
        <v>2023</v>
      </c>
      <c r="B522">
        <v>9</v>
      </c>
      <c r="C522">
        <v>17</v>
      </c>
      <c r="D522" t="s">
        <v>1088</v>
      </c>
      <c r="E522" t="s">
        <v>282</v>
      </c>
      <c r="F522">
        <v>58439</v>
      </c>
      <c r="G522">
        <v>10414134</v>
      </c>
      <c r="H522" t="s">
        <v>282</v>
      </c>
      <c r="J522">
        <v>54016714</v>
      </c>
      <c r="K522">
        <v>1100</v>
      </c>
      <c r="L522">
        <v>1700</v>
      </c>
      <c r="M522">
        <v>1301</v>
      </c>
      <c r="P522">
        <v>150</v>
      </c>
      <c r="Q522">
        <v>2</v>
      </c>
      <c r="R522">
        <v>300</v>
      </c>
      <c r="S522">
        <v>45190.674867557871</v>
      </c>
      <c r="T522">
        <v>5500</v>
      </c>
      <c r="U522" t="s">
        <v>1151</v>
      </c>
      <c r="V522" t="s">
        <v>99</v>
      </c>
      <c r="W522" t="s">
        <v>1089</v>
      </c>
      <c r="X522" t="s">
        <v>1089</v>
      </c>
      <c r="AA522">
        <v>57958</v>
      </c>
      <c r="AB522" t="s">
        <v>1223</v>
      </c>
      <c r="AC522">
        <v>45191.087613807867</v>
      </c>
      <c r="AI522">
        <v>62</v>
      </c>
      <c r="AJ522">
        <v>62</v>
      </c>
      <c r="AN522">
        <v>45170</v>
      </c>
      <c r="AO522">
        <v>45199</v>
      </c>
      <c r="AP522" t="s">
        <v>1101</v>
      </c>
    </row>
    <row r="523" spans="1:42" x14ac:dyDescent="0.25">
      <c r="A523">
        <v>2023</v>
      </c>
      <c r="B523">
        <v>9</v>
      </c>
      <c r="C523">
        <v>17</v>
      </c>
      <c r="D523" t="s">
        <v>1088</v>
      </c>
      <c r="E523" t="s">
        <v>282</v>
      </c>
      <c r="F523">
        <v>58439</v>
      </c>
      <c r="G523">
        <v>10414134</v>
      </c>
      <c r="H523" t="s">
        <v>282</v>
      </c>
      <c r="J523">
        <v>54016723</v>
      </c>
      <c r="K523">
        <v>1100</v>
      </c>
      <c r="L523">
        <v>1700</v>
      </c>
      <c r="M523">
        <v>1301</v>
      </c>
      <c r="P523">
        <v>150</v>
      </c>
      <c r="Q523">
        <v>2</v>
      </c>
      <c r="R523">
        <v>300</v>
      </c>
      <c r="S523">
        <v>45190.67508252315</v>
      </c>
      <c r="T523">
        <v>5500</v>
      </c>
      <c r="U523" t="s">
        <v>1151</v>
      </c>
      <c r="V523" t="s">
        <v>99</v>
      </c>
      <c r="W523" t="s">
        <v>1089</v>
      </c>
      <c r="X523" t="s">
        <v>1089</v>
      </c>
      <c r="AA523">
        <v>57958</v>
      </c>
      <c r="AB523" t="s">
        <v>1223</v>
      </c>
      <c r="AC523">
        <v>45191.087613807867</v>
      </c>
      <c r="AI523">
        <v>62</v>
      </c>
      <c r="AJ523">
        <v>62</v>
      </c>
      <c r="AN523">
        <v>45170</v>
      </c>
      <c r="AO523">
        <v>45199</v>
      </c>
      <c r="AP523" t="s">
        <v>1101</v>
      </c>
    </row>
    <row r="524" spans="1:42" x14ac:dyDescent="0.25">
      <c r="A524">
        <v>2023</v>
      </c>
      <c r="B524">
        <v>9</v>
      </c>
      <c r="C524">
        <v>17</v>
      </c>
      <c r="D524" t="s">
        <v>1088</v>
      </c>
      <c r="E524" t="s">
        <v>282</v>
      </c>
      <c r="F524">
        <v>621652</v>
      </c>
      <c r="G524">
        <v>10366267</v>
      </c>
      <c r="H524" t="s">
        <v>282</v>
      </c>
      <c r="J524">
        <v>54031166</v>
      </c>
      <c r="K524">
        <v>1100</v>
      </c>
      <c r="L524">
        <v>1702</v>
      </c>
      <c r="M524">
        <v>1301</v>
      </c>
      <c r="P524">
        <v>216</v>
      </c>
      <c r="Q524">
        <v>1</v>
      </c>
      <c r="R524">
        <v>216</v>
      </c>
      <c r="S524">
        <v>45191.396373645832</v>
      </c>
      <c r="T524">
        <v>5500</v>
      </c>
      <c r="U524" t="s">
        <v>1151</v>
      </c>
      <c r="V524" t="s">
        <v>99</v>
      </c>
      <c r="W524" t="s">
        <v>1091</v>
      </c>
      <c r="X524" t="s">
        <v>1091</v>
      </c>
      <c r="AI524">
        <v>62</v>
      </c>
      <c r="AJ524">
        <v>62</v>
      </c>
      <c r="AN524">
        <v>45170</v>
      </c>
      <c r="AO524">
        <v>45199</v>
      </c>
      <c r="AP524" t="s">
        <v>1101</v>
      </c>
    </row>
    <row r="525" spans="1:42" x14ac:dyDescent="0.25">
      <c r="A525">
        <v>2023</v>
      </c>
      <c r="B525">
        <v>9</v>
      </c>
      <c r="C525">
        <v>17</v>
      </c>
      <c r="D525" t="s">
        <v>1088</v>
      </c>
      <c r="E525" t="s">
        <v>282</v>
      </c>
      <c r="F525">
        <v>621652</v>
      </c>
      <c r="G525">
        <v>10366267</v>
      </c>
      <c r="H525" t="s">
        <v>282</v>
      </c>
      <c r="J525">
        <v>54031168</v>
      </c>
      <c r="K525">
        <v>1100</v>
      </c>
      <c r="L525">
        <v>1702</v>
      </c>
      <c r="M525">
        <v>1301</v>
      </c>
      <c r="P525">
        <v>216</v>
      </c>
      <c r="Q525">
        <v>1</v>
      </c>
      <c r="R525">
        <v>216</v>
      </c>
      <c r="S525">
        <v>45191.396468831015</v>
      </c>
      <c r="T525">
        <v>5500</v>
      </c>
      <c r="U525" t="s">
        <v>1151</v>
      </c>
      <c r="V525" t="s">
        <v>99</v>
      </c>
      <c r="W525" t="s">
        <v>1091</v>
      </c>
      <c r="X525" t="s">
        <v>1091</v>
      </c>
      <c r="AI525">
        <v>62</v>
      </c>
      <c r="AJ525">
        <v>62</v>
      </c>
      <c r="AN525">
        <v>45170</v>
      </c>
      <c r="AO525">
        <v>45199</v>
      </c>
      <c r="AP525" t="s">
        <v>1101</v>
      </c>
    </row>
    <row r="526" spans="1:42" x14ac:dyDescent="0.25">
      <c r="A526">
        <v>2023</v>
      </c>
      <c r="B526">
        <v>9</v>
      </c>
      <c r="C526">
        <v>17</v>
      </c>
      <c r="D526" t="s">
        <v>1088</v>
      </c>
      <c r="E526" t="s">
        <v>282</v>
      </c>
      <c r="F526">
        <v>376248</v>
      </c>
      <c r="G526">
        <v>10303835</v>
      </c>
      <c r="H526" t="s">
        <v>282</v>
      </c>
      <c r="J526">
        <v>54037185</v>
      </c>
      <c r="K526">
        <v>1101</v>
      </c>
      <c r="L526">
        <v>1702</v>
      </c>
      <c r="M526">
        <v>1301</v>
      </c>
      <c r="N526">
        <v>53352112</v>
      </c>
      <c r="O526">
        <v>45168.618311307873</v>
      </c>
      <c r="P526">
        <v>116</v>
      </c>
      <c r="Q526">
        <v>1</v>
      </c>
      <c r="R526">
        <v>116</v>
      </c>
      <c r="S526">
        <v>45191.439559375001</v>
      </c>
      <c r="T526">
        <v>5502</v>
      </c>
      <c r="U526" t="s">
        <v>1217</v>
      </c>
      <c r="V526" t="s">
        <v>1155</v>
      </c>
      <c r="W526" t="s">
        <v>1031</v>
      </c>
      <c r="X526" t="s">
        <v>1031</v>
      </c>
      <c r="AD526">
        <v>831554</v>
      </c>
      <c r="AE526" t="s">
        <v>1290</v>
      </c>
      <c r="AF526">
        <v>45191.439558993057</v>
      </c>
      <c r="AI526">
        <v>62</v>
      </c>
      <c r="AJ526">
        <v>62</v>
      </c>
      <c r="AN526">
        <v>45170</v>
      </c>
      <c r="AO526">
        <v>45199</v>
      </c>
      <c r="AP526" t="s">
        <v>1101</v>
      </c>
    </row>
    <row r="527" spans="1:42" x14ac:dyDescent="0.25">
      <c r="A527">
        <v>2023</v>
      </c>
      <c r="B527">
        <v>9</v>
      </c>
      <c r="C527">
        <v>17</v>
      </c>
      <c r="D527" t="s">
        <v>1088</v>
      </c>
      <c r="E527" t="s">
        <v>282</v>
      </c>
      <c r="F527">
        <v>417873</v>
      </c>
      <c r="G527">
        <v>10380511</v>
      </c>
      <c r="H527" t="s">
        <v>282</v>
      </c>
      <c r="J527">
        <v>54020942</v>
      </c>
      <c r="K527">
        <v>1104</v>
      </c>
      <c r="L527">
        <v>1702</v>
      </c>
      <c r="M527">
        <v>1304</v>
      </c>
      <c r="N527">
        <v>54005444</v>
      </c>
      <c r="O527">
        <v>45190.562017592594</v>
      </c>
      <c r="P527">
        <v>150</v>
      </c>
      <c r="Q527">
        <v>1</v>
      </c>
      <c r="R527">
        <v>150</v>
      </c>
      <c r="S527">
        <v>45191.067372141202</v>
      </c>
      <c r="T527">
        <v>5509</v>
      </c>
      <c r="U527" t="s">
        <v>1152</v>
      </c>
      <c r="V527" t="s">
        <v>1153</v>
      </c>
      <c r="W527" t="s">
        <v>2</v>
      </c>
      <c r="AI527">
        <v>62</v>
      </c>
      <c r="AJ527">
        <v>62</v>
      </c>
      <c r="AN527">
        <v>45170</v>
      </c>
      <c r="AO527">
        <v>45199</v>
      </c>
      <c r="AP527" t="s">
        <v>1101</v>
      </c>
    </row>
    <row r="528" spans="1:42" x14ac:dyDescent="0.25">
      <c r="A528">
        <v>2023</v>
      </c>
      <c r="B528">
        <v>9</v>
      </c>
      <c r="C528">
        <v>17</v>
      </c>
      <c r="D528" t="s">
        <v>1088</v>
      </c>
      <c r="E528" t="s">
        <v>282</v>
      </c>
      <c r="F528">
        <v>417873</v>
      </c>
      <c r="G528">
        <v>10380511</v>
      </c>
      <c r="H528" t="s">
        <v>282</v>
      </c>
      <c r="J528">
        <v>54020943</v>
      </c>
      <c r="K528">
        <v>1104</v>
      </c>
      <c r="L528">
        <v>1702</v>
      </c>
      <c r="M528">
        <v>1304</v>
      </c>
      <c r="N528">
        <v>54005449</v>
      </c>
      <c r="O528">
        <v>45190.562136192129</v>
      </c>
      <c r="P528">
        <v>150</v>
      </c>
      <c r="Q528">
        <v>1</v>
      </c>
      <c r="R528">
        <v>150</v>
      </c>
      <c r="S528">
        <v>45191.067372141202</v>
      </c>
      <c r="T528">
        <v>5509</v>
      </c>
      <c r="U528" t="s">
        <v>1152</v>
      </c>
      <c r="V528" t="s">
        <v>1153</v>
      </c>
      <c r="W528" t="s">
        <v>2</v>
      </c>
      <c r="AI528">
        <v>62</v>
      </c>
      <c r="AJ528">
        <v>62</v>
      </c>
      <c r="AN528">
        <v>45170</v>
      </c>
      <c r="AO528">
        <v>45199</v>
      </c>
      <c r="AP528" t="s">
        <v>1101</v>
      </c>
    </row>
    <row r="529" spans="1:42" x14ac:dyDescent="0.25">
      <c r="A529">
        <v>2023</v>
      </c>
      <c r="B529">
        <v>9</v>
      </c>
      <c r="C529">
        <v>17</v>
      </c>
      <c r="D529" t="s">
        <v>1088</v>
      </c>
      <c r="E529" t="s">
        <v>282</v>
      </c>
      <c r="F529">
        <v>417873</v>
      </c>
      <c r="G529">
        <v>10380511</v>
      </c>
      <c r="H529" t="s">
        <v>282</v>
      </c>
      <c r="J529">
        <v>54020944</v>
      </c>
      <c r="K529">
        <v>1104</v>
      </c>
      <c r="L529">
        <v>1702</v>
      </c>
      <c r="M529">
        <v>1304</v>
      </c>
      <c r="N529">
        <v>54005453</v>
      </c>
      <c r="O529">
        <v>45190.562192048608</v>
      </c>
      <c r="P529">
        <v>18</v>
      </c>
      <c r="Q529">
        <v>1</v>
      </c>
      <c r="R529">
        <v>18</v>
      </c>
      <c r="S529">
        <v>45191.067372141202</v>
      </c>
      <c r="T529">
        <v>5509</v>
      </c>
      <c r="U529" t="s">
        <v>1152</v>
      </c>
      <c r="V529" t="s">
        <v>1153</v>
      </c>
      <c r="W529" t="s">
        <v>2</v>
      </c>
      <c r="AI529">
        <v>62</v>
      </c>
      <c r="AJ529">
        <v>62</v>
      </c>
      <c r="AN529">
        <v>45170</v>
      </c>
      <c r="AO529">
        <v>45199</v>
      </c>
      <c r="AP529" t="s">
        <v>1101</v>
      </c>
    </row>
    <row r="530" spans="1:42" x14ac:dyDescent="0.25">
      <c r="A530">
        <v>2023</v>
      </c>
      <c r="B530">
        <v>9</v>
      </c>
      <c r="C530">
        <v>17</v>
      </c>
      <c r="D530" t="s">
        <v>1088</v>
      </c>
      <c r="E530" t="s">
        <v>282</v>
      </c>
      <c r="F530">
        <v>576663</v>
      </c>
      <c r="G530">
        <v>10218057</v>
      </c>
      <c r="H530" t="s">
        <v>282</v>
      </c>
      <c r="J530">
        <v>54037183</v>
      </c>
      <c r="K530">
        <v>1101</v>
      </c>
      <c r="L530">
        <v>1702</v>
      </c>
      <c r="M530">
        <v>1301</v>
      </c>
      <c r="N530">
        <v>52796728</v>
      </c>
      <c r="O530">
        <v>45152.673881678238</v>
      </c>
      <c r="P530">
        <v>116</v>
      </c>
      <c r="Q530">
        <v>1</v>
      </c>
      <c r="R530">
        <v>116</v>
      </c>
      <c r="S530">
        <v>45191.439559375001</v>
      </c>
      <c r="T530">
        <v>5502</v>
      </c>
      <c r="U530" t="s">
        <v>1217</v>
      </c>
      <c r="V530" t="s">
        <v>1155</v>
      </c>
      <c r="W530" t="s">
        <v>1031</v>
      </c>
      <c r="X530" t="s">
        <v>1031</v>
      </c>
      <c r="AD530">
        <v>831554</v>
      </c>
      <c r="AE530" t="s">
        <v>1290</v>
      </c>
      <c r="AF530">
        <v>45191.439558993057</v>
      </c>
      <c r="AI530">
        <v>62</v>
      </c>
      <c r="AJ530">
        <v>62</v>
      </c>
      <c r="AN530">
        <v>45170</v>
      </c>
      <c r="AO530">
        <v>45199</v>
      </c>
      <c r="AP530" t="s">
        <v>1101</v>
      </c>
    </row>
    <row r="531" spans="1:42" x14ac:dyDescent="0.25">
      <c r="A531">
        <v>2023</v>
      </c>
      <c r="B531">
        <v>9</v>
      </c>
      <c r="C531">
        <v>17</v>
      </c>
      <c r="D531" t="s">
        <v>1088</v>
      </c>
      <c r="E531" t="s">
        <v>282</v>
      </c>
      <c r="F531">
        <v>376248</v>
      </c>
      <c r="G531">
        <v>10303835</v>
      </c>
      <c r="H531" t="s">
        <v>282</v>
      </c>
      <c r="J531">
        <v>54037188</v>
      </c>
      <c r="K531">
        <v>1101</v>
      </c>
      <c r="L531">
        <v>1702</v>
      </c>
      <c r="M531">
        <v>1301</v>
      </c>
      <c r="N531">
        <v>53352122</v>
      </c>
      <c r="O531">
        <v>45168.618691122683</v>
      </c>
      <c r="P531">
        <v>116</v>
      </c>
      <c r="Q531">
        <v>1</v>
      </c>
      <c r="R531">
        <v>116</v>
      </c>
      <c r="S531">
        <v>45191.439559375001</v>
      </c>
      <c r="T531">
        <v>5502</v>
      </c>
      <c r="U531" t="s">
        <v>1217</v>
      </c>
      <c r="V531" t="s">
        <v>1155</v>
      </c>
      <c r="W531" t="s">
        <v>1031</v>
      </c>
      <c r="X531" t="s">
        <v>1031</v>
      </c>
      <c r="AD531">
        <v>831554</v>
      </c>
      <c r="AE531" t="s">
        <v>1290</v>
      </c>
      <c r="AF531">
        <v>45191.439558993057</v>
      </c>
      <c r="AI531">
        <v>62</v>
      </c>
      <c r="AJ531">
        <v>62</v>
      </c>
      <c r="AN531">
        <v>45170</v>
      </c>
      <c r="AO531">
        <v>45199</v>
      </c>
      <c r="AP531" t="s">
        <v>1101</v>
      </c>
    </row>
    <row r="532" spans="1:42" x14ac:dyDescent="0.25">
      <c r="A532">
        <v>2023</v>
      </c>
      <c r="B532">
        <v>9</v>
      </c>
      <c r="C532">
        <v>17</v>
      </c>
      <c r="D532" t="s">
        <v>1088</v>
      </c>
      <c r="E532" t="s">
        <v>282</v>
      </c>
      <c r="F532">
        <v>376248</v>
      </c>
      <c r="G532">
        <v>10303835</v>
      </c>
      <c r="H532" t="s">
        <v>282</v>
      </c>
      <c r="J532">
        <v>54037189</v>
      </c>
      <c r="K532">
        <v>1101</v>
      </c>
      <c r="L532">
        <v>1702</v>
      </c>
      <c r="M532">
        <v>1301</v>
      </c>
      <c r="N532">
        <v>53352215</v>
      </c>
      <c r="O532">
        <v>45168.621153321757</v>
      </c>
      <c r="P532">
        <v>75</v>
      </c>
      <c r="Q532">
        <v>1</v>
      </c>
      <c r="R532">
        <v>75</v>
      </c>
      <c r="S532">
        <v>45191.439559375001</v>
      </c>
      <c r="T532">
        <v>5502</v>
      </c>
      <c r="U532" t="s">
        <v>1217</v>
      </c>
      <c r="V532" t="s">
        <v>1155</v>
      </c>
      <c r="W532" t="s">
        <v>1031</v>
      </c>
      <c r="X532" t="s">
        <v>1031</v>
      </c>
      <c r="AD532">
        <v>831554</v>
      </c>
      <c r="AE532" t="s">
        <v>1290</v>
      </c>
      <c r="AF532">
        <v>45191.439558993057</v>
      </c>
      <c r="AI532">
        <v>62</v>
      </c>
      <c r="AJ532">
        <v>62</v>
      </c>
      <c r="AN532">
        <v>45170</v>
      </c>
      <c r="AO532">
        <v>45199</v>
      </c>
      <c r="AP532" t="s">
        <v>1101</v>
      </c>
    </row>
    <row r="533" spans="1:42" x14ac:dyDescent="0.25">
      <c r="A533">
        <v>2023</v>
      </c>
      <c r="B533">
        <v>9</v>
      </c>
      <c r="C533">
        <v>17</v>
      </c>
      <c r="D533" t="s">
        <v>1088</v>
      </c>
      <c r="E533" t="s">
        <v>282</v>
      </c>
      <c r="F533">
        <v>613732</v>
      </c>
      <c r="G533">
        <v>10213841</v>
      </c>
      <c r="H533" t="s">
        <v>282</v>
      </c>
      <c r="J533">
        <v>54037190</v>
      </c>
      <c r="K533">
        <v>1101</v>
      </c>
      <c r="L533">
        <v>1702</v>
      </c>
      <c r="M533">
        <v>1301</v>
      </c>
      <c r="N533">
        <v>52777986</v>
      </c>
      <c r="O533">
        <v>45152.44389869213</v>
      </c>
      <c r="P533">
        <v>121.5</v>
      </c>
      <c r="Q533">
        <v>1</v>
      </c>
      <c r="R533">
        <v>121.5</v>
      </c>
      <c r="S533">
        <v>45191.439559375001</v>
      </c>
      <c r="T533">
        <v>5502</v>
      </c>
      <c r="U533" t="s">
        <v>1217</v>
      </c>
      <c r="V533" t="s">
        <v>1155</v>
      </c>
      <c r="W533" t="s">
        <v>1031</v>
      </c>
      <c r="X533" t="s">
        <v>1031</v>
      </c>
      <c r="AD533">
        <v>831554</v>
      </c>
      <c r="AE533" t="s">
        <v>1290</v>
      </c>
      <c r="AF533">
        <v>45191.439558993057</v>
      </c>
      <c r="AI533">
        <v>62</v>
      </c>
      <c r="AJ533">
        <v>62</v>
      </c>
      <c r="AN533">
        <v>45170</v>
      </c>
      <c r="AO533">
        <v>45199</v>
      </c>
      <c r="AP533" t="s">
        <v>1101</v>
      </c>
    </row>
    <row r="534" spans="1:42" x14ac:dyDescent="0.25">
      <c r="A534">
        <v>2023</v>
      </c>
      <c r="B534">
        <v>9</v>
      </c>
      <c r="C534">
        <v>17</v>
      </c>
      <c r="D534" t="s">
        <v>1088</v>
      </c>
      <c r="E534" t="s">
        <v>282</v>
      </c>
      <c r="F534">
        <v>613732</v>
      </c>
      <c r="G534">
        <v>10213841</v>
      </c>
      <c r="H534" t="s">
        <v>282</v>
      </c>
      <c r="J534">
        <v>54037191</v>
      </c>
      <c r="K534">
        <v>1101</v>
      </c>
      <c r="L534">
        <v>1702</v>
      </c>
      <c r="M534">
        <v>1301</v>
      </c>
      <c r="N534">
        <v>52778148</v>
      </c>
      <c r="O534">
        <v>45152.44399684028</v>
      </c>
      <c r="P534">
        <v>121.5</v>
      </c>
      <c r="Q534">
        <v>1</v>
      </c>
      <c r="R534">
        <v>121.5</v>
      </c>
      <c r="S534">
        <v>45191.439559375001</v>
      </c>
      <c r="T534">
        <v>5502</v>
      </c>
      <c r="U534" t="s">
        <v>1217</v>
      </c>
      <c r="V534" t="s">
        <v>1155</v>
      </c>
      <c r="W534" t="s">
        <v>1031</v>
      </c>
      <c r="X534" t="s">
        <v>1031</v>
      </c>
      <c r="AD534">
        <v>831554</v>
      </c>
      <c r="AE534" t="s">
        <v>1290</v>
      </c>
      <c r="AF534">
        <v>45191.439558993057</v>
      </c>
      <c r="AI534">
        <v>62</v>
      </c>
      <c r="AJ534">
        <v>62</v>
      </c>
      <c r="AN534">
        <v>45170</v>
      </c>
      <c r="AO534">
        <v>45199</v>
      </c>
      <c r="AP534" t="s">
        <v>1101</v>
      </c>
    </row>
    <row r="535" spans="1:42" x14ac:dyDescent="0.25">
      <c r="A535">
        <v>2023</v>
      </c>
      <c r="B535">
        <v>9</v>
      </c>
      <c r="C535">
        <v>17</v>
      </c>
      <c r="D535" t="s">
        <v>1088</v>
      </c>
      <c r="E535" t="s">
        <v>282</v>
      </c>
      <c r="F535">
        <v>538953</v>
      </c>
      <c r="G535">
        <v>10406645</v>
      </c>
      <c r="H535" t="s">
        <v>282</v>
      </c>
      <c r="J535">
        <v>54100686</v>
      </c>
      <c r="K535">
        <v>1100</v>
      </c>
      <c r="L535">
        <v>1700</v>
      </c>
      <c r="M535">
        <v>1304</v>
      </c>
      <c r="P535">
        <v>216</v>
      </c>
      <c r="Q535">
        <v>1</v>
      </c>
      <c r="R535">
        <v>216</v>
      </c>
      <c r="S535">
        <v>45194.583094872687</v>
      </c>
      <c r="T535">
        <v>5500</v>
      </c>
      <c r="U535" t="s">
        <v>1154</v>
      </c>
      <c r="V535" t="s">
        <v>99</v>
      </c>
      <c r="W535" t="s">
        <v>2</v>
      </c>
      <c r="AI535">
        <v>62</v>
      </c>
      <c r="AJ535">
        <v>62</v>
      </c>
      <c r="AN535">
        <v>45170</v>
      </c>
      <c r="AO535">
        <v>45199</v>
      </c>
      <c r="AP535" t="s">
        <v>1101</v>
      </c>
    </row>
    <row r="536" spans="1:42" x14ac:dyDescent="0.25">
      <c r="A536">
        <v>2023</v>
      </c>
      <c r="B536">
        <v>9</v>
      </c>
      <c r="C536">
        <v>17</v>
      </c>
      <c r="D536" t="s">
        <v>1088</v>
      </c>
      <c r="E536" t="s">
        <v>282</v>
      </c>
      <c r="F536">
        <v>538953</v>
      </c>
      <c r="G536">
        <v>10406645</v>
      </c>
      <c r="H536" t="s">
        <v>282</v>
      </c>
      <c r="J536">
        <v>54100693</v>
      </c>
      <c r="K536">
        <v>1100</v>
      </c>
      <c r="L536">
        <v>1700</v>
      </c>
      <c r="M536">
        <v>1304</v>
      </c>
      <c r="P536">
        <v>216</v>
      </c>
      <c r="Q536">
        <v>1</v>
      </c>
      <c r="R536">
        <v>216</v>
      </c>
      <c r="S536">
        <v>45194.583214039354</v>
      </c>
      <c r="T536">
        <v>5500</v>
      </c>
      <c r="U536" t="s">
        <v>1154</v>
      </c>
      <c r="V536" t="s">
        <v>99</v>
      </c>
      <c r="W536" t="s">
        <v>2</v>
      </c>
      <c r="AI536">
        <v>62</v>
      </c>
      <c r="AJ536">
        <v>62</v>
      </c>
      <c r="AN536">
        <v>45170</v>
      </c>
      <c r="AO536">
        <v>45199</v>
      </c>
      <c r="AP536" t="s">
        <v>1101</v>
      </c>
    </row>
    <row r="537" spans="1:42" x14ac:dyDescent="0.25">
      <c r="A537">
        <v>2023</v>
      </c>
      <c r="B537">
        <v>9</v>
      </c>
      <c r="C537">
        <v>17</v>
      </c>
      <c r="D537" t="s">
        <v>1088</v>
      </c>
      <c r="E537" t="s">
        <v>282</v>
      </c>
      <c r="F537">
        <v>538953</v>
      </c>
      <c r="G537">
        <v>10406645</v>
      </c>
      <c r="H537" t="s">
        <v>282</v>
      </c>
      <c r="J537">
        <v>54100698</v>
      </c>
      <c r="K537">
        <v>1100</v>
      </c>
      <c r="L537">
        <v>1700</v>
      </c>
      <c r="M537">
        <v>1304</v>
      </c>
      <c r="P537">
        <v>18</v>
      </c>
      <c r="Q537">
        <v>1</v>
      </c>
      <c r="R537">
        <v>18</v>
      </c>
      <c r="S537">
        <v>45194.583269560186</v>
      </c>
      <c r="T537">
        <v>5500</v>
      </c>
      <c r="U537" t="s">
        <v>1154</v>
      </c>
      <c r="V537" t="s">
        <v>99</v>
      </c>
      <c r="W537" t="s">
        <v>2</v>
      </c>
      <c r="AI537">
        <v>62</v>
      </c>
      <c r="AJ537">
        <v>62</v>
      </c>
      <c r="AN537">
        <v>45170</v>
      </c>
      <c r="AO537">
        <v>45199</v>
      </c>
      <c r="AP537" t="s">
        <v>1101</v>
      </c>
    </row>
    <row r="538" spans="1:42" x14ac:dyDescent="0.25">
      <c r="A538">
        <v>2023</v>
      </c>
      <c r="B538">
        <v>9</v>
      </c>
      <c r="C538">
        <v>17</v>
      </c>
      <c r="D538" t="s">
        <v>1088</v>
      </c>
      <c r="E538" t="s">
        <v>282</v>
      </c>
      <c r="F538">
        <v>538953</v>
      </c>
      <c r="G538">
        <v>10406645</v>
      </c>
      <c r="H538" t="s">
        <v>282</v>
      </c>
      <c r="J538">
        <v>54100703</v>
      </c>
      <c r="K538">
        <v>1104</v>
      </c>
      <c r="L538">
        <v>1702</v>
      </c>
      <c r="M538">
        <v>1304</v>
      </c>
      <c r="N538">
        <v>54100686</v>
      </c>
      <c r="O538">
        <v>45194.583094872687</v>
      </c>
      <c r="P538">
        <v>216</v>
      </c>
      <c r="Q538">
        <v>1</v>
      </c>
      <c r="R538">
        <v>216</v>
      </c>
      <c r="S538">
        <v>45194.583456099535</v>
      </c>
      <c r="T538">
        <v>5509</v>
      </c>
      <c r="U538" t="s">
        <v>1152</v>
      </c>
      <c r="V538" t="s">
        <v>1153</v>
      </c>
      <c r="W538" t="s">
        <v>2</v>
      </c>
      <c r="AI538">
        <v>62</v>
      </c>
      <c r="AJ538">
        <v>62</v>
      </c>
      <c r="AN538">
        <v>45170</v>
      </c>
      <c r="AO538">
        <v>45199</v>
      </c>
      <c r="AP538" t="s">
        <v>1101</v>
      </c>
    </row>
    <row r="539" spans="1:42" x14ac:dyDescent="0.25">
      <c r="A539">
        <v>2023</v>
      </c>
      <c r="B539">
        <v>9</v>
      </c>
      <c r="C539">
        <v>17</v>
      </c>
      <c r="D539" t="s">
        <v>1088</v>
      </c>
      <c r="E539" t="s">
        <v>282</v>
      </c>
      <c r="F539">
        <v>538953</v>
      </c>
      <c r="G539">
        <v>10406645</v>
      </c>
      <c r="H539" t="s">
        <v>282</v>
      </c>
      <c r="J539">
        <v>54100706</v>
      </c>
      <c r="K539">
        <v>1104</v>
      </c>
      <c r="L539">
        <v>1702</v>
      </c>
      <c r="M539">
        <v>1304</v>
      </c>
      <c r="N539">
        <v>54100693</v>
      </c>
      <c r="O539">
        <v>45194.583214039354</v>
      </c>
      <c r="P539">
        <v>216</v>
      </c>
      <c r="Q539">
        <v>1</v>
      </c>
      <c r="R539">
        <v>216</v>
      </c>
      <c r="S539">
        <v>45194.583546562499</v>
      </c>
      <c r="T539">
        <v>5509</v>
      </c>
      <c r="U539" t="s">
        <v>1152</v>
      </c>
      <c r="V539" t="s">
        <v>1153</v>
      </c>
      <c r="W539" t="s">
        <v>2</v>
      </c>
      <c r="AI539">
        <v>62</v>
      </c>
      <c r="AJ539">
        <v>62</v>
      </c>
      <c r="AN539">
        <v>45170</v>
      </c>
      <c r="AO539">
        <v>45199</v>
      </c>
      <c r="AP539" t="s">
        <v>1101</v>
      </c>
    </row>
    <row r="540" spans="1:42" x14ac:dyDescent="0.25">
      <c r="A540">
        <v>2023</v>
      </c>
      <c r="B540">
        <v>9</v>
      </c>
      <c r="C540">
        <v>17</v>
      </c>
      <c r="D540" t="s">
        <v>1088</v>
      </c>
      <c r="E540" t="s">
        <v>282</v>
      </c>
      <c r="F540">
        <v>538953</v>
      </c>
      <c r="G540">
        <v>10406645</v>
      </c>
      <c r="H540" t="s">
        <v>282</v>
      </c>
      <c r="J540">
        <v>54100707</v>
      </c>
      <c r="K540">
        <v>1104</v>
      </c>
      <c r="L540">
        <v>1702</v>
      </c>
      <c r="M540">
        <v>1304</v>
      </c>
      <c r="N540">
        <v>54100698</v>
      </c>
      <c r="O540">
        <v>45194.583269560186</v>
      </c>
      <c r="P540">
        <v>18</v>
      </c>
      <c r="Q540">
        <v>1</v>
      </c>
      <c r="R540">
        <v>18</v>
      </c>
      <c r="S540">
        <v>45194.583650312503</v>
      </c>
      <c r="T540">
        <v>5509</v>
      </c>
      <c r="U540" t="s">
        <v>1152</v>
      </c>
      <c r="V540" t="s">
        <v>1153</v>
      </c>
      <c r="W540" t="s">
        <v>2</v>
      </c>
      <c r="AI540">
        <v>62</v>
      </c>
      <c r="AJ540">
        <v>62</v>
      </c>
      <c r="AN540">
        <v>45170</v>
      </c>
      <c r="AO540">
        <v>45199</v>
      </c>
      <c r="AP540" t="s">
        <v>1101</v>
      </c>
    </row>
    <row r="541" spans="1:42" x14ac:dyDescent="0.25">
      <c r="A541">
        <v>2023</v>
      </c>
      <c r="B541">
        <v>9</v>
      </c>
      <c r="C541">
        <v>17</v>
      </c>
      <c r="D541" t="s">
        <v>1088</v>
      </c>
      <c r="E541" t="s">
        <v>282</v>
      </c>
      <c r="F541">
        <v>619301</v>
      </c>
      <c r="G541">
        <v>10321726</v>
      </c>
      <c r="H541" t="s">
        <v>282</v>
      </c>
      <c r="J541">
        <v>54118631</v>
      </c>
      <c r="K541">
        <v>1104</v>
      </c>
      <c r="L541">
        <v>1702</v>
      </c>
      <c r="M541">
        <v>1304</v>
      </c>
      <c r="N541">
        <v>53487765</v>
      </c>
      <c r="O541">
        <v>45174.692086342591</v>
      </c>
      <c r="P541">
        <v>-118.5</v>
      </c>
      <c r="Q541">
        <v>1</v>
      </c>
      <c r="R541">
        <v>-118.5</v>
      </c>
      <c r="S541">
        <v>45195.380224340275</v>
      </c>
      <c r="T541">
        <v>5510</v>
      </c>
      <c r="U541" t="s">
        <v>1183</v>
      </c>
      <c r="V541" t="s">
        <v>1153</v>
      </c>
      <c r="W541" t="s">
        <v>2</v>
      </c>
      <c r="X541" t="s">
        <v>1090</v>
      </c>
      <c r="AI541">
        <v>62</v>
      </c>
      <c r="AJ541">
        <v>62</v>
      </c>
      <c r="AN541">
        <v>45170</v>
      </c>
      <c r="AO541">
        <v>45199</v>
      </c>
      <c r="AP541" t="s">
        <v>1101</v>
      </c>
    </row>
    <row r="542" spans="1:42" x14ac:dyDescent="0.25">
      <c r="A542">
        <v>2023</v>
      </c>
      <c r="B542">
        <v>9</v>
      </c>
      <c r="C542">
        <v>17</v>
      </c>
      <c r="D542" t="s">
        <v>1088</v>
      </c>
      <c r="E542" t="s">
        <v>282</v>
      </c>
      <c r="F542">
        <v>619301</v>
      </c>
      <c r="G542">
        <v>10321726</v>
      </c>
      <c r="H542" t="s">
        <v>282</v>
      </c>
      <c r="J542">
        <v>54118632</v>
      </c>
      <c r="K542">
        <v>1104</v>
      </c>
      <c r="L542">
        <v>1702</v>
      </c>
      <c r="M542">
        <v>1304</v>
      </c>
      <c r="N542">
        <v>53487765</v>
      </c>
      <c r="O542">
        <v>45174.692086342591</v>
      </c>
      <c r="P542">
        <v>-216</v>
      </c>
      <c r="Q542">
        <v>1</v>
      </c>
      <c r="R542">
        <v>-216</v>
      </c>
      <c r="S542">
        <v>45195.380224340275</v>
      </c>
      <c r="T542">
        <v>5510</v>
      </c>
      <c r="U542" t="s">
        <v>1183</v>
      </c>
      <c r="V542" t="s">
        <v>1153</v>
      </c>
      <c r="W542" t="s">
        <v>2</v>
      </c>
      <c r="X542" t="s">
        <v>1090</v>
      </c>
      <c r="AI542">
        <v>62</v>
      </c>
      <c r="AJ542">
        <v>62</v>
      </c>
      <c r="AN542">
        <v>45170</v>
      </c>
      <c r="AO542">
        <v>45199</v>
      </c>
      <c r="AP542" t="s">
        <v>1101</v>
      </c>
    </row>
    <row r="543" spans="1:42" x14ac:dyDescent="0.25">
      <c r="A543">
        <v>2023</v>
      </c>
      <c r="B543">
        <v>9</v>
      </c>
      <c r="C543">
        <v>17</v>
      </c>
      <c r="D543" t="s">
        <v>1088</v>
      </c>
      <c r="E543" t="s">
        <v>282</v>
      </c>
      <c r="F543">
        <v>616052</v>
      </c>
      <c r="G543">
        <v>10259217</v>
      </c>
      <c r="H543" t="s">
        <v>282</v>
      </c>
      <c r="J543">
        <v>54148955</v>
      </c>
      <c r="K543">
        <v>1101</v>
      </c>
      <c r="L543">
        <v>1702</v>
      </c>
      <c r="M543">
        <v>1301</v>
      </c>
      <c r="N543">
        <v>53070683</v>
      </c>
      <c r="O543">
        <v>45160.542954745368</v>
      </c>
      <c r="P543">
        <v>85</v>
      </c>
      <c r="Q543">
        <v>1</v>
      </c>
      <c r="R543">
        <v>85</v>
      </c>
      <c r="S543">
        <v>45195.643754201388</v>
      </c>
      <c r="T543">
        <v>5502</v>
      </c>
      <c r="U543" t="s">
        <v>1217</v>
      </c>
      <c r="V543" t="s">
        <v>1155</v>
      </c>
      <c r="W543" t="s">
        <v>1031</v>
      </c>
      <c r="X543" t="s">
        <v>1031</v>
      </c>
      <c r="AD543">
        <v>832845</v>
      </c>
      <c r="AE543" t="s">
        <v>1280</v>
      </c>
      <c r="AF543">
        <v>45195.643753703705</v>
      </c>
      <c r="AI543">
        <v>62</v>
      </c>
      <c r="AJ543">
        <v>62</v>
      </c>
      <c r="AN543">
        <v>45170</v>
      </c>
      <c r="AO543">
        <v>45199</v>
      </c>
      <c r="AP543" t="s">
        <v>1101</v>
      </c>
    </row>
    <row r="544" spans="1:42" x14ac:dyDescent="0.25">
      <c r="A544">
        <v>2023</v>
      </c>
      <c r="B544">
        <v>9</v>
      </c>
      <c r="C544">
        <v>17</v>
      </c>
      <c r="D544" t="s">
        <v>1088</v>
      </c>
      <c r="E544" t="s">
        <v>282</v>
      </c>
      <c r="F544">
        <v>616052</v>
      </c>
      <c r="G544">
        <v>10259217</v>
      </c>
      <c r="H544" t="s">
        <v>282</v>
      </c>
      <c r="J544">
        <v>54148956</v>
      </c>
      <c r="K544">
        <v>1101</v>
      </c>
      <c r="L544">
        <v>1702</v>
      </c>
      <c r="M544">
        <v>1301</v>
      </c>
      <c r="N544">
        <v>53070766</v>
      </c>
      <c r="O544">
        <v>45160.543330752313</v>
      </c>
      <c r="P544">
        <v>15</v>
      </c>
      <c r="Q544">
        <v>1</v>
      </c>
      <c r="R544">
        <v>15</v>
      </c>
      <c r="S544">
        <v>45195.643754201388</v>
      </c>
      <c r="T544">
        <v>5502</v>
      </c>
      <c r="U544" t="s">
        <v>1217</v>
      </c>
      <c r="V544" t="s">
        <v>1155</v>
      </c>
      <c r="W544" t="s">
        <v>1031</v>
      </c>
      <c r="X544" t="s">
        <v>1031</v>
      </c>
      <c r="AD544">
        <v>832845</v>
      </c>
      <c r="AE544" t="s">
        <v>1280</v>
      </c>
      <c r="AF544">
        <v>45195.643753703705</v>
      </c>
      <c r="AI544">
        <v>62</v>
      </c>
      <c r="AJ544">
        <v>62</v>
      </c>
      <c r="AN544">
        <v>45170</v>
      </c>
      <c r="AO544">
        <v>45199</v>
      </c>
      <c r="AP544" t="s">
        <v>1101</v>
      </c>
    </row>
    <row r="545" spans="1:42" x14ac:dyDescent="0.25">
      <c r="A545">
        <v>2023</v>
      </c>
      <c r="B545">
        <v>9</v>
      </c>
      <c r="C545">
        <v>17</v>
      </c>
      <c r="D545" t="s">
        <v>1088</v>
      </c>
      <c r="E545" t="s">
        <v>282</v>
      </c>
      <c r="F545">
        <v>616052</v>
      </c>
      <c r="G545">
        <v>10259217</v>
      </c>
      <c r="H545" t="s">
        <v>282</v>
      </c>
      <c r="J545">
        <v>54148957</v>
      </c>
      <c r="K545">
        <v>1101</v>
      </c>
      <c r="L545">
        <v>1702</v>
      </c>
      <c r="M545">
        <v>1301</v>
      </c>
      <c r="N545">
        <v>53070777</v>
      </c>
      <c r="O545">
        <v>45160.543489432872</v>
      </c>
      <c r="P545">
        <v>25</v>
      </c>
      <c r="Q545">
        <v>1</v>
      </c>
      <c r="R545">
        <v>25</v>
      </c>
      <c r="S545">
        <v>45195.643754201388</v>
      </c>
      <c r="T545">
        <v>5502</v>
      </c>
      <c r="U545" t="s">
        <v>1217</v>
      </c>
      <c r="V545" t="s">
        <v>1155</v>
      </c>
      <c r="W545" t="s">
        <v>1031</v>
      </c>
      <c r="X545" t="s">
        <v>1031</v>
      </c>
      <c r="AD545">
        <v>832845</v>
      </c>
      <c r="AE545" t="s">
        <v>1280</v>
      </c>
      <c r="AF545">
        <v>45195.643753703705</v>
      </c>
      <c r="AI545">
        <v>62</v>
      </c>
      <c r="AJ545">
        <v>62</v>
      </c>
      <c r="AN545">
        <v>45170</v>
      </c>
      <c r="AO545">
        <v>45199</v>
      </c>
      <c r="AP545" t="s">
        <v>1101</v>
      </c>
    </row>
    <row r="546" spans="1:42" x14ac:dyDescent="0.25">
      <c r="A546">
        <v>2023</v>
      </c>
      <c r="B546">
        <v>9</v>
      </c>
      <c r="C546">
        <v>17</v>
      </c>
      <c r="D546" t="s">
        <v>1088</v>
      </c>
      <c r="E546" t="s">
        <v>282</v>
      </c>
      <c r="F546">
        <v>614575</v>
      </c>
      <c r="G546">
        <v>10232545</v>
      </c>
      <c r="H546" t="s">
        <v>282</v>
      </c>
      <c r="J546">
        <v>54148962</v>
      </c>
      <c r="K546">
        <v>1101</v>
      </c>
      <c r="L546">
        <v>1702</v>
      </c>
      <c r="M546">
        <v>1301</v>
      </c>
      <c r="N546">
        <v>52875571</v>
      </c>
      <c r="O546">
        <v>45154.605414155092</v>
      </c>
      <c r="P546">
        <v>85</v>
      </c>
      <c r="Q546">
        <v>1</v>
      </c>
      <c r="R546">
        <v>85</v>
      </c>
      <c r="S546">
        <v>45195.643754201388</v>
      </c>
      <c r="T546">
        <v>5502</v>
      </c>
      <c r="U546" t="s">
        <v>1217</v>
      </c>
      <c r="V546" t="s">
        <v>1155</v>
      </c>
      <c r="W546" t="s">
        <v>1031</v>
      </c>
      <c r="X546" t="s">
        <v>1031</v>
      </c>
      <c r="AD546">
        <v>832845</v>
      </c>
      <c r="AE546" t="s">
        <v>1280</v>
      </c>
      <c r="AF546">
        <v>45195.643753703705</v>
      </c>
      <c r="AI546">
        <v>62</v>
      </c>
      <c r="AJ546">
        <v>62</v>
      </c>
      <c r="AN546">
        <v>45170</v>
      </c>
      <c r="AO546">
        <v>45199</v>
      </c>
      <c r="AP546" t="s">
        <v>1101</v>
      </c>
    </row>
    <row r="547" spans="1:42" x14ac:dyDescent="0.25">
      <c r="A547">
        <v>2023</v>
      </c>
      <c r="B547">
        <v>9</v>
      </c>
      <c r="C547">
        <v>17</v>
      </c>
      <c r="D547" t="s">
        <v>1088</v>
      </c>
      <c r="E547" t="s">
        <v>282</v>
      </c>
      <c r="F547">
        <v>614575</v>
      </c>
      <c r="G547">
        <v>10232545</v>
      </c>
      <c r="H547" t="s">
        <v>282</v>
      </c>
      <c r="J547">
        <v>54148963</v>
      </c>
      <c r="K547">
        <v>1101</v>
      </c>
      <c r="L547">
        <v>1702</v>
      </c>
      <c r="M547">
        <v>1301</v>
      </c>
      <c r="N547">
        <v>52875575</v>
      </c>
      <c r="O547">
        <v>45154.605571099535</v>
      </c>
      <c r="P547">
        <v>20</v>
      </c>
      <c r="Q547">
        <v>1</v>
      </c>
      <c r="R547">
        <v>20</v>
      </c>
      <c r="S547">
        <v>45195.643754201388</v>
      </c>
      <c r="T547">
        <v>5502</v>
      </c>
      <c r="U547" t="s">
        <v>1217</v>
      </c>
      <c r="V547" t="s">
        <v>1155</v>
      </c>
      <c r="W547" t="s">
        <v>1031</v>
      </c>
      <c r="X547" t="s">
        <v>1031</v>
      </c>
      <c r="AD547">
        <v>832845</v>
      </c>
      <c r="AE547" t="s">
        <v>1280</v>
      </c>
      <c r="AF547">
        <v>45195.643753703705</v>
      </c>
      <c r="AI547">
        <v>62</v>
      </c>
      <c r="AJ547">
        <v>62</v>
      </c>
      <c r="AN547">
        <v>45170</v>
      </c>
      <c r="AO547">
        <v>45199</v>
      </c>
      <c r="AP547" t="s">
        <v>1101</v>
      </c>
    </row>
    <row r="548" spans="1:42" x14ac:dyDescent="0.25">
      <c r="A548">
        <v>2023</v>
      </c>
      <c r="B548">
        <v>9</v>
      </c>
      <c r="C548">
        <v>17</v>
      </c>
      <c r="D548" t="s">
        <v>1088</v>
      </c>
      <c r="E548" t="s">
        <v>282</v>
      </c>
      <c r="F548">
        <v>614575</v>
      </c>
      <c r="G548">
        <v>10232545</v>
      </c>
      <c r="H548" t="s">
        <v>282</v>
      </c>
      <c r="J548">
        <v>54148964</v>
      </c>
      <c r="K548">
        <v>1101</v>
      </c>
      <c r="L548">
        <v>1702</v>
      </c>
      <c r="M548">
        <v>1301</v>
      </c>
      <c r="N548">
        <v>52875581</v>
      </c>
      <c r="O548">
        <v>45154.60574097222</v>
      </c>
      <c r="P548">
        <v>15</v>
      </c>
      <c r="Q548">
        <v>1</v>
      </c>
      <c r="R548">
        <v>15</v>
      </c>
      <c r="S548">
        <v>45195.643754201388</v>
      </c>
      <c r="T548">
        <v>5502</v>
      </c>
      <c r="U548" t="s">
        <v>1217</v>
      </c>
      <c r="V548" t="s">
        <v>1155</v>
      </c>
      <c r="W548" t="s">
        <v>1031</v>
      </c>
      <c r="X548" t="s">
        <v>1031</v>
      </c>
      <c r="AD548">
        <v>832845</v>
      </c>
      <c r="AE548" t="s">
        <v>1280</v>
      </c>
      <c r="AF548">
        <v>45195.643753703705</v>
      </c>
      <c r="AI548">
        <v>62</v>
      </c>
      <c r="AJ548">
        <v>62</v>
      </c>
      <c r="AN548">
        <v>45170</v>
      </c>
      <c r="AO548">
        <v>45199</v>
      </c>
      <c r="AP548" t="s">
        <v>1101</v>
      </c>
    </row>
    <row r="549" spans="1:42" x14ac:dyDescent="0.25">
      <c r="A549">
        <v>2023</v>
      </c>
      <c r="B549">
        <v>9</v>
      </c>
      <c r="C549">
        <v>17</v>
      </c>
      <c r="D549" t="s">
        <v>1088</v>
      </c>
      <c r="E549" t="s">
        <v>282</v>
      </c>
      <c r="F549">
        <v>613898</v>
      </c>
      <c r="G549">
        <v>10216808</v>
      </c>
      <c r="H549" t="s">
        <v>282</v>
      </c>
      <c r="J549">
        <v>54148965</v>
      </c>
      <c r="K549">
        <v>1101</v>
      </c>
      <c r="L549">
        <v>1702</v>
      </c>
      <c r="M549">
        <v>1301</v>
      </c>
      <c r="N549">
        <v>52793381</v>
      </c>
      <c r="O549">
        <v>45152.607950196762</v>
      </c>
      <c r="P549">
        <v>85</v>
      </c>
      <c r="Q549">
        <v>1</v>
      </c>
      <c r="R549">
        <v>85</v>
      </c>
      <c r="S549">
        <v>45195.643754201388</v>
      </c>
      <c r="T549">
        <v>5502</v>
      </c>
      <c r="U549" t="s">
        <v>1217</v>
      </c>
      <c r="V549" t="s">
        <v>1155</v>
      </c>
      <c r="W549" t="s">
        <v>1031</v>
      </c>
      <c r="X549" t="s">
        <v>1031</v>
      </c>
      <c r="AD549">
        <v>832845</v>
      </c>
      <c r="AE549" t="s">
        <v>1280</v>
      </c>
      <c r="AF549">
        <v>45195.643753703705</v>
      </c>
      <c r="AI549">
        <v>62</v>
      </c>
      <c r="AJ549">
        <v>62</v>
      </c>
      <c r="AN549">
        <v>45170</v>
      </c>
      <c r="AO549">
        <v>45199</v>
      </c>
      <c r="AP549" t="s">
        <v>1101</v>
      </c>
    </row>
    <row r="550" spans="1:42" x14ac:dyDescent="0.25">
      <c r="A550">
        <v>2023</v>
      </c>
      <c r="B550">
        <v>9</v>
      </c>
      <c r="C550">
        <v>17</v>
      </c>
      <c r="D550" t="s">
        <v>1088</v>
      </c>
      <c r="E550" t="s">
        <v>282</v>
      </c>
      <c r="F550">
        <v>613898</v>
      </c>
      <c r="G550">
        <v>10216808</v>
      </c>
      <c r="H550" t="s">
        <v>282</v>
      </c>
      <c r="J550">
        <v>54148966</v>
      </c>
      <c r="K550">
        <v>1101</v>
      </c>
      <c r="L550">
        <v>1702</v>
      </c>
      <c r="M550">
        <v>1301</v>
      </c>
      <c r="N550">
        <v>52793385</v>
      </c>
      <c r="O550">
        <v>45152.608179664348</v>
      </c>
      <c r="P550">
        <v>15</v>
      </c>
      <c r="Q550">
        <v>1</v>
      </c>
      <c r="R550">
        <v>15</v>
      </c>
      <c r="S550">
        <v>45195.643754201388</v>
      </c>
      <c r="T550">
        <v>5502</v>
      </c>
      <c r="U550" t="s">
        <v>1217</v>
      </c>
      <c r="V550" t="s">
        <v>1155</v>
      </c>
      <c r="W550" t="s">
        <v>1031</v>
      </c>
      <c r="X550" t="s">
        <v>1031</v>
      </c>
      <c r="AD550">
        <v>832845</v>
      </c>
      <c r="AE550" t="s">
        <v>1280</v>
      </c>
      <c r="AF550">
        <v>45195.643753703705</v>
      </c>
      <c r="AI550">
        <v>62</v>
      </c>
      <c r="AJ550">
        <v>62</v>
      </c>
      <c r="AN550">
        <v>45170</v>
      </c>
      <c r="AO550">
        <v>45199</v>
      </c>
      <c r="AP550" t="s">
        <v>1101</v>
      </c>
    </row>
    <row r="551" spans="1:42" x14ac:dyDescent="0.25">
      <c r="A551">
        <v>2023</v>
      </c>
      <c r="B551">
        <v>9</v>
      </c>
      <c r="C551">
        <v>17</v>
      </c>
      <c r="D551" t="s">
        <v>1088</v>
      </c>
      <c r="E551" t="s">
        <v>282</v>
      </c>
      <c r="F551">
        <v>613898</v>
      </c>
      <c r="G551">
        <v>10216808</v>
      </c>
      <c r="H551" t="s">
        <v>282</v>
      </c>
      <c r="J551">
        <v>54148967</v>
      </c>
      <c r="K551">
        <v>1101</v>
      </c>
      <c r="L551">
        <v>1702</v>
      </c>
      <c r="M551">
        <v>1301</v>
      </c>
      <c r="N551">
        <v>52793387</v>
      </c>
      <c r="O551">
        <v>45152.608334872682</v>
      </c>
      <c r="P551">
        <v>25</v>
      </c>
      <c r="Q551">
        <v>1</v>
      </c>
      <c r="R551">
        <v>25</v>
      </c>
      <c r="S551">
        <v>45195.643754201388</v>
      </c>
      <c r="T551">
        <v>5502</v>
      </c>
      <c r="U551" t="s">
        <v>1217</v>
      </c>
      <c r="V551" t="s">
        <v>1155</v>
      </c>
      <c r="W551" t="s">
        <v>1031</v>
      </c>
      <c r="X551" t="s">
        <v>1031</v>
      </c>
      <c r="AD551">
        <v>832845</v>
      </c>
      <c r="AE551" t="s">
        <v>1280</v>
      </c>
      <c r="AF551">
        <v>45195.643753703705</v>
      </c>
      <c r="AI551">
        <v>62</v>
      </c>
      <c r="AJ551">
        <v>62</v>
      </c>
      <c r="AN551">
        <v>45170</v>
      </c>
      <c r="AO551">
        <v>45199</v>
      </c>
      <c r="AP551" t="s">
        <v>1101</v>
      </c>
    </row>
    <row r="552" spans="1:42" x14ac:dyDescent="0.25">
      <c r="A552">
        <v>2023</v>
      </c>
      <c r="B552">
        <v>9</v>
      </c>
      <c r="C552">
        <v>17</v>
      </c>
      <c r="D552" t="s">
        <v>1088</v>
      </c>
      <c r="E552" t="s">
        <v>282</v>
      </c>
      <c r="F552">
        <v>615559</v>
      </c>
      <c r="G552">
        <v>10250403</v>
      </c>
      <c r="H552" t="s">
        <v>282</v>
      </c>
      <c r="J552">
        <v>54148971</v>
      </c>
      <c r="K552">
        <v>1101</v>
      </c>
      <c r="L552">
        <v>1702</v>
      </c>
      <c r="M552">
        <v>1301</v>
      </c>
      <c r="N552">
        <v>52993142</v>
      </c>
      <c r="O552">
        <v>45159.44606681713</v>
      </c>
      <c r="P552">
        <v>85</v>
      </c>
      <c r="Q552">
        <v>1</v>
      </c>
      <c r="R552">
        <v>85</v>
      </c>
      <c r="S552">
        <v>45195.643754201388</v>
      </c>
      <c r="T552">
        <v>5502</v>
      </c>
      <c r="U552" t="s">
        <v>1217</v>
      </c>
      <c r="V552" t="s">
        <v>1155</v>
      </c>
      <c r="W552" t="s">
        <v>1031</v>
      </c>
      <c r="X552" t="s">
        <v>1031</v>
      </c>
      <c r="AD552">
        <v>832845</v>
      </c>
      <c r="AE552" t="s">
        <v>1280</v>
      </c>
      <c r="AF552">
        <v>45195.643753703705</v>
      </c>
      <c r="AI552">
        <v>62</v>
      </c>
      <c r="AJ552">
        <v>62</v>
      </c>
      <c r="AN552">
        <v>45170</v>
      </c>
      <c r="AO552">
        <v>45199</v>
      </c>
      <c r="AP552" t="s">
        <v>1101</v>
      </c>
    </row>
    <row r="553" spans="1:42" x14ac:dyDescent="0.25">
      <c r="A553">
        <v>2023</v>
      </c>
      <c r="B553">
        <v>9</v>
      </c>
      <c r="C553">
        <v>17</v>
      </c>
      <c r="D553" t="s">
        <v>1088</v>
      </c>
      <c r="E553" t="s">
        <v>282</v>
      </c>
      <c r="F553">
        <v>615559</v>
      </c>
      <c r="G553">
        <v>10250403</v>
      </c>
      <c r="H553" t="s">
        <v>282</v>
      </c>
      <c r="J553">
        <v>54148972</v>
      </c>
      <c r="K553">
        <v>1101</v>
      </c>
      <c r="L553">
        <v>1702</v>
      </c>
      <c r="M553">
        <v>1301</v>
      </c>
      <c r="N553">
        <v>52993792</v>
      </c>
      <c r="O553">
        <v>45159.449700115743</v>
      </c>
      <c r="P553">
        <v>15</v>
      </c>
      <c r="Q553">
        <v>1</v>
      </c>
      <c r="R553">
        <v>15</v>
      </c>
      <c r="S553">
        <v>45195.643754201388</v>
      </c>
      <c r="T553">
        <v>5502</v>
      </c>
      <c r="U553" t="s">
        <v>1217</v>
      </c>
      <c r="V553" t="s">
        <v>1155</v>
      </c>
      <c r="W553" t="s">
        <v>1031</v>
      </c>
      <c r="X553" t="s">
        <v>1031</v>
      </c>
      <c r="AD553">
        <v>832845</v>
      </c>
      <c r="AE553" t="s">
        <v>1280</v>
      </c>
      <c r="AF553">
        <v>45195.643753703705</v>
      </c>
      <c r="AI553">
        <v>62</v>
      </c>
      <c r="AJ553">
        <v>62</v>
      </c>
      <c r="AN553">
        <v>45170</v>
      </c>
      <c r="AO553">
        <v>45199</v>
      </c>
      <c r="AP553" t="s">
        <v>1101</v>
      </c>
    </row>
    <row r="554" spans="1:42" x14ac:dyDescent="0.25">
      <c r="A554">
        <v>2023</v>
      </c>
      <c r="B554">
        <v>9</v>
      </c>
      <c r="C554">
        <v>17</v>
      </c>
      <c r="D554" t="s">
        <v>1088</v>
      </c>
      <c r="E554" t="s">
        <v>282</v>
      </c>
      <c r="F554">
        <v>615559</v>
      </c>
      <c r="G554">
        <v>10250403</v>
      </c>
      <c r="H554" t="s">
        <v>282</v>
      </c>
      <c r="J554">
        <v>54148973</v>
      </c>
      <c r="K554">
        <v>1101</v>
      </c>
      <c r="L554">
        <v>1702</v>
      </c>
      <c r="M554">
        <v>1301</v>
      </c>
      <c r="N554">
        <v>52993866</v>
      </c>
      <c r="O554">
        <v>45159.451087534719</v>
      </c>
      <c r="P554">
        <v>20</v>
      </c>
      <c r="Q554">
        <v>1</v>
      </c>
      <c r="R554">
        <v>20</v>
      </c>
      <c r="S554">
        <v>45195.643754201388</v>
      </c>
      <c r="T554">
        <v>5502</v>
      </c>
      <c r="U554" t="s">
        <v>1217</v>
      </c>
      <c r="V554" t="s">
        <v>1155</v>
      </c>
      <c r="W554" t="s">
        <v>1031</v>
      </c>
      <c r="X554" t="s">
        <v>1031</v>
      </c>
      <c r="AD554">
        <v>832845</v>
      </c>
      <c r="AE554" t="s">
        <v>1280</v>
      </c>
      <c r="AF554">
        <v>45195.643753703705</v>
      </c>
      <c r="AI554">
        <v>62</v>
      </c>
      <c r="AJ554">
        <v>62</v>
      </c>
      <c r="AN554">
        <v>45170</v>
      </c>
      <c r="AO554">
        <v>45199</v>
      </c>
      <c r="AP554" t="s">
        <v>1101</v>
      </c>
    </row>
    <row r="555" spans="1:42" x14ac:dyDescent="0.25">
      <c r="A555">
        <v>2023</v>
      </c>
      <c r="B555">
        <v>9</v>
      </c>
      <c r="C555">
        <v>17</v>
      </c>
      <c r="D555" t="s">
        <v>1088</v>
      </c>
      <c r="E555" t="s">
        <v>282</v>
      </c>
      <c r="F555">
        <v>615559</v>
      </c>
      <c r="G555">
        <v>10250403</v>
      </c>
      <c r="H555" t="s">
        <v>282</v>
      </c>
      <c r="J555">
        <v>54148974</v>
      </c>
      <c r="K555">
        <v>1101</v>
      </c>
      <c r="L555">
        <v>1702</v>
      </c>
      <c r="M555">
        <v>1301</v>
      </c>
      <c r="N555">
        <v>52993870</v>
      </c>
      <c r="O555">
        <v>45159.451247141202</v>
      </c>
      <c r="P555">
        <v>15</v>
      </c>
      <c r="Q555">
        <v>1</v>
      </c>
      <c r="R555">
        <v>15</v>
      </c>
      <c r="S555">
        <v>45195.643754201388</v>
      </c>
      <c r="T555">
        <v>5502</v>
      </c>
      <c r="U555" t="s">
        <v>1217</v>
      </c>
      <c r="V555" t="s">
        <v>1155</v>
      </c>
      <c r="W555" t="s">
        <v>1031</v>
      </c>
      <c r="X555" t="s">
        <v>1031</v>
      </c>
      <c r="AD555">
        <v>832845</v>
      </c>
      <c r="AE555" t="s">
        <v>1280</v>
      </c>
      <c r="AF555">
        <v>45195.643753703705</v>
      </c>
      <c r="AI555">
        <v>62</v>
      </c>
      <c r="AJ555">
        <v>62</v>
      </c>
      <c r="AN555">
        <v>45170</v>
      </c>
      <c r="AO555">
        <v>45199</v>
      </c>
      <c r="AP555" t="s">
        <v>1101</v>
      </c>
    </row>
    <row r="556" spans="1:42" x14ac:dyDescent="0.25">
      <c r="A556">
        <v>2023</v>
      </c>
      <c r="B556">
        <v>9</v>
      </c>
      <c r="C556">
        <v>17</v>
      </c>
      <c r="D556" t="s">
        <v>1088</v>
      </c>
      <c r="E556" t="s">
        <v>282</v>
      </c>
      <c r="F556">
        <v>617596</v>
      </c>
      <c r="G556">
        <v>10288057</v>
      </c>
      <c r="H556" t="s">
        <v>282</v>
      </c>
      <c r="J556">
        <v>54148975</v>
      </c>
      <c r="K556">
        <v>1101</v>
      </c>
      <c r="L556">
        <v>1702</v>
      </c>
      <c r="M556">
        <v>1301</v>
      </c>
      <c r="N556">
        <v>53255506</v>
      </c>
      <c r="O556">
        <v>45166.616407951391</v>
      </c>
      <c r="P556">
        <v>85</v>
      </c>
      <c r="Q556">
        <v>1</v>
      </c>
      <c r="R556">
        <v>85</v>
      </c>
      <c r="S556">
        <v>45195.643754201388</v>
      </c>
      <c r="T556">
        <v>5502</v>
      </c>
      <c r="U556" t="s">
        <v>1217</v>
      </c>
      <c r="V556" t="s">
        <v>1155</v>
      </c>
      <c r="W556" t="s">
        <v>1031</v>
      </c>
      <c r="X556" t="s">
        <v>1031</v>
      </c>
      <c r="AD556">
        <v>832845</v>
      </c>
      <c r="AE556" t="s">
        <v>1280</v>
      </c>
      <c r="AF556">
        <v>45195.643753703705</v>
      </c>
      <c r="AI556">
        <v>62</v>
      </c>
      <c r="AJ556">
        <v>62</v>
      </c>
      <c r="AN556">
        <v>45170</v>
      </c>
      <c r="AO556">
        <v>45199</v>
      </c>
      <c r="AP556" t="s">
        <v>1101</v>
      </c>
    </row>
    <row r="557" spans="1:42" x14ac:dyDescent="0.25">
      <c r="A557">
        <v>2023</v>
      </c>
      <c r="B557">
        <v>9</v>
      </c>
      <c r="C557">
        <v>17</v>
      </c>
      <c r="D557" t="s">
        <v>1088</v>
      </c>
      <c r="E557" t="s">
        <v>282</v>
      </c>
      <c r="F557">
        <v>617596</v>
      </c>
      <c r="G557">
        <v>10288057</v>
      </c>
      <c r="H557" t="s">
        <v>282</v>
      </c>
      <c r="J557">
        <v>54148976</v>
      </c>
      <c r="K557">
        <v>1101</v>
      </c>
      <c r="L557">
        <v>1702</v>
      </c>
      <c r="M557">
        <v>1301</v>
      </c>
      <c r="N557">
        <v>53255525</v>
      </c>
      <c r="O557">
        <v>45166.617382870369</v>
      </c>
      <c r="P557">
        <v>15</v>
      </c>
      <c r="Q557">
        <v>1</v>
      </c>
      <c r="R557">
        <v>15</v>
      </c>
      <c r="S557">
        <v>45195.643754201388</v>
      </c>
      <c r="T557">
        <v>5502</v>
      </c>
      <c r="U557" t="s">
        <v>1217</v>
      </c>
      <c r="V557" t="s">
        <v>1155</v>
      </c>
      <c r="W557" t="s">
        <v>1031</v>
      </c>
      <c r="X557" t="s">
        <v>1031</v>
      </c>
      <c r="AD557">
        <v>832845</v>
      </c>
      <c r="AE557" t="s">
        <v>1280</v>
      </c>
      <c r="AF557">
        <v>45195.643753703705</v>
      </c>
      <c r="AI557">
        <v>62</v>
      </c>
      <c r="AJ557">
        <v>62</v>
      </c>
      <c r="AN557">
        <v>45170</v>
      </c>
      <c r="AO557">
        <v>45199</v>
      </c>
      <c r="AP557" t="s">
        <v>1101</v>
      </c>
    </row>
    <row r="558" spans="1:42" x14ac:dyDescent="0.25">
      <c r="A558">
        <v>2023</v>
      </c>
      <c r="B558">
        <v>9</v>
      </c>
      <c r="C558">
        <v>17</v>
      </c>
      <c r="D558" t="s">
        <v>1088</v>
      </c>
      <c r="E558" t="s">
        <v>282</v>
      </c>
      <c r="F558">
        <v>617596</v>
      </c>
      <c r="G558">
        <v>10288057</v>
      </c>
      <c r="H558" t="s">
        <v>282</v>
      </c>
      <c r="J558">
        <v>54148977</v>
      </c>
      <c r="K558">
        <v>1101</v>
      </c>
      <c r="L558">
        <v>1702</v>
      </c>
      <c r="M558">
        <v>1301</v>
      </c>
      <c r="N558">
        <v>53255532</v>
      </c>
      <c r="O558">
        <v>45166.617987187499</v>
      </c>
      <c r="P558">
        <v>25</v>
      </c>
      <c r="Q558">
        <v>1</v>
      </c>
      <c r="R558">
        <v>25</v>
      </c>
      <c r="S558">
        <v>45195.643754201388</v>
      </c>
      <c r="T558">
        <v>5502</v>
      </c>
      <c r="U558" t="s">
        <v>1217</v>
      </c>
      <c r="V558" t="s">
        <v>1155</v>
      </c>
      <c r="W558" t="s">
        <v>1031</v>
      </c>
      <c r="X558" t="s">
        <v>1031</v>
      </c>
      <c r="AD558">
        <v>832845</v>
      </c>
      <c r="AE558" t="s">
        <v>1280</v>
      </c>
      <c r="AF558">
        <v>45195.643753703705</v>
      </c>
      <c r="AI558">
        <v>62</v>
      </c>
      <c r="AJ558">
        <v>62</v>
      </c>
      <c r="AN558">
        <v>45170</v>
      </c>
      <c r="AO558">
        <v>45199</v>
      </c>
      <c r="AP558" t="s">
        <v>1101</v>
      </c>
    </row>
    <row r="559" spans="1:42" x14ac:dyDescent="0.25">
      <c r="A559">
        <v>2023</v>
      </c>
      <c r="B559">
        <v>9</v>
      </c>
      <c r="C559">
        <v>17</v>
      </c>
      <c r="D559" t="s">
        <v>1088</v>
      </c>
      <c r="E559" t="s">
        <v>282</v>
      </c>
      <c r="F559">
        <v>617596</v>
      </c>
      <c r="G559">
        <v>10288057</v>
      </c>
      <c r="H559" t="s">
        <v>282</v>
      </c>
      <c r="J559">
        <v>54148978</v>
      </c>
      <c r="K559">
        <v>1101</v>
      </c>
      <c r="L559">
        <v>1702</v>
      </c>
      <c r="M559">
        <v>1301</v>
      </c>
      <c r="N559">
        <v>53349883</v>
      </c>
      <c r="O559">
        <v>45168.578600428242</v>
      </c>
      <c r="P559">
        <v>8</v>
      </c>
      <c r="Q559">
        <v>1</v>
      </c>
      <c r="R559">
        <v>8</v>
      </c>
      <c r="S559">
        <v>45195.643754201388</v>
      </c>
      <c r="T559">
        <v>5502</v>
      </c>
      <c r="U559" t="s">
        <v>1217</v>
      </c>
      <c r="V559" t="s">
        <v>1155</v>
      </c>
      <c r="W559" t="s">
        <v>1031</v>
      </c>
      <c r="X559" t="s">
        <v>1031</v>
      </c>
      <c r="AD559">
        <v>832845</v>
      </c>
      <c r="AE559" t="s">
        <v>1280</v>
      </c>
      <c r="AF559">
        <v>45195.643753703705</v>
      </c>
      <c r="AI559">
        <v>62</v>
      </c>
      <c r="AJ559">
        <v>62</v>
      </c>
      <c r="AN559">
        <v>45170</v>
      </c>
      <c r="AO559">
        <v>45199</v>
      </c>
      <c r="AP559" t="s">
        <v>1101</v>
      </c>
    </row>
    <row r="560" spans="1:42" x14ac:dyDescent="0.25">
      <c r="A560">
        <v>2023</v>
      </c>
      <c r="B560">
        <v>9</v>
      </c>
      <c r="C560">
        <v>17</v>
      </c>
      <c r="D560" t="s">
        <v>1088</v>
      </c>
      <c r="E560" t="s">
        <v>282</v>
      </c>
      <c r="F560">
        <v>617596</v>
      </c>
      <c r="G560">
        <v>10288057</v>
      </c>
      <c r="H560" t="s">
        <v>282</v>
      </c>
      <c r="J560">
        <v>54148979</v>
      </c>
      <c r="K560">
        <v>1101</v>
      </c>
      <c r="L560">
        <v>1702</v>
      </c>
      <c r="M560">
        <v>1301</v>
      </c>
      <c r="N560">
        <v>53349889</v>
      </c>
      <c r="O560">
        <v>45168.578905092596</v>
      </c>
      <c r="P560">
        <v>16</v>
      </c>
      <c r="Q560">
        <v>1</v>
      </c>
      <c r="R560">
        <v>16</v>
      </c>
      <c r="S560">
        <v>45195.643754201388</v>
      </c>
      <c r="T560">
        <v>5502</v>
      </c>
      <c r="U560" t="s">
        <v>1217</v>
      </c>
      <c r="V560" t="s">
        <v>1155</v>
      </c>
      <c r="W560" t="s">
        <v>1031</v>
      </c>
      <c r="X560" t="s">
        <v>1031</v>
      </c>
      <c r="AD560">
        <v>832845</v>
      </c>
      <c r="AE560" t="s">
        <v>1280</v>
      </c>
      <c r="AF560">
        <v>45195.643753703705</v>
      </c>
      <c r="AI560">
        <v>62</v>
      </c>
      <c r="AJ560">
        <v>62</v>
      </c>
      <c r="AN560">
        <v>45170</v>
      </c>
      <c r="AO560">
        <v>45199</v>
      </c>
      <c r="AP560" t="s">
        <v>1101</v>
      </c>
    </row>
    <row r="561" spans="1:42" x14ac:dyDescent="0.25">
      <c r="A561">
        <v>2023</v>
      </c>
      <c r="B561">
        <v>9</v>
      </c>
      <c r="C561">
        <v>17</v>
      </c>
      <c r="D561" t="s">
        <v>1088</v>
      </c>
      <c r="E561" t="s">
        <v>282</v>
      </c>
      <c r="F561">
        <v>617577</v>
      </c>
      <c r="G561">
        <v>10287907</v>
      </c>
      <c r="H561" t="s">
        <v>282</v>
      </c>
      <c r="J561">
        <v>54148980</v>
      </c>
      <c r="K561">
        <v>1101</v>
      </c>
      <c r="L561">
        <v>1702</v>
      </c>
      <c r="M561">
        <v>1301</v>
      </c>
      <c r="N561">
        <v>53254425</v>
      </c>
      <c r="O561">
        <v>45166.606343865744</v>
      </c>
      <c r="P561">
        <v>85</v>
      </c>
      <c r="Q561">
        <v>1</v>
      </c>
      <c r="R561">
        <v>85</v>
      </c>
      <c r="S561">
        <v>45195.643754201388</v>
      </c>
      <c r="T561">
        <v>5502</v>
      </c>
      <c r="U561" t="s">
        <v>1217</v>
      </c>
      <c r="V561" t="s">
        <v>1155</v>
      </c>
      <c r="W561" t="s">
        <v>1031</v>
      </c>
      <c r="X561" t="s">
        <v>1031</v>
      </c>
      <c r="AD561">
        <v>832845</v>
      </c>
      <c r="AE561" t="s">
        <v>1280</v>
      </c>
      <c r="AF561">
        <v>45195.643753703705</v>
      </c>
      <c r="AI561">
        <v>62</v>
      </c>
      <c r="AJ561">
        <v>62</v>
      </c>
      <c r="AN561">
        <v>45170</v>
      </c>
      <c r="AO561">
        <v>45199</v>
      </c>
      <c r="AP561" t="s">
        <v>1101</v>
      </c>
    </row>
    <row r="562" spans="1:42" x14ac:dyDescent="0.25">
      <c r="A562">
        <v>2023</v>
      </c>
      <c r="B562">
        <v>9</v>
      </c>
      <c r="C562">
        <v>17</v>
      </c>
      <c r="D562" t="s">
        <v>1088</v>
      </c>
      <c r="E562" t="s">
        <v>282</v>
      </c>
      <c r="F562">
        <v>617577</v>
      </c>
      <c r="G562">
        <v>10287907</v>
      </c>
      <c r="H562" t="s">
        <v>282</v>
      </c>
      <c r="J562">
        <v>54148981</v>
      </c>
      <c r="K562">
        <v>1101</v>
      </c>
      <c r="L562">
        <v>1702</v>
      </c>
      <c r="M562">
        <v>1301</v>
      </c>
      <c r="N562">
        <v>53254434</v>
      </c>
      <c r="O562">
        <v>45166.606744756944</v>
      </c>
      <c r="P562">
        <v>15</v>
      </c>
      <c r="Q562">
        <v>1</v>
      </c>
      <c r="R562">
        <v>15</v>
      </c>
      <c r="S562">
        <v>45195.643754201388</v>
      </c>
      <c r="T562">
        <v>5502</v>
      </c>
      <c r="U562" t="s">
        <v>1217</v>
      </c>
      <c r="V562" t="s">
        <v>1155</v>
      </c>
      <c r="W562" t="s">
        <v>1031</v>
      </c>
      <c r="X562" t="s">
        <v>1031</v>
      </c>
      <c r="AD562">
        <v>832845</v>
      </c>
      <c r="AE562" t="s">
        <v>1280</v>
      </c>
      <c r="AF562">
        <v>45195.643753703705</v>
      </c>
      <c r="AI562">
        <v>62</v>
      </c>
      <c r="AJ562">
        <v>62</v>
      </c>
      <c r="AN562">
        <v>45170</v>
      </c>
      <c r="AO562">
        <v>45199</v>
      </c>
      <c r="AP562" t="s">
        <v>1101</v>
      </c>
    </row>
    <row r="563" spans="1:42" x14ac:dyDescent="0.25">
      <c r="A563">
        <v>2023</v>
      </c>
      <c r="B563">
        <v>9</v>
      </c>
      <c r="C563">
        <v>17</v>
      </c>
      <c r="D563" t="s">
        <v>1088</v>
      </c>
      <c r="E563" t="s">
        <v>282</v>
      </c>
      <c r="F563">
        <v>617577</v>
      </c>
      <c r="G563">
        <v>10287907</v>
      </c>
      <c r="H563" t="s">
        <v>282</v>
      </c>
      <c r="J563">
        <v>54148982</v>
      </c>
      <c r="K563">
        <v>1101</v>
      </c>
      <c r="L563">
        <v>1702</v>
      </c>
      <c r="M563">
        <v>1301</v>
      </c>
      <c r="N563">
        <v>53254496</v>
      </c>
      <c r="O563">
        <v>45166.607212581017</v>
      </c>
      <c r="P563">
        <v>25</v>
      </c>
      <c r="Q563">
        <v>1</v>
      </c>
      <c r="R563">
        <v>25</v>
      </c>
      <c r="S563">
        <v>45195.643754201388</v>
      </c>
      <c r="T563">
        <v>5502</v>
      </c>
      <c r="U563" t="s">
        <v>1217</v>
      </c>
      <c r="V563" t="s">
        <v>1155</v>
      </c>
      <c r="W563" t="s">
        <v>1031</v>
      </c>
      <c r="X563" t="s">
        <v>1031</v>
      </c>
      <c r="AD563">
        <v>832845</v>
      </c>
      <c r="AE563" t="s">
        <v>1280</v>
      </c>
      <c r="AF563">
        <v>45195.643753703705</v>
      </c>
      <c r="AI563">
        <v>62</v>
      </c>
      <c r="AJ563">
        <v>62</v>
      </c>
      <c r="AN563">
        <v>45170</v>
      </c>
      <c r="AO563">
        <v>45199</v>
      </c>
      <c r="AP563" t="s">
        <v>1101</v>
      </c>
    </row>
    <row r="564" spans="1:42" x14ac:dyDescent="0.25">
      <c r="A564">
        <v>2023</v>
      </c>
      <c r="B564">
        <v>9</v>
      </c>
      <c r="C564">
        <v>17</v>
      </c>
      <c r="D564" t="s">
        <v>1088</v>
      </c>
      <c r="E564" t="s">
        <v>282</v>
      </c>
      <c r="F564">
        <v>617577</v>
      </c>
      <c r="G564">
        <v>10287907</v>
      </c>
      <c r="H564" t="s">
        <v>282</v>
      </c>
      <c r="J564">
        <v>54148983</v>
      </c>
      <c r="K564">
        <v>1101</v>
      </c>
      <c r="L564">
        <v>1702</v>
      </c>
      <c r="M564">
        <v>1301</v>
      </c>
      <c r="N564">
        <v>53254666</v>
      </c>
      <c r="O564">
        <v>45166.608172719905</v>
      </c>
      <c r="P564">
        <v>15</v>
      </c>
      <c r="Q564">
        <v>1</v>
      </c>
      <c r="R564">
        <v>15</v>
      </c>
      <c r="S564">
        <v>45195.643754201388</v>
      </c>
      <c r="T564">
        <v>5502</v>
      </c>
      <c r="U564" t="s">
        <v>1217</v>
      </c>
      <c r="V564" t="s">
        <v>1155</v>
      </c>
      <c r="W564" t="s">
        <v>1031</v>
      </c>
      <c r="X564" t="s">
        <v>1031</v>
      </c>
      <c r="AD564">
        <v>832845</v>
      </c>
      <c r="AE564" t="s">
        <v>1280</v>
      </c>
      <c r="AF564">
        <v>45195.643753703705</v>
      </c>
      <c r="AI564">
        <v>62</v>
      </c>
      <c r="AJ564">
        <v>62</v>
      </c>
      <c r="AN564">
        <v>45170</v>
      </c>
      <c r="AO564">
        <v>45199</v>
      </c>
      <c r="AP564" t="s">
        <v>1101</v>
      </c>
    </row>
    <row r="565" spans="1:42" x14ac:dyDescent="0.25">
      <c r="A565">
        <v>2023</v>
      </c>
      <c r="B565">
        <v>9</v>
      </c>
      <c r="C565">
        <v>17</v>
      </c>
      <c r="D565" t="s">
        <v>1088</v>
      </c>
      <c r="E565" t="s">
        <v>282</v>
      </c>
      <c r="F565">
        <v>617577</v>
      </c>
      <c r="G565">
        <v>10287907</v>
      </c>
      <c r="H565" t="s">
        <v>282</v>
      </c>
      <c r="J565">
        <v>54148984</v>
      </c>
      <c r="K565">
        <v>1101</v>
      </c>
      <c r="L565">
        <v>1702</v>
      </c>
      <c r="M565">
        <v>1301</v>
      </c>
      <c r="N565">
        <v>53349789</v>
      </c>
      <c r="O565">
        <v>45168.576014039354</v>
      </c>
      <c r="P565">
        <v>16</v>
      </c>
      <c r="Q565">
        <v>1</v>
      </c>
      <c r="R565">
        <v>16</v>
      </c>
      <c r="S565">
        <v>45195.643754201388</v>
      </c>
      <c r="T565">
        <v>5502</v>
      </c>
      <c r="U565" t="s">
        <v>1217</v>
      </c>
      <c r="V565" t="s">
        <v>1155</v>
      </c>
      <c r="W565" t="s">
        <v>1031</v>
      </c>
      <c r="X565" t="s">
        <v>1031</v>
      </c>
      <c r="AD565">
        <v>832845</v>
      </c>
      <c r="AE565" t="s">
        <v>1280</v>
      </c>
      <c r="AF565">
        <v>45195.643753703705</v>
      </c>
      <c r="AI565">
        <v>62</v>
      </c>
      <c r="AJ565">
        <v>62</v>
      </c>
      <c r="AN565">
        <v>45170</v>
      </c>
      <c r="AO565">
        <v>45199</v>
      </c>
      <c r="AP565" t="s">
        <v>1101</v>
      </c>
    </row>
    <row r="566" spans="1:42" x14ac:dyDescent="0.25">
      <c r="A566">
        <v>2023</v>
      </c>
      <c r="B566">
        <v>9</v>
      </c>
      <c r="C566">
        <v>17</v>
      </c>
      <c r="D566" t="s">
        <v>1088</v>
      </c>
      <c r="E566" t="s">
        <v>282</v>
      </c>
      <c r="F566">
        <v>614697</v>
      </c>
      <c r="G566">
        <v>10232634</v>
      </c>
      <c r="H566" t="s">
        <v>282</v>
      </c>
      <c r="J566">
        <v>54148994</v>
      </c>
      <c r="K566">
        <v>1101</v>
      </c>
      <c r="L566">
        <v>1702</v>
      </c>
      <c r="M566">
        <v>1301</v>
      </c>
      <c r="N566">
        <v>52875683</v>
      </c>
      <c r="O566">
        <v>45154.611037071758</v>
      </c>
      <c r="P566">
        <v>85</v>
      </c>
      <c r="Q566">
        <v>1</v>
      </c>
      <c r="R566">
        <v>85</v>
      </c>
      <c r="S566">
        <v>45195.643754201388</v>
      </c>
      <c r="T566">
        <v>5502</v>
      </c>
      <c r="U566" t="s">
        <v>1217</v>
      </c>
      <c r="V566" t="s">
        <v>1155</v>
      </c>
      <c r="W566" t="s">
        <v>1031</v>
      </c>
      <c r="X566" t="s">
        <v>1031</v>
      </c>
      <c r="AD566">
        <v>832845</v>
      </c>
      <c r="AE566" t="s">
        <v>1280</v>
      </c>
      <c r="AF566">
        <v>45195.643753703705</v>
      </c>
      <c r="AI566">
        <v>62</v>
      </c>
      <c r="AJ566">
        <v>62</v>
      </c>
      <c r="AN566">
        <v>45170</v>
      </c>
      <c r="AO566">
        <v>45199</v>
      </c>
      <c r="AP566" t="s">
        <v>1101</v>
      </c>
    </row>
    <row r="567" spans="1:42" x14ac:dyDescent="0.25">
      <c r="A567">
        <v>2023</v>
      </c>
      <c r="B567">
        <v>9</v>
      </c>
      <c r="C567">
        <v>17</v>
      </c>
      <c r="D567" t="s">
        <v>1088</v>
      </c>
      <c r="E567" t="s">
        <v>282</v>
      </c>
      <c r="F567">
        <v>614697</v>
      </c>
      <c r="G567">
        <v>10232634</v>
      </c>
      <c r="H567" t="s">
        <v>282</v>
      </c>
      <c r="J567">
        <v>54148995</v>
      </c>
      <c r="K567">
        <v>1101</v>
      </c>
      <c r="L567">
        <v>1702</v>
      </c>
      <c r="M567">
        <v>1301</v>
      </c>
      <c r="N567">
        <v>52875684</v>
      </c>
      <c r="O567">
        <v>45154.611208761577</v>
      </c>
      <c r="P567">
        <v>15</v>
      </c>
      <c r="Q567">
        <v>1</v>
      </c>
      <c r="R567">
        <v>15</v>
      </c>
      <c r="S567">
        <v>45195.643754201388</v>
      </c>
      <c r="T567">
        <v>5502</v>
      </c>
      <c r="U567" t="s">
        <v>1217</v>
      </c>
      <c r="V567" t="s">
        <v>1155</v>
      </c>
      <c r="W567" t="s">
        <v>1031</v>
      </c>
      <c r="X567" t="s">
        <v>1031</v>
      </c>
      <c r="AD567">
        <v>832845</v>
      </c>
      <c r="AE567" t="s">
        <v>1280</v>
      </c>
      <c r="AF567">
        <v>45195.643753703705</v>
      </c>
      <c r="AI567">
        <v>62</v>
      </c>
      <c r="AJ567">
        <v>62</v>
      </c>
      <c r="AN567">
        <v>45170</v>
      </c>
      <c r="AO567">
        <v>45199</v>
      </c>
      <c r="AP567" t="s">
        <v>1101</v>
      </c>
    </row>
    <row r="568" spans="1:42" x14ac:dyDescent="0.25">
      <c r="A568">
        <v>2023</v>
      </c>
      <c r="B568">
        <v>9</v>
      </c>
      <c r="C568">
        <v>17</v>
      </c>
      <c r="D568" t="s">
        <v>1088</v>
      </c>
      <c r="E568" t="s">
        <v>282</v>
      </c>
      <c r="F568">
        <v>614697</v>
      </c>
      <c r="G568">
        <v>10232634</v>
      </c>
      <c r="H568" t="s">
        <v>282</v>
      </c>
      <c r="J568">
        <v>54148996</v>
      </c>
      <c r="K568">
        <v>1101</v>
      </c>
      <c r="L568">
        <v>1702</v>
      </c>
      <c r="M568">
        <v>1301</v>
      </c>
      <c r="N568">
        <v>52875687</v>
      </c>
      <c r="O568">
        <v>45154.611362881944</v>
      </c>
      <c r="P568">
        <v>20</v>
      </c>
      <c r="Q568">
        <v>1</v>
      </c>
      <c r="R568">
        <v>20</v>
      </c>
      <c r="S568">
        <v>45195.643754201388</v>
      </c>
      <c r="T568">
        <v>5502</v>
      </c>
      <c r="U568" t="s">
        <v>1217</v>
      </c>
      <c r="V568" t="s">
        <v>1155</v>
      </c>
      <c r="W568" t="s">
        <v>1031</v>
      </c>
      <c r="X568" t="s">
        <v>1031</v>
      </c>
      <c r="AD568">
        <v>832845</v>
      </c>
      <c r="AE568" t="s">
        <v>1280</v>
      </c>
      <c r="AF568">
        <v>45195.643753703705</v>
      </c>
      <c r="AI568">
        <v>62</v>
      </c>
      <c r="AJ568">
        <v>62</v>
      </c>
      <c r="AN568">
        <v>45170</v>
      </c>
      <c r="AO568">
        <v>45199</v>
      </c>
      <c r="AP568" t="s">
        <v>1101</v>
      </c>
    </row>
    <row r="569" spans="1:42" x14ac:dyDescent="0.25">
      <c r="A569">
        <v>2023</v>
      </c>
      <c r="B569">
        <v>9</v>
      </c>
      <c r="C569">
        <v>17</v>
      </c>
      <c r="D569" t="s">
        <v>1088</v>
      </c>
      <c r="E569" t="s">
        <v>282</v>
      </c>
      <c r="F569">
        <v>609901</v>
      </c>
      <c r="G569">
        <v>10256625</v>
      </c>
      <c r="H569" t="s">
        <v>282</v>
      </c>
      <c r="J569">
        <v>54148997</v>
      </c>
      <c r="K569">
        <v>1101</v>
      </c>
      <c r="L569">
        <v>1702</v>
      </c>
      <c r="M569">
        <v>1301</v>
      </c>
      <c r="N569">
        <v>53028066</v>
      </c>
      <c r="O569">
        <v>45160.393787581015</v>
      </c>
      <c r="P569">
        <v>85</v>
      </c>
      <c r="Q569">
        <v>1</v>
      </c>
      <c r="R569">
        <v>85</v>
      </c>
      <c r="S569">
        <v>45195.643754201388</v>
      </c>
      <c r="T569">
        <v>5502</v>
      </c>
      <c r="U569" t="s">
        <v>1217</v>
      </c>
      <c r="V569" t="s">
        <v>1155</v>
      </c>
      <c r="W569" t="s">
        <v>1031</v>
      </c>
      <c r="X569" t="s">
        <v>1031</v>
      </c>
      <c r="AD569">
        <v>832845</v>
      </c>
      <c r="AE569" t="s">
        <v>1280</v>
      </c>
      <c r="AF569">
        <v>45195.643753703705</v>
      </c>
      <c r="AI569">
        <v>62</v>
      </c>
      <c r="AJ569">
        <v>62</v>
      </c>
      <c r="AN569">
        <v>45170</v>
      </c>
      <c r="AO569">
        <v>45199</v>
      </c>
      <c r="AP569" t="s">
        <v>1101</v>
      </c>
    </row>
    <row r="570" spans="1:42" x14ac:dyDescent="0.25">
      <c r="A570">
        <v>2023</v>
      </c>
      <c r="B570">
        <v>9</v>
      </c>
      <c r="C570">
        <v>17</v>
      </c>
      <c r="D570" t="s">
        <v>1088</v>
      </c>
      <c r="E570" t="s">
        <v>282</v>
      </c>
      <c r="F570">
        <v>609901</v>
      </c>
      <c r="G570">
        <v>10256625</v>
      </c>
      <c r="H570" t="s">
        <v>282</v>
      </c>
      <c r="J570">
        <v>54148998</v>
      </c>
      <c r="K570">
        <v>1101</v>
      </c>
      <c r="L570">
        <v>1702</v>
      </c>
      <c r="M570">
        <v>1301</v>
      </c>
      <c r="N570">
        <v>53028069</v>
      </c>
      <c r="O570">
        <v>45160.39393082176</v>
      </c>
      <c r="P570">
        <v>15</v>
      </c>
      <c r="Q570">
        <v>1</v>
      </c>
      <c r="R570">
        <v>15</v>
      </c>
      <c r="S570">
        <v>45195.643754201388</v>
      </c>
      <c r="T570">
        <v>5502</v>
      </c>
      <c r="U570" t="s">
        <v>1217</v>
      </c>
      <c r="V570" t="s">
        <v>1155</v>
      </c>
      <c r="W570" t="s">
        <v>1031</v>
      </c>
      <c r="X570" t="s">
        <v>1031</v>
      </c>
      <c r="AD570">
        <v>832845</v>
      </c>
      <c r="AE570" t="s">
        <v>1280</v>
      </c>
      <c r="AF570">
        <v>45195.643753703705</v>
      </c>
      <c r="AI570">
        <v>62</v>
      </c>
      <c r="AJ570">
        <v>62</v>
      </c>
      <c r="AN570">
        <v>45170</v>
      </c>
      <c r="AO570">
        <v>45199</v>
      </c>
      <c r="AP570" t="s">
        <v>1101</v>
      </c>
    </row>
    <row r="571" spans="1:42" x14ac:dyDescent="0.25">
      <c r="A571">
        <v>2023</v>
      </c>
      <c r="B571">
        <v>9</v>
      </c>
      <c r="C571">
        <v>17</v>
      </c>
      <c r="D571" t="s">
        <v>1088</v>
      </c>
      <c r="E571" t="s">
        <v>282</v>
      </c>
      <c r="F571">
        <v>609901</v>
      </c>
      <c r="G571">
        <v>10256625</v>
      </c>
      <c r="H571" t="s">
        <v>282</v>
      </c>
      <c r="J571">
        <v>54148999</v>
      </c>
      <c r="K571">
        <v>1101</v>
      </c>
      <c r="L571">
        <v>1702</v>
      </c>
      <c r="M571">
        <v>1301</v>
      </c>
      <c r="N571">
        <v>53028073</v>
      </c>
      <c r="O571">
        <v>45160.394118206015</v>
      </c>
      <c r="P571">
        <v>16</v>
      </c>
      <c r="Q571">
        <v>1</v>
      </c>
      <c r="R571">
        <v>16</v>
      </c>
      <c r="S571">
        <v>45195.643754201388</v>
      </c>
      <c r="T571">
        <v>5502</v>
      </c>
      <c r="U571" t="s">
        <v>1217</v>
      </c>
      <c r="V571" t="s">
        <v>1155</v>
      </c>
      <c r="W571" t="s">
        <v>1031</v>
      </c>
      <c r="X571" t="s">
        <v>1031</v>
      </c>
      <c r="AD571">
        <v>832845</v>
      </c>
      <c r="AE571" t="s">
        <v>1280</v>
      </c>
      <c r="AF571">
        <v>45195.643753703705</v>
      </c>
      <c r="AI571">
        <v>62</v>
      </c>
      <c r="AJ571">
        <v>62</v>
      </c>
      <c r="AN571">
        <v>45170</v>
      </c>
      <c r="AO571">
        <v>45199</v>
      </c>
      <c r="AP571" t="s">
        <v>1101</v>
      </c>
    </row>
    <row r="572" spans="1:42" x14ac:dyDescent="0.25">
      <c r="A572">
        <v>2023</v>
      </c>
      <c r="B572">
        <v>9</v>
      </c>
      <c r="C572">
        <v>17</v>
      </c>
      <c r="D572" t="s">
        <v>1088</v>
      </c>
      <c r="E572" t="s">
        <v>282</v>
      </c>
      <c r="F572">
        <v>609901</v>
      </c>
      <c r="G572">
        <v>10256625</v>
      </c>
      <c r="H572" t="s">
        <v>282</v>
      </c>
      <c r="J572">
        <v>54149000</v>
      </c>
      <c r="K572">
        <v>1101</v>
      </c>
      <c r="L572">
        <v>1702</v>
      </c>
      <c r="M572">
        <v>1301</v>
      </c>
      <c r="N572">
        <v>53028101</v>
      </c>
      <c r="O572">
        <v>45160.394501006944</v>
      </c>
      <c r="P572">
        <v>8</v>
      </c>
      <c r="Q572">
        <v>1</v>
      </c>
      <c r="R572">
        <v>8</v>
      </c>
      <c r="S572">
        <v>45195.643754201388</v>
      </c>
      <c r="T572">
        <v>5502</v>
      </c>
      <c r="U572" t="s">
        <v>1217</v>
      </c>
      <c r="V572" t="s">
        <v>1155</v>
      </c>
      <c r="W572" t="s">
        <v>1031</v>
      </c>
      <c r="X572" t="s">
        <v>1031</v>
      </c>
      <c r="AD572">
        <v>832845</v>
      </c>
      <c r="AE572" t="s">
        <v>1280</v>
      </c>
      <c r="AF572">
        <v>45195.643753703705</v>
      </c>
      <c r="AI572">
        <v>62</v>
      </c>
      <c r="AJ572">
        <v>62</v>
      </c>
      <c r="AN572">
        <v>45170</v>
      </c>
      <c r="AO572">
        <v>45199</v>
      </c>
      <c r="AP572" t="s">
        <v>1101</v>
      </c>
    </row>
    <row r="573" spans="1:42" x14ac:dyDescent="0.25">
      <c r="A573">
        <v>2023</v>
      </c>
      <c r="B573">
        <v>9</v>
      </c>
      <c r="C573">
        <v>17</v>
      </c>
      <c r="D573" t="s">
        <v>1088</v>
      </c>
      <c r="E573" t="s">
        <v>282</v>
      </c>
      <c r="F573">
        <v>614248</v>
      </c>
      <c r="G573">
        <v>10223929</v>
      </c>
      <c r="H573" t="s">
        <v>282</v>
      </c>
      <c r="J573">
        <v>54149001</v>
      </c>
      <c r="K573">
        <v>1101</v>
      </c>
      <c r="L573">
        <v>1702</v>
      </c>
      <c r="M573">
        <v>1301</v>
      </c>
      <c r="N573">
        <v>52823149</v>
      </c>
      <c r="O573">
        <v>45153.568453009262</v>
      </c>
      <c r="P573">
        <v>85</v>
      </c>
      <c r="Q573">
        <v>1</v>
      </c>
      <c r="R573">
        <v>85</v>
      </c>
      <c r="S573">
        <v>45195.643754201388</v>
      </c>
      <c r="T573">
        <v>5502</v>
      </c>
      <c r="U573" t="s">
        <v>1217</v>
      </c>
      <c r="V573" t="s">
        <v>1155</v>
      </c>
      <c r="W573" t="s">
        <v>1031</v>
      </c>
      <c r="X573" t="s">
        <v>1031</v>
      </c>
      <c r="AD573">
        <v>832845</v>
      </c>
      <c r="AE573" t="s">
        <v>1280</v>
      </c>
      <c r="AF573">
        <v>45195.643753703705</v>
      </c>
      <c r="AI573">
        <v>62</v>
      </c>
      <c r="AJ573">
        <v>62</v>
      </c>
      <c r="AN573">
        <v>45170</v>
      </c>
      <c r="AO573">
        <v>45199</v>
      </c>
      <c r="AP573" t="s">
        <v>1101</v>
      </c>
    </row>
    <row r="574" spans="1:42" x14ac:dyDescent="0.25">
      <c r="A574">
        <v>2023</v>
      </c>
      <c r="B574">
        <v>9</v>
      </c>
      <c r="C574">
        <v>17</v>
      </c>
      <c r="D574" t="s">
        <v>1088</v>
      </c>
      <c r="E574" t="s">
        <v>282</v>
      </c>
      <c r="F574">
        <v>614248</v>
      </c>
      <c r="G574">
        <v>10223929</v>
      </c>
      <c r="H574" t="s">
        <v>282</v>
      </c>
      <c r="J574">
        <v>54149002</v>
      </c>
      <c r="K574">
        <v>1101</v>
      </c>
      <c r="L574">
        <v>1702</v>
      </c>
      <c r="M574">
        <v>1301</v>
      </c>
      <c r="N574">
        <v>52823295</v>
      </c>
      <c r="O574">
        <v>45153.568719444447</v>
      </c>
      <c r="P574">
        <v>15</v>
      </c>
      <c r="Q574">
        <v>1</v>
      </c>
      <c r="R574">
        <v>15</v>
      </c>
      <c r="S574">
        <v>45195.643754201388</v>
      </c>
      <c r="T574">
        <v>5502</v>
      </c>
      <c r="U574" t="s">
        <v>1217</v>
      </c>
      <c r="V574" t="s">
        <v>1155</v>
      </c>
      <c r="W574" t="s">
        <v>1031</v>
      </c>
      <c r="X574" t="s">
        <v>1031</v>
      </c>
      <c r="AD574">
        <v>832845</v>
      </c>
      <c r="AE574" t="s">
        <v>1280</v>
      </c>
      <c r="AF574">
        <v>45195.643753703705</v>
      </c>
      <c r="AI574">
        <v>62</v>
      </c>
      <c r="AJ574">
        <v>62</v>
      </c>
      <c r="AN574">
        <v>45170</v>
      </c>
      <c r="AO574">
        <v>45199</v>
      </c>
      <c r="AP574" t="s">
        <v>1101</v>
      </c>
    </row>
    <row r="575" spans="1:42" x14ac:dyDescent="0.25">
      <c r="A575">
        <v>2023</v>
      </c>
      <c r="B575">
        <v>9</v>
      </c>
      <c r="C575">
        <v>17</v>
      </c>
      <c r="D575" t="s">
        <v>1088</v>
      </c>
      <c r="E575" t="s">
        <v>282</v>
      </c>
      <c r="F575">
        <v>614248</v>
      </c>
      <c r="G575">
        <v>10223929</v>
      </c>
      <c r="H575" t="s">
        <v>282</v>
      </c>
      <c r="J575">
        <v>54149003</v>
      </c>
      <c r="K575">
        <v>1101</v>
      </c>
      <c r="L575">
        <v>1702</v>
      </c>
      <c r="M575">
        <v>1301</v>
      </c>
      <c r="N575">
        <v>52823296</v>
      </c>
      <c r="O575">
        <v>45153.568889814815</v>
      </c>
      <c r="P575">
        <v>16</v>
      </c>
      <c r="Q575">
        <v>1</v>
      </c>
      <c r="R575">
        <v>16</v>
      </c>
      <c r="S575">
        <v>45195.643754201388</v>
      </c>
      <c r="T575">
        <v>5502</v>
      </c>
      <c r="U575" t="s">
        <v>1217</v>
      </c>
      <c r="V575" t="s">
        <v>1155</v>
      </c>
      <c r="W575" t="s">
        <v>1031</v>
      </c>
      <c r="X575" t="s">
        <v>1031</v>
      </c>
      <c r="AD575">
        <v>832845</v>
      </c>
      <c r="AE575" t="s">
        <v>1280</v>
      </c>
      <c r="AF575">
        <v>45195.643753703705</v>
      </c>
      <c r="AI575">
        <v>62</v>
      </c>
      <c r="AJ575">
        <v>62</v>
      </c>
      <c r="AN575">
        <v>45170</v>
      </c>
      <c r="AO575">
        <v>45199</v>
      </c>
      <c r="AP575" t="s">
        <v>1101</v>
      </c>
    </row>
    <row r="576" spans="1:42" x14ac:dyDescent="0.25">
      <c r="A576">
        <v>2023</v>
      </c>
      <c r="B576">
        <v>9</v>
      </c>
      <c r="C576">
        <v>17</v>
      </c>
      <c r="D576" t="s">
        <v>1088</v>
      </c>
      <c r="E576" t="s">
        <v>282</v>
      </c>
      <c r="F576">
        <v>614248</v>
      </c>
      <c r="G576">
        <v>10223929</v>
      </c>
      <c r="H576" t="s">
        <v>282</v>
      </c>
      <c r="J576">
        <v>54149004</v>
      </c>
      <c r="K576">
        <v>1101</v>
      </c>
      <c r="L576">
        <v>1702</v>
      </c>
      <c r="M576">
        <v>1301</v>
      </c>
      <c r="N576">
        <v>52823297</v>
      </c>
      <c r="O576">
        <v>45153.569084571762</v>
      </c>
      <c r="P576">
        <v>8</v>
      </c>
      <c r="Q576">
        <v>1</v>
      </c>
      <c r="R576">
        <v>8</v>
      </c>
      <c r="S576">
        <v>45195.643754201388</v>
      </c>
      <c r="T576">
        <v>5502</v>
      </c>
      <c r="U576" t="s">
        <v>1217</v>
      </c>
      <c r="V576" t="s">
        <v>1155</v>
      </c>
      <c r="W576" t="s">
        <v>1031</v>
      </c>
      <c r="X576" t="s">
        <v>1031</v>
      </c>
      <c r="AD576">
        <v>832845</v>
      </c>
      <c r="AE576" t="s">
        <v>1280</v>
      </c>
      <c r="AF576">
        <v>45195.643753703705</v>
      </c>
      <c r="AI576">
        <v>62</v>
      </c>
      <c r="AJ576">
        <v>62</v>
      </c>
      <c r="AN576">
        <v>45170</v>
      </c>
      <c r="AO576">
        <v>45199</v>
      </c>
      <c r="AP576" t="s">
        <v>1101</v>
      </c>
    </row>
    <row r="577" spans="1:42" x14ac:dyDescent="0.25">
      <c r="A577">
        <v>2023</v>
      </c>
      <c r="B577">
        <v>9</v>
      </c>
      <c r="C577">
        <v>17</v>
      </c>
      <c r="D577" t="s">
        <v>1088</v>
      </c>
      <c r="E577" t="s">
        <v>282</v>
      </c>
      <c r="F577">
        <v>613913</v>
      </c>
      <c r="G577">
        <v>10216991</v>
      </c>
      <c r="H577" t="s">
        <v>282</v>
      </c>
      <c r="J577">
        <v>54149014</v>
      </c>
      <c r="K577">
        <v>1101</v>
      </c>
      <c r="L577">
        <v>1702</v>
      </c>
      <c r="M577">
        <v>1301</v>
      </c>
      <c r="N577">
        <v>52794152</v>
      </c>
      <c r="O577">
        <v>45152.619826354166</v>
      </c>
      <c r="P577">
        <v>85</v>
      </c>
      <c r="Q577">
        <v>1</v>
      </c>
      <c r="R577">
        <v>85</v>
      </c>
      <c r="S577">
        <v>45195.643754201388</v>
      </c>
      <c r="T577">
        <v>5502</v>
      </c>
      <c r="U577" t="s">
        <v>1217</v>
      </c>
      <c r="V577" t="s">
        <v>1155</v>
      </c>
      <c r="W577" t="s">
        <v>1031</v>
      </c>
      <c r="X577" t="s">
        <v>1031</v>
      </c>
      <c r="AD577">
        <v>832845</v>
      </c>
      <c r="AE577" t="s">
        <v>1280</v>
      </c>
      <c r="AF577">
        <v>45195.643753703705</v>
      </c>
      <c r="AI577">
        <v>62</v>
      </c>
      <c r="AJ577">
        <v>62</v>
      </c>
      <c r="AN577">
        <v>45170</v>
      </c>
      <c r="AO577">
        <v>45199</v>
      </c>
      <c r="AP577" t="s">
        <v>1101</v>
      </c>
    </row>
    <row r="578" spans="1:42" x14ac:dyDescent="0.25">
      <c r="A578">
        <v>2023</v>
      </c>
      <c r="B578">
        <v>9</v>
      </c>
      <c r="C578">
        <v>17</v>
      </c>
      <c r="D578" t="s">
        <v>1088</v>
      </c>
      <c r="E578" t="s">
        <v>282</v>
      </c>
      <c r="F578">
        <v>613913</v>
      </c>
      <c r="G578">
        <v>10216991</v>
      </c>
      <c r="H578" t="s">
        <v>282</v>
      </c>
      <c r="J578">
        <v>54149015</v>
      </c>
      <c r="K578">
        <v>1101</v>
      </c>
      <c r="L578">
        <v>1702</v>
      </c>
      <c r="M578">
        <v>1301</v>
      </c>
      <c r="N578">
        <v>52794160</v>
      </c>
      <c r="O578">
        <v>45152.619949224536</v>
      </c>
      <c r="P578">
        <v>15</v>
      </c>
      <c r="Q578">
        <v>1</v>
      </c>
      <c r="R578">
        <v>15</v>
      </c>
      <c r="S578">
        <v>45195.643754201388</v>
      </c>
      <c r="T578">
        <v>5502</v>
      </c>
      <c r="U578" t="s">
        <v>1217</v>
      </c>
      <c r="V578" t="s">
        <v>1155</v>
      </c>
      <c r="W578" t="s">
        <v>1031</v>
      </c>
      <c r="X578" t="s">
        <v>1031</v>
      </c>
      <c r="AD578">
        <v>832845</v>
      </c>
      <c r="AE578" t="s">
        <v>1280</v>
      </c>
      <c r="AF578">
        <v>45195.643753703705</v>
      </c>
      <c r="AI578">
        <v>62</v>
      </c>
      <c r="AJ578">
        <v>62</v>
      </c>
      <c r="AN578">
        <v>45170</v>
      </c>
      <c r="AO578">
        <v>45199</v>
      </c>
      <c r="AP578" t="s">
        <v>1101</v>
      </c>
    </row>
    <row r="579" spans="1:42" x14ac:dyDescent="0.25">
      <c r="A579">
        <v>2023</v>
      </c>
      <c r="B579">
        <v>9</v>
      </c>
      <c r="C579">
        <v>17</v>
      </c>
      <c r="D579" t="s">
        <v>1088</v>
      </c>
      <c r="E579" t="s">
        <v>282</v>
      </c>
      <c r="F579">
        <v>613913</v>
      </c>
      <c r="G579">
        <v>10216991</v>
      </c>
      <c r="H579" t="s">
        <v>282</v>
      </c>
      <c r="J579">
        <v>54149016</v>
      </c>
      <c r="K579">
        <v>1101</v>
      </c>
      <c r="L579">
        <v>1702</v>
      </c>
      <c r="M579">
        <v>1301</v>
      </c>
      <c r="N579">
        <v>52794163</v>
      </c>
      <c r="O579">
        <v>45152.620173645832</v>
      </c>
      <c r="P579">
        <v>16</v>
      </c>
      <c r="Q579">
        <v>1</v>
      </c>
      <c r="R579">
        <v>16</v>
      </c>
      <c r="S579">
        <v>45195.643754201388</v>
      </c>
      <c r="T579">
        <v>5502</v>
      </c>
      <c r="U579" t="s">
        <v>1217</v>
      </c>
      <c r="V579" t="s">
        <v>1155</v>
      </c>
      <c r="W579" t="s">
        <v>1031</v>
      </c>
      <c r="X579" t="s">
        <v>1031</v>
      </c>
      <c r="AD579">
        <v>832845</v>
      </c>
      <c r="AE579" t="s">
        <v>1280</v>
      </c>
      <c r="AF579">
        <v>45195.643753703705</v>
      </c>
      <c r="AI579">
        <v>62</v>
      </c>
      <c r="AJ579">
        <v>62</v>
      </c>
      <c r="AN579">
        <v>45170</v>
      </c>
      <c r="AO579">
        <v>45199</v>
      </c>
      <c r="AP579" t="s">
        <v>1101</v>
      </c>
    </row>
    <row r="580" spans="1:42" x14ac:dyDescent="0.25">
      <c r="A580">
        <v>2023</v>
      </c>
      <c r="B580">
        <v>9</v>
      </c>
      <c r="C580">
        <v>17</v>
      </c>
      <c r="D580" t="s">
        <v>1088</v>
      </c>
      <c r="E580" t="s">
        <v>282</v>
      </c>
      <c r="F580">
        <v>613913</v>
      </c>
      <c r="G580">
        <v>10216991</v>
      </c>
      <c r="H580" t="s">
        <v>282</v>
      </c>
      <c r="J580">
        <v>54149017</v>
      </c>
      <c r="K580">
        <v>1101</v>
      </c>
      <c r="L580">
        <v>1702</v>
      </c>
      <c r="M580">
        <v>1301</v>
      </c>
      <c r="N580">
        <v>52794168</v>
      </c>
      <c r="O580">
        <v>45152.62036616898</v>
      </c>
      <c r="P580">
        <v>8</v>
      </c>
      <c r="Q580">
        <v>1</v>
      </c>
      <c r="R580">
        <v>8</v>
      </c>
      <c r="S580">
        <v>45195.643754201388</v>
      </c>
      <c r="T580">
        <v>5502</v>
      </c>
      <c r="U580" t="s">
        <v>1217</v>
      </c>
      <c r="V580" t="s">
        <v>1155</v>
      </c>
      <c r="W580" t="s">
        <v>1031</v>
      </c>
      <c r="X580" t="s">
        <v>1031</v>
      </c>
      <c r="AD580">
        <v>832845</v>
      </c>
      <c r="AE580" t="s">
        <v>1280</v>
      </c>
      <c r="AF580">
        <v>45195.643753703705</v>
      </c>
      <c r="AI580">
        <v>62</v>
      </c>
      <c r="AJ580">
        <v>62</v>
      </c>
      <c r="AN580">
        <v>45170</v>
      </c>
      <c r="AO580">
        <v>45199</v>
      </c>
      <c r="AP580" t="s">
        <v>1101</v>
      </c>
    </row>
    <row r="581" spans="1:42" x14ac:dyDescent="0.25">
      <c r="A581">
        <v>2023</v>
      </c>
      <c r="B581">
        <v>9</v>
      </c>
      <c r="C581">
        <v>17</v>
      </c>
      <c r="D581" t="s">
        <v>1088</v>
      </c>
      <c r="E581" t="s">
        <v>282</v>
      </c>
      <c r="F581">
        <v>613903</v>
      </c>
      <c r="G581">
        <v>10216875</v>
      </c>
      <c r="H581" t="s">
        <v>282</v>
      </c>
      <c r="J581">
        <v>54149022</v>
      </c>
      <c r="K581">
        <v>1101</v>
      </c>
      <c r="L581">
        <v>1702</v>
      </c>
      <c r="M581">
        <v>1301</v>
      </c>
      <c r="N581">
        <v>52793494</v>
      </c>
      <c r="O581">
        <v>45152.612263888892</v>
      </c>
      <c r="P581">
        <v>85</v>
      </c>
      <c r="Q581">
        <v>1</v>
      </c>
      <c r="R581">
        <v>85</v>
      </c>
      <c r="S581">
        <v>45195.643754201388</v>
      </c>
      <c r="T581">
        <v>5502</v>
      </c>
      <c r="U581" t="s">
        <v>1217</v>
      </c>
      <c r="V581" t="s">
        <v>1155</v>
      </c>
      <c r="W581" t="s">
        <v>1031</v>
      </c>
      <c r="X581" t="s">
        <v>1031</v>
      </c>
      <c r="AD581">
        <v>832845</v>
      </c>
      <c r="AE581" t="s">
        <v>1280</v>
      </c>
      <c r="AF581">
        <v>45195.643753703705</v>
      </c>
      <c r="AI581">
        <v>62</v>
      </c>
      <c r="AJ581">
        <v>62</v>
      </c>
      <c r="AN581">
        <v>45170</v>
      </c>
      <c r="AO581">
        <v>45199</v>
      </c>
      <c r="AP581" t="s">
        <v>1101</v>
      </c>
    </row>
    <row r="582" spans="1:42" x14ac:dyDescent="0.25">
      <c r="A582">
        <v>2023</v>
      </c>
      <c r="B582">
        <v>9</v>
      </c>
      <c r="C582">
        <v>17</v>
      </c>
      <c r="D582" t="s">
        <v>1088</v>
      </c>
      <c r="E582" t="s">
        <v>282</v>
      </c>
      <c r="F582">
        <v>613903</v>
      </c>
      <c r="G582">
        <v>10216875</v>
      </c>
      <c r="H582" t="s">
        <v>282</v>
      </c>
      <c r="J582">
        <v>54149023</v>
      </c>
      <c r="K582">
        <v>1101</v>
      </c>
      <c r="L582">
        <v>1702</v>
      </c>
      <c r="M582">
        <v>1301</v>
      </c>
      <c r="N582">
        <v>52793501</v>
      </c>
      <c r="O582">
        <v>45152.61246207176</v>
      </c>
      <c r="P582">
        <v>15</v>
      </c>
      <c r="Q582">
        <v>1</v>
      </c>
      <c r="R582">
        <v>15</v>
      </c>
      <c r="S582">
        <v>45195.643754201388</v>
      </c>
      <c r="T582">
        <v>5502</v>
      </c>
      <c r="U582" t="s">
        <v>1217</v>
      </c>
      <c r="V582" t="s">
        <v>1155</v>
      </c>
      <c r="W582" t="s">
        <v>1031</v>
      </c>
      <c r="X582" t="s">
        <v>1031</v>
      </c>
      <c r="AD582">
        <v>832845</v>
      </c>
      <c r="AE582" t="s">
        <v>1280</v>
      </c>
      <c r="AF582">
        <v>45195.643753703705</v>
      </c>
      <c r="AI582">
        <v>62</v>
      </c>
      <c r="AJ582">
        <v>62</v>
      </c>
      <c r="AN582">
        <v>45170</v>
      </c>
      <c r="AO582">
        <v>45199</v>
      </c>
      <c r="AP582" t="s">
        <v>1101</v>
      </c>
    </row>
    <row r="583" spans="1:42" x14ac:dyDescent="0.25">
      <c r="A583">
        <v>2023</v>
      </c>
      <c r="B583">
        <v>9</v>
      </c>
      <c r="C583">
        <v>17</v>
      </c>
      <c r="D583" t="s">
        <v>1088</v>
      </c>
      <c r="E583" t="s">
        <v>282</v>
      </c>
      <c r="F583">
        <v>613903</v>
      </c>
      <c r="G583">
        <v>10216875</v>
      </c>
      <c r="H583" t="s">
        <v>282</v>
      </c>
      <c r="J583">
        <v>54149024</v>
      </c>
      <c r="K583">
        <v>1101</v>
      </c>
      <c r="L583">
        <v>1702</v>
      </c>
      <c r="M583">
        <v>1301</v>
      </c>
      <c r="N583">
        <v>52793550</v>
      </c>
      <c r="O583">
        <v>45152.612627812501</v>
      </c>
      <c r="P583">
        <v>25</v>
      </c>
      <c r="Q583">
        <v>1</v>
      </c>
      <c r="R583">
        <v>25</v>
      </c>
      <c r="S583">
        <v>45195.643754201388</v>
      </c>
      <c r="T583">
        <v>5502</v>
      </c>
      <c r="U583" t="s">
        <v>1217</v>
      </c>
      <c r="V583" t="s">
        <v>1155</v>
      </c>
      <c r="W583" t="s">
        <v>1031</v>
      </c>
      <c r="X583" t="s">
        <v>1031</v>
      </c>
      <c r="AD583">
        <v>832845</v>
      </c>
      <c r="AE583" t="s">
        <v>1280</v>
      </c>
      <c r="AF583">
        <v>45195.643753703705</v>
      </c>
      <c r="AI583">
        <v>62</v>
      </c>
      <c r="AJ583">
        <v>62</v>
      </c>
      <c r="AN583">
        <v>45170</v>
      </c>
      <c r="AO583">
        <v>45199</v>
      </c>
      <c r="AP583" t="s">
        <v>1101</v>
      </c>
    </row>
    <row r="584" spans="1:42" x14ac:dyDescent="0.25">
      <c r="A584">
        <v>2023</v>
      </c>
      <c r="B584">
        <v>9</v>
      </c>
      <c r="C584">
        <v>17</v>
      </c>
      <c r="D584" t="s">
        <v>1088</v>
      </c>
      <c r="E584" t="s">
        <v>282</v>
      </c>
      <c r="F584">
        <v>613903</v>
      </c>
      <c r="G584">
        <v>10216875</v>
      </c>
      <c r="H584" t="s">
        <v>282</v>
      </c>
      <c r="J584">
        <v>54149025</v>
      </c>
      <c r="K584">
        <v>1101</v>
      </c>
      <c r="L584">
        <v>1702</v>
      </c>
      <c r="M584">
        <v>1301</v>
      </c>
      <c r="N584">
        <v>52793655</v>
      </c>
      <c r="O584">
        <v>45152.616250578707</v>
      </c>
      <c r="P584">
        <v>16</v>
      </c>
      <c r="Q584">
        <v>1</v>
      </c>
      <c r="R584">
        <v>16</v>
      </c>
      <c r="S584">
        <v>45195.643754201388</v>
      </c>
      <c r="T584">
        <v>5502</v>
      </c>
      <c r="U584" t="s">
        <v>1217</v>
      </c>
      <c r="V584" t="s">
        <v>1155</v>
      </c>
      <c r="W584" t="s">
        <v>1031</v>
      </c>
      <c r="X584" t="s">
        <v>1031</v>
      </c>
      <c r="AD584">
        <v>832845</v>
      </c>
      <c r="AE584" t="s">
        <v>1280</v>
      </c>
      <c r="AF584">
        <v>45195.643753703705</v>
      </c>
      <c r="AI584">
        <v>62</v>
      </c>
      <c r="AJ584">
        <v>62</v>
      </c>
      <c r="AN584">
        <v>45170</v>
      </c>
      <c r="AO584">
        <v>45199</v>
      </c>
      <c r="AP584" t="s">
        <v>1101</v>
      </c>
    </row>
    <row r="585" spans="1:42" x14ac:dyDescent="0.25">
      <c r="A585">
        <v>2023</v>
      </c>
      <c r="B585">
        <v>9</v>
      </c>
      <c r="C585">
        <v>17</v>
      </c>
      <c r="D585" t="s">
        <v>1088</v>
      </c>
      <c r="E585" t="s">
        <v>282</v>
      </c>
      <c r="F585">
        <v>613903</v>
      </c>
      <c r="G585">
        <v>10216875</v>
      </c>
      <c r="H585" t="s">
        <v>282</v>
      </c>
      <c r="J585">
        <v>54149026</v>
      </c>
      <c r="K585">
        <v>1101</v>
      </c>
      <c r="L585">
        <v>1702</v>
      </c>
      <c r="M585">
        <v>1301</v>
      </c>
      <c r="N585">
        <v>52793660</v>
      </c>
      <c r="O585">
        <v>45152.616401967593</v>
      </c>
      <c r="P585">
        <v>8</v>
      </c>
      <c r="Q585">
        <v>1</v>
      </c>
      <c r="R585">
        <v>8</v>
      </c>
      <c r="S585">
        <v>45195.643754201388</v>
      </c>
      <c r="T585">
        <v>5502</v>
      </c>
      <c r="U585" t="s">
        <v>1217</v>
      </c>
      <c r="V585" t="s">
        <v>1155</v>
      </c>
      <c r="W585" t="s">
        <v>1031</v>
      </c>
      <c r="X585" t="s">
        <v>1031</v>
      </c>
      <c r="AD585">
        <v>832845</v>
      </c>
      <c r="AE585" t="s">
        <v>1280</v>
      </c>
      <c r="AF585">
        <v>45195.643753703705</v>
      </c>
      <c r="AI585">
        <v>62</v>
      </c>
      <c r="AJ585">
        <v>62</v>
      </c>
      <c r="AN585">
        <v>45170</v>
      </c>
      <c r="AO585">
        <v>45199</v>
      </c>
      <c r="AP585" t="s">
        <v>1101</v>
      </c>
    </row>
    <row r="586" spans="1:42" x14ac:dyDescent="0.25">
      <c r="A586">
        <v>2023</v>
      </c>
      <c r="B586">
        <v>9</v>
      </c>
      <c r="C586">
        <v>17</v>
      </c>
      <c r="D586" t="s">
        <v>1088</v>
      </c>
      <c r="E586" t="s">
        <v>282</v>
      </c>
      <c r="F586">
        <v>616047</v>
      </c>
      <c r="G586">
        <v>10259115</v>
      </c>
      <c r="H586" t="s">
        <v>282</v>
      </c>
      <c r="J586">
        <v>54149027</v>
      </c>
      <c r="K586">
        <v>1101</v>
      </c>
      <c r="L586">
        <v>1702</v>
      </c>
      <c r="M586">
        <v>1301</v>
      </c>
      <c r="N586">
        <v>53070353</v>
      </c>
      <c r="O586">
        <v>45160.538638344908</v>
      </c>
      <c r="P586">
        <v>85</v>
      </c>
      <c r="Q586">
        <v>1</v>
      </c>
      <c r="R586">
        <v>85</v>
      </c>
      <c r="S586">
        <v>45195.643754201388</v>
      </c>
      <c r="T586">
        <v>5502</v>
      </c>
      <c r="U586" t="s">
        <v>1217</v>
      </c>
      <c r="V586" t="s">
        <v>1155</v>
      </c>
      <c r="W586" t="s">
        <v>1031</v>
      </c>
      <c r="X586" t="s">
        <v>1031</v>
      </c>
      <c r="AD586">
        <v>832845</v>
      </c>
      <c r="AE586" t="s">
        <v>1280</v>
      </c>
      <c r="AF586">
        <v>45195.643753703705</v>
      </c>
      <c r="AI586">
        <v>62</v>
      </c>
      <c r="AJ586">
        <v>62</v>
      </c>
      <c r="AN586">
        <v>45170</v>
      </c>
      <c r="AO586">
        <v>45199</v>
      </c>
      <c r="AP586" t="s">
        <v>1101</v>
      </c>
    </row>
    <row r="587" spans="1:42" x14ac:dyDescent="0.25">
      <c r="A587">
        <v>2023</v>
      </c>
      <c r="B587">
        <v>9</v>
      </c>
      <c r="C587">
        <v>17</v>
      </c>
      <c r="D587" t="s">
        <v>1088</v>
      </c>
      <c r="E587" t="s">
        <v>282</v>
      </c>
      <c r="F587">
        <v>616047</v>
      </c>
      <c r="G587">
        <v>10259115</v>
      </c>
      <c r="H587" t="s">
        <v>282</v>
      </c>
      <c r="J587">
        <v>54149028</v>
      </c>
      <c r="K587">
        <v>1101</v>
      </c>
      <c r="L587">
        <v>1702</v>
      </c>
      <c r="M587">
        <v>1301</v>
      </c>
      <c r="N587">
        <v>53070357</v>
      </c>
      <c r="O587">
        <v>45160.53875324074</v>
      </c>
      <c r="P587">
        <v>15</v>
      </c>
      <c r="Q587">
        <v>1</v>
      </c>
      <c r="R587">
        <v>15</v>
      </c>
      <c r="S587">
        <v>45195.643754201388</v>
      </c>
      <c r="T587">
        <v>5502</v>
      </c>
      <c r="U587" t="s">
        <v>1217</v>
      </c>
      <c r="V587" t="s">
        <v>1155</v>
      </c>
      <c r="W587" t="s">
        <v>1031</v>
      </c>
      <c r="X587" t="s">
        <v>1031</v>
      </c>
      <c r="AD587">
        <v>832845</v>
      </c>
      <c r="AE587" t="s">
        <v>1280</v>
      </c>
      <c r="AF587">
        <v>45195.643753703705</v>
      </c>
      <c r="AI587">
        <v>62</v>
      </c>
      <c r="AJ587">
        <v>62</v>
      </c>
      <c r="AN587">
        <v>45170</v>
      </c>
      <c r="AO587">
        <v>45199</v>
      </c>
      <c r="AP587" t="s">
        <v>1101</v>
      </c>
    </row>
    <row r="588" spans="1:42" x14ac:dyDescent="0.25">
      <c r="A588">
        <v>2023</v>
      </c>
      <c r="B588">
        <v>9</v>
      </c>
      <c r="C588">
        <v>17</v>
      </c>
      <c r="D588" t="s">
        <v>1088</v>
      </c>
      <c r="E588" t="s">
        <v>282</v>
      </c>
      <c r="F588">
        <v>616047</v>
      </c>
      <c r="G588">
        <v>10259115</v>
      </c>
      <c r="H588" t="s">
        <v>282</v>
      </c>
      <c r="J588">
        <v>54149029</v>
      </c>
      <c r="K588">
        <v>1101</v>
      </c>
      <c r="L588">
        <v>1702</v>
      </c>
      <c r="M588">
        <v>1301</v>
      </c>
      <c r="N588">
        <v>53070363</v>
      </c>
      <c r="O588">
        <v>45160.538949965281</v>
      </c>
      <c r="P588">
        <v>16</v>
      </c>
      <c r="Q588">
        <v>1</v>
      </c>
      <c r="R588">
        <v>16</v>
      </c>
      <c r="S588">
        <v>45195.643754201388</v>
      </c>
      <c r="T588">
        <v>5502</v>
      </c>
      <c r="U588" t="s">
        <v>1217</v>
      </c>
      <c r="V588" t="s">
        <v>1155</v>
      </c>
      <c r="W588" t="s">
        <v>1031</v>
      </c>
      <c r="X588" t="s">
        <v>1031</v>
      </c>
      <c r="AD588">
        <v>832845</v>
      </c>
      <c r="AE588" t="s">
        <v>1280</v>
      </c>
      <c r="AF588">
        <v>45195.643753703705</v>
      </c>
      <c r="AI588">
        <v>62</v>
      </c>
      <c r="AJ588">
        <v>62</v>
      </c>
      <c r="AN588">
        <v>45170</v>
      </c>
      <c r="AO588">
        <v>45199</v>
      </c>
      <c r="AP588" t="s">
        <v>1101</v>
      </c>
    </row>
    <row r="589" spans="1:42" x14ac:dyDescent="0.25">
      <c r="A589">
        <v>2023</v>
      </c>
      <c r="B589">
        <v>9</v>
      </c>
      <c r="C589">
        <v>17</v>
      </c>
      <c r="D589" t="s">
        <v>1088</v>
      </c>
      <c r="E589" t="s">
        <v>282</v>
      </c>
      <c r="F589">
        <v>616047</v>
      </c>
      <c r="G589">
        <v>10259115</v>
      </c>
      <c r="H589" t="s">
        <v>282</v>
      </c>
      <c r="J589">
        <v>54149030</v>
      </c>
      <c r="K589">
        <v>1101</v>
      </c>
      <c r="L589">
        <v>1702</v>
      </c>
      <c r="M589">
        <v>1301</v>
      </c>
      <c r="N589">
        <v>53070386</v>
      </c>
      <c r="O589">
        <v>45160.539188969909</v>
      </c>
      <c r="P589">
        <v>8</v>
      </c>
      <c r="Q589">
        <v>1</v>
      </c>
      <c r="R589">
        <v>8</v>
      </c>
      <c r="S589">
        <v>45195.643754201388</v>
      </c>
      <c r="T589">
        <v>5502</v>
      </c>
      <c r="U589" t="s">
        <v>1217</v>
      </c>
      <c r="V589" t="s">
        <v>1155</v>
      </c>
      <c r="W589" t="s">
        <v>1031</v>
      </c>
      <c r="X589" t="s">
        <v>1031</v>
      </c>
      <c r="AD589">
        <v>832845</v>
      </c>
      <c r="AE589" t="s">
        <v>1280</v>
      </c>
      <c r="AF589">
        <v>45195.643753703705</v>
      </c>
      <c r="AI589">
        <v>62</v>
      </c>
      <c r="AJ589">
        <v>62</v>
      </c>
      <c r="AN589">
        <v>45170</v>
      </c>
      <c r="AO589">
        <v>45199</v>
      </c>
      <c r="AP589" t="s">
        <v>1101</v>
      </c>
    </row>
    <row r="590" spans="1:42" x14ac:dyDescent="0.25">
      <c r="A590">
        <v>2023</v>
      </c>
      <c r="B590">
        <v>9</v>
      </c>
      <c r="C590">
        <v>17</v>
      </c>
      <c r="D590" t="s">
        <v>1088</v>
      </c>
      <c r="E590" t="s">
        <v>282</v>
      </c>
      <c r="F590">
        <v>613606</v>
      </c>
      <c r="G590">
        <v>10210789</v>
      </c>
      <c r="H590" t="s">
        <v>282</v>
      </c>
      <c r="J590">
        <v>54149031</v>
      </c>
      <c r="K590">
        <v>1101</v>
      </c>
      <c r="L590">
        <v>1702</v>
      </c>
      <c r="M590">
        <v>1301</v>
      </c>
      <c r="N590">
        <v>52761594</v>
      </c>
      <c r="O590">
        <v>45149.635917361113</v>
      </c>
      <c r="P590">
        <v>85</v>
      </c>
      <c r="Q590">
        <v>1</v>
      </c>
      <c r="R590">
        <v>85</v>
      </c>
      <c r="S590">
        <v>45195.643754201388</v>
      </c>
      <c r="T590">
        <v>5502</v>
      </c>
      <c r="U590" t="s">
        <v>1217</v>
      </c>
      <c r="V590" t="s">
        <v>1155</v>
      </c>
      <c r="W590" t="s">
        <v>1031</v>
      </c>
      <c r="X590" t="s">
        <v>1031</v>
      </c>
      <c r="AD590">
        <v>832845</v>
      </c>
      <c r="AE590" t="s">
        <v>1280</v>
      </c>
      <c r="AF590">
        <v>45195.643753703705</v>
      </c>
      <c r="AI590">
        <v>62</v>
      </c>
      <c r="AJ590">
        <v>62</v>
      </c>
      <c r="AN590">
        <v>45170</v>
      </c>
      <c r="AO590">
        <v>45199</v>
      </c>
      <c r="AP590" t="s">
        <v>1101</v>
      </c>
    </row>
    <row r="591" spans="1:42" x14ac:dyDescent="0.25">
      <c r="A591">
        <v>2023</v>
      </c>
      <c r="B591">
        <v>9</v>
      </c>
      <c r="C591">
        <v>17</v>
      </c>
      <c r="D591" t="s">
        <v>1088</v>
      </c>
      <c r="E591" t="s">
        <v>282</v>
      </c>
      <c r="F591">
        <v>613606</v>
      </c>
      <c r="G591">
        <v>10210789</v>
      </c>
      <c r="H591" t="s">
        <v>282</v>
      </c>
      <c r="J591">
        <v>54149032</v>
      </c>
      <c r="K591">
        <v>1101</v>
      </c>
      <c r="L591">
        <v>1702</v>
      </c>
      <c r="M591">
        <v>1301</v>
      </c>
      <c r="N591">
        <v>52761598</v>
      </c>
      <c r="O591">
        <v>45149.636058564814</v>
      </c>
      <c r="P591">
        <v>15</v>
      </c>
      <c r="Q591">
        <v>1</v>
      </c>
      <c r="R591">
        <v>15</v>
      </c>
      <c r="S591">
        <v>45195.643754201388</v>
      </c>
      <c r="T591">
        <v>5502</v>
      </c>
      <c r="U591" t="s">
        <v>1217</v>
      </c>
      <c r="V591" t="s">
        <v>1155</v>
      </c>
      <c r="W591" t="s">
        <v>1031</v>
      </c>
      <c r="X591" t="s">
        <v>1031</v>
      </c>
      <c r="AD591">
        <v>832845</v>
      </c>
      <c r="AE591" t="s">
        <v>1280</v>
      </c>
      <c r="AF591">
        <v>45195.643753703705</v>
      </c>
      <c r="AI591">
        <v>62</v>
      </c>
      <c r="AJ591">
        <v>62</v>
      </c>
      <c r="AN591">
        <v>45170</v>
      </c>
      <c r="AO591">
        <v>45199</v>
      </c>
      <c r="AP591" t="s">
        <v>1101</v>
      </c>
    </row>
    <row r="592" spans="1:42" x14ac:dyDescent="0.25">
      <c r="A592">
        <v>2023</v>
      </c>
      <c r="B592">
        <v>9</v>
      </c>
      <c r="C592">
        <v>17</v>
      </c>
      <c r="D592" t="s">
        <v>1088</v>
      </c>
      <c r="E592" t="s">
        <v>282</v>
      </c>
      <c r="F592">
        <v>613606</v>
      </c>
      <c r="G592">
        <v>10210789</v>
      </c>
      <c r="H592" t="s">
        <v>282</v>
      </c>
      <c r="J592">
        <v>54149033</v>
      </c>
      <c r="K592">
        <v>1101</v>
      </c>
      <c r="L592">
        <v>1702</v>
      </c>
      <c r="M592">
        <v>1301</v>
      </c>
      <c r="N592">
        <v>52761603</v>
      </c>
      <c r="O592">
        <v>45149.636213576392</v>
      </c>
      <c r="P592">
        <v>16</v>
      </c>
      <c r="Q592">
        <v>1</v>
      </c>
      <c r="R592">
        <v>16</v>
      </c>
      <c r="S592">
        <v>45195.643754201388</v>
      </c>
      <c r="T592">
        <v>5502</v>
      </c>
      <c r="U592" t="s">
        <v>1217</v>
      </c>
      <c r="V592" t="s">
        <v>1155</v>
      </c>
      <c r="W592" t="s">
        <v>1031</v>
      </c>
      <c r="X592" t="s">
        <v>1031</v>
      </c>
      <c r="AD592">
        <v>832845</v>
      </c>
      <c r="AE592" t="s">
        <v>1280</v>
      </c>
      <c r="AF592">
        <v>45195.643753703705</v>
      </c>
      <c r="AI592">
        <v>62</v>
      </c>
      <c r="AJ592">
        <v>62</v>
      </c>
      <c r="AN592">
        <v>45170</v>
      </c>
      <c r="AO592">
        <v>45199</v>
      </c>
      <c r="AP592" t="s">
        <v>1101</v>
      </c>
    </row>
    <row r="593" spans="1:42" x14ac:dyDescent="0.25">
      <c r="A593">
        <v>2023</v>
      </c>
      <c r="B593">
        <v>9</v>
      </c>
      <c r="C593">
        <v>17</v>
      </c>
      <c r="D593" t="s">
        <v>1088</v>
      </c>
      <c r="E593" t="s">
        <v>282</v>
      </c>
      <c r="F593">
        <v>613606</v>
      </c>
      <c r="G593">
        <v>10210789</v>
      </c>
      <c r="H593" t="s">
        <v>282</v>
      </c>
      <c r="J593">
        <v>54149034</v>
      </c>
      <c r="K593">
        <v>1101</v>
      </c>
      <c r="L593">
        <v>1702</v>
      </c>
      <c r="M593">
        <v>1301</v>
      </c>
      <c r="N593">
        <v>52776000</v>
      </c>
      <c r="O593">
        <v>45152.427866550926</v>
      </c>
      <c r="P593">
        <v>8</v>
      </c>
      <c r="Q593">
        <v>1</v>
      </c>
      <c r="R593">
        <v>8</v>
      </c>
      <c r="S593">
        <v>45195.643754201388</v>
      </c>
      <c r="T593">
        <v>5502</v>
      </c>
      <c r="U593" t="s">
        <v>1217</v>
      </c>
      <c r="V593" t="s">
        <v>1155</v>
      </c>
      <c r="W593" t="s">
        <v>1031</v>
      </c>
      <c r="X593" t="s">
        <v>1031</v>
      </c>
      <c r="AD593">
        <v>832845</v>
      </c>
      <c r="AE593" t="s">
        <v>1280</v>
      </c>
      <c r="AF593">
        <v>45195.643753703705</v>
      </c>
      <c r="AI593">
        <v>62</v>
      </c>
      <c r="AJ593">
        <v>62</v>
      </c>
      <c r="AN593">
        <v>45170</v>
      </c>
      <c r="AO593">
        <v>45199</v>
      </c>
      <c r="AP593" t="s">
        <v>1101</v>
      </c>
    </row>
    <row r="594" spans="1:42" x14ac:dyDescent="0.25">
      <c r="A594">
        <v>2023</v>
      </c>
      <c r="B594">
        <v>9</v>
      </c>
      <c r="C594">
        <v>17</v>
      </c>
      <c r="D594" t="s">
        <v>1088</v>
      </c>
      <c r="E594" t="s">
        <v>282</v>
      </c>
      <c r="F594">
        <v>616029</v>
      </c>
      <c r="G594">
        <v>10258952</v>
      </c>
      <c r="H594" t="s">
        <v>282</v>
      </c>
      <c r="J594">
        <v>54149040</v>
      </c>
      <c r="K594">
        <v>1101</v>
      </c>
      <c r="L594">
        <v>1702</v>
      </c>
      <c r="M594">
        <v>1301</v>
      </c>
      <c r="N594">
        <v>53068868</v>
      </c>
      <c r="O594">
        <v>45160.529521331016</v>
      </c>
      <c r="P594">
        <v>85</v>
      </c>
      <c r="Q594">
        <v>1</v>
      </c>
      <c r="R594">
        <v>85</v>
      </c>
      <c r="S594">
        <v>45195.643754201388</v>
      </c>
      <c r="T594">
        <v>5502</v>
      </c>
      <c r="U594" t="s">
        <v>1217</v>
      </c>
      <c r="V594" t="s">
        <v>1155</v>
      </c>
      <c r="W594" t="s">
        <v>1031</v>
      </c>
      <c r="X594" t="s">
        <v>1031</v>
      </c>
      <c r="AD594">
        <v>832845</v>
      </c>
      <c r="AE594" t="s">
        <v>1280</v>
      </c>
      <c r="AF594">
        <v>45195.643753703705</v>
      </c>
      <c r="AI594">
        <v>62</v>
      </c>
      <c r="AJ594">
        <v>62</v>
      </c>
      <c r="AN594">
        <v>45170</v>
      </c>
      <c r="AO594">
        <v>45199</v>
      </c>
      <c r="AP594" t="s">
        <v>1101</v>
      </c>
    </row>
    <row r="595" spans="1:42" x14ac:dyDescent="0.25">
      <c r="A595">
        <v>2023</v>
      </c>
      <c r="B595">
        <v>9</v>
      </c>
      <c r="C595">
        <v>17</v>
      </c>
      <c r="D595" t="s">
        <v>1088</v>
      </c>
      <c r="E595" t="s">
        <v>282</v>
      </c>
      <c r="F595">
        <v>616029</v>
      </c>
      <c r="G595">
        <v>10258952</v>
      </c>
      <c r="H595" t="s">
        <v>282</v>
      </c>
      <c r="J595">
        <v>54149041</v>
      </c>
      <c r="K595">
        <v>1101</v>
      </c>
      <c r="L595">
        <v>1702</v>
      </c>
      <c r="M595">
        <v>1301</v>
      </c>
      <c r="N595">
        <v>53068869</v>
      </c>
      <c r="O595">
        <v>45160.529630671299</v>
      </c>
      <c r="P595">
        <v>15</v>
      </c>
      <c r="Q595">
        <v>1</v>
      </c>
      <c r="R595">
        <v>15</v>
      </c>
      <c r="S595">
        <v>45195.643754201388</v>
      </c>
      <c r="T595">
        <v>5502</v>
      </c>
      <c r="U595" t="s">
        <v>1217</v>
      </c>
      <c r="V595" t="s">
        <v>1155</v>
      </c>
      <c r="W595" t="s">
        <v>1031</v>
      </c>
      <c r="X595" t="s">
        <v>1031</v>
      </c>
      <c r="AD595">
        <v>832845</v>
      </c>
      <c r="AE595" t="s">
        <v>1280</v>
      </c>
      <c r="AF595">
        <v>45195.643753703705</v>
      </c>
      <c r="AI595">
        <v>62</v>
      </c>
      <c r="AJ595">
        <v>62</v>
      </c>
      <c r="AN595">
        <v>45170</v>
      </c>
      <c r="AO595">
        <v>45199</v>
      </c>
      <c r="AP595" t="s">
        <v>1101</v>
      </c>
    </row>
    <row r="596" spans="1:42" x14ac:dyDescent="0.25">
      <c r="A596">
        <v>2023</v>
      </c>
      <c r="B596">
        <v>9</v>
      </c>
      <c r="C596">
        <v>17</v>
      </c>
      <c r="D596" t="s">
        <v>1088</v>
      </c>
      <c r="E596" t="s">
        <v>282</v>
      </c>
      <c r="F596">
        <v>616029</v>
      </c>
      <c r="G596">
        <v>10258952</v>
      </c>
      <c r="H596" t="s">
        <v>282</v>
      </c>
      <c r="J596">
        <v>54149042</v>
      </c>
      <c r="K596">
        <v>1101</v>
      </c>
      <c r="L596">
        <v>1702</v>
      </c>
      <c r="M596">
        <v>1301</v>
      </c>
      <c r="N596">
        <v>53068887</v>
      </c>
      <c r="O596">
        <v>45160.529973344906</v>
      </c>
      <c r="P596">
        <v>15</v>
      </c>
      <c r="Q596">
        <v>1</v>
      </c>
      <c r="R596">
        <v>15</v>
      </c>
      <c r="S596">
        <v>45195.643754201388</v>
      </c>
      <c r="T596">
        <v>5502</v>
      </c>
      <c r="U596" t="s">
        <v>1217</v>
      </c>
      <c r="V596" t="s">
        <v>1155</v>
      </c>
      <c r="W596" t="s">
        <v>1031</v>
      </c>
      <c r="X596" t="s">
        <v>1031</v>
      </c>
      <c r="AD596">
        <v>832845</v>
      </c>
      <c r="AE596" t="s">
        <v>1280</v>
      </c>
      <c r="AF596">
        <v>45195.643753703705</v>
      </c>
      <c r="AI596">
        <v>62</v>
      </c>
      <c r="AJ596">
        <v>62</v>
      </c>
      <c r="AN596">
        <v>45170</v>
      </c>
      <c r="AO596">
        <v>45199</v>
      </c>
      <c r="AP596" t="s">
        <v>1101</v>
      </c>
    </row>
    <row r="597" spans="1:42" x14ac:dyDescent="0.25">
      <c r="A597">
        <v>2023</v>
      </c>
      <c r="B597">
        <v>9</v>
      </c>
      <c r="C597">
        <v>17</v>
      </c>
      <c r="D597" t="s">
        <v>1088</v>
      </c>
      <c r="E597" t="s">
        <v>282</v>
      </c>
      <c r="F597">
        <v>616029</v>
      </c>
      <c r="G597">
        <v>10258952</v>
      </c>
      <c r="H597" t="s">
        <v>282</v>
      </c>
      <c r="J597">
        <v>54149043</v>
      </c>
      <c r="K597">
        <v>1101</v>
      </c>
      <c r="L597">
        <v>1702</v>
      </c>
      <c r="M597">
        <v>1301</v>
      </c>
      <c r="N597">
        <v>53068910</v>
      </c>
      <c r="O597">
        <v>45160.530359988428</v>
      </c>
      <c r="P597">
        <v>16</v>
      </c>
      <c r="Q597">
        <v>1</v>
      </c>
      <c r="R597">
        <v>16</v>
      </c>
      <c r="S597">
        <v>45195.643754201388</v>
      </c>
      <c r="T597">
        <v>5502</v>
      </c>
      <c r="U597" t="s">
        <v>1217</v>
      </c>
      <c r="V597" t="s">
        <v>1155</v>
      </c>
      <c r="W597" t="s">
        <v>1031</v>
      </c>
      <c r="X597" t="s">
        <v>1031</v>
      </c>
      <c r="AD597">
        <v>832845</v>
      </c>
      <c r="AE597" t="s">
        <v>1280</v>
      </c>
      <c r="AF597">
        <v>45195.643753703705</v>
      </c>
      <c r="AI597">
        <v>62</v>
      </c>
      <c r="AJ597">
        <v>62</v>
      </c>
      <c r="AN597">
        <v>45170</v>
      </c>
      <c r="AO597">
        <v>45199</v>
      </c>
      <c r="AP597" t="s">
        <v>1101</v>
      </c>
    </row>
    <row r="598" spans="1:42" x14ac:dyDescent="0.25">
      <c r="A598">
        <v>2023</v>
      </c>
      <c r="B598">
        <v>9</v>
      </c>
      <c r="C598">
        <v>17</v>
      </c>
      <c r="D598" t="s">
        <v>1088</v>
      </c>
      <c r="E598" t="s">
        <v>282</v>
      </c>
      <c r="F598">
        <v>616029</v>
      </c>
      <c r="G598">
        <v>10258952</v>
      </c>
      <c r="H598" t="s">
        <v>282</v>
      </c>
      <c r="J598">
        <v>54149044</v>
      </c>
      <c r="K598">
        <v>1101</v>
      </c>
      <c r="L598">
        <v>1702</v>
      </c>
      <c r="M598">
        <v>1301</v>
      </c>
      <c r="N598">
        <v>53068920</v>
      </c>
      <c r="O598">
        <v>45160.530490821759</v>
      </c>
      <c r="P598">
        <v>8</v>
      </c>
      <c r="Q598">
        <v>1</v>
      </c>
      <c r="R598">
        <v>8</v>
      </c>
      <c r="S598">
        <v>45195.643754201388</v>
      </c>
      <c r="T598">
        <v>5502</v>
      </c>
      <c r="U598" t="s">
        <v>1217</v>
      </c>
      <c r="V598" t="s">
        <v>1155</v>
      </c>
      <c r="W598" t="s">
        <v>1031</v>
      </c>
      <c r="X598" t="s">
        <v>1031</v>
      </c>
      <c r="AD598">
        <v>832845</v>
      </c>
      <c r="AE598" t="s">
        <v>1280</v>
      </c>
      <c r="AF598">
        <v>45195.643753703705</v>
      </c>
      <c r="AI598">
        <v>62</v>
      </c>
      <c r="AJ598">
        <v>62</v>
      </c>
      <c r="AN598">
        <v>45170</v>
      </c>
      <c r="AO598">
        <v>45199</v>
      </c>
      <c r="AP598" t="s">
        <v>1101</v>
      </c>
    </row>
    <row r="599" spans="1:42" x14ac:dyDescent="0.25">
      <c r="A599">
        <v>2023</v>
      </c>
      <c r="B599">
        <v>9</v>
      </c>
      <c r="C599">
        <v>17</v>
      </c>
      <c r="D599" t="s">
        <v>1088</v>
      </c>
      <c r="E599" t="s">
        <v>282</v>
      </c>
      <c r="F599">
        <v>621524</v>
      </c>
      <c r="G599">
        <v>10374535</v>
      </c>
      <c r="H599" t="s">
        <v>282</v>
      </c>
      <c r="J599">
        <v>54153938</v>
      </c>
      <c r="K599">
        <v>1100</v>
      </c>
      <c r="L599">
        <v>1700</v>
      </c>
      <c r="M599">
        <v>1301</v>
      </c>
      <c r="P599">
        <v>216</v>
      </c>
      <c r="Q599">
        <v>1</v>
      </c>
      <c r="R599">
        <v>216</v>
      </c>
      <c r="S599">
        <v>45195.684891168981</v>
      </c>
      <c r="T599">
        <v>5500</v>
      </c>
      <c r="U599" t="s">
        <v>1151</v>
      </c>
      <c r="V599" t="s">
        <v>99</v>
      </c>
      <c r="W599" t="s">
        <v>1091</v>
      </c>
      <c r="X599" t="s">
        <v>1091</v>
      </c>
      <c r="AA599">
        <v>58024</v>
      </c>
      <c r="AB599" t="s">
        <v>1223</v>
      </c>
      <c r="AC599">
        <v>45197.087670949077</v>
      </c>
      <c r="AI599">
        <v>62</v>
      </c>
      <c r="AJ599">
        <v>62</v>
      </c>
      <c r="AN599">
        <v>45170</v>
      </c>
      <c r="AO599">
        <v>45199</v>
      </c>
      <c r="AP599" t="s">
        <v>1101</v>
      </c>
    </row>
    <row r="600" spans="1:42" x14ac:dyDescent="0.25">
      <c r="A600">
        <v>2023</v>
      </c>
      <c r="B600">
        <v>9</v>
      </c>
      <c r="C600">
        <v>17</v>
      </c>
      <c r="D600" t="s">
        <v>1088</v>
      </c>
      <c r="E600" t="s">
        <v>282</v>
      </c>
      <c r="F600">
        <v>622772</v>
      </c>
      <c r="G600">
        <v>10386067</v>
      </c>
      <c r="H600" t="s">
        <v>282</v>
      </c>
      <c r="J600">
        <v>54159644</v>
      </c>
      <c r="K600">
        <v>1104</v>
      </c>
      <c r="L600">
        <v>1702</v>
      </c>
      <c r="M600">
        <v>1304</v>
      </c>
      <c r="N600">
        <v>54064688</v>
      </c>
      <c r="O600">
        <v>45191.660958368055</v>
      </c>
      <c r="P600">
        <v>116</v>
      </c>
      <c r="Q600">
        <v>1</v>
      </c>
      <c r="R600">
        <v>116</v>
      </c>
      <c r="S600">
        <v>45196.067373761573</v>
      </c>
      <c r="T600">
        <v>5509</v>
      </c>
      <c r="U600" t="s">
        <v>1152</v>
      </c>
      <c r="V600" t="s">
        <v>1153</v>
      </c>
      <c r="W600" t="s">
        <v>2</v>
      </c>
      <c r="AI600">
        <v>62</v>
      </c>
      <c r="AJ600">
        <v>62</v>
      </c>
      <c r="AN600">
        <v>45170</v>
      </c>
      <c r="AO600">
        <v>45199</v>
      </c>
      <c r="AP600" t="s">
        <v>1101</v>
      </c>
    </row>
    <row r="601" spans="1:42" x14ac:dyDescent="0.25">
      <c r="A601">
        <v>2023</v>
      </c>
      <c r="B601">
        <v>9</v>
      </c>
      <c r="C601">
        <v>17</v>
      </c>
      <c r="D601" t="s">
        <v>1088</v>
      </c>
      <c r="E601" t="s">
        <v>282</v>
      </c>
      <c r="F601">
        <v>622772</v>
      </c>
      <c r="G601">
        <v>10386067</v>
      </c>
      <c r="H601" t="s">
        <v>282</v>
      </c>
      <c r="J601">
        <v>54159645</v>
      </c>
      <c r="K601">
        <v>1104</v>
      </c>
      <c r="L601">
        <v>1702</v>
      </c>
      <c r="M601">
        <v>1304</v>
      </c>
      <c r="N601">
        <v>54064694</v>
      </c>
      <c r="O601">
        <v>45191.661059918981</v>
      </c>
      <c r="P601">
        <v>216</v>
      </c>
      <c r="Q601">
        <v>1</v>
      </c>
      <c r="R601">
        <v>216</v>
      </c>
      <c r="S601">
        <v>45196.067373761573</v>
      </c>
      <c r="T601">
        <v>5509</v>
      </c>
      <c r="U601" t="s">
        <v>1152</v>
      </c>
      <c r="V601" t="s">
        <v>1153</v>
      </c>
      <c r="W601" t="s">
        <v>2</v>
      </c>
      <c r="AI601">
        <v>62</v>
      </c>
      <c r="AJ601">
        <v>62</v>
      </c>
      <c r="AN601">
        <v>45170</v>
      </c>
      <c r="AO601">
        <v>45199</v>
      </c>
      <c r="AP601" t="s">
        <v>1101</v>
      </c>
    </row>
    <row r="602" spans="1:42" x14ac:dyDescent="0.25">
      <c r="A602">
        <v>2023</v>
      </c>
      <c r="B602">
        <v>9</v>
      </c>
      <c r="C602">
        <v>17</v>
      </c>
      <c r="D602" t="s">
        <v>1088</v>
      </c>
      <c r="E602" t="s">
        <v>282</v>
      </c>
      <c r="F602">
        <v>605038</v>
      </c>
      <c r="G602">
        <v>10438271</v>
      </c>
      <c r="H602" t="s">
        <v>282</v>
      </c>
      <c r="J602">
        <v>54185629</v>
      </c>
      <c r="K602">
        <v>1100</v>
      </c>
      <c r="L602">
        <v>1700</v>
      </c>
      <c r="M602">
        <v>1301</v>
      </c>
      <c r="P602">
        <v>116</v>
      </c>
      <c r="Q602">
        <v>1</v>
      </c>
      <c r="R602">
        <v>116</v>
      </c>
      <c r="S602">
        <v>45196.490633831017</v>
      </c>
      <c r="T602">
        <v>5500</v>
      </c>
      <c r="U602" t="s">
        <v>1151</v>
      </c>
      <c r="V602" t="s">
        <v>99</v>
      </c>
      <c r="W602" t="s">
        <v>1031</v>
      </c>
      <c r="X602" t="s">
        <v>1031</v>
      </c>
      <c r="AA602">
        <v>58024</v>
      </c>
      <c r="AB602" t="s">
        <v>1223</v>
      </c>
      <c r="AC602">
        <v>45197.087670949077</v>
      </c>
      <c r="AI602">
        <v>62</v>
      </c>
      <c r="AJ602">
        <v>62</v>
      </c>
      <c r="AN602">
        <v>45170</v>
      </c>
      <c r="AO602">
        <v>45199</v>
      </c>
      <c r="AP602" t="s">
        <v>1101</v>
      </c>
    </row>
    <row r="603" spans="1:42" x14ac:dyDescent="0.25">
      <c r="A603">
        <v>2023</v>
      </c>
      <c r="B603">
        <v>9</v>
      </c>
      <c r="C603">
        <v>17</v>
      </c>
      <c r="D603" t="s">
        <v>1088</v>
      </c>
      <c r="E603" t="s">
        <v>282</v>
      </c>
      <c r="F603">
        <v>605038</v>
      </c>
      <c r="G603">
        <v>10438271</v>
      </c>
      <c r="H603" t="s">
        <v>282</v>
      </c>
      <c r="J603">
        <v>54185635</v>
      </c>
      <c r="K603">
        <v>1100</v>
      </c>
      <c r="L603">
        <v>1700</v>
      </c>
      <c r="M603">
        <v>1301</v>
      </c>
      <c r="P603">
        <v>116</v>
      </c>
      <c r="Q603">
        <v>1</v>
      </c>
      <c r="R603">
        <v>116</v>
      </c>
      <c r="S603">
        <v>45196.490724618059</v>
      </c>
      <c r="T603">
        <v>5500</v>
      </c>
      <c r="U603" t="s">
        <v>1151</v>
      </c>
      <c r="V603" t="s">
        <v>99</v>
      </c>
      <c r="W603" t="s">
        <v>1031</v>
      </c>
      <c r="X603" t="s">
        <v>1031</v>
      </c>
      <c r="AA603">
        <v>58024</v>
      </c>
      <c r="AB603" t="s">
        <v>1223</v>
      </c>
      <c r="AC603">
        <v>45197.087670949077</v>
      </c>
      <c r="AI603">
        <v>62</v>
      </c>
      <c r="AJ603">
        <v>62</v>
      </c>
      <c r="AN603">
        <v>45170</v>
      </c>
      <c r="AO603">
        <v>45199</v>
      </c>
      <c r="AP603" t="s">
        <v>1101</v>
      </c>
    </row>
    <row r="604" spans="1:42" x14ac:dyDescent="0.25">
      <c r="A604">
        <v>2023</v>
      </c>
      <c r="B604">
        <v>9</v>
      </c>
      <c r="C604">
        <v>17</v>
      </c>
      <c r="D604" t="s">
        <v>1088</v>
      </c>
      <c r="E604" t="s">
        <v>282</v>
      </c>
      <c r="F604">
        <v>179735</v>
      </c>
      <c r="G604">
        <v>10437759</v>
      </c>
      <c r="H604" t="s">
        <v>282</v>
      </c>
      <c r="J604">
        <v>54210219</v>
      </c>
      <c r="K604">
        <v>1104</v>
      </c>
      <c r="L604">
        <v>1702</v>
      </c>
      <c r="M604">
        <v>1304</v>
      </c>
      <c r="N604">
        <v>54182615</v>
      </c>
      <c r="O604">
        <v>45196.459951851852</v>
      </c>
      <c r="P604">
        <v>150</v>
      </c>
      <c r="Q604">
        <v>1</v>
      </c>
      <c r="R604">
        <v>150</v>
      </c>
      <c r="S604">
        <v>45197.06737222222</v>
      </c>
      <c r="T604">
        <v>5509</v>
      </c>
      <c r="U604" t="s">
        <v>1152</v>
      </c>
      <c r="V604" t="s">
        <v>1153</v>
      </c>
      <c r="W604" t="s">
        <v>2</v>
      </c>
      <c r="AI604">
        <v>62</v>
      </c>
      <c r="AJ604">
        <v>62</v>
      </c>
      <c r="AN604">
        <v>45170</v>
      </c>
      <c r="AO604">
        <v>45199</v>
      </c>
      <c r="AP604" t="s">
        <v>1101</v>
      </c>
    </row>
    <row r="605" spans="1:42" x14ac:dyDescent="0.25">
      <c r="A605">
        <v>2023</v>
      </c>
      <c r="B605">
        <v>9</v>
      </c>
      <c r="C605">
        <v>17</v>
      </c>
      <c r="D605" t="s">
        <v>1088</v>
      </c>
      <c r="E605" t="s">
        <v>282</v>
      </c>
      <c r="F605">
        <v>179735</v>
      </c>
      <c r="G605">
        <v>10437759</v>
      </c>
      <c r="H605" t="s">
        <v>282</v>
      </c>
      <c r="J605">
        <v>54210220</v>
      </c>
      <c r="K605">
        <v>1104</v>
      </c>
      <c r="L605">
        <v>1702</v>
      </c>
      <c r="M605">
        <v>1304</v>
      </c>
      <c r="N605">
        <v>54182618</v>
      </c>
      <c r="O605">
        <v>45196.460058182871</v>
      </c>
      <c r="P605">
        <v>150</v>
      </c>
      <c r="Q605">
        <v>1</v>
      </c>
      <c r="R605">
        <v>150</v>
      </c>
      <c r="S605">
        <v>45197.06737222222</v>
      </c>
      <c r="T605">
        <v>5509</v>
      </c>
      <c r="U605" t="s">
        <v>1152</v>
      </c>
      <c r="V605" t="s">
        <v>1153</v>
      </c>
      <c r="W605" t="s">
        <v>2</v>
      </c>
      <c r="AI605">
        <v>62</v>
      </c>
      <c r="AJ605">
        <v>62</v>
      </c>
      <c r="AN605">
        <v>45170</v>
      </c>
      <c r="AO605">
        <v>45199</v>
      </c>
      <c r="AP605" t="s">
        <v>1101</v>
      </c>
    </row>
    <row r="606" spans="1:42" x14ac:dyDescent="0.25">
      <c r="A606">
        <v>2023</v>
      </c>
      <c r="B606">
        <v>9</v>
      </c>
      <c r="C606">
        <v>17</v>
      </c>
      <c r="D606" t="s">
        <v>1088</v>
      </c>
      <c r="E606" t="s">
        <v>282</v>
      </c>
      <c r="F606">
        <v>179735</v>
      </c>
      <c r="G606">
        <v>10437759</v>
      </c>
      <c r="H606" t="s">
        <v>282</v>
      </c>
      <c r="J606">
        <v>54210221</v>
      </c>
      <c r="K606">
        <v>1104</v>
      </c>
      <c r="L606">
        <v>1702</v>
      </c>
      <c r="M606">
        <v>1304</v>
      </c>
      <c r="N606">
        <v>54184708</v>
      </c>
      <c r="O606">
        <v>45196.473446643518</v>
      </c>
      <c r="P606">
        <v>58</v>
      </c>
      <c r="Q606">
        <v>1</v>
      </c>
      <c r="R606">
        <v>58</v>
      </c>
      <c r="S606">
        <v>45197.06737222222</v>
      </c>
      <c r="T606">
        <v>5509</v>
      </c>
      <c r="U606" t="s">
        <v>1152</v>
      </c>
      <c r="V606" t="s">
        <v>1153</v>
      </c>
      <c r="W606" t="s">
        <v>2</v>
      </c>
      <c r="AI606">
        <v>62</v>
      </c>
      <c r="AJ606">
        <v>62</v>
      </c>
      <c r="AN606">
        <v>45170</v>
      </c>
      <c r="AO606">
        <v>45199</v>
      </c>
      <c r="AP606" t="s">
        <v>1101</v>
      </c>
    </row>
    <row r="607" spans="1:42" x14ac:dyDescent="0.25">
      <c r="A607">
        <v>2023</v>
      </c>
      <c r="B607">
        <v>9</v>
      </c>
      <c r="C607">
        <v>17</v>
      </c>
      <c r="D607" t="s">
        <v>1088</v>
      </c>
      <c r="E607" t="s">
        <v>282</v>
      </c>
      <c r="F607">
        <v>179735</v>
      </c>
      <c r="G607">
        <v>10437759</v>
      </c>
      <c r="H607" t="s">
        <v>282</v>
      </c>
      <c r="J607">
        <v>54210222</v>
      </c>
      <c r="K607">
        <v>1104</v>
      </c>
      <c r="L607">
        <v>1702</v>
      </c>
      <c r="M607">
        <v>1304</v>
      </c>
      <c r="N607">
        <v>54189567</v>
      </c>
      <c r="O607">
        <v>45196.536115196759</v>
      </c>
      <c r="P607">
        <v>18</v>
      </c>
      <c r="Q607">
        <v>1</v>
      </c>
      <c r="R607">
        <v>18</v>
      </c>
      <c r="S607">
        <v>45197.06737222222</v>
      </c>
      <c r="T607">
        <v>5509</v>
      </c>
      <c r="U607" t="s">
        <v>1152</v>
      </c>
      <c r="V607" t="s">
        <v>1153</v>
      </c>
      <c r="W607" t="s">
        <v>2</v>
      </c>
      <c r="AI607">
        <v>62</v>
      </c>
      <c r="AJ607">
        <v>62</v>
      </c>
      <c r="AN607">
        <v>45170</v>
      </c>
      <c r="AO607">
        <v>45199</v>
      </c>
      <c r="AP607" t="s">
        <v>1101</v>
      </c>
    </row>
    <row r="608" spans="1:42" x14ac:dyDescent="0.25">
      <c r="A608">
        <v>2023</v>
      </c>
      <c r="B608">
        <v>9</v>
      </c>
      <c r="C608">
        <v>17</v>
      </c>
      <c r="D608" t="s">
        <v>1088</v>
      </c>
      <c r="E608" t="s">
        <v>282</v>
      </c>
      <c r="F608">
        <v>624463</v>
      </c>
      <c r="G608">
        <v>10418379</v>
      </c>
      <c r="H608" t="s">
        <v>282</v>
      </c>
      <c r="J608">
        <v>54225382</v>
      </c>
      <c r="K608">
        <v>1100</v>
      </c>
      <c r="L608">
        <v>1702</v>
      </c>
      <c r="M608">
        <v>1307</v>
      </c>
      <c r="P608">
        <v>216</v>
      </c>
      <c r="Q608">
        <v>1</v>
      </c>
      <c r="R608">
        <v>216</v>
      </c>
      <c r="S608">
        <v>45197.469926006946</v>
      </c>
      <c r="T608">
        <v>5500</v>
      </c>
      <c r="U608" t="s">
        <v>1151</v>
      </c>
      <c r="V608" t="s">
        <v>99</v>
      </c>
      <c r="W608" t="s">
        <v>88</v>
      </c>
      <c r="X608" t="s">
        <v>1091</v>
      </c>
      <c r="AI608">
        <v>62</v>
      </c>
      <c r="AJ608">
        <v>62</v>
      </c>
      <c r="AN608">
        <v>45170</v>
      </c>
      <c r="AO608">
        <v>45199</v>
      </c>
      <c r="AP608" t="s">
        <v>1101</v>
      </c>
    </row>
    <row r="609" spans="1:42" x14ac:dyDescent="0.25">
      <c r="A609">
        <v>2023</v>
      </c>
      <c r="B609">
        <v>9</v>
      </c>
      <c r="C609">
        <v>17</v>
      </c>
      <c r="D609" t="s">
        <v>1088</v>
      </c>
      <c r="E609" t="s">
        <v>282</v>
      </c>
      <c r="F609">
        <v>624463</v>
      </c>
      <c r="G609">
        <v>10418379</v>
      </c>
      <c r="H609" t="s">
        <v>282</v>
      </c>
      <c r="J609">
        <v>54225383</v>
      </c>
      <c r="K609">
        <v>1100</v>
      </c>
      <c r="L609">
        <v>1702</v>
      </c>
      <c r="M609">
        <v>1307</v>
      </c>
      <c r="P609">
        <v>216</v>
      </c>
      <c r="Q609">
        <v>1</v>
      </c>
      <c r="R609">
        <v>216</v>
      </c>
      <c r="S609">
        <v>45197.47002079861</v>
      </c>
      <c r="T609">
        <v>5500</v>
      </c>
      <c r="U609" t="s">
        <v>1151</v>
      </c>
      <c r="V609" t="s">
        <v>99</v>
      </c>
      <c r="W609" t="s">
        <v>88</v>
      </c>
      <c r="X609" t="s">
        <v>1091</v>
      </c>
      <c r="AI609">
        <v>62</v>
      </c>
      <c r="AJ609">
        <v>62</v>
      </c>
      <c r="AN609">
        <v>45170</v>
      </c>
      <c r="AO609">
        <v>45199</v>
      </c>
      <c r="AP609" t="s">
        <v>1101</v>
      </c>
    </row>
    <row r="610" spans="1:42" x14ac:dyDescent="0.25">
      <c r="A610">
        <v>2023</v>
      </c>
      <c r="B610">
        <v>9</v>
      </c>
      <c r="C610">
        <v>17</v>
      </c>
      <c r="D610" t="s">
        <v>1088</v>
      </c>
      <c r="E610" t="s">
        <v>282</v>
      </c>
      <c r="F610">
        <v>624160</v>
      </c>
      <c r="G610">
        <v>10412639</v>
      </c>
      <c r="H610" t="s">
        <v>282</v>
      </c>
      <c r="J610">
        <v>54248803</v>
      </c>
      <c r="K610">
        <v>1100</v>
      </c>
      <c r="L610">
        <v>1700</v>
      </c>
      <c r="M610">
        <v>1304</v>
      </c>
      <c r="P610">
        <v>216</v>
      </c>
      <c r="Q610">
        <v>1</v>
      </c>
      <c r="R610">
        <v>216</v>
      </c>
      <c r="S610">
        <v>45197.678137303243</v>
      </c>
      <c r="T610">
        <v>5500</v>
      </c>
      <c r="U610" t="s">
        <v>1154</v>
      </c>
      <c r="V610" t="s">
        <v>99</v>
      </c>
      <c r="W610" t="s">
        <v>2</v>
      </c>
      <c r="AI610">
        <v>62</v>
      </c>
      <c r="AJ610">
        <v>62</v>
      </c>
      <c r="AN610">
        <v>45170</v>
      </c>
      <c r="AO610">
        <v>45199</v>
      </c>
      <c r="AP610" t="s">
        <v>1101</v>
      </c>
    </row>
    <row r="611" spans="1:42" x14ac:dyDescent="0.25">
      <c r="A611">
        <v>2023</v>
      </c>
      <c r="B611">
        <v>9</v>
      </c>
      <c r="C611">
        <v>17</v>
      </c>
      <c r="D611" t="s">
        <v>1088</v>
      </c>
      <c r="E611" t="s">
        <v>282</v>
      </c>
      <c r="F611">
        <v>624160</v>
      </c>
      <c r="G611">
        <v>10412639</v>
      </c>
      <c r="H611" t="s">
        <v>282</v>
      </c>
      <c r="J611">
        <v>54248804</v>
      </c>
      <c r="K611">
        <v>1100</v>
      </c>
      <c r="L611">
        <v>1700</v>
      </c>
      <c r="M611">
        <v>1304</v>
      </c>
      <c r="P611">
        <v>216</v>
      </c>
      <c r="Q611">
        <v>1</v>
      </c>
      <c r="R611">
        <v>216</v>
      </c>
      <c r="S611">
        <v>45197.678382523147</v>
      </c>
      <c r="T611">
        <v>5500</v>
      </c>
      <c r="U611" t="s">
        <v>1154</v>
      </c>
      <c r="V611" t="s">
        <v>99</v>
      </c>
      <c r="W611" t="s">
        <v>2</v>
      </c>
      <c r="AI611">
        <v>62</v>
      </c>
      <c r="AJ611">
        <v>62</v>
      </c>
      <c r="AN611">
        <v>45170</v>
      </c>
      <c r="AO611">
        <v>45199</v>
      </c>
      <c r="AP611" t="s">
        <v>1101</v>
      </c>
    </row>
    <row r="612" spans="1:42" x14ac:dyDescent="0.25">
      <c r="A612">
        <v>2023</v>
      </c>
      <c r="B612">
        <v>9</v>
      </c>
      <c r="C612">
        <v>17</v>
      </c>
      <c r="D612" t="s">
        <v>1088</v>
      </c>
      <c r="E612" t="s">
        <v>282</v>
      </c>
      <c r="F612">
        <v>56310</v>
      </c>
      <c r="G612">
        <v>10346871</v>
      </c>
      <c r="H612" t="s">
        <v>282</v>
      </c>
      <c r="J612">
        <v>54309968</v>
      </c>
      <c r="K612">
        <v>1104</v>
      </c>
      <c r="L612">
        <v>1702</v>
      </c>
      <c r="M612">
        <v>1304</v>
      </c>
      <c r="N612">
        <v>53719360</v>
      </c>
      <c r="O612">
        <v>45181.660730474534</v>
      </c>
      <c r="P612">
        <v>16</v>
      </c>
      <c r="Q612">
        <v>1</v>
      </c>
      <c r="R612">
        <v>16</v>
      </c>
      <c r="S612">
        <v>45199.067372766207</v>
      </c>
      <c r="T612">
        <v>5509</v>
      </c>
      <c r="U612" t="s">
        <v>1152</v>
      </c>
      <c r="V612" t="s">
        <v>1153</v>
      </c>
      <c r="W612" t="s">
        <v>2</v>
      </c>
      <c r="AI612">
        <v>62</v>
      </c>
      <c r="AJ612">
        <v>62</v>
      </c>
      <c r="AN612">
        <v>45170</v>
      </c>
      <c r="AO612">
        <v>45199</v>
      </c>
      <c r="AP612" t="s">
        <v>1101</v>
      </c>
    </row>
    <row r="613" spans="1:42" x14ac:dyDescent="0.25">
      <c r="A613">
        <v>2023</v>
      </c>
      <c r="B613">
        <v>9</v>
      </c>
      <c r="C613">
        <v>17</v>
      </c>
      <c r="D613" t="s">
        <v>1088</v>
      </c>
      <c r="E613" t="s">
        <v>282</v>
      </c>
      <c r="F613">
        <v>56310</v>
      </c>
      <c r="G613">
        <v>10346871</v>
      </c>
      <c r="H613" t="s">
        <v>282</v>
      </c>
      <c r="J613">
        <v>54309969</v>
      </c>
      <c r="K613">
        <v>1104</v>
      </c>
      <c r="L613">
        <v>1702</v>
      </c>
      <c r="M613">
        <v>1304</v>
      </c>
      <c r="N613">
        <v>53719365</v>
      </c>
      <c r="O613">
        <v>45181.660935763888</v>
      </c>
      <c r="P613">
        <v>216</v>
      </c>
      <c r="Q613">
        <v>1</v>
      </c>
      <c r="R613">
        <v>216</v>
      </c>
      <c r="S613">
        <v>45199.067372766207</v>
      </c>
      <c r="T613">
        <v>5509</v>
      </c>
      <c r="U613" t="s">
        <v>1152</v>
      </c>
      <c r="V613" t="s">
        <v>1153</v>
      </c>
      <c r="W613" t="s">
        <v>2</v>
      </c>
      <c r="AI613">
        <v>62</v>
      </c>
      <c r="AJ613">
        <v>62</v>
      </c>
      <c r="AN613">
        <v>45170</v>
      </c>
      <c r="AO613">
        <v>45199</v>
      </c>
      <c r="AP613" t="s">
        <v>1101</v>
      </c>
    </row>
    <row r="614" spans="1:42" x14ac:dyDescent="0.25">
      <c r="A614">
        <v>2023</v>
      </c>
      <c r="B614">
        <v>9</v>
      </c>
      <c r="C614">
        <v>17</v>
      </c>
      <c r="D614" t="s">
        <v>1088</v>
      </c>
      <c r="E614" t="s">
        <v>282</v>
      </c>
      <c r="F614">
        <v>56310</v>
      </c>
      <c r="G614">
        <v>10346871</v>
      </c>
      <c r="H614" t="s">
        <v>282</v>
      </c>
      <c r="J614">
        <v>54309970</v>
      </c>
      <c r="K614">
        <v>1104</v>
      </c>
      <c r="L614">
        <v>1702</v>
      </c>
      <c r="M614">
        <v>1304</v>
      </c>
      <c r="N614">
        <v>53719446</v>
      </c>
      <c r="O614">
        <v>45181.66105396991</v>
      </c>
      <c r="P614">
        <v>18</v>
      </c>
      <c r="Q614">
        <v>1</v>
      </c>
      <c r="R614">
        <v>18</v>
      </c>
      <c r="S614">
        <v>45199.067372766207</v>
      </c>
      <c r="T614">
        <v>5509</v>
      </c>
      <c r="U614" t="s">
        <v>1152</v>
      </c>
      <c r="V614" t="s">
        <v>1153</v>
      </c>
      <c r="W614" t="s">
        <v>2</v>
      </c>
      <c r="AI614">
        <v>62</v>
      </c>
      <c r="AJ614">
        <v>62</v>
      </c>
      <c r="AN614">
        <v>45170</v>
      </c>
      <c r="AO614">
        <v>45199</v>
      </c>
      <c r="AP614" t="s">
        <v>1101</v>
      </c>
    </row>
    <row r="615" spans="1:42" x14ac:dyDescent="0.25">
      <c r="A615">
        <v>2023</v>
      </c>
      <c r="B615">
        <v>9</v>
      </c>
      <c r="C615">
        <v>17</v>
      </c>
      <c r="D615" t="s">
        <v>1088</v>
      </c>
      <c r="E615" t="s">
        <v>282</v>
      </c>
      <c r="F615">
        <v>619845</v>
      </c>
      <c r="G615">
        <v>10330410</v>
      </c>
      <c r="H615" t="s">
        <v>282</v>
      </c>
      <c r="J615">
        <v>54308125</v>
      </c>
      <c r="K615">
        <v>1104</v>
      </c>
      <c r="L615">
        <v>1702</v>
      </c>
      <c r="M615">
        <v>1304</v>
      </c>
      <c r="N615">
        <v>53663839</v>
      </c>
      <c r="O615">
        <v>45180.443862268519</v>
      </c>
      <c r="P615">
        <v>33.08</v>
      </c>
      <c r="Q615">
        <v>1</v>
      </c>
      <c r="R615">
        <v>33.08</v>
      </c>
      <c r="S615">
        <v>45199.067372766207</v>
      </c>
      <c r="T615">
        <v>5509</v>
      </c>
      <c r="U615" t="s">
        <v>1152</v>
      </c>
      <c r="V615" t="s">
        <v>1153</v>
      </c>
      <c r="W615" t="s">
        <v>2</v>
      </c>
      <c r="X615" t="s">
        <v>1091</v>
      </c>
      <c r="AI615">
        <v>62</v>
      </c>
      <c r="AJ615">
        <v>62</v>
      </c>
      <c r="AN615">
        <v>45170</v>
      </c>
      <c r="AO615">
        <v>45199</v>
      </c>
      <c r="AP615" t="s">
        <v>1101</v>
      </c>
    </row>
    <row r="616" spans="1:42" x14ac:dyDescent="0.25">
      <c r="A616">
        <v>2023</v>
      </c>
      <c r="B616">
        <v>9</v>
      </c>
      <c r="C616">
        <v>17</v>
      </c>
      <c r="D616" t="s">
        <v>1088</v>
      </c>
      <c r="E616" t="s">
        <v>282</v>
      </c>
      <c r="F616">
        <v>619845</v>
      </c>
      <c r="G616">
        <v>10330410</v>
      </c>
      <c r="H616" t="s">
        <v>282</v>
      </c>
      <c r="J616">
        <v>54308126</v>
      </c>
      <c r="K616">
        <v>1104</v>
      </c>
      <c r="L616">
        <v>1702</v>
      </c>
      <c r="M616">
        <v>1304</v>
      </c>
      <c r="N616">
        <v>53663841</v>
      </c>
      <c r="O616">
        <v>45180.443964120372</v>
      </c>
      <c r="P616">
        <v>33.08</v>
      </c>
      <c r="Q616">
        <v>1</v>
      </c>
      <c r="R616">
        <v>33.08</v>
      </c>
      <c r="S616">
        <v>45199.067372766207</v>
      </c>
      <c r="T616">
        <v>5509</v>
      </c>
      <c r="U616" t="s">
        <v>1152</v>
      </c>
      <c r="V616" t="s">
        <v>1153</v>
      </c>
      <c r="W616" t="s">
        <v>2</v>
      </c>
      <c r="X616" t="s">
        <v>1091</v>
      </c>
      <c r="AI616">
        <v>62</v>
      </c>
      <c r="AJ616">
        <v>62</v>
      </c>
      <c r="AN616">
        <v>45170</v>
      </c>
      <c r="AO616">
        <v>45199</v>
      </c>
      <c r="AP616" t="s">
        <v>1101</v>
      </c>
    </row>
    <row r="617" spans="1:42" x14ac:dyDescent="0.25">
      <c r="A617">
        <v>2023</v>
      </c>
      <c r="B617">
        <v>9</v>
      </c>
      <c r="C617">
        <v>17</v>
      </c>
      <c r="D617" t="s">
        <v>1088</v>
      </c>
      <c r="E617" t="s">
        <v>282</v>
      </c>
      <c r="F617">
        <v>496939</v>
      </c>
      <c r="H617" t="s">
        <v>282</v>
      </c>
      <c r="I617">
        <v>1246717</v>
      </c>
      <c r="M617">
        <v>1304</v>
      </c>
      <c r="P617">
        <v>66</v>
      </c>
      <c r="Q617">
        <v>1</v>
      </c>
      <c r="R617">
        <v>66</v>
      </c>
      <c r="S617">
        <v>45183</v>
      </c>
      <c r="U617" t="s">
        <v>222</v>
      </c>
      <c r="V617" t="s">
        <v>102</v>
      </c>
      <c r="AI617">
        <v>62</v>
      </c>
      <c r="AL617" t="s">
        <v>1159</v>
      </c>
      <c r="AM617" t="s">
        <v>282</v>
      </c>
      <c r="AN617">
        <v>45170</v>
      </c>
      <c r="AO617">
        <v>45199</v>
      </c>
      <c r="AP617" t="s">
        <v>1101</v>
      </c>
    </row>
    <row r="618" spans="1:42" x14ac:dyDescent="0.25">
      <c r="A618">
        <v>2023</v>
      </c>
      <c r="B618">
        <v>9</v>
      </c>
      <c r="C618">
        <v>17</v>
      </c>
      <c r="D618" t="s">
        <v>1088</v>
      </c>
      <c r="E618" t="s">
        <v>282</v>
      </c>
      <c r="F618">
        <v>488093</v>
      </c>
      <c r="H618" t="s">
        <v>282</v>
      </c>
      <c r="I618">
        <v>1245868</v>
      </c>
      <c r="M618">
        <v>1304</v>
      </c>
      <c r="P618">
        <v>262.89999999999998</v>
      </c>
      <c r="Q618">
        <v>1</v>
      </c>
      <c r="R618">
        <v>262.89999999999998</v>
      </c>
      <c r="S618">
        <v>45182</v>
      </c>
      <c r="U618" t="s">
        <v>222</v>
      </c>
      <c r="V618" t="s">
        <v>102</v>
      </c>
      <c r="W618" t="s">
        <v>1091</v>
      </c>
      <c r="AI618">
        <v>62</v>
      </c>
      <c r="AL618" t="s">
        <v>1159</v>
      </c>
      <c r="AM618" t="s">
        <v>282</v>
      </c>
      <c r="AN618">
        <v>45170</v>
      </c>
      <c r="AO618">
        <v>45199</v>
      </c>
      <c r="AP618" t="s">
        <v>1101</v>
      </c>
    </row>
    <row r="619" spans="1:42" x14ac:dyDescent="0.25">
      <c r="A619">
        <v>2023</v>
      </c>
      <c r="B619">
        <v>9</v>
      </c>
      <c r="C619">
        <v>17</v>
      </c>
      <c r="D619" t="s">
        <v>1088</v>
      </c>
      <c r="E619" t="s">
        <v>282</v>
      </c>
      <c r="F619">
        <v>478021</v>
      </c>
      <c r="H619" t="s">
        <v>282</v>
      </c>
      <c r="I619">
        <v>1239259</v>
      </c>
      <c r="M619">
        <v>1304</v>
      </c>
      <c r="P619">
        <v>66</v>
      </c>
      <c r="Q619">
        <v>1</v>
      </c>
      <c r="R619">
        <v>66</v>
      </c>
      <c r="S619">
        <v>45174</v>
      </c>
      <c r="U619" t="s">
        <v>222</v>
      </c>
      <c r="V619" t="s">
        <v>102</v>
      </c>
      <c r="AI619">
        <v>62</v>
      </c>
      <c r="AL619" t="s">
        <v>1159</v>
      </c>
      <c r="AM619" t="s">
        <v>282</v>
      </c>
      <c r="AN619">
        <v>45170</v>
      </c>
      <c r="AO619">
        <v>45199</v>
      </c>
      <c r="AP619" t="s">
        <v>1101</v>
      </c>
    </row>
    <row r="620" spans="1:42" x14ac:dyDescent="0.25">
      <c r="A620">
        <v>2023</v>
      </c>
      <c r="B620">
        <v>9</v>
      </c>
      <c r="C620">
        <v>17</v>
      </c>
      <c r="D620" t="s">
        <v>1088</v>
      </c>
      <c r="E620" t="s">
        <v>282</v>
      </c>
      <c r="F620">
        <v>508903</v>
      </c>
      <c r="H620" t="s">
        <v>282</v>
      </c>
      <c r="I620">
        <v>1253199</v>
      </c>
      <c r="M620">
        <v>1304</v>
      </c>
      <c r="P620">
        <v>50</v>
      </c>
      <c r="Q620">
        <v>1</v>
      </c>
      <c r="R620">
        <v>50</v>
      </c>
      <c r="S620">
        <v>45191</v>
      </c>
      <c r="U620" t="s">
        <v>222</v>
      </c>
      <c r="V620" t="s">
        <v>102</v>
      </c>
      <c r="AI620">
        <v>62</v>
      </c>
      <c r="AL620" t="s">
        <v>1159</v>
      </c>
      <c r="AM620" t="s">
        <v>282</v>
      </c>
      <c r="AN620">
        <v>45170</v>
      </c>
      <c r="AO620">
        <v>45199</v>
      </c>
      <c r="AP620" t="s">
        <v>1101</v>
      </c>
    </row>
    <row r="621" spans="1:42" x14ac:dyDescent="0.25">
      <c r="A621">
        <v>2023</v>
      </c>
      <c r="B621">
        <v>9</v>
      </c>
      <c r="C621">
        <v>17</v>
      </c>
      <c r="D621" t="s">
        <v>1088</v>
      </c>
      <c r="E621" t="s">
        <v>282</v>
      </c>
      <c r="F621">
        <v>485175</v>
      </c>
      <c r="H621" t="s">
        <v>282</v>
      </c>
      <c r="I621">
        <v>1246402</v>
      </c>
      <c r="M621">
        <v>1304</v>
      </c>
      <c r="P621">
        <v>26.69</v>
      </c>
      <c r="Q621">
        <v>1</v>
      </c>
      <c r="R621">
        <v>26.69</v>
      </c>
      <c r="S621">
        <v>45182</v>
      </c>
      <c r="U621" t="s">
        <v>222</v>
      </c>
      <c r="V621" t="s">
        <v>102</v>
      </c>
      <c r="W621" t="s">
        <v>1091</v>
      </c>
      <c r="AI621">
        <v>62</v>
      </c>
      <c r="AL621" t="s">
        <v>1159</v>
      </c>
      <c r="AM621" t="s">
        <v>282</v>
      </c>
      <c r="AN621">
        <v>45170</v>
      </c>
      <c r="AO621">
        <v>45199</v>
      </c>
      <c r="AP621" t="s">
        <v>1101</v>
      </c>
    </row>
    <row r="622" spans="1:42" x14ac:dyDescent="0.25">
      <c r="A622">
        <v>2023</v>
      </c>
      <c r="B622">
        <v>9</v>
      </c>
      <c r="C622">
        <v>17</v>
      </c>
      <c r="D622" t="s">
        <v>1088</v>
      </c>
      <c r="E622" t="s">
        <v>282</v>
      </c>
      <c r="F622">
        <v>593585</v>
      </c>
      <c r="H622" t="s">
        <v>282</v>
      </c>
      <c r="I622">
        <v>1244847</v>
      </c>
      <c r="M622">
        <v>1304</v>
      </c>
      <c r="P622">
        <v>254.4</v>
      </c>
      <c r="Q622">
        <v>1</v>
      </c>
      <c r="R622">
        <v>254.4</v>
      </c>
      <c r="S622">
        <v>45181</v>
      </c>
      <c r="U622" t="s">
        <v>222</v>
      </c>
      <c r="V622" t="s">
        <v>102</v>
      </c>
      <c r="AI622">
        <v>62</v>
      </c>
      <c r="AL622" t="s">
        <v>1159</v>
      </c>
      <c r="AM622" t="s">
        <v>282</v>
      </c>
      <c r="AN622">
        <v>45170</v>
      </c>
      <c r="AO622">
        <v>45199</v>
      </c>
      <c r="AP622" t="s">
        <v>1101</v>
      </c>
    </row>
    <row r="623" spans="1:42" x14ac:dyDescent="0.25">
      <c r="A623">
        <v>2023</v>
      </c>
      <c r="B623">
        <v>9</v>
      </c>
      <c r="C623">
        <v>17</v>
      </c>
      <c r="D623" t="s">
        <v>1088</v>
      </c>
      <c r="E623" t="s">
        <v>282</v>
      </c>
      <c r="F623">
        <v>618272</v>
      </c>
      <c r="H623" t="s">
        <v>282</v>
      </c>
      <c r="I623">
        <v>1253264</v>
      </c>
      <c r="M623">
        <v>1304</v>
      </c>
      <c r="P623">
        <v>99.24</v>
      </c>
      <c r="Q623">
        <v>1</v>
      </c>
      <c r="R623">
        <v>99.24</v>
      </c>
      <c r="S623">
        <v>45191</v>
      </c>
      <c r="U623" t="s">
        <v>222</v>
      </c>
      <c r="V623" t="s">
        <v>102</v>
      </c>
      <c r="W623" t="s">
        <v>1179</v>
      </c>
      <c r="AI623">
        <v>62</v>
      </c>
      <c r="AL623" t="s">
        <v>1159</v>
      </c>
      <c r="AM623" t="s">
        <v>282</v>
      </c>
      <c r="AN623">
        <v>45170</v>
      </c>
      <c r="AO623">
        <v>45199</v>
      </c>
      <c r="AP623" t="s">
        <v>1101</v>
      </c>
    </row>
    <row r="624" spans="1:42" x14ac:dyDescent="0.25">
      <c r="A624">
        <v>2023</v>
      </c>
      <c r="B624">
        <v>9</v>
      </c>
      <c r="C624">
        <v>17</v>
      </c>
      <c r="D624" t="s">
        <v>1088</v>
      </c>
      <c r="E624" t="s">
        <v>282</v>
      </c>
      <c r="F624">
        <v>619845</v>
      </c>
      <c r="H624" t="s">
        <v>282</v>
      </c>
      <c r="I624">
        <v>1259028</v>
      </c>
      <c r="M624">
        <v>1304</v>
      </c>
      <c r="P624">
        <v>66.16</v>
      </c>
      <c r="Q624">
        <v>1</v>
      </c>
      <c r="R624">
        <v>66.16</v>
      </c>
      <c r="S624">
        <v>45198</v>
      </c>
      <c r="U624" t="s">
        <v>222</v>
      </c>
      <c r="V624" t="s">
        <v>102</v>
      </c>
      <c r="W624" t="s">
        <v>1091</v>
      </c>
      <c r="AI624">
        <v>62</v>
      </c>
      <c r="AL624" t="s">
        <v>1159</v>
      </c>
      <c r="AM624" t="s">
        <v>282</v>
      </c>
      <c r="AN624">
        <v>45170</v>
      </c>
      <c r="AO624">
        <v>45199</v>
      </c>
      <c r="AP624" t="s">
        <v>1101</v>
      </c>
    </row>
    <row r="625" spans="1:42" x14ac:dyDescent="0.25">
      <c r="A625">
        <v>2023</v>
      </c>
      <c r="B625">
        <v>9</v>
      </c>
      <c r="C625">
        <v>17</v>
      </c>
      <c r="D625" t="s">
        <v>1088</v>
      </c>
      <c r="E625" t="s">
        <v>282</v>
      </c>
      <c r="F625">
        <v>619920</v>
      </c>
      <c r="H625" t="s">
        <v>282</v>
      </c>
      <c r="I625">
        <v>1252192</v>
      </c>
      <c r="M625">
        <v>1304</v>
      </c>
      <c r="P625">
        <v>250</v>
      </c>
      <c r="Q625">
        <v>1</v>
      </c>
      <c r="R625">
        <v>250</v>
      </c>
      <c r="S625">
        <v>45190</v>
      </c>
      <c r="U625" t="s">
        <v>222</v>
      </c>
      <c r="V625" t="s">
        <v>102</v>
      </c>
      <c r="AI625">
        <v>62</v>
      </c>
      <c r="AL625" t="s">
        <v>1160</v>
      </c>
      <c r="AM625" t="s">
        <v>282</v>
      </c>
      <c r="AN625">
        <v>45170</v>
      </c>
      <c r="AO625">
        <v>45199</v>
      </c>
      <c r="AP625" t="s">
        <v>1101</v>
      </c>
    </row>
    <row r="626" spans="1:42" x14ac:dyDescent="0.25">
      <c r="A626">
        <v>2023</v>
      </c>
      <c r="B626">
        <v>9</v>
      </c>
      <c r="C626">
        <v>17</v>
      </c>
      <c r="D626" t="s">
        <v>1088</v>
      </c>
      <c r="E626" t="s">
        <v>282</v>
      </c>
      <c r="F626">
        <v>610259</v>
      </c>
      <c r="G626">
        <v>10144641</v>
      </c>
      <c r="H626" t="s">
        <v>282</v>
      </c>
      <c r="J626">
        <v>53649086</v>
      </c>
      <c r="K626">
        <v>1104</v>
      </c>
      <c r="L626">
        <v>1702</v>
      </c>
      <c r="M626">
        <v>1304</v>
      </c>
      <c r="N626">
        <v>53638989</v>
      </c>
      <c r="O626">
        <v>45177.617808993054</v>
      </c>
      <c r="P626">
        <v>216</v>
      </c>
      <c r="Q626">
        <v>1</v>
      </c>
      <c r="R626">
        <v>216</v>
      </c>
      <c r="S626">
        <v>45178.06737167824</v>
      </c>
      <c r="T626">
        <v>5509</v>
      </c>
      <c r="U626" t="s">
        <v>1152</v>
      </c>
      <c r="V626" t="s">
        <v>1153</v>
      </c>
      <c r="W626" t="s">
        <v>2</v>
      </c>
      <c r="AI626">
        <v>62</v>
      </c>
      <c r="AJ626">
        <v>62</v>
      </c>
      <c r="AN626">
        <v>45170</v>
      </c>
      <c r="AO626">
        <v>45199</v>
      </c>
      <c r="AP626" t="s">
        <v>1101</v>
      </c>
    </row>
    <row r="627" spans="1:42" x14ac:dyDescent="0.25">
      <c r="A627">
        <v>2023</v>
      </c>
      <c r="B627">
        <v>9</v>
      </c>
      <c r="C627">
        <v>17</v>
      </c>
      <c r="D627" t="s">
        <v>1088</v>
      </c>
      <c r="E627" t="s">
        <v>282</v>
      </c>
      <c r="F627">
        <v>610259</v>
      </c>
      <c r="G627">
        <v>10144641</v>
      </c>
      <c r="H627" t="s">
        <v>282</v>
      </c>
      <c r="J627">
        <v>53649087</v>
      </c>
      <c r="K627">
        <v>1104</v>
      </c>
      <c r="L627">
        <v>1702</v>
      </c>
      <c r="M627">
        <v>1304</v>
      </c>
      <c r="N627">
        <v>53638995</v>
      </c>
      <c r="O627">
        <v>45177.617938506941</v>
      </c>
      <c r="P627">
        <v>216</v>
      </c>
      <c r="Q627">
        <v>1</v>
      </c>
      <c r="R627">
        <v>216</v>
      </c>
      <c r="S627">
        <v>45178.06737167824</v>
      </c>
      <c r="T627">
        <v>5509</v>
      </c>
      <c r="U627" t="s">
        <v>1152</v>
      </c>
      <c r="V627" t="s">
        <v>1153</v>
      </c>
      <c r="W627" t="s">
        <v>2</v>
      </c>
      <c r="AI627">
        <v>62</v>
      </c>
      <c r="AJ627">
        <v>62</v>
      </c>
      <c r="AN627">
        <v>45170</v>
      </c>
      <c r="AO627">
        <v>45199</v>
      </c>
      <c r="AP627" t="s">
        <v>1101</v>
      </c>
    </row>
    <row r="628" spans="1:42" x14ac:dyDescent="0.25">
      <c r="A628">
        <v>2023</v>
      </c>
      <c r="B628">
        <v>9</v>
      </c>
      <c r="C628">
        <v>17</v>
      </c>
      <c r="D628" t="s">
        <v>1088</v>
      </c>
      <c r="E628" t="s">
        <v>282</v>
      </c>
      <c r="F628">
        <v>590160</v>
      </c>
      <c r="G628">
        <v>9784749</v>
      </c>
      <c r="H628" t="s">
        <v>282</v>
      </c>
      <c r="J628">
        <v>53924306</v>
      </c>
      <c r="K628">
        <v>1103</v>
      </c>
      <c r="L628">
        <v>1702</v>
      </c>
      <c r="M628">
        <v>1304</v>
      </c>
      <c r="N628">
        <v>50344107</v>
      </c>
      <c r="O628">
        <v>45071.683337812501</v>
      </c>
      <c r="P628">
        <v>204.78</v>
      </c>
      <c r="Q628">
        <v>1</v>
      </c>
      <c r="R628">
        <v>204.78</v>
      </c>
      <c r="S628">
        <v>45188.370806446757</v>
      </c>
      <c r="T628">
        <v>5503</v>
      </c>
      <c r="U628" t="s">
        <v>104</v>
      </c>
      <c r="V628" t="s">
        <v>1158</v>
      </c>
      <c r="W628" t="s">
        <v>2</v>
      </c>
      <c r="X628" t="s">
        <v>1091</v>
      </c>
      <c r="AI628">
        <v>62</v>
      </c>
      <c r="AJ628">
        <v>62</v>
      </c>
      <c r="AK628" t="s">
        <v>182</v>
      </c>
      <c r="AN628">
        <v>45170</v>
      </c>
      <c r="AO628">
        <v>45199</v>
      </c>
      <c r="AP628" t="s">
        <v>1261</v>
      </c>
    </row>
    <row r="629" spans="1:42" x14ac:dyDescent="0.25">
      <c r="A629">
        <v>2023</v>
      </c>
      <c r="B629">
        <v>9</v>
      </c>
      <c r="C629">
        <v>17</v>
      </c>
      <c r="D629" t="s">
        <v>1088</v>
      </c>
      <c r="E629" t="s">
        <v>282</v>
      </c>
      <c r="F629">
        <v>602658</v>
      </c>
      <c r="G629">
        <v>10020257</v>
      </c>
      <c r="H629" t="s">
        <v>282</v>
      </c>
      <c r="J629">
        <v>53924429</v>
      </c>
      <c r="K629">
        <v>1101</v>
      </c>
      <c r="L629">
        <v>1702</v>
      </c>
      <c r="M629">
        <v>1301</v>
      </c>
      <c r="N629">
        <v>53908562</v>
      </c>
      <c r="O629">
        <v>45187.632075081019</v>
      </c>
      <c r="P629">
        <v>109.5</v>
      </c>
      <c r="Q629">
        <v>1</v>
      </c>
      <c r="R629">
        <v>109.5</v>
      </c>
      <c r="S629">
        <v>45188.375305706017</v>
      </c>
      <c r="T629">
        <v>5502</v>
      </c>
      <c r="U629" t="s">
        <v>1217</v>
      </c>
      <c r="V629" t="s">
        <v>1155</v>
      </c>
      <c r="W629" t="s">
        <v>1031</v>
      </c>
      <c r="X629" t="s">
        <v>1031</v>
      </c>
      <c r="AD629">
        <v>829957</v>
      </c>
      <c r="AE629" t="s">
        <v>1291</v>
      </c>
      <c r="AF629">
        <v>45188.375305358793</v>
      </c>
      <c r="AI629">
        <v>62</v>
      </c>
      <c r="AJ629">
        <v>62</v>
      </c>
      <c r="AN629">
        <v>45170</v>
      </c>
      <c r="AO629">
        <v>45199</v>
      </c>
      <c r="AP629" t="s">
        <v>1101</v>
      </c>
    </row>
    <row r="630" spans="1:42" x14ac:dyDescent="0.25">
      <c r="A630">
        <v>2023</v>
      </c>
      <c r="B630">
        <v>9</v>
      </c>
      <c r="C630">
        <v>17</v>
      </c>
      <c r="D630" t="s">
        <v>1088</v>
      </c>
      <c r="E630" t="s">
        <v>282</v>
      </c>
      <c r="F630">
        <v>602658</v>
      </c>
      <c r="G630">
        <v>10020257</v>
      </c>
      <c r="H630" t="s">
        <v>282</v>
      </c>
      <c r="J630">
        <v>53924430</v>
      </c>
      <c r="K630">
        <v>1101</v>
      </c>
      <c r="L630">
        <v>1702</v>
      </c>
      <c r="M630">
        <v>1301</v>
      </c>
      <c r="N630">
        <v>53908565</v>
      </c>
      <c r="O630">
        <v>45187.632078090275</v>
      </c>
      <c r="P630">
        <v>109.5</v>
      </c>
      <c r="Q630">
        <v>1</v>
      </c>
      <c r="R630">
        <v>109.5</v>
      </c>
      <c r="S630">
        <v>45188.375305706017</v>
      </c>
      <c r="T630">
        <v>5502</v>
      </c>
      <c r="U630" t="s">
        <v>1217</v>
      </c>
      <c r="V630" t="s">
        <v>1155</v>
      </c>
      <c r="W630" t="s">
        <v>1031</v>
      </c>
      <c r="X630" t="s">
        <v>1031</v>
      </c>
      <c r="AD630">
        <v>829957</v>
      </c>
      <c r="AE630" t="s">
        <v>1291</v>
      </c>
      <c r="AF630">
        <v>45188.375305358793</v>
      </c>
      <c r="AI630">
        <v>62</v>
      </c>
      <c r="AJ630">
        <v>62</v>
      </c>
      <c r="AN630">
        <v>45170</v>
      </c>
      <c r="AO630">
        <v>45199</v>
      </c>
      <c r="AP630" t="s">
        <v>1101</v>
      </c>
    </row>
    <row r="631" spans="1:42" x14ac:dyDescent="0.25">
      <c r="A631">
        <v>2023</v>
      </c>
      <c r="B631">
        <v>9</v>
      </c>
      <c r="C631">
        <v>17</v>
      </c>
      <c r="D631" t="s">
        <v>1088</v>
      </c>
      <c r="E631" t="s">
        <v>282</v>
      </c>
      <c r="F631">
        <v>602658</v>
      </c>
      <c r="G631">
        <v>10020257</v>
      </c>
      <c r="H631" t="s">
        <v>282</v>
      </c>
      <c r="J631">
        <v>53924431</v>
      </c>
      <c r="K631">
        <v>1101</v>
      </c>
      <c r="L631">
        <v>1702</v>
      </c>
      <c r="M631">
        <v>1301</v>
      </c>
      <c r="N631">
        <v>53908568</v>
      </c>
      <c r="O631">
        <v>45187.63208221065</v>
      </c>
      <c r="P631">
        <v>15</v>
      </c>
      <c r="Q631">
        <v>1</v>
      </c>
      <c r="R631">
        <v>15</v>
      </c>
      <c r="S631">
        <v>45188.375305706017</v>
      </c>
      <c r="T631">
        <v>5502</v>
      </c>
      <c r="U631" t="s">
        <v>1217</v>
      </c>
      <c r="V631" t="s">
        <v>1155</v>
      </c>
      <c r="W631" t="s">
        <v>1031</v>
      </c>
      <c r="X631" t="s">
        <v>1031</v>
      </c>
      <c r="AD631">
        <v>829957</v>
      </c>
      <c r="AE631" t="s">
        <v>1291</v>
      </c>
      <c r="AF631">
        <v>45188.375305358793</v>
      </c>
      <c r="AI631">
        <v>62</v>
      </c>
      <c r="AJ631">
        <v>62</v>
      </c>
      <c r="AN631">
        <v>45170</v>
      </c>
      <c r="AO631">
        <v>45199</v>
      </c>
      <c r="AP631" t="s">
        <v>1101</v>
      </c>
    </row>
    <row r="632" spans="1:42" x14ac:dyDescent="0.25">
      <c r="A632">
        <v>2023</v>
      </c>
      <c r="B632">
        <v>9</v>
      </c>
      <c r="C632">
        <v>17</v>
      </c>
      <c r="D632" t="s">
        <v>1088</v>
      </c>
      <c r="E632" t="s">
        <v>282</v>
      </c>
      <c r="F632">
        <v>611646</v>
      </c>
      <c r="G632">
        <v>10167797</v>
      </c>
      <c r="H632" t="s">
        <v>282</v>
      </c>
      <c r="J632">
        <v>53924477</v>
      </c>
      <c r="K632">
        <v>1101</v>
      </c>
      <c r="L632">
        <v>1702</v>
      </c>
      <c r="M632">
        <v>1301</v>
      </c>
      <c r="N632">
        <v>53157933</v>
      </c>
      <c r="O632">
        <v>45162.567358333334</v>
      </c>
      <c r="P632">
        <v>165.43</v>
      </c>
      <c r="Q632">
        <v>1</v>
      </c>
      <c r="R632">
        <v>165.43</v>
      </c>
      <c r="S632">
        <v>45188.378160798609</v>
      </c>
      <c r="T632">
        <v>5502</v>
      </c>
      <c r="U632" t="s">
        <v>1217</v>
      </c>
      <c r="V632" t="s">
        <v>1155</v>
      </c>
      <c r="W632" t="s">
        <v>1091</v>
      </c>
      <c r="X632" t="s">
        <v>1091</v>
      </c>
      <c r="AD632">
        <v>829958</v>
      </c>
      <c r="AE632" t="s">
        <v>1283</v>
      </c>
      <c r="AF632">
        <v>45188.378160532404</v>
      </c>
      <c r="AI632">
        <v>62</v>
      </c>
      <c r="AJ632">
        <v>62</v>
      </c>
      <c r="AN632">
        <v>45170</v>
      </c>
      <c r="AO632">
        <v>45199</v>
      </c>
      <c r="AP632" t="s">
        <v>1101</v>
      </c>
    </row>
    <row r="633" spans="1:42" x14ac:dyDescent="0.25">
      <c r="A633">
        <v>2023</v>
      </c>
      <c r="B633">
        <v>9</v>
      </c>
      <c r="C633">
        <v>17</v>
      </c>
      <c r="D633" t="s">
        <v>1088</v>
      </c>
      <c r="E633" t="s">
        <v>282</v>
      </c>
      <c r="F633">
        <v>611646</v>
      </c>
      <c r="G633">
        <v>10167797</v>
      </c>
      <c r="H633" t="s">
        <v>282</v>
      </c>
      <c r="J633">
        <v>53924478</v>
      </c>
      <c r="K633">
        <v>1103</v>
      </c>
      <c r="L633">
        <v>1702</v>
      </c>
      <c r="M633">
        <v>1301</v>
      </c>
      <c r="N633">
        <v>53157933</v>
      </c>
      <c r="O633">
        <v>45162.567358333334</v>
      </c>
      <c r="P633">
        <v>50.57</v>
      </c>
      <c r="Q633">
        <v>1</v>
      </c>
      <c r="R633">
        <v>50.57</v>
      </c>
      <c r="S633">
        <v>45188.378160798609</v>
      </c>
      <c r="T633">
        <v>5503</v>
      </c>
      <c r="U633" t="s">
        <v>1218</v>
      </c>
      <c r="V633" t="s">
        <v>1157</v>
      </c>
      <c r="W633" t="s">
        <v>1091</v>
      </c>
      <c r="X633" t="s">
        <v>1091</v>
      </c>
      <c r="AD633">
        <v>829958</v>
      </c>
      <c r="AE633" t="s">
        <v>1283</v>
      </c>
      <c r="AF633">
        <v>45188.378160532404</v>
      </c>
      <c r="AI633">
        <v>62</v>
      </c>
      <c r="AJ633">
        <v>62</v>
      </c>
      <c r="AK633" t="s">
        <v>1219</v>
      </c>
      <c r="AN633">
        <v>45170</v>
      </c>
      <c r="AO633">
        <v>45199</v>
      </c>
      <c r="AP633" t="s">
        <v>1101</v>
      </c>
    </row>
    <row r="634" spans="1:42" x14ac:dyDescent="0.25">
      <c r="A634">
        <v>2023</v>
      </c>
      <c r="B634">
        <v>9</v>
      </c>
      <c r="C634">
        <v>17</v>
      </c>
      <c r="D634" t="s">
        <v>1088</v>
      </c>
      <c r="E634" t="s">
        <v>282</v>
      </c>
      <c r="F634">
        <v>611646</v>
      </c>
      <c r="G634">
        <v>10167797</v>
      </c>
      <c r="H634" t="s">
        <v>282</v>
      </c>
      <c r="J634">
        <v>53924479</v>
      </c>
      <c r="K634">
        <v>1101</v>
      </c>
      <c r="L634">
        <v>1702</v>
      </c>
      <c r="M634">
        <v>1301</v>
      </c>
      <c r="N634">
        <v>53157936</v>
      </c>
      <c r="O634">
        <v>45162.567464502317</v>
      </c>
      <c r="P634">
        <v>165.43</v>
      </c>
      <c r="Q634">
        <v>1</v>
      </c>
      <c r="R634">
        <v>165.43</v>
      </c>
      <c r="S634">
        <v>45188.378160798609</v>
      </c>
      <c r="T634">
        <v>5502</v>
      </c>
      <c r="U634" t="s">
        <v>1217</v>
      </c>
      <c r="V634" t="s">
        <v>1155</v>
      </c>
      <c r="W634" t="s">
        <v>1091</v>
      </c>
      <c r="X634" t="s">
        <v>1091</v>
      </c>
      <c r="AD634">
        <v>829958</v>
      </c>
      <c r="AE634" t="s">
        <v>1283</v>
      </c>
      <c r="AF634">
        <v>45188.378160532404</v>
      </c>
      <c r="AI634">
        <v>62</v>
      </c>
      <c r="AJ634">
        <v>62</v>
      </c>
      <c r="AN634">
        <v>45170</v>
      </c>
      <c r="AO634">
        <v>45199</v>
      </c>
      <c r="AP634" t="s">
        <v>1101</v>
      </c>
    </row>
    <row r="635" spans="1:42" x14ac:dyDescent="0.25">
      <c r="A635">
        <v>2023</v>
      </c>
      <c r="B635">
        <v>9</v>
      </c>
      <c r="C635">
        <v>17</v>
      </c>
      <c r="D635" t="s">
        <v>1088</v>
      </c>
      <c r="E635" t="s">
        <v>282</v>
      </c>
      <c r="F635">
        <v>611646</v>
      </c>
      <c r="G635">
        <v>10167797</v>
      </c>
      <c r="H635" t="s">
        <v>282</v>
      </c>
      <c r="J635">
        <v>53924480</v>
      </c>
      <c r="K635">
        <v>1103</v>
      </c>
      <c r="L635">
        <v>1702</v>
      </c>
      <c r="M635">
        <v>1301</v>
      </c>
      <c r="N635">
        <v>53157936</v>
      </c>
      <c r="O635">
        <v>45162.567464502317</v>
      </c>
      <c r="P635">
        <v>50.57</v>
      </c>
      <c r="Q635">
        <v>1</v>
      </c>
      <c r="R635">
        <v>50.57</v>
      </c>
      <c r="S635">
        <v>45188.378160798609</v>
      </c>
      <c r="T635">
        <v>5503</v>
      </c>
      <c r="U635" t="s">
        <v>1218</v>
      </c>
      <c r="V635" t="s">
        <v>1157</v>
      </c>
      <c r="W635" t="s">
        <v>1091</v>
      </c>
      <c r="X635" t="s">
        <v>1091</v>
      </c>
      <c r="AD635">
        <v>829958</v>
      </c>
      <c r="AE635" t="s">
        <v>1283</v>
      </c>
      <c r="AF635">
        <v>45188.378160532404</v>
      </c>
      <c r="AI635">
        <v>62</v>
      </c>
      <c r="AJ635">
        <v>62</v>
      </c>
      <c r="AK635" t="s">
        <v>1219</v>
      </c>
      <c r="AN635">
        <v>45170</v>
      </c>
      <c r="AO635">
        <v>45199</v>
      </c>
      <c r="AP635" t="s">
        <v>1101</v>
      </c>
    </row>
    <row r="636" spans="1:42" x14ac:dyDescent="0.25">
      <c r="A636">
        <v>2023</v>
      </c>
      <c r="B636">
        <v>9</v>
      </c>
      <c r="C636">
        <v>17</v>
      </c>
      <c r="D636" t="s">
        <v>1088</v>
      </c>
      <c r="E636" t="s">
        <v>282</v>
      </c>
      <c r="F636">
        <v>612096</v>
      </c>
      <c r="G636">
        <v>10175968</v>
      </c>
      <c r="H636" t="s">
        <v>282</v>
      </c>
      <c r="J636">
        <v>53924493</v>
      </c>
      <c r="K636">
        <v>1101</v>
      </c>
      <c r="L636">
        <v>1702</v>
      </c>
      <c r="M636">
        <v>1301</v>
      </c>
      <c r="N636">
        <v>52731844</v>
      </c>
      <c r="O636">
        <v>45149.396397303244</v>
      </c>
      <c r="P636">
        <v>174.06</v>
      </c>
      <c r="Q636">
        <v>1</v>
      </c>
      <c r="R636">
        <v>174.06</v>
      </c>
      <c r="S636">
        <v>45188.379437962962</v>
      </c>
      <c r="T636">
        <v>5502</v>
      </c>
      <c r="U636" t="s">
        <v>1217</v>
      </c>
      <c r="V636" t="s">
        <v>1155</v>
      </c>
      <c r="W636" t="s">
        <v>1091</v>
      </c>
      <c r="X636" t="s">
        <v>1091</v>
      </c>
      <c r="AD636">
        <v>829963</v>
      </c>
      <c r="AE636" t="s">
        <v>1281</v>
      </c>
      <c r="AF636">
        <v>45188.379437615738</v>
      </c>
      <c r="AI636">
        <v>62</v>
      </c>
      <c r="AJ636">
        <v>62</v>
      </c>
      <c r="AN636">
        <v>45170</v>
      </c>
      <c r="AO636">
        <v>45199</v>
      </c>
      <c r="AP636" t="s">
        <v>1101</v>
      </c>
    </row>
    <row r="637" spans="1:42" x14ac:dyDescent="0.25">
      <c r="A637">
        <v>2023</v>
      </c>
      <c r="B637">
        <v>9</v>
      </c>
      <c r="C637">
        <v>17</v>
      </c>
      <c r="D637" t="s">
        <v>1088</v>
      </c>
      <c r="E637" t="s">
        <v>282</v>
      </c>
      <c r="F637">
        <v>612096</v>
      </c>
      <c r="G637">
        <v>10175968</v>
      </c>
      <c r="H637" t="s">
        <v>282</v>
      </c>
      <c r="J637">
        <v>53924494</v>
      </c>
      <c r="K637">
        <v>1103</v>
      </c>
      <c r="L637">
        <v>1702</v>
      </c>
      <c r="M637">
        <v>1301</v>
      </c>
      <c r="N637">
        <v>52731844</v>
      </c>
      <c r="O637">
        <v>45149.396397303244</v>
      </c>
      <c r="P637">
        <v>11.22</v>
      </c>
      <c r="Q637">
        <v>1</v>
      </c>
      <c r="R637">
        <v>11.22</v>
      </c>
      <c r="S637">
        <v>45188.379437962962</v>
      </c>
      <c r="T637">
        <v>5503</v>
      </c>
      <c r="U637" t="s">
        <v>1218</v>
      </c>
      <c r="V637" t="s">
        <v>1157</v>
      </c>
      <c r="W637" t="s">
        <v>1091</v>
      </c>
      <c r="X637" t="s">
        <v>1091</v>
      </c>
      <c r="AD637">
        <v>829963</v>
      </c>
      <c r="AE637" t="s">
        <v>1281</v>
      </c>
      <c r="AF637">
        <v>45188.379437615738</v>
      </c>
      <c r="AI637">
        <v>62</v>
      </c>
      <c r="AJ637">
        <v>62</v>
      </c>
      <c r="AK637" t="s">
        <v>1219</v>
      </c>
      <c r="AN637">
        <v>45170</v>
      </c>
      <c r="AO637">
        <v>45199</v>
      </c>
      <c r="AP637" t="s">
        <v>1101</v>
      </c>
    </row>
    <row r="638" spans="1:42" x14ac:dyDescent="0.25">
      <c r="A638">
        <v>2023</v>
      </c>
      <c r="B638">
        <v>9</v>
      </c>
      <c r="C638">
        <v>17</v>
      </c>
      <c r="D638" t="s">
        <v>1088</v>
      </c>
      <c r="E638" t="s">
        <v>282</v>
      </c>
      <c r="F638">
        <v>612096</v>
      </c>
      <c r="G638">
        <v>10175968</v>
      </c>
      <c r="H638" t="s">
        <v>282</v>
      </c>
      <c r="J638">
        <v>53924495</v>
      </c>
      <c r="K638">
        <v>1100</v>
      </c>
      <c r="L638">
        <v>1700</v>
      </c>
      <c r="M638">
        <v>1304</v>
      </c>
      <c r="N638">
        <v>52731844</v>
      </c>
      <c r="O638">
        <v>45149.396397303244</v>
      </c>
      <c r="P638">
        <v>30.72</v>
      </c>
      <c r="Q638">
        <v>1</v>
      </c>
      <c r="R638">
        <v>30.72</v>
      </c>
      <c r="S638">
        <v>45188.379437962962</v>
      </c>
      <c r="T638">
        <v>5504</v>
      </c>
      <c r="U638" t="s">
        <v>1220</v>
      </c>
      <c r="V638" t="s">
        <v>1221</v>
      </c>
      <c r="W638" t="s">
        <v>2</v>
      </c>
      <c r="X638" t="s">
        <v>1091</v>
      </c>
      <c r="AD638">
        <v>829963</v>
      </c>
      <c r="AE638" t="s">
        <v>1281</v>
      </c>
      <c r="AF638">
        <v>45188.379437615738</v>
      </c>
      <c r="AI638">
        <v>62</v>
      </c>
      <c r="AJ638">
        <v>62</v>
      </c>
      <c r="AN638">
        <v>45170</v>
      </c>
      <c r="AO638">
        <v>45199</v>
      </c>
      <c r="AP638" t="s">
        <v>1101</v>
      </c>
    </row>
    <row r="639" spans="1:42" x14ac:dyDescent="0.25">
      <c r="A639">
        <v>2023</v>
      </c>
      <c r="B639">
        <v>9</v>
      </c>
      <c r="C639">
        <v>17</v>
      </c>
      <c r="D639" t="s">
        <v>1088</v>
      </c>
      <c r="E639" t="s">
        <v>282</v>
      </c>
      <c r="F639">
        <v>612096</v>
      </c>
      <c r="G639">
        <v>10175968</v>
      </c>
      <c r="H639" t="s">
        <v>282</v>
      </c>
      <c r="J639">
        <v>53924496</v>
      </c>
      <c r="K639">
        <v>1104</v>
      </c>
      <c r="L639">
        <v>1702</v>
      </c>
      <c r="M639">
        <v>1304</v>
      </c>
      <c r="N639">
        <v>52731844</v>
      </c>
      <c r="O639">
        <v>45149.396397303244</v>
      </c>
      <c r="P639">
        <v>30.72</v>
      </c>
      <c r="Q639">
        <v>1</v>
      </c>
      <c r="R639">
        <v>30.72</v>
      </c>
      <c r="S639">
        <v>45188.379437962962</v>
      </c>
      <c r="T639">
        <v>5509</v>
      </c>
      <c r="U639" t="s">
        <v>1152</v>
      </c>
      <c r="V639" t="s">
        <v>1153</v>
      </c>
      <c r="W639" t="s">
        <v>2</v>
      </c>
      <c r="X639" t="s">
        <v>1091</v>
      </c>
      <c r="AD639">
        <v>829963</v>
      </c>
      <c r="AE639" t="s">
        <v>1281</v>
      </c>
      <c r="AF639">
        <v>45188.379437615738</v>
      </c>
      <c r="AI639">
        <v>62</v>
      </c>
      <c r="AJ639">
        <v>62</v>
      </c>
      <c r="AN639">
        <v>45170</v>
      </c>
      <c r="AO639">
        <v>45199</v>
      </c>
      <c r="AP639" t="s">
        <v>1101</v>
      </c>
    </row>
    <row r="640" spans="1:42" x14ac:dyDescent="0.25">
      <c r="A640">
        <v>2023</v>
      </c>
      <c r="B640">
        <v>9</v>
      </c>
      <c r="C640">
        <v>17</v>
      </c>
      <c r="D640" t="s">
        <v>1088</v>
      </c>
      <c r="E640" t="s">
        <v>282</v>
      </c>
      <c r="F640">
        <v>612096</v>
      </c>
      <c r="G640">
        <v>10175968</v>
      </c>
      <c r="H640" t="s">
        <v>282</v>
      </c>
      <c r="J640">
        <v>53924497</v>
      </c>
      <c r="K640">
        <v>1101</v>
      </c>
      <c r="L640">
        <v>1702</v>
      </c>
      <c r="M640">
        <v>1301</v>
      </c>
      <c r="N640">
        <v>52731856</v>
      </c>
      <c r="O640">
        <v>45149.396948379632</v>
      </c>
      <c r="P640">
        <v>174.06</v>
      </c>
      <c r="Q640">
        <v>1</v>
      </c>
      <c r="R640">
        <v>174.06</v>
      </c>
      <c r="S640">
        <v>45188.379437962962</v>
      </c>
      <c r="T640">
        <v>5502</v>
      </c>
      <c r="U640" t="s">
        <v>1217</v>
      </c>
      <c r="V640" t="s">
        <v>1155</v>
      </c>
      <c r="W640" t="s">
        <v>1091</v>
      </c>
      <c r="X640" t="s">
        <v>1091</v>
      </c>
      <c r="AD640">
        <v>829963</v>
      </c>
      <c r="AE640" t="s">
        <v>1281</v>
      </c>
      <c r="AF640">
        <v>45188.379437615738</v>
      </c>
      <c r="AI640">
        <v>62</v>
      </c>
      <c r="AJ640">
        <v>62</v>
      </c>
      <c r="AN640">
        <v>45170</v>
      </c>
      <c r="AO640">
        <v>45199</v>
      </c>
      <c r="AP640" t="s">
        <v>1101</v>
      </c>
    </row>
    <row r="641" spans="1:42" x14ac:dyDescent="0.25">
      <c r="A641">
        <v>2023</v>
      </c>
      <c r="B641">
        <v>9</v>
      </c>
      <c r="C641">
        <v>17</v>
      </c>
      <c r="D641" t="s">
        <v>1088</v>
      </c>
      <c r="E641" t="s">
        <v>282</v>
      </c>
      <c r="F641">
        <v>612096</v>
      </c>
      <c r="G641">
        <v>10175968</v>
      </c>
      <c r="H641" t="s">
        <v>282</v>
      </c>
      <c r="J641">
        <v>53924498</v>
      </c>
      <c r="K641">
        <v>1103</v>
      </c>
      <c r="L641">
        <v>1702</v>
      </c>
      <c r="M641">
        <v>1301</v>
      </c>
      <c r="N641">
        <v>52731856</v>
      </c>
      <c r="O641">
        <v>45149.396948379632</v>
      </c>
      <c r="P641">
        <v>11.22</v>
      </c>
      <c r="Q641">
        <v>1</v>
      </c>
      <c r="R641">
        <v>11.22</v>
      </c>
      <c r="S641">
        <v>45188.379437962962</v>
      </c>
      <c r="T641">
        <v>5503</v>
      </c>
      <c r="U641" t="s">
        <v>1218</v>
      </c>
      <c r="V641" t="s">
        <v>1157</v>
      </c>
      <c r="W641" t="s">
        <v>1091</v>
      </c>
      <c r="X641" t="s">
        <v>1091</v>
      </c>
      <c r="AD641">
        <v>829963</v>
      </c>
      <c r="AE641" t="s">
        <v>1281</v>
      </c>
      <c r="AF641">
        <v>45188.379437615738</v>
      </c>
      <c r="AI641">
        <v>62</v>
      </c>
      <c r="AJ641">
        <v>62</v>
      </c>
      <c r="AK641" t="s">
        <v>1219</v>
      </c>
      <c r="AN641">
        <v>45170</v>
      </c>
      <c r="AO641">
        <v>45199</v>
      </c>
      <c r="AP641" t="s">
        <v>1101</v>
      </c>
    </row>
    <row r="642" spans="1:42" x14ac:dyDescent="0.25">
      <c r="A642">
        <v>2023</v>
      </c>
      <c r="B642">
        <v>9</v>
      </c>
      <c r="C642">
        <v>17</v>
      </c>
      <c r="D642" t="s">
        <v>1088</v>
      </c>
      <c r="E642" t="s">
        <v>282</v>
      </c>
      <c r="F642">
        <v>612096</v>
      </c>
      <c r="G642">
        <v>10175968</v>
      </c>
      <c r="H642" t="s">
        <v>282</v>
      </c>
      <c r="J642">
        <v>53924499</v>
      </c>
      <c r="K642">
        <v>1100</v>
      </c>
      <c r="L642">
        <v>1700</v>
      </c>
      <c r="M642">
        <v>1304</v>
      </c>
      <c r="N642">
        <v>52731856</v>
      </c>
      <c r="O642">
        <v>45149.396948379632</v>
      </c>
      <c r="P642">
        <v>30.72</v>
      </c>
      <c r="Q642">
        <v>1</v>
      </c>
      <c r="R642">
        <v>30.72</v>
      </c>
      <c r="S642">
        <v>45188.379437962962</v>
      </c>
      <c r="T642">
        <v>5504</v>
      </c>
      <c r="U642" t="s">
        <v>1220</v>
      </c>
      <c r="V642" t="s">
        <v>1221</v>
      </c>
      <c r="W642" t="s">
        <v>2</v>
      </c>
      <c r="X642" t="s">
        <v>1091</v>
      </c>
      <c r="AD642">
        <v>829963</v>
      </c>
      <c r="AE642" t="s">
        <v>1281</v>
      </c>
      <c r="AF642">
        <v>45188.379437615738</v>
      </c>
      <c r="AI642">
        <v>62</v>
      </c>
      <c r="AJ642">
        <v>62</v>
      </c>
      <c r="AN642">
        <v>45170</v>
      </c>
      <c r="AO642">
        <v>45199</v>
      </c>
      <c r="AP642" t="s">
        <v>1101</v>
      </c>
    </row>
    <row r="643" spans="1:42" x14ac:dyDescent="0.25">
      <c r="A643">
        <v>2023</v>
      </c>
      <c r="B643">
        <v>9</v>
      </c>
      <c r="C643">
        <v>17</v>
      </c>
      <c r="D643" t="s">
        <v>1088</v>
      </c>
      <c r="E643" t="s">
        <v>282</v>
      </c>
      <c r="F643">
        <v>612096</v>
      </c>
      <c r="G643">
        <v>10175968</v>
      </c>
      <c r="H643" t="s">
        <v>282</v>
      </c>
      <c r="J643">
        <v>53924500</v>
      </c>
      <c r="K643">
        <v>1104</v>
      </c>
      <c r="L643">
        <v>1702</v>
      </c>
      <c r="M643">
        <v>1304</v>
      </c>
      <c r="N643">
        <v>52731856</v>
      </c>
      <c r="O643">
        <v>45149.396948379632</v>
      </c>
      <c r="P643">
        <v>30.72</v>
      </c>
      <c r="Q643">
        <v>1</v>
      </c>
      <c r="R643">
        <v>30.72</v>
      </c>
      <c r="S643">
        <v>45188.379437962962</v>
      </c>
      <c r="T643">
        <v>5509</v>
      </c>
      <c r="U643" t="s">
        <v>1152</v>
      </c>
      <c r="V643" t="s">
        <v>1153</v>
      </c>
      <c r="W643" t="s">
        <v>2</v>
      </c>
      <c r="X643" t="s">
        <v>1091</v>
      </c>
      <c r="AD643">
        <v>829963</v>
      </c>
      <c r="AE643" t="s">
        <v>1281</v>
      </c>
      <c r="AF643">
        <v>45188.379437615738</v>
      </c>
      <c r="AI643">
        <v>62</v>
      </c>
      <c r="AJ643">
        <v>62</v>
      </c>
      <c r="AN643">
        <v>45170</v>
      </c>
      <c r="AO643">
        <v>45199</v>
      </c>
      <c r="AP643" t="s">
        <v>1101</v>
      </c>
    </row>
    <row r="644" spans="1:42" x14ac:dyDescent="0.25">
      <c r="A644">
        <v>2023</v>
      </c>
      <c r="B644">
        <v>9</v>
      </c>
      <c r="C644">
        <v>17</v>
      </c>
      <c r="D644" t="s">
        <v>1088</v>
      </c>
      <c r="E644" t="s">
        <v>282</v>
      </c>
      <c r="F644">
        <v>612222</v>
      </c>
      <c r="G644">
        <v>10178481</v>
      </c>
      <c r="H644" t="s">
        <v>282</v>
      </c>
      <c r="J644">
        <v>53962412</v>
      </c>
      <c r="K644">
        <v>1103</v>
      </c>
      <c r="L644">
        <v>1702</v>
      </c>
      <c r="M644">
        <v>1301</v>
      </c>
      <c r="N644">
        <v>52695065</v>
      </c>
      <c r="O644">
        <v>45148.46274383102</v>
      </c>
      <c r="P644">
        <v>50.57</v>
      </c>
      <c r="Q644">
        <v>1</v>
      </c>
      <c r="R644">
        <v>50.57</v>
      </c>
      <c r="S644">
        <v>45189.379830289348</v>
      </c>
      <c r="T644">
        <v>5503</v>
      </c>
      <c r="U644" t="s">
        <v>1218</v>
      </c>
      <c r="V644" t="s">
        <v>1157</v>
      </c>
      <c r="W644" t="s">
        <v>1091</v>
      </c>
      <c r="X644" t="s">
        <v>1091</v>
      </c>
      <c r="AD644">
        <v>830523</v>
      </c>
      <c r="AE644" t="s">
        <v>1292</v>
      </c>
      <c r="AF644">
        <v>45189.379830057871</v>
      </c>
      <c r="AI644">
        <v>62</v>
      </c>
      <c r="AJ644">
        <v>62</v>
      </c>
      <c r="AK644" t="s">
        <v>1219</v>
      </c>
      <c r="AN644">
        <v>45170</v>
      </c>
      <c r="AO644">
        <v>45199</v>
      </c>
      <c r="AP644" t="s">
        <v>1101</v>
      </c>
    </row>
    <row r="645" spans="1:42" x14ac:dyDescent="0.25">
      <c r="A645">
        <v>2023</v>
      </c>
      <c r="B645">
        <v>9</v>
      </c>
      <c r="C645">
        <v>17</v>
      </c>
      <c r="D645" t="s">
        <v>1088</v>
      </c>
      <c r="E645" t="s">
        <v>282</v>
      </c>
      <c r="F645">
        <v>612222</v>
      </c>
      <c r="G645">
        <v>10178481</v>
      </c>
      <c r="H645" t="s">
        <v>282</v>
      </c>
      <c r="J645">
        <v>53962413</v>
      </c>
      <c r="K645">
        <v>1100</v>
      </c>
      <c r="L645">
        <v>1700</v>
      </c>
      <c r="M645">
        <v>1304</v>
      </c>
      <c r="N645">
        <v>52695065</v>
      </c>
      <c r="O645">
        <v>45148.46274383102</v>
      </c>
      <c r="P645">
        <v>165.43</v>
      </c>
      <c r="Q645">
        <v>1</v>
      </c>
      <c r="R645">
        <v>165.43</v>
      </c>
      <c r="S645">
        <v>45189.379830289348</v>
      </c>
      <c r="T645">
        <v>5504</v>
      </c>
      <c r="U645" t="s">
        <v>1220</v>
      </c>
      <c r="V645" t="s">
        <v>1221</v>
      </c>
      <c r="W645" t="s">
        <v>2</v>
      </c>
      <c r="X645" t="s">
        <v>1091</v>
      </c>
      <c r="AD645">
        <v>830523</v>
      </c>
      <c r="AE645" t="s">
        <v>1292</v>
      </c>
      <c r="AF645">
        <v>45189.379830057871</v>
      </c>
      <c r="AI645">
        <v>62</v>
      </c>
      <c r="AJ645">
        <v>62</v>
      </c>
      <c r="AN645">
        <v>45170</v>
      </c>
      <c r="AO645">
        <v>45199</v>
      </c>
      <c r="AP645" t="s">
        <v>1101</v>
      </c>
    </row>
    <row r="646" spans="1:42" x14ac:dyDescent="0.25">
      <c r="A646">
        <v>2023</v>
      </c>
      <c r="B646">
        <v>9</v>
      </c>
      <c r="C646">
        <v>17</v>
      </c>
      <c r="D646" t="s">
        <v>1088</v>
      </c>
      <c r="E646" t="s">
        <v>282</v>
      </c>
      <c r="F646">
        <v>610326</v>
      </c>
      <c r="G646">
        <v>10145747</v>
      </c>
      <c r="H646" t="s">
        <v>282</v>
      </c>
      <c r="J646">
        <v>54148959</v>
      </c>
      <c r="K646">
        <v>1101</v>
      </c>
      <c r="L646">
        <v>1702</v>
      </c>
      <c r="M646">
        <v>1301</v>
      </c>
      <c r="N646">
        <v>52398845</v>
      </c>
      <c r="O646">
        <v>45139.555876122686</v>
      </c>
      <c r="P646">
        <v>15</v>
      </c>
      <c r="Q646">
        <v>1</v>
      </c>
      <c r="R646">
        <v>15</v>
      </c>
      <c r="S646">
        <v>45195.643754201388</v>
      </c>
      <c r="T646">
        <v>5502</v>
      </c>
      <c r="U646" t="s">
        <v>1217</v>
      </c>
      <c r="V646" t="s">
        <v>1155</v>
      </c>
      <c r="W646" t="s">
        <v>1031</v>
      </c>
      <c r="X646" t="s">
        <v>1031</v>
      </c>
      <c r="AD646">
        <v>832845</v>
      </c>
      <c r="AE646" t="s">
        <v>1280</v>
      </c>
      <c r="AF646">
        <v>45195.643753703705</v>
      </c>
      <c r="AI646">
        <v>62</v>
      </c>
      <c r="AJ646">
        <v>62</v>
      </c>
      <c r="AN646">
        <v>45170</v>
      </c>
      <c r="AO646">
        <v>45199</v>
      </c>
      <c r="AP646" t="s">
        <v>1101</v>
      </c>
    </row>
    <row r="647" spans="1:42" x14ac:dyDescent="0.25">
      <c r="A647">
        <v>2023</v>
      </c>
      <c r="B647">
        <v>9</v>
      </c>
      <c r="C647">
        <v>17</v>
      </c>
      <c r="D647" t="s">
        <v>1088</v>
      </c>
      <c r="E647" t="s">
        <v>282</v>
      </c>
      <c r="F647">
        <v>610326</v>
      </c>
      <c r="G647">
        <v>10145747</v>
      </c>
      <c r="H647" t="s">
        <v>282</v>
      </c>
      <c r="J647">
        <v>54148960</v>
      </c>
      <c r="K647">
        <v>1101</v>
      </c>
      <c r="L647">
        <v>1702</v>
      </c>
      <c r="M647">
        <v>1301</v>
      </c>
      <c r="N647">
        <v>52398857</v>
      </c>
      <c r="O647">
        <v>45139.556182372682</v>
      </c>
      <c r="P647">
        <v>16</v>
      </c>
      <c r="Q647">
        <v>1</v>
      </c>
      <c r="R647">
        <v>16</v>
      </c>
      <c r="S647">
        <v>45195.643754201388</v>
      </c>
      <c r="T647">
        <v>5502</v>
      </c>
      <c r="U647" t="s">
        <v>1217</v>
      </c>
      <c r="V647" t="s">
        <v>1155</v>
      </c>
      <c r="W647" t="s">
        <v>1031</v>
      </c>
      <c r="X647" t="s">
        <v>1031</v>
      </c>
      <c r="AD647">
        <v>832845</v>
      </c>
      <c r="AE647" t="s">
        <v>1280</v>
      </c>
      <c r="AF647">
        <v>45195.643753703705</v>
      </c>
      <c r="AI647">
        <v>62</v>
      </c>
      <c r="AJ647">
        <v>62</v>
      </c>
      <c r="AN647">
        <v>45170</v>
      </c>
      <c r="AO647">
        <v>45199</v>
      </c>
      <c r="AP647" t="s">
        <v>1101</v>
      </c>
    </row>
    <row r="648" spans="1:42" x14ac:dyDescent="0.25">
      <c r="A648">
        <v>2023</v>
      </c>
      <c r="B648">
        <v>9</v>
      </c>
      <c r="C648">
        <v>17</v>
      </c>
      <c r="D648" t="s">
        <v>1088</v>
      </c>
      <c r="E648" t="s">
        <v>282</v>
      </c>
      <c r="F648">
        <v>118496</v>
      </c>
      <c r="G648">
        <v>10332642</v>
      </c>
      <c r="H648" t="s">
        <v>282</v>
      </c>
      <c r="J648">
        <v>53530262</v>
      </c>
      <c r="K648">
        <v>1100</v>
      </c>
      <c r="L648">
        <v>1706</v>
      </c>
      <c r="M648">
        <v>1301</v>
      </c>
      <c r="P648">
        <v>116</v>
      </c>
      <c r="Q648">
        <v>1</v>
      </c>
      <c r="R648">
        <v>116</v>
      </c>
      <c r="S648">
        <v>45175.695372719907</v>
      </c>
      <c r="T648">
        <v>5500</v>
      </c>
      <c r="U648" t="s">
        <v>1151</v>
      </c>
      <c r="V648" t="s">
        <v>99</v>
      </c>
      <c r="W648" t="s">
        <v>1031</v>
      </c>
      <c r="X648" t="s">
        <v>1031</v>
      </c>
      <c r="AA648">
        <v>57772</v>
      </c>
      <c r="AB648" t="s">
        <v>1223</v>
      </c>
      <c r="AC648">
        <v>45176.088510729169</v>
      </c>
      <c r="AI648">
        <v>62</v>
      </c>
      <c r="AJ648">
        <v>62</v>
      </c>
      <c r="AN648">
        <v>45170</v>
      </c>
      <c r="AO648">
        <v>45199</v>
      </c>
      <c r="AP648" t="s">
        <v>1101</v>
      </c>
    </row>
    <row r="649" spans="1:42" x14ac:dyDescent="0.25">
      <c r="A649">
        <v>2023</v>
      </c>
      <c r="B649">
        <v>9</v>
      </c>
      <c r="C649">
        <v>17</v>
      </c>
      <c r="D649" t="s">
        <v>1088</v>
      </c>
      <c r="E649" t="s">
        <v>282</v>
      </c>
      <c r="F649">
        <v>118496</v>
      </c>
      <c r="G649">
        <v>10332642</v>
      </c>
      <c r="H649" t="s">
        <v>282</v>
      </c>
      <c r="J649">
        <v>53530266</v>
      </c>
      <c r="K649">
        <v>1100</v>
      </c>
      <c r="L649">
        <v>1706</v>
      </c>
      <c r="M649">
        <v>1301</v>
      </c>
      <c r="P649">
        <v>116</v>
      </c>
      <c r="Q649">
        <v>1</v>
      </c>
      <c r="R649">
        <v>116</v>
      </c>
      <c r="S649">
        <v>45175.695480752314</v>
      </c>
      <c r="T649">
        <v>5500</v>
      </c>
      <c r="U649" t="s">
        <v>1151</v>
      </c>
      <c r="V649" t="s">
        <v>99</v>
      </c>
      <c r="W649" t="s">
        <v>1031</v>
      </c>
      <c r="X649" t="s">
        <v>1031</v>
      </c>
      <c r="AA649">
        <v>57772</v>
      </c>
      <c r="AB649" t="s">
        <v>1223</v>
      </c>
      <c r="AC649">
        <v>45176.088510729169</v>
      </c>
      <c r="AI649">
        <v>62</v>
      </c>
      <c r="AJ649">
        <v>62</v>
      </c>
      <c r="AN649">
        <v>45170</v>
      </c>
      <c r="AO649">
        <v>45199</v>
      </c>
      <c r="AP649" t="s">
        <v>1101</v>
      </c>
    </row>
    <row r="650" spans="1:42" x14ac:dyDescent="0.25">
      <c r="A650">
        <v>2023</v>
      </c>
      <c r="B650">
        <v>9</v>
      </c>
      <c r="C650">
        <v>17</v>
      </c>
      <c r="D650" t="s">
        <v>1088</v>
      </c>
      <c r="E650" t="s">
        <v>282</v>
      </c>
      <c r="F650">
        <v>118496</v>
      </c>
      <c r="G650">
        <v>10332642</v>
      </c>
      <c r="H650" t="s">
        <v>282</v>
      </c>
      <c r="J650">
        <v>53530267</v>
      </c>
      <c r="K650">
        <v>1100</v>
      </c>
      <c r="L650">
        <v>1706</v>
      </c>
      <c r="M650">
        <v>1301</v>
      </c>
      <c r="P650">
        <v>15</v>
      </c>
      <c r="Q650">
        <v>1</v>
      </c>
      <c r="R650">
        <v>15</v>
      </c>
      <c r="S650">
        <v>45175.695548460651</v>
      </c>
      <c r="T650">
        <v>5500</v>
      </c>
      <c r="U650" t="s">
        <v>1151</v>
      </c>
      <c r="V650" t="s">
        <v>99</v>
      </c>
      <c r="W650" t="s">
        <v>1031</v>
      </c>
      <c r="X650" t="s">
        <v>1031</v>
      </c>
      <c r="AA650">
        <v>57772</v>
      </c>
      <c r="AB650" t="s">
        <v>1223</v>
      </c>
      <c r="AC650">
        <v>45176.088510729169</v>
      </c>
      <c r="AI650">
        <v>62</v>
      </c>
      <c r="AJ650">
        <v>62</v>
      </c>
      <c r="AN650">
        <v>45170</v>
      </c>
      <c r="AO650">
        <v>45199</v>
      </c>
      <c r="AP650" t="s">
        <v>1101</v>
      </c>
    </row>
    <row r="651" spans="1:42" x14ac:dyDescent="0.25">
      <c r="A651">
        <v>2023</v>
      </c>
      <c r="B651">
        <v>9</v>
      </c>
      <c r="C651">
        <v>17</v>
      </c>
      <c r="D651" t="s">
        <v>1088</v>
      </c>
      <c r="E651" t="s">
        <v>282</v>
      </c>
      <c r="F651">
        <v>399512</v>
      </c>
      <c r="G651">
        <v>10332677</v>
      </c>
      <c r="H651" t="s">
        <v>282</v>
      </c>
      <c r="J651">
        <v>53530302</v>
      </c>
      <c r="K651">
        <v>1100</v>
      </c>
      <c r="L651">
        <v>1700</v>
      </c>
      <c r="M651">
        <v>1304</v>
      </c>
      <c r="P651">
        <v>50</v>
      </c>
      <c r="Q651">
        <v>1</v>
      </c>
      <c r="R651">
        <v>50</v>
      </c>
      <c r="S651">
        <v>45175.697886574075</v>
      </c>
      <c r="T651">
        <v>5500</v>
      </c>
      <c r="U651" t="s">
        <v>1154</v>
      </c>
      <c r="V651" t="s">
        <v>99</v>
      </c>
      <c r="W651" t="s">
        <v>2</v>
      </c>
      <c r="AI651">
        <v>62</v>
      </c>
      <c r="AJ651">
        <v>62</v>
      </c>
      <c r="AN651">
        <v>45170</v>
      </c>
      <c r="AO651">
        <v>45199</v>
      </c>
      <c r="AP651" t="s">
        <v>1101</v>
      </c>
    </row>
    <row r="652" spans="1:42" x14ac:dyDescent="0.25">
      <c r="A652">
        <v>2023</v>
      </c>
      <c r="B652">
        <v>9</v>
      </c>
      <c r="C652">
        <v>17</v>
      </c>
      <c r="D652" t="s">
        <v>1088</v>
      </c>
      <c r="E652" t="s">
        <v>282</v>
      </c>
      <c r="F652">
        <v>399512</v>
      </c>
      <c r="G652">
        <v>10332677</v>
      </c>
      <c r="H652" t="s">
        <v>282</v>
      </c>
      <c r="J652">
        <v>53530306</v>
      </c>
      <c r="K652">
        <v>1100</v>
      </c>
      <c r="L652">
        <v>1700</v>
      </c>
      <c r="M652">
        <v>1304</v>
      </c>
      <c r="P652">
        <v>50</v>
      </c>
      <c r="Q652">
        <v>1</v>
      </c>
      <c r="R652">
        <v>50</v>
      </c>
      <c r="S652">
        <v>45175.698008564817</v>
      </c>
      <c r="T652">
        <v>5500</v>
      </c>
      <c r="U652" t="s">
        <v>1154</v>
      </c>
      <c r="V652" t="s">
        <v>99</v>
      </c>
      <c r="W652" t="s">
        <v>2</v>
      </c>
      <c r="AI652">
        <v>62</v>
      </c>
      <c r="AJ652">
        <v>62</v>
      </c>
      <c r="AN652">
        <v>45170</v>
      </c>
      <c r="AO652">
        <v>45199</v>
      </c>
      <c r="AP652" t="s">
        <v>1101</v>
      </c>
    </row>
    <row r="653" spans="1:42" x14ac:dyDescent="0.25">
      <c r="A653">
        <v>2023</v>
      </c>
      <c r="B653">
        <v>9</v>
      </c>
      <c r="C653">
        <v>17</v>
      </c>
      <c r="D653" t="s">
        <v>1088</v>
      </c>
      <c r="E653" t="s">
        <v>282</v>
      </c>
      <c r="F653">
        <v>619845</v>
      </c>
      <c r="G653">
        <v>10330410</v>
      </c>
      <c r="H653" t="s">
        <v>282</v>
      </c>
      <c r="J653">
        <v>53663839</v>
      </c>
      <c r="K653">
        <v>1100</v>
      </c>
      <c r="L653">
        <v>1700</v>
      </c>
      <c r="M653">
        <v>1301</v>
      </c>
      <c r="P653">
        <v>216</v>
      </c>
      <c r="Q653">
        <v>1</v>
      </c>
      <c r="R653">
        <v>216</v>
      </c>
      <c r="S653">
        <v>45180.443862268519</v>
      </c>
      <c r="T653">
        <v>5500</v>
      </c>
      <c r="U653" t="s">
        <v>1151</v>
      </c>
      <c r="V653" t="s">
        <v>99</v>
      </c>
      <c r="W653" t="s">
        <v>1091</v>
      </c>
      <c r="X653" t="s">
        <v>1091</v>
      </c>
      <c r="AA653">
        <v>57842</v>
      </c>
      <c r="AB653" t="s">
        <v>1223</v>
      </c>
      <c r="AC653">
        <v>45182.087616863428</v>
      </c>
      <c r="AI653">
        <v>62</v>
      </c>
      <c r="AJ653">
        <v>62</v>
      </c>
      <c r="AN653">
        <v>45170</v>
      </c>
      <c r="AO653">
        <v>45199</v>
      </c>
      <c r="AP653" t="s">
        <v>1101</v>
      </c>
    </row>
    <row r="654" spans="1:42" x14ac:dyDescent="0.25">
      <c r="A654">
        <v>2023</v>
      </c>
      <c r="B654">
        <v>9</v>
      </c>
      <c r="C654">
        <v>17</v>
      </c>
      <c r="D654" t="s">
        <v>1088</v>
      </c>
      <c r="E654" t="s">
        <v>282</v>
      </c>
      <c r="F654">
        <v>619845</v>
      </c>
      <c r="G654">
        <v>10330410</v>
      </c>
      <c r="H654" t="s">
        <v>282</v>
      </c>
      <c r="J654">
        <v>53663841</v>
      </c>
      <c r="K654">
        <v>1100</v>
      </c>
      <c r="L654">
        <v>1700</v>
      </c>
      <c r="M654">
        <v>1301</v>
      </c>
      <c r="P654">
        <v>216</v>
      </c>
      <c r="Q654">
        <v>1</v>
      </c>
      <c r="R654">
        <v>216</v>
      </c>
      <c r="S654">
        <v>45180.443964120372</v>
      </c>
      <c r="T654">
        <v>5500</v>
      </c>
      <c r="U654" t="s">
        <v>1151</v>
      </c>
      <c r="V654" t="s">
        <v>99</v>
      </c>
      <c r="W654" t="s">
        <v>1091</v>
      </c>
      <c r="X654" t="s">
        <v>1091</v>
      </c>
      <c r="AA654">
        <v>57842</v>
      </c>
      <c r="AB654" t="s">
        <v>1223</v>
      </c>
      <c r="AC654">
        <v>45182.087616863428</v>
      </c>
      <c r="AI654">
        <v>62</v>
      </c>
      <c r="AJ654">
        <v>62</v>
      </c>
      <c r="AN654">
        <v>45170</v>
      </c>
      <c r="AO654">
        <v>45199</v>
      </c>
      <c r="AP654" t="s">
        <v>1101</v>
      </c>
    </row>
    <row r="655" spans="1:42" x14ac:dyDescent="0.25">
      <c r="A655">
        <v>2023</v>
      </c>
      <c r="B655">
        <v>9</v>
      </c>
      <c r="C655">
        <v>17</v>
      </c>
      <c r="D655" t="s">
        <v>1088</v>
      </c>
      <c r="E655" t="s">
        <v>282</v>
      </c>
      <c r="F655">
        <v>617621</v>
      </c>
      <c r="G655">
        <v>10288556</v>
      </c>
      <c r="H655" t="s">
        <v>282</v>
      </c>
      <c r="J655">
        <v>53674355</v>
      </c>
      <c r="K655">
        <v>1106</v>
      </c>
      <c r="L655">
        <v>1706</v>
      </c>
      <c r="M655">
        <v>1301</v>
      </c>
      <c r="N655">
        <v>53646055</v>
      </c>
      <c r="O655">
        <v>45177.678612696756</v>
      </c>
      <c r="P655">
        <v>216</v>
      </c>
      <c r="Q655">
        <v>1</v>
      </c>
      <c r="R655">
        <v>216</v>
      </c>
      <c r="S655">
        <v>45180.587670486108</v>
      </c>
      <c r="T655">
        <v>5501</v>
      </c>
      <c r="U655" t="s">
        <v>1164</v>
      </c>
      <c r="V655" t="s">
        <v>1165</v>
      </c>
      <c r="AI655">
        <v>62</v>
      </c>
      <c r="AJ655">
        <v>62</v>
      </c>
      <c r="AN655">
        <v>45170</v>
      </c>
      <c r="AO655">
        <v>45199</v>
      </c>
      <c r="AP655" t="s">
        <v>1101</v>
      </c>
    </row>
    <row r="656" spans="1:42" x14ac:dyDescent="0.25">
      <c r="A656">
        <v>2023</v>
      </c>
      <c r="B656">
        <v>9</v>
      </c>
      <c r="C656">
        <v>17</v>
      </c>
      <c r="D656" t="s">
        <v>1088</v>
      </c>
      <c r="E656" t="s">
        <v>282</v>
      </c>
      <c r="F656">
        <v>617621</v>
      </c>
      <c r="G656">
        <v>10288556</v>
      </c>
      <c r="H656" t="s">
        <v>282</v>
      </c>
      <c r="J656">
        <v>53674362</v>
      </c>
      <c r="K656">
        <v>1105</v>
      </c>
      <c r="L656">
        <v>1702</v>
      </c>
      <c r="M656">
        <v>1300</v>
      </c>
      <c r="N656">
        <v>53646055</v>
      </c>
      <c r="O656">
        <v>45177.678612696756</v>
      </c>
      <c r="P656">
        <v>216</v>
      </c>
      <c r="Q656">
        <v>1</v>
      </c>
      <c r="R656">
        <v>-216</v>
      </c>
      <c r="S656">
        <v>45180.587674768518</v>
      </c>
      <c r="T656">
        <v>5511</v>
      </c>
      <c r="U656" t="s">
        <v>1156</v>
      </c>
      <c r="V656" t="s">
        <v>99</v>
      </c>
      <c r="W656" t="s">
        <v>2</v>
      </c>
      <c r="AI656">
        <v>62</v>
      </c>
      <c r="AJ656">
        <v>62</v>
      </c>
      <c r="AN656">
        <v>45170</v>
      </c>
      <c r="AO656">
        <v>45199</v>
      </c>
      <c r="AP656" t="s">
        <v>1101</v>
      </c>
    </row>
    <row r="657" spans="1:42" x14ac:dyDescent="0.25">
      <c r="A657">
        <v>2023</v>
      </c>
      <c r="B657">
        <v>9</v>
      </c>
      <c r="C657">
        <v>17</v>
      </c>
      <c r="D657" t="s">
        <v>1088</v>
      </c>
      <c r="E657" t="s">
        <v>282</v>
      </c>
      <c r="F657">
        <v>617621</v>
      </c>
      <c r="G657">
        <v>10288556</v>
      </c>
      <c r="H657" t="s">
        <v>282</v>
      </c>
      <c r="J657">
        <v>53674363</v>
      </c>
      <c r="K657">
        <v>1100</v>
      </c>
      <c r="L657">
        <v>1706</v>
      </c>
      <c r="M657">
        <v>1301</v>
      </c>
      <c r="P657">
        <v>216</v>
      </c>
      <c r="Q657">
        <v>1</v>
      </c>
      <c r="R657">
        <v>216</v>
      </c>
      <c r="S657">
        <v>45180.587675960647</v>
      </c>
      <c r="T657">
        <v>5500</v>
      </c>
      <c r="U657" t="s">
        <v>1151</v>
      </c>
      <c r="V657" t="s">
        <v>99</v>
      </c>
      <c r="W657" t="s">
        <v>1090</v>
      </c>
      <c r="X657" t="s">
        <v>1090</v>
      </c>
      <c r="AI657">
        <v>62</v>
      </c>
      <c r="AJ657">
        <v>62</v>
      </c>
      <c r="AN657">
        <v>45170</v>
      </c>
      <c r="AO657">
        <v>45199</v>
      </c>
      <c r="AP657" t="s">
        <v>1101</v>
      </c>
    </row>
    <row r="658" spans="1:42" x14ac:dyDescent="0.25">
      <c r="A658">
        <v>2023</v>
      </c>
      <c r="B658">
        <v>9</v>
      </c>
      <c r="C658">
        <v>17</v>
      </c>
      <c r="D658" t="s">
        <v>1088</v>
      </c>
      <c r="E658" t="s">
        <v>282</v>
      </c>
      <c r="F658">
        <v>617621</v>
      </c>
      <c r="G658">
        <v>10288556</v>
      </c>
      <c r="H658" t="s">
        <v>282</v>
      </c>
      <c r="J658">
        <v>53674364</v>
      </c>
      <c r="K658">
        <v>1106</v>
      </c>
      <c r="L658">
        <v>1706</v>
      </c>
      <c r="M658">
        <v>1301</v>
      </c>
      <c r="N658">
        <v>53646061</v>
      </c>
      <c r="O658">
        <v>45177.678787418983</v>
      </c>
      <c r="P658">
        <v>216</v>
      </c>
      <c r="Q658">
        <v>1</v>
      </c>
      <c r="R658">
        <v>216</v>
      </c>
      <c r="S658">
        <v>45180.587678206015</v>
      </c>
      <c r="T658">
        <v>5501</v>
      </c>
      <c r="U658" t="s">
        <v>1164</v>
      </c>
      <c r="V658" t="s">
        <v>1165</v>
      </c>
      <c r="AI658">
        <v>62</v>
      </c>
      <c r="AJ658">
        <v>62</v>
      </c>
      <c r="AN658">
        <v>45170</v>
      </c>
      <c r="AO658">
        <v>45199</v>
      </c>
      <c r="AP658" t="s">
        <v>1101</v>
      </c>
    </row>
    <row r="659" spans="1:42" x14ac:dyDescent="0.25">
      <c r="A659">
        <v>2023</v>
      </c>
      <c r="B659">
        <v>9</v>
      </c>
      <c r="C659">
        <v>17</v>
      </c>
      <c r="D659" t="s">
        <v>1088</v>
      </c>
      <c r="E659" t="s">
        <v>282</v>
      </c>
      <c r="F659">
        <v>617621</v>
      </c>
      <c r="G659">
        <v>10288556</v>
      </c>
      <c r="H659" t="s">
        <v>282</v>
      </c>
      <c r="J659">
        <v>53674365</v>
      </c>
      <c r="K659">
        <v>1105</v>
      </c>
      <c r="L659">
        <v>1702</v>
      </c>
      <c r="M659">
        <v>1300</v>
      </c>
      <c r="N659">
        <v>53646061</v>
      </c>
      <c r="O659">
        <v>45177.678787418983</v>
      </c>
      <c r="P659">
        <v>216</v>
      </c>
      <c r="Q659">
        <v>1</v>
      </c>
      <c r="R659">
        <v>-216</v>
      </c>
      <c r="S659">
        <v>45180.58768109954</v>
      </c>
      <c r="T659">
        <v>5511</v>
      </c>
      <c r="U659" t="s">
        <v>1156</v>
      </c>
      <c r="V659" t="s">
        <v>99</v>
      </c>
      <c r="W659" t="s">
        <v>2</v>
      </c>
      <c r="AI659">
        <v>62</v>
      </c>
      <c r="AJ659">
        <v>62</v>
      </c>
      <c r="AN659">
        <v>45170</v>
      </c>
      <c r="AO659">
        <v>45199</v>
      </c>
      <c r="AP659" t="s">
        <v>1101</v>
      </c>
    </row>
    <row r="660" spans="1:42" x14ac:dyDescent="0.25">
      <c r="A660">
        <v>2023</v>
      </c>
      <c r="B660">
        <v>9</v>
      </c>
      <c r="C660">
        <v>17</v>
      </c>
      <c r="D660" t="s">
        <v>1088</v>
      </c>
      <c r="E660" t="s">
        <v>282</v>
      </c>
      <c r="F660">
        <v>617621</v>
      </c>
      <c r="G660">
        <v>10288556</v>
      </c>
      <c r="H660" t="s">
        <v>282</v>
      </c>
      <c r="J660">
        <v>53674366</v>
      </c>
      <c r="K660">
        <v>1100</v>
      </c>
      <c r="L660">
        <v>1706</v>
      </c>
      <c r="M660">
        <v>1301</v>
      </c>
      <c r="P660">
        <v>216</v>
      </c>
      <c r="Q660">
        <v>1</v>
      </c>
      <c r="R660">
        <v>216</v>
      </c>
      <c r="S660">
        <v>45180.587682372687</v>
      </c>
      <c r="T660">
        <v>5500</v>
      </c>
      <c r="U660" t="s">
        <v>1151</v>
      </c>
      <c r="V660" t="s">
        <v>99</v>
      </c>
      <c r="W660" t="s">
        <v>1090</v>
      </c>
      <c r="X660" t="s">
        <v>1090</v>
      </c>
      <c r="AI660">
        <v>62</v>
      </c>
      <c r="AJ660">
        <v>62</v>
      </c>
      <c r="AN660">
        <v>45170</v>
      </c>
      <c r="AO660">
        <v>45199</v>
      </c>
      <c r="AP660" t="s">
        <v>1101</v>
      </c>
    </row>
    <row r="661" spans="1:42" x14ac:dyDescent="0.25">
      <c r="A661">
        <v>2023</v>
      </c>
      <c r="B661">
        <v>9</v>
      </c>
      <c r="C661">
        <v>17</v>
      </c>
      <c r="D661" t="s">
        <v>1088</v>
      </c>
      <c r="E661" t="s">
        <v>282</v>
      </c>
      <c r="F661">
        <v>617621</v>
      </c>
      <c r="G661">
        <v>10288556</v>
      </c>
      <c r="H661" t="s">
        <v>282</v>
      </c>
      <c r="J661">
        <v>53646055</v>
      </c>
      <c r="K661">
        <v>1100</v>
      </c>
      <c r="L661">
        <v>1706</v>
      </c>
      <c r="M661">
        <v>1304</v>
      </c>
      <c r="P661">
        <v>216</v>
      </c>
      <c r="Q661">
        <v>1</v>
      </c>
      <c r="R661">
        <v>216</v>
      </c>
      <c r="S661">
        <v>45177.678612696756</v>
      </c>
      <c r="T661">
        <v>5500</v>
      </c>
      <c r="U661" t="s">
        <v>1154</v>
      </c>
      <c r="V661" t="s">
        <v>99</v>
      </c>
      <c r="W661" t="s">
        <v>2</v>
      </c>
      <c r="AI661">
        <v>62</v>
      </c>
      <c r="AJ661">
        <v>62</v>
      </c>
      <c r="AN661">
        <v>45170</v>
      </c>
      <c r="AO661">
        <v>45199</v>
      </c>
      <c r="AP661" t="s">
        <v>1101</v>
      </c>
    </row>
    <row r="662" spans="1:42" x14ac:dyDescent="0.25">
      <c r="A662">
        <v>2023</v>
      </c>
      <c r="B662">
        <v>9</v>
      </c>
      <c r="C662">
        <v>17</v>
      </c>
      <c r="D662" t="s">
        <v>1088</v>
      </c>
      <c r="E662" t="s">
        <v>282</v>
      </c>
      <c r="F662">
        <v>617621</v>
      </c>
      <c r="G662">
        <v>10288556</v>
      </c>
      <c r="H662" t="s">
        <v>282</v>
      </c>
      <c r="J662">
        <v>53646061</v>
      </c>
      <c r="K662">
        <v>1100</v>
      </c>
      <c r="L662">
        <v>1706</v>
      </c>
      <c r="M662">
        <v>1304</v>
      </c>
      <c r="P662">
        <v>216</v>
      </c>
      <c r="Q662">
        <v>1</v>
      </c>
      <c r="R662">
        <v>216</v>
      </c>
      <c r="S662">
        <v>45177.678787418983</v>
      </c>
      <c r="T662">
        <v>5500</v>
      </c>
      <c r="U662" t="s">
        <v>1154</v>
      </c>
      <c r="V662" t="s">
        <v>99</v>
      </c>
      <c r="W662" t="s">
        <v>2</v>
      </c>
      <c r="AI662">
        <v>62</v>
      </c>
      <c r="AJ662">
        <v>62</v>
      </c>
      <c r="AN662">
        <v>45170</v>
      </c>
      <c r="AO662">
        <v>45199</v>
      </c>
      <c r="AP662" t="s">
        <v>1101</v>
      </c>
    </row>
    <row r="663" spans="1:42" x14ac:dyDescent="0.25">
      <c r="A663">
        <v>2023</v>
      </c>
      <c r="B663">
        <v>9</v>
      </c>
      <c r="C663">
        <v>17</v>
      </c>
      <c r="D663" t="s">
        <v>1088</v>
      </c>
      <c r="E663" t="s">
        <v>282</v>
      </c>
      <c r="F663">
        <v>619210</v>
      </c>
      <c r="G663">
        <v>10319872</v>
      </c>
      <c r="H663" t="s">
        <v>282</v>
      </c>
      <c r="J663">
        <v>53713237</v>
      </c>
      <c r="K663">
        <v>1100</v>
      </c>
      <c r="L663">
        <v>1700</v>
      </c>
      <c r="M663">
        <v>1301</v>
      </c>
      <c r="P663">
        <v>216</v>
      </c>
      <c r="Q663">
        <v>1</v>
      </c>
      <c r="R663">
        <v>216</v>
      </c>
      <c r="S663">
        <v>45181.557400347221</v>
      </c>
      <c r="T663">
        <v>5500</v>
      </c>
      <c r="U663" t="s">
        <v>1151</v>
      </c>
      <c r="V663" t="s">
        <v>99</v>
      </c>
      <c r="W663" t="s">
        <v>1091</v>
      </c>
      <c r="X663" t="s">
        <v>1091</v>
      </c>
      <c r="AA663">
        <v>57859</v>
      </c>
      <c r="AB663" t="s">
        <v>1223</v>
      </c>
      <c r="AC663">
        <v>45183.08766646991</v>
      </c>
      <c r="AI663">
        <v>62</v>
      </c>
      <c r="AJ663">
        <v>62</v>
      </c>
      <c r="AN663">
        <v>45170</v>
      </c>
      <c r="AO663">
        <v>45199</v>
      </c>
      <c r="AP663" t="s">
        <v>1101</v>
      </c>
    </row>
    <row r="664" spans="1:42" x14ac:dyDescent="0.25">
      <c r="A664">
        <v>2023</v>
      </c>
      <c r="B664">
        <v>9</v>
      </c>
      <c r="C664">
        <v>17</v>
      </c>
      <c r="D664" t="s">
        <v>1088</v>
      </c>
      <c r="E664" t="s">
        <v>282</v>
      </c>
      <c r="F664">
        <v>619210</v>
      </c>
      <c r="G664">
        <v>10319872</v>
      </c>
      <c r="H664" t="s">
        <v>282</v>
      </c>
      <c r="J664">
        <v>53713245</v>
      </c>
      <c r="K664">
        <v>1100</v>
      </c>
      <c r="L664">
        <v>1700</v>
      </c>
      <c r="M664">
        <v>1301</v>
      </c>
      <c r="P664">
        <v>216</v>
      </c>
      <c r="Q664">
        <v>1</v>
      </c>
      <c r="R664">
        <v>216</v>
      </c>
      <c r="S664">
        <v>45181.557490706022</v>
      </c>
      <c r="T664">
        <v>5500</v>
      </c>
      <c r="U664" t="s">
        <v>1151</v>
      </c>
      <c r="V664" t="s">
        <v>99</v>
      </c>
      <c r="W664" t="s">
        <v>1091</v>
      </c>
      <c r="X664" t="s">
        <v>1091</v>
      </c>
      <c r="AA664">
        <v>57859</v>
      </c>
      <c r="AB664" t="s">
        <v>1223</v>
      </c>
      <c r="AC664">
        <v>45183.08766646991</v>
      </c>
      <c r="AI664">
        <v>62</v>
      </c>
      <c r="AJ664">
        <v>62</v>
      </c>
      <c r="AN664">
        <v>45170</v>
      </c>
      <c r="AO664">
        <v>45199</v>
      </c>
      <c r="AP664" t="s">
        <v>1101</v>
      </c>
    </row>
    <row r="665" spans="1:42" x14ac:dyDescent="0.25">
      <c r="A665">
        <v>2023</v>
      </c>
      <c r="B665">
        <v>9</v>
      </c>
      <c r="C665">
        <v>17</v>
      </c>
      <c r="D665" t="s">
        <v>1088</v>
      </c>
      <c r="E665" t="s">
        <v>282</v>
      </c>
      <c r="F665">
        <v>341532</v>
      </c>
      <c r="G665">
        <v>10366925</v>
      </c>
      <c r="H665" t="s">
        <v>282</v>
      </c>
      <c r="J665">
        <v>53779715</v>
      </c>
      <c r="K665">
        <v>1104</v>
      </c>
      <c r="L665">
        <v>1702</v>
      </c>
      <c r="M665">
        <v>1304</v>
      </c>
      <c r="N665">
        <v>53757591</v>
      </c>
      <c r="O665">
        <v>45182.472350694443</v>
      </c>
      <c r="P665">
        <v>150</v>
      </c>
      <c r="Q665">
        <v>1</v>
      </c>
      <c r="R665">
        <v>150</v>
      </c>
      <c r="S665">
        <v>45183.067371909725</v>
      </c>
      <c r="T665">
        <v>5509</v>
      </c>
      <c r="U665" t="s">
        <v>1152</v>
      </c>
      <c r="V665" t="s">
        <v>1153</v>
      </c>
      <c r="W665" t="s">
        <v>2</v>
      </c>
      <c r="AI665">
        <v>62</v>
      </c>
      <c r="AJ665">
        <v>62</v>
      </c>
      <c r="AN665">
        <v>45170</v>
      </c>
      <c r="AO665">
        <v>45199</v>
      </c>
      <c r="AP665" t="s">
        <v>1101</v>
      </c>
    </row>
    <row r="666" spans="1:42" x14ac:dyDescent="0.25">
      <c r="A666">
        <v>2023</v>
      </c>
      <c r="B666">
        <v>9</v>
      </c>
      <c r="C666">
        <v>17</v>
      </c>
      <c r="D666" t="s">
        <v>1088</v>
      </c>
      <c r="E666" t="s">
        <v>282</v>
      </c>
      <c r="F666">
        <v>341532</v>
      </c>
      <c r="G666">
        <v>10366925</v>
      </c>
      <c r="H666" t="s">
        <v>282</v>
      </c>
      <c r="J666">
        <v>53779716</v>
      </c>
      <c r="K666">
        <v>1104</v>
      </c>
      <c r="L666">
        <v>1702</v>
      </c>
      <c r="M666">
        <v>1304</v>
      </c>
      <c r="N666">
        <v>53757593</v>
      </c>
      <c r="O666">
        <v>45182.472477002317</v>
      </c>
      <c r="P666">
        <v>150</v>
      </c>
      <c r="Q666">
        <v>1</v>
      </c>
      <c r="R666">
        <v>150</v>
      </c>
      <c r="S666">
        <v>45183.067371909725</v>
      </c>
      <c r="T666">
        <v>5509</v>
      </c>
      <c r="U666" t="s">
        <v>1152</v>
      </c>
      <c r="V666" t="s">
        <v>1153</v>
      </c>
      <c r="W666" t="s">
        <v>2</v>
      </c>
      <c r="AI666">
        <v>62</v>
      </c>
      <c r="AJ666">
        <v>62</v>
      </c>
      <c r="AN666">
        <v>45170</v>
      </c>
      <c r="AO666">
        <v>45199</v>
      </c>
      <c r="AP666" t="s">
        <v>1101</v>
      </c>
    </row>
    <row r="667" spans="1:42" x14ac:dyDescent="0.25">
      <c r="A667">
        <v>2023</v>
      </c>
      <c r="B667">
        <v>9</v>
      </c>
      <c r="C667">
        <v>17</v>
      </c>
      <c r="D667" t="s">
        <v>1088</v>
      </c>
      <c r="E667" t="s">
        <v>282</v>
      </c>
      <c r="F667">
        <v>341532</v>
      </c>
      <c r="G667">
        <v>10366925</v>
      </c>
      <c r="H667" t="s">
        <v>282</v>
      </c>
      <c r="J667">
        <v>53779717</v>
      </c>
      <c r="K667">
        <v>1104</v>
      </c>
      <c r="L667">
        <v>1702</v>
      </c>
      <c r="M667">
        <v>1304</v>
      </c>
      <c r="N667">
        <v>53757601</v>
      </c>
      <c r="O667">
        <v>45182.47253796296</v>
      </c>
      <c r="P667">
        <v>18</v>
      </c>
      <c r="Q667">
        <v>1</v>
      </c>
      <c r="R667">
        <v>18</v>
      </c>
      <c r="S667">
        <v>45183.067371909725</v>
      </c>
      <c r="T667">
        <v>5509</v>
      </c>
      <c r="U667" t="s">
        <v>1152</v>
      </c>
      <c r="V667" t="s">
        <v>1153</v>
      </c>
      <c r="W667" t="s">
        <v>2</v>
      </c>
      <c r="AI667">
        <v>62</v>
      </c>
      <c r="AJ667">
        <v>62</v>
      </c>
      <c r="AN667">
        <v>45170</v>
      </c>
      <c r="AO667">
        <v>45199</v>
      </c>
      <c r="AP667" t="s">
        <v>1101</v>
      </c>
    </row>
    <row r="668" spans="1:42" x14ac:dyDescent="0.25">
      <c r="A668">
        <v>2023</v>
      </c>
      <c r="B668">
        <v>9</v>
      </c>
      <c r="C668">
        <v>17</v>
      </c>
      <c r="D668" t="s">
        <v>1088</v>
      </c>
      <c r="E668" t="s">
        <v>282</v>
      </c>
      <c r="F668">
        <v>488093</v>
      </c>
      <c r="G668">
        <v>10366802</v>
      </c>
      <c r="H668" t="s">
        <v>282</v>
      </c>
      <c r="J668">
        <v>53779719</v>
      </c>
      <c r="K668">
        <v>1104</v>
      </c>
      <c r="L668">
        <v>1702</v>
      </c>
      <c r="M668">
        <v>1304</v>
      </c>
      <c r="N668">
        <v>53756873</v>
      </c>
      <c r="O668">
        <v>45182.466092939816</v>
      </c>
      <c r="P668">
        <v>120</v>
      </c>
      <c r="Q668">
        <v>1</v>
      </c>
      <c r="R668">
        <v>120</v>
      </c>
      <c r="S668">
        <v>45183.067371909725</v>
      </c>
      <c r="T668">
        <v>5509</v>
      </c>
      <c r="U668" t="s">
        <v>1152</v>
      </c>
      <c r="V668" t="s">
        <v>1153</v>
      </c>
      <c r="W668" t="s">
        <v>2</v>
      </c>
      <c r="AI668">
        <v>62</v>
      </c>
      <c r="AJ668">
        <v>62</v>
      </c>
      <c r="AN668">
        <v>45170</v>
      </c>
      <c r="AO668">
        <v>45199</v>
      </c>
      <c r="AP668" t="s">
        <v>1101</v>
      </c>
    </row>
    <row r="669" spans="1:42" x14ac:dyDescent="0.25">
      <c r="A669">
        <v>2023</v>
      </c>
      <c r="B669">
        <v>9</v>
      </c>
      <c r="C669">
        <v>17</v>
      </c>
      <c r="D669" t="s">
        <v>1088</v>
      </c>
      <c r="E669" t="s">
        <v>282</v>
      </c>
      <c r="F669">
        <v>488093</v>
      </c>
      <c r="G669">
        <v>10366802</v>
      </c>
      <c r="H669" t="s">
        <v>282</v>
      </c>
      <c r="J669">
        <v>53779720</v>
      </c>
      <c r="K669">
        <v>1104</v>
      </c>
      <c r="L669">
        <v>1702</v>
      </c>
      <c r="M669">
        <v>1304</v>
      </c>
      <c r="N669">
        <v>53756881</v>
      </c>
      <c r="O669">
        <v>45182.466325613423</v>
      </c>
      <c r="P669">
        <v>120</v>
      </c>
      <c r="Q669">
        <v>1</v>
      </c>
      <c r="R669">
        <v>120</v>
      </c>
      <c r="S669">
        <v>45183.067371909725</v>
      </c>
      <c r="T669">
        <v>5509</v>
      </c>
      <c r="U669" t="s">
        <v>1152</v>
      </c>
      <c r="V669" t="s">
        <v>1153</v>
      </c>
      <c r="W669" t="s">
        <v>2</v>
      </c>
      <c r="AI669">
        <v>62</v>
      </c>
      <c r="AJ669">
        <v>62</v>
      </c>
      <c r="AN669">
        <v>45170</v>
      </c>
      <c r="AO669">
        <v>45199</v>
      </c>
      <c r="AP669" t="s">
        <v>1101</v>
      </c>
    </row>
    <row r="670" spans="1:42" x14ac:dyDescent="0.25">
      <c r="A670">
        <v>2023</v>
      </c>
      <c r="B670">
        <v>9</v>
      </c>
      <c r="C670">
        <v>17</v>
      </c>
      <c r="D670" t="s">
        <v>1088</v>
      </c>
      <c r="E670" t="s">
        <v>282</v>
      </c>
      <c r="F670">
        <v>488093</v>
      </c>
      <c r="G670">
        <v>10366802</v>
      </c>
      <c r="H670" t="s">
        <v>282</v>
      </c>
      <c r="J670">
        <v>53779721</v>
      </c>
      <c r="K670">
        <v>1104</v>
      </c>
      <c r="L670">
        <v>1702</v>
      </c>
      <c r="M670">
        <v>1304</v>
      </c>
      <c r="N670">
        <v>53756884</v>
      </c>
      <c r="O670">
        <v>45182.46642271991</v>
      </c>
      <c r="P670">
        <v>14.4</v>
      </c>
      <c r="Q670">
        <v>1</v>
      </c>
      <c r="R670">
        <v>14.4</v>
      </c>
      <c r="S670">
        <v>45183.067371909725</v>
      </c>
      <c r="T670">
        <v>5509</v>
      </c>
      <c r="U670" t="s">
        <v>1152</v>
      </c>
      <c r="V670" t="s">
        <v>1153</v>
      </c>
      <c r="W670" t="s">
        <v>2</v>
      </c>
      <c r="AI670">
        <v>62</v>
      </c>
      <c r="AJ670">
        <v>62</v>
      </c>
      <c r="AN670">
        <v>45170</v>
      </c>
      <c r="AO670">
        <v>45199</v>
      </c>
      <c r="AP670" t="s">
        <v>1101</v>
      </c>
    </row>
    <row r="671" spans="1:42" x14ac:dyDescent="0.25">
      <c r="A671">
        <v>2023</v>
      </c>
      <c r="B671">
        <v>9</v>
      </c>
      <c r="C671">
        <v>17</v>
      </c>
      <c r="D671" t="s">
        <v>1088</v>
      </c>
      <c r="E671" t="s">
        <v>282</v>
      </c>
      <c r="F671">
        <v>488093</v>
      </c>
      <c r="G671">
        <v>10366802</v>
      </c>
      <c r="H671" t="s">
        <v>282</v>
      </c>
      <c r="J671">
        <v>53779722</v>
      </c>
      <c r="K671">
        <v>1104</v>
      </c>
      <c r="L671">
        <v>1702</v>
      </c>
      <c r="M671">
        <v>1304</v>
      </c>
      <c r="N671">
        <v>53756885</v>
      </c>
      <c r="O671">
        <v>45182.466523229166</v>
      </c>
      <c r="P671">
        <v>8.5</v>
      </c>
      <c r="Q671">
        <v>1</v>
      </c>
      <c r="R671">
        <v>8.5</v>
      </c>
      <c r="S671">
        <v>45183.067371909725</v>
      </c>
      <c r="T671">
        <v>5509</v>
      </c>
      <c r="U671" t="s">
        <v>1152</v>
      </c>
      <c r="V671" t="s">
        <v>1153</v>
      </c>
      <c r="W671" t="s">
        <v>2</v>
      </c>
      <c r="AI671">
        <v>62</v>
      </c>
      <c r="AJ671">
        <v>62</v>
      </c>
      <c r="AN671">
        <v>45170</v>
      </c>
      <c r="AO671">
        <v>45199</v>
      </c>
      <c r="AP671" t="s">
        <v>1101</v>
      </c>
    </row>
    <row r="672" spans="1:42" x14ac:dyDescent="0.25">
      <c r="A672">
        <v>2023</v>
      </c>
      <c r="B672">
        <v>9</v>
      </c>
      <c r="C672">
        <v>17</v>
      </c>
      <c r="D672" t="s">
        <v>1088</v>
      </c>
      <c r="E672" t="s">
        <v>282</v>
      </c>
      <c r="F672">
        <v>496939</v>
      </c>
      <c r="G672">
        <v>10363517</v>
      </c>
      <c r="H672" t="s">
        <v>282</v>
      </c>
      <c r="J672">
        <v>53790660</v>
      </c>
      <c r="K672">
        <v>1100</v>
      </c>
      <c r="L672">
        <v>1700</v>
      </c>
      <c r="M672">
        <v>1304</v>
      </c>
      <c r="P672">
        <v>33</v>
      </c>
      <c r="Q672">
        <v>1</v>
      </c>
      <c r="R672">
        <v>33</v>
      </c>
      <c r="S672">
        <v>45183.418115393521</v>
      </c>
      <c r="T672">
        <v>5500</v>
      </c>
      <c r="U672" t="s">
        <v>1154</v>
      </c>
      <c r="V672" t="s">
        <v>99</v>
      </c>
      <c r="W672" t="s">
        <v>2</v>
      </c>
      <c r="AI672">
        <v>62</v>
      </c>
      <c r="AJ672">
        <v>62</v>
      </c>
      <c r="AN672">
        <v>45170</v>
      </c>
      <c r="AO672">
        <v>45199</v>
      </c>
      <c r="AP672" t="s">
        <v>1101</v>
      </c>
    </row>
    <row r="673" spans="1:42" x14ac:dyDescent="0.25">
      <c r="A673">
        <v>2023</v>
      </c>
      <c r="B673">
        <v>9</v>
      </c>
      <c r="C673">
        <v>17</v>
      </c>
      <c r="D673" t="s">
        <v>1088</v>
      </c>
      <c r="E673" t="s">
        <v>282</v>
      </c>
      <c r="F673">
        <v>496939</v>
      </c>
      <c r="G673">
        <v>10363517</v>
      </c>
      <c r="H673" t="s">
        <v>282</v>
      </c>
      <c r="J673">
        <v>53790669</v>
      </c>
      <c r="K673">
        <v>1100</v>
      </c>
      <c r="L673">
        <v>1700</v>
      </c>
      <c r="M673">
        <v>1304</v>
      </c>
      <c r="P673">
        <v>33</v>
      </c>
      <c r="Q673">
        <v>1</v>
      </c>
      <c r="R673">
        <v>33</v>
      </c>
      <c r="S673">
        <v>45183.418267395835</v>
      </c>
      <c r="T673">
        <v>5500</v>
      </c>
      <c r="U673" t="s">
        <v>1154</v>
      </c>
      <c r="V673" t="s">
        <v>99</v>
      </c>
      <c r="W673" t="s">
        <v>2</v>
      </c>
      <c r="AI673">
        <v>62</v>
      </c>
      <c r="AJ673">
        <v>62</v>
      </c>
      <c r="AN673">
        <v>45170</v>
      </c>
      <c r="AO673">
        <v>45199</v>
      </c>
      <c r="AP673" t="s">
        <v>1101</v>
      </c>
    </row>
    <row r="674" spans="1:42" x14ac:dyDescent="0.25">
      <c r="A674">
        <v>2023</v>
      </c>
      <c r="B674">
        <v>9</v>
      </c>
      <c r="C674">
        <v>17</v>
      </c>
      <c r="D674" t="s">
        <v>1088</v>
      </c>
      <c r="E674" t="s">
        <v>282</v>
      </c>
      <c r="F674">
        <v>63218</v>
      </c>
      <c r="G674">
        <v>10286668</v>
      </c>
      <c r="H674" t="s">
        <v>282</v>
      </c>
      <c r="J674">
        <v>53864456</v>
      </c>
      <c r="K674">
        <v>1104</v>
      </c>
      <c r="L674">
        <v>1702</v>
      </c>
      <c r="M674">
        <v>1304</v>
      </c>
      <c r="N674">
        <v>53250907</v>
      </c>
      <c r="O674">
        <v>45166.539809062502</v>
      </c>
      <c r="P674">
        <v>150</v>
      </c>
      <c r="Q674">
        <v>1</v>
      </c>
      <c r="R674">
        <v>150</v>
      </c>
      <c r="S674">
        <v>45185.067373877311</v>
      </c>
      <c r="T674">
        <v>5509</v>
      </c>
      <c r="U674" t="s">
        <v>1152</v>
      </c>
      <c r="V674" t="s">
        <v>1153</v>
      </c>
      <c r="W674" t="s">
        <v>2</v>
      </c>
      <c r="AI674">
        <v>62</v>
      </c>
      <c r="AJ674">
        <v>62</v>
      </c>
      <c r="AN674">
        <v>45170</v>
      </c>
      <c r="AO674">
        <v>45199</v>
      </c>
      <c r="AP674" t="s">
        <v>1101</v>
      </c>
    </row>
    <row r="675" spans="1:42" x14ac:dyDescent="0.25">
      <c r="A675">
        <v>2023</v>
      </c>
      <c r="B675">
        <v>9</v>
      </c>
      <c r="C675">
        <v>17</v>
      </c>
      <c r="D675" t="s">
        <v>1088</v>
      </c>
      <c r="E675" t="s">
        <v>282</v>
      </c>
      <c r="F675">
        <v>63218</v>
      </c>
      <c r="G675">
        <v>10286668</v>
      </c>
      <c r="H675" t="s">
        <v>282</v>
      </c>
      <c r="J675">
        <v>53864457</v>
      </c>
      <c r="K675">
        <v>1104</v>
      </c>
      <c r="L675">
        <v>1702</v>
      </c>
      <c r="M675">
        <v>1304</v>
      </c>
      <c r="N675">
        <v>53250968</v>
      </c>
      <c r="O675">
        <v>45166.539934293978</v>
      </c>
      <c r="P675">
        <v>150</v>
      </c>
      <c r="Q675">
        <v>1</v>
      </c>
      <c r="R675">
        <v>150</v>
      </c>
      <c r="S675">
        <v>45185.067373877311</v>
      </c>
      <c r="T675">
        <v>5509</v>
      </c>
      <c r="U675" t="s">
        <v>1152</v>
      </c>
      <c r="V675" t="s">
        <v>1153</v>
      </c>
      <c r="W675" t="s">
        <v>2</v>
      </c>
      <c r="AI675">
        <v>62</v>
      </c>
      <c r="AJ675">
        <v>62</v>
      </c>
      <c r="AN675">
        <v>45170</v>
      </c>
      <c r="AO675">
        <v>45199</v>
      </c>
      <c r="AP675" t="s">
        <v>1101</v>
      </c>
    </row>
    <row r="676" spans="1:42" x14ac:dyDescent="0.25">
      <c r="A676">
        <v>2023</v>
      </c>
      <c r="B676">
        <v>9</v>
      </c>
      <c r="C676">
        <v>17</v>
      </c>
      <c r="D676" t="s">
        <v>1088</v>
      </c>
      <c r="E676" t="s">
        <v>282</v>
      </c>
      <c r="F676">
        <v>63218</v>
      </c>
      <c r="G676">
        <v>10286668</v>
      </c>
      <c r="H676" t="s">
        <v>282</v>
      </c>
      <c r="J676">
        <v>53864458</v>
      </c>
      <c r="K676">
        <v>1104</v>
      </c>
      <c r="L676">
        <v>1702</v>
      </c>
      <c r="M676">
        <v>1304</v>
      </c>
      <c r="N676">
        <v>53250969</v>
      </c>
      <c r="O676">
        <v>45166.540097800927</v>
      </c>
      <c r="P676">
        <v>18</v>
      </c>
      <c r="Q676">
        <v>1</v>
      </c>
      <c r="R676">
        <v>18</v>
      </c>
      <c r="S676">
        <v>45185.067373877311</v>
      </c>
      <c r="T676">
        <v>5509</v>
      </c>
      <c r="U676" t="s">
        <v>1152</v>
      </c>
      <c r="V676" t="s">
        <v>1153</v>
      </c>
      <c r="W676" t="s">
        <v>2</v>
      </c>
      <c r="AI676">
        <v>62</v>
      </c>
      <c r="AJ676">
        <v>62</v>
      </c>
      <c r="AN676">
        <v>45170</v>
      </c>
      <c r="AO676">
        <v>45199</v>
      </c>
      <c r="AP676" t="s">
        <v>1101</v>
      </c>
    </row>
    <row r="677" spans="1:42" x14ac:dyDescent="0.25">
      <c r="A677">
        <v>2023</v>
      </c>
      <c r="B677">
        <v>9</v>
      </c>
      <c r="C677">
        <v>17</v>
      </c>
      <c r="D677" t="s">
        <v>1088</v>
      </c>
      <c r="E677" t="s">
        <v>282</v>
      </c>
      <c r="F677">
        <v>425072</v>
      </c>
      <c r="G677">
        <v>10330803</v>
      </c>
      <c r="H677" t="s">
        <v>282</v>
      </c>
      <c r="J677">
        <v>53859247</v>
      </c>
      <c r="K677">
        <v>1100</v>
      </c>
      <c r="L677">
        <v>1700</v>
      </c>
      <c r="M677">
        <v>1304</v>
      </c>
      <c r="P677">
        <v>216</v>
      </c>
      <c r="Q677">
        <v>1</v>
      </c>
      <c r="R677">
        <v>216</v>
      </c>
      <c r="S677">
        <v>45184.596739699075</v>
      </c>
      <c r="T677">
        <v>5500</v>
      </c>
      <c r="U677" t="s">
        <v>1154</v>
      </c>
      <c r="V677" t="s">
        <v>99</v>
      </c>
      <c r="W677" t="s">
        <v>2</v>
      </c>
      <c r="AI677">
        <v>62</v>
      </c>
      <c r="AJ677">
        <v>62</v>
      </c>
      <c r="AN677">
        <v>45170</v>
      </c>
      <c r="AO677">
        <v>45199</v>
      </c>
      <c r="AP677" t="s">
        <v>1101</v>
      </c>
    </row>
    <row r="678" spans="1:42" x14ac:dyDescent="0.25">
      <c r="A678">
        <v>2023</v>
      </c>
      <c r="B678">
        <v>9</v>
      </c>
      <c r="C678">
        <v>17</v>
      </c>
      <c r="D678" t="s">
        <v>1088</v>
      </c>
      <c r="E678" t="s">
        <v>282</v>
      </c>
      <c r="F678">
        <v>425072</v>
      </c>
      <c r="G678">
        <v>10330803</v>
      </c>
      <c r="H678" t="s">
        <v>282</v>
      </c>
      <c r="J678">
        <v>53859248</v>
      </c>
      <c r="K678">
        <v>1100</v>
      </c>
      <c r="L678">
        <v>1700</v>
      </c>
      <c r="M678">
        <v>1304</v>
      </c>
      <c r="P678">
        <v>216</v>
      </c>
      <c r="Q678">
        <v>1</v>
      </c>
      <c r="R678">
        <v>216</v>
      </c>
      <c r="S678">
        <v>45184.596843900465</v>
      </c>
      <c r="T678">
        <v>5500</v>
      </c>
      <c r="U678" t="s">
        <v>1154</v>
      </c>
      <c r="V678" t="s">
        <v>99</v>
      </c>
      <c r="W678" t="s">
        <v>2</v>
      </c>
      <c r="AI678">
        <v>62</v>
      </c>
      <c r="AJ678">
        <v>62</v>
      </c>
      <c r="AN678">
        <v>45170</v>
      </c>
      <c r="AO678">
        <v>45199</v>
      </c>
      <c r="AP678" t="s">
        <v>1101</v>
      </c>
    </row>
    <row r="679" spans="1:42" x14ac:dyDescent="0.25">
      <c r="A679">
        <v>2023</v>
      </c>
      <c r="B679">
        <v>9</v>
      </c>
      <c r="C679">
        <v>17</v>
      </c>
      <c r="D679" t="s">
        <v>1088</v>
      </c>
      <c r="E679" t="s">
        <v>282</v>
      </c>
      <c r="F679">
        <v>425072</v>
      </c>
      <c r="G679">
        <v>10330803</v>
      </c>
      <c r="H679" t="s">
        <v>282</v>
      </c>
      <c r="J679">
        <v>53859249</v>
      </c>
      <c r="K679">
        <v>1100</v>
      </c>
      <c r="L679">
        <v>1700</v>
      </c>
      <c r="M679">
        <v>1304</v>
      </c>
      <c r="P679">
        <v>18</v>
      </c>
      <c r="Q679">
        <v>1</v>
      </c>
      <c r="R679">
        <v>18</v>
      </c>
      <c r="S679">
        <v>45184.596897685187</v>
      </c>
      <c r="T679">
        <v>5500</v>
      </c>
      <c r="U679" t="s">
        <v>1154</v>
      </c>
      <c r="V679" t="s">
        <v>99</v>
      </c>
      <c r="W679" t="s">
        <v>2</v>
      </c>
      <c r="AI679">
        <v>62</v>
      </c>
      <c r="AJ679">
        <v>62</v>
      </c>
      <c r="AN679">
        <v>45170</v>
      </c>
      <c r="AO679">
        <v>45199</v>
      </c>
      <c r="AP679" t="s">
        <v>1101</v>
      </c>
    </row>
    <row r="680" spans="1:42" x14ac:dyDescent="0.25">
      <c r="A680">
        <v>2023</v>
      </c>
      <c r="B680">
        <v>9</v>
      </c>
      <c r="C680">
        <v>17</v>
      </c>
      <c r="D680" t="s">
        <v>1088</v>
      </c>
      <c r="E680" t="s">
        <v>282</v>
      </c>
      <c r="F680">
        <v>322414</v>
      </c>
      <c r="G680">
        <v>10267106</v>
      </c>
      <c r="H680" t="s">
        <v>282</v>
      </c>
      <c r="J680">
        <v>53924432</v>
      </c>
      <c r="K680">
        <v>1101</v>
      </c>
      <c r="L680">
        <v>1702</v>
      </c>
      <c r="M680">
        <v>1301</v>
      </c>
      <c r="N680">
        <v>53118767</v>
      </c>
      <c r="O680">
        <v>45161.583938460652</v>
      </c>
      <c r="P680">
        <v>109.5</v>
      </c>
      <c r="Q680">
        <v>1</v>
      </c>
      <c r="R680">
        <v>109.5</v>
      </c>
      <c r="S680">
        <v>45188.375305706017</v>
      </c>
      <c r="T680">
        <v>5502</v>
      </c>
      <c r="U680" t="s">
        <v>1217</v>
      </c>
      <c r="V680" t="s">
        <v>1155</v>
      </c>
      <c r="W680" t="s">
        <v>1031</v>
      </c>
      <c r="X680" t="s">
        <v>1031</v>
      </c>
      <c r="AD680">
        <v>829957</v>
      </c>
      <c r="AE680" t="s">
        <v>1291</v>
      </c>
      <c r="AF680">
        <v>45188.375305358793</v>
      </c>
      <c r="AI680">
        <v>62</v>
      </c>
      <c r="AJ680">
        <v>62</v>
      </c>
      <c r="AN680">
        <v>45170</v>
      </c>
      <c r="AO680">
        <v>45199</v>
      </c>
      <c r="AP680" t="s">
        <v>1101</v>
      </c>
    </row>
    <row r="681" spans="1:42" x14ac:dyDescent="0.25">
      <c r="A681">
        <v>2023</v>
      </c>
      <c r="B681">
        <v>9</v>
      </c>
      <c r="C681">
        <v>17</v>
      </c>
      <c r="D681" t="s">
        <v>1088</v>
      </c>
      <c r="E681" t="s">
        <v>282</v>
      </c>
      <c r="F681">
        <v>322414</v>
      </c>
      <c r="G681">
        <v>10267106</v>
      </c>
      <c r="H681" t="s">
        <v>282</v>
      </c>
      <c r="J681">
        <v>53924433</v>
      </c>
      <c r="K681">
        <v>1101</v>
      </c>
      <c r="L681">
        <v>1702</v>
      </c>
      <c r="M681">
        <v>1301</v>
      </c>
      <c r="N681">
        <v>53118768</v>
      </c>
      <c r="O681">
        <v>45161.584045601849</v>
      </c>
      <c r="P681">
        <v>109.5</v>
      </c>
      <c r="Q681">
        <v>1</v>
      </c>
      <c r="R681">
        <v>109.5</v>
      </c>
      <c r="S681">
        <v>45188.375305706017</v>
      </c>
      <c r="T681">
        <v>5502</v>
      </c>
      <c r="U681" t="s">
        <v>1217</v>
      </c>
      <c r="V681" t="s">
        <v>1155</v>
      </c>
      <c r="W681" t="s">
        <v>1031</v>
      </c>
      <c r="X681" t="s">
        <v>1031</v>
      </c>
      <c r="AD681">
        <v>829957</v>
      </c>
      <c r="AE681" t="s">
        <v>1291</v>
      </c>
      <c r="AF681">
        <v>45188.375305358793</v>
      </c>
      <c r="AI681">
        <v>62</v>
      </c>
      <c r="AJ681">
        <v>62</v>
      </c>
      <c r="AN681">
        <v>45170</v>
      </c>
      <c r="AO681">
        <v>45199</v>
      </c>
      <c r="AP681" t="s">
        <v>1101</v>
      </c>
    </row>
    <row r="682" spans="1:42" x14ac:dyDescent="0.25">
      <c r="A682">
        <v>2023</v>
      </c>
      <c r="B682">
        <v>9</v>
      </c>
      <c r="C682">
        <v>17</v>
      </c>
      <c r="D682" t="s">
        <v>1088</v>
      </c>
      <c r="E682" t="s">
        <v>282</v>
      </c>
      <c r="F682">
        <v>322414</v>
      </c>
      <c r="G682">
        <v>10267106</v>
      </c>
      <c r="H682" t="s">
        <v>282</v>
      </c>
      <c r="J682">
        <v>53924434</v>
      </c>
      <c r="K682">
        <v>1101</v>
      </c>
      <c r="L682">
        <v>1702</v>
      </c>
      <c r="M682">
        <v>1301</v>
      </c>
      <c r="N682">
        <v>53118780</v>
      </c>
      <c r="O682">
        <v>45161.584124340276</v>
      </c>
      <c r="P682">
        <v>15</v>
      </c>
      <c r="Q682">
        <v>1</v>
      </c>
      <c r="R682">
        <v>15</v>
      </c>
      <c r="S682">
        <v>45188.375305706017</v>
      </c>
      <c r="T682">
        <v>5502</v>
      </c>
      <c r="U682" t="s">
        <v>1217</v>
      </c>
      <c r="V682" t="s">
        <v>1155</v>
      </c>
      <c r="W682" t="s">
        <v>1031</v>
      </c>
      <c r="X682" t="s">
        <v>1031</v>
      </c>
      <c r="AD682">
        <v>829957</v>
      </c>
      <c r="AE682" t="s">
        <v>1291</v>
      </c>
      <c r="AF682">
        <v>45188.375305358793</v>
      </c>
      <c r="AI682">
        <v>62</v>
      </c>
      <c r="AJ682">
        <v>62</v>
      </c>
      <c r="AN682">
        <v>45170</v>
      </c>
      <c r="AO682">
        <v>45199</v>
      </c>
      <c r="AP682" t="s">
        <v>1101</v>
      </c>
    </row>
    <row r="683" spans="1:42" x14ac:dyDescent="0.25">
      <c r="A683">
        <v>2023</v>
      </c>
      <c r="B683">
        <v>9</v>
      </c>
      <c r="C683">
        <v>17</v>
      </c>
      <c r="D683" t="s">
        <v>1088</v>
      </c>
      <c r="E683" t="s">
        <v>282</v>
      </c>
      <c r="F683">
        <v>623018</v>
      </c>
      <c r="G683">
        <v>10389922</v>
      </c>
      <c r="H683" t="s">
        <v>282</v>
      </c>
      <c r="J683">
        <v>53908290</v>
      </c>
      <c r="K683">
        <v>1100</v>
      </c>
      <c r="L683">
        <v>1700</v>
      </c>
      <c r="M683">
        <v>1301</v>
      </c>
      <c r="P683">
        <v>8</v>
      </c>
      <c r="Q683">
        <v>2</v>
      </c>
      <c r="R683">
        <v>16</v>
      </c>
      <c r="S683">
        <v>45187.628866782405</v>
      </c>
      <c r="T683">
        <v>5500</v>
      </c>
      <c r="U683" t="s">
        <v>1151</v>
      </c>
      <c r="V683" t="s">
        <v>99</v>
      </c>
      <c r="W683" t="s">
        <v>1031</v>
      </c>
      <c r="X683" t="s">
        <v>1031</v>
      </c>
      <c r="AA683">
        <v>57924</v>
      </c>
      <c r="AB683" t="s">
        <v>1223</v>
      </c>
      <c r="AC683">
        <v>45189.087667210646</v>
      </c>
      <c r="AI683">
        <v>62</v>
      </c>
      <c r="AJ683">
        <v>62</v>
      </c>
      <c r="AN683">
        <v>45170</v>
      </c>
      <c r="AO683">
        <v>45199</v>
      </c>
      <c r="AP683" t="s">
        <v>1101</v>
      </c>
    </row>
    <row r="684" spans="1:42" x14ac:dyDescent="0.25">
      <c r="A684">
        <v>2023</v>
      </c>
      <c r="B684">
        <v>9</v>
      </c>
      <c r="C684">
        <v>17</v>
      </c>
      <c r="D684" t="s">
        <v>1088</v>
      </c>
      <c r="E684" t="s">
        <v>282</v>
      </c>
      <c r="F684">
        <v>623018</v>
      </c>
      <c r="G684">
        <v>10389922</v>
      </c>
      <c r="H684" t="s">
        <v>282</v>
      </c>
      <c r="J684">
        <v>53908295</v>
      </c>
      <c r="K684">
        <v>1100</v>
      </c>
      <c r="L684">
        <v>1700</v>
      </c>
      <c r="M684">
        <v>1301</v>
      </c>
      <c r="P684">
        <v>5</v>
      </c>
      <c r="Q684">
        <v>2</v>
      </c>
      <c r="R684">
        <v>10</v>
      </c>
      <c r="S684">
        <v>45187.629026076385</v>
      </c>
      <c r="T684">
        <v>5500</v>
      </c>
      <c r="U684" t="s">
        <v>1151</v>
      </c>
      <c r="V684" t="s">
        <v>99</v>
      </c>
      <c r="W684" t="s">
        <v>1031</v>
      </c>
      <c r="X684" t="s">
        <v>1031</v>
      </c>
      <c r="AA684">
        <v>57924</v>
      </c>
      <c r="AB684" t="s">
        <v>1223</v>
      </c>
      <c r="AC684">
        <v>45189.087667210646</v>
      </c>
      <c r="AI684">
        <v>62</v>
      </c>
      <c r="AJ684">
        <v>62</v>
      </c>
      <c r="AN684">
        <v>45170</v>
      </c>
      <c r="AO684">
        <v>45199</v>
      </c>
      <c r="AP684" t="s">
        <v>1101</v>
      </c>
    </row>
    <row r="685" spans="1:42" x14ac:dyDescent="0.25">
      <c r="A685">
        <v>2023</v>
      </c>
      <c r="B685">
        <v>9</v>
      </c>
      <c r="C685">
        <v>17</v>
      </c>
      <c r="D685" t="s">
        <v>1088</v>
      </c>
      <c r="E685" t="s">
        <v>282</v>
      </c>
      <c r="F685">
        <v>623018</v>
      </c>
      <c r="G685">
        <v>10389922</v>
      </c>
      <c r="H685" t="s">
        <v>282</v>
      </c>
      <c r="J685">
        <v>53908296</v>
      </c>
      <c r="K685">
        <v>1100</v>
      </c>
      <c r="L685">
        <v>1700</v>
      </c>
      <c r="M685">
        <v>1301</v>
      </c>
      <c r="P685">
        <v>7.5</v>
      </c>
      <c r="Q685">
        <v>2</v>
      </c>
      <c r="R685">
        <v>15</v>
      </c>
      <c r="S685">
        <v>45187.629157060182</v>
      </c>
      <c r="T685">
        <v>5500</v>
      </c>
      <c r="U685" t="s">
        <v>1151</v>
      </c>
      <c r="V685" t="s">
        <v>99</v>
      </c>
      <c r="W685" t="s">
        <v>1031</v>
      </c>
      <c r="X685" t="s">
        <v>1031</v>
      </c>
      <c r="AA685">
        <v>57924</v>
      </c>
      <c r="AB685" t="s">
        <v>1223</v>
      </c>
      <c r="AC685">
        <v>45189.087667210646</v>
      </c>
      <c r="AI685">
        <v>62</v>
      </c>
      <c r="AJ685">
        <v>62</v>
      </c>
      <c r="AN685">
        <v>45170</v>
      </c>
      <c r="AO685">
        <v>45199</v>
      </c>
      <c r="AP685" t="s">
        <v>1101</v>
      </c>
    </row>
    <row r="686" spans="1:42" x14ac:dyDescent="0.25">
      <c r="A686">
        <v>2023</v>
      </c>
      <c r="B686">
        <v>9</v>
      </c>
      <c r="C686">
        <v>17</v>
      </c>
      <c r="D686" t="s">
        <v>1088</v>
      </c>
      <c r="E686" t="s">
        <v>282</v>
      </c>
      <c r="F686">
        <v>623018</v>
      </c>
      <c r="G686">
        <v>10389922</v>
      </c>
      <c r="H686" t="s">
        <v>282</v>
      </c>
      <c r="J686">
        <v>53908309</v>
      </c>
      <c r="K686">
        <v>1100</v>
      </c>
      <c r="L686">
        <v>1700</v>
      </c>
      <c r="M686">
        <v>1301</v>
      </c>
      <c r="P686">
        <v>15</v>
      </c>
      <c r="Q686">
        <v>1</v>
      </c>
      <c r="R686">
        <v>15</v>
      </c>
      <c r="S686">
        <v>45187.629307210649</v>
      </c>
      <c r="T686">
        <v>5500</v>
      </c>
      <c r="U686" t="s">
        <v>1151</v>
      </c>
      <c r="V686" t="s">
        <v>99</v>
      </c>
      <c r="W686" t="s">
        <v>1031</v>
      </c>
      <c r="X686" t="s">
        <v>1031</v>
      </c>
      <c r="AA686">
        <v>57924</v>
      </c>
      <c r="AB686" t="s">
        <v>1223</v>
      </c>
      <c r="AC686">
        <v>45189.087667210646</v>
      </c>
      <c r="AI686">
        <v>62</v>
      </c>
      <c r="AJ686">
        <v>62</v>
      </c>
      <c r="AN686">
        <v>45170</v>
      </c>
      <c r="AO686">
        <v>45199</v>
      </c>
      <c r="AP686" t="s">
        <v>1101</v>
      </c>
    </row>
    <row r="687" spans="1:42" x14ac:dyDescent="0.25">
      <c r="A687">
        <v>2023</v>
      </c>
      <c r="B687">
        <v>9</v>
      </c>
      <c r="C687">
        <v>17</v>
      </c>
      <c r="D687" t="s">
        <v>1088</v>
      </c>
      <c r="E687" t="s">
        <v>282</v>
      </c>
      <c r="F687">
        <v>208037</v>
      </c>
      <c r="G687">
        <v>10245853</v>
      </c>
      <c r="H687" t="s">
        <v>282</v>
      </c>
      <c r="J687">
        <v>53922159</v>
      </c>
      <c r="K687">
        <v>1104</v>
      </c>
      <c r="L687">
        <v>1702</v>
      </c>
      <c r="M687">
        <v>1304</v>
      </c>
      <c r="N687">
        <v>53400516</v>
      </c>
      <c r="O687">
        <v>45169.589954201387</v>
      </c>
      <c r="P687">
        <v>225</v>
      </c>
      <c r="Q687">
        <v>1</v>
      </c>
      <c r="R687">
        <v>225</v>
      </c>
      <c r="S687">
        <v>45188.067372337966</v>
      </c>
      <c r="T687">
        <v>5509</v>
      </c>
      <c r="U687" t="s">
        <v>1152</v>
      </c>
      <c r="V687" t="s">
        <v>1153</v>
      </c>
      <c r="W687" t="s">
        <v>2</v>
      </c>
      <c r="AI687">
        <v>62</v>
      </c>
      <c r="AJ687">
        <v>62</v>
      </c>
      <c r="AN687">
        <v>45170</v>
      </c>
      <c r="AO687">
        <v>45199</v>
      </c>
      <c r="AP687" t="s">
        <v>1101</v>
      </c>
    </row>
    <row r="688" spans="1:42" x14ac:dyDescent="0.25">
      <c r="A688">
        <v>2023</v>
      </c>
      <c r="B688">
        <v>9</v>
      </c>
      <c r="C688">
        <v>17</v>
      </c>
      <c r="D688" t="s">
        <v>1088</v>
      </c>
      <c r="E688" t="s">
        <v>282</v>
      </c>
      <c r="F688">
        <v>208037</v>
      </c>
      <c r="G688">
        <v>10245853</v>
      </c>
      <c r="H688" t="s">
        <v>282</v>
      </c>
      <c r="J688">
        <v>53946347</v>
      </c>
      <c r="K688">
        <v>1104</v>
      </c>
      <c r="L688">
        <v>1702</v>
      </c>
      <c r="M688">
        <v>1304</v>
      </c>
      <c r="N688">
        <v>53400516</v>
      </c>
      <c r="O688">
        <v>45169.589954201387</v>
      </c>
      <c r="P688">
        <v>-225</v>
      </c>
      <c r="Q688">
        <v>1</v>
      </c>
      <c r="R688">
        <v>-225</v>
      </c>
      <c r="S688">
        <v>45188.644540543981</v>
      </c>
      <c r="T688">
        <v>5510</v>
      </c>
      <c r="U688" t="s">
        <v>1183</v>
      </c>
      <c r="V688" t="s">
        <v>1153</v>
      </c>
      <c r="W688" t="s">
        <v>2</v>
      </c>
      <c r="AI688">
        <v>62</v>
      </c>
      <c r="AJ688">
        <v>62</v>
      </c>
      <c r="AN688">
        <v>45170</v>
      </c>
      <c r="AO688">
        <v>45199</v>
      </c>
      <c r="AP688" t="s">
        <v>1101</v>
      </c>
    </row>
    <row r="689" spans="1:42" x14ac:dyDescent="0.25">
      <c r="A689">
        <v>2023</v>
      </c>
      <c r="B689">
        <v>9</v>
      </c>
      <c r="C689">
        <v>17</v>
      </c>
      <c r="D689" t="s">
        <v>1088</v>
      </c>
      <c r="E689" t="s">
        <v>282</v>
      </c>
      <c r="F689">
        <v>623622</v>
      </c>
      <c r="G689">
        <v>10402530</v>
      </c>
      <c r="H689" t="s">
        <v>282</v>
      </c>
      <c r="J689">
        <v>53963613</v>
      </c>
      <c r="K689">
        <v>1100</v>
      </c>
      <c r="L689">
        <v>1700</v>
      </c>
      <c r="M689">
        <v>1301</v>
      </c>
      <c r="P689">
        <v>85</v>
      </c>
      <c r="Q689">
        <v>1</v>
      </c>
      <c r="R689">
        <v>85</v>
      </c>
      <c r="S689">
        <v>45189.41898440972</v>
      </c>
      <c r="T689">
        <v>5500</v>
      </c>
      <c r="U689" t="s">
        <v>1151</v>
      </c>
      <c r="V689" t="s">
        <v>99</v>
      </c>
      <c r="W689" t="s">
        <v>1031</v>
      </c>
      <c r="X689" t="s">
        <v>1031</v>
      </c>
      <c r="AA689">
        <v>57958</v>
      </c>
      <c r="AB689" t="s">
        <v>1223</v>
      </c>
      <c r="AC689">
        <v>45191.087613807867</v>
      </c>
      <c r="AI689">
        <v>62</v>
      </c>
      <c r="AJ689">
        <v>62</v>
      </c>
      <c r="AN689">
        <v>45170</v>
      </c>
      <c r="AO689">
        <v>45199</v>
      </c>
      <c r="AP689" t="s">
        <v>1101</v>
      </c>
    </row>
    <row r="690" spans="1:42" x14ac:dyDescent="0.25">
      <c r="A690">
        <v>2023</v>
      </c>
      <c r="B690">
        <v>9</v>
      </c>
      <c r="C690">
        <v>17</v>
      </c>
      <c r="D690" t="s">
        <v>1088</v>
      </c>
      <c r="E690" t="s">
        <v>282</v>
      </c>
      <c r="F690">
        <v>623622</v>
      </c>
      <c r="G690">
        <v>10402530</v>
      </c>
      <c r="H690" t="s">
        <v>282</v>
      </c>
      <c r="J690">
        <v>53963620</v>
      </c>
      <c r="K690">
        <v>1100</v>
      </c>
      <c r="L690">
        <v>1700</v>
      </c>
      <c r="M690">
        <v>1301</v>
      </c>
      <c r="P690">
        <v>7.5</v>
      </c>
      <c r="Q690">
        <v>2</v>
      </c>
      <c r="R690">
        <v>15</v>
      </c>
      <c r="S690">
        <v>45189.419138969904</v>
      </c>
      <c r="T690">
        <v>5500</v>
      </c>
      <c r="U690" t="s">
        <v>1151</v>
      </c>
      <c r="V690" t="s">
        <v>99</v>
      </c>
      <c r="W690" t="s">
        <v>1031</v>
      </c>
      <c r="X690" t="s">
        <v>1031</v>
      </c>
      <c r="AA690">
        <v>57958</v>
      </c>
      <c r="AB690" t="s">
        <v>1223</v>
      </c>
      <c r="AC690">
        <v>45191.087613807867</v>
      </c>
      <c r="AI690">
        <v>62</v>
      </c>
      <c r="AJ690">
        <v>62</v>
      </c>
      <c r="AN690">
        <v>45170</v>
      </c>
      <c r="AO690">
        <v>45199</v>
      </c>
      <c r="AP690" t="s">
        <v>1101</v>
      </c>
    </row>
    <row r="691" spans="1:42" x14ac:dyDescent="0.25">
      <c r="A691">
        <v>2023</v>
      </c>
      <c r="B691">
        <v>9</v>
      </c>
      <c r="C691">
        <v>17</v>
      </c>
      <c r="D691" t="s">
        <v>1088</v>
      </c>
      <c r="E691" t="s">
        <v>282</v>
      </c>
      <c r="F691">
        <v>623622</v>
      </c>
      <c r="G691">
        <v>10402530</v>
      </c>
      <c r="H691" t="s">
        <v>282</v>
      </c>
      <c r="J691">
        <v>53963621</v>
      </c>
      <c r="K691">
        <v>1100</v>
      </c>
      <c r="L691">
        <v>1700</v>
      </c>
      <c r="M691">
        <v>1301</v>
      </c>
      <c r="P691">
        <v>8</v>
      </c>
      <c r="Q691">
        <v>2</v>
      </c>
      <c r="R691">
        <v>16</v>
      </c>
      <c r="S691">
        <v>45189.419383483793</v>
      </c>
      <c r="T691">
        <v>5500</v>
      </c>
      <c r="U691" t="s">
        <v>1151</v>
      </c>
      <c r="V691" t="s">
        <v>99</v>
      </c>
      <c r="W691" t="s">
        <v>1031</v>
      </c>
      <c r="X691" t="s">
        <v>1031</v>
      </c>
      <c r="AA691">
        <v>57958</v>
      </c>
      <c r="AB691" t="s">
        <v>1223</v>
      </c>
      <c r="AC691">
        <v>45191.087613807867</v>
      </c>
      <c r="AI691">
        <v>62</v>
      </c>
      <c r="AJ691">
        <v>62</v>
      </c>
      <c r="AN691">
        <v>45170</v>
      </c>
      <c r="AO691">
        <v>45199</v>
      </c>
      <c r="AP691" t="s">
        <v>1101</v>
      </c>
    </row>
    <row r="692" spans="1:42" x14ac:dyDescent="0.25">
      <c r="A692">
        <v>2023</v>
      </c>
      <c r="B692">
        <v>9</v>
      </c>
      <c r="C692">
        <v>17</v>
      </c>
      <c r="D692" t="s">
        <v>1088</v>
      </c>
      <c r="E692" t="s">
        <v>282</v>
      </c>
      <c r="F692">
        <v>623622</v>
      </c>
      <c r="G692">
        <v>10402530</v>
      </c>
      <c r="H692" t="s">
        <v>282</v>
      </c>
      <c r="J692">
        <v>53963652</v>
      </c>
      <c r="K692">
        <v>1100</v>
      </c>
      <c r="L692">
        <v>1700</v>
      </c>
      <c r="M692">
        <v>1301</v>
      </c>
      <c r="P692">
        <v>7.5</v>
      </c>
      <c r="Q692">
        <v>2</v>
      </c>
      <c r="R692">
        <v>15</v>
      </c>
      <c r="S692">
        <v>45189.419518946757</v>
      </c>
      <c r="T692">
        <v>5500</v>
      </c>
      <c r="U692" t="s">
        <v>1151</v>
      </c>
      <c r="V692" t="s">
        <v>99</v>
      </c>
      <c r="W692" t="s">
        <v>1031</v>
      </c>
      <c r="X692" t="s">
        <v>1031</v>
      </c>
      <c r="AA692">
        <v>57958</v>
      </c>
      <c r="AB692" t="s">
        <v>1223</v>
      </c>
      <c r="AC692">
        <v>45191.087613807867</v>
      </c>
      <c r="AI692">
        <v>62</v>
      </c>
      <c r="AJ692">
        <v>62</v>
      </c>
      <c r="AN692">
        <v>45170</v>
      </c>
      <c r="AO692">
        <v>45199</v>
      </c>
      <c r="AP692" t="s">
        <v>1101</v>
      </c>
    </row>
    <row r="693" spans="1:42" x14ac:dyDescent="0.25">
      <c r="A693">
        <v>2023</v>
      </c>
      <c r="B693">
        <v>9</v>
      </c>
      <c r="C693">
        <v>17</v>
      </c>
      <c r="D693" t="s">
        <v>1088</v>
      </c>
      <c r="E693" t="s">
        <v>282</v>
      </c>
      <c r="F693">
        <v>623681</v>
      </c>
      <c r="G693">
        <v>10403222</v>
      </c>
      <c r="H693" t="s">
        <v>282</v>
      </c>
      <c r="J693">
        <v>53977411</v>
      </c>
      <c r="K693">
        <v>1100</v>
      </c>
      <c r="L693">
        <v>1700</v>
      </c>
      <c r="M693">
        <v>1301</v>
      </c>
      <c r="P693">
        <v>5</v>
      </c>
      <c r="Q693">
        <v>2</v>
      </c>
      <c r="R693">
        <v>10</v>
      </c>
      <c r="S693">
        <v>45189.607207673609</v>
      </c>
      <c r="T693">
        <v>5500</v>
      </c>
      <c r="U693" t="s">
        <v>1151</v>
      </c>
      <c r="V693" t="s">
        <v>99</v>
      </c>
      <c r="W693" t="s">
        <v>1031</v>
      </c>
      <c r="X693" t="s">
        <v>1031</v>
      </c>
      <c r="AA693">
        <v>57958</v>
      </c>
      <c r="AB693" t="s">
        <v>1223</v>
      </c>
      <c r="AC693">
        <v>45191.087613807867</v>
      </c>
      <c r="AI693">
        <v>62</v>
      </c>
      <c r="AJ693">
        <v>62</v>
      </c>
      <c r="AN693">
        <v>45170</v>
      </c>
      <c r="AO693">
        <v>45199</v>
      </c>
      <c r="AP693" t="s">
        <v>1101</v>
      </c>
    </row>
    <row r="694" spans="1:42" x14ac:dyDescent="0.25">
      <c r="A694">
        <v>2023</v>
      </c>
      <c r="B694">
        <v>9</v>
      </c>
      <c r="C694">
        <v>17</v>
      </c>
      <c r="D694" t="s">
        <v>1088</v>
      </c>
      <c r="E694" t="s">
        <v>282</v>
      </c>
      <c r="F694">
        <v>623681</v>
      </c>
      <c r="G694">
        <v>10403222</v>
      </c>
      <c r="H694" t="s">
        <v>282</v>
      </c>
      <c r="J694">
        <v>53977412</v>
      </c>
      <c r="K694">
        <v>1100</v>
      </c>
      <c r="L694">
        <v>1700</v>
      </c>
      <c r="M694">
        <v>1301</v>
      </c>
      <c r="P694">
        <v>7.5</v>
      </c>
      <c r="Q694">
        <v>2</v>
      </c>
      <c r="R694">
        <v>15</v>
      </c>
      <c r="S694">
        <v>45189.607328587961</v>
      </c>
      <c r="T694">
        <v>5500</v>
      </c>
      <c r="U694" t="s">
        <v>1151</v>
      </c>
      <c r="V694" t="s">
        <v>99</v>
      </c>
      <c r="W694" t="s">
        <v>1031</v>
      </c>
      <c r="X694" t="s">
        <v>1031</v>
      </c>
      <c r="AA694">
        <v>57958</v>
      </c>
      <c r="AB694" t="s">
        <v>1223</v>
      </c>
      <c r="AC694">
        <v>45191.087613807867</v>
      </c>
      <c r="AI694">
        <v>62</v>
      </c>
      <c r="AJ694">
        <v>62</v>
      </c>
      <c r="AN694">
        <v>45170</v>
      </c>
      <c r="AO694">
        <v>45199</v>
      </c>
      <c r="AP694" t="s">
        <v>1101</v>
      </c>
    </row>
    <row r="695" spans="1:42" x14ac:dyDescent="0.25">
      <c r="A695">
        <v>2023</v>
      </c>
      <c r="B695">
        <v>9</v>
      </c>
      <c r="C695">
        <v>17</v>
      </c>
      <c r="D695" t="s">
        <v>1088</v>
      </c>
      <c r="E695" t="s">
        <v>282</v>
      </c>
      <c r="F695">
        <v>623681</v>
      </c>
      <c r="G695">
        <v>10403222</v>
      </c>
      <c r="H695" t="s">
        <v>282</v>
      </c>
      <c r="J695">
        <v>53977424</v>
      </c>
      <c r="K695">
        <v>1100</v>
      </c>
      <c r="L695">
        <v>1700</v>
      </c>
      <c r="M695">
        <v>1301</v>
      </c>
      <c r="P695">
        <v>8</v>
      </c>
      <c r="Q695">
        <v>2</v>
      </c>
      <c r="R695">
        <v>16</v>
      </c>
      <c r="S695">
        <v>45189.607554085647</v>
      </c>
      <c r="T695">
        <v>5500</v>
      </c>
      <c r="U695" t="s">
        <v>1151</v>
      </c>
      <c r="V695" t="s">
        <v>99</v>
      </c>
      <c r="W695" t="s">
        <v>1031</v>
      </c>
      <c r="X695" t="s">
        <v>1031</v>
      </c>
      <c r="AA695">
        <v>57958</v>
      </c>
      <c r="AB695" t="s">
        <v>1223</v>
      </c>
      <c r="AC695">
        <v>45191.087613807867</v>
      </c>
      <c r="AI695">
        <v>62</v>
      </c>
      <c r="AJ695">
        <v>62</v>
      </c>
      <c r="AN695">
        <v>45170</v>
      </c>
      <c r="AO695">
        <v>45199</v>
      </c>
      <c r="AP695" t="s">
        <v>1101</v>
      </c>
    </row>
    <row r="696" spans="1:42" x14ac:dyDescent="0.25">
      <c r="A696">
        <v>2023</v>
      </c>
      <c r="B696">
        <v>9</v>
      </c>
      <c r="C696">
        <v>17</v>
      </c>
      <c r="D696" t="s">
        <v>1088</v>
      </c>
      <c r="E696" t="s">
        <v>282</v>
      </c>
      <c r="F696">
        <v>580115</v>
      </c>
      <c r="G696">
        <v>10380011</v>
      </c>
      <c r="H696" t="s">
        <v>282</v>
      </c>
      <c r="J696">
        <v>53989922</v>
      </c>
      <c r="K696">
        <v>1100</v>
      </c>
      <c r="L696">
        <v>1700</v>
      </c>
      <c r="M696">
        <v>1304</v>
      </c>
      <c r="P696">
        <v>150</v>
      </c>
      <c r="Q696">
        <v>1</v>
      </c>
      <c r="R696">
        <v>150</v>
      </c>
      <c r="S696">
        <v>45190.391109571756</v>
      </c>
      <c r="T696">
        <v>5500</v>
      </c>
      <c r="U696" t="s">
        <v>1154</v>
      </c>
      <c r="V696" t="s">
        <v>99</v>
      </c>
      <c r="W696" t="s">
        <v>2</v>
      </c>
      <c r="AI696">
        <v>62</v>
      </c>
      <c r="AJ696">
        <v>62</v>
      </c>
      <c r="AN696">
        <v>45170</v>
      </c>
      <c r="AO696">
        <v>45199</v>
      </c>
      <c r="AP696" t="s">
        <v>1101</v>
      </c>
    </row>
    <row r="697" spans="1:42" x14ac:dyDescent="0.25">
      <c r="A697">
        <v>2023</v>
      </c>
      <c r="B697">
        <v>9</v>
      </c>
      <c r="C697">
        <v>17</v>
      </c>
      <c r="D697" t="s">
        <v>1088</v>
      </c>
      <c r="E697" t="s">
        <v>282</v>
      </c>
      <c r="F697">
        <v>580115</v>
      </c>
      <c r="G697">
        <v>10380011</v>
      </c>
      <c r="H697" t="s">
        <v>282</v>
      </c>
      <c r="J697">
        <v>53989923</v>
      </c>
      <c r="K697">
        <v>1100</v>
      </c>
      <c r="L697">
        <v>1700</v>
      </c>
      <c r="M697">
        <v>1304</v>
      </c>
      <c r="P697">
        <v>150</v>
      </c>
      <c r="Q697">
        <v>1</v>
      </c>
      <c r="R697">
        <v>150</v>
      </c>
      <c r="S697">
        <v>45190.39123202546</v>
      </c>
      <c r="T697">
        <v>5500</v>
      </c>
      <c r="U697" t="s">
        <v>1154</v>
      </c>
      <c r="V697" t="s">
        <v>99</v>
      </c>
      <c r="W697" t="s">
        <v>2</v>
      </c>
      <c r="AI697">
        <v>62</v>
      </c>
      <c r="AJ697">
        <v>62</v>
      </c>
      <c r="AN697">
        <v>45170</v>
      </c>
      <c r="AO697">
        <v>45199</v>
      </c>
      <c r="AP697" t="s">
        <v>1101</v>
      </c>
    </row>
    <row r="698" spans="1:42" x14ac:dyDescent="0.25">
      <c r="A698">
        <v>2023</v>
      </c>
      <c r="B698">
        <v>9</v>
      </c>
      <c r="C698">
        <v>17</v>
      </c>
      <c r="D698" t="s">
        <v>1088</v>
      </c>
      <c r="E698" t="s">
        <v>282</v>
      </c>
      <c r="F698">
        <v>580115</v>
      </c>
      <c r="G698">
        <v>10380011</v>
      </c>
      <c r="H698" t="s">
        <v>282</v>
      </c>
      <c r="J698">
        <v>53989924</v>
      </c>
      <c r="K698">
        <v>1100</v>
      </c>
      <c r="L698">
        <v>1706</v>
      </c>
      <c r="M698">
        <v>1301</v>
      </c>
      <c r="P698">
        <v>18</v>
      </c>
      <c r="Q698">
        <v>1</v>
      </c>
      <c r="R698">
        <v>18</v>
      </c>
      <c r="S698">
        <v>45190.391307835649</v>
      </c>
      <c r="T698">
        <v>5500</v>
      </c>
      <c r="U698" t="s">
        <v>1151</v>
      </c>
      <c r="V698" t="s">
        <v>99</v>
      </c>
      <c r="W698" t="s">
        <v>1091</v>
      </c>
      <c r="X698" t="s">
        <v>1091</v>
      </c>
      <c r="AA698">
        <v>57969</v>
      </c>
      <c r="AB698" t="s">
        <v>1223</v>
      </c>
      <c r="AC698">
        <v>45192.083577511577</v>
      </c>
      <c r="AI698">
        <v>62</v>
      </c>
      <c r="AJ698">
        <v>62</v>
      </c>
      <c r="AN698">
        <v>45170</v>
      </c>
      <c r="AO698">
        <v>45199</v>
      </c>
      <c r="AP698" t="s">
        <v>1101</v>
      </c>
    </row>
    <row r="699" spans="1:42" x14ac:dyDescent="0.25">
      <c r="A699">
        <v>2023</v>
      </c>
      <c r="B699">
        <v>9</v>
      </c>
      <c r="C699">
        <v>17</v>
      </c>
      <c r="D699" t="s">
        <v>1088</v>
      </c>
      <c r="E699" t="s">
        <v>282</v>
      </c>
      <c r="F699">
        <v>616507</v>
      </c>
      <c r="G699">
        <v>10267366</v>
      </c>
      <c r="H699" t="s">
        <v>282</v>
      </c>
      <c r="J699">
        <v>54017117</v>
      </c>
      <c r="K699">
        <v>1104</v>
      </c>
      <c r="L699">
        <v>1702</v>
      </c>
      <c r="M699">
        <v>1304</v>
      </c>
      <c r="N699">
        <v>53627377</v>
      </c>
      <c r="O699">
        <v>45177.55180332176</v>
      </c>
      <c r="P699">
        <v>31.68</v>
      </c>
      <c r="Q699">
        <v>1</v>
      </c>
      <c r="R699">
        <v>31.68</v>
      </c>
      <c r="S699">
        <v>45190.693011886571</v>
      </c>
      <c r="T699">
        <v>5509</v>
      </c>
      <c r="U699" t="s">
        <v>1152</v>
      </c>
      <c r="V699" t="s">
        <v>1153</v>
      </c>
      <c r="W699" t="s">
        <v>2</v>
      </c>
      <c r="AI699">
        <v>62</v>
      </c>
      <c r="AJ699">
        <v>62</v>
      </c>
      <c r="AN699">
        <v>45170</v>
      </c>
      <c r="AO699">
        <v>45199</v>
      </c>
      <c r="AP699" t="s">
        <v>1101</v>
      </c>
    </row>
    <row r="700" spans="1:42" x14ac:dyDescent="0.25">
      <c r="A700">
        <v>2023</v>
      </c>
      <c r="B700">
        <v>9</v>
      </c>
      <c r="C700">
        <v>17</v>
      </c>
      <c r="D700" t="s">
        <v>1088</v>
      </c>
      <c r="E700" t="s">
        <v>282</v>
      </c>
      <c r="F700">
        <v>102362</v>
      </c>
      <c r="G700">
        <v>10380877</v>
      </c>
      <c r="H700" t="s">
        <v>282</v>
      </c>
      <c r="J700">
        <v>53996745</v>
      </c>
      <c r="K700">
        <v>1100</v>
      </c>
      <c r="L700">
        <v>1700</v>
      </c>
      <c r="M700">
        <v>1304</v>
      </c>
      <c r="P700">
        <v>216</v>
      </c>
      <c r="Q700">
        <v>1</v>
      </c>
      <c r="R700">
        <v>216</v>
      </c>
      <c r="S700">
        <v>45190.482242395832</v>
      </c>
      <c r="T700">
        <v>5500</v>
      </c>
      <c r="U700" t="s">
        <v>1154</v>
      </c>
      <c r="V700" t="s">
        <v>99</v>
      </c>
      <c r="W700" t="s">
        <v>2</v>
      </c>
      <c r="AI700">
        <v>62</v>
      </c>
      <c r="AJ700">
        <v>62</v>
      </c>
      <c r="AN700">
        <v>45170</v>
      </c>
      <c r="AO700">
        <v>45199</v>
      </c>
      <c r="AP700" t="s">
        <v>1101</v>
      </c>
    </row>
    <row r="701" spans="1:42" x14ac:dyDescent="0.25">
      <c r="A701">
        <v>2023</v>
      </c>
      <c r="B701">
        <v>9</v>
      </c>
      <c r="C701">
        <v>17</v>
      </c>
      <c r="D701" t="s">
        <v>1088</v>
      </c>
      <c r="E701" t="s">
        <v>282</v>
      </c>
      <c r="F701">
        <v>102362</v>
      </c>
      <c r="G701">
        <v>10380877</v>
      </c>
      <c r="H701" t="s">
        <v>282</v>
      </c>
      <c r="J701">
        <v>53996744</v>
      </c>
      <c r="K701">
        <v>1100</v>
      </c>
      <c r="L701">
        <v>1700</v>
      </c>
      <c r="M701">
        <v>1304</v>
      </c>
      <c r="P701">
        <v>216</v>
      </c>
      <c r="Q701">
        <v>1</v>
      </c>
      <c r="R701">
        <v>216</v>
      </c>
      <c r="S701">
        <v>45190.482121145833</v>
      </c>
      <c r="T701">
        <v>5500</v>
      </c>
      <c r="U701" t="s">
        <v>1154</v>
      </c>
      <c r="V701" t="s">
        <v>99</v>
      </c>
      <c r="W701" t="s">
        <v>2</v>
      </c>
      <c r="AI701">
        <v>62</v>
      </c>
      <c r="AJ701">
        <v>62</v>
      </c>
      <c r="AN701">
        <v>45170</v>
      </c>
      <c r="AO701">
        <v>45199</v>
      </c>
      <c r="AP701" t="s">
        <v>1101</v>
      </c>
    </row>
    <row r="702" spans="1:42" x14ac:dyDescent="0.25">
      <c r="A702">
        <v>2023</v>
      </c>
      <c r="B702">
        <v>9</v>
      </c>
      <c r="C702">
        <v>17</v>
      </c>
      <c r="D702" t="s">
        <v>1088</v>
      </c>
      <c r="E702" t="s">
        <v>282</v>
      </c>
      <c r="F702">
        <v>102362</v>
      </c>
      <c r="G702">
        <v>10380877</v>
      </c>
      <c r="H702" t="s">
        <v>282</v>
      </c>
      <c r="J702">
        <v>53996749</v>
      </c>
      <c r="K702">
        <v>1100</v>
      </c>
      <c r="L702">
        <v>1700</v>
      </c>
      <c r="M702">
        <v>1304</v>
      </c>
      <c r="P702">
        <v>18</v>
      </c>
      <c r="Q702">
        <v>1</v>
      </c>
      <c r="R702">
        <v>18</v>
      </c>
      <c r="S702">
        <v>45190.482326307872</v>
      </c>
      <c r="T702">
        <v>5500</v>
      </c>
      <c r="U702" t="s">
        <v>1154</v>
      </c>
      <c r="V702" t="s">
        <v>99</v>
      </c>
      <c r="W702" t="s">
        <v>2</v>
      </c>
      <c r="AI702">
        <v>62</v>
      </c>
      <c r="AJ702">
        <v>62</v>
      </c>
      <c r="AN702">
        <v>45170</v>
      </c>
      <c r="AO702">
        <v>45199</v>
      </c>
      <c r="AP702" t="s">
        <v>1101</v>
      </c>
    </row>
    <row r="703" spans="1:42" x14ac:dyDescent="0.25">
      <c r="A703">
        <v>2023</v>
      </c>
      <c r="B703">
        <v>9</v>
      </c>
      <c r="C703">
        <v>17</v>
      </c>
      <c r="D703" t="s">
        <v>1088</v>
      </c>
      <c r="E703" t="s">
        <v>282</v>
      </c>
      <c r="F703">
        <v>580115</v>
      </c>
      <c r="G703">
        <v>10212841</v>
      </c>
      <c r="H703" t="s">
        <v>282</v>
      </c>
      <c r="J703">
        <v>54021432</v>
      </c>
      <c r="K703">
        <v>1104</v>
      </c>
      <c r="L703">
        <v>1702</v>
      </c>
      <c r="M703">
        <v>1304</v>
      </c>
      <c r="N703">
        <v>52927961</v>
      </c>
      <c r="O703">
        <v>45155.583220335648</v>
      </c>
      <c r="P703">
        <v>20.260000000000002</v>
      </c>
      <c r="Q703">
        <v>1</v>
      </c>
      <c r="R703">
        <v>20.260000000000002</v>
      </c>
      <c r="S703">
        <v>45191.067372141202</v>
      </c>
      <c r="T703">
        <v>5509</v>
      </c>
      <c r="U703" t="s">
        <v>1152</v>
      </c>
      <c r="V703" t="s">
        <v>1153</v>
      </c>
      <c r="W703" t="s">
        <v>2</v>
      </c>
      <c r="AI703">
        <v>62</v>
      </c>
      <c r="AJ703">
        <v>62</v>
      </c>
      <c r="AN703">
        <v>45170</v>
      </c>
      <c r="AO703">
        <v>45199</v>
      </c>
      <c r="AP703" t="s">
        <v>1101</v>
      </c>
    </row>
    <row r="704" spans="1:42" x14ac:dyDescent="0.25">
      <c r="A704">
        <v>2023</v>
      </c>
      <c r="B704">
        <v>9</v>
      </c>
      <c r="C704">
        <v>17</v>
      </c>
      <c r="D704" t="s">
        <v>1088</v>
      </c>
      <c r="E704" t="s">
        <v>282</v>
      </c>
      <c r="F704">
        <v>580115</v>
      </c>
      <c r="G704">
        <v>10212841</v>
      </c>
      <c r="H704" t="s">
        <v>282</v>
      </c>
      <c r="J704">
        <v>54021433</v>
      </c>
      <c r="K704">
        <v>1104</v>
      </c>
      <c r="L704">
        <v>1702</v>
      </c>
      <c r="M704">
        <v>1304</v>
      </c>
      <c r="N704">
        <v>52927970</v>
      </c>
      <c r="O704">
        <v>45155.583470138889</v>
      </c>
      <c r="P704">
        <v>79</v>
      </c>
      <c r="Q704">
        <v>1</v>
      </c>
      <c r="R704">
        <v>79</v>
      </c>
      <c r="S704">
        <v>45191.067372141202</v>
      </c>
      <c r="T704">
        <v>5509</v>
      </c>
      <c r="U704" t="s">
        <v>1152</v>
      </c>
      <c r="V704" t="s">
        <v>1153</v>
      </c>
      <c r="W704" t="s">
        <v>2</v>
      </c>
      <c r="AI704">
        <v>62</v>
      </c>
      <c r="AJ704">
        <v>62</v>
      </c>
      <c r="AN704">
        <v>45170</v>
      </c>
      <c r="AO704">
        <v>45199</v>
      </c>
      <c r="AP704" t="s">
        <v>1101</v>
      </c>
    </row>
    <row r="705" spans="1:42" x14ac:dyDescent="0.25">
      <c r="A705">
        <v>2023</v>
      </c>
      <c r="B705">
        <v>9</v>
      </c>
      <c r="C705">
        <v>17</v>
      </c>
      <c r="D705" t="s">
        <v>1088</v>
      </c>
      <c r="E705" t="s">
        <v>282</v>
      </c>
      <c r="F705">
        <v>580115</v>
      </c>
      <c r="G705">
        <v>10380011</v>
      </c>
      <c r="H705" t="s">
        <v>282</v>
      </c>
      <c r="J705">
        <v>54021434</v>
      </c>
      <c r="K705">
        <v>1104</v>
      </c>
      <c r="L705">
        <v>1702</v>
      </c>
      <c r="M705">
        <v>1304</v>
      </c>
      <c r="N705">
        <v>53989922</v>
      </c>
      <c r="O705">
        <v>45190.391109571756</v>
      </c>
      <c r="P705">
        <v>150</v>
      </c>
      <c r="Q705">
        <v>1</v>
      </c>
      <c r="R705">
        <v>150</v>
      </c>
      <c r="S705">
        <v>45191.067372141202</v>
      </c>
      <c r="T705">
        <v>5509</v>
      </c>
      <c r="U705" t="s">
        <v>1152</v>
      </c>
      <c r="V705" t="s">
        <v>1153</v>
      </c>
      <c r="W705" t="s">
        <v>2</v>
      </c>
      <c r="AI705">
        <v>62</v>
      </c>
      <c r="AJ705">
        <v>62</v>
      </c>
      <c r="AN705">
        <v>45170</v>
      </c>
      <c r="AO705">
        <v>45199</v>
      </c>
      <c r="AP705" t="s">
        <v>1101</v>
      </c>
    </row>
    <row r="706" spans="1:42" x14ac:dyDescent="0.25">
      <c r="A706">
        <v>2023</v>
      </c>
      <c r="B706">
        <v>9</v>
      </c>
      <c r="C706">
        <v>17</v>
      </c>
      <c r="D706" t="s">
        <v>1088</v>
      </c>
      <c r="E706" t="s">
        <v>282</v>
      </c>
      <c r="F706">
        <v>580115</v>
      </c>
      <c r="G706">
        <v>10380011</v>
      </c>
      <c r="H706" t="s">
        <v>282</v>
      </c>
      <c r="J706">
        <v>54021435</v>
      </c>
      <c r="K706">
        <v>1104</v>
      </c>
      <c r="L706">
        <v>1702</v>
      </c>
      <c r="M706">
        <v>1304</v>
      </c>
      <c r="N706">
        <v>53989923</v>
      </c>
      <c r="O706">
        <v>45190.39123202546</v>
      </c>
      <c r="P706">
        <v>68.739999999999995</v>
      </c>
      <c r="Q706">
        <v>1</v>
      </c>
      <c r="R706">
        <v>68.739999999999995</v>
      </c>
      <c r="S706">
        <v>45191.067372141202</v>
      </c>
      <c r="T706">
        <v>5509</v>
      </c>
      <c r="U706" t="s">
        <v>1152</v>
      </c>
      <c r="V706" t="s">
        <v>1153</v>
      </c>
      <c r="W706" t="s">
        <v>2</v>
      </c>
      <c r="AI706">
        <v>62</v>
      </c>
      <c r="AJ706">
        <v>62</v>
      </c>
      <c r="AN706">
        <v>45170</v>
      </c>
      <c r="AO706">
        <v>45199</v>
      </c>
      <c r="AP706" t="s">
        <v>1101</v>
      </c>
    </row>
    <row r="707" spans="1:42" x14ac:dyDescent="0.25">
      <c r="A707">
        <v>2023</v>
      </c>
      <c r="B707">
        <v>9</v>
      </c>
      <c r="C707">
        <v>17</v>
      </c>
      <c r="D707" t="s">
        <v>1088</v>
      </c>
      <c r="E707" t="s">
        <v>282</v>
      </c>
      <c r="F707">
        <v>468088</v>
      </c>
      <c r="G707">
        <v>10339947</v>
      </c>
      <c r="H707" t="s">
        <v>282</v>
      </c>
      <c r="J707">
        <v>54070757</v>
      </c>
      <c r="K707">
        <v>1104</v>
      </c>
      <c r="L707">
        <v>1702</v>
      </c>
      <c r="M707">
        <v>1304</v>
      </c>
      <c r="N707">
        <v>53627863</v>
      </c>
      <c r="O707">
        <v>45177.556087696757</v>
      </c>
      <c r="P707">
        <v>282</v>
      </c>
      <c r="Q707">
        <v>1</v>
      </c>
      <c r="R707">
        <v>282</v>
      </c>
      <c r="S707">
        <v>45192.067372569443</v>
      </c>
      <c r="T707">
        <v>5509</v>
      </c>
      <c r="U707" t="s">
        <v>1152</v>
      </c>
      <c r="V707" t="s">
        <v>1153</v>
      </c>
      <c r="W707" t="s">
        <v>2</v>
      </c>
      <c r="AI707">
        <v>62</v>
      </c>
      <c r="AJ707">
        <v>62</v>
      </c>
      <c r="AN707">
        <v>45170</v>
      </c>
      <c r="AO707">
        <v>45199</v>
      </c>
      <c r="AP707" t="s">
        <v>1101</v>
      </c>
    </row>
    <row r="708" spans="1:42" x14ac:dyDescent="0.25">
      <c r="A708">
        <v>2023</v>
      </c>
      <c r="B708">
        <v>9</v>
      </c>
      <c r="C708">
        <v>17</v>
      </c>
      <c r="D708" t="s">
        <v>1088</v>
      </c>
      <c r="E708" t="s">
        <v>282</v>
      </c>
      <c r="F708">
        <v>622772</v>
      </c>
      <c r="G708">
        <v>10386067</v>
      </c>
      <c r="H708" t="s">
        <v>282</v>
      </c>
      <c r="J708">
        <v>54064688</v>
      </c>
      <c r="K708">
        <v>1100</v>
      </c>
      <c r="L708">
        <v>1700</v>
      </c>
      <c r="M708">
        <v>1304</v>
      </c>
      <c r="P708">
        <v>216</v>
      </c>
      <c r="Q708">
        <v>1</v>
      </c>
      <c r="R708">
        <v>216</v>
      </c>
      <c r="S708">
        <v>45191.660958368055</v>
      </c>
      <c r="T708">
        <v>5500</v>
      </c>
      <c r="U708" t="s">
        <v>1154</v>
      </c>
      <c r="V708" t="s">
        <v>99</v>
      </c>
      <c r="W708" t="s">
        <v>2</v>
      </c>
      <c r="AI708">
        <v>62</v>
      </c>
      <c r="AJ708">
        <v>62</v>
      </c>
      <c r="AN708">
        <v>45170</v>
      </c>
      <c r="AO708">
        <v>45199</v>
      </c>
      <c r="AP708" t="s">
        <v>1101</v>
      </c>
    </row>
    <row r="709" spans="1:42" x14ac:dyDescent="0.25">
      <c r="A709">
        <v>2023</v>
      </c>
      <c r="B709">
        <v>9</v>
      </c>
      <c r="C709">
        <v>17</v>
      </c>
      <c r="D709" t="s">
        <v>1088</v>
      </c>
      <c r="E709" t="s">
        <v>282</v>
      </c>
      <c r="F709">
        <v>622772</v>
      </c>
      <c r="G709">
        <v>10386067</v>
      </c>
      <c r="H709" t="s">
        <v>282</v>
      </c>
      <c r="J709">
        <v>54064694</v>
      </c>
      <c r="K709">
        <v>1100</v>
      </c>
      <c r="L709">
        <v>1700</v>
      </c>
      <c r="M709">
        <v>1304</v>
      </c>
      <c r="P709">
        <v>216</v>
      </c>
      <c r="Q709">
        <v>1</v>
      </c>
      <c r="R709">
        <v>216</v>
      </c>
      <c r="S709">
        <v>45191.661059918981</v>
      </c>
      <c r="T709">
        <v>5500</v>
      </c>
      <c r="U709" t="s">
        <v>1154</v>
      </c>
      <c r="V709" t="s">
        <v>99</v>
      </c>
      <c r="W709" t="s">
        <v>2</v>
      </c>
      <c r="AI709">
        <v>62</v>
      </c>
      <c r="AJ709">
        <v>62</v>
      </c>
      <c r="AN709">
        <v>45170</v>
      </c>
      <c r="AO709">
        <v>45199</v>
      </c>
      <c r="AP709" t="s">
        <v>1101</v>
      </c>
    </row>
    <row r="710" spans="1:42" x14ac:dyDescent="0.25">
      <c r="A710">
        <v>2023</v>
      </c>
      <c r="B710">
        <v>9</v>
      </c>
      <c r="C710">
        <v>17</v>
      </c>
      <c r="D710" t="s">
        <v>1088</v>
      </c>
      <c r="E710" t="s">
        <v>282</v>
      </c>
      <c r="F710">
        <v>622772</v>
      </c>
      <c r="G710">
        <v>10386067</v>
      </c>
      <c r="H710" t="s">
        <v>282</v>
      </c>
      <c r="J710">
        <v>54064697</v>
      </c>
      <c r="K710">
        <v>1104</v>
      </c>
      <c r="L710">
        <v>1702</v>
      </c>
      <c r="M710">
        <v>1304</v>
      </c>
      <c r="N710">
        <v>54064688</v>
      </c>
      <c r="O710">
        <v>45191.660958368055</v>
      </c>
      <c r="P710">
        <v>100</v>
      </c>
      <c r="Q710">
        <v>1</v>
      </c>
      <c r="R710">
        <v>100</v>
      </c>
      <c r="S710">
        <v>45191.661377581018</v>
      </c>
      <c r="T710">
        <v>5509</v>
      </c>
      <c r="U710" t="s">
        <v>1152</v>
      </c>
      <c r="V710" t="s">
        <v>1153</v>
      </c>
      <c r="W710" t="s">
        <v>2</v>
      </c>
      <c r="AI710">
        <v>62</v>
      </c>
      <c r="AJ710">
        <v>62</v>
      </c>
      <c r="AN710">
        <v>45170</v>
      </c>
      <c r="AO710">
        <v>45199</v>
      </c>
      <c r="AP710" t="s">
        <v>1101</v>
      </c>
    </row>
    <row r="711" spans="1:42" x14ac:dyDescent="0.25">
      <c r="A711">
        <v>2023</v>
      </c>
      <c r="B711">
        <v>9</v>
      </c>
      <c r="C711">
        <v>17</v>
      </c>
      <c r="D711" t="s">
        <v>1088</v>
      </c>
      <c r="E711" t="s">
        <v>282</v>
      </c>
      <c r="F711">
        <v>622658</v>
      </c>
      <c r="G711">
        <v>10383978</v>
      </c>
      <c r="H711" t="s">
        <v>282</v>
      </c>
      <c r="J711">
        <v>54068630</v>
      </c>
      <c r="K711">
        <v>1104</v>
      </c>
      <c r="L711">
        <v>1702</v>
      </c>
      <c r="M711">
        <v>1304</v>
      </c>
      <c r="N711">
        <v>54063651</v>
      </c>
      <c r="O711">
        <v>45191.641432789351</v>
      </c>
      <c r="P711">
        <v>216</v>
      </c>
      <c r="Q711">
        <v>1</v>
      </c>
      <c r="R711">
        <v>216</v>
      </c>
      <c r="S711">
        <v>45192.067372569443</v>
      </c>
      <c r="T711">
        <v>5509</v>
      </c>
      <c r="U711" t="s">
        <v>1152</v>
      </c>
      <c r="V711" t="s">
        <v>1153</v>
      </c>
      <c r="W711" t="s">
        <v>2</v>
      </c>
      <c r="AI711">
        <v>62</v>
      </c>
      <c r="AJ711">
        <v>62</v>
      </c>
      <c r="AN711">
        <v>45170</v>
      </c>
      <c r="AO711">
        <v>45199</v>
      </c>
      <c r="AP711" t="s">
        <v>1101</v>
      </c>
    </row>
    <row r="712" spans="1:42" x14ac:dyDescent="0.25">
      <c r="A712">
        <v>2023</v>
      </c>
      <c r="B712">
        <v>9</v>
      </c>
      <c r="C712">
        <v>17</v>
      </c>
      <c r="D712" t="s">
        <v>1088</v>
      </c>
      <c r="E712" t="s">
        <v>282</v>
      </c>
      <c r="F712">
        <v>622658</v>
      </c>
      <c r="G712">
        <v>10383978</v>
      </c>
      <c r="H712" t="s">
        <v>282</v>
      </c>
      <c r="J712">
        <v>54068631</v>
      </c>
      <c r="K712">
        <v>1104</v>
      </c>
      <c r="L712">
        <v>1702</v>
      </c>
      <c r="M712">
        <v>1304</v>
      </c>
      <c r="N712">
        <v>54063652</v>
      </c>
      <c r="O712">
        <v>45191.641530671295</v>
      </c>
      <c r="P712">
        <v>9</v>
      </c>
      <c r="Q712">
        <v>1</v>
      </c>
      <c r="R712">
        <v>9</v>
      </c>
      <c r="S712">
        <v>45192.067372569443</v>
      </c>
      <c r="T712">
        <v>5509</v>
      </c>
      <c r="U712" t="s">
        <v>1152</v>
      </c>
      <c r="V712" t="s">
        <v>1153</v>
      </c>
      <c r="W712" t="s">
        <v>2</v>
      </c>
      <c r="AI712">
        <v>62</v>
      </c>
      <c r="AJ712">
        <v>62</v>
      </c>
      <c r="AN712">
        <v>45170</v>
      </c>
      <c r="AO712">
        <v>45199</v>
      </c>
      <c r="AP712" t="s">
        <v>1101</v>
      </c>
    </row>
    <row r="713" spans="1:42" x14ac:dyDescent="0.25">
      <c r="A713">
        <v>2023</v>
      </c>
      <c r="B713">
        <v>9</v>
      </c>
      <c r="C713">
        <v>17</v>
      </c>
      <c r="D713" t="s">
        <v>1088</v>
      </c>
      <c r="E713" t="s">
        <v>282</v>
      </c>
      <c r="F713">
        <v>624781</v>
      </c>
      <c r="G713">
        <v>10425164</v>
      </c>
      <c r="H713" t="s">
        <v>282</v>
      </c>
      <c r="J713">
        <v>54099669</v>
      </c>
      <c r="K713">
        <v>1100</v>
      </c>
      <c r="L713">
        <v>1700</v>
      </c>
      <c r="M713">
        <v>1301</v>
      </c>
      <c r="P713">
        <v>4</v>
      </c>
      <c r="Q713">
        <v>2</v>
      </c>
      <c r="R713">
        <v>8</v>
      </c>
      <c r="S713">
        <v>45194.557827546298</v>
      </c>
      <c r="T713">
        <v>5500</v>
      </c>
      <c r="U713" t="s">
        <v>1151</v>
      </c>
      <c r="V713" t="s">
        <v>99</v>
      </c>
      <c r="W713" t="s">
        <v>1031</v>
      </c>
      <c r="X713" t="s">
        <v>1031</v>
      </c>
      <c r="AA713">
        <v>58008</v>
      </c>
      <c r="AB713" t="s">
        <v>1223</v>
      </c>
      <c r="AC713">
        <v>45196.087766550925</v>
      </c>
      <c r="AI713">
        <v>62</v>
      </c>
      <c r="AJ713">
        <v>62</v>
      </c>
      <c r="AN713">
        <v>45170</v>
      </c>
      <c r="AO713">
        <v>45199</v>
      </c>
      <c r="AP713" t="s">
        <v>1101</v>
      </c>
    </row>
    <row r="714" spans="1:42" x14ac:dyDescent="0.25">
      <c r="A714">
        <v>2023</v>
      </c>
      <c r="B714">
        <v>9</v>
      </c>
      <c r="C714">
        <v>17</v>
      </c>
      <c r="D714" t="s">
        <v>1088</v>
      </c>
      <c r="E714" t="s">
        <v>282</v>
      </c>
      <c r="F714">
        <v>163699</v>
      </c>
      <c r="G714">
        <v>10416468</v>
      </c>
      <c r="H714" t="s">
        <v>282</v>
      </c>
      <c r="J714">
        <v>54107245</v>
      </c>
      <c r="K714">
        <v>1100</v>
      </c>
      <c r="L714">
        <v>1700</v>
      </c>
      <c r="M714">
        <v>1304</v>
      </c>
      <c r="P714">
        <v>216</v>
      </c>
      <c r="Q714">
        <v>1</v>
      </c>
      <c r="R714">
        <v>216</v>
      </c>
      <c r="S714">
        <v>45194.670133020831</v>
      </c>
      <c r="T714">
        <v>5500</v>
      </c>
      <c r="U714" t="s">
        <v>1154</v>
      </c>
      <c r="V714" t="s">
        <v>99</v>
      </c>
      <c r="W714" t="s">
        <v>2</v>
      </c>
      <c r="AI714">
        <v>62</v>
      </c>
      <c r="AJ714">
        <v>62</v>
      </c>
      <c r="AN714">
        <v>45170</v>
      </c>
      <c r="AO714">
        <v>45199</v>
      </c>
      <c r="AP714" t="s">
        <v>1101</v>
      </c>
    </row>
    <row r="715" spans="1:42" x14ac:dyDescent="0.25">
      <c r="A715">
        <v>2023</v>
      </c>
      <c r="B715">
        <v>9</v>
      </c>
      <c r="C715">
        <v>17</v>
      </c>
      <c r="D715" t="s">
        <v>1088</v>
      </c>
      <c r="E715" t="s">
        <v>282</v>
      </c>
      <c r="F715">
        <v>163699</v>
      </c>
      <c r="G715">
        <v>10416468</v>
      </c>
      <c r="H715" t="s">
        <v>282</v>
      </c>
      <c r="J715">
        <v>54107247</v>
      </c>
      <c r="K715">
        <v>1100</v>
      </c>
      <c r="L715">
        <v>1700</v>
      </c>
      <c r="M715">
        <v>1304</v>
      </c>
      <c r="P715">
        <v>216</v>
      </c>
      <c r="Q715">
        <v>1</v>
      </c>
      <c r="R715">
        <v>216</v>
      </c>
      <c r="S715">
        <v>45194.670236805556</v>
      </c>
      <c r="T715">
        <v>5500</v>
      </c>
      <c r="U715" t="s">
        <v>1154</v>
      </c>
      <c r="V715" t="s">
        <v>99</v>
      </c>
      <c r="W715" t="s">
        <v>2</v>
      </c>
      <c r="AI715">
        <v>62</v>
      </c>
      <c r="AJ715">
        <v>62</v>
      </c>
      <c r="AN715">
        <v>45170</v>
      </c>
      <c r="AO715">
        <v>45199</v>
      </c>
      <c r="AP715" t="s">
        <v>1101</v>
      </c>
    </row>
    <row r="716" spans="1:42" x14ac:dyDescent="0.25">
      <c r="A716">
        <v>2023</v>
      </c>
      <c r="B716">
        <v>9</v>
      </c>
      <c r="C716">
        <v>17</v>
      </c>
      <c r="D716" t="s">
        <v>1088</v>
      </c>
      <c r="E716" t="s">
        <v>282</v>
      </c>
      <c r="F716">
        <v>163699</v>
      </c>
      <c r="G716">
        <v>10416468</v>
      </c>
      <c r="H716" t="s">
        <v>282</v>
      </c>
      <c r="J716">
        <v>54107249</v>
      </c>
      <c r="K716">
        <v>1100</v>
      </c>
      <c r="L716">
        <v>1700</v>
      </c>
      <c r="M716">
        <v>1304</v>
      </c>
      <c r="P716">
        <v>150</v>
      </c>
      <c r="Q716">
        <v>1</v>
      </c>
      <c r="R716">
        <v>150</v>
      </c>
      <c r="S716">
        <v>45194.670463506947</v>
      </c>
      <c r="T716">
        <v>5500</v>
      </c>
      <c r="U716" t="s">
        <v>1154</v>
      </c>
      <c r="V716" t="s">
        <v>99</v>
      </c>
      <c r="W716" t="s">
        <v>2</v>
      </c>
      <c r="AI716">
        <v>62</v>
      </c>
      <c r="AJ716">
        <v>62</v>
      </c>
      <c r="AN716">
        <v>45170</v>
      </c>
      <c r="AO716">
        <v>45199</v>
      </c>
      <c r="AP716" t="s">
        <v>1101</v>
      </c>
    </row>
    <row r="717" spans="1:42" x14ac:dyDescent="0.25">
      <c r="A717">
        <v>2023</v>
      </c>
      <c r="B717">
        <v>9</v>
      </c>
      <c r="C717">
        <v>17</v>
      </c>
      <c r="D717" t="s">
        <v>1088</v>
      </c>
      <c r="E717" t="s">
        <v>282</v>
      </c>
      <c r="F717">
        <v>163699</v>
      </c>
      <c r="G717">
        <v>10416468</v>
      </c>
      <c r="H717" t="s">
        <v>282</v>
      </c>
      <c r="J717">
        <v>54107253</v>
      </c>
      <c r="K717">
        <v>1100</v>
      </c>
      <c r="L717">
        <v>1700</v>
      </c>
      <c r="M717">
        <v>1304</v>
      </c>
      <c r="P717">
        <v>150</v>
      </c>
      <c r="Q717">
        <v>1</v>
      </c>
      <c r="R717">
        <v>150</v>
      </c>
      <c r="S717">
        <v>45194.670629594904</v>
      </c>
      <c r="T717">
        <v>5500</v>
      </c>
      <c r="U717" t="s">
        <v>1154</v>
      </c>
      <c r="V717" t="s">
        <v>99</v>
      </c>
      <c r="W717" t="s">
        <v>2</v>
      </c>
      <c r="AI717">
        <v>62</v>
      </c>
      <c r="AJ717">
        <v>62</v>
      </c>
      <c r="AN717">
        <v>45170</v>
      </c>
      <c r="AO717">
        <v>45199</v>
      </c>
      <c r="AP717" t="s">
        <v>1101</v>
      </c>
    </row>
    <row r="718" spans="1:42" x14ac:dyDescent="0.25">
      <c r="A718">
        <v>2023</v>
      </c>
      <c r="B718">
        <v>9</v>
      </c>
      <c r="C718">
        <v>17</v>
      </c>
      <c r="D718" t="s">
        <v>1088</v>
      </c>
      <c r="E718" t="s">
        <v>282</v>
      </c>
      <c r="F718">
        <v>615001</v>
      </c>
      <c r="G718">
        <v>10239264</v>
      </c>
      <c r="H718" t="s">
        <v>282</v>
      </c>
      <c r="J718">
        <v>54189314</v>
      </c>
      <c r="K718">
        <v>1103</v>
      </c>
      <c r="L718">
        <v>1702</v>
      </c>
      <c r="M718">
        <v>1301</v>
      </c>
      <c r="N718">
        <v>53011840</v>
      </c>
      <c r="O718">
        <v>45159.636895601849</v>
      </c>
      <c r="P718">
        <v>50.57</v>
      </c>
      <c r="Q718">
        <v>1</v>
      </c>
      <c r="R718">
        <v>50.57</v>
      </c>
      <c r="S718">
        <v>45196.532729664352</v>
      </c>
      <c r="T718">
        <v>5503</v>
      </c>
      <c r="U718" t="s">
        <v>1218</v>
      </c>
      <c r="V718" t="s">
        <v>1157</v>
      </c>
      <c r="W718" t="s">
        <v>1091</v>
      </c>
      <c r="X718" t="s">
        <v>1091</v>
      </c>
      <c r="AD718">
        <v>833323</v>
      </c>
      <c r="AE718" t="s">
        <v>1293</v>
      </c>
      <c r="AF718">
        <v>45196.532729479164</v>
      </c>
      <c r="AI718">
        <v>62</v>
      </c>
      <c r="AJ718">
        <v>62</v>
      </c>
      <c r="AK718" t="s">
        <v>1219</v>
      </c>
      <c r="AN718">
        <v>45170</v>
      </c>
      <c r="AO718">
        <v>45199</v>
      </c>
      <c r="AP718" t="s">
        <v>1101</v>
      </c>
    </row>
    <row r="719" spans="1:42" x14ac:dyDescent="0.25">
      <c r="A719">
        <v>2023</v>
      </c>
      <c r="B719">
        <v>9</v>
      </c>
      <c r="C719">
        <v>17</v>
      </c>
      <c r="D719" t="s">
        <v>1088</v>
      </c>
      <c r="E719" t="s">
        <v>282</v>
      </c>
      <c r="F719">
        <v>615001</v>
      </c>
      <c r="G719">
        <v>10239264</v>
      </c>
      <c r="H719" t="s">
        <v>282</v>
      </c>
      <c r="J719">
        <v>54189315</v>
      </c>
      <c r="K719">
        <v>1100</v>
      </c>
      <c r="L719">
        <v>1700</v>
      </c>
      <c r="M719">
        <v>1304</v>
      </c>
      <c r="N719">
        <v>53011840</v>
      </c>
      <c r="O719">
        <v>45159.636895601849</v>
      </c>
      <c r="P719">
        <v>165.43</v>
      </c>
      <c r="Q719">
        <v>1</v>
      </c>
      <c r="R719">
        <v>165.43</v>
      </c>
      <c r="S719">
        <v>45196.532729664352</v>
      </c>
      <c r="T719">
        <v>5504</v>
      </c>
      <c r="U719" t="s">
        <v>1220</v>
      </c>
      <c r="V719" t="s">
        <v>1221</v>
      </c>
      <c r="W719" t="s">
        <v>2</v>
      </c>
      <c r="X719" t="s">
        <v>1091</v>
      </c>
      <c r="AD719">
        <v>833323</v>
      </c>
      <c r="AE719" t="s">
        <v>1293</v>
      </c>
      <c r="AF719">
        <v>45196.532729479164</v>
      </c>
      <c r="AI719">
        <v>62</v>
      </c>
      <c r="AJ719">
        <v>62</v>
      </c>
      <c r="AN719">
        <v>45170</v>
      </c>
      <c r="AO719">
        <v>45199</v>
      </c>
      <c r="AP719" t="s">
        <v>1101</v>
      </c>
    </row>
    <row r="720" spans="1:42" x14ac:dyDescent="0.25">
      <c r="A720">
        <v>2023</v>
      </c>
      <c r="B720">
        <v>9</v>
      </c>
      <c r="C720">
        <v>17</v>
      </c>
      <c r="D720" t="s">
        <v>1088</v>
      </c>
      <c r="E720" t="s">
        <v>282</v>
      </c>
      <c r="F720">
        <v>620635</v>
      </c>
      <c r="G720">
        <v>10345211</v>
      </c>
      <c r="H720" t="s">
        <v>282</v>
      </c>
      <c r="J720">
        <v>54253837</v>
      </c>
      <c r="K720">
        <v>1104</v>
      </c>
      <c r="L720">
        <v>1702</v>
      </c>
      <c r="M720">
        <v>1304</v>
      </c>
      <c r="N720">
        <v>53706719</v>
      </c>
      <c r="O720">
        <v>45181.488452349535</v>
      </c>
      <c r="P720">
        <v>16</v>
      </c>
      <c r="Q720">
        <v>1</v>
      </c>
      <c r="R720">
        <v>16</v>
      </c>
      <c r="S720">
        <v>45198.067372337966</v>
      </c>
      <c r="T720">
        <v>5509</v>
      </c>
      <c r="U720" t="s">
        <v>1152</v>
      </c>
      <c r="V720" t="s">
        <v>1153</v>
      </c>
      <c r="W720" t="s">
        <v>2</v>
      </c>
      <c r="AI720">
        <v>62</v>
      </c>
      <c r="AJ720">
        <v>62</v>
      </c>
      <c r="AN720">
        <v>45170</v>
      </c>
      <c r="AO720">
        <v>45199</v>
      </c>
      <c r="AP720" t="s">
        <v>1101</v>
      </c>
    </row>
    <row r="721" spans="1:42" x14ac:dyDescent="0.25">
      <c r="A721">
        <v>2023</v>
      </c>
      <c r="B721">
        <v>9</v>
      </c>
      <c r="C721">
        <v>17</v>
      </c>
      <c r="D721" t="s">
        <v>1088</v>
      </c>
      <c r="E721" t="s">
        <v>282</v>
      </c>
      <c r="F721">
        <v>620635</v>
      </c>
      <c r="G721">
        <v>10345211</v>
      </c>
      <c r="H721" t="s">
        <v>282</v>
      </c>
      <c r="J721">
        <v>54253838</v>
      </c>
      <c r="K721">
        <v>1104</v>
      </c>
      <c r="L721">
        <v>1702</v>
      </c>
      <c r="M721">
        <v>1304</v>
      </c>
      <c r="N721">
        <v>53706723</v>
      </c>
      <c r="O721">
        <v>45181.48855396991</v>
      </c>
      <c r="P721">
        <v>216</v>
      </c>
      <c r="Q721">
        <v>1</v>
      </c>
      <c r="R721">
        <v>216</v>
      </c>
      <c r="S721">
        <v>45198.067372337966</v>
      </c>
      <c r="T721">
        <v>5509</v>
      </c>
      <c r="U721" t="s">
        <v>1152</v>
      </c>
      <c r="V721" t="s">
        <v>1153</v>
      </c>
      <c r="W721" t="s">
        <v>2</v>
      </c>
      <c r="AI721">
        <v>62</v>
      </c>
      <c r="AJ721">
        <v>62</v>
      </c>
      <c r="AN721">
        <v>45170</v>
      </c>
      <c r="AO721">
        <v>45199</v>
      </c>
      <c r="AP721" t="s">
        <v>1101</v>
      </c>
    </row>
    <row r="722" spans="1:42" x14ac:dyDescent="0.25">
      <c r="A722">
        <v>2023</v>
      </c>
      <c r="B722">
        <v>9</v>
      </c>
      <c r="C722">
        <v>17</v>
      </c>
      <c r="D722" t="s">
        <v>1088</v>
      </c>
      <c r="E722" t="s">
        <v>282</v>
      </c>
      <c r="F722">
        <v>624386</v>
      </c>
      <c r="G722">
        <v>10417183</v>
      </c>
      <c r="H722" t="s">
        <v>282</v>
      </c>
      <c r="J722">
        <v>54242764</v>
      </c>
      <c r="K722">
        <v>1100</v>
      </c>
      <c r="L722">
        <v>1700</v>
      </c>
      <c r="M722">
        <v>1304</v>
      </c>
      <c r="P722">
        <v>216</v>
      </c>
      <c r="Q722">
        <v>1</v>
      </c>
      <c r="R722">
        <v>216</v>
      </c>
      <c r="S722">
        <v>45197.62684178241</v>
      </c>
      <c r="T722">
        <v>5500</v>
      </c>
      <c r="U722" t="s">
        <v>1154</v>
      </c>
      <c r="V722" t="s">
        <v>99</v>
      </c>
      <c r="W722" t="s">
        <v>2</v>
      </c>
      <c r="AI722">
        <v>62</v>
      </c>
      <c r="AJ722">
        <v>62</v>
      </c>
      <c r="AN722">
        <v>45170</v>
      </c>
      <c r="AO722">
        <v>45199</v>
      </c>
      <c r="AP722" t="s">
        <v>1101</v>
      </c>
    </row>
    <row r="723" spans="1:42" x14ac:dyDescent="0.25">
      <c r="A723">
        <v>2023</v>
      </c>
      <c r="B723">
        <v>9</v>
      </c>
      <c r="C723">
        <v>17</v>
      </c>
      <c r="D723" t="s">
        <v>1088</v>
      </c>
      <c r="E723" t="s">
        <v>282</v>
      </c>
      <c r="F723">
        <v>624386</v>
      </c>
      <c r="G723">
        <v>10417183</v>
      </c>
      <c r="H723" t="s">
        <v>282</v>
      </c>
      <c r="J723">
        <v>54242768</v>
      </c>
      <c r="K723">
        <v>1100</v>
      </c>
      <c r="L723">
        <v>1700</v>
      </c>
      <c r="M723">
        <v>1304</v>
      </c>
      <c r="P723">
        <v>216</v>
      </c>
      <c r="Q723">
        <v>1</v>
      </c>
      <c r="R723">
        <v>216</v>
      </c>
      <c r="S723">
        <v>45197.62695489583</v>
      </c>
      <c r="T723">
        <v>5500</v>
      </c>
      <c r="U723" t="s">
        <v>1154</v>
      </c>
      <c r="V723" t="s">
        <v>99</v>
      </c>
      <c r="W723" t="s">
        <v>2</v>
      </c>
      <c r="AI723">
        <v>62</v>
      </c>
      <c r="AJ723">
        <v>62</v>
      </c>
      <c r="AN723">
        <v>45170</v>
      </c>
      <c r="AO723">
        <v>45199</v>
      </c>
      <c r="AP723" t="s">
        <v>1101</v>
      </c>
    </row>
    <row r="724" spans="1:42" x14ac:dyDescent="0.25">
      <c r="A724">
        <v>2023</v>
      </c>
      <c r="B724">
        <v>9</v>
      </c>
      <c r="C724">
        <v>17</v>
      </c>
      <c r="D724" t="s">
        <v>1088</v>
      </c>
      <c r="E724" t="s">
        <v>282</v>
      </c>
      <c r="F724">
        <v>624386</v>
      </c>
      <c r="G724">
        <v>10417183</v>
      </c>
      <c r="H724" t="s">
        <v>282</v>
      </c>
      <c r="J724">
        <v>54242769</v>
      </c>
      <c r="K724">
        <v>1100</v>
      </c>
      <c r="L724">
        <v>1700</v>
      </c>
      <c r="M724">
        <v>1304</v>
      </c>
      <c r="P724">
        <v>18</v>
      </c>
      <c r="Q724">
        <v>1</v>
      </c>
      <c r="R724">
        <v>18</v>
      </c>
      <c r="S724">
        <v>45197.627015243059</v>
      </c>
      <c r="T724">
        <v>5500</v>
      </c>
      <c r="U724" t="s">
        <v>1154</v>
      </c>
      <c r="V724" t="s">
        <v>99</v>
      </c>
      <c r="W724" t="s">
        <v>2</v>
      </c>
      <c r="AI724">
        <v>62</v>
      </c>
      <c r="AJ724">
        <v>62</v>
      </c>
      <c r="AN724">
        <v>45170</v>
      </c>
      <c r="AO724">
        <v>45199</v>
      </c>
      <c r="AP724" t="s">
        <v>1101</v>
      </c>
    </row>
    <row r="725" spans="1:42" x14ac:dyDescent="0.25">
      <c r="A725">
        <v>2023</v>
      </c>
      <c r="B725">
        <v>9</v>
      </c>
      <c r="C725">
        <v>17</v>
      </c>
      <c r="D725" t="s">
        <v>1088</v>
      </c>
      <c r="E725" t="s">
        <v>282</v>
      </c>
      <c r="F725">
        <v>624509</v>
      </c>
      <c r="G725">
        <v>10419196</v>
      </c>
      <c r="H725" t="s">
        <v>282</v>
      </c>
      <c r="J725">
        <v>54249280</v>
      </c>
      <c r="K725">
        <v>1100</v>
      </c>
      <c r="L725">
        <v>1700</v>
      </c>
      <c r="M725">
        <v>1304</v>
      </c>
      <c r="P725">
        <v>216</v>
      </c>
      <c r="Q725">
        <v>1</v>
      </c>
      <c r="R725">
        <v>216</v>
      </c>
      <c r="S725">
        <v>45197.691455474538</v>
      </c>
      <c r="T725">
        <v>5500</v>
      </c>
      <c r="U725" t="s">
        <v>1154</v>
      </c>
      <c r="V725" t="s">
        <v>99</v>
      </c>
      <c r="W725" t="s">
        <v>2</v>
      </c>
      <c r="AI725">
        <v>62</v>
      </c>
      <c r="AJ725">
        <v>62</v>
      </c>
      <c r="AN725">
        <v>45170</v>
      </c>
      <c r="AO725">
        <v>45199</v>
      </c>
      <c r="AP725" t="s">
        <v>1101</v>
      </c>
    </row>
    <row r="726" spans="1:42" x14ac:dyDescent="0.25">
      <c r="A726">
        <v>2023</v>
      </c>
      <c r="B726">
        <v>9</v>
      </c>
      <c r="C726">
        <v>17</v>
      </c>
      <c r="D726" t="s">
        <v>1088</v>
      </c>
      <c r="E726" t="s">
        <v>282</v>
      </c>
      <c r="F726">
        <v>624509</v>
      </c>
      <c r="G726">
        <v>10419196</v>
      </c>
      <c r="H726" t="s">
        <v>282</v>
      </c>
      <c r="J726">
        <v>54249282</v>
      </c>
      <c r="K726">
        <v>1100</v>
      </c>
      <c r="L726">
        <v>1700</v>
      </c>
      <c r="M726">
        <v>1304</v>
      </c>
      <c r="P726">
        <v>18</v>
      </c>
      <c r="Q726">
        <v>1</v>
      </c>
      <c r="R726">
        <v>18</v>
      </c>
      <c r="S726">
        <v>45197.691513923608</v>
      </c>
      <c r="T726">
        <v>5500</v>
      </c>
      <c r="U726" t="s">
        <v>1154</v>
      </c>
      <c r="V726" t="s">
        <v>99</v>
      </c>
      <c r="W726" t="s">
        <v>2</v>
      </c>
      <c r="AI726">
        <v>62</v>
      </c>
      <c r="AJ726">
        <v>62</v>
      </c>
      <c r="AN726">
        <v>45170</v>
      </c>
      <c r="AO726">
        <v>45199</v>
      </c>
      <c r="AP726" t="s">
        <v>1101</v>
      </c>
    </row>
    <row r="727" spans="1:42" x14ac:dyDescent="0.25">
      <c r="A727">
        <v>2023</v>
      </c>
      <c r="B727">
        <v>9</v>
      </c>
      <c r="C727">
        <v>17</v>
      </c>
      <c r="D727" t="s">
        <v>1088</v>
      </c>
      <c r="E727" t="s">
        <v>282</v>
      </c>
      <c r="F727">
        <v>587360</v>
      </c>
      <c r="H727" t="s">
        <v>282</v>
      </c>
      <c r="I727">
        <v>1257734</v>
      </c>
      <c r="M727">
        <v>1304</v>
      </c>
      <c r="P727">
        <v>50</v>
      </c>
      <c r="Q727">
        <v>1</v>
      </c>
      <c r="R727">
        <v>50</v>
      </c>
      <c r="S727">
        <v>45197</v>
      </c>
      <c r="U727" t="s">
        <v>222</v>
      </c>
      <c r="V727" t="s">
        <v>102</v>
      </c>
      <c r="W727" t="s">
        <v>1179</v>
      </c>
      <c r="AI727">
        <v>62</v>
      </c>
      <c r="AL727" t="s">
        <v>1159</v>
      </c>
      <c r="AM727" t="s">
        <v>282</v>
      </c>
      <c r="AN727">
        <v>45170</v>
      </c>
      <c r="AO727">
        <v>45199</v>
      </c>
      <c r="AP727" t="s">
        <v>1101</v>
      </c>
    </row>
    <row r="728" spans="1:42" x14ac:dyDescent="0.25">
      <c r="A728">
        <v>2023</v>
      </c>
      <c r="B728">
        <v>9</v>
      </c>
      <c r="C728">
        <v>17</v>
      </c>
      <c r="D728" t="s">
        <v>1088</v>
      </c>
      <c r="E728" t="s">
        <v>282</v>
      </c>
      <c r="F728">
        <v>541945</v>
      </c>
      <c r="H728" t="s">
        <v>282</v>
      </c>
      <c r="I728">
        <v>1243249</v>
      </c>
      <c r="M728">
        <v>1304</v>
      </c>
      <c r="P728">
        <v>300</v>
      </c>
      <c r="Q728">
        <v>1</v>
      </c>
      <c r="R728">
        <v>300</v>
      </c>
      <c r="S728">
        <v>45177</v>
      </c>
      <c r="U728" t="s">
        <v>222</v>
      </c>
      <c r="V728" t="s">
        <v>102</v>
      </c>
      <c r="W728" t="s">
        <v>1091</v>
      </c>
      <c r="AI728">
        <v>62</v>
      </c>
      <c r="AL728" t="s">
        <v>1159</v>
      </c>
      <c r="AM728" t="s">
        <v>282</v>
      </c>
      <c r="AN728">
        <v>45170</v>
      </c>
      <c r="AO728">
        <v>45199</v>
      </c>
      <c r="AP728" t="s">
        <v>1101</v>
      </c>
    </row>
    <row r="729" spans="1:42" x14ac:dyDescent="0.25">
      <c r="A729">
        <v>2023</v>
      </c>
      <c r="B729">
        <v>9</v>
      </c>
      <c r="C729">
        <v>17</v>
      </c>
      <c r="D729" t="s">
        <v>1088</v>
      </c>
      <c r="E729" t="s">
        <v>282</v>
      </c>
      <c r="F729">
        <v>538953</v>
      </c>
      <c r="H729" t="s">
        <v>282</v>
      </c>
      <c r="I729">
        <v>1254511</v>
      </c>
      <c r="M729">
        <v>1304</v>
      </c>
      <c r="P729">
        <v>450</v>
      </c>
      <c r="Q729">
        <v>1</v>
      </c>
      <c r="R729">
        <v>450</v>
      </c>
      <c r="S729">
        <v>45194</v>
      </c>
      <c r="U729" t="s">
        <v>222</v>
      </c>
      <c r="V729" t="s">
        <v>102</v>
      </c>
      <c r="W729" t="s">
        <v>1091</v>
      </c>
      <c r="AI729">
        <v>62</v>
      </c>
      <c r="AL729" t="s">
        <v>1159</v>
      </c>
      <c r="AM729" t="s">
        <v>282</v>
      </c>
      <c r="AN729">
        <v>45170</v>
      </c>
      <c r="AO729">
        <v>45199</v>
      </c>
      <c r="AP729" t="s">
        <v>1101</v>
      </c>
    </row>
    <row r="730" spans="1:42" x14ac:dyDescent="0.25">
      <c r="A730">
        <v>2023</v>
      </c>
      <c r="B730">
        <v>9</v>
      </c>
      <c r="C730">
        <v>17</v>
      </c>
      <c r="D730" t="s">
        <v>1088</v>
      </c>
      <c r="E730" t="s">
        <v>282</v>
      </c>
      <c r="F730">
        <v>541945</v>
      </c>
      <c r="H730" t="s">
        <v>282</v>
      </c>
      <c r="I730">
        <v>1253297</v>
      </c>
      <c r="M730">
        <v>1304</v>
      </c>
      <c r="P730">
        <v>300</v>
      </c>
      <c r="Q730">
        <v>1</v>
      </c>
      <c r="R730">
        <v>300</v>
      </c>
      <c r="S730">
        <v>45191</v>
      </c>
      <c r="U730" t="s">
        <v>222</v>
      </c>
      <c r="V730" t="s">
        <v>102</v>
      </c>
      <c r="W730" t="s">
        <v>1091</v>
      </c>
      <c r="AI730">
        <v>62</v>
      </c>
      <c r="AL730" t="s">
        <v>1159</v>
      </c>
      <c r="AM730" t="s">
        <v>282</v>
      </c>
      <c r="AN730">
        <v>45170</v>
      </c>
      <c r="AO730">
        <v>45199</v>
      </c>
      <c r="AP730" t="s">
        <v>1101</v>
      </c>
    </row>
    <row r="731" spans="1:42" x14ac:dyDescent="0.25">
      <c r="A731">
        <v>2023</v>
      </c>
      <c r="B731">
        <v>9</v>
      </c>
      <c r="C731">
        <v>17</v>
      </c>
      <c r="D731" t="s">
        <v>1088</v>
      </c>
      <c r="E731" t="s">
        <v>282</v>
      </c>
      <c r="F731">
        <v>540264</v>
      </c>
      <c r="H731" t="s">
        <v>282</v>
      </c>
      <c r="I731">
        <v>1259073</v>
      </c>
      <c r="M731">
        <v>1304</v>
      </c>
      <c r="P731">
        <v>158</v>
      </c>
      <c r="Q731">
        <v>1</v>
      </c>
      <c r="R731">
        <v>158</v>
      </c>
      <c r="S731">
        <v>45198</v>
      </c>
      <c r="U731" t="s">
        <v>222</v>
      </c>
      <c r="V731" t="s">
        <v>102</v>
      </c>
      <c r="AI731">
        <v>62</v>
      </c>
      <c r="AL731" t="s">
        <v>1159</v>
      </c>
      <c r="AM731" t="s">
        <v>282</v>
      </c>
      <c r="AN731">
        <v>45170</v>
      </c>
      <c r="AO731">
        <v>45199</v>
      </c>
      <c r="AP731" t="s">
        <v>1101</v>
      </c>
    </row>
    <row r="732" spans="1:42" x14ac:dyDescent="0.25">
      <c r="A732">
        <v>2023</v>
      </c>
      <c r="B732">
        <v>9</v>
      </c>
      <c r="C732">
        <v>17</v>
      </c>
      <c r="D732" t="s">
        <v>1088</v>
      </c>
      <c r="E732" t="s">
        <v>282</v>
      </c>
      <c r="F732">
        <v>614098</v>
      </c>
      <c r="H732" t="s">
        <v>282</v>
      </c>
      <c r="I732">
        <v>1243892</v>
      </c>
      <c r="M732">
        <v>1304</v>
      </c>
      <c r="P732">
        <v>450</v>
      </c>
      <c r="Q732">
        <v>1</v>
      </c>
      <c r="R732">
        <v>450</v>
      </c>
      <c r="S732">
        <v>45180</v>
      </c>
      <c r="U732" t="s">
        <v>222</v>
      </c>
      <c r="V732" t="s">
        <v>102</v>
      </c>
      <c r="AI732">
        <v>62</v>
      </c>
      <c r="AL732" t="s">
        <v>1159</v>
      </c>
      <c r="AM732" t="s">
        <v>282</v>
      </c>
      <c r="AN732">
        <v>45170</v>
      </c>
      <c r="AO732">
        <v>45199</v>
      </c>
      <c r="AP732" t="s">
        <v>1101</v>
      </c>
    </row>
    <row r="733" spans="1:42" x14ac:dyDescent="0.25">
      <c r="A733">
        <v>2023</v>
      </c>
      <c r="B733">
        <v>9</v>
      </c>
      <c r="C733">
        <v>17</v>
      </c>
      <c r="D733" t="s">
        <v>1088</v>
      </c>
      <c r="E733" t="s">
        <v>282</v>
      </c>
      <c r="F733">
        <v>615836</v>
      </c>
      <c r="H733" t="s">
        <v>282</v>
      </c>
      <c r="I733">
        <v>1238075</v>
      </c>
      <c r="M733">
        <v>1304</v>
      </c>
      <c r="P733">
        <v>150</v>
      </c>
      <c r="Q733">
        <v>1</v>
      </c>
      <c r="R733">
        <v>150</v>
      </c>
      <c r="S733">
        <v>45170</v>
      </c>
      <c r="U733" t="s">
        <v>222</v>
      </c>
      <c r="V733" t="s">
        <v>102</v>
      </c>
      <c r="W733" t="s">
        <v>1179</v>
      </c>
      <c r="AI733">
        <v>62</v>
      </c>
      <c r="AL733" t="s">
        <v>1159</v>
      </c>
      <c r="AM733" t="s">
        <v>282</v>
      </c>
      <c r="AN733">
        <v>45170</v>
      </c>
      <c r="AO733">
        <v>45199</v>
      </c>
      <c r="AP733" t="s">
        <v>1101</v>
      </c>
    </row>
    <row r="734" spans="1:42" x14ac:dyDescent="0.25">
      <c r="A734">
        <v>2023</v>
      </c>
      <c r="B734">
        <v>9</v>
      </c>
      <c r="C734">
        <v>17</v>
      </c>
      <c r="D734" t="s">
        <v>1088</v>
      </c>
      <c r="E734" t="s">
        <v>282</v>
      </c>
      <c r="F734">
        <v>615836</v>
      </c>
      <c r="H734" t="s">
        <v>282</v>
      </c>
      <c r="I734">
        <v>1256146</v>
      </c>
      <c r="M734">
        <v>1304</v>
      </c>
      <c r="P734">
        <v>50.76</v>
      </c>
      <c r="Q734">
        <v>1</v>
      </c>
      <c r="R734">
        <v>50.76</v>
      </c>
      <c r="S734">
        <v>45196.340615127316</v>
      </c>
      <c r="U734" t="s">
        <v>1294</v>
      </c>
      <c r="V734" t="s">
        <v>102</v>
      </c>
      <c r="W734" t="s">
        <v>1179</v>
      </c>
      <c r="AI734">
        <v>62</v>
      </c>
      <c r="AL734" t="s">
        <v>110</v>
      </c>
      <c r="AM734" t="s">
        <v>282</v>
      </c>
      <c r="AN734">
        <v>45170</v>
      </c>
      <c r="AO734">
        <v>45199</v>
      </c>
      <c r="AP734" t="s">
        <v>1101</v>
      </c>
    </row>
    <row r="735" spans="1:42" x14ac:dyDescent="0.25">
      <c r="A735">
        <v>2023</v>
      </c>
      <c r="B735">
        <v>9</v>
      </c>
      <c r="C735">
        <v>17</v>
      </c>
      <c r="D735" t="s">
        <v>1088</v>
      </c>
      <c r="E735" t="s">
        <v>282</v>
      </c>
      <c r="F735">
        <v>618565</v>
      </c>
      <c r="H735" t="s">
        <v>282</v>
      </c>
      <c r="I735">
        <v>1242503</v>
      </c>
      <c r="M735">
        <v>1304</v>
      </c>
      <c r="P735">
        <v>432</v>
      </c>
      <c r="Q735">
        <v>1</v>
      </c>
      <c r="R735">
        <v>432</v>
      </c>
      <c r="S735">
        <v>45177</v>
      </c>
      <c r="U735" t="s">
        <v>222</v>
      </c>
      <c r="V735" t="s">
        <v>102</v>
      </c>
      <c r="AI735">
        <v>62</v>
      </c>
      <c r="AL735" t="s">
        <v>1160</v>
      </c>
      <c r="AM735" t="s">
        <v>282</v>
      </c>
      <c r="AN735">
        <v>45170</v>
      </c>
      <c r="AO735">
        <v>45199</v>
      </c>
      <c r="AP735" t="s">
        <v>1101</v>
      </c>
    </row>
    <row r="736" spans="1:42" x14ac:dyDescent="0.25">
      <c r="A736">
        <v>2023</v>
      </c>
      <c r="B736">
        <v>9</v>
      </c>
      <c r="C736">
        <v>17</v>
      </c>
      <c r="D736" t="s">
        <v>1088</v>
      </c>
      <c r="E736" t="s">
        <v>282</v>
      </c>
      <c r="F736">
        <v>618779</v>
      </c>
      <c r="H736" t="s">
        <v>282</v>
      </c>
      <c r="I736">
        <v>1245118</v>
      </c>
      <c r="M736">
        <v>1304</v>
      </c>
      <c r="P736">
        <v>432</v>
      </c>
      <c r="Q736">
        <v>1</v>
      </c>
      <c r="R736">
        <v>432</v>
      </c>
      <c r="S736">
        <v>45181</v>
      </c>
      <c r="U736" t="s">
        <v>222</v>
      </c>
      <c r="V736" t="s">
        <v>102</v>
      </c>
      <c r="AI736">
        <v>62</v>
      </c>
      <c r="AL736" t="s">
        <v>1159</v>
      </c>
      <c r="AM736" t="s">
        <v>282</v>
      </c>
      <c r="AN736">
        <v>45170</v>
      </c>
      <c r="AO736">
        <v>45199</v>
      </c>
      <c r="AP736" t="s">
        <v>1101</v>
      </c>
    </row>
    <row r="737" spans="1:42" x14ac:dyDescent="0.25">
      <c r="A737">
        <v>2023</v>
      </c>
      <c r="B737">
        <v>9</v>
      </c>
      <c r="C737">
        <v>17</v>
      </c>
      <c r="D737" t="s">
        <v>1088</v>
      </c>
      <c r="E737" t="s">
        <v>282</v>
      </c>
      <c r="F737">
        <v>624386</v>
      </c>
      <c r="H737" t="s">
        <v>282</v>
      </c>
      <c r="I737">
        <v>1257851</v>
      </c>
      <c r="M737">
        <v>1304</v>
      </c>
      <c r="P737">
        <v>225</v>
      </c>
      <c r="Q737">
        <v>1</v>
      </c>
      <c r="R737">
        <v>225</v>
      </c>
      <c r="S737">
        <v>45197</v>
      </c>
      <c r="U737" t="s">
        <v>222</v>
      </c>
      <c r="V737" t="s">
        <v>102</v>
      </c>
      <c r="AI737">
        <v>62</v>
      </c>
      <c r="AL737" t="s">
        <v>1159</v>
      </c>
      <c r="AM737" t="s">
        <v>282</v>
      </c>
      <c r="AN737">
        <v>45170</v>
      </c>
      <c r="AO737">
        <v>45199</v>
      </c>
      <c r="AP737" t="s">
        <v>1101</v>
      </c>
    </row>
    <row r="738" spans="1:42" x14ac:dyDescent="0.25">
      <c r="A738">
        <v>2023</v>
      </c>
      <c r="B738">
        <v>9</v>
      </c>
      <c r="C738">
        <v>17</v>
      </c>
      <c r="D738" t="s">
        <v>1088</v>
      </c>
      <c r="E738" t="s">
        <v>282</v>
      </c>
      <c r="F738">
        <v>624160</v>
      </c>
      <c r="H738" t="s">
        <v>282</v>
      </c>
      <c r="I738">
        <v>1258015</v>
      </c>
      <c r="M738">
        <v>1304</v>
      </c>
      <c r="P738">
        <v>200</v>
      </c>
      <c r="Q738">
        <v>1</v>
      </c>
      <c r="R738">
        <v>200</v>
      </c>
      <c r="S738">
        <v>45197</v>
      </c>
      <c r="U738" t="s">
        <v>222</v>
      </c>
      <c r="V738" t="s">
        <v>102</v>
      </c>
      <c r="AI738">
        <v>62</v>
      </c>
      <c r="AL738" t="s">
        <v>1159</v>
      </c>
      <c r="AM738" t="s">
        <v>282</v>
      </c>
      <c r="AN738">
        <v>45170</v>
      </c>
      <c r="AO738">
        <v>45199</v>
      </c>
      <c r="AP738" t="s">
        <v>1101</v>
      </c>
    </row>
    <row r="739" spans="1:42" x14ac:dyDescent="0.25">
      <c r="A739">
        <v>2023</v>
      </c>
      <c r="B739">
        <v>9</v>
      </c>
      <c r="C739">
        <v>17</v>
      </c>
      <c r="D739" t="s">
        <v>1088</v>
      </c>
      <c r="E739" t="s">
        <v>282</v>
      </c>
      <c r="F739">
        <v>625057</v>
      </c>
      <c r="H739" t="s">
        <v>282</v>
      </c>
      <c r="I739">
        <v>1256623</v>
      </c>
      <c r="M739">
        <v>1304</v>
      </c>
      <c r="P739">
        <v>35</v>
      </c>
      <c r="Q739">
        <v>1</v>
      </c>
      <c r="R739">
        <v>35</v>
      </c>
      <c r="S739">
        <v>45196</v>
      </c>
      <c r="U739" t="s">
        <v>222</v>
      </c>
      <c r="V739" t="s">
        <v>102</v>
      </c>
      <c r="AI739">
        <v>62</v>
      </c>
      <c r="AL739" t="s">
        <v>1159</v>
      </c>
      <c r="AM739" t="s">
        <v>282</v>
      </c>
      <c r="AN739">
        <v>45170</v>
      </c>
      <c r="AO739">
        <v>45199</v>
      </c>
      <c r="AP739" t="s">
        <v>1101</v>
      </c>
    </row>
    <row r="740" spans="1:42" x14ac:dyDescent="0.25">
      <c r="A740">
        <v>2023</v>
      </c>
      <c r="B740">
        <v>9</v>
      </c>
      <c r="C740">
        <v>17</v>
      </c>
      <c r="D740" t="s">
        <v>1088</v>
      </c>
      <c r="E740" t="s">
        <v>282</v>
      </c>
      <c r="F740">
        <v>624509</v>
      </c>
      <c r="H740" t="s">
        <v>282</v>
      </c>
      <c r="I740">
        <v>1255644</v>
      </c>
      <c r="M740">
        <v>1304</v>
      </c>
      <c r="P740">
        <v>450</v>
      </c>
      <c r="Q740">
        <v>1</v>
      </c>
      <c r="R740">
        <v>450</v>
      </c>
      <c r="S740">
        <v>45195</v>
      </c>
      <c r="U740" t="s">
        <v>222</v>
      </c>
      <c r="V740" t="s">
        <v>102</v>
      </c>
      <c r="W740" t="s">
        <v>1091</v>
      </c>
      <c r="AI740">
        <v>62</v>
      </c>
      <c r="AL740" t="s">
        <v>1159</v>
      </c>
      <c r="AM740" t="s">
        <v>282</v>
      </c>
      <c r="AN740">
        <v>45170</v>
      </c>
      <c r="AO740">
        <v>45199</v>
      </c>
      <c r="AP740" t="s">
        <v>1101</v>
      </c>
    </row>
    <row r="741" spans="1:42" x14ac:dyDescent="0.25">
      <c r="A741">
        <v>2023</v>
      </c>
      <c r="B741">
        <v>9</v>
      </c>
      <c r="C741">
        <v>17</v>
      </c>
      <c r="D741" t="s">
        <v>1088</v>
      </c>
      <c r="E741" t="s">
        <v>282</v>
      </c>
      <c r="F741">
        <v>403402</v>
      </c>
      <c r="G741">
        <v>9931032</v>
      </c>
      <c r="H741" t="s">
        <v>282</v>
      </c>
      <c r="J741">
        <v>53605384</v>
      </c>
      <c r="K741">
        <v>1104</v>
      </c>
      <c r="L741">
        <v>1702</v>
      </c>
      <c r="M741">
        <v>1304</v>
      </c>
      <c r="N741">
        <v>51695621</v>
      </c>
      <c r="O741">
        <v>45117.446424618058</v>
      </c>
      <c r="P741">
        <v>18</v>
      </c>
      <c r="Q741">
        <v>1</v>
      </c>
      <c r="R741">
        <v>18</v>
      </c>
      <c r="S741">
        <v>45177.414821643521</v>
      </c>
      <c r="T741">
        <v>5509</v>
      </c>
      <c r="U741" t="s">
        <v>1152</v>
      </c>
      <c r="V741" t="s">
        <v>1153</v>
      </c>
      <c r="W741" t="s">
        <v>2</v>
      </c>
      <c r="AI741">
        <v>62</v>
      </c>
      <c r="AJ741">
        <v>62</v>
      </c>
      <c r="AN741">
        <v>45170</v>
      </c>
      <c r="AO741">
        <v>45199</v>
      </c>
      <c r="AP741" t="s">
        <v>1101</v>
      </c>
    </row>
    <row r="742" spans="1:42" x14ac:dyDescent="0.25">
      <c r="A742">
        <v>2023</v>
      </c>
      <c r="B742">
        <v>9</v>
      </c>
      <c r="C742">
        <v>17</v>
      </c>
      <c r="D742" t="s">
        <v>1088</v>
      </c>
      <c r="E742" t="s">
        <v>282</v>
      </c>
      <c r="F742">
        <v>403402</v>
      </c>
      <c r="G742">
        <v>9931032</v>
      </c>
      <c r="H742" t="s">
        <v>282</v>
      </c>
      <c r="J742">
        <v>53605378</v>
      </c>
      <c r="K742">
        <v>1104</v>
      </c>
      <c r="L742">
        <v>1702</v>
      </c>
      <c r="M742">
        <v>1304</v>
      </c>
      <c r="N742">
        <v>51695619</v>
      </c>
      <c r="O742">
        <v>45117.446231516202</v>
      </c>
      <c r="P742">
        <v>216</v>
      </c>
      <c r="Q742">
        <v>1</v>
      </c>
      <c r="R742">
        <v>216</v>
      </c>
      <c r="S742">
        <v>45177.414666701392</v>
      </c>
      <c r="T742">
        <v>5509</v>
      </c>
      <c r="U742" t="s">
        <v>1152</v>
      </c>
      <c r="V742" t="s">
        <v>1153</v>
      </c>
      <c r="W742" t="s">
        <v>2</v>
      </c>
      <c r="AI742">
        <v>62</v>
      </c>
      <c r="AJ742">
        <v>62</v>
      </c>
      <c r="AN742">
        <v>45170</v>
      </c>
      <c r="AO742">
        <v>45199</v>
      </c>
      <c r="AP742" t="s">
        <v>1101</v>
      </c>
    </row>
    <row r="743" spans="1:42" x14ac:dyDescent="0.25">
      <c r="A743">
        <v>2023</v>
      </c>
      <c r="B743">
        <v>9</v>
      </c>
      <c r="C743">
        <v>17</v>
      </c>
      <c r="D743" t="s">
        <v>1088</v>
      </c>
      <c r="E743" t="s">
        <v>282</v>
      </c>
      <c r="F743">
        <v>403402</v>
      </c>
      <c r="G743">
        <v>9931032</v>
      </c>
      <c r="H743" t="s">
        <v>282</v>
      </c>
      <c r="J743">
        <v>53605382</v>
      </c>
      <c r="K743">
        <v>1104</v>
      </c>
      <c r="L743">
        <v>1702</v>
      </c>
      <c r="M743">
        <v>1304</v>
      </c>
      <c r="N743">
        <v>51695620</v>
      </c>
      <c r="O743">
        <v>45117.446355671294</v>
      </c>
      <c r="P743">
        <v>216</v>
      </c>
      <c r="Q743">
        <v>1</v>
      </c>
      <c r="R743">
        <v>216</v>
      </c>
      <c r="S743">
        <v>45177.414741932873</v>
      </c>
      <c r="T743">
        <v>5509</v>
      </c>
      <c r="U743" t="s">
        <v>1152</v>
      </c>
      <c r="V743" t="s">
        <v>1153</v>
      </c>
      <c r="W743" t="s">
        <v>2</v>
      </c>
      <c r="AI743">
        <v>62</v>
      </c>
      <c r="AJ743">
        <v>62</v>
      </c>
      <c r="AN743">
        <v>45170</v>
      </c>
      <c r="AO743">
        <v>45199</v>
      </c>
      <c r="AP743" t="s">
        <v>1101</v>
      </c>
    </row>
    <row r="744" spans="1:42" x14ac:dyDescent="0.25">
      <c r="A744">
        <v>2023</v>
      </c>
      <c r="B744">
        <v>9</v>
      </c>
      <c r="C744">
        <v>17</v>
      </c>
      <c r="D744" t="s">
        <v>1088</v>
      </c>
      <c r="E744" t="s">
        <v>282</v>
      </c>
      <c r="F744">
        <v>570692</v>
      </c>
      <c r="G744">
        <v>9542719</v>
      </c>
      <c r="H744" t="s">
        <v>282</v>
      </c>
      <c r="J744">
        <v>53732375</v>
      </c>
      <c r="K744">
        <v>1104</v>
      </c>
      <c r="L744">
        <v>1702</v>
      </c>
      <c r="M744">
        <v>1304</v>
      </c>
      <c r="N744">
        <v>49258633</v>
      </c>
      <c r="O744">
        <v>45040.448284803242</v>
      </c>
      <c r="P744">
        <v>25</v>
      </c>
      <c r="Q744">
        <v>1</v>
      </c>
      <c r="R744">
        <v>25</v>
      </c>
      <c r="S744">
        <v>45182.067373032405</v>
      </c>
      <c r="T744">
        <v>5509</v>
      </c>
      <c r="U744" t="s">
        <v>1152</v>
      </c>
      <c r="V744" t="s">
        <v>1153</v>
      </c>
      <c r="W744" t="s">
        <v>2</v>
      </c>
      <c r="AI744">
        <v>62</v>
      </c>
      <c r="AJ744">
        <v>62</v>
      </c>
      <c r="AN744">
        <v>45170</v>
      </c>
      <c r="AO744">
        <v>45199</v>
      </c>
      <c r="AP744" t="s">
        <v>1101</v>
      </c>
    </row>
    <row r="745" spans="1:42" x14ac:dyDescent="0.25">
      <c r="A745">
        <v>2023</v>
      </c>
      <c r="B745">
        <v>9</v>
      </c>
      <c r="C745">
        <v>17</v>
      </c>
      <c r="D745" t="s">
        <v>1088</v>
      </c>
      <c r="E745" t="s">
        <v>282</v>
      </c>
      <c r="F745">
        <v>613182</v>
      </c>
      <c r="G745">
        <v>10202379</v>
      </c>
      <c r="H745" t="s">
        <v>282</v>
      </c>
      <c r="J745">
        <v>53927965</v>
      </c>
      <c r="K745">
        <v>1105</v>
      </c>
      <c r="L745">
        <v>1702</v>
      </c>
      <c r="M745">
        <v>1300</v>
      </c>
      <c r="N745">
        <v>52734556</v>
      </c>
      <c r="O745">
        <v>45149.413286724535</v>
      </c>
      <c r="P745">
        <v>216</v>
      </c>
      <c r="Q745">
        <v>1</v>
      </c>
      <c r="R745">
        <v>-216</v>
      </c>
      <c r="S745">
        <v>45188.410142361114</v>
      </c>
      <c r="T745">
        <v>5511</v>
      </c>
      <c r="U745" t="s">
        <v>1156</v>
      </c>
      <c r="V745" t="s">
        <v>99</v>
      </c>
      <c r="W745" t="s">
        <v>88</v>
      </c>
      <c r="X745" t="s">
        <v>1032</v>
      </c>
      <c r="AI745">
        <v>62</v>
      </c>
      <c r="AJ745">
        <v>62</v>
      </c>
      <c r="AN745">
        <v>45170</v>
      </c>
      <c r="AO745">
        <v>45199</v>
      </c>
      <c r="AP745" t="s">
        <v>1101</v>
      </c>
    </row>
    <row r="746" spans="1:42" x14ac:dyDescent="0.25">
      <c r="A746">
        <v>2023</v>
      </c>
      <c r="B746">
        <v>9</v>
      </c>
      <c r="C746">
        <v>17</v>
      </c>
      <c r="D746" t="s">
        <v>1088</v>
      </c>
      <c r="E746" t="s">
        <v>282</v>
      </c>
      <c r="F746">
        <v>613182</v>
      </c>
      <c r="G746">
        <v>10202379</v>
      </c>
      <c r="H746" t="s">
        <v>282</v>
      </c>
      <c r="J746">
        <v>53927966</v>
      </c>
      <c r="K746">
        <v>1105</v>
      </c>
      <c r="L746">
        <v>1702</v>
      </c>
      <c r="M746">
        <v>1300</v>
      </c>
      <c r="N746">
        <v>52734561</v>
      </c>
      <c r="O746">
        <v>45149.413377974539</v>
      </c>
      <c r="P746">
        <v>216</v>
      </c>
      <c r="Q746">
        <v>1</v>
      </c>
      <c r="R746">
        <v>-216</v>
      </c>
      <c r="S746">
        <v>45188.410178275466</v>
      </c>
      <c r="T746">
        <v>5511</v>
      </c>
      <c r="U746" t="s">
        <v>1156</v>
      </c>
      <c r="V746" t="s">
        <v>99</v>
      </c>
      <c r="W746" t="s">
        <v>88</v>
      </c>
      <c r="X746" t="s">
        <v>1032</v>
      </c>
      <c r="AI746">
        <v>62</v>
      </c>
      <c r="AJ746">
        <v>62</v>
      </c>
      <c r="AN746">
        <v>45170</v>
      </c>
      <c r="AO746">
        <v>45199</v>
      </c>
      <c r="AP746" t="s">
        <v>1101</v>
      </c>
    </row>
    <row r="747" spans="1:42" x14ac:dyDescent="0.25">
      <c r="A747">
        <v>2023</v>
      </c>
      <c r="B747">
        <v>9</v>
      </c>
      <c r="C747">
        <v>17</v>
      </c>
      <c r="D747" t="s">
        <v>1088</v>
      </c>
      <c r="E747" t="s">
        <v>282</v>
      </c>
      <c r="F747">
        <v>613182</v>
      </c>
      <c r="G747">
        <v>10202379</v>
      </c>
      <c r="H747" t="s">
        <v>282</v>
      </c>
      <c r="J747">
        <v>53927974</v>
      </c>
      <c r="K747">
        <v>1100</v>
      </c>
      <c r="L747">
        <v>1700</v>
      </c>
      <c r="M747">
        <v>1304</v>
      </c>
      <c r="P747">
        <v>216</v>
      </c>
      <c r="Q747">
        <v>1</v>
      </c>
      <c r="R747">
        <v>216</v>
      </c>
      <c r="S747">
        <v>45188.410312581022</v>
      </c>
      <c r="T747">
        <v>5500</v>
      </c>
      <c r="U747" t="s">
        <v>1154</v>
      </c>
      <c r="V747" t="s">
        <v>99</v>
      </c>
      <c r="W747" t="s">
        <v>2</v>
      </c>
      <c r="AI747">
        <v>62</v>
      </c>
      <c r="AJ747">
        <v>62</v>
      </c>
      <c r="AN747">
        <v>45170</v>
      </c>
      <c r="AO747">
        <v>45199</v>
      </c>
      <c r="AP747" t="s">
        <v>1101</v>
      </c>
    </row>
    <row r="748" spans="1:42" x14ac:dyDescent="0.25">
      <c r="A748">
        <v>2023</v>
      </c>
      <c r="B748">
        <v>9</v>
      </c>
      <c r="C748">
        <v>17</v>
      </c>
      <c r="D748" t="s">
        <v>1088</v>
      </c>
      <c r="E748" t="s">
        <v>282</v>
      </c>
      <c r="F748">
        <v>602658</v>
      </c>
      <c r="G748">
        <v>10020257</v>
      </c>
      <c r="H748" t="s">
        <v>282</v>
      </c>
      <c r="J748">
        <v>53908563</v>
      </c>
      <c r="K748">
        <v>1106</v>
      </c>
      <c r="L748">
        <v>1706</v>
      </c>
      <c r="M748">
        <v>1301</v>
      </c>
      <c r="N748">
        <v>51670742</v>
      </c>
      <c r="O748">
        <v>45114.591091319446</v>
      </c>
      <c r="P748">
        <v>109.5</v>
      </c>
      <c r="Q748">
        <v>1</v>
      </c>
      <c r="R748">
        <v>109.5</v>
      </c>
      <c r="S748">
        <v>45187.632075891204</v>
      </c>
      <c r="T748">
        <v>5501</v>
      </c>
      <c r="U748" t="s">
        <v>1164</v>
      </c>
      <c r="V748" t="s">
        <v>1165</v>
      </c>
      <c r="AI748">
        <v>62</v>
      </c>
      <c r="AJ748">
        <v>62</v>
      </c>
      <c r="AN748">
        <v>45170</v>
      </c>
      <c r="AO748">
        <v>45199</v>
      </c>
      <c r="AP748" t="s">
        <v>1101</v>
      </c>
    </row>
    <row r="749" spans="1:42" x14ac:dyDescent="0.25">
      <c r="A749">
        <v>2023</v>
      </c>
      <c r="B749">
        <v>9</v>
      </c>
      <c r="C749">
        <v>17</v>
      </c>
      <c r="D749" t="s">
        <v>1088</v>
      </c>
      <c r="E749" t="s">
        <v>282</v>
      </c>
      <c r="F749">
        <v>602658</v>
      </c>
      <c r="G749">
        <v>10020257</v>
      </c>
      <c r="H749" t="s">
        <v>282</v>
      </c>
      <c r="J749">
        <v>53908564</v>
      </c>
      <c r="K749">
        <v>1105</v>
      </c>
      <c r="L749">
        <v>1702</v>
      </c>
      <c r="M749">
        <v>1300</v>
      </c>
      <c r="N749">
        <v>51670742</v>
      </c>
      <c r="O749">
        <v>45114.591091319446</v>
      </c>
      <c r="P749">
        <v>109.5</v>
      </c>
      <c r="Q749">
        <v>1</v>
      </c>
      <c r="R749">
        <v>-109.5</v>
      </c>
      <c r="S749">
        <v>45187.632077199072</v>
      </c>
      <c r="T749">
        <v>5511</v>
      </c>
      <c r="U749" t="s">
        <v>1156</v>
      </c>
      <c r="V749" t="s">
        <v>99</v>
      </c>
      <c r="W749" t="s">
        <v>2</v>
      </c>
      <c r="AI749">
        <v>62</v>
      </c>
      <c r="AJ749">
        <v>62</v>
      </c>
      <c r="AN749">
        <v>45170</v>
      </c>
      <c r="AO749">
        <v>45199</v>
      </c>
      <c r="AP749" t="s">
        <v>1101</v>
      </c>
    </row>
    <row r="750" spans="1:42" x14ac:dyDescent="0.25">
      <c r="A750">
        <v>2023</v>
      </c>
      <c r="B750">
        <v>9</v>
      </c>
      <c r="C750">
        <v>17</v>
      </c>
      <c r="D750" t="s">
        <v>1088</v>
      </c>
      <c r="E750" t="s">
        <v>282</v>
      </c>
      <c r="F750">
        <v>602658</v>
      </c>
      <c r="G750">
        <v>10020257</v>
      </c>
      <c r="H750" t="s">
        <v>282</v>
      </c>
      <c r="J750">
        <v>53908565</v>
      </c>
      <c r="K750">
        <v>1100</v>
      </c>
      <c r="L750">
        <v>1700</v>
      </c>
      <c r="M750">
        <v>1301</v>
      </c>
      <c r="P750">
        <v>109.5</v>
      </c>
      <c r="Q750">
        <v>1</v>
      </c>
      <c r="R750">
        <v>109.5</v>
      </c>
      <c r="S750">
        <v>45187.632078090275</v>
      </c>
      <c r="T750">
        <v>5500</v>
      </c>
      <c r="U750" t="s">
        <v>1151</v>
      </c>
      <c r="V750" t="s">
        <v>99</v>
      </c>
      <c r="W750" t="s">
        <v>1031</v>
      </c>
      <c r="X750" t="s">
        <v>1031</v>
      </c>
      <c r="AA750">
        <v>57908</v>
      </c>
      <c r="AB750" t="s">
        <v>1223</v>
      </c>
      <c r="AC750">
        <v>45188.087624571759</v>
      </c>
      <c r="AI750">
        <v>62</v>
      </c>
      <c r="AJ750">
        <v>62</v>
      </c>
      <c r="AN750">
        <v>45170</v>
      </c>
      <c r="AO750">
        <v>45199</v>
      </c>
      <c r="AP750" t="s">
        <v>1101</v>
      </c>
    </row>
    <row r="751" spans="1:42" x14ac:dyDescent="0.25">
      <c r="A751">
        <v>2023</v>
      </c>
      <c r="B751">
        <v>9</v>
      </c>
      <c r="C751">
        <v>17</v>
      </c>
      <c r="D751" t="s">
        <v>1088</v>
      </c>
      <c r="E751" t="s">
        <v>282</v>
      </c>
      <c r="F751">
        <v>602658</v>
      </c>
      <c r="G751">
        <v>10020257</v>
      </c>
      <c r="H751" t="s">
        <v>282</v>
      </c>
      <c r="J751">
        <v>53908566</v>
      </c>
      <c r="K751">
        <v>1106</v>
      </c>
      <c r="L751">
        <v>1706</v>
      </c>
      <c r="M751">
        <v>1301</v>
      </c>
      <c r="N751">
        <v>51670759</v>
      </c>
      <c r="O751">
        <v>45114.591933599535</v>
      </c>
      <c r="P751">
        <v>15</v>
      </c>
      <c r="Q751">
        <v>1</v>
      </c>
      <c r="R751">
        <v>15</v>
      </c>
      <c r="S751">
        <v>45187.632079050927</v>
      </c>
      <c r="T751">
        <v>5501</v>
      </c>
      <c r="U751" t="s">
        <v>1164</v>
      </c>
      <c r="V751" t="s">
        <v>1165</v>
      </c>
      <c r="AI751">
        <v>62</v>
      </c>
      <c r="AJ751">
        <v>62</v>
      </c>
      <c r="AN751">
        <v>45170</v>
      </c>
      <c r="AO751">
        <v>45199</v>
      </c>
      <c r="AP751" t="s">
        <v>1101</v>
      </c>
    </row>
    <row r="752" spans="1:42" x14ac:dyDescent="0.25">
      <c r="A752">
        <v>2023</v>
      </c>
      <c r="B752">
        <v>9</v>
      </c>
      <c r="C752">
        <v>17</v>
      </c>
      <c r="D752" t="s">
        <v>1088</v>
      </c>
      <c r="E752" t="s">
        <v>282</v>
      </c>
      <c r="F752">
        <v>602658</v>
      </c>
      <c r="G752">
        <v>10020257</v>
      </c>
      <c r="H752" t="s">
        <v>282</v>
      </c>
      <c r="J752">
        <v>53908560</v>
      </c>
      <c r="K752">
        <v>1106</v>
      </c>
      <c r="L752">
        <v>1706</v>
      </c>
      <c r="M752">
        <v>1301</v>
      </c>
      <c r="N752">
        <v>51670738</v>
      </c>
      <c r="O752">
        <v>45114.590976736108</v>
      </c>
      <c r="P752">
        <v>109.5</v>
      </c>
      <c r="Q752">
        <v>1</v>
      </c>
      <c r="R752">
        <v>109.5</v>
      </c>
      <c r="S752">
        <v>45187.632068715277</v>
      </c>
      <c r="T752">
        <v>5501</v>
      </c>
      <c r="U752" t="s">
        <v>1164</v>
      </c>
      <c r="V752" t="s">
        <v>1165</v>
      </c>
      <c r="AI752">
        <v>62</v>
      </c>
      <c r="AJ752">
        <v>62</v>
      </c>
      <c r="AN752">
        <v>45170</v>
      </c>
      <c r="AO752">
        <v>45199</v>
      </c>
      <c r="AP752" t="s">
        <v>1101</v>
      </c>
    </row>
    <row r="753" spans="1:42" x14ac:dyDescent="0.25">
      <c r="A753">
        <v>2023</v>
      </c>
      <c r="B753">
        <v>9</v>
      </c>
      <c r="C753">
        <v>17</v>
      </c>
      <c r="D753" t="s">
        <v>1088</v>
      </c>
      <c r="E753" t="s">
        <v>282</v>
      </c>
      <c r="F753">
        <v>602658</v>
      </c>
      <c r="G753">
        <v>10020257</v>
      </c>
      <c r="H753" t="s">
        <v>282</v>
      </c>
      <c r="J753">
        <v>53908561</v>
      </c>
      <c r="K753">
        <v>1105</v>
      </c>
      <c r="L753">
        <v>1702</v>
      </c>
      <c r="M753">
        <v>1300</v>
      </c>
      <c r="N753">
        <v>51670738</v>
      </c>
      <c r="O753">
        <v>45114.590976736108</v>
      </c>
      <c r="P753">
        <v>109.5</v>
      </c>
      <c r="Q753">
        <v>1</v>
      </c>
      <c r="R753">
        <v>-109.5</v>
      </c>
      <c r="S753">
        <v>45187.632073958332</v>
      </c>
      <c r="T753">
        <v>5511</v>
      </c>
      <c r="U753" t="s">
        <v>1156</v>
      </c>
      <c r="V753" t="s">
        <v>99</v>
      </c>
      <c r="W753" t="s">
        <v>2</v>
      </c>
      <c r="AI753">
        <v>62</v>
      </c>
      <c r="AJ753">
        <v>62</v>
      </c>
      <c r="AN753">
        <v>45170</v>
      </c>
      <c r="AO753">
        <v>45199</v>
      </c>
      <c r="AP753" t="s">
        <v>1101</v>
      </c>
    </row>
    <row r="754" spans="1:42" x14ac:dyDescent="0.25">
      <c r="A754">
        <v>2023</v>
      </c>
      <c r="B754">
        <v>9</v>
      </c>
      <c r="C754">
        <v>17</v>
      </c>
      <c r="D754" t="s">
        <v>1088</v>
      </c>
      <c r="E754" t="s">
        <v>282</v>
      </c>
      <c r="F754">
        <v>602658</v>
      </c>
      <c r="G754">
        <v>10020257</v>
      </c>
      <c r="H754" t="s">
        <v>282</v>
      </c>
      <c r="J754">
        <v>53908562</v>
      </c>
      <c r="K754">
        <v>1100</v>
      </c>
      <c r="L754">
        <v>1700</v>
      </c>
      <c r="M754">
        <v>1301</v>
      </c>
      <c r="P754">
        <v>109.5</v>
      </c>
      <c r="Q754">
        <v>1</v>
      </c>
      <c r="R754">
        <v>109.5</v>
      </c>
      <c r="S754">
        <v>45187.632075081019</v>
      </c>
      <c r="T754">
        <v>5500</v>
      </c>
      <c r="U754" t="s">
        <v>1151</v>
      </c>
      <c r="V754" t="s">
        <v>99</v>
      </c>
      <c r="W754" t="s">
        <v>1031</v>
      </c>
      <c r="X754" t="s">
        <v>1031</v>
      </c>
      <c r="AA754">
        <v>57908</v>
      </c>
      <c r="AB754" t="s">
        <v>1223</v>
      </c>
      <c r="AC754">
        <v>45188.087624571759</v>
      </c>
      <c r="AI754">
        <v>62</v>
      </c>
      <c r="AJ754">
        <v>62</v>
      </c>
      <c r="AN754">
        <v>45170</v>
      </c>
      <c r="AO754">
        <v>45199</v>
      </c>
      <c r="AP754" t="s">
        <v>1101</v>
      </c>
    </row>
    <row r="755" spans="1:42" x14ac:dyDescent="0.25">
      <c r="A755">
        <v>2023</v>
      </c>
      <c r="B755">
        <v>9</v>
      </c>
      <c r="C755">
        <v>17</v>
      </c>
      <c r="D755" t="s">
        <v>1088</v>
      </c>
      <c r="E755" t="s">
        <v>282</v>
      </c>
      <c r="F755">
        <v>602658</v>
      </c>
      <c r="G755">
        <v>10020257</v>
      </c>
      <c r="H755" t="s">
        <v>282</v>
      </c>
      <c r="J755">
        <v>53908567</v>
      </c>
      <c r="K755">
        <v>1105</v>
      </c>
      <c r="L755">
        <v>1702</v>
      </c>
      <c r="M755">
        <v>1300</v>
      </c>
      <c r="N755">
        <v>51670759</v>
      </c>
      <c r="O755">
        <v>45114.591933599535</v>
      </c>
      <c r="P755">
        <v>15</v>
      </c>
      <c r="Q755">
        <v>1</v>
      </c>
      <c r="R755">
        <v>-15</v>
      </c>
      <c r="S755">
        <v>45187.632081249998</v>
      </c>
      <c r="T755">
        <v>5511</v>
      </c>
      <c r="U755" t="s">
        <v>1156</v>
      </c>
      <c r="V755" t="s">
        <v>99</v>
      </c>
      <c r="W755" t="s">
        <v>2</v>
      </c>
      <c r="AI755">
        <v>62</v>
      </c>
      <c r="AJ755">
        <v>62</v>
      </c>
      <c r="AN755">
        <v>45170</v>
      </c>
      <c r="AO755">
        <v>45199</v>
      </c>
      <c r="AP755" t="s">
        <v>1101</v>
      </c>
    </row>
    <row r="756" spans="1:42" x14ac:dyDescent="0.25">
      <c r="A756">
        <v>2023</v>
      </c>
      <c r="B756">
        <v>9</v>
      </c>
      <c r="C756">
        <v>17</v>
      </c>
      <c r="D756" t="s">
        <v>1088</v>
      </c>
      <c r="E756" t="s">
        <v>282</v>
      </c>
      <c r="F756">
        <v>602658</v>
      </c>
      <c r="G756">
        <v>10020257</v>
      </c>
      <c r="H756" t="s">
        <v>282</v>
      </c>
      <c r="J756">
        <v>53908568</v>
      </c>
      <c r="K756">
        <v>1100</v>
      </c>
      <c r="L756">
        <v>1700</v>
      </c>
      <c r="M756">
        <v>1301</v>
      </c>
      <c r="P756">
        <v>15</v>
      </c>
      <c r="Q756">
        <v>1</v>
      </c>
      <c r="R756">
        <v>15</v>
      </c>
      <c r="S756">
        <v>45187.63208221065</v>
      </c>
      <c r="T756">
        <v>5500</v>
      </c>
      <c r="U756" t="s">
        <v>1151</v>
      </c>
      <c r="V756" t="s">
        <v>99</v>
      </c>
      <c r="W756" t="s">
        <v>1031</v>
      </c>
      <c r="X756" t="s">
        <v>1031</v>
      </c>
      <c r="AA756">
        <v>57908</v>
      </c>
      <c r="AB756" t="s">
        <v>1223</v>
      </c>
      <c r="AC756">
        <v>45188.087624571759</v>
      </c>
      <c r="AI756">
        <v>62</v>
      </c>
      <c r="AJ756">
        <v>62</v>
      </c>
      <c r="AN756">
        <v>45170</v>
      </c>
      <c r="AO756">
        <v>45199</v>
      </c>
      <c r="AP756" t="s">
        <v>1101</v>
      </c>
    </row>
    <row r="757" spans="1:42" x14ac:dyDescent="0.25">
      <c r="A757">
        <v>2023</v>
      </c>
      <c r="B757">
        <v>9</v>
      </c>
      <c r="C757">
        <v>17</v>
      </c>
      <c r="D757" t="s">
        <v>1088</v>
      </c>
      <c r="E757" t="s">
        <v>282</v>
      </c>
      <c r="F757">
        <v>122245</v>
      </c>
      <c r="G757">
        <v>10009825</v>
      </c>
      <c r="H757" t="s">
        <v>282</v>
      </c>
      <c r="J757">
        <v>53960130</v>
      </c>
      <c r="K757">
        <v>1102</v>
      </c>
      <c r="L757">
        <v>1702</v>
      </c>
      <c r="M757">
        <v>1304</v>
      </c>
      <c r="N757">
        <v>51757426</v>
      </c>
      <c r="O757">
        <v>45118.679885798614</v>
      </c>
      <c r="P757">
        <v>147.68</v>
      </c>
      <c r="Q757">
        <v>1</v>
      </c>
      <c r="R757">
        <v>147.68</v>
      </c>
      <c r="S757">
        <v>45189.336633715277</v>
      </c>
      <c r="T757">
        <v>5502</v>
      </c>
      <c r="U757" t="s">
        <v>103</v>
      </c>
      <c r="V757" t="s">
        <v>1163</v>
      </c>
      <c r="W757" t="s">
        <v>2</v>
      </c>
      <c r="X757" t="s">
        <v>1091</v>
      </c>
      <c r="AD757">
        <v>830508</v>
      </c>
      <c r="AE757" t="s">
        <v>1295</v>
      </c>
      <c r="AF757">
        <v>45189.336633564817</v>
      </c>
      <c r="AI757">
        <v>62</v>
      </c>
      <c r="AJ757">
        <v>62</v>
      </c>
      <c r="AN757">
        <v>45170</v>
      </c>
      <c r="AO757">
        <v>45199</v>
      </c>
      <c r="AP757" t="s">
        <v>1101</v>
      </c>
    </row>
    <row r="758" spans="1:42" x14ac:dyDescent="0.25">
      <c r="A758">
        <v>2023</v>
      </c>
      <c r="B758">
        <v>9</v>
      </c>
      <c r="C758">
        <v>17</v>
      </c>
      <c r="D758" t="s">
        <v>1088</v>
      </c>
      <c r="E758" t="s">
        <v>282</v>
      </c>
      <c r="F758">
        <v>508903</v>
      </c>
      <c r="G758">
        <v>8130451</v>
      </c>
      <c r="H758" t="s">
        <v>282</v>
      </c>
      <c r="J758">
        <v>54069749</v>
      </c>
      <c r="K758">
        <v>1104</v>
      </c>
      <c r="L758">
        <v>1702</v>
      </c>
      <c r="M758">
        <v>1304</v>
      </c>
      <c r="N758">
        <v>41264803</v>
      </c>
      <c r="O758">
        <v>44734.465439317129</v>
      </c>
      <c r="P758">
        <v>50</v>
      </c>
      <c r="Q758">
        <v>1</v>
      </c>
      <c r="R758">
        <v>50</v>
      </c>
      <c r="S758">
        <v>45192.067372569443</v>
      </c>
      <c r="T758">
        <v>5509</v>
      </c>
      <c r="U758" t="s">
        <v>1152</v>
      </c>
      <c r="V758" t="s">
        <v>1153</v>
      </c>
      <c r="W758" t="s">
        <v>2</v>
      </c>
      <c r="X758" t="s">
        <v>1091</v>
      </c>
      <c r="AI758">
        <v>62</v>
      </c>
      <c r="AJ758">
        <v>62</v>
      </c>
      <c r="AN758">
        <v>45170</v>
      </c>
      <c r="AO758">
        <v>45199</v>
      </c>
      <c r="AP758" t="s">
        <v>1101</v>
      </c>
    </row>
    <row r="759" spans="1:42" x14ac:dyDescent="0.25">
      <c r="A759">
        <v>2023</v>
      </c>
      <c r="B759">
        <v>9</v>
      </c>
      <c r="C759">
        <v>17</v>
      </c>
      <c r="D759" t="s">
        <v>1088</v>
      </c>
      <c r="E759" t="s">
        <v>282</v>
      </c>
      <c r="F759">
        <v>612801</v>
      </c>
      <c r="G759">
        <v>10189770</v>
      </c>
      <c r="H759" t="s">
        <v>282</v>
      </c>
      <c r="J759">
        <v>54148713</v>
      </c>
      <c r="K759">
        <v>1101</v>
      </c>
      <c r="L759">
        <v>1702</v>
      </c>
      <c r="M759">
        <v>1301</v>
      </c>
      <c r="N759">
        <v>52665232</v>
      </c>
      <c r="O759">
        <v>45147.622920023146</v>
      </c>
      <c r="P759">
        <v>10</v>
      </c>
      <c r="Q759">
        <v>1</v>
      </c>
      <c r="R759">
        <v>10</v>
      </c>
      <c r="S759">
        <v>45195.634133067128</v>
      </c>
      <c r="T759">
        <v>5502</v>
      </c>
      <c r="U759" t="s">
        <v>1217</v>
      </c>
      <c r="V759" t="s">
        <v>1155</v>
      </c>
      <c r="W759" t="s">
        <v>1031</v>
      </c>
      <c r="X759" t="s">
        <v>1031</v>
      </c>
      <c r="AD759">
        <v>832844</v>
      </c>
      <c r="AE759" t="s">
        <v>1288</v>
      </c>
      <c r="AF759">
        <v>45195.634012187496</v>
      </c>
      <c r="AI759">
        <v>62</v>
      </c>
      <c r="AJ759">
        <v>62</v>
      </c>
      <c r="AN759">
        <v>45170</v>
      </c>
      <c r="AO759">
        <v>45199</v>
      </c>
      <c r="AP759" t="s">
        <v>1101</v>
      </c>
    </row>
    <row r="760" spans="1:42" x14ac:dyDescent="0.25">
      <c r="A760">
        <v>2023</v>
      </c>
      <c r="B760">
        <v>9</v>
      </c>
      <c r="C760">
        <v>17</v>
      </c>
      <c r="D760" t="s">
        <v>1088</v>
      </c>
      <c r="E760" t="s">
        <v>282</v>
      </c>
      <c r="F760">
        <v>612494</v>
      </c>
      <c r="G760">
        <v>10183784</v>
      </c>
      <c r="H760" t="s">
        <v>282</v>
      </c>
      <c r="J760">
        <v>54148743</v>
      </c>
      <c r="K760">
        <v>1101</v>
      </c>
      <c r="L760">
        <v>1702</v>
      </c>
      <c r="M760">
        <v>1301</v>
      </c>
      <c r="N760">
        <v>52626579</v>
      </c>
      <c r="O760">
        <v>45146.721291701389</v>
      </c>
      <c r="P760">
        <v>15</v>
      </c>
      <c r="Q760">
        <v>1</v>
      </c>
      <c r="R760">
        <v>15</v>
      </c>
      <c r="S760">
        <v>45195.634133067128</v>
      </c>
      <c r="T760">
        <v>5502</v>
      </c>
      <c r="U760" t="s">
        <v>1217</v>
      </c>
      <c r="V760" t="s">
        <v>1155</v>
      </c>
      <c r="W760" t="s">
        <v>1031</v>
      </c>
      <c r="X760" t="s">
        <v>1031</v>
      </c>
      <c r="AD760">
        <v>832844</v>
      </c>
      <c r="AE760" t="s">
        <v>1288</v>
      </c>
      <c r="AF760">
        <v>45195.634012187496</v>
      </c>
      <c r="AI760">
        <v>62</v>
      </c>
      <c r="AJ760">
        <v>62</v>
      </c>
      <c r="AN760">
        <v>45170</v>
      </c>
      <c r="AO760">
        <v>45199</v>
      </c>
      <c r="AP760" t="s">
        <v>1101</v>
      </c>
    </row>
    <row r="761" spans="1:42" x14ac:dyDescent="0.25">
      <c r="A761">
        <v>2023</v>
      </c>
      <c r="B761">
        <v>9</v>
      </c>
      <c r="C761">
        <v>17</v>
      </c>
      <c r="D761" t="s">
        <v>1088</v>
      </c>
      <c r="E761" t="s">
        <v>282</v>
      </c>
      <c r="F761">
        <v>612494</v>
      </c>
      <c r="G761">
        <v>10183784</v>
      </c>
      <c r="H761" t="s">
        <v>282</v>
      </c>
      <c r="J761">
        <v>54148744</v>
      </c>
      <c r="K761">
        <v>1101</v>
      </c>
      <c r="L761">
        <v>1702</v>
      </c>
      <c r="M761">
        <v>1301</v>
      </c>
      <c r="N761">
        <v>52626582</v>
      </c>
      <c r="O761">
        <v>45146.721441631948</v>
      </c>
      <c r="P761">
        <v>15</v>
      </c>
      <c r="Q761">
        <v>1</v>
      </c>
      <c r="R761">
        <v>15</v>
      </c>
      <c r="S761">
        <v>45195.634133067128</v>
      </c>
      <c r="T761">
        <v>5502</v>
      </c>
      <c r="U761" t="s">
        <v>1217</v>
      </c>
      <c r="V761" t="s">
        <v>1155</v>
      </c>
      <c r="W761" t="s">
        <v>1031</v>
      </c>
      <c r="X761" t="s">
        <v>1031</v>
      </c>
      <c r="AD761">
        <v>832844</v>
      </c>
      <c r="AE761" t="s">
        <v>1288</v>
      </c>
      <c r="AF761">
        <v>45195.634012187496</v>
      </c>
      <c r="AI761">
        <v>62</v>
      </c>
      <c r="AJ761">
        <v>62</v>
      </c>
      <c r="AN761">
        <v>45170</v>
      </c>
      <c r="AO761">
        <v>45199</v>
      </c>
      <c r="AP761" t="s">
        <v>1101</v>
      </c>
    </row>
    <row r="762" spans="1:42" x14ac:dyDescent="0.25">
      <c r="A762">
        <v>2023</v>
      </c>
      <c r="B762">
        <v>9</v>
      </c>
      <c r="C762">
        <v>17</v>
      </c>
      <c r="D762" t="s">
        <v>1088</v>
      </c>
      <c r="E762" t="s">
        <v>282</v>
      </c>
      <c r="F762">
        <v>530264</v>
      </c>
      <c r="G762">
        <v>10189883</v>
      </c>
      <c r="H762" t="s">
        <v>282</v>
      </c>
      <c r="J762">
        <v>54148745</v>
      </c>
      <c r="K762">
        <v>1101</v>
      </c>
      <c r="L762">
        <v>1702</v>
      </c>
      <c r="M762">
        <v>1301</v>
      </c>
      <c r="N762">
        <v>52665538</v>
      </c>
      <c r="O762">
        <v>45147.631318206018</v>
      </c>
      <c r="P762">
        <v>85</v>
      </c>
      <c r="Q762">
        <v>1</v>
      </c>
      <c r="R762">
        <v>85</v>
      </c>
      <c r="S762">
        <v>45195.634133067128</v>
      </c>
      <c r="T762">
        <v>5502</v>
      </c>
      <c r="U762" t="s">
        <v>1217</v>
      </c>
      <c r="V762" t="s">
        <v>1155</v>
      </c>
      <c r="W762" t="s">
        <v>1031</v>
      </c>
      <c r="X762" t="s">
        <v>1031</v>
      </c>
      <c r="AD762">
        <v>832844</v>
      </c>
      <c r="AE762" t="s">
        <v>1288</v>
      </c>
      <c r="AF762">
        <v>45195.634012187496</v>
      </c>
      <c r="AI762">
        <v>62</v>
      </c>
      <c r="AJ762">
        <v>62</v>
      </c>
      <c r="AN762">
        <v>45170</v>
      </c>
      <c r="AO762">
        <v>45199</v>
      </c>
      <c r="AP762" t="s">
        <v>1101</v>
      </c>
    </row>
    <row r="763" spans="1:42" x14ac:dyDescent="0.25">
      <c r="A763">
        <v>2023</v>
      </c>
      <c r="B763">
        <v>9</v>
      </c>
      <c r="C763">
        <v>17</v>
      </c>
      <c r="D763" t="s">
        <v>1088</v>
      </c>
      <c r="E763" t="s">
        <v>282</v>
      </c>
      <c r="F763">
        <v>530264</v>
      </c>
      <c r="G763">
        <v>10189883</v>
      </c>
      <c r="H763" t="s">
        <v>282</v>
      </c>
      <c r="J763">
        <v>54148746</v>
      </c>
      <c r="K763">
        <v>1101</v>
      </c>
      <c r="L763">
        <v>1702</v>
      </c>
      <c r="M763">
        <v>1301</v>
      </c>
      <c r="N763">
        <v>52665543</v>
      </c>
      <c r="O763">
        <v>45147.631448067128</v>
      </c>
      <c r="P763">
        <v>15</v>
      </c>
      <c r="Q763">
        <v>1</v>
      </c>
      <c r="R763">
        <v>15</v>
      </c>
      <c r="S763">
        <v>45195.634133067128</v>
      </c>
      <c r="T763">
        <v>5502</v>
      </c>
      <c r="U763" t="s">
        <v>1217</v>
      </c>
      <c r="V763" t="s">
        <v>1155</v>
      </c>
      <c r="W763" t="s">
        <v>1031</v>
      </c>
      <c r="X763" t="s">
        <v>1031</v>
      </c>
      <c r="AD763">
        <v>832844</v>
      </c>
      <c r="AE763" t="s">
        <v>1288</v>
      </c>
      <c r="AF763">
        <v>45195.634012187496</v>
      </c>
      <c r="AI763">
        <v>62</v>
      </c>
      <c r="AJ763">
        <v>62</v>
      </c>
      <c r="AN763">
        <v>45170</v>
      </c>
      <c r="AO763">
        <v>45199</v>
      </c>
      <c r="AP763" t="s">
        <v>1101</v>
      </c>
    </row>
    <row r="764" spans="1:42" x14ac:dyDescent="0.25">
      <c r="A764">
        <v>2023</v>
      </c>
      <c r="B764">
        <v>9</v>
      </c>
      <c r="C764">
        <v>17</v>
      </c>
      <c r="D764" t="s">
        <v>1088</v>
      </c>
      <c r="E764" t="s">
        <v>282</v>
      </c>
      <c r="F764">
        <v>530264</v>
      </c>
      <c r="G764">
        <v>10189883</v>
      </c>
      <c r="H764" t="s">
        <v>282</v>
      </c>
      <c r="J764">
        <v>54148747</v>
      </c>
      <c r="K764">
        <v>1101</v>
      </c>
      <c r="L764">
        <v>1702</v>
      </c>
      <c r="M764">
        <v>1301</v>
      </c>
      <c r="N764">
        <v>52665559</v>
      </c>
      <c r="O764">
        <v>45147.631792164349</v>
      </c>
      <c r="P764">
        <v>15</v>
      </c>
      <c r="Q764">
        <v>1</v>
      </c>
      <c r="R764">
        <v>15</v>
      </c>
      <c r="S764">
        <v>45195.634133067128</v>
      </c>
      <c r="T764">
        <v>5502</v>
      </c>
      <c r="U764" t="s">
        <v>1217</v>
      </c>
      <c r="V764" t="s">
        <v>1155</v>
      </c>
      <c r="W764" t="s">
        <v>1031</v>
      </c>
      <c r="X764" t="s">
        <v>1031</v>
      </c>
      <c r="AD764">
        <v>832844</v>
      </c>
      <c r="AE764" t="s">
        <v>1288</v>
      </c>
      <c r="AF764">
        <v>45195.634012187496</v>
      </c>
      <c r="AI764">
        <v>62</v>
      </c>
      <c r="AJ764">
        <v>62</v>
      </c>
      <c r="AN764">
        <v>45170</v>
      </c>
      <c r="AO764">
        <v>45199</v>
      </c>
      <c r="AP764" t="s">
        <v>1101</v>
      </c>
    </row>
    <row r="765" spans="1:42" x14ac:dyDescent="0.25">
      <c r="A765">
        <v>2023</v>
      </c>
      <c r="B765">
        <v>9</v>
      </c>
      <c r="C765">
        <v>17</v>
      </c>
      <c r="D765" t="s">
        <v>1088</v>
      </c>
      <c r="E765" t="s">
        <v>282</v>
      </c>
      <c r="F765">
        <v>530264</v>
      </c>
      <c r="G765">
        <v>10189883</v>
      </c>
      <c r="H765" t="s">
        <v>282</v>
      </c>
      <c r="J765">
        <v>54148748</v>
      </c>
      <c r="K765">
        <v>1101</v>
      </c>
      <c r="L765">
        <v>1702</v>
      </c>
      <c r="M765">
        <v>1301</v>
      </c>
      <c r="N765">
        <v>52665560</v>
      </c>
      <c r="O765">
        <v>45147.631893206017</v>
      </c>
      <c r="P765">
        <v>15</v>
      </c>
      <c r="Q765">
        <v>1</v>
      </c>
      <c r="R765">
        <v>15</v>
      </c>
      <c r="S765">
        <v>45195.634133067128</v>
      </c>
      <c r="T765">
        <v>5502</v>
      </c>
      <c r="U765" t="s">
        <v>1217</v>
      </c>
      <c r="V765" t="s">
        <v>1155</v>
      </c>
      <c r="W765" t="s">
        <v>1031</v>
      </c>
      <c r="X765" t="s">
        <v>1031</v>
      </c>
      <c r="AD765">
        <v>832844</v>
      </c>
      <c r="AE765" t="s">
        <v>1288</v>
      </c>
      <c r="AF765">
        <v>45195.634012187496</v>
      </c>
      <c r="AI765">
        <v>62</v>
      </c>
      <c r="AJ765">
        <v>62</v>
      </c>
      <c r="AN765">
        <v>45170</v>
      </c>
      <c r="AO765">
        <v>45199</v>
      </c>
      <c r="AP765" t="s">
        <v>1101</v>
      </c>
    </row>
    <row r="766" spans="1:42" x14ac:dyDescent="0.25">
      <c r="A766">
        <v>2023</v>
      </c>
      <c r="B766">
        <v>9</v>
      </c>
      <c r="C766">
        <v>17</v>
      </c>
      <c r="D766" t="s">
        <v>1088</v>
      </c>
      <c r="E766" t="s">
        <v>282</v>
      </c>
      <c r="F766">
        <v>530264</v>
      </c>
      <c r="G766">
        <v>10189883</v>
      </c>
      <c r="H766" t="s">
        <v>282</v>
      </c>
      <c r="J766">
        <v>54148749</v>
      </c>
      <c r="K766">
        <v>1101</v>
      </c>
      <c r="L766">
        <v>1702</v>
      </c>
      <c r="M766">
        <v>1301</v>
      </c>
      <c r="N766">
        <v>52835060</v>
      </c>
      <c r="O766">
        <v>45153.648484687503</v>
      </c>
      <c r="P766">
        <v>20</v>
      </c>
      <c r="Q766">
        <v>1</v>
      </c>
      <c r="R766">
        <v>20</v>
      </c>
      <c r="S766">
        <v>45195.634133067128</v>
      </c>
      <c r="T766">
        <v>5502</v>
      </c>
      <c r="U766" t="s">
        <v>1217</v>
      </c>
      <c r="V766" t="s">
        <v>1155</v>
      </c>
      <c r="W766" t="s">
        <v>1031</v>
      </c>
      <c r="X766" t="s">
        <v>1031</v>
      </c>
      <c r="AD766">
        <v>832844</v>
      </c>
      <c r="AE766" t="s">
        <v>1288</v>
      </c>
      <c r="AF766">
        <v>45195.634012187496</v>
      </c>
      <c r="AI766">
        <v>62</v>
      </c>
      <c r="AJ766">
        <v>62</v>
      </c>
      <c r="AN766">
        <v>45170</v>
      </c>
      <c r="AO766">
        <v>45199</v>
      </c>
      <c r="AP766" t="s">
        <v>1101</v>
      </c>
    </row>
    <row r="767" spans="1:42" x14ac:dyDescent="0.25">
      <c r="A767">
        <v>2023</v>
      </c>
      <c r="B767">
        <v>9</v>
      </c>
      <c r="C767">
        <v>17</v>
      </c>
      <c r="D767" t="s">
        <v>1088</v>
      </c>
      <c r="E767" t="s">
        <v>282</v>
      </c>
      <c r="F767">
        <v>590819</v>
      </c>
      <c r="G767">
        <v>10200702</v>
      </c>
      <c r="H767" t="s">
        <v>282</v>
      </c>
      <c r="J767">
        <v>54148750</v>
      </c>
      <c r="K767">
        <v>1101</v>
      </c>
      <c r="L767">
        <v>1702</v>
      </c>
      <c r="M767">
        <v>1301</v>
      </c>
      <c r="N767">
        <v>52700499</v>
      </c>
      <c r="O767">
        <v>45148.494330821763</v>
      </c>
      <c r="P767">
        <v>85</v>
      </c>
      <c r="Q767">
        <v>1</v>
      </c>
      <c r="R767">
        <v>85</v>
      </c>
      <c r="S767">
        <v>45195.634133067128</v>
      </c>
      <c r="T767">
        <v>5502</v>
      </c>
      <c r="U767" t="s">
        <v>1217</v>
      </c>
      <c r="V767" t="s">
        <v>1155</v>
      </c>
      <c r="W767" t="s">
        <v>1031</v>
      </c>
      <c r="X767" t="s">
        <v>1031</v>
      </c>
      <c r="AD767">
        <v>832844</v>
      </c>
      <c r="AE767" t="s">
        <v>1288</v>
      </c>
      <c r="AF767">
        <v>45195.634012187496</v>
      </c>
      <c r="AI767">
        <v>62</v>
      </c>
      <c r="AJ767">
        <v>62</v>
      </c>
      <c r="AN767">
        <v>45170</v>
      </c>
      <c r="AO767">
        <v>45199</v>
      </c>
      <c r="AP767" t="s">
        <v>1101</v>
      </c>
    </row>
    <row r="768" spans="1:42" x14ac:dyDescent="0.25">
      <c r="A768">
        <v>2023</v>
      </c>
      <c r="B768">
        <v>9</v>
      </c>
      <c r="C768">
        <v>17</v>
      </c>
      <c r="D768" t="s">
        <v>1088</v>
      </c>
      <c r="E768" t="s">
        <v>282</v>
      </c>
      <c r="F768">
        <v>590819</v>
      </c>
      <c r="G768">
        <v>10200702</v>
      </c>
      <c r="H768" t="s">
        <v>282</v>
      </c>
      <c r="J768">
        <v>54148751</v>
      </c>
      <c r="K768">
        <v>1101</v>
      </c>
      <c r="L768">
        <v>1702</v>
      </c>
      <c r="M768">
        <v>1301</v>
      </c>
      <c r="N768">
        <v>52700639</v>
      </c>
      <c r="O768">
        <v>45148.494458449073</v>
      </c>
      <c r="P768">
        <v>16</v>
      </c>
      <c r="Q768">
        <v>1</v>
      </c>
      <c r="R768">
        <v>16</v>
      </c>
      <c r="S768">
        <v>45195.634133067128</v>
      </c>
      <c r="T768">
        <v>5502</v>
      </c>
      <c r="U768" t="s">
        <v>1217</v>
      </c>
      <c r="V768" t="s">
        <v>1155</v>
      </c>
      <c r="W768" t="s">
        <v>1031</v>
      </c>
      <c r="X768" t="s">
        <v>1031</v>
      </c>
      <c r="AD768">
        <v>832844</v>
      </c>
      <c r="AE768" t="s">
        <v>1288</v>
      </c>
      <c r="AF768">
        <v>45195.634012187496</v>
      </c>
      <c r="AI768">
        <v>62</v>
      </c>
      <c r="AJ768">
        <v>62</v>
      </c>
      <c r="AN768">
        <v>45170</v>
      </c>
      <c r="AO768">
        <v>45199</v>
      </c>
      <c r="AP768" t="s">
        <v>1101</v>
      </c>
    </row>
    <row r="769" spans="1:42" x14ac:dyDescent="0.25">
      <c r="A769">
        <v>2023</v>
      </c>
      <c r="B769">
        <v>9</v>
      </c>
      <c r="C769">
        <v>17</v>
      </c>
      <c r="D769" t="s">
        <v>1088</v>
      </c>
      <c r="E769" t="s">
        <v>282</v>
      </c>
      <c r="F769">
        <v>590819</v>
      </c>
      <c r="G769">
        <v>10200702</v>
      </c>
      <c r="H769" t="s">
        <v>282</v>
      </c>
      <c r="J769">
        <v>54148752</v>
      </c>
      <c r="K769">
        <v>1101</v>
      </c>
      <c r="L769">
        <v>1702</v>
      </c>
      <c r="M769">
        <v>1301</v>
      </c>
      <c r="N769">
        <v>52700643</v>
      </c>
      <c r="O769">
        <v>45148.494615428244</v>
      </c>
      <c r="P769">
        <v>10</v>
      </c>
      <c r="Q769">
        <v>1</v>
      </c>
      <c r="R769">
        <v>10</v>
      </c>
      <c r="S769">
        <v>45195.634133067128</v>
      </c>
      <c r="T769">
        <v>5502</v>
      </c>
      <c r="U769" t="s">
        <v>1217</v>
      </c>
      <c r="V769" t="s">
        <v>1155</v>
      </c>
      <c r="W769" t="s">
        <v>1031</v>
      </c>
      <c r="X769" t="s">
        <v>1031</v>
      </c>
      <c r="AD769">
        <v>832844</v>
      </c>
      <c r="AE769" t="s">
        <v>1288</v>
      </c>
      <c r="AF769">
        <v>45195.634012187496</v>
      </c>
      <c r="AI769">
        <v>62</v>
      </c>
      <c r="AJ769">
        <v>62</v>
      </c>
      <c r="AN769">
        <v>45170</v>
      </c>
      <c r="AO769">
        <v>45199</v>
      </c>
      <c r="AP769" t="s">
        <v>1101</v>
      </c>
    </row>
    <row r="770" spans="1:42" x14ac:dyDescent="0.25">
      <c r="A770">
        <v>2023</v>
      </c>
      <c r="B770">
        <v>9</v>
      </c>
      <c r="C770">
        <v>17</v>
      </c>
      <c r="D770" t="s">
        <v>1088</v>
      </c>
      <c r="E770" t="s">
        <v>282</v>
      </c>
      <c r="F770">
        <v>590819</v>
      </c>
      <c r="G770">
        <v>10200702</v>
      </c>
      <c r="H770" t="s">
        <v>282</v>
      </c>
      <c r="J770">
        <v>54148753</v>
      </c>
      <c r="K770">
        <v>1101</v>
      </c>
      <c r="L770">
        <v>1702</v>
      </c>
      <c r="M770">
        <v>1301</v>
      </c>
      <c r="N770">
        <v>52700951</v>
      </c>
      <c r="O770">
        <v>45148.494771412035</v>
      </c>
      <c r="P770">
        <v>15</v>
      </c>
      <c r="Q770">
        <v>1</v>
      </c>
      <c r="R770">
        <v>15</v>
      </c>
      <c r="S770">
        <v>45195.634133067128</v>
      </c>
      <c r="T770">
        <v>5502</v>
      </c>
      <c r="U770" t="s">
        <v>1217</v>
      </c>
      <c r="V770" t="s">
        <v>1155</v>
      </c>
      <c r="W770" t="s">
        <v>1031</v>
      </c>
      <c r="X770" t="s">
        <v>1031</v>
      </c>
      <c r="AD770">
        <v>832844</v>
      </c>
      <c r="AE770" t="s">
        <v>1288</v>
      </c>
      <c r="AF770">
        <v>45195.634012187496</v>
      </c>
      <c r="AI770">
        <v>62</v>
      </c>
      <c r="AJ770">
        <v>62</v>
      </c>
      <c r="AN770">
        <v>45170</v>
      </c>
      <c r="AO770">
        <v>45199</v>
      </c>
      <c r="AP770" t="s">
        <v>1101</v>
      </c>
    </row>
    <row r="771" spans="1:42" x14ac:dyDescent="0.25">
      <c r="A771">
        <v>2023</v>
      </c>
      <c r="B771">
        <v>9</v>
      </c>
      <c r="C771">
        <v>17</v>
      </c>
      <c r="D771" t="s">
        <v>1088</v>
      </c>
      <c r="E771" t="s">
        <v>282</v>
      </c>
      <c r="F771">
        <v>590819</v>
      </c>
      <c r="G771">
        <v>10200702</v>
      </c>
      <c r="H771" t="s">
        <v>282</v>
      </c>
      <c r="J771">
        <v>54148754</v>
      </c>
      <c r="K771">
        <v>1101</v>
      </c>
      <c r="L771">
        <v>1702</v>
      </c>
      <c r="M771">
        <v>1301</v>
      </c>
      <c r="N771">
        <v>52701029</v>
      </c>
      <c r="O771">
        <v>45148.495054942126</v>
      </c>
      <c r="P771">
        <v>8</v>
      </c>
      <c r="Q771">
        <v>1</v>
      </c>
      <c r="R771">
        <v>8</v>
      </c>
      <c r="S771">
        <v>45195.634133067128</v>
      </c>
      <c r="T771">
        <v>5502</v>
      </c>
      <c r="U771" t="s">
        <v>1217</v>
      </c>
      <c r="V771" t="s">
        <v>1155</v>
      </c>
      <c r="W771" t="s">
        <v>1031</v>
      </c>
      <c r="X771" t="s">
        <v>1031</v>
      </c>
      <c r="AD771">
        <v>832844</v>
      </c>
      <c r="AE771" t="s">
        <v>1288</v>
      </c>
      <c r="AF771">
        <v>45195.634012187496</v>
      </c>
      <c r="AI771">
        <v>62</v>
      </c>
      <c r="AJ771">
        <v>62</v>
      </c>
      <c r="AN771">
        <v>45170</v>
      </c>
      <c r="AO771">
        <v>45199</v>
      </c>
      <c r="AP771" t="s">
        <v>1101</v>
      </c>
    </row>
    <row r="772" spans="1:42" x14ac:dyDescent="0.25">
      <c r="A772">
        <v>2023</v>
      </c>
      <c r="B772">
        <v>9</v>
      </c>
      <c r="C772">
        <v>17</v>
      </c>
      <c r="D772" t="s">
        <v>1088</v>
      </c>
      <c r="E772" t="s">
        <v>282</v>
      </c>
      <c r="F772">
        <v>590819</v>
      </c>
      <c r="G772">
        <v>10200702</v>
      </c>
      <c r="H772" t="s">
        <v>282</v>
      </c>
      <c r="J772">
        <v>54148755</v>
      </c>
      <c r="K772">
        <v>1101</v>
      </c>
      <c r="L772">
        <v>1702</v>
      </c>
      <c r="M772">
        <v>1301</v>
      </c>
      <c r="N772">
        <v>52701085</v>
      </c>
      <c r="O772">
        <v>45148.495387152776</v>
      </c>
      <c r="P772">
        <v>15</v>
      </c>
      <c r="Q772">
        <v>1</v>
      </c>
      <c r="R772">
        <v>15</v>
      </c>
      <c r="S772">
        <v>45195.634133067128</v>
      </c>
      <c r="T772">
        <v>5502</v>
      </c>
      <c r="U772" t="s">
        <v>1217</v>
      </c>
      <c r="V772" t="s">
        <v>1155</v>
      </c>
      <c r="W772" t="s">
        <v>1031</v>
      </c>
      <c r="X772" t="s">
        <v>1031</v>
      </c>
      <c r="AD772">
        <v>832844</v>
      </c>
      <c r="AE772" t="s">
        <v>1288</v>
      </c>
      <c r="AF772">
        <v>45195.634012187496</v>
      </c>
      <c r="AI772">
        <v>62</v>
      </c>
      <c r="AJ772">
        <v>62</v>
      </c>
      <c r="AN772">
        <v>45170</v>
      </c>
      <c r="AO772">
        <v>45199</v>
      </c>
      <c r="AP772" t="s">
        <v>1101</v>
      </c>
    </row>
    <row r="773" spans="1:42" x14ac:dyDescent="0.25">
      <c r="A773">
        <v>2023</v>
      </c>
      <c r="B773">
        <v>9</v>
      </c>
      <c r="C773">
        <v>17</v>
      </c>
      <c r="D773" t="s">
        <v>1088</v>
      </c>
      <c r="E773" t="s">
        <v>282</v>
      </c>
      <c r="F773">
        <v>612801</v>
      </c>
      <c r="G773">
        <v>10189770</v>
      </c>
      <c r="H773" t="s">
        <v>282</v>
      </c>
      <c r="J773">
        <v>54148714</v>
      </c>
      <c r="K773">
        <v>1101</v>
      </c>
      <c r="L773">
        <v>1702</v>
      </c>
      <c r="M773">
        <v>1301</v>
      </c>
      <c r="N773">
        <v>52665234</v>
      </c>
      <c r="O773">
        <v>45147.623106631945</v>
      </c>
      <c r="P773">
        <v>12</v>
      </c>
      <c r="Q773">
        <v>1</v>
      </c>
      <c r="R773">
        <v>12</v>
      </c>
      <c r="S773">
        <v>45195.634133067128</v>
      </c>
      <c r="T773">
        <v>5502</v>
      </c>
      <c r="U773" t="s">
        <v>1217</v>
      </c>
      <c r="V773" t="s">
        <v>1155</v>
      </c>
      <c r="W773" t="s">
        <v>1031</v>
      </c>
      <c r="X773" t="s">
        <v>1031</v>
      </c>
      <c r="AD773">
        <v>832844</v>
      </c>
      <c r="AE773" t="s">
        <v>1288</v>
      </c>
      <c r="AF773">
        <v>45195.634012187496</v>
      </c>
      <c r="AI773">
        <v>62</v>
      </c>
      <c r="AJ773">
        <v>62</v>
      </c>
      <c r="AN773">
        <v>45170</v>
      </c>
      <c r="AO773">
        <v>45199</v>
      </c>
      <c r="AP773" t="s">
        <v>1101</v>
      </c>
    </row>
    <row r="774" spans="1:42" x14ac:dyDescent="0.25">
      <c r="A774">
        <v>2023</v>
      </c>
      <c r="B774">
        <v>9</v>
      </c>
      <c r="C774">
        <v>17</v>
      </c>
      <c r="D774" t="s">
        <v>1088</v>
      </c>
      <c r="E774" t="s">
        <v>282</v>
      </c>
      <c r="F774">
        <v>612801</v>
      </c>
      <c r="G774">
        <v>10189770</v>
      </c>
      <c r="H774" t="s">
        <v>282</v>
      </c>
      <c r="J774">
        <v>54148715</v>
      </c>
      <c r="K774">
        <v>1101</v>
      </c>
      <c r="L774">
        <v>1702</v>
      </c>
      <c r="M774">
        <v>1301</v>
      </c>
      <c r="N774">
        <v>52665236</v>
      </c>
      <c r="O774">
        <v>45147.623212766201</v>
      </c>
      <c r="P774">
        <v>15</v>
      </c>
      <c r="Q774">
        <v>1</v>
      </c>
      <c r="R774">
        <v>15</v>
      </c>
      <c r="S774">
        <v>45195.634133067128</v>
      </c>
      <c r="T774">
        <v>5502</v>
      </c>
      <c r="U774" t="s">
        <v>1217</v>
      </c>
      <c r="V774" t="s">
        <v>1155</v>
      </c>
      <c r="W774" t="s">
        <v>1031</v>
      </c>
      <c r="X774" t="s">
        <v>1031</v>
      </c>
      <c r="AD774">
        <v>832844</v>
      </c>
      <c r="AE774" t="s">
        <v>1288</v>
      </c>
      <c r="AF774">
        <v>45195.634012187496</v>
      </c>
      <c r="AI774">
        <v>62</v>
      </c>
      <c r="AJ774">
        <v>62</v>
      </c>
      <c r="AN774">
        <v>45170</v>
      </c>
      <c r="AO774">
        <v>45199</v>
      </c>
      <c r="AP774" t="s">
        <v>1101</v>
      </c>
    </row>
    <row r="775" spans="1:42" x14ac:dyDescent="0.25">
      <c r="A775">
        <v>2023</v>
      </c>
      <c r="B775">
        <v>9</v>
      </c>
      <c r="C775">
        <v>17</v>
      </c>
      <c r="D775" t="s">
        <v>1088</v>
      </c>
      <c r="E775" t="s">
        <v>282</v>
      </c>
      <c r="F775">
        <v>612822</v>
      </c>
      <c r="G775">
        <v>10190044</v>
      </c>
      <c r="H775" t="s">
        <v>282</v>
      </c>
      <c r="J775">
        <v>54148716</v>
      </c>
      <c r="K775">
        <v>1101</v>
      </c>
      <c r="L775">
        <v>1702</v>
      </c>
      <c r="M775">
        <v>1301</v>
      </c>
      <c r="N775">
        <v>52665756</v>
      </c>
      <c r="O775">
        <v>45147.640032719908</v>
      </c>
      <c r="P775">
        <v>85</v>
      </c>
      <c r="Q775">
        <v>1</v>
      </c>
      <c r="R775">
        <v>85</v>
      </c>
      <c r="S775">
        <v>45195.634133067128</v>
      </c>
      <c r="T775">
        <v>5502</v>
      </c>
      <c r="U775" t="s">
        <v>1217</v>
      </c>
      <c r="V775" t="s">
        <v>1155</v>
      </c>
      <c r="W775" t="s">
        <v>1031</v>
      </c>
      <c r="X775" t="s">
        <v>1031</v>
      </c>
      <c r="AD775">
        <v>832844</v>
      </c>
      <c r="AE775" t="s">
        <v>1288</v>
      </c>
      <c r="AF775">
        <v>45195.634012187496</v>
      </c>
      <c r="AI775">
        <v>62</v>
      </c>
      <c r="AJ775">
        <v>62</v>
      </c>
      <c r="AN775">
        <v>45170</v>
      </c>
      <c r="AO775">
        <v>45199</v>
      </c>
      <c r="AP775" t="s">
        <v>1101</v>
      </c>
    </row>
    <row r="776" spans="1:42" x14ac:dyDescent="0.25">
      <c r="A776">
        <v>2023</v>
      </c>
      <c r="B776">
        <v>9</v>
      </c>
      <c r="C776">
        <v>17</v>
      </c>
      <c r="D776" t="s">
        <v>1088</v>
      </c>
      <c r="E776" t="s">
        <v>282</v>
      </c>
      <c r="F776">
        <v>612822</v>
      </c>
      <c r="G776">
        <v>10190044</v>
      </c>
      <c r="H776" t="s">
        <v>282</v>
      </c>
      <c r="J776">
        <v>54148717</v>
      </c>
      <c r="K776">
        <v>1101</v>
      </c>
      <c r="L776">
        <v>1702</v>
      </c>
      <c r="M776">
        <v>1301</v>
      </c>
      <c r="N776">
        <v>52665805</v>
      </c>
      <c r="O776">
        <v>45147.64029181713</v>
      </c>
      <c r="P776">
        <v>30</v>
      </c>
      <c r="Q776">
        <v>1</v>
      </c>
      <c r="R776">
        <v>30</v>
      </c>
      <c r="S776">
        <v>45195.634133067128</v>
      </c>
      <c r="T776">
        <v>5502</v>
      </c>
      <c r="U776" t="s">
        <v>1217</v>
      </c>
      <c r="V776" t="s">
        <v>1155</v>
      </c>
      <c r="W776" t="s">
        <v>1031</v>
      </c>
      <c r="X776" t="s">
        <v>1031</v>
      </c>
      <c r="AD776">
        <v>832844</v>
      </c>
      <c r="AE776" t="s">
        <v>1288</v>
      </c>
      <c r="AF776">
        <v>45195.634012187496</v>
      </c>
      <c r="AI776">
        <v>62</v>
      </c>
      <c r="AJ776">
        <v>62</v>
      </c>
      <c r="AN776">
        <v>45170</v>
      </c>
      <c r="AO776">
        <v>45199</v>
      </c>
      <c r="AP776" t="s">
        <v>1101</v>
      </c>
    </row>
    <row r="777" spans="1:42" x14ac:dyDescent="0.25">
      <c r="A777">
        <v>2023</v>
      </c>
      <c r="B777">
        <v>9</v>
      </c>
      <c r="C777">
        <v>17</v>
      </c>
      <c r="D777" t="s">
        <v>1088</v>
      </c>
      <c r="E777" t="s">
        <v>282</v>
      </c>
      <c r="F777">
        <v>612822</v>
      </c>
      <c r="G777">
        <v>10190044</v>
      </c>
      <c r="H777" t="s">
        <v>282</v>
      </c>
      <c r="J777">
        <v>54148718</v>
      </c>
      <c r="K777">
        <v>1101</v>
      </c>
      <c r="L777">
        <v>1702</v>
      </c>
      <c r="M777">
        <v>1301</v>
      </c>
      <c r="N777">
        <v>52665806</v>
      </c>
      <c r="O777">
        <v>45147.640432673608</v>
      </c>
      <c r="P777">
        <v>15</v>
      </c>
      <c r="Q777">
        <v>1</v>
      </c>
      <c r="R777">
        <v>15</v>
      </c>
      <c r="S777">
        <v>45195.634133067128</v>
      </c>
      <c r="T777">
        <v>5502</v>
      </c>
      <c r="U777" t="s">
        <v>1217</v>
      </c>
      <c r="V777" t="s">
        <v>1155</v>
      </c>
      <c r="W777" t="s">
        <v>1031</v>
      </c>
      <c r="X777" t="s">
        <v>1031</v>
      </c>
      <c r="AD777">
        <v>832844</v>
      </c>
      <c r="AE777" t="s">
        <v>1288</v>
      </c>
      <c r="AF777">
        <v>45195.634012187496</v>
      </c>
      <c r="AI777">
        <v>62</v>
      </c>
      <c r="AJ777">
        <v>62</v>
      </c>
      <c r="AN777">
        <v>45170</v>
      </c>
      <c r="AO777">
        <v>45199</v>
      </c>
      <c r="AP777" t="s">
        <v>1101</v>
      </c>
    </row>
    <row r="778" spans="1:42" x14ac:dyDescent="0.25">
      <c r="A778">
        <v>2023</v>
      </c>
      <c r="B778">
        <v>9</v>
      </c>
      <c r="C778">
        <v>17</v>
      </c>
      <c r="D778" t="s">
        <v>1088</v>
      </c>
      <c r="E778" t="s">
        <v>282</v>
      </c>
      <c r="F778">
        <v>612822</v>
      </c>
      <c r="G778">
        <v>10190044</v>
      </c>
      <c r="H778" t="s">
        <v>282</v>
      </c>
      <c r="J778">
        <v>54148719</v>
      </c>
      <c r="K778">
        <v>1101</v>
      </c>
      <c r="L778">
        <v>1702</v>
      </c>
      <c r="M778">
        <v>1301</v>
      </c>
      <c r="N778">
        <v>52665809</v>
      </c>
      <c r="O778">
        <v>45147.640553784724</v>
      </c>
      <c r="P778">
        <v>15</v>
      </c>
      <c r="Q778">
        <v>1</v>
      </c>
      <c r="R778">
        <v>15</v>
      </c>
      <c r="S778">
        <v>45195.634133067128</v>
      </c>
      <c r="T778">
        <v>5502</v>
      </c>
      <c r="U778" t="s">
        <v>1217</v>
      </c>
      <c r="V778" t="s">
        <v>1155</v>
      </c>
      <c r="W778" t="s">
        <v>1031</v>
      </c>
      <c r="X778" t="s">
        <v>1031</v>
      </c>
      <c r="AD778">
        <v>832844</v>
      </c>
      <c r="AE778" t="s">
        <v>1288</v>
      </c>
      <c r="AF778">
        <v>45195.634012187496</v>
      </c>
      <c r="AI778">
        <v>62</v>
      </c>
      <c r="AJ778">
        <v>62</v>
      </c>
      <c r="AN778">
        <v>45170</v>
      </c>
      <c r="AO778">
        <v>45199</v>
      </c>
      <c r="AP778" t="s">
        <v>1101</v>
      </c>
    </row>
    <row r="779" spans="1:42" x14ac:dyDescent="0.25">
      <c r="A779">
        <v>2023</v>
      </c>
      <c r="B779">
        <v>9</v>
      </c>
      <c r="C779">
        <v>17</v>
      </c>
      <c r="D779" t="s">
        <v>1088</v>
      </c>
      <c r="E779" t="s">
        <v>282</v>
      </c>
      <c r="F779">
        <v>612494</v>
      </c>
      <c r="G779">
        <v>10183784</v>
      </c>
      <c r="H779" t="s">
        <v>282</v>
      </c>
      <c r="J779">
        <v>54148740</v>
      </c>
      <c r="K779">
        <v>1101</v>
      </c>
      <c r="L779">
        <v>1702</v>
      </c>
      <c r="M779">
        <v>1301</v>
      </c>
      <c r="N779">
        <v>52626569</v>
      </c>
      <c r="O779">
        <v>45146.720720104167</v>
      </c>
      <c r="P779">
        <v>85</v>
      </c>
      <c r="Q779">
        <v>1</v>
      </c>
      <c r="R779">
        <v>85</v>
      </c>
      <c r="S779">
        <v>45195.634133067128</v>
      </c>
      <c r="T779">
        <v>5502</v>
      </c>
      <c r="U779" t="s">
        <v>1217</v>
      </c>
      <c r="V779" t="s">
        <v>1155</v>
      </c>
      <c r="W779" t="s">
        <v>1031</v>
      </c>
      <c r="X779" t="s">
        <v>1031</v>
      </c>
      <c r="AD779">
        <v>832844</v>
      </c>
      <c r="AE779" t="s">
        <v>1288</v>
      </c>
      <c r="AF779">
        <v>45195.634012187496</v>
      </c>
      <c r="AI779">
        <v>62</v>
      </c>
      <c r="AJ779">
        <v>62</v>
      </c>
      <c r="AN779">
        <v>45170</v>
      </c>
      <c r="AO779">
        <v>45199</v>
      </c>
      <c r="AP779" t="s">
        <v>1101</v>
      </c>
    </row>
    <row r="780" spans="1:42" x14ac:dyDescent="0.25">
      <c r="A780">
        <v>2023</v>
      </c>
      <c r="B780">
        <v>9</v>
      </c>
      <c r="C780">
        <v>17</v>
      </c>
      <c r="D780" t="s">
        <v>1088</v>
      </c>
      <c r="E780" t="s">
        <v>282</v>
      </c>
      <c r="F780">
        <v>612801</v>
      </c>
      <c r="G780">
        <v>10189770</v>
      </c>
      <c r="H780" t="s">
        <v>282</v>
      </c>
      <c r="J780">
        <v>54148711</v>
      </c>
      <c r="K780">
        <v>1101</v>
      </c>
      <c r="L780">
        <v>1702</v>
      </c>
      <c r="M780">
        <v>1301</v>
      </c>
      <c r="N780">
        <v>52665228</v>
      </c>
      <c r="O780">
        <v>45147.622600196759</v>
      </c>
      <c r="P780">
        <v>85</v>
      </c>
      <c r="Q780">
        <v>1</v>
      </c>
      <c r="R780">
        <v>85</v>
      </c>
      <c r="S780">
        <v>45195.634133067128</v>
      </c>
      <c r="T780">
        <v>5502</v>
      </c>
      <c r="U780" t="s">
        <v>1217</v>
      </c>
      <c r="V780" t="s">
        <v>1155</v>
      </c>
      <c r="W780" t="s">
        <v>1031</v>
      </c>
      <c r="X780" t="s">
        <v>1031</v>
      </c>
      <c r="AD780">
        <v>832844</v>
      </c>
      <c r="AE780" t="s">
        <v>1288</v>
      </c>
      <c r="AF780">
        <v>45195.634012187496</v>
      </c>
      <c r="AI780">
        <v>62</v>
      </c>
      <c r="AJ780">
        <v>62</v>
      </c>
      <c r="AN780">
        <v>45170</v>
      </c>
      <c r="AO780">
        <v>45199</v>
      </c>
      <c r="AP780" t="s">
        <v>1101</v>
      </c>
    </row>
    <row r="781" spans="1:42" x14ac:dyDescent="0.25">
      <c r="A781">
        <v>2023</v>
      </c>
      <c r="B781">
        <v>9</v>
      </c>
      <c r="C781">
        <v>17</v>
      </c>
      <c r="D781" t="s">
        <v>1088</v>
      </c>
      <c r="E781" t="s">
        <v>282</v>
      </c>
      <c r="F781">
        <v>612801</v>
      </c>
      <c r="G781">
        <v>10189770</v>
      </c>
      <c r="H781" t="s">
        <v>282</v>
      </c>
      <c r="J781">
        <v>54148712</v>
      </c>
      <c r="K781">
        <v>1101</v>
      </c>
      <c r="L781">
        <v>1702</v>
      </c>
      <c r="M781">
        <v>1301</v>
      </c>
      <c r="N781">
        <v>52665231</v>
      </c>
      <c r="O781">
        <v>45147.622757291669</v>
      </c>
      <c r="P781">
        <v>20</v>
      </c>
      <c r="Q781">
        <v>1</v>
      </c>
      <c r="R781">
        <v>20</v>
      </c>
      <c r="S781">
        <v>45195.634133067128</v>
      </c>
      <c r="T781">
        <v>5502</v>
      </c>
      <c r="U781" t="s">
        <v>1217</v>
      </c>
      <c r="V781" t="s">
        <v>1155</v>
      </c>
      <c r="W781" t="s">
        <v>1031</v>
      </c>
      <c r="X781" t="s">
        <v>1031</v>
      </c>
      <c r="AD781">
        <v>832844</v>
      </c>
      <c r="AE781" t="s">
        <v>1288</v>
      </c>
      <c r="AF781">
        <v>45195.634012187496</v>
      </c>
      <c r="AI781">
        <v>62</v>
      </c>
      <c r="AJ781">
        <v>62</v>
      </c>
      <c r="AN781">
        <v>45170</v>
      </c>
      <c r="AO781">
        <v>45199</v>
      </c>
      <c r="AP781" t="s">
        <v>1101</v>
      </c>
    </row>
    <row r="782" spans="1:42" x14ac:dyDescent="0.25">
      <c r="A782">
        <v>2023</v>
      </c>
      <c r="B782">
        <v>9</v>
      </c>
      <c r="C782">
        <v>17</v>
      </c>
      <c r="D782" t="s">
        <v>1088</v>
      </c>
      <c r="E782" t="s">
        <v>282</v>
      </c>
      <c r="F782">
        <v>612494</v>
      </c>
      <c r="G782">
        <v>10183784</v>
      </c>
      <c r="H782" t="s">
        <v>282</v>
      </c>
      <c r="J782">
        <v>54148741</v>
      </c>
      <c r="K782">
        <v>1101</v>
      </c>
      <c r="L782">
        <v>1702</v>
      </c>
      <c r="M782">
        <v>1301</v>
      </c>
      <c r="N782">
        <v>52626574</v>
      </c>
      <c r="O782">
        <v>45146.720892094905</v>
      </c>
      <c r="P782">
        <v>16</v>
      </c>
      <c r="Q782">
        <v>1</v>
      </c>
      <c r="R782">
        <v>16</v>
      </c>
      <c r="S782">
        <v>45195.634133067128</v>
      </c>
      <c r="T782">
        <v>5502</v>
      </c>
      <c r="U782" t="s">
        <v>1217</v>
      </c>
      <c r="V782" t="s">
        <v>1155</v>
      </c>
      <c r="W782" t="s">
        <v>1031</v>
      </c>
      <c r="X782" t="s">
        <v>1031</v>
      </c>
      <c r="AD782">
        <v>832844</v>
      </c>
      <c r="AE782" t="s">
        <v>1288</v>
      </c>
      <c r="AF782">
        <v>45195.634012187496</v>
      </c>
      <c r="AI782">
        <v>62</v>
      </c>
      <c r="AJ782">
        <v>62</v>
      </c>
      <c r="AN782">
        <v>45170</v>
      </c>
      <c r="AO782">
        <v>45199</v>
      </c>
      <c r="AP782" t="s">
        <v>1101</v>
      </c>
    </row>
    <row r="783" spans="1:42" x14ac:dyDescent="0.25">
      <c r="A783">
        <v>2023</v>
      </c>
      <c r="B783">
        <v>9</v>
      </c>
      <c r="C783">
        <v>17</v>
      </c>
      <c r="D783" t="s">
        <v>1088</v>
      </c>
      <c r="E783" t="s">
        <v>282</v>
      </c>
      <c r="F783">
        <v>612494</v>
      </c>
      <c r="G783">
        <v>10183784</v>
      </c>
      <c r="H783" t="s">
        <v>282</v>
      </c>
      <c r="J783">
        <v>54148742</v>
      </c>
      <c r="K783">
        <v>1101</v>
      </c>
      <c r="L783">
        <v>1702</v>
      </c>
      <c r="M783">
        <v>1301</v>
      </c>
      <c r="N783">
        <v>52626575</v>
      </c>
      <c r="O783">
        <v>45146.72113244213</v>
      </c>
      <c r="P783">
        <v>15</v>
      </c>
      <c r="Q783">
        <v>1</v>
      </c>
      <c r="R783">
        <v>15</v>
      </c>
      <c r="S783">
        <v>45195.634133067128</v>
      </c>
      <c r="T783">
        <v>5502</v>
      </c>
      <c r="U783" t="s">
        <v>1217</v>
      </c>
      <c r="V783" t="s">
        <v>1155</v>
      </c>
      <c r="W783" t="s">
        <v>1031</v>
      </c>
      <c r="X783" t="s">
        <v>1031</v>
      </c>
      <c r="AD783">
        <v>832844</v>
      </c>
      <c r="AE783" t="s">
        <v>1288</v>
      </c>
      <c r="AF783">
        <v>45195.634012187496</v>
      </c>
      <c r="AI783">
        <v>62</v>
      </c>
      <c r="AJ783">
        <v>62</v>
      </c>
      <c r="AN783">
        <v>45170</v>
      </c>
      <c r="AO783">
        <v>45199</v>
      </c>
      <c r="AP783" t="s">
        <v>1101</v>
      </c>
    </row>
    <row r="784" spans="1:42" x14ac:dyDescent="0.25">
      <c r="A784">
        <v>2023</v>
      </c>
      <c r="B784">
        <v>9</v>
      </c>
      <c r="C784">
        <v>17</v>
      </c>
      <c r="D784" t="s">
        <v>1088</v>
      </c>
      <c r="E784" t="s">
        <v>282</v>
      </c>
      <c r="F784">
        <v>595214</v>
      </c>
      <c r="G784">
        <v>10154691</v>
      </c>
      <c r="H784" t="s">
        <v>282</v>
      </c>
      <c r="J784">
        <v>54148988</v>
      </c>
      <c r="K784">
        <v>1101</v>
      </c>
      <c r="L784">
        <v>1702</v>
      </c>
      <c r="M784">
        <v>1301</v>
      </c>
      <c r="N784">
        <v>52445180</v>
      </c>
      <c r="O784">
        <v>45140.648176967596</v>
      </c>
      <c r="P784">
        <v>85</v>
      </c>
      <c r="Q784">
        <v>1</v>
      </c>
      <c r="R784">
        <v>85</v>
      </c>
      <c r="S784">
        <v>45195.643754201388</v>
      </c>
      <c r="T784">
        <v>5502</v>
      </c>
      <c r="U784" t="s">
        <v>1217</v>
      </c>
      <c r="V784" t="s">
        <v>1155</v>
      </c>
      <c r="W784" t="s">
        <v>1031</v>
      </c>
      <c r="X784" t="s">
        <v>1031</v>
      </c>
      <c r="AD784">
        <v>832845</v>
      </c>
      <c r="AE784" t="s">
        <v>1280</v>
      </c>
      <c r="AF784">
        <v>45195.643753703705</v>
      </c>
      <c r="AI784">
        <v>62</v>
      </c>
      <c r="AJ784">
        <v>62</v>
      </c>
      <c r="AN784">
        <v>45170</v>
      </c>
      <c r="AO784">
        <v>45199</v>
      </c>
      <c r="AP784" t="s">
        <v>1101</v>
      </c>
    </row>
    <row r="785" spans="1:42" x14ac:dyDescent="0.25">
      <c r="A785">
        <v>2023</v>
      </c>
      <c r="B785">
        <v>9</v>
      </c>
      <c r="C785">
        <v>17</v>
      </c>
      <c r="D785" t="s">
        <v>1088</v>
      </c>
      <c r="E785" t="s">
        <v>282</v>
      </c>
      <c r="F785">
        <v>595214</v>
      </c>
      <c r="G785">
        <v>10154691</v>
      </c>
      <c r="H785" t="s">
        <v>282</v>
      </c>
      <c r="J785">
        <v>54148990</v>
      </c>
      <c r="K785">
        <v>1101</v>
      </c>
      <c r="L785">
        <v>1702</v>
      </c>
      <c r="M785">
        <v>1301</v>
      </c>
      <c r="N785">
        <v>52445716</v>
      </c>
      <c r="O785">
        <v>45140.648492939814</v>
      </c>
      <c r="P785">
        <v>16</v>
      </c>
      <c r="Q785">
        <v>1</v>
      </c>
      <c r="R785">
        <v>16</v>
      </c>
      <c r="S785">
        <v>45195.643754201388</v>
      </c>
      <c r="T785">
        <v>5502</v>
      </c>
      <c r="U785" t="s">
        <v>1217</v>
      </c>
      <c r="V785" t="s">
        <v>1155</v>
      </c>
      <c r="W785" t="s">
        <v>1031</v>
      </c>
      <c r="X785" t="s">
        <v>1031</v>
      </c>
      <c r="AD785">
        <v>832845</v>
      </c>
      <c r="AE785" t="s">
        <v>1280</v>
      </c>
      <c r="AF785">
        <v>45195.643753703705</v>
      </c>
      <c r="AI785">
        <v>62</v>
      </c>
      <c r="AJ785">
        <v>62</v>
      </c>
      <c r="AN785">
        <v>45170</v>
      </c>
      <c r="AO785">
        <v>45199</v>
      </c>
      <c r="AP785" t="s">
        <v>1101</v>
      </c>
    </row>
    <row r="786" spans="1:42" x14ac:dyDescent="0.25">
      <c r="A786">
        <v>2023</v>
      </c>
      <c r="B786">
        <v>9</v>
      </c>
      <c r="C786">
        <v>17</v>
      </c>
      <c r="D786" t="s">
        <v>1088</v>
      </c>
      <c r="E786" t="s">
        <v>282</v>
      </c>
      <c r="F786">
        <v>595214</v>
      </c>
      <c r="G786">
        <v>10154691</v>
      </c>
      <c r="H786" t="s">
        <v>282</v>
      </c>
      <c r="J786">
        <v>54148991</v>
      </c>
      <c r="K786">
        <v>1101</v>
      </c>
      <c r="L786">
        <v>1702</v>
      </c>
      <c r="M786">
        <v>1301</v>
      </c>
      <c r="N786">
        <v>52445717</v>
      </c>
      <c r="O786">
        <v>45140.648620173612</v>
      </c>
      <c r="P786">
        <v>15</v>
      </c>
      <c r="Q786">
        <v>1</v>
      </c>
      <c r="R786">
        <v>15</v>
      </c>
      <c r="S786">
        <v>45195.643754201388</v>
      </c>
      <c r="T786">
        <v>5502</v>
      </c>
      <c r="U786" t="s">
        <v>1217</v>
      </c>
      <c r="V786" t="s">
        <v>1155</v>
      </c>
      <c r="W786" t="s">
        <v>1031</v>
      </c>
      <c r="X786" t="s">
        <v>1031</v>
      </c>
      <c r="AD786">
        <v>832845</v>
      </c>
      <c r="AE786" t="s">
        <v>1280</v>
      </c>
      <c r="AF786">
        <v>45195.643753703705</v>
      </c>
      <c r="AI786">
        <v>62</v>
      </c>
      <c r="AJ786">
        <v>62</v>
      </c>
      <c r="AN786">
        <v>45170</v>
      </c>
      <c r="AO786">
        <v>45199</v>
      </c>
      <c r="AP786" t="s">
        <v>1101</v>
      </c>
    </row>
    <row r="787" spans="1:42" x14ac:dyDescent="0.25">
      <c r="A787">
        <v>2023</v>
      </c>
      <c r="B787">
        <v>9</v>
      </c>
      <c r="C787">
        <v>17</v>
      </c>
      <c r="D787" t="s">
        <v>1088</v>
      </c>
      <c r="E787" t="s">
        <v>282</v>
      </c>
      <c r="F787">
        <v>595214</v>
      </c>
      <c r="G787">
        <v>10154691</v>
      </c>
      <c r="H787" t="s">
        <v>282</v>
      </c>
      <c r="J787">
        <v>54148992</v>
      </c>
      <c r="K787">
        <v>1101</v>
      </c>
      <c r="L787">
        <v>1702</v>
      </c>
      <c r="M787">
        <v>1301</v>
      </c>
      <c r="N787">
        <v>52445725</v>
      </c>
      <c r="O787">
        <v>45140.64881712963</v>
      </c>
      <c r="P787">
        <v>8</v>
      </c>
      <c r="Q787">
        <v>1</v>
      </c>
      <c r="R787">
        <v>8</v>
      </c>
      <c r="S787">
        <v>45195.643754201388</v>
      </c>
      <c r="T787">
        <v>5502</v>
      </c>
      <c r="U787" t="s">
        <v>1217</v>
      </c>
      <c r="V787" t="s">
        <v>1155</v>
      </c>
      <c r="W787" t="s">
        <v>1031</v>
      </c>
      <c r="X787" t="s">
        <v>1031</v>
      </c>
      <c r="AD787">
        <v>832845</v>
      </c>
      <c r="AE787" t="s">
        <v>1280</v>
      </c>
      <c r="AF787">
        <v>45195.643753703705</v>
      </c>
      <c r="AI787">
        <v>62</v>
      </c>
      <c r="AJ787">
        <v>62</v>
      </c>
      <c r="AN787">
        <v>45170</v>
      </c>
      <c r="AO787">
        <v>45199</v>
      </c>
      <c r="AP787" t="s">
        <v>1101</v>
      </c>
    </row>
    <row r="788" spans="1:42" x14ac:dyDescent="0.25">
      <c r="A788">
        <v>2023</v>
      </c>
      <c r="B788">
        <v>9</v>
      </c>
      <c r="C788">
        <v>17</v>
      </c>
      <c r="D788" t="s">
        <v>1088</v>
      </c>
      <c r="E788" t="s">
        <v>282</v>
      </c>
      <c r="F788">
        <v>595214</v>
      </c>
      <c r="G788">
        <v>10154691</v>
      </c>
      <c r="H788" t="s">
        <v>282</v>
      </c>
      <c r="J788">
        <v>54148993</v>
      </c>
      <c r="K788">
        <v>1101</v>
      </c>
      <c r="L788">
        <v>1702</v>
      </c>
      <c r="M788">
        <v>1301</v>
      </c>
      <c r="N788">
        <v>52445729</v>
      </c>
      <c r="O788">
        <v>45140.648923182867</v>
      </c>
      <c r="P788">
        <v>12.5</v>
      </c>
      <c r="Q788">
        <v>1</v>
      </c>
      <c r="R788">
        <v>12.5</v>
      </c>
      <c r="S788">
        <v>45195.643754201388</v>
      </c>
      <c r="T788">
        <v>5502</v>
      </c>
      <c r="U788" t="s">
        <v>1217</v>
      </c>
      <c r="V788" t="s">
        <v>1155</v>
      </c>
      <c r="W788" t="s">
        <v>1031</v>
      </c>
      <c r="X788" t="s">
        <v>1031</v>
      </c>
      <c r="AD788">
        <v>832845</v>
      </c>
      <c r="AE788" t="s">
        <v>1280</v>
      </c>
      <c r="AF788">
        <v>45195.643753703705</v>
      </c>
      <c r="AI788">
        <v>62</v>
      </c>
      <c r="AJ788">
        <v>62</v>
      </c>
      <c r="AN788">
        <v>45170</v>
      </c>
      <c r="AO788">
        <v>45199</v>
      </c>
      <c r="AP788" t="s">
        <v>1101</v>
      </c>
    </row>
    <row r="789" spans="1:42" x14ac:dyDescent="0.25">
      <c r="A789">
        <v>2023</v>
      </c>
      <c r="B789">
        <v>9</v>
      </c>
      <c r="C789">
        <v>17</v>
      </c>
      <c r="D789" t="s">
        <v>1088</v>
      </c>
      <c r="E789" t="s">
        <v>282</v>
      </c>
      <c r="F789">
        <v>611780</v>
      </c>
      <c r="G789">
        <v>10171005</v>
      </c>
      <c r="H789" t="s">
        <v>282</v>
      </c>
      <c r="J789">
        <v>54148968</v>
      </c>
      <c r="K789">
        <v>1101</v>
      </c>
      <c r="L789">
        <v>1702</v>
      </c>
      <c r="M789">
        <v>1301</v>
      </c>
      <c r="N789">
        <v>52566374</v>
      </c>
      <c r="O789">
        <v>45145.441966782404</v>
      </c>
      <c r="P789">
        <v>85</v>
      </c>
      <c r="Q789">
        <v>1</v>
      </c>
      <c r="R789">
        <v>85</v>
      </c>
      <c r="S789">
        <v>45195.643754201388</v>
      </c>
      <c r="T789">
        <v>5502</v>
      </c>
      <c r="U789" t="s">
        <v>1217</v>
      </c>
      <c r="V789" t="s">
        <v>1155</v>
      </c>
      <c r="W789" t="s">
        <v>1031</v>
      </c>
      <c r="X789" t="s">
        <v>1031</v>
      </c>
      <c r="AD789">
        <v>832845</v>
      </c>
      <c r="AE789" t="s">
        <v>1280</v>
      </c>
      <c r="AF789">
        <v>45195.643753703705</v>
      </c>
      <c r="AI789">
        <v>62</v>
      </c>
      <c r="AJ789">
        <v>62</v>
      </c>
      <c r="AN789">
        <v>45170</v>
      </c>
      <c r="AO789">
        <v>45199</v>
      </c>
      <c r="AP789" t="s">
        <v>1101</v>
      </c>
    </row>
    <row r="790" spans="1:42" x14ac:dyDescent="0.25">
      <c r="A790">
        <v>2023</v>
      </c>
      <c r="B790">
        <v>9</v>
      </c>
      <c r="C790">
        <v>17</v>
      </c>
      <c r="D790" t="s">
        <v>1088</v>
      </c>
      <c r="E790" t="s">
        <v>282</v>
      </c>
      <c r="F790">
        <v>611780</v>
      </c>
      <c r="G790">
        <v>10171005</v>
      </c>
      <c r="H790" t="s">
        <v>282</v>
      </c>
      <c r="J790">
        <v>54148969</v>
      </c>
      <c r="K790">
        <v>1101</v>
      </c>
      <c r="L790">
        <v>1702</v>
      </c>
      <c r="M790">
        <v>1301</v>
      </c>
      <c r="N790">
        <v>52566378</v>
      </c>
      <c r="O790">
        <v>45145.44218460648</v>
      </c>
      <c r="P790">
        <v>15</v>
      </c>
      <c r="Q790">
        <v>1</v>
      </c>
      <c r="R790">
        <v>15</v>
      </c>
      <c r="S790">
        <v>45195.643754201388</v>
      </c>
      <c r="T790">
        <v>5502</v>
      </c>
      <c r="U790" t="s">
        <v>1217</v>
      </c>
      <c r="V790" t="s">
        <v>1155</v>
      </c>
      <c r="W790" t="s">
        <v>1031</v>
      </c>
      <c r="X790" t="s">
        <v>1031</v>
      </c>
      <c r="AD790">
        <v>832845</v>
      </c>
      <c r="AE790" t="s">
        <v>1280</v>
      </c>
      <c r="AF790">
        <v>45195.643753703705</v>
      </c>
      <c r="AI790">
        <v>62</v>
      </c>
      <c r="AJ790">
        <v>62</v>
      </c>
      <c r="AN790">
        <v>45170</v>
      </c>
      <c r="AO790">
        <v>45199</v>
      </c>
      <c r="AP790" t="s">
        <v>1101</v>
      </c>
    </row>
    <row r="791" spans="1:42" x14ac:dyDescent="0.25">
      <c r="A791">
        <v>2023</v>
      </c>
      <c r="B791">
        <v>9</v>
      </c>
      <c r="C791">
        <v>17</v>
      </c>
      <c r="D791" t="s">
        <v>1088</v>
      </c>
      <c r="E791" t="s">
        <v>282</v>
      </c>
      <c r="F791">
        <v>611780</v>
      </c>
      <c r="G791">
        <v>10171005</v>
      </c>
      <c r="H791" t="s">
        <v>282</v>
      </c>
      <c r="J791">
        <v>54148970</v>
      </c>
      <c r="K791">
        <v>1101</v>
      </c>
      <c r="L791">
        <v>1702</v>
      </c>
      <c r="M791">
        <v>1301</v>
      </c>
      <c r="N791">
        <v>52566393</v>
      </c>
      <c r="O791">
        <v>45145.442387268522</v>
      </c>
      <c r="P791">
        <v>25</v>
      </c>
      <c r="Q791">
        <v>1</v>
      </c>
      <c r="R791">
        <v>25</v>
      </c>
      <c r="S791">
        <v>45195.643754201388</v>
      </c>
      <c r="T791">
        <v>5502</v>
      </c>
      <c r="U791" t="s">
        <v>1217</v>
      </c>
      <c r="V791" t="s">
        <v>1155</v>
      </c>
      <c r="W791" t="s">
        <v>1031</v>
      </c>
      <c r="X791" t="s">
        <v>1031</v>
      </c>
      <c r="AD791">
        <v>832845</v>
      </c>
      <c r="AE791" t="s">
        <v>1280</v>
      </c>
      <c r="AF791">
        <v>45195.643753703705</v>
      </c>
      <c r="AI791">
        <v>62</v>
      </c>
      <c r="AJ791">
        <v>62</v>
      </c>
      <c r="AN791">
        <v>45170</v>
      </c>
      <c r="AO791">
        <v>45199</v>
      </c>
      <c r="AP791" t="s">
        <v>1101</v>
      </c>
    </row>
    <row r="792" spans="1:42" x14ac:dyDescent="0.25">
      <c r="A792">
        <v>2023</v>
      </c>
      <c r="B792">
        <v>9</v>
      </c>
      <c r="C792">
        <v>17</v>
      </c>
      <c r="D792" t="s">
        <v>1088</v>
      </c>
      <c r="E792" t="s">
        <v>282</v>
      </c>
      <c r="F792">
        <v>611787</v>
      </c>
      <c r="G792">
        <v>10171054</v>
      </c>
      <c r="H792" t="s">
        <v>282</v>
      </c>
      <c r="J792">
        <v>54148985</v>
      </c>
      <c r="K792">
        <v>1101</v>
      </c>
      <c r="L792">
        <v>1702</v>
      </c>
      <c r="M792">
        <v>1301</v>
      </c>
      <c r="N792">
        <v>52566452</v>
      </c>
      <c r="O792">
        <v>45145.44647372685</v>
      </c>
      <c r="P792">
        <v>85</v>
      </c>
      <c r="Q792">
        <v>1</v>
      </c>
      <c r="R792">
        <v>85</v>
      </c>
      <c r="S792">
        <v>45195.643754201388</v>
      </c>
      <c r="T792">
        <v>5502</v>
      </c>
      <c r="U792" t="s">
        <v>1217</v>
      </c>
      <c r="V792" t="s">
        <v>1155</v>
      </c>
      <c r="W792" t="s">
        <v>1031</v>
      </c>
      <c r="X792" t="s">
        <v>1031</v>
      </c>
      <c r="AD792">
        <v>832845</v>
      </c>
      <c r="AE792" t="s">
        <v>1280</v>
      </c>
      <c r="AF792">
        <v>45195.643753703705</v>
      </c>
      <c r="AI792">
        <v>62</v>
      </c>
      <c r="AJ792">
        <v>62</v>
      </c>
      <c r="AN792">
        <v>45170</v>
      </c>
      <c r="AO792">
        <v>45199</v>
      </c>
      <c r="AP792" t="s">
        <v>1101</v>
      </c>
    </row>
    <row r="793" spans="1:42" x14ac:dyDescent="0.25">
      <c r="A793">
        <v>2023</v>
      </c>
      <c r="B793">
        <v>9</v>
      </c>
      <c r="C793">
        <v>17</v>
      </c>
      <c r="D793" t="s">
        <v>1088</v>
      </c>
      <c r="E793" t="s">
        <v>282</v>
      </c>
      <c r="F793">
        <v>611787</v>
      </c>
      <c r="G793">
        <v>10171054</v>
      </c>
      <c r="H793" t="s">
        <v>282</v>
      </c>
      <c r="J793">
        <v>54148986</v>
      </c>
      <c r="K793">
        <v>1101</v>
      </c>
      <c r="L793">
        <v>1702</v>
      </c>
      <c r="M793">
        <v>1301</v>
      </c>
      <c r="N793">
        <v>52566453</v>
      </c>
      <c r="O793">
        <v>45145.446666354168</v>
      </c>
      <c r="P793">
        <v>15</v>
      </c>
      <c r="Q793">
        <v>1</v>
      </c>
      <c r="R793">
        <v>15</v>
      </c>
      <c r="S793">
        <v>45195.643754201388</v>
      </c>
      <c r="T793">
        <v>5502</v>
      </c>
      <c r="U793" t="s">
        <v>1217</v>
      </c>
      <c r="V793" t="s">
        <v>1155</v>
      </c>
      <c r="W793" t="s">
        <v>1031</v>
      </c>
      <c r="X793" t="s">
        <v>1031</v>
      </c>
      <c r="AD793">
        <v>832845</v>
      </c>
      <c r="AE793" t="s">
        <v>1280</v>
      </c>
      <c r="AF793">
        <v>45195.643753703705</v>
      </c>
      <c r="AI793">
        <v>62</v>
      </c>
      <c r="AJ793">
        <v>62</v>
      </c>
      <c r="AN793">
        <v>45170</v>
      </c>
      <c r="AO793">
        <v>45199</v>
      </c>
      <c r="AP793" t="s">
        <v>1101</v>
      </c>
    </row>
    <row r="794" spans="1:42" x14ac:dyDescent="0.25">
      <c r="A794">
        <v>2023</v>
      </c>
      <c r="B794">
        <v>9</v>
      </c>
      <c r="C794">
        <v>17</v>
      </c>
      <c r="D794" t="s">
        <v>1088</v>
      </c>
      <c r="E794" t="s">
        <v>282</v>
      </c>
      <c r="F794">
        <v>611787</v>
      </c>
      <c r="G794">
        <v>10171054</v>
      </c>
      <c r="H794" t="s">
        <v>282</v>
      </c>
      <c r="J794">
        <v>54148987</v>
      </c>
      <c r="K794">
        <v>1101</v>
      </c>
      <c r="L794">
        <v>1702</v>
      </c>
      <c r="M794">
        <v>1301</v>
      </c>
      <c r="N794">
        <v>52566457</v>
      </c>
      <c r="O794">
        <v>45145.446806215281</v>
      </c>
      <c r="P794">
        <v>25</v>
      </c>
      <c r="Q794">
        <v>1</v>
      </c>
      <c r="R794">
        <v>25</v>
      </c>
      <c r="S794">
        <v>45195.643754201388</v>
      </c>
      <c r="T794">
        <v>5502</v>
      </c>
      <c r="U794" t="s">
        <v>1217</v>
      </c>
      <c r="V794" t="s">
        <v>1155</v>
      </c>
      <c r="W794" t="s">
        <v>1031</v>
      </c>
      <c r="X794" t="s">
        <v>1031</v>
      </c>
      <c r="AD794">
        <v>832845</v>
      </c>
      <c r="AE794" t="s">
        <v>1280</v>
      </c>
      <c r="AF794">
        <v>45195.643753703705</v>
      </c>
      <c r="AI794">
        <v>62</v>
      </c>
      <c r="AJ794">
        <v>62</v>
      </c>
      <c r="AN794">
        <v>45170</v>
      </c>
      <c r="AO794">
        <v>45199</v>
      </c>
      <c r="AP794" t="s">
        <v>1101</v>
      </c>
    </row>
    <row r="795" spans="1:42" x14ac:dyDescent="0.25">
      <c r="A795">
        <v>2023</v>
      </c>
      <c r="B795">
        <v>9</v>
      </c>
      <c r="C795">
        <v>17</v>
      </c>
      <c r="D795" t="s">
        <v>1088</v>
      </c>
      <c r="E795" t="s">
        <v>282</v>
      </c>
      <c r="F795">
        <v>612702</v>
      </c>
      <c r="G795">
        <v>10189707</v>
      </c>
      <c r="H795" t="s">
        <v>282</v>
      </c>
      <c r="J795">
        <v>54149005</v>
      </c>
      <c r="K795">
        <v>1101</v>
      </c>
      <c r="L795">
        <v>1702</v>
      </c>
      <c r="M795">
        <v>1301</v>
      </c>
      <c r="N795">
        <v>52664249</v>
      </c>
      <c r="O795">
        <v>45147.617154942127</v>
      </c>
      <c r="P795">
        <v>85</v>
      </c>
      <c r="Q795">
        <v>1</v>
      </c>
      <c r="R795">
        <v>85</v>
      </c>
      <c r="S795">
        <v>45195.643754201388</v>
      </c>
      <c r="T795">
        <v>5502</v>
      </c>
      <c r="U795" t="s">
        <v>1217</v>
      </c>
      <c r="V795" t="s">
        <v>1155</v>
      </c>
      <c r="W795" t="s">
        <v>1031</v>
      </c>
      <c r="X795" t="s">
        <v>1031</v>
      </c>
      <c r="AD795">
        <v>832845</v>
      </c>
      <c r="AE795" t="s">
        <v>1280</v>
      </c>
      <c r="AF795">
        <v>45195.643753703705</v>
      </c>
      <c r="AI795">
        <v>62</v>
      </c>
      <c r="AJ795">
        <v>62</v>
      </c>
      <c r="AN795">
        <v>45170</v>
      </c>
      <c r="AO795">
        <v>45199</v>
      </c>
      <c r="AP795" t="s">
        <v>1101</v>
      </c>
    </row>
    <row r="796" spans="1:42" x14ac:dyDescent="0.25">
      <c r="A796">
        <v>2023</v>
      </c>
      <c r="B796">
        <v>9</v>
      </c>
      <c r="C796">
        <v>17</v>
      </c>
      <c r="D796" t="s">
        <v>1088</v>
      </c>
      <c r="E796" t="s">
        <v>282</v>
      </c>
      <c r="F796">
        <v>613048</v>
      </c>
      <c r="G796">
        <v>10199712</v>
      </c>
      <c r="H796" t="s">
        <v>282</v>
      </c>
      <c r="J796">
        <v>54149021</v>
      </c>
      <c r="K796">
        <v>1101</v>
      </c>
      <c r="L796">
        <v>1702</v>
      </c>
      <c r="M796">
        <v>1301</v>
      </c>
      <c r="N796">
        <v>52693854</v>
      </c>
      <c r="O796">
        <v>45148.441725613426</v>
      </c>
      <c r="P796">
        <v>20</v>
      </c>
      <c r="Q796">
        <v>1</v>
      </c>
      <c r="R796">
        <v>20</v>
      </c>
      <c r="S796">
        <v>45195.643754201388</v>
      </c>
      <c r="T796">
        <v>5502</v>
      </c>
      <c r="U796" t="s">
        <v>1217</v>
      </c>
      <c r="V796" t="s">
        <v>1155</v>
      </c>
      <c r="W796" t="s">
        <v>1031</v>
      </c>
      <c r="X796" t="s">
        <v>1031</v>
      </c>
      <c r="AD796">
        <v>832845</v>
      </c>
      <c r="AE796" t="s">
        <v>1280</v>
      </c>
      <c r="AF796">
        <v>45195.643753703705</v>
      </c>
      <c r="AI796">
        <v>62</v>
      </c>
      <c r="AJ796">
        <v>62</v>
      </c>
      <c r="AN796">
        <v>45170</v>
      </c>
      <c r="AO796">
        <v>45199</v>
      </c>
      <c r="AP796" t="s">
        <v>1101</v>
      </c>
    </row>
    <row r="797" spans="1:42" x14ac:dyDescent="0.25">
      <c r="A797">
        <v>2023</v>
      </c>
      <c r="B797">
        <v>9</v>
      </c>
      <c r="C797">
        <v>17</v>
      </c>
      <c r="D797" t="s">
        <v>1088</v>
      </c>
      <c r="E797" t="s">
        <v>282</v>
      </c>
      <c r="F797">
        <v>612415</v>
      </c>
      <c r="G797">
        <v>10182606</v>
      </c>
      <c r="H797" t="s">
        <v>282</v>
      </c>
      <c r="J797">
        <v>54149035</v>
      </c>
      <c r="K797">
        <v>1101</v>
      </c>
      <c r="L797">
        <v>1702</v>
      </c>
      <c r="M797">
        <v>1301</v>
      </c>
      <c r="N797">
        <v>52618441</v>
      </c>
      <c r="O797">
        <v>45146.650684108798</v>
      </c>
      <c r="P797">
        <v>85</v>
      </c>
      <c r="Q797">
        <v>1</v>
      </c>
      <c r="R797">
        <v>85</v>
      </c>
      <c r="S797">
        <v>45195.643754201388</v>
      </c>
      <c r="T797">
        <v>5502</v>
      </c>
      <c r="U797" t="s">
        <v>1217</v>
      </c>
      <c r="V797" t="s">
        <v>1155</v>
      </c>
      <c r="W797" t="s">
        <v>1031</v>
      </c>
      <c r="X797" t="s">
        <v>1031</v>
      </c>
      <c r="AD797">
        <v>832845</v>
      </c>
      <c r="AE797" t="s">
        <v>1280</v>
      </c>
      <c r="AF797">
        <v>45195.643753703705</v>
      </c>
      <c r="AI797">
        <v>62</v>
      </c>
      <c r="AJ797">
        <v>62</v>
      </c>
      <c r="AN797">
        <v>45170</v>
      </c>
      <c r="AO797">
        <v>45199</v>
      </c>
      <c r="AP797" t="s">
        <v>1101</v>
      </c>
    </row>
    <row r="798" spans="1:42" x14ac:dyDescent="0.25">
      <c r="A798">
        <v>2023</v>
      </c>
      <c r="B798">
        <v>9</v>
      </c>
      <c r="C798">
        <v>17</v>
      </c>
      <c r="D798" t="s">
        <v>1088</v>
      </c>
      <c r="E798" t="s">
        <v>282</v>
      </c>
      <c r="F798">
        <v>612415</v>
      </c>
      <c r="G798">
        <v>10182606</v>
      </c>
      <c r="H798" t="s">
        <v>282</v>
      </c>
      <c r="J798">
        <v>54149036</v>
      </c>
      <c r="K798">
        <v>1101</v>
      </c>
      <c r="L798">
        <v>1702</v>
      </c>
      <c r="M798">
        <v>1301</v>
      </c>
      <c r="N798">
        <v>52618589</v>
      </c>
      <c r="O798">
        <v>45146.650818599534</v>
      </c>
      <c r="P798">
        <v>15</v>
      </c>
      <c r="Q798">
        <v>1</v>
      </c>
      <c r="R798">
        <v>15</v>
      </c>
      <c r="S798">
        <v>45195.643754201388</v>
      </c>
      <c r="T798">
        <v>5502</v>
      </c>
      <c r="U798" t="s">
        <v>1217</v>
      </c>
      <c r="V798" t="s">
        <v>1155</v>
      </c>
      <c r="W798" t="s">
        <v>1031</v>
      </c>
      <c r="X798" t="s">
        <v>1031</v>
      </c>
      <c r="AD798">
        <v>832845</v>
      </c>
      <c r="AE798" t="s">
        <v>1280</v>
      </c>
      <c r="AF798">
        <v>45195.643753703705</v>
      </c>
      <c r="AI798">
        <v>62</v>
      </c>
      <c r="AJ798">
        <v>62</v>
      </c>
      <c r="AN798">
        <v>45170</v>
      </c>
      <c r="AO798">
        <v>45199</v>
      </c>
      <c r="AP798" t="s">
        <v>1101</v>
      </c>
    </row>
    <row r="799" spans="1:42" x14ac:dyDescent="0.25">
      <c r="A799">
        <v>2023</v>
      </c>
      <c r="B799">
        <v>9</v>
      </c>
      <c r="C799">
        <v>17</v>
      </c>
      <c r="D799" t="s">
        <v>1088</v>
      </c>
      <c r="E799" t="s">
        <v>282</v>
      </c>
      <c r="F799">
        <v>612415</v>
      </c>
      <c r="G799">
        <v>10182606</v>
      </c>
      <c r="H799" t="s">
        <v>282</v>
      </c>
      <c r="J799">
        <v>54149037</v>
      </c>
      <c r="K799">
        <v>1101</v>
      </c>
      <c r="L799">
        <v>1702</v>
      </c>
      <c r="M799">
        <v>1301</v>
      </c>
      <c r="N799">
        <v>52618595</v>
      </c>
      <c r="O799">
        <v>45146.650997453704</v>
      </c>
      <c r="P799">
        <v>16</v>
      </c>
      <c r="Q799">
        <v>1</v>
      </c>
      <c r="R799">
        <v>16</v>
      </c>
      <c r="S799">
        <v>45195.643754201388</v>
      </c>
      <c r="T799">
        <v>5502</v>
      </c>
      <c r="U799" t="s">
        <v>1217</v>
      </c>
      <c r="V799" t="s">
        <v>1155</v>
      </c>
      <c r="W799" t="s">
        <v>1031</v>
      </c>
      <c r="X799" t="s">
        <v>1031</v>
      </c>
      <c r="AD799">
        <v>832845</v>
      </c>
      <c r="AE799" t="s">
        <v>1280</v>
      </c>
      <c r="AF799">
        <v>45195.643753703705</v>
      </c>
      <c r="AI799">
        <v>62</v>
      </c>
      <c r="AJ799">
        <v>62</v>
      </c>
      <c r="AN799">
        <v>45170</v>
      </c>
      <c r="AO799">
        <v>45199</v>
      </c>
      <c r="AP799" t="s">
        <v>1101</v>
      </c>
    </row>
    <row r="800" spans="1:42" x14ac:dyDescent="0.25">
      <c r="A800">
        <v>2023</v>
      </c>
      <c r="B800">
        <v>9</v>
      </c>
      <c r="C800">
        <v>17</v>
      </c>
      <c r="D800" t="s">
        <v>1088</v>
      </c>
      <c r="E800" t="s">
        <v>282</v>
      </c>
      <c r="F800">
        <v>612415</v>
      </c>
      <c r="G800">
        <v>10182606</v>
      </c>
      <c r="H800" t="s">
        <v>282</v>
      </c>
      <c r="J800">
        <v>54149038</v>
      </c>
      <c r="K800">
        <v>1101</v>
      </c>
      <c r="L800">
        <v>1702</v>
      </c>
      <c r="M800">
        <v>1301</v>
      </c>
      <c r="N800">
        <v>52618601</v>
      </c>
      <c r="O800">
        <v>45146.651126620367</v>
      </c>
      <c r="P800">
        <v>15</v>
      </c>
      <c r="Q800">
        <v>1</v>
      </c>
      <c r="R800">
        <v>15</v>
      </c>
      <c r="S800">
        <v>45195.643754201388</v>
      </c>
      <c r="T800">
        <v>5502</v>
      </c>
      <c r="U800" t="s">
        <v>1217</v>
      </c>
      <c r="V800" t="s">
        <v>1155</v>
      </c>
      <c r="W800" t="s">
        <v>1031</v>
      </c>
      <c r="X800" t="s">
        <v>1031</v>
      </c>
      <c r="AD800">
        <v>832845</v>
      </c>
      <c r="AE800" t="s">
        <v>1280</v>
      </c>
      <c r="AF800">
        <v>45195.643753703705</v>
      </c>
      <c r="AI800">
        <v>62</v>
      </c>
      <c r="AJ800">
        <v>62</v>
      </c>
      <c r="AN800">
        <v>45170</v>
      </c>
      <c r="AO800">
        <v>45199</v>
      </c>
      <c r="AP800" t="s">
        <v>1101</v>
      </c>
    </row>
    <row r="801" spans="1:42" x14ac:dyDescent="0.25">
      <c r="A801">
        <v>2023</v>
      </c>
      <c r="B801">
        <v>9</v>
      </c>
      <c r="C801">
        <v>17</v>
      </c>
      <c r="D801" t="s">
        <v>1088</v>
      </c>
      <c r="E801" t="s">
        <v>282</v>
      </c>
      <c r="F801">
        <v>612415</v>
      </c>
      <c r="G801">
        <v>10182606</v>
      </c>
      <c r="H801" t="s">
        <v>282</v>
      </c>
      <c r="J801">
        <v>54149039</v>
      </c>
      <c r="K801">
        <v>1101</v>
      </c>
      <c r="L801">
        <v>1702</v>
      </c>
      <c r="M801">
        <v>1301</v>
      </c>
      <c r="N801">
        <v>52618607</v>
      </c>
      <c r="O801">
        <v>45146.651306250002</v>
      </c>
      <c r="P801">
        <v>8</v>
      </c>
      <c r="Q801">
        <v>1</v>
      </c>
      <c r="R801">
        <v>8</v>
      </c>
      <c r="S801">
        <v>45195.643754201388</v>
      </c>
      <c r="T801">
        <v>5502</v>
      </c>
      <c r="U801" t="s">
        <v>1217</v>
      </c>
      <c r="V801" t="s">
        <v>1155</v>
      </c>
      <c r="W801" t="s">
        <v>1031</v>
      </c>
      <c r="X801" t="s">
        <v>1031</v>
      </c>
      <c r="AD801">
        <v>832845</v>
      </c>
      <c r="AE801" t="s">
        <v>1280</v>
      </c>
      <c r="AF801">
        <v>45195.643753703705</v>
      </c>
      <c r="AI801">
        <v>62</v>
      </c>
      <c r="AJ801">
        <v>62</v>
      </c>
      <c r="AN801">
        <v>45170</v>
      </c>
      <c r="AO801">
        <v>45199</v>
      </c>
      <c r="AP801" t="s">
        <v>1101</v>
      </c>
    </row>
    <row r="802" spans="1:42" x14ac:dyDescent="0.25">
      <c r="A802">
        <v>2023</v>
      </c>
      <c r="B802">
        <v>9</v>
      </c>
      <c r="C802">
        <v>17</v>
      </c>
      <c r="D802" t="s">
        <v>1088</v>
      </c>
      <c r="E802" t="s">
        <v>282</v>
      </c>
      <c r="F802">
        <v>120152</v>
      </c>
      <c r="G802">
        <v>9446019</v>
      </c>
      <c r="H802" t="s">
        <v>282</v>
      </c>
      <c r="J802">
        <v>54142275</v>
      </c>
      <c r="K802">
        <v>1104</v>
      </c>
      <c r="L802">
        <v>1702</v>
      </c>
      <c r="M802">
        <v>1304</v>
      </c>
      <c r="N802">
        <v>48060932</v>
      </c>
      <c r="O802">
        <v>45001.393315856483</v>
      </c>
      <c r="P802">
        <v>-66</v>
      </c>
      <c r="Q802">
        <v>1</v>
      </c>
      <c r="R802">
        <v>-66</v>
      </c>
      <c r="S802">
        <v>45195.599577280096</v>
      </c>
      <c r="T802">
        <v>5510</v>
      </c>
      <c r="U802" t="s">
        <v>1183</v>
      </c>
      <c r="V802" t="s">
        <v>1153</v>
      </c>
      <c r="W802" t="s">
        <v>2</v>
      </c>
      <c r="AI802">
        <v>62</v>
      </c>
      <c r="AJ802">
        <v>62</v>
      </c>
      <c r="AN802">
        <v>45170</v>
      </c>
      <c r="AO802">
        <v>45199</v>
      </c>
      <c r="AP802" t="s">
        <v>1101</v>
      </c>
    </row>
    <row r="803" spans="1:42" x14ac:dyDescent="0.25">
      <c r="A803">
        <v>2023</v>
      </c>
      <c r="B803">
        <v>9</v>
      </c>
      <c r="C803">
        <v>17</v>
      </c>
      <c r="D803" t="s">
        <v>1088</v>
      </c>
      <c r="E803" t="s">
        <v>282</v>
      </c>
      <c r="F803">
        <v>120152</v>
      </c>
      <c r="G803">
        <v>5731341</v>
      </c>
      <c r="H803" t="s">
        <v>282</v>
      </c>
      <c r="J803">
        <v>54142276</v>
      </c>
      <c r="K803">
        <v>1104</v>
      </c>
      <c r="L803">
        <v>1702</v>
      </c>
      <c r="M803">
        <v>1304</v>
      </c>
      <c r="N803">
        <v>28791397</v>
      </c>
      <c r="O803">
        <v>44048.476042708331</v>
      </c>
      <c r="P803">
        <v>-34</v>
      </c>
      <c r="Q803">
        <v>1</v>
      </c>
      <c r="R803">
        <v>-34</v>
      </c>
      <c r="S803">
        <v>45195.59958371528</v>
      </c>
      <c r="T803">
        <v>5510</v>
      </c>
      <c r="U803" t="s">
        <v>1183</v>
      </c>
      <c r="V803" t="s">
        <v>1153</v>
      </c>
      <c r="W803" t="s">
        <v>2</v>
      </c>
      <c r="X803" t="s">
        <v>1090</v>
      </c>
      <c r="AI803">
        <v>62</v>
      </c>
      <c r="AJ803">
        <v>62</v>
      </c>
      <c r="AN803">
        <v>45170</v>
      </c>
      <c r="AO803">
        <v>45199</v>
      </c>
      <c r="AP803" t="s">
        <v>1101</v>
      </c>
    </row>
    <row r="804" spans="1:42" x14ac:dyDescent="0.25">
      <c r="A804">
        <v>2023</v>
      </c>
      <c r="B804">
        <v>9</v>
      </c>
      <c r="C804">
        <v>17</v>
      </c>
      <c r="D804" t="s">
        <v>1088</v>
      </c>
      <c r="E804" t="s">
        <v>282</v>
      </c>
      <c r="F804">
        <v>137499</v>
      </c>
      <c r="G804">
        <v>10236211</v>
      </c>
      <c r="H804" t="s">
        <v>282</v>
      </c>
      <c r="J804">
        <v>53413473</v>
      </c>
      <c r="K804">
        <v>1104</v>
      </c>
      <c r="L804">
        <v>1702</v>
      </c>
      <c r="M804">
        <v>1304</v>
      </c>
      <c r="N804">
        <v>52990930</v>
      </c>
      <c r="O804">
        <v>45159.442811377317</v>
      </c>
      <c r="P804">
        <v>207</v>
      </c>
      <c r="Q804">
        <v>1</v>
      </c>
      <c r="R804">
        <v>207</v>
      </c>
      <c r="S804">
        <v>45170.067373414349</v>
      </c>
      <c r="T804">
        <v>5509</v>
      </c>
      <c r="U804" t="s">
        <v>1152</v>
      </c>
      <c r="V804" t="s">
        <v>1153</v>
      </c>
      <c r="W804" t="s">
        <v>2</v>
      </c>
      <c r="AI804">
        <v>62</v>
      </c>
      <c r="AJ804">
        <v>62</v>
      </c>
      <c r="AN804">
        <v>45170</v>
      </c>
      <c r="AO804">
        <v>45199</v>
      </c>
      <c r="AP804" t="s">
        <v>1101</v>
      </c>
    </row>
    <row r="805" spans="1:42" x14ac:dyDescent="0.25">
      <c r="A805">
        <v>2023</v>
      </c>
      <c r="B805">
        <v>9</v>
      </c>
      <c r="C805">
        <v>17</v>
      </c>
      <c r="D805" t="s">
        <v>1088</v>
      </c>
      <c r="E805" t="s">
        <v>282</v>
      </c>
      <c r="F805">
        <v>137499</v>
      </c>
      <c r="G805">
        <v>10236211</v>
      </c>
      <c r="H805" t="s">
        <v>282</v>
      </c>
      <c r="J805">
        <v>53413474</v>
      </c>
      <c r="K805">
        <v>1104</v>
      </c>
      <c r="L805">
        <v>1702</v>
      </c>
      <c r="M805">
        <v>1304</v>
      </c>
      <c r="N805">
        <v>52990933</v>
      </c>
      <c r="O805">
        <v>45159.44288101852</v>
      </c>
      <c r="P805">
        <v>18</v>
      </c>
      <c r="Q805">
        <v>1</v>
      </c>
      <c r="R805">
        <v>18</v>
      </c>
      <c r="S805">
        <v>45170.067373414349</v>
      </c>
      <c r="T805">
        <v>5509</v>
      </c>
      <c r="U805" t="s">
        <v>1152</v>
      </c>
      <c r="V805" t="s">
        <v>1153</v>
      </c>
      <c r="W805" t="s">
        <v>2</v>
      </c>
      <c r="AI805">
        <v>62</v>
      </c>
      <c r="AJ805">
        <v>62</v>
      </c>
      <c r="AN805">
        <v>45170</v>
      </c>
      <c r="AO805">
        <v>45199</v>
      </c>
      <c r="AP805" t="s">
        <v>1101</v>
      </c>
    </row>
    <row r="806" spans="1:42" x14ac:dyDescent="0.25">
      <c r="A806">
        <v>2023</v>
      </c>
      <c r="B806">
        <v>9</v>
      </c>
      <c r="C806">
        <v>17</v>
      </c>
      <c r="D806" t="s">
        <v>1088</v>
      </c>
      <c r="E806" t="s">
        <v>282</v>
      </c>
      <c r="F806">
        <v>454364</v>
      </c>
      <c r="G806">
        <v>10259912</v>
      </c>
      <c r="H806" t="s">
        <v>282</v>
      </c>
      <c r="J806">
        <v>53413475</v>
      </c>
      <c r="K806">
        <v>1104</v>
      </c>
      <c r="L806">
        <v>1702</v>
      </c>
      <c r="M806">
        <v>1304</v>
      </c>
      <c r="N806">
        <v>53396340</v>
      </c>
      <c r="O806">
        <v>45169.560662233795</v>
      </c>
      <c r="P806">
        <v>216</v>
      </c>
      <c r="Q806">
        <v>1</v>
      </c>
      <c r="R806">
        <v>216</v>
      </c>
      <c r="S806">
        <v>45170.067373414349</v>
      </c>
      <c r="T806">
        <v>5509</v>
      </c>
      <c r="U806" t="s">
        <v>1152</v>
      </c>
      <c r="V806" t="s">
        <v>1153</v>
      </c>
      <c r="W806" t="s">
        <v>2</v>
      </c>
      <c r="AI806">
        <v>62</v>
      </c>
      <c r="AJ806">
        <v>62</v>
      </c>
      <c r="AN806">
        <v>45170</v>
      </c>
      <c r="AO806">
        <v>45199</v>
      </c>
      <c r="AP806" t="s">
        <v>1101</v>
      </c>
    </row>
    <row r="807" spans="1:42" x14ac:dyDescent="0.25">
      <c r="A807">
        <v>2023</v>
      </c>
      <c r="B807">
        <v>9</v>
      </c>
      <c r="C807">
        <v>17</v>
      </c>
      <c r="D807" t="s">
        <v>1088</v>
      </c>
      <c r="E807" t="s">
        <v>282</v>
      </c>
      <c r="F807">
        <v>454364</v>
      </c>
      <c r="G807">
        <v>10259912</v>
      </c>
      <c r="H807" t="s">
        <v>282</v>
      </c>
      <c r="J807">
        <v>53413476</v>
      </c>
      <c r="K807">
        <v>1104</v>
      </c>
      <c r="L807">
        <v>1702</v>
      </c>
      <c r="M807">
        <v>1304</v>
      </c>
      <c r="N807">
        <v>53396341</v>
      </c>
      <c r="O807">
        <v>45169.560759687498</v>
      </c>
      <c r="P807">
        <v>216</v>
      </c>
      <c r="Q807">
        <v>1</v>
      </c>
      <c r="R807">
        <v>216</v>
      </c>
      <c r="S807">
        <v>45170.067373414349</v>
      </c>
      <c r="T807">
        <v>5509</v>
      </c>
      <c r="U807" t="s">
        <v>1152</v>
      </c>
      <c r="V807" t="s">
        <v>1153</v>
      </c>
      <c r="W807" t="s">
        <v>2</v>
      </c>
      <c r="AI807">
        <v>62</v>
      </c>
      <c r="AJ807">
        <v>62</v>
      </c>
      <c r="AN807">
        <v>45170</v>
      </c>
      <c r="AO807">
        <v>45199</v>
      </c>
      <c r="AP807" t="s">
        <v>1101</v>
      </c>
    </row>
    <row r="808" spans="1:42" x14ac:dyDescent="0.25">
      <c r="A808">
        <v>2023</v>
      </c>
      <c r="B808">
        <v>9</v>
      </c>
      <c r="C808">
        <v>17</v>
      </c>
      <c r="D808" t="s">
        <v>1088</v>
      </c>
      <c r="E808" t="s">
        <v>282</v>
      </c>
      <c r="F808">
        <v>454364</v>
      </c>
      <c r="G808">
        <v>10259912</v>
      </c>
      <c r="H808" t="s">
        <v>282</v>
      </c>
      <c r="J808">
        <v>53413477</v>
      </c>
      <c r="K808">
        <v>1104</v>
      </c>
      <c r="L808">
        <v>1702</v>
      </c>
      <c r="M808">
        <v>1304</v>
      </c>
      <c r="N808">
        <v>53396342</v>
      </c>
      <c r="O808">
        <v>45169.560850844908</v>
      </c>
      <c r="P808">
        <v>18</v>
      </c>
      <c r="Q808">
        <v>1</v>
      </c>
      <c r="R808">
        <v>18</v>
      </c>
      <c r="S808">
        <v>45170.067373414349</v>
      </c>
      <c r="T808">
        <v>5509</v>
      </c>
      <c r="U808" t="s">
        <v>1152</v>
      </c>
      <c r="V808" t="s">
        <v>1153</v>
      </c>
      <c r="W808" t="s">
        <v>2</v>
      </c>
      <c r="AI808">
        <v>62</v>
      </c>
      <c r="AJ808">
        <v>62</v>
      </c>
      <c r="AN808">
        <v>45170</v>
      </c>
      <c r="AO808">
        <v>45199</v>
      </c>
      <c r="AP808" t="s">
        <v>1101</v>
      </c>
    </row>
    <row r="809" spans="1:42" x14ac:dyDescent="0.25">
      <c r="A809">
        <v>2023</v>
      </c>
      <c r="B809">
        <v>9</v>
      </c>
      <c r="C809">
        <v>17</v>
      </c>
      <c r="D809" t="s">
        <v>1088</v>
      </c>
      <c r="E809" t="s">
        <v>282</v>
      </c>
      <c r="F809">
        <v>618403</v>
      </c>
      <c r="G809">
        <v>10304353</v>
      </c>
      <c r="H809" t="s">
        <v>282</v>
      </c>
      <c r="J809">
        <v>53414175</v>
      </c>
      <c r="K809">
        <v>1104</v>
      </c>
      <c r="L809">
        <v>1702</v>
      </c>
      <c r="M809">
        <v>1304</v>
      </c>
      <c r="N809">
        <v>53390693</v>
      </c>
      <c r="O809">
        <v>45169.492795405095</v>
      </c>
      <c r="P809">
        <v>282</v>
      </c>
      <c r="Q809">
        <v>1</v>
      </c>
      <c r="R809">
        <v>282</v>
      </c>
      <c r="S809">
        <v>45170.067373414349</v>
      </c>
      <c r="T809">
        <v>5509</v>
      </c>
      <c r="U809" t="s">
        <v>1152</v>
      </c>
      <c r="V809" t="s">
        <v>1153</v>
      </c>
      <c r="W809" t="s">
        <v>2</v>
      </c>
      <c r="AI809">
        <v>62</v>
      </c>
      <c r="AJ809">
        <v>62</v>
      </c>
      <c r="AN809">
        <v>45170</v>
      </c>
      <c r="AO809">
        <v>45199</v>
      </c>
      <c r="AP809" t="s">
        <v>1101</v>
      </c>
    </row>
    <row r="810" spans="1:42" x14ac:dyDescent="0.25">
      <c r="A810">
        <v>2023</v>
      </c>
      <c r="B810">
        <v>9</v>
      </c>
      <c r="C810">
        <v>17</v>
      </c>
      <c r="D810" t="s">
        <v>1088</v>
      </c>
      <c r="E810" t="s">
        <v>282</v>
      </c>
      <c r="F810">
        <v>618615</v>
      </c>
      <c r="G810">
        <v>10308645</v>
      </c>
      <c r="H810" t="s">
        <v>282</v>
      </c>
      <c r="J810">
        <v>53414176</v>
      </c>
      <c r="K810">
        <v>1104</v>
      </c>
      <c r="L810">
        <v>1702</v>
      </c>
      <c r="M810">
        <v>1304</v>
      </c>
      <c r="N810">
        <v>53402879</v>
      </c>
      <c r="O810">
        <v>45169.609119062501</v>
      </c>
      <c r="P810">
        <v>216</v>
      </c>
      <c r="Q810">
        <v>1</v>
      </c>
      <c r="R810">
        <v>216</v>
      </c>
      <c r="S810">
        <v>45170.067373414349</v>
      </c>
      <c r="T810">
        <v>5509</v>
      </c>
      <c r="U810" t="s">
        <v>1152</v>
      </c>
      <c r="V810" t="s">
        <v>1153</v>
      </c>
      <c r="W810" t="s">
        <v>2</v>
      </c>
      <c r="AI810">
        <v>62</v>
      </c>
      <c r="AJ810">
        <v>62</v>
      </c>
      <c r="AN810">
        <v>45170</v>
      </c>
      <c r="AO810">
        <v>45199</v>
      </c>
      <c r="AP810" t="s">
        <v>1101</v>
      </c>
    </row>
    <row r="811" spans="1:42" x14ac:dyDescent="0.25">
      <c r="A811">
        <v>2023</v>
      </c>
      <c r="B811">
        <v>9</v>
      </c>
      <c r="C811">
        <v>17</v>
      </c>
      <c r="D811" t="s">
        <v>1088</v>
      </c>
      <c r="E811" t="s">
        <v>282</v>
      </c>
      <c r="F811">
        <v>618615</v>
      </c>
      <c r="G811">
        <v>10308645</v>
      </c>
      <c r="H811" t="s">
        <v>282</v>
      </c>
      <c r="J811">
        <v>53414177</v>
      </c>
      <c r="K811">
        <v>1104</v>
      </c>
      <c r="L811">
        <v>1702</v>
      </c>
      <c r="M811">
        <v>1304</v>
      </c>
      <c r="N811">
        <v>53402880</v>
      </c>
      <c r="O811">
        <v>45169.609240428239</v>
      </c>
      <c r="P811">
        <v>216</v>
      </c>
      <c r="Q811">
        <v>1</v>
      </c>
      <c r="R811">
        <v>216</v>
      </c>
      <c r="S811">
        <v>45170.067373414349</v>
      </c>
      <c r="T811">
        <v>5509</v>
      </c>
      <c r="U811" t="s">
        <v>1152</v>
      </c>
      <c r="V811" t="s">
        <v>1153</v>
      </c>
      <c r="W811" t="s">
        <v>2</v>
      </c>
      <c r="AI811">
        <v>62</v>
      </c>
      <c r="AJ811">
        <v>62</v>
      </c>
      <c r="AN811">
        <v>45170</v>
      </c>
      <c r="AO811">
        <v>45199</v>
      </c>
      <c r="AP811" t="s">
        <v>1101</v>
      </c>
    </row>
    <row r="812" spans="1:42" x14ac:dyDescent="0.25">
      <c r="A812">
        <v>2023</v>
      </c>
      <c r="B812">
        <v>9</v>
      </c>
      <c r="C812">
        <v>17</v>
      </c>
      <c r="D812" t="s">
        <v>1088</v>
      </c>
      <c r="E812" t="s">
        <v>282</v>
      </c>
      <c r="F812">
        <v>446771</v>
      </c>
      <c r="G812">
        <v>10310755</v>
      </c>
      <c r="H812" t="s">
        <v>282</v>
      </c>
      <c r="J812">
        <v>53414182</v>
      </c>
      <c r="K812">
        <v>1104</v>
      </c>
      <c r="L812">
        <v>1702</v>
      </c>
      <c r="M812">
        <v>1304</v>
      </c>
      <c r="N812">
        <v>53396448</v>
      </c>
      <c r="O812">
        <v>45169.5637943287</v>
      </c>
      <c r="P812">
        <v>150</v>
      </c>
      <c r="Q812">
        <v>1</v>
      </c>
      <c r="R812">
        <v>150</v>
      </c>
      <c r="S812">
        <v>45170.067373414349</v>
      </c>
      <c r="T812">
        <v>5509</v>
      </c>
      <c r="U812" t="s">
        <v>1152</v>
      </c>
      <c r="V812" t="s">
        <v>1153</v>
      </c>
      <c r="W812" t="s">
        <v>2</v>
      </c>
      <c r="AI812">
        <v>62</v>
      </c>
      <c r="AJ812">
        <v>62</v>
      </c>
      <c r="AN812">
        <v>45170</v>
      </c>
      <c r="AO812">
        <v>45199</v>
      </c>
      <c r="AP812" t="s">
        <v>1101</v>
      </c>
    </row>
    <row r="813" spans="1:42" x14ac:dyDescent="0.25">
      <c r="A813">
        <v>2023</v>
      </c>
      <c r="B813">
        <v>9</v>
      </c>
      <c r="C813">
        <v>17</v>
      </c>
      <c r="D813" t="s">
        <v>1088</v>
      </c>
      <c r="E813" t="s">
        <v>282</v>
      </c>
      <c r="F813">
        <v>446771</v>
      </c>
      <c r="G813">
        <v>10310755</v>
      </c>
      <c r="H813" t="s">
        <v>282</v>
      </c>
      <c r="J813">
        <v>53414183</v>
      </c>
      <c r="K813">
        <v>1104</v>
      </c>
      <c r="L813">
        <v>1702</v>
      </c>
      <c r="M813">
        <v>1304</v>
      </c>
      <c r="N813">
        <v>53396450</v>
      </c>
      <c r="O813">
        <v>45169.563908796299</v>
      </c>
      <c r="P813">
        <v>150</v>
      </c>
      <c r="Q813">
        <v>1</v>
      </c>
      <c r="R813">
        <v>150</v>
      </c>
      <c r="S813">
        <v>45170.067373414349</v>
      </c>
      <c r="T813">
        <v>5509</v>
      </c>
      <c r="U813" t="s">
        <v>1152</v>
      </c>
      <c r="V813" t="s">
        <v>1153</v>
      </c>
      <c r="W813" t="s">
        <v>2</v>
      </c>
      <c r="AI813">
        <v>62</v>
      </c>
      <c r="AJ813">
        <v>62</v>
      </c>
      <c r="AN813">
        <v>45170</v>
      </c>
      <c r="AO813">
        <v>45199</v>
      </c>
      <c r="AP813" t="s">
        <v>1101</v>
      </c>
    </row>
    <row r="814" spans="1:42" x14ac:dyDescent="0.25">
      <c r="A814">
        <v>2023</v>
      </c>
      <c r="B814">
        <v>9</v>
      </c>
      <c r="C814">
        <v>17</v>
      </c>
      <c r="D814" t="s">
        <v>1088</v>
      </c>
      <c r="E814" t="s">
        <v>282</v>
      </c>
      <c r="F814">
        <v>446771</v>
      </c>
      <c r="G814">
        <v>10310755</v>
      </c>
      <c r="H814" t="s">
        <v>282</v>
      </c>
      <c r="J814">
        <v>53414184</v>
      </c>
      <c r="K814">
        <v>1104</v>
      </c>
      <c r="L814">
        <v>1702</v>
      </c>
      <c r="M814">
        <v>1304</v>
      </c>
      <c r="N814">
        <v>53396455</v>
      </c>
      <c r="O814">
        <v>45169.563977233796</v>
      </c>
      <c r="P814">
        <v>18</v>
      </c>
      <c r="Q814">
        <v>1</v>
      </c>
      <c r="R814">
        <v>18</v>
      </c>
      <c r="S814">
        <v>45170.067373414349</v>
      </c>
      <c r="T814">
        <v>5509</v>
      </c>
      <c r="U814" t="s">
        <v>1152</v>
      </c>
      <c r="V814" t="s">
        <v>1153</v>
      </c>
      <c r="W814" t="s">
        <v>2</v>
      </c>
      <c r="AI814">
        <v>62</v>
      </c>
      <c r="AJ814">
        <v>62</v>
      </c>
      <c r="AN814">
        <v>45170</v>
      </c>
      <c r="AO814">
        <v>45199</v>
      </c>
      <c r="AP814" t="s">
        <v>1101</v>
      </c>
    </row>
    <row r="815" spans="1:42" x14ac:dyDescent="0.25">
      <c r="A815">
        <v>2023</v>
      </c>
      <c r="B815">
        <v>9</v>
      </c>
      <c r="C815">
        <v>17</v>
      </c>
      <c r="D815" t="s">
        <v>1088</v>
      </c>
      <c r="E815" t="s">
        <v>282</v>
      </c>
      <c r="F815">
        <v>446771</v>
      </c>
      <c r="G815">
        <v>10310755</v>
      </c>
      <c r="H815" t="s">
        <v>282</v>
      </c>
      <c r="J815">
        <v>53414185</v>
      </c>
      <c r="K815">
        <v>1104</v>
      </c>
      <c r="L815">
        <v>1702</v>
      </c>
      <c r="M815">
        <v>1304</v>
      </c>
      <c r="N815">
        <v>53396460</v>
      </c>
      <c r="O815">
        <v>45169.564075578703</v>
      </c>
      <c r="P815">
        <v>15</v>
      </c>
      <c r="Q815">
        <v>1</v>
      </c>
      <c r="R815">
        <v>15</v>
      </c>
      <c r="S815">
        <v>45170.067373414349</v>
      </c>
      <c r="T815">
        <v>5509</v>
      </c>
      <c r="U815" t="s">
        <v>1152</v>
      </c>
      <c r="V815" t="s">
        <v>1153</v>
      </c>
      <c r="W815" t="s">
        <v>2</v>
      </c>
      <c r="AI815">
        <v>62</v>
      </c>
      <c r="AJ815">
        <v>62</v>
      </c>
      <c r="AN815">
        <v>45170</v>
      </c>
      <c r="AO815">
        <v>45199</v>
      </c>
      <c r="AP815" t="s">
        <v>1101</v>
      </c>
    </row>
    <row r="816" spans="1:42" x14ac:dyDescent="0.25">
      <c r="A816">
        <v>2023</v>
      </c>
      <c r="B816">
        <v>9</v>
      </c>
      <c r="C816">
        <v>17</v>
      </c>
      <c r="D816" t="s">
        <v>1088</v>
      </c>
      <c r="E816" t="s">
        <v>282</v>
      </c>
      <c r="F816">
        <v>230865</v>
      </c>
      <c r="G816">
        <v>10246532</v>
      </c>
      <c r="H816" t="s">
        <v>282</v>
      </c>
      <c r="J816">
        <v>53454370</v>
      </c>
      <c r="K816">
        <v>1104</v>
      </c>
      <c r="L816">
        <v>1702</v>
      </c>
      <c r="M816">
        <v>1304</v>
      </c>
      <c r="N816">
        <v>53164442</v>
      </c>
      <c r="O816">
        <v>45162.677525578707</v>
      </c>
      <c r="P816">
        <v>16</v>
      </c>
      <c r="Q816">
        <v>1</v>
      </c>
      <c r="R816">
        <v>16</v>
      </c>
      <c r="S816">
        <v>45171.067373414349</v>
      </c>
      <c r="T816">
        <v>5509</v>
      </c>
      <c r="U816" t="s">
        <v>1152</v>
      </c>
      <c r="V816" t="s">
        <v>1153</v>
      </c>
      <c r="W816" t="s">
        <v>2</v>
      </c>
      <c r="AI816">
        <v>62</v>
      </c>
      <c r="AJ816">
        <v>62</v>
      </c>
      <c r="AN816">
        <v>45170</v>
      </c>
      <c r="AO816">
        <v>45199</v>
      </c>
      <c r="AP816" t="s">
        <v>1101</v>
      </c>
    </row>
    <row r="817" spans="1:42" x14ac:dyDescent="0.25">
      <c r="A817">
        <v>2023</v>
      </c>
      <c r="B817">
        <v>9</v>
      </c>
      <c r="C817">
        <v>17</v>
      </c>
      <c r="D817" t="s">
        <v>1088</v>
      </c>
      <c r="E817" t="s">
        <v>282</v>
      </c>
      <c r="F817">
        <v>230865</v>
      </c>
      <c r="G817">
        <v>10246532</v>
      </c>
      <c r="H817" t="s">
        <v>282</v>
      </c>
      <c r="J817">
        <v>53454371</v>
      </c>
      <c r="K817">
        <v>1104</v>
      </c>
      <c r="L817">
        <v>1702</v>
      </c>
      <c r="M817">
        <v>1304</v>
      </c>
      <c r="N817">
        <v>53164448</v>
      </c>
      <c r="O817">
        <v>45162.677628090278</v>
      </c>
      <c r="P817">
        <v>216</v>
      </c>
      <c r="Q817">
        <v>1</v>
      </c>
      <c r="R817">
        <v>216</v>
      </c>
      <c r="S817">
        <v>45171.067373414349</v>
      </c>
      <c r="T817">
        <v>5509</v>
      </c>
      <c r="U817" t="s">
        <v>1152</v>
      </c>
      <c r="V817" t="s">
        <v>1153</v>
      </c>
      <c r="W817" t="s">
        <v>2</v>
      </c>
      <c r="AI817">
        <v>62</v>
      </c>
      <c r="AJ817">
        <v>62</v>
      </c>
      <c r="AN817">
        <v>45170</v>
      </c>
      <c r="AO817">
        <v>45199</v>
      </c>
      <c r="AP817" t="s">
        <v>1101</v>
      </c>
    </row>
    <row r="818" spans="1:42" x14ac:dyDescent="0.25">
      <c r="A818">
        <v>2023</v>
      </c>
      <c r="B818">
        <v>9</v>
      </c>
      <c r="C818">
        <v>17</v>
      </c>
      <c r="D818" t="s">
        <v>1088</v>
      </c>
      <c r="E818" t="s">
        <v>282</v>
      </c>
      <c r="F818">
        <v>615836</v>
      </c>
      <c r="G818">
        <v>10254903</v>
      </c>
      <c r="H818" t="s">
        <v>282</v>
      </c>
      <c r="J818">
        <v>53454647</v>
      </c>
      <c r="K818">
        <v>1104</v>
      </c>
      <c r="L818">
        <v>1702</v>
      </c>
      <c r="M818">
        <v>1304</v>
      </c>
      <c r="N818">
        <v>53077843</v>
      </c>
      <c r="O818">
        <v>45160.644768668979</v>
      </c>
      <c r="P818">
        <v>75</v>
      </c>
      <c r="Q818">
        <v>1</v>
      </c>
      <c r="R818">
        <v>75</v>
      </c>
      <c r="S818">
        <v>45171.067373414349</v>
      </c>
      <c r="T818">
        <v>5509</v>
      </c>
      <c r="U818" t="s">
        <v>1152</v>
      </c>
      <c r="V818" t="s">
        <v>1153</v>
      </c>
      <c r="W818" t="s">
        <v>2</v>
      </c>
      <c r="AI818">
        <v>62</v>
      </c>
      <c r="AJ818">
        <v>62</v>
      </c>
      <c r="AN818">
        <v>45170</v>
      </c>
      <c r="AO818">
        <v>45199</v>
      </c>
      <c r="AP818" t="s">
        <v>1101</v>
      </c>
    </row>
    <row r="819" spans="1:42" x14ac:dyDescent="0.25">
      <c r="A819">
        <v>2023</v>
      </c>
      <c r="B819">
        <v>9</v>
      </c>
      <c r="C819">
        <v>17</v>
      </c>
      <c r="D819" t="s">
        <v>1088</v>
      </c>
      <c r="E819" t="s">
        <v>282</v>
      </c>
      <c r="F819">
        <v>615836</v>
      </c>
      <c r="G819">
        <v>10254903</v>
      </c>
      <c r="H819" t="s">
        <v>282</v>
      </c>
      <c r="J819">
        <v>53454648</v>
      </c>
      <c r="K819">
        <v>1104</v>
      </c>
      <c r="L819">
        <v>1702</v>
      </c>
      <c r="M819">
        <v>1304</v>
      </c>
      <c r="N819">
        <v>53077845</v>
      </c>
      <c r="O819">
        <v>45160.644908333335</v>
      </c>
      <c r="P819">
        <v>75</v>
      </c>
      <c r="Q819">
        <v>1</v>
      </c>
      <c r="R819">
        <v>75</v>
      </c>
      <c r="S819">
        <v>45171.067373414349</v>
      </c>
      <c r="T819">
        <v>5509</v>
      </c>
      <c r="U819" t="s">
        <v>1152</v>
      </c>
      <c r="V819" t="s">
        <v>1153</v>
      </c>
      <c r="W819" t="s">
        <v>2</v>
      </c>
      <c r="AI819">
        <v>62</v>
      </c>
      <c r="AJ819">
        <v>62</v>
      </c>
      <c r="AN819">
        <v>45170</v>
      </c>
      <c r="AO819">
        <v>45199</v>
      </c>
      <c r="AP819" t="s">
        <v>1101</v>
      </c>
    </row>
    <row r="820" spans="1:42" x14ac:dyDescent="0.25">
      <c r="A820">
        <v>2023</v>
      </c>
      <c r="B820">
        <v>9</v>
      </c>
      <c r="C820">
        <v>17</v>
      </c>
      <c r="D820" t="s">
        <v>1088</v>
      </c>
      <c r="E820" t="s">
        <v>282</v>
      </c>
      <c r="F820">
        <v>399512</v>
      </c>
      <c r="G820">
        <v>10332677</v>
      </c>
      <c r="H820" t="s">
        <v>282</v>
      </c>
      <c r="J820">
        <v>53535201</v>
      </c>
      <c r="K820">
        <v>1104</v>
      </c>
      <c r="L820">
        <v>1702</v>
      </c>
      <c r="M820">
        <v>1304</v>
      </c>
      <c r="N820">
        <v>53530302</v>
      </c>
      <c r="O820">
        <v>45175.697886574075</v>
      </c>
      <c r="P820">
        <v>50</v>
      </c>
      <c r="Q820">
        <v>1</v>
      </c>
      <c r="R820">
        <v>50</v>
      </c>
      <c r="S820">
        <v>45176.067371493053</v>
      </c>
      <c r="T820">
        <v>5509</v>
      </c>
      <c r="U820" t="s">
        <v>1152</v>
      </c>
      <c r="V820" t="s">
        <v>1153</v>
      </c>
      <c r="W820" t="s">
        <v>2</v>
      </c>
      <c r="AI820">
        <v>62</v>
      </c>
      <c r="AJ820">
        <v>62</v>
      </c>
      <c r="AN820">
        <v>45170</v>
      </c>
      <c r="AO820">
        <v>45199</v>
      </c>
      <c r="AP820" t="s">
        <v>1101</v>
      </c>
    </row>
    <row r="821" spans="1:42" x14ac:dyDescent="0.25">
      <c r="A821">
        <v>2023</v>
      </c>
      <c r="B821">
        <v>9</v>
      </c>
      <c r="C821">
        <v>17</v>
      </c>
      <c r="D821" t="s">
        <v>1088</v>
      </c>
      <c r="E821" t="s">
        <v>282</v>
      </c>
      <c r="F821">
        <v>399512</v>
      </c>
      <c r="G821">
        <v>10332677</v>
      </c>
      <c r="H821" t="s">
        <v>282</v>
      </c>
      <c r="J821">
        <v>53535202</v>
      </c>
      <c r="K821">
        <v>1104</v>
      </c>
      <c r="L821">
        <v>1702</v>
      </c>
      <c r="M821">
        <v>1304</v>
      </c>
      <c r="N821">
        <v>53530306</v>
      </c>
      <c r="O821">
        <v>45175.698008564817</v>
      </c>
      <c r="P821">
        <v>50</v>
      </c>
      <c r="Q821">
        <v>1</v>
      </c>
      <c r="R821">
        <v>50</v>
      </c>
      <c r="S821">
        <v>45176.067371493053</v>
      </c>
      <c r="T821">
        <v>5509</v>
      </c>
      <c r="U821" t="s">
        <v>1152</v>
      </c>
      <c r="V821" t="s">
        <v>1153</v>
      </c>
      <c r="W821" t="s">
        <v>2</v>
      </c>
      <c r="AI821">
        <v>62</v>
      </c>
      <c r="AJ821">
        <v>62</v>
      </c>
      <c r="AN821">
        <v>45170</v>
      </c>
      <c r="AO821">
        <v>45199</v>
      </c>
      <c r="AP821" t="s">
        <v>1101</v>
      </c>
    </row>
    <row r="822" spans="1:42" x14ac:dyDescent="0.25">
      <c r="A822">
        <v>2023</v>
      </c>
      <c r="B822">
        <v>9</v>
      </c>
      <c r="C822">
        <v>17</v>
      </c>
      <c r="D822" t="s">
        <v>1088</v>
      </c>
      <c r="E822" t="s">
        <v>282</v>
      </c>
      <c r="F822">
        <v>618954</v>
      </c>
      <c r="G822">
        <v>10315515</v>
      </c>
      <c r="H822" t="s">
        <v>282</v>
      </c>
      <c r="J822">
        <v>53580114</v>
      </c>
      <c r="K822">
        <v>1100</v>
      </c>
      <c r="L822">
        <v>1700</v>
      </c>
      <c r="M822">
        <v>1304</v>
      </c>
      <c r="P822">
        <v>216</v>
      </c>
      <c r="Q822">
        <v>1</v>
      </c>
      <c r="R822">
        <v>216</v>
      </c>
      <c r="S822">
        <v>45176.621814120372</v>
      </c>
      <c r="T822">
        <v>5500</v>
      </c>
      <c r="U822" t="s">
        <v>1154</v>
      </c>
      <c r="V822" t="s">
        <v>99</v>
      </c>
      <c r="W822" t="s">
        <v>2</v>
      </c>
      <c r="AI822">
        <v>62</v>
      </c>
      <c r="AJ822">
        <v>62</v>
      </c>
      <c r="AN822">
        <v>45170</v>
      </c>
      <c r="AO822">
        <v>45199</v>
      </c>
      <c r="AP822" t="s">
        <v>1101</v>
      </c>
    </row>
    <row r="823" spans="1:42" x14ac:dyDescent="0.25">
      <c r="A823">
        <v>2023</v>
      </c>
      <c r="B823">
        <v>9</v>
      </c>
      <c r="C823">
        <v>17</v>
      </c>
      <c r="D823" t="s">
        <v>1088</v>
      </c>
      <c r="E823" t="s">
        <v>282</v>
      </c>
      <c r="F823">
        <v>618954</v>
      </c>
      <c r="G823">
        <v>10315515</v>
      </c>
      <c r="H823" t="s">
        <v>282</v>
      </c>
      <c r="J823">
        <v>53580115</v>
      </c>
      <c r="K823">
        <v>1100</v>
      </c>
      <c r="L823">
        <v>1700</v>
      </c>
      <c r="M823">
        <v>1304</v>
      </c>
      <c r="P823">
        <v>216</v>
      </c>
      <c r="Q823">
        <v>1</v>
      </c>
      <c r="R823">
        <v>216</v>
      </c>
      <c r="S823">
        <v>45176.621915162039</v>
      </c>
      <c r="T823">
        <v>5500</v>
      </c>
      <c r="U823" t="s">
        <v>1154</v>
      </c>
      <c r="V823" t="s">
        <v>99</v>
      </c>
      <c r="W823" t="s">
        <v>2</v>
      </c>
      <c r="AI823">
        <v>62</v>
      </c>
      <c r="AJ823">
        <v>62</v>
      </c>
      <c r="AN823">
        <v>45170</v>
      </c>
      <c r="AO823">
        <v>45199</v>
      </c>
      <c r="AP823" t="s">
        <v>1101</v>
      </c>
    </row>
    <row r="824" spans="1:42" x14ac:dyDescent="0.25">
      <c r="A824">
        <v>2023</v>
      </c>
      <c r="B824">
        <v>9</v>
      </c>
      <c r="C824">
        <v>17</v>
      </c>
      <c r="D824" t="s">
        <v>1088</v>
      </c>
      <c r="E824" t="s">
        <v>282</v>
      </c>
      <c r="F824">
        <v>618954</v>
      </c>
      <c r="G824">
        <v>10315515</v>
      </c>
      <c r="H824" t="s">
        <v>282</v>
      </c>
      <c r="J824">
        <v>53580116</v>
      </c>
      <c r="K824">
        <v>1100</v>
      </c>
      <c r="L824">
        <v>1700</v>
      </c>
      <c r="M824">
        <v>1304</v>
      </c>
      <c r="P824">
        <v>18</v>
      </c>
      <c r="Q824">
        <v>1</v>
      </c>
      <c r="R824">
        <v>18</v>
      </c>
      <c r="S824">
        <v>45176.621978124997</v>
      </c>
      <c r="T824">
        <v>5500</v>
      </c>
      <c r="U824" t="s">
        <v>1154</v>
      </c>
      <c r="V824" t="s">
        <v>99</v>
      </c>
      <c r="W824" t="s">
        <v>2</v>
      </c>
      <c r="AI824">
        <v>62</v>
      </c>
      <c r="AJ824">
        <v>62</v>
      </c>
      <c r="AN824">
        <v>45170</v>
      </c>
      <c r="AO824">
        <v>45199</v>
      </c>
      <c r="AP824" t="s">
        <v>1101</v>
      </c>
    </row>
    <row r="825" spans="1:42" x14ac:dyDescent="0.25">
      <c r="A825">
        <v>2023</v>
      </c>
      <c r="B825">
        <v>9</v>
      </c>
      <c r="C825">
        <v>17</v>
      </c>
      <c r="D825" t="s">
        <v>1088</v>
      </c>
      <c r="E825" t="s">
        <v>282</v>
      </c>
      <c r="F825">
        <v>74504</v>
      </c>
      <c r="G825">
        <v>10332417</v>
      </c>
      <c r="H825" t="s">
        <v>282</v>
      </c>
      <c r="J825">
        <v>53593226</v>
      </c>
      <c r="K825">
        <v>1104</v>
      </c>
      <c r="L825">
        <v>1702</v>
      </c>
      <c r="M825">
        <v>1304</v>
      </c>
      <c r="N825">
        <v>53576553</v>
      </c>
      <c r="O825">
        <v>45176.594639085648</v>
      </c>
      <c r="P825">
        <v>216</v>
      </c>
      <c r="Q825">
        <v>1</v>
      </c>
      <c r="R825">
        <v>216</v>
      </c>
      <c r="S825">
        <v>45177.067371527781</v>
      </c>
      <c r="T825">
        <v>5509</v>
      </c>
      <c r="U825" t="s">
        <v>1152</v>
      </c>
      <c r="V825" t="s">
        <v>1153</v>
      </c>
      <c r="W825" t="s">
        <v>2</v>
      </c>
      <c r="AI825">
        <v>62</v>
      </c>
      <c r="AJ825">
        <v>62</v>
      </c>
      <c r="AN825">
        <v>45170</v>
      </c>
      <c r="AO825">
        <v>45199</v>
      </c>
      <c r="AP825" t="s">
        <v>1101</v>
      </c>
    </row>
    <row r="826" spans="1:42" x14ac:dyDescent="0.25">
      <c r="A826">
        <v>2023</v>
      </c>
      <c r="B826">
        <v>9</v>
      </c>
      <c r="C826">
        <v>17</v>
      </c>
      <c r="D826" t="s">
        <v>1088</v>
      </c>
      <c r="E826" t="s">
        <v>282</v>
      </c>
      <c r="F826">
        <v>74504</v>
      </c>
      <c r="G826">
        <v>10332417</v>
      </c>
      <c r="H826" t="s">
        <v>282</v>
      </c>
      <c r="J826">
        <v>53593227</v>
      </c>
      <c r="K826">
        <v>1104</v>
      </c>
      <c r="L826">
        <v>1702</v>
      </c>
      <c r="M826">
        <v>1304</v>
      </c>
      <c r="N826">
        <v>53576559</v>
      </c>
      <c r="O826">
        <v>45176.594741469904</v>
      </c>
      <c r="P826">
        <v>216</v>
      </c>
      <c r="Q826">
        <v>1</v>
      </c>
      <c r="R826">
        <v>216</v>
      </c>
      <c r="S826">
        <v>45177.067371527781</v>
      </c>
      <c r="T826">
        <v>5509</v>
      </c>
      <c r="U826" t="s">
        <v>1152</v>
      </c>
      <c r="V826" t="s">
        <v>1153</v>
      </c>
      <c r="W826" t="s">
        <v>2</v>
      </c>
      <c r="AI826">
        <v>62</v>
      </c>
      <c r="AJ826">
        <v>62</v>
      </c>
      <c r="AN826">
        <v>45170</v>
      </c>
      <c r="AO826">
        <v>45199</v>
      </c>
      <c r="AP826" t="s">
        <v>1101</v>
      </c>
    </row>
    <row r="827" spans="1:42" x14ac:dyDescent="0.25">
      <c r="A827">
        <v>2023</v>
      </c>
      <c r="B827">
        <v>9</v>
      </c>
      <c r="C827">
        <v>17</v>
      </c>
      <c r="D827" t="s">
        <v>1088</v>
      </c>
      <c r="E827" t="s">
        <v>282</v>
      </c>
      <c r="F827">
        <v>74504</v>
      </c>
      <c r="G827">
        <v>10332417</v>
      </c>
      <c r="H827" t="s">
        <v>282</v>
      </c>
      <c r="J827">
        <v>53593228</v>
      </c>
      <c r="K827">
        <v>1104</v>
      </c>
      <c r="L827">
        <v>1702</v>
      </c>
      <c r="M827">
        <v>1304</v>
      </c>
      <c r="N827">
        <v>53576563</v>
      </c>
      <c r="O827">
        <v>45176.594797650461</v>
      </c>
      <c r="P827">
        <v>18</v>
      </c>
      <c r="Q827">
        <v>1</v>
      </c>
      <c r="R827">
        <v>18</v>
      </c>
      <c r="S827">
        <v>45177.067371527781</v>
      </c>
      <c r="T827">
        <v>5509</v>
      </c>
      <c r="U827" t="s">
        <v>1152</v>
      </c>
      <c r="V827" t="s">
        <v>1153</v>
      </c>
      <c r="W827" t="s">
        <v>2</v>
      </c>
      <c r="AI827">
        <v>62</v>
      </c>
      <c r="AJ827">
        <v>62</v>
      </c>
      <c r="AN827">
        <v>45170</v>
      </c>
      <c r="AO827">
        <v>45199</v>
      </c>
      <c r="AP827" t="s">
        <v>1101</v>
      </c>
    </row>
    <row r="828" spans="1:42" x14ac:dyDescent="0.25">
      <c r="A828">
        <v>2023</v>
      </c>
      <c r="B828">
        <v>9</v>
      </c>
      <c r="C828">
        <v>17</v>
      </c>
      <c r="D828" t="s">
        <v>1088</v>
      </c>
      <c r="E828" t="s">
        <v>282</v>
      </c>
      <c r="F828">
        <v>617602</v>
      </c>
      <c r="G828">
        <v>10288203</v>
      </c>
      <c r="H828" t="s">
        <v>282</v>
      </c>
      <c r="J828">
        <v>53615948</v>
      </c>
      <c r="K828">
        <v>1100</v>
      </c>
      <c r="L828">
        <v>1700</v>
      </c>
      <c r="M828">
        <v>1304</v>
      </c>
      <c r="P828">
        <v>216</v>
      </c>
      <c r="Q828">
        <v>1</v>
      </c>
      <c r="R828">
        <v>216</v>
      </c>
      <c r="S828">
        <v>45177.476855706016</v>
      </c>
      <c r="T828">
        <v>5500</v>
      </c>
      <c r="U828" t="s">
        <v>1154</v>
      </c>
      <c r="V828" t="s">
        <v>99</v>
      </c>
      <c r="W828" t="s">
        <v>2</v>
      </c>
      <c r="AI828">
        <v>62</v>
      </c>
      <c r="AJ828">
        <v>62</v>
      </c>
      <c r="AN828">
        <v>45170</v>
      </c>
      <c r="AO828">
        <v>45199</v>
      </c>
      <c r="AP828" t="s">
        <v>1101</v>
      </c>
    </row>
    <row r="829" spans="1:42" x14ac:dyDescent="0.25">
      <c r="A829">
        <v>2023</v>
      </c>
      <c r="B829">
        <v>9</v>
      </c>
      <c r="C829">
        <v>17</v>
      </c>
      <c r="D829" t="s">
        <v>1088</v>
      </c>
      <c r="E829" t="s">
        <v>282</v>
      </c>
      <c r="F829">
        <v>617602</v>
      </c>
      <c r="G829">
        <v>10288203</v>
      </c>
      <c r="H829" t="s">
        <v>282</v>
      </c>
      <c r="J829">
        <v>53615949</v>
      </c>
      <c r="K829">
        <v>1100</v>
      </c>
      <c r="L829">
        <v>1700</v>
      </c>
      <c r="M829">
        <v>1304</v>
      </c>
      <c r="P829">
        <v>216</v>
      </c>
      <c r="Q829">
        <v>1</v>
      </c>
      <c r="R829">
        <v>216</v>
      </c>
      <c r="S829">
        <v>45177.476997453705</v>
      </c>
      <c r="T829">
        <v>5500</v>
      </c>
      <c r="U829" t="s">
        <v>1154</v>
      </c>
      <c r="V829" t="s">
        <v>99</v>
      </c>
      <c r="W829" t="s">
        <v>2</v>
      </c>
      <c r="AI829">
        <v>62</v>
      </c>
      <c r="AJ829">
        <v>62</v>
      </c>
      <c r="AN829">
        <v>45170</v>
      </c>
      <c r="AO829">
        <v>45199</v>
      </c>
      <c r="AP829" t="s">
        <v>1101</v>
      </c>
    </row>
    <row r="830" spans="1:42" x14ac:dyDescent="0.25">
      <c r="A830">
        <v>2023</v>
      </c>
      <c r="B830">
        <v>9</v>
      </c>
      <c r="C830">
        <v>17</v>
      </c>
      <c r="D830" t="s">
        <v>1088</v>
      </c>
      <c r="E830" t="s">
        <v>282</v>
      </c>
      <c r="F830">
        <v>456649</v>
      </c>
      <c r="G830">
        <v>10209985</v>
      </c>
      <c r="H830" t="s">
        <v>282</v>
      </c>
      <c r="J830">
        <v>53627145</v>
      </c>
      <c r="K830">
        <v>1104</v>
      </c>
      <c r="L830">
        <v>1702</v>
      </c>
      <c r="M830">
        <v>1304</v>
      </c>
      <c r="N830">
        <v>53283936</v>
      </c>
      <c r="O830">
        <v>45167.404249652776</v>
      </c>
      <c r="P830">
        <v>-232</v>
      </c>
      <c r="Q830">
        <v>1</v>
      </c>
      <c r="R830">
        <v>-232</v>
      </c>
      <c r="S830">
        <v>45177.545186226853</v>
      </c>
      <c r="T830">
        <v>5510</v>
      </c>
      <c r="U830" t="s">
        <v>1183</v>
      </c>
      <c r="V830" t="s">
        <v>1153</v>
      </c>
      <c r="W830" t="s">
        <v>2</v>
      </c>
      <c r="AI830">
        <v>62</v>
      </c>
      <c r="AJ830">
        <v>62</v>
      </c>
      <c r="AN830">
        <v>45170</v>
      </c>
      <c r="AO830">
        <v>45199</v>
      </c>
      <c r="AP830" t="s">
        <v>1101</v>
      </c>
    </row>
    <row r="831" spans="1:42" x14ac:dyDescent="0.25">
      <c r="A831">
        <v>2023</v>
      </c>
      <c r="B831">
        <v>9</v>
      </c>
      <c r="C831">
        <v>17</v>
      </c>
      <c r="D831" t="s">
        <v>1088</v>
      </c>
      <c r="E831" t="s">
        <v>282</v>
      </c>
      <c r="F831">
        <v>456649</v>
      </c>
      <c r="G831">
        <v>10209985</v>
      </c>
      <c r="H831" t="s">
        <v>282</v>
      </c>
      <c r="J831">
        <v>53627146</v>
      </c>
      <c r="K831">
        <v>1104</v>
      </c>
      <c r="L831">
        <v>1702</v>
      </c>
      <c r="M831">
        <v>1304</v>
      </c>
      <c r="N831">
        <v>53283939</v>
      </c>
      <c r="O831">
        <v>45167.404390358795</v>
      </c>
      <c r="P831">
        <v>216</v>
      </c>
      <c r="Q831">
        <v>1</v>
      </c>
      <c r="R831">
        <v>216</v>
      </c>
      <c r="S831">
        <v>45177.545294942131</v>
      </c>
      <c r="T831">
        <v>5509</v>
      </c>
      <c r="U831" t="s">
        <v>1152</v>
      </c>
      <c r="V831" t="s">
        <v>1153</v>
      </c>
      <c r="W831" t="s">
        <v>2</v>
      </c>
      <c r="AI831">
        <v>62</v>
      </c>
      <c r="AJ831">
        <v>62</v>
      </c>
      <c r="AN831">
        <v>45170</v>
      </c>
      <c r="AO831">
        <v>45199</v>
      </c>
      <c r="AP831" t="s">
        <v>1101</v>
      </c>
    </row>
    <row r="832" spans="1:42" x14ac:dyDescent="0.25">
      <c r="A832">
        <v>2023</v>
      </c>
      <c r="B832">
        <v>9</v>
      </c>
      <c r="C832">
        <v>17</v>
      </c>
      <c r="D832" t="s">
        <v>1088</v>
      </c>
      <c r="E832" t="s">
        <v>282</v>
      </c>
      <c r="F832">
        <v>324550</v>
      </c>
      <c r="G832">
        <v>10322164</v>
      </c>
      <c r="H832" t="s">
        <v>282</v>
      </c>
      <c r="J832">
        <v>53651025</v>
      </c>
      <c r="K832">
        <v>1104</v>
      </c>
      <c r="L832">
        <v>1702</v>
      </c>
      <c r="M832">
        <v>1304</v>
      </c>
      <c r="N832">
        <v>53637173</v>
      </c>
      <c r="O832">
        <v>45177.606135729169</v>
      </c>
      <c r="P832">
        <v>216</v>
      </c>
      <c r="Q832">
        <v>1</v>
      </c>
      <c r="R832">
        <v>216</v>
      </c>
      <c r="S832">
        <v>45178.06737167824</v>
      </c>
      <c r="T832">
        <v>5509</v>
      </c>
      <c r="U832" t="s">
        <v>1152</v>
      </c>
      <c r="V832" t="s">
        <v>1153</v>
      </c>
      <c r="W832" t="s">
        <v>2</v>
      </c>
      <c r="AI832">
        <v>62</v>
      </c>
      <c r="AJ832">
        <v>62</v>
      </c>
      <c r="AN832">
        <v>45170</v>
      </c>
      <c r="AO832">
        <v>45199</v>
      </c>
      <c r="AP832" t="s">
        <v>1101</v>
      </c>
    </row>
    <row r="833" spans="1:42" x14ac:dyDescent="0.25">
      <c r="A833">
        <v>2023</v>
      </c>
      <c r="B833">
        <v>9</v>
      </c>
      <c r="C833">
        <v>17</v>
      </c>
      <c r="D833" t="s">
        <v>1088</v>
      </c>
      <c r="E833" t="s">
        <v>282</v>
      </c>
      <c r="F833">
        <v>324550</v>
      </c>
      <c r="G833">
        <v>10322164</v>
      </c>
      <c r="H833" t="s">
        <v>282</v>
      </c>
      <c r="J833">
        <v>53651026</v>
      </c>
      <c r="K833">
        <v>1104</v>
      </c>
      <c r="L833">
        <v>1702</v>
      </c>
      <c r="M833">
        <v>1304</v>
      </c>
      <c r="N833">
        <v>53637175</v>
      </c>
      <c r="O833">
        <v>45177.606259525463</v>
      </c>
      <c r="P833">
        <v>216</v>
      </c>
      <c r="Q833">
        <v>1</v>
      </c>
      <c r="R833">
        <v>216</v>
      </c>
      <c r="S833">
        <v>45178.06737167824</v>
      </c>
      <c r="T833">
        <v>5509</v>
      </c>
      <c r="U833" t="s">
        <v>1152</v>
      </c>
      <c r="V833" t="s">
        <v>1153</v>
      </c>
      <c r="W833" t="s">
        <v>2</v>
      </c>
      <c r="AI833">
        <v>62</v>
      </c>
      <c r="AJ833">
        <v>62</v>
      </c>
      <c r="AN833">
        <v>45170</v>
      </c>
      <c r="AO833">
        <v>45199</v>
      </c>
      <c r="AP833" t="s">
        <v>1101</v>
      </c>
    </row>
    <row r="834" spans="1:42" x14ac:dyDescent="0.25">
      <c r="A834">
        <v>2023</v>
      </c>
      <c r="B834">
        <v>9</v>
      </c>
      <c r="C834">
        <v>17</v>
      </c>
      <c r="D834" t="s">
        <v>1088</v>
      </c>
      <c r="E834" t="s">
        <v>282</v>
      </c>
      <c r="F834">
        <v>541945</v>
      </c>
      <c r="G834">
        <v>10346669</v>
      </c>
      <c r="H834" t="s">
        <v>282</v>
      </c>
      <c r="J834">
        <v>53651300</v>
      </c>
      <c r="K834">
        <v>1104</v>
      </c>
      <c r="L834">
        <v>1702</v>
      </c>
      <c r="M834">
        <v>1304</v>
      </c>
      <c r="N834">
        <v>53645783</v>
      </c>
      <c r="O834">
        <v>45177.666545949076</v>
      </c>
      <c r="P834">
        <v>300</v>
      </c>
      <c r="Q834">
        <v>1</v>
      </c>
      <c r="R834">
        <v>300</v>
      </c>
      <c r="S834">
        <v>45178.06737167824</v>
      </c>
      <c r="T834">
        <v>5509</v>
      </c>
      <c r="U834" t="s">
        <v>1152</v>
      </c>
      <c r="V834" t="s">
        <v>1153</v>
      </c>
      <c r="W834" t="s">
        <v>2</v>
      </c>
      <c r="AI834">
        <v>62</v>
      </c>
      <c r="AJ834">
        <v>62</v>
      </c>
      <c r="AN834">
        <v>45170</v>
      </c>
      <c r="AO834">
        <v>45199</v>
      </c>
      <c r="AP834" t="s">
        <v>1101</v>
      </c>
    </row>
    <row r="835" spans="1:42" x14ac:dyDescent="0.25">
      <c r="A835">
        <v>2023</v>
      </c>
      <c r="B835">
        <v>9</v>
      </c>
      <c r="C835">
        <v>17</v>
      </c>
      <c r="D835" t="s">
        <v>1088</v>
      </c>
      <c r="E835" t="s">
        <v>282</v>
      </c>
      <c r="F835">
        <v>390261</v>
      </c>
      <c r="G835">
        <v>10332505</v>
      </c>
      <c r="H835" t="s">
        <v>282</v>
      </c>
      <c r="J835">
        <v>53671748</v>
      </c>
      <c r="K835">
        <v>1100</v>
      </c>
      <c r="L835">
        <v>1700</v>
      </c>
      <c r="M835">
        <v>1304</v>
      </c>
      <c r="P835">
        <v>216</v>
      </c>
      <c r="Q835">
        <v>1</v>
      </c>
      <c r="R835">
        <v>216</v>
      </c>
      <c r="S835">
        <v>45180.556638692127</v>
      </c>
      <c r="T835">
        <v>5500</v>
      </c>
      <c r="U835" t="s">
        <v>1154</v>
      </c>
      <c r="V835" t="s">
        <v>99</v>
      </c>
      <c r="W835" t="s">
        <v>2</v>
      </c>
      <c r="AI835">
        <v>62</v>
      </c>
      <c r="AJ835">
        <v>62</v>
      </c>
      <c r="AN835">
        <v>45170</v>
      </c>
      <c r="AO835">
        <v>45199</v>
      </c>
      <c r="AP835" t="s">
        <v>1101</v>
      </c>
    </row>
    <row r="836" spans="1:42" x14ac:dyDescent="0.25">
      <c r="A836">
        <v>2023</v>
      </c>
      <c r="B836">
        <v>9</v>
      </c>
      <c r="C836">
        <v>17</v>
      </c>
      <c r="D836" t="s">
        <v>1088</v>
      </c>
      <c r="E836" t="s">
        <v>282</v>
      </c>
      <c r="F836">
        <v>390261</v>
      </c>
      <c r="G836">
        <v>10332505</v>
      </c>
      <c r="H836" t="s">
        <v>282</v>
      </c>
      <c r="J836">
        <v>53671750</v>
      </c>
      <c r="K836">
        <v>1100</v>
      </c>
      <c r="L836">
        <v>1700</v>
      </c>
      <c r="M836">
        <v>1304</v>
      </c>
      <c r="P836">
        <v>216</v>
      </c>
      <c r="Q836">
        <v>1</v>
      </c>
      <c r="R836">
        <v>216</v>
      </c>
      <c r="S836">
        <v>45180.556741932873</v>
      </c>
      <c r="T836">
        <v>5500</v>
      </c>
      <c r="U836" t="s">
        <v>1154</v>
      </c>
      <c r="V836" t="s">
        <v>99</v>
      </c>
      <c r="W836" t="s">
        <v>2</v>
      </c>
      <c r="AI836">
        <v>62</v>
      </c>
      <c r="AJ836">
        <v>62</v>
      </c>
      <c r="AN836">
        <v>45170</v>
      </c>
      <c r="AO836">
        <v>45199</v>
      </c>
      <c r="AP836" t="s">
        <v>1101</v>
      </c>
    </row>
    <row r="837" spans="1:42" x14ac:dyDescent="0.25">
      <c r="A837">
        <v>2023</v>
      </c>
      <c r="B837">
        <v>9</v>
      </c>
      <c r="C837">
        <v>17</v>
      </c>
      <c r="D837" t="s">
        <v>1088</v>
      </c>
      <c r="E837" t="s">
        <v>282</v>
      </c>
      <c r="F837">
        <v>390261</v>
      </c>
      <c r="G837">
        <v>10332505</v>
      </c>
      <c r="H837" t="s">
        <v>282</v>
      </c>
      <c r="J837">
        <v>53671751</v>
      </c>
      <c r="K837">
        <v>1100</v>
      </c>
      <c r="L837">
        <v>1700</v>
      </c>
      <c r="M837">
        <v>1304</v>
      </c>
      <c r="P837">
        <v>18</v>
      </c>
      <c r="Q837">
        <v>1</v>
      </c>
      <c r="R837">
        <v>18</v>
      </c>
      <c r="S837">
        <v>45180.556803159721</v>
      </c>
      <c r="T837">
        <v>5500</v>
      </c>
      <c r="U837" t="s">
        <v>1154</v>
      </c>
      <c r="V837" t="s">
        <v>99</v>
      </c>
      <c r="W837" t="s">
        <v>2</v>
      </c>
      <c r="AI837">
        <v>62</v>
      </c>
      <c r="AJ837">
        <v>62</v>
      </c>
      <c r="AN837">
        <v>45170</v>
      </c>
      <c r="AO837">
        <v>45199</v>
      </c>
      <c r="AP837" t="s">
        <v>1101</v>
      </c>
    </row>
    <row r="838" spans="1:42" x14ac:dyDescent="0.25">
      <c r="A838">
        <v>2023</v>
      </c>
      <c r="B838">
        <v>9</v>
      </c>
      <c r="C838">
        <v>17</v>
      </c>
      <c r="D838" t="s">
        <v>1088</v>
      </c>
      <c r="E838" t="s">
        <v>282</v>
      </c>
      <c r="F838">
        <v>614098</v>
      </c>
      <c r="G838">
        <v>10221113</v>
      </c>
      <c r="H838" t="s">
        <v>282</v>
      </c>
      <c r="J838">
        <v>53671764</v>
      </c>
      <c r="K838">
        <v>1100</v>
      </c>
      <c r="L838">
        <v>1700</v>
      </c>
      <c r="M838">
        <v>1304</v>
      </c>
      <c r="P838">
        <v>216</v>
      </c>
      <c r="Q838">
        <v>1</v>
      </c>
      <c r="R838">
        <v>216</v>
      </c>
      <c r="S838">
        <v>45180.557613622688</v>
      </c>
      <c r="T838">
        <v>5500</v>
      </c>
      <c r="U838" t="s">
        <v>1154</v>
      </c>
      <c r="V838" t="s">
        <v>99</v>
      </c>
      <c r="W838" t="s">
        <v>2</v>
      </c>
      <c r="AI838">
        <v>62</v>
      </c>
      <c r="AJ838">
        <v>62</v>
      </c>
      <c r="AN838">
        <v>45170</v>
      </c>
      <c r="AO838">
        <v>45199</v>
      </c>
      <c r="AP838" t="s">
        <v>1101</v>
      </c>
    </row>
    <row r="839" spans="1:42" x14ac:dyDescent="0.25">
      <c r="A839">
        <v>2023</v>
      </c>
      <c r="B839">
        <v>9</v>
      </c>
      <c r="C839">
        <v>17</v>
      </c>
      <c r="D839" t="s">
        <v>1088</v>
      </c>
      <c r="E839" t="s">
        <v>282</v>
      </c>
      <c r="F839">
        <v>614098</v>
      </c>
      <c r="G839">
        <v>10221113</v>
      </c>
      <c r="H839" t="s">
        <v>282</v>
      </c>
      <c r="J839">
        <v>53671765</v>
      </c>
      <c r="K839">
        <v>1100</v>
      </c>
      <c r="L839">
        <v>1700</v>
      </c>
      <c r="M839">
        <v>1304</v>
      </c>
      <c r="P839">
        <v>216</v>
      </c>
      <c r="Q839">
        <v>1</v>
      </c>
      <c r="R839">
        <v>216</v>
      </c>
      <c r="S839">
        <v>45180.557715358795</v>
      </c>
      <c r="T839">
        <v>5500</v>
      </c>
      <c r="U839" t="s">
        <v>1154</v>
      </c>
      <c r="V839" t="s">
        <v>99</v>
      </c>
      <c r="W839" t="s">
        <v>2</v>
      </c>
      <c r="AI839">
        <v>62</v>
      </c>
      <c r="AJ839">
        <v>62</v>
      </c>
      <c r="AN839">
        <v>45170</v>
      </c>
      <c r="AO839">
        <v>45199</v>
      </c>
      <c r="AP839" t="s">
        <v>1101</v>
      </c>
    </row>
    <row r="840" spans="1:42" x14ac:dyDescent="0.25">
      <c r="A840">
        <v>2023</v>
      </c>
      <c r="B840">
        <v>9</v>
      </c>
      <c r="C840">
        <v>17</v>
      </c>
      <c r="D840" t="s">
        <v>1088</v>
      </c>
      <c r="E840" t="s">
        <v>282</v>
      </c>
      <c r="F840">
        <v>614098</v>
      </c>
      <c r="G840">
        <v>10221113</v>
      </c>
      <c r="H840" t="s">
        <v>282</v>
      </c>
      <c r="J840">
        <v>53671770</v>
      </c>
      <c r="K840">
        <v>1100</v>
      </c>
      <c r="L840">
        <v>1700</v>
      </c>
      <c r="M840">
        <v>1304</v>
      </c>
      <c r="P840">
        <v>18</v>
      </c>
      <c r="Q840">
        <v>1</v>
      </c>
      <c r="R840">
        <v>18</v>
      </c>
      <c r="S840">
        <v>45180.557768055558</v>
      </c>
      <c r="T840">
        <v>5500</v>
      </c>
      <c r="U840" t="s">
        <v>1154</v>
      </c>
      <c r="V840" t="s">
        <v>99</v>
      </c>
      <c r="W840" t="s">
        <v>2</v>
      </c>
      <c r="AI840">
        <v>62</v>
      </c>
      <c r="AJ840">
        <v>62</v>
      </c>
      <c r="AN840">
        <v>45170</v>
      </c>
      <c r="AO840">
        <v>45199</v>
      </c>
      <c r="AP840" t="s">
        <v>1101</v>
      </c>
    </row>
    <row r="841" spans="1:42" x14ac:dyDescent="0.25">
      <c r="A841">
        <v>2023</v>
      </c>
      <c r="B841">
        <v>9</v>
      </c>
      <c r="C841">
        <v>17</v>
      </c>
      <c r="D841" t="s">
        <v>1088</v>
      </c>
      <c r="E841" t="s">
        <v>282</v>
      </c>
      <c r="F841">
        <v>619995</v>
      </c>
      <c r="G841">
        <v>10339402</v>
      </c>
      <c r="H841" t="s">
        <v>282</v>
      </c>
      <c r="J841">
        <v>53685085</v>
      </c>
      <c r="K841">
        <v>1100</v>
      </c>
      <c r="L841">
        <v>1700</v>
      </c>
      <c r="M841">
        <v>1304</v>
      </c>
      <c r="P841">
        <v>18</v>
      </c>
      <c r="Q841">
        <v>1</v>
      </c>
      <c r="R841">
        <v>18</v>
      </c>
      <c r="S841">
        <v>45180.630189386575</v>
      </c>
      <c r="T841">
        <v>5500</v>
      </c>
      <c r="U841" t="s">
        <v>1154</v>
      </c>
      <c r="V841" t="s">
        <v>99</v>
      </c>
      <c r="W841" t="s">
        <v>2</v>
      </c>
      <c r="AI841">
        <v>62</v>
      </c>
      <c r="AJ841">
        <v>62</v>
      </c>
      <c r="AN841">
        <v>45170</v>
      </c>
      <c r="AO841">
        <v>45199</v>
      </c>
      <c r="AP841" t="s">
        <v>1101</v>
      </c>
    </row>
    <row r="842" spans="1:42" x14ac:dyDescent="0.25">
      <c r="A842">
        <v>2023</v>
      </c>
      <c r="B842">
        <v>9</v>
      </c>
      <c r="C842">
        <v>17</v>
      </c>
      <c r="D842" t="s">
        <v>1088</v>
      </c>
      <c r="E842" t="s">
        <v>282</v>
      </c>
      <c r="F842">
        <v>56310</v>
      </c>
      <c r="G842">
        <v>10346871</v>
      </c>
      <c r="H842" t="s">
        <v>282</v>
      </c>
      <c r="J842">
        <v>53719360</v>
      </c>
      <c r="K842">
        <v>1100</v>
      </c>
      <c r="L842">
        <v>1700</v>
      </c>
      <c r="M842">
        <v>1304</v>
      </c>
      <c r="P842">
        <v>216</v>
      </c>
      <c r="Q842">
        <v>1</v>
      </c>
      <c r="R842">
        <v>216</v>
      </c>
      <c r="S842">
        <v>45181.660730474534</v>
      </c>
      <c r="T842">
        <v>5500</v>
      </c>
      <c r="U842" t="s">
        <v>1154</v>
      </c>
      <c r="V842" t="s">
        <v>99</v>
      </c>
      <c r="W842" t="s">
        <v>2</v>
      </c>
      <c r="AI842">
        <v>62</v>
      </c>
      <c r="AJ842">
        <v>62</v>
      </c>
      <c r="AN842">
        <v>45170</v>
      </c>
      <c r="AO842">
        <v>45199</v>
      </c>
      <c r="AP842" t="s">
        <v>1101</v>
      </c>
    </row>
    <row r="843" spans="1:42" x14ac:dyDescent="0.25">
      <c r="A843">
        <v>2023</v>
      </c>
      <c r="B843">
        <v>9</v>
      </c>
      <c r="C843">
        <v>17</v>
      </c>
      <c r="D843" t="s">
        <v>1088</v>
      </c>
      <c r="E843" t="s">
        <v>282</v>
      </c>
      <c r="F843">
        <v>56310</v>
      </c>
      <c r="G843">
        <v>10346871</v>
      </c>
      <c r="H843" t="s">
        <v>282</v>
      </c>
      <c r="J843">
        <v>53719365</v>
      </c>
      <c r="K843">
        <v>1100</v>
      </c>
      <c r="L843">
        <v>1700</v>
      </c>
      <c r="M843">
        <v>1304</v>
      </c>
      <c r="P843">
        <v>216</v>
      </c>
      <c r="Q843">
        <v>1</v>
      </c>
      <c r="R843">
        <v>216</v>
      </c>
      <c r="S843">
        <v>45181.660935763888</v>
      </c>
      <c r="T843">
        <v>5500</v>
      </c>
      <c r="U843" t="s">
        <v>1154</v>
      </c>
      <c r="V843" t="s">
        <v>99</v>
      </c>
      <c r="W843" t="s">
        <v>2</v>
      </c>
      <c r="AI843">
        <v>62</v>
      </c>
      <c r="AJ843">
        <v>62</v>
      </c>
      <c r="AN843">
        <v>45170</v>
      </c>
      <c r="AO843">
        <v>45199</v>
      </c>
      <c r="AP843" t="s">
        <v>1101</v>
      </c>
    </row>
    <row r="844" spans="1:42" x14ac:dyDescent="0.25">
      <c r="A844">
        <v>2023</v>
      </c>
      <c r="B844">
        <v>9</v>
      </c>
      <c r="C844">
        <v>17</v>
      </c>
      <c r="D844" t="s">
        <v>1088</v>
      </c>
      <c r="E844" t="s">
        <v>282</v>
      </c>
      <c r="F844">
        <v>56310</v>
      </c>
      <c r="G844">
        <v>10346871</v>
      </c>
      <c r="H844" t="s">
        <v>282</v>
      </c>
      <c r="J844">
        <v>53719446</v>
      </c>
      <c r="K844">
        <v>1100</v>
      </c>
      <c r="L844">
        <v>1700</v>
      </c>
      <c r="M844">
        <v>1304</v>
      </c>
      <c r="P844">
        <v>18</v>
      </c>
      <c r="Q844">
        <v>1</v>
      </c>
      <c r="R844">
        <v>18</v>
      </c>
      <c r="S844">
        <v>45181.66105396991</v>
      </c>
      <c r="T844">
        <v>5500</v>
      </c>
      <c r="U844" t="s">
        <v>1154</v>
      </c>
      <c r="V844" t="s">
        <v>99</v>
      </c>
      <c r="W844" t="s">
        <v>2</v>
      </c>
      <c r="AI844">
        <v>62</v>
      </c>
      <c r="AJ844">
        <v>62</v>
      </c>
      <c r="AN844">
        <v>45170</v>
      </c>
      <c r="AO844">
        <v>45199</v>
      </c>
      <c r="AP844" t="s">
        <v>1101</v>
      </c>
    </row>
    <row r="845" spans="1:42" x14ac:dyDescent="0.25">
      <c r="A845">
        <v>2023</v>
      </c>
      <c r="B845">
        <v>9</v>
      </c>
      <c r="C845">
        <v>17</v>
      </c>
      <c r="D845" t="s">
        <v>1088</v>
      </c>
      <c r="E845" t="s">
        <v>282</v>
      </c>
      <c r="F845">
        <v>593585</v>
      </c>
      <c r="G845">
        <v>10360053</v>
      </c>
      <c r="H845" t="s">
        <v>282</v>
      </c>
      <c r="J845">
        <v>53707262</v>
      </c>
      <c r="K845">
        <v>1100</v>
      </c>
      <c r="L845">
        <v>1700</v>
      </c>
      <c r="M845">
        <v>1304</v>
      </c>
      <c r="P845">
        <v>120</v>
      </c>
      <c r="Q845">
        <v>1</v>
      </c>
      <c r="R845">
        <v>120</v>
      </c>
      <c r="S845">
        <v>45181.492107488426</v>
      </c>
      <c r="T845">
        <v>5500</v>
      </c>
      <c r="U845" t="s">
        <v>1154</v>
      </c>
      <c r="V845" t="s">
        <v>99</v>
      </c>
      <c r="W845" t="s">
        <v>2</v>
      </c>
      <c r="AI845">
        <v>62</v>
      </c>
      <c r="AJ845">
        <v>62</v>
      </c>
      <c r="AN845">
        <v>45170</v>
      </c>
      <c r="AO845">
        <v>45199</v>
      </c>
      <c r="AP845" t="s">
        <v>1101</v>
      </c>
    </row>
    <row r="846" spans="1:42" x14ac:dyDescent="0.25">
      <c r="A846">
        <v>2023</v>
      </c>
      <c r="B846">
        <v>9</v>
      </c>
      <c r="C846">
        <v>17</v>
      </c>
      <c r="D846" t="s">
        <v>1088</v>
      </c>
      <c r="E846" t="s">
        <v>282</v>
      </c>
      <c r="F846">
        <v>593585</v>
      </c>
      <c r="G846">
        <v>10360053</v>
      </c>
      <c r="H846" t="s">
        <v>282</v>
      </c>
      <c r="J846">
        <v>53707263</v>
      </c>
      <c r="K846">
        <v>1100</v>
      </c>
      <c r="L846">
        <v>1700</v>
      </c>
      <c r="M846">
        <v>1304</v>
      </c>
      <c r="P846">
        <v>120</v>
      </c>
      <c r="Q846">
        <v>1</v>
      </c>
      <c r="R846">
        <v>120</v>
      </c>
      <c r="S846">
        <v>45181.492224687499</v>
      </c>
      <c r="T846">
        <v>5500</v>
      </c>
      <c r="U846" t="s">
        <v>1154</v>
      </c>
      <c r="V846" t="s">
        <v>99</v>
      </c>
      <c r="W846" t="s">
        <v>2</v>
      </c>
      <c r="AI846">
        <v>62</v>
      </c>
      <c r="AJ846">
        <v>62</v>
      </c>
      <c r="AN846">
        <v>45170</v>
      </c>
      <c r="AO846">
        <v>45199</v>
      </c>
      <c r="AP846" t="s">
        <v>1101</v>
      </c>
    </row>
    <row r="847" spans="1:42" x14ac:dyDescent="0.25">
      <c r="A847">
        <v>2023</v>
      </c>
      <c r="B847">
        <v>9</v>
      </c>
      <c r="C847">
        <v>17</v>
      </c>
      <c r="D847" t="s">
        <v>1088</v>
      </c>
      <c r="E847" t="s">
        <v>282</v>
      </c>
      <c r="F847">
        <v>593585</v>
      </c>
      <c r="G847">
        <v>10360053</v>
      </c>
      <c r="H847" t="s">
        <v>282</v>
      </c>
      <c r="J847">
        <v>53707264</v>
      </c>
      <c r="K847">
        <v>1100</v>
      </c>
      <c r="L847">
        <v>1700</v>
      </c>
      <c r="M847">
        <v>1304</v>
      </c>
      <c r="P847">
        <v>14.4</v>
      </c>
      <c r="Q847">
        <v>1</v>
      </c>
      <c r="R847">
        <v>14.4</v>
      </c>
      <c r="S847">
        <v>45181.492325810184</v>
      </c>
      <c r="T847">
        <v>5500</v>
      </c>
      <c r="U847" t="s">
        <v>1154</v>
      </c>
      <c r="V847" t="s">
        <v>99</v>
      </c>
      <c r="W847" t="s">
        <v>2</v>
      </c>
      <c r="AI847">
        <v>62</v>
      </c>
      <c r="AJ847">
        <v>62</v>
      </c>
      <c r="AN847">
        <v>45170</v>
      </c>
      <c r="AO847">
        <v>45199</v>
      </c>
      <c r="AP847" t="s">
        <v>1101</v>
      </c>
    </row>
    <row r="848" spans="1:42" x14ac:dyDescent="0.25">
      <c r="A848">
        <v>2023</v>
      </c>
      <c r="B848">
        <v>9</v>
      </c>
      <c r="C848">
        <v>17</v>
      </c>
      <c r="D848" t="s">
        <v>1088</v>
      </c>
      <c r="E848" t="s">
        <v>282</v>
      </c>
      <c r="F848">
        <v>621688</v>
      </c>
      <c r="G848">
        <v>10367014</v>
      </c>
      <c r="H848" t="s">
        <v>282</v>
      </c>
      <c r="J848">
        <v>53757733</v>
      </c>
      <c r="K848">
        <v>1100</v>
      </c>
      <c r="L848">
        <v>1700</v>
      </c>
      <c r="M848">
        <v>1301</v>
      </c>
      <c r="P848">
        <v>85</v>
      </c>
      <c r="Q848">
        <v>1</v>
      </c>
      <c r="R848">
        <v>85</v>
      </c>
      <c r="S848">
        <v>45182.476952118057</v>
      </c>
      <c r="T848">
        <v>5500</v>
      </c>
      <c r="U848" t="s">
        <v>1151</v>
      </c>
      <c r="V848" t="s">
        <v>99</v>
      </c>
      <c r="W848" t="s">
        <v>1031</v>
      </c>
      <c r="X848" t="s">
        <v>1031</v>
      </c>
      <c r="AA848">
        <v>57876</v>
      </c>
      <c r="AB848" t="s">
        <v>1223</v>
      </c>
      <c r="AC848">
        <v>45184.087259108797</v>
      </c>
      <c r="AI848">
        <v>62</v>
      </c>
      <c r="AJ848">
        <v>62</v>
      </c>
      <c r="AN848">
        <v>45170</v>
      </c>
      <c r="AO848">
        <v>45199</v>
      </c>
      <c r="AP848" t="s">
        <v>1101</v>
      </c>
    </row>
    <row r="849" spans="1:42" x14ac:dyDescent="0.25">
      <c r="A849">
        <v>2023</v>
      </c>
      <c r="B849">
        <v>9</v>
      </c>
      <c r="C849">
        <v>17</v>
      </c>
      <c r="D849" t="s">
        <v>1088</v>
      </c>
      <c r="E849" t="s">
        <v>282</v>
      </c>
      <c r="F849">
        <v>621688</v>
      </c>
      <c r="G849">
        <v>10367014</v>
      </c>
      <c r="H849" t="s">
        <v>282</v>
      </c>
      <c r="J849">
        <v>53757740</v>
      </c>
      <c r="K849">
        <v>1100</v>
      </c>
      <c r="L849">
        <v>1700</v>
      </c>
      <c r="M849">
        <v>1301</v>
      </c>
      <c r="P849">
        <v>7.5</v>
      </c>
      <c r="Q849">
        <v>2</v>
      </c>
      <c r="R849">
        <v>15</v>
      </c>
      <c r="S849">
        <v>45182.477099340278</v>
      </c>
      <c r="T849">
        <v>5500</v>
      </c>
      <c r="U849" t="s">
        <v>1151</v>
      </c>
      <c r="V849" t="s">
        <v>99</v>
      </c>
      <c r="W849" t="s">
        <v>1031</v>
      </c>
      <c r="X849" t="s">
        <v>1031</v>
      </c>
      <c r="AA849">
        <v>57876</v>
      </c>
      <c r="AB849" t="s">
        <v>1223</v>
      </c>
      <c r="AC849">
        <v>45184.087259108797</v>
      </c>
      <c r="AI849">
        <v>62</v>
      </c>
      <c r="AJ849">
        <v>62</v>
      </c>
      <c r="AN849">
        <v>45170</v>
      </c>
      <c r="AO849">
        <v>45199</v>
      </c>
      <c r="AP849" t="s">
        <v>1101</v>
      </c>
    </row>
    <row r="850" spans="1:42" x14ac:dyDescent="0.25">
      <c r="A850">
        <v>2023</v>
      </c>
      <c r="B850">
        <v>9</v>
      </c>
      <c r="C850">
        <v>17</v>
      </c>
      <c r="D850" t="s">
        <v>1088</v>
      </c>
      <c r="E850" t="s">
        <v>282</v>
      </c>
      <c r="F850">
        <v>621688</v>
      </c>
      <c r="G850">
        <v>10367014</v>
      </c>
      <c r="H850" t="s">
        <v>282</v>
      </c>
      <c r="J850">
        <v>53757748</v>
      </c>
      <c r="K850">
        <v>1100</v>
      </c>
      <c r="L850">
        <v>1700</v>
      </c>
      <c r="M850">
        <v>1301</v>
      </c>
      <c r="P850">
        <v>8</v>
      </c>
      <c r="Q850">
        <v>2</v>
      </c>
      <c r="R850">
        <v>16</v>
      </c>
      <c r="S850">
        <v>45182.477269409719</v>
      </c>
      <c r="T850">
        <v>5500</v>
      </c>
      <c r="U850" t="s">
        <v>1151</v>
      </c>
      <c r="V850" t="s">
        <v>99</v>
      </c>
      <c r="W850" t="s">
        <v>1031</v>
      </c>
      <c r="X850" t="s">
        <v>1031</v>
      </c>
      <c r="AA850">
        <v>57876</v>
      </c>
      <c r="AB850" t="s">
        <v>1223</v>
      </c>
      <c r="AC850">
        <v>45184.087259108797</v>
      </c>
      <c r="AI850">
        <v>62</v>
      </c>
      <c r="AJ850">
        <v>62</v>
      </c>
      <c r="AN850">
        <v>45170</v>
      </c>
      <c r="AO850">
        <v>45199</v>
      </c>
      <c r="AP850" t="s">
        <v>1101</v>
      </c>
    </row>
    <row r="851" spans="1:42" x14ac:dyDescent="0.25">
      <c r="A851">
        <v>2023</v>
      </c>
      <c r="B851">
        <v>9</v>
      </c>
      <c r="C851">
        <v>17</v>
      </c>
      <c r="D851" t="s">
        <v>1088</v>
      </c>
      <c r="E851" t="s">
        <v>282</v>
      </c>
      <c r="F851">
        <v>621688</v>
      </c>
      <c r="G851">
        <v>10367014</v>
      </c>
      <c r="H851" t="s">
        <v>282</v>
      </c>
      <c r="J851">
        <v>53757761</v>
      </c>
      <c r="K851">
        <v>1100</v>
      </c>
      <c r="L851">
        <v>1700</v>
      </c>
      <c r="M851">
        <v>1301</v>
      </c>
      <c r="P851">
        <v>4</v>
      </c>
      <c r="Q851">
        <v>2</v>
      </c>
      <c r="R851">
        <v>8</v>
      </c>
      <c r="S851">
        <v>45182.477515046296</v>
      </c>
      <c r="T851">
        <v>5500</v>
      </c>
      <c r="U851" t="s">
        <v>1151</v>
      </c>
      <c r="V851" t="s">
        <v>99</v>
      </c>
      <c r="W851" t="s">
        <v>1031</v>
      </c>
      <c r="X851" t="s">
        <v>1031</v>
      </c>
      <c r="AA851">
        <v>57876</v>
      </c>
      <c r="AB851" t="s">
        <v>1223</v>
      </c>
      <c r="AC851">
        <v>45184.087259108797</v>
      </c>
      <c r="AI851">
        <v>62</v>
      </c>
      <c r="AJ851">
        <v>62</v>
      </c>
      <c r="AN851">
        <v>45170</v>
      </c>
      <c r="AO851">
        <v>45199</v>
      </c>
      <c r="AP851" t="s">
        <v>1101</v>
      </c>
    </row>
    <row r="852" spans="1:42" x14ac:dyDescent="0.25">
      <c r="A852">
        <v>2023</v>
      </c>
      <c r="B852">
        <v>9</v>
      </c>
      <c r="C852">
        <v>17</v>
      </c>
      <c r="D852" t="s">
        <v>1088</v>
      </c>
      <c r="E852" t="s">
        <v>282</v>
      </c>
      <c r="F852">
        <v>621692</v>
      </c>
      <c r="G852">
        <v>10367092</v>
      </c>
      <c r="H852" t="s">
        <v>282</v>
      </c>
      <c r="J852">
        <v>53757869</v>
      </c>
      <c r="K852">
        <v>1100</v>
      </c>
      <c r="L852">
        <v>1700</v>
      </c>
      <c r="M852">
        <v>1301</v>
      </c>
      <c r="P852">
        <v>85</v>
      </c>
      <c r="Q852">
        <v>1</v>
      </c>
      <c r="R852">
        <v>85</v>
      </c>
      <c r="S852">
        <v>45182.482061145834</v>
      </c>
      <c r="T852">
        <v>5500</v>
      </c>
      <c r="U852" t="s">
        <v>1151</v>
      </c>
      <c r="V852" t="s">
        <v>99</v>
      </c>
      <c r="W852" t="s">
        <v>1031</v>
      </c>
      <c r="X852" t="s">
        <v>1031</v>
      </c>
      <c r="AA852">
        <v>57876</v>
      </c>
      <c r="AB852" t="s">
        <v>1223</v>
      </c>
      <c r="AC852">
        <v>45184.087259108797</v>
      </c>
      <c r="AI852">
        <v>62</v>
      </c>
      <c r="AJ852">
        <v>62</v>
      </c>
      <c r="AN852">
        <v>45170</v>
      </c>
      <c r="AO852">
        <v>45199</v>
      </c>
      <c r="AP852" t="s">
        <v>1101</v>
      </c>
    </row>
    <row r="853" spans="1:42" x14ac:dyDescent="0.25">
      <c r="A853">
        <v>2023</v>
      </c>
      <c r="B853">
        <v>9</v>
      </c>
      <c r="C853">
        <v>17</v>
      </c>
      <c r="D853" t="s">
        <v>1088</v>
      </c>
      <c r="E853" t="s">
        <v>282</v>
      </c>
      <c r="F853">
        <v>621692</v>
      </c>
      <c r="G853">
        <v>10367092</v>
      </c>
      <c r="H853" t="s">
        <v>282</v>
      </c>
      <c r="J853">
        <v>53757872</v>
      </c>
      <c r="K853">
        <v>1100</v>
      </c>
      <c r="L853">
        <v>1700</v>
      </c>
      <c r="M853">
        <v>1301</v>
      </c>
      <c r="P853">
        <v>7.5</v>
      </c>
      <c r="Q853">
        <v>2</v>
      </c>
      <c r="R853">
        <v>15</v>
      </c>
      <c r="S853">
        <v>45182.482227465276</v>
      </c>
      <c r="T853">
        <v>5500</v>
      </c>
      <c r="U853" t="s">
        <v>1151</v>
      </c>
      <c r="V853" t="s">
        <v>99</v>
      </c>
      <c r="W853" t="s">
        <v>1031</v>
      </c>
      <c r="X853" t="s">
        <v>1031</v>
      </c>
      <c r="AA853">
        <v>57876</v>
      </c>
      <c r="AB853" t="s">
        <v>1223</v>
      </c>
      <c r="AC853">
        <v>45184.087259108797</v>
      </c>
      <c r="AI853">
        <v>62</v>
      </c>
      <c r="AJ853">
        <v>62</v>
      </c>
      <c r="AN853">
        <v>45170</v>
      </c>
      <c r="AO853">
        <v>45199</v>
      </c>
      <c r="AP853" t="s">
        <v>1101</v>
      </c>
    </row>
    <row r="854" spans="1:42" x14ac:dyDescent="0.25">
      <c r="A854">
        <v>2023</v>
      </c>
      <c r="B854">
        <v>9</v>
      </c>
      <c r="C854">
        <v>17</v>
      </c>
      <c r="D854" t="s">
        <v>1088</v>
      </c>
      <c r="E854" t="s">
        <v>282</v>
      </c>
      <c r="F854">
        <v>621692</v>
      </c>
      <c r="G854">
        <v>10367092</v>
      </c>
      <c r="H854" t="s">
        <v>282</v>
      </c>
      <c r="J854">
        <v>53757889</v>
      </c>
      <c r="K854">
        <v>1100</v>
      </c>
      <c r="L854">
        <v>1700</v>
      </c>
      <c r="M854">
        <v>1301</v>
      </c>
      <c r="P854">
        <v>8</v>
      </c>
      <c r="Q854">
        <v>2</v>
      </c>
      <c r="R854">
        <v>16</v>
      </c>
      <c r="S854">
        <v>45182.482813391201</v>
      </c>
      <c r="T854">
        <v>5500</v>
      </c>
      <c r="U854" t="s">
        <v>1151</v>
      </c>
      <c r="V854" t="s">
        <v>99</v>
      </c>
      <c r="W854" t="s">
        <v>1031</v>
      </c>
      <c r="X854" t="s">
        <v>1031</v>
      </c>
      <c r="AA854">
        <v>57876</v>
      </c>
      <c r="AB854" t="s">
        <v>1223</v>
      </c>
      <c r="AC854">
        <v>45184.087259108797</v>
      </c>
      <c r="AI854">
        <v>62</v>
      </c>
      <c r="AJ854">
        <v>62</v>
      </c>
      <c r="AN854">
        <v>45170</v>
      </c>
      <c r="AO854">
        <v>45199</v>
      </c>
      <c r="AP854" t="s">
        <v>1101</v>
      </c>
    </row>
    <row r="855" spans="1:42" x14ac:dyDescent="0.25">
      <c r="A855">
        <v>2023</v>
      </c>
      <c r="B855">
        <v>9</v>
      </c>
      <c r="C855">
        <v>17</v>
      </c>
      <c r="D855" t="s">
        <v>1088</v>
      </c>
      <c r="E855" t="s">
        <v>282</v>
      </c>
      <c r="F855">
        <v>621692</v>
      </c>
      <c r="G855">
        <v>10367092</v>
      </c>
      <c r="H855" t="s">
        <v>282</v>
      </c>
      <c r="J855">
        <v>53757900</v>
      </c>
      <c r="K855">
        <v>1100</v>
      </c>
      <c r="L855">
        <v>1700</v>
      </c>
      <c r="M855">
        <v>1301</v>
      </c>
      <c r="P855">
        <v>12.5</v>
      </c>
      <c r="Q855">
        <v>2</v>
      </c>
      <c r="R855">
        <v>25</v>
      </c>
      <c r="S855">
        <v>45182.482937002314</v>
      </c>
      <c r="T855">
        <v>5500</v>
      </c>
      <c r="U855" t="s">
        <v>1151</v>
      </c>
      <c r="V855" t="s">
        <v>99</v>
      </c>
      <c r="W855" t="s">
        <v>1031</v>
      </c>
      <c r="X855" t="s">
        <v>1031</v>
      </c>
      <c r="AA855">
        <v>57876</v>
      </c>
      <c r="AB855" t="s">
        <v>1223</v>
      </c>
      <c r="AC855">
        <v>45184.087259108797</v>
      </c>
      <c r="AI855">
        <v>62</v>
      </c>
      <c r="AJ855">
        <v>62</v>
      </c>
      <c r="AN855">
        <v>45170</v>
      </c>
      <c r="AO855">
        <v>45199</v>
      </c>
      <c r="AP855" t="s">
        <v>1101</v>
      </c>
    </row>
    <row r="856" spans="1:42" x14ac:dyDescent="0.25">
      <c r="A856">
        <v>2023</v>
      </c>
      <c r="B856">
        <v>9</v>
      </c>
      <c r="C856">
        <v>17</v>
      </c>
      <c r="D856" t="s">
        <v>1088</v>
      </c>
      <c r="E856" t="s">
        <v>282</v>
      </c>
      <c r="F856">
        <v>621692</v>
      </c>
      <c r="G856">
        <v>10367092</v>
      </c>
      <c r="H856" t="s">
        <v>282</v>
      </c>
      <c r="J856">
        <v>53757902</v>
      </c>
      <c r="K856">
        <v>1100</v>
      </c>
      <c r="L856">
        <v>1700</v>
      </c>
      <c r="M856">
        <v>1301</v>
      </c>
      <c r="P856">
        <v>7.5</v>
      </c>
      <c r="Q856">
        <v>2</v>
      </c>
      <c r="R856">
        <v>15</v>
      </c>
      <c r="S856">
        <v>45182.483049849536</v>
      </c>
      <c r="T856">
        <v>5500</v>
      </c>
      <c r="U856" t="s">
        <v>1151</v>
      </c>
      <c r="V856" t="s">
        <v>99</v>
      </c>
      <c r="W856" t="s">
        <v>1031</v>
      </c>
      <c r="X856" t="s">
        <v>1031</v>
      </c>
      <c r="AA856">
        <v>57876</v>
      </c>
      <c r="AB856" t="s">
        <v>1223</v>
      </c>
      <c r="AC856">
        <v>45184.087259108797</v>
      </c>
      <c r="AI856">
        <v>62</v>
      </c>
      <c r="AJ856">
        <v>62</v>
      </c>
      <c r="AN856">
        <v>45170</v>
      </c>
      <c r="AO856">
        <v>45199</v>
      </c>
      <c r="AP856" t="s">
        <v>1101</v>
      </c>
    </row>
    <row r="857" spans="1:42" x14ac:dyDescent="0.25">
      <c r="A857">
        <v>2023</v>
      </c>
      <c r="B857">
        <v>9</v>
      </c>
      <c r="C857">
        <v>17</v>
      </c>
      <c r="D857" t="s">
        <v>1088</v>
      </c>
      <c r="E857" t="s">
        <v>282</v>
      </c>
      <c r="F857">
        <v>240543</v>
      </c>
      <c r="G857">
        <v>10363040</v>
      </c>
      <c r="H857" t="s">
        <v>282</v>
      </c>
      <c r="J857">
        <v>53809878</v>
      </c>
      <c r="K857">
        <v>1100</v>
      </c>
      <c r="L857">
        <v>1700</v>
      </c>
      <c r="M857">
        <v>1304</v>
      </c>
      <c r="P857">
        <v>216</v>
      </c>
      <c r="Q857">
        <v>1</v>
      </c>
      <c r="R857">
        <v>216</v>
      </c>
      <c r="S857">
        <v>45183.561091435186</v>
      </c>
      <c r="T857">
        <v>5500</v>
      </c>
      <c r="U857" t="s">
        <v>1154</v>
      </c>
      <c r="V857" t="s">
        <v>99</v>
      </c>
      <c r="W857" t="s">
        <v>2</v>
      </c>
      <c r="AI857">
        <v>62</v>
      </c>
      <c r="AJ857">
        <v>62</v>
      </c>
      <c r="AN857">
        <v>45170</v>
      </c>
      <c r="AO857">
        <v>45199</v>
      </c>
      <c r="AP857" t="s">
        <v>1101</v>
      </c>
    </row>
    <row r="858" spans="1:42" x14ac:dyDescent="0.25">
      <c r="A858">
        <v>2023</v>
      </c>
      <c r="B858">
        <v>9</v>
      </c>
      <c r="C858">
        <v>17</v>
      </c>
      <c r="D858" t="s">
        <v>1088</v>
      </c>
      <c r="E858" t="s">
        <v>282</v>
      </c>
      <c r="F858">
        <v>240543</v>
      </c>
      <c r="G858">
        <v>10363040</v>
      </c>
      <c r="H858" t="s">
        <v>282</v>
      </c>
      <c r="J858">
        <v>53809881</v>
      </c>
      <c r="K858">
        <v>1100</v>
      </c>
      <c r="L858">
        <v>1700</v>
      </c>
      <c r="M858">
        <v>1304</v>
      </c>
      <c r="P858">
        <v>216</v>
      </c>
      <c r="Q858">
        <v>1</v>
      </c>
      <c r="R858">
        <v>216</v>
      </c>
      <c r="S858">
        <v>45183.561202083336</v>
      </c>
      <c r="T858">
        <v>5500</v>
      </c>
      <c r="U858" t="s">
        <v>1154</v>
      </c>
      <c r="V858" t="s">
        <v>99</v>
      </c>
      <c r="W858" t="s">
        <v>2</v>
      </c>
      <c r="AI858">
        <v>62</v>
      </c>
      <c r="AJ858">
        <v>62</v>
      </c>
      <c r="AN858">
        <v>45170</v>
      </c>
      <c r="AO858">
        <v>45199</v>
      </c>
      <c r="AP858" t="s">
        <v>1101</v>
      </c>
    </row>
    <row r="859" spans="1:42" x14ac:dyDescent="0.25">
      <c r="A859">
        <v>2023</v>
      </c>
      <c r="B859">
        <v>9</v>
      </c>
      <c r="C859">
        <v>17</v>
      </c>
      <c r="D859" t="s">
        <v>1088</v>
      </c>
      <c r="E859" t="s">
        <v>282</v>
      </c>
      <c r="F859">
        <v>240543</v>
      </c>
      <c r="G859">
        <v>10363040</v>
      </c>
      <c r="H859" t="s">
        <v>282</v>
      </c>
      <c r="J859">
        <v>53809900</v>
      </c>
      <c r="K859">
        <v>1100</v>
      </c>
      <c r="L859">
        <v>1700</v>
      </c>
      <c r="M859">
        <v>1304</v>
      </c>
      <c r="P859">
        <v>18</v>
      </c>
      <c r="Q859">
        <v>1</v>
      </c>
      <c r="R859">
        <v>18</v>
      </c>
      <c r="S859">
        <v>45183.561843784722</v>
      </c>
      <c r="T859">
        <v>5500</v>
      </c>
      <c r="U859" t="s">
        <v>1154</v>
      </c>
      <c r="V859" t="s">
        <v>99</v>
      </c>
      <c r="W859" t="s">
        <v>2</v>
      </c>
      <c r="AI859">
        <v>62</v>
      </c>
      <c r="AJ859">
        <v>62</v>
      </c>
      <c r="AN859">
        <v>45170</v>
      </c>
      <c r="AO859">
        <v>45199</v>
      </c>
      <c r="AP859" t="s">
        <v>1101</v>
      </c>
    </row>
    <row r="860" spans="1:42" x14ac:dyDescent="0.25">
      <c r="A860">
        <v>2023</v>
      </c>
      <c r="B860">
        <v>9</v>
      </c>
      <c r="C860">
        <v>17</v>
      </c>
      <c r="D860" t="s">
        <v>1088</v>
      </c>
      <c r="E860" t="s">
        <v>282</v>
      </c>
      <c r="F860">
        <v>618969</v>
      </c>
      <c r="G860">
        <v>10315720</v>
      </c>
      <c r="H860" t="s">
        <v>282</v>
      </c>
      <c r="J860">
        <v>53832196</v>
      </c>
      <c r="K860">
        <v>1104</v>
      </c>
      <c r="L860">
        <v>1702</v>
      </c>
      <c r="M860">
        <v>1304</v>
      </c>
      <c r="N860">
        <v>53479099</v>
      </c>
      <c r="O860">
        <v>45174.614760104167</v>
      </c>
      <c r="P860">
        <v>182</v>
      </c>
      <c r="Q860">
        <v>1</v>
      </c>
      <c r="R860">
        <v>182</v>
      </c>
      <c r="S860">
        <v>45184.06737207176</v>
      </c>
      <c r="T860">
        <v>5509</v>
      </c>
      <c r="U860" t="s">
        <v>1152</v>
      </c>
      <c r="V860" t="s">
        <v>1153</v>
      </c>
      <c r="W860" t="s">
        <v>2</v>
      </c>
      <c r="AI860">
        <v>62</v>
      </c>
      <c r="AJ860">
        <v>62</v>
      </c>
      <c r="AN860">
        <v>45170</v>
      </c>
      <c r="AO860">
        <v>45199</v>
      </c>
      <c r="AP860" t="s">
        <v>1101</v>
      </c>
    </row>
    <row r="861" spans="1:42" x14ac:dyDescent="0.25">
      <c r="A861">
        <v>2023</v>
      </c>
      <c r="B861">
        <v>9</v>
      </c>
      <c r="C861">
        <v>17</v>
      </c>
      <c r="D861" t="s">
        <v>1088</v>
      </c>
      <c r="E861" t="s">
        <v>282</v>
      </c>
      <c r="F861">
        <v>115568</v>
      </c>
      <c r="G861">
        <v>10366700</v>
      </c>
      <c r="H861" t="s">
        <v>282</v>
      </c>
      <c r="J861">
        <v>53861376</v>
      </c>
      <c r="K861">
        <v>1100</v>
      </c>
      <c r="L861">
        <v>1700</v>
      </c>
      <c r="M861">
        <v>1301</v>
      </c>
      <c r="P861">
        <v>216</v>
      </c>
      <c r="Q861">
        <v>1</v>
      </c>
      <c r="R861">
        <v>216</v>
      </c>
      <c r="S861">
        <v>45184.627248379627</v>
      </c>
      <c r="T861">
        <v>5500</v>
      </c>
      <c r="U861" t="s">
        <v>1151</v>
      </c>
      <c r="V861" t="s">
        <v>99</v>
      </c>
      <c r="W861" t="s">
        <v>1091</v>
      </c>
      <c r="X861" t="s">
        <v>1091</v>
      </c>
      <c r="AA861">
        <v>58053</v>
      </c>
      <c r="AB861" t="s">
        <v>1223</v>
      </c>
      <c r="AC861">
        <v>45199.084342476854</v>
      </c>
      <c r="AI861">
        <v>62</v>
      </c>
      <c r="AJ861">
        <v>62</v>
      </c>
      <c r="AN861">
        <v>45170</v>
      </c>
      <c r="AO861">
        <v>45199</v>
      </c>
      <c r="AP861" t="s">
        <v>1101</v>
      </c>
    </row>
    <row r="862" spans="1:42" x14ac:dyDescent="0.25">
      <c r="A862">
        <v>2023</v>
      </c>
      <c r="B862">
        <v>9</v>
      </c>
      <c r="C862">
        <v>17</v>
      </c>
      <c r="D862" t="s">
        <v>1088</v>
      </c>
      <c r="E862" t="s">
        <v>282</v>
      </c>
      <c r="F862">
        <v>115568</v>
      </c>
      <c r="G862">
        <v>10366700</v>
      </c>
      <c r="H862" t="s">
        <v>282</v>
      </c>
      <c r="J862">
        <v>53861377</v>
      </c>
      <c r="K862">
        <v>1100</v>
      </c>
      <c r="L862">
        <v>1700</v>
      </c>
      <c r="M862">
        <v>1301</v>
      </c>
      <c r="P862">
        <v>216</v>
      </c>
      <c r="Q862">
        <v>1</v>
      </c>
      <c r="R862">
        <v>216</v>
      </c>
      <c r="S862">
        <v>45184.627339548613</v>
      </c>
      <c r="T862">
        <v>5500</v>
      </c>
      <c r="U862" t="s">
        <v>1151</v>
      </c>
      <c r="V862" t="s">
        <v>99</v>
      </c>
      <c r="W862" t="s">
        <v>1091</v>
      </c>
      <c r="X862" t="s">
        <v>1091</v>
      </c>
      <c r="AA862">
        <v>58053</v>
      </c>
      <c r="AB862" t="s">
        <v>1223</v>
      </c>
      <c r="AC862">
        <v>45199.084342476854</v>
      </c>
      <c r="AI862">
        <v>62</v>
      </c>
      <c r="AJ862">
        <v>62</v>
      </c>
      <c r="AN862">
        <v>45170</v>
      </c>
      <c r="AO862">
        <v>45199</v>
      </c>
      <c r="AP862" t="s">
        <v>1101</v>
      </c>
    </row>
    <row r="863" spans="1:42" x14ac:dyDescent="0.25">
      <c r="A863">
        <v>2023</v>
      </c>
      <c r="B863">
        <v>9</v>
      </c>
      <c r="C863">
        <v>17</v>
      </c>
      <c r="D863" t="s">
        <v>1088</v>
      </c>
      <c r="E863" t="s">
        <v>282</v>
      </c>
      <c r="F863">
        <v>621896</v>
      </c>
      <c r="G863">
        <v>10370554</v>
      </c>
      <c r="H863" t="s">
        <v>282</v>
      </c>
      <c r="J863">
        <v>53926889</v>
      </c>
      <c r="K863">
        <v>1100</v>
      </c>
      <c r="L863">
        <v>1700</v>
      </c>
      <c r="M863">
        <v>1301</v>
      </c>
      <c r="P863">
        <v>216</v>
      </c>
      <c r="Q863">
        <v>1</v>
      </c>
      <c r="R863">
        <v>216</v>
      </c>
      <c r="S863">
        <v>45188.399898761571</v>
      </c>
      <c r="T863">
        <v>5500</v>
      </c>
      <c r="U863" t="s">
        <v>1151</v>
      </c>
      <c r="V863" t="s">
        <v>99</v>
      </c>
      <c r="W863" t="s">
        <v>1091</v>
      </c>
      <c r="X863" t="s">
        <v>1091</v>
      </c>
      <c r="AA863">
        <v>57941</v>
      </c>
      <c r="AB863" t="s">
        <v>1223</v>
      </c>
      <c r="AC863">
        <v>45190.087726307873</v>
      </c>
      <c r="AI863">
        <v>62</v>
      </c>
      <c r="AJ863">
        <v>62</v>
      </c>
      <c r="AN863">
        <v>45170</v>
      </c>
      <c r="AO863">
        <v>45199</v>
      </c>
      <c r="AP863" t="s">
        <v>1101</v>
      </c>
    </row>
    <row r="864" spans="1:42" x14ac:dyDescent="0.25">
      <c r="A864">
        <v>2023</v>
      </c>
      <c r="B864">
        <v>9</v>
      </c>
      <c r="C864">
        <v>17</v>
      </c>
      <c r="D864" t="s">
        <v>1088</v>
      </c>
      <c r="E864" t="s">
        <v>282</v>
      </c>
      <c r="F864">
        <v>621896</v>
      </c>
      <c r="G864">
        <v>10370554</v>
      </c>
      <c r="H864" t="s">
        <v>282</v>
      </c>
      <c r="J864">
        <v>53926890</v>
      </c>
      <c r="K864">
        <v>1100</v>
      </c>
      <c r="L864">
        <v>1700</v>
      </c>
      <c r="M864">
        <v>1301</v>
      </c>
      <c r="P864">
        <v>216</v>
      </c>
      <c r="Q864">
        <v>1</v>
      </c>
      <c r="R864">
        <v>216</v>
      </c>
      <c r="S864">
        <v>45188.39999672454</v>
      </c>
      <c r="T864">
        <v>5500</v>
      </c>
      <c r="U864" t="s">
        <v>1151</v>
      </c>
      <c r="V864" t="s">
        <v>99</v>
      </c>
      <c r="W864" t="s">
        <v>1091</v>
      </c>
      <c r="X864" t="s">
        <v>1091</v>
      </c>
      <c r="AA864">
        <v>57941</v>
      </c>
      <c r="AB864" t="s">
        <v>1223</v>
      </c>
      <c r="AC864">
        <v>45190.087726307873</v>
      </c>
      <c r="AI864">
        <v>62</v>
      </c>
      <c r="AJ864">
        <v>62</v>
      </c>
      <c r="AN864">
        <v>45170</v>
      </c>
      <c r="AO864">
        <v>45199</v>
      </c>
      <c r="AP864" t="s">
        <v>1101</v>
      </c>
    </row>
    <row r="865" spans="1:42" x14ac:dyDescent="0.25">
      <c r="A865">
        <v>2023</v>
      </c>
      <c r="B865">
        <v>9</v>
      </c>
      <c r="C865">
        <v>17</v>
      </c>
      <c r="D865" t="s">
        <v>1088</v>
      </c>
      <c r="E865" t="s">
        <v>282</v>
      </c>
      <c r="F865">
        <v>624094</v>
      </c>
      <c r="G865">
        <v>10411263</v>
      </c>
      <c r="H865" t="s">
        <v>282</v>
      </c>
      <c r="J865">
        <v>53997175</v>
      </c>
      <c r="K865">
        <v>1100</v>
      </c>
      <c r="L865">
        <v>1700</v>
      </c>
      <c r="M865">
        <v>1301</v>
      </c>
      <c r="P865">
        <v>121.5</v>
      </c>
      <c r="Q865">
        <v>1</v>
      </c>
      <c r="R865">
        <v>121.5</v>
      </c>
      <c r="S865">
        <v>45190.491235416666</v>
      </c>
      <c r="T865">
        <v>5500</v>
      </c>
      <c r="U865" t="s">
        <v>1151</v>
      </c>
      <c r="V865" t="s">
        <v>99</v>
      </c>
      <c r="W865" t="s">
        <v>1031</v>
      </c>
      <c r="X865" t="s">
        <v>1031</v>
      </c>
      <c r="AA865">
        <v>57958</v>
      </c>
      <c r="AB865" t="s">
        <v>1223</v>
      </c>
      <c r="AC865">
        <v>45191.087613807867</v>
      </c>
      <c r="AI865">
        <v>62</v>
      </c>
      <c r="AJ865">
        <v>62</v>
      </c>
      <c r="AN865">
        <v>45170</v>
      </c>
      <c r="AO865">
        <v>45199</v>
      </c>
      <c r="AP865" t="s">
        <v>1101</v>
      </c>
    </row>
    <row r="866" spans="1:42" x14ac:dyDescent="0.25">
      <c r="A866">
        <v>2023</v>
      </c>
      <c r="B866">
        <v>9</v>
      </c>
      <c r="C866">
        <v>17</v>
      </c>
      <c r="D866" t="s">
        <v>1088</v>
      </c>
      <c r="E866" t="s">
        <v>282</v>
      </c>
      <c r="F866">
        <v>624094</v>
      </c>
      <c r="G866">
        <v>10411263</v>
      </c>
      <c r="H866" t="s">
        <v>282</v>
      </c>
      <c r="J866">
        <v>53997178</v>
      </c>
      <c r="K866">
        <v>1100</v>
      </c>
      <c r="L866">
        <v>1700</v>
      </c>
      <c r="M866">
        <v>1301</v>
      </c>
      <c r="P866">
        <v>121.5</v>
      </c>
      <c r="Q866">
        <v>1</v>
      </c>
      <c r="R866">
        <v>121.5</v>
      </c>
      <c r="S866">
        <v>45190.491321145833</v>
      </c>
      <c r="T866">
        <v>5500</v>
      </c>
      <c r="U866" t="s">
        <v>1151</v>
      </c>
      <c r="V866" t="s">
        <v>99</v>
      </c>
      <c r="W866" t="s">
        <v>1031</v>
      </c>
      <c r="X866" t="s">
        <v>1031</v>
      </c>
      <c r="AA866">
        <v>57958</v>
      </c>
      <c r="AB866" t="s">
        <v>1223</v>
      </c>
      <c r="AC866">
        <v>45191.087613807867</v>
      </c>
      <c r="AI866">
        <v>62</v>
      </c>
      <c r="AJ866">
        <v>62</v>
      </c>
      <c r="AN866">
        <v>45170</v>
      </c>
      <c r="AO866">
        <v>45199</v>
      </c>
      <c r="AP866" t="s">
        <v>1101</v>
      </c>
    </row>
    <row r="867" spans="1:42" x14ac:dyDescent="0.25">
      <c r="A867">
        <v>2023</v>
      </c>
      <c r="B867">
        <v>9</v>
      </c>
      <c r="C867">
        <v>17</v>
      </c>
      <c r="D867" t="s">
        <v>1088</v>
      </c>
      <c r="E867" t="s">
        <v>282</v>
      </c>
      <c r="F867">
        <v>376248</v>
      </c>
      <c r="G867">
        <v>10303835</v>
      </c>
      <c r="H867" t="s">
        <v>282</v>
      </c>
      <c r="J867">
        <v>54037187</v>
      </c>
      <c r="K867">
        <v>1101</v>
      </c>
      <c r="L867">
        <v>1702</v>
      </c>
      <c r="M867">
        <v>1301</v>
      </c>
      <c r="N867">
        <v>53352118</v>
      </c>
      <c r="O867">
        <v>45168.618566319441</v>
      </c>
      <c r="P867">
        <v>116</v>
      </c>
      <c r="Q867">
        <v>1</v>
      </c>
      <c r="R867">
        <v>116</v>
      </c>
      <c r="S867">
        <v>45191.439559375001</v>
      </c>
      <c r="T867">
        <v>5502</v>
      </c>
      <c r="U867" t="s">
        <v>1217</v>
      </c>
      <c r="V867" t="s">
        <v>1155</v>
      </c>
      <c r="W867" t="s">
        <v>1031</v>
      </c>
      <c r="X867" t="s">
        <v>1031</v>
      </c>
      <c r="AD867">
        <v>831554</v>
      </c>
      <c r="AE867" t="s">
        <v>1290</v>
      </c>
      <c r="AF867">
        <v>45191.439558993057</v>
      </c>
      <c r="AI867">
        <v>62</v>
      </c>
      <c r="AJ867">
        <v>62</v>
      </c>
      <c r="AN867">
        <v>45170</v>
      </c>
      <c r="AO867">
        <v>45199</v>
      </c>
      <c r="AP867" t="s">
        <v>1101</v>
      </c>
    </row>
    <row r="868" spans="1:42" x14ac:dyDescent="0.25">
      <c r="A868">
        <v>2023</v>
      </c>
      <c r="B868">
        <v>9</v>
      </c>
      <c r="C868">
        <v>17</v>
      </c>
      <c r="D868" t="s">
        <v>1088</v>
      </c>
      <c r="E868" t="s">
        <v>282</v>
      </c>
      <c r="F868">
        <v>622657</v>
      </c>
      <c r="G868">
        <v>10383975</v>
      </c>
      <c r="H868" t="s">
        <v>282</v>
      </c>
      <c r="J868">
        <v>54063593</v>
      </c>
      <c r="K868">
        <v>1100</v>
      </c>
      <c r="L868">
        <v>1700</v>
      </c>
      <c r="M868">
        <v>1304</v>
      </c>
      <c r="P868">
        <v>216</v>
      </c>
      <c r="Q868">
        <v>1</v>
      </c>
      <c r="R868">
        <v>216</v>
      </c>
      <c r="S868">
        <v>45191.637452627314</v>
      </c>
      <c r="T868">
        <v>5500</v>
      </c>
      <c r="U868" t="s">
        <v>1154</v>
      </c>
      <c r="V868" t="s">
        <v>99</v>
      </c>
      <c r="W868" t="s">
        <v>2</v>
      </c>
      <c r="AI868">
        <v>62</v>
      </c>
      <c r="AJ868">
        <v>62</v>
      </c>
      <c r="AN868">
        <v>45170</v>
      </c>
      <c r="AO868">
        <v>45199</v>
      </c>
      <c r="AP868" t="s">
        <v>1101</v>
      </c>
    </row>
    <row r="869" spans="1:42" x14ac:dyDescent="0.25">
      <c r="A869">
        <v>2023</v>
      </c>
      <c r="B869">
        <v>9</v>
      </c>
      <c r="C869">
        <v>17</v>
      </c>
      <c r="D869" t="s">
        <v>1088</v>
      </c>
      <c r="E869" t="s">
        <v>282</v>
      </c>
      <c r="F869">
        <v>622657</v>
      </c>
      <c r="G869">
        <v>10383975</v>
      </c>
      <c r="H869" t="s">
        <v>282</v>
      </c>
      <c r="J869">
        <v>54063594</v>
      </c>
      <c r="K869">
        <v>1100</v>
      </c>
      <c r="L869">
        <v>1700</v>
      </c>
      <c r="M869">
        <v>1304</v>
      </c>
      <c r="P869">
        <v>216</v>
      </c>
      <c r="Q869">
        <v>1</v>
      </c>
      <c r="R869">
        <v>216</v>
      </c>
      <c r="S869">
        <v>45191.637552002314</v>
      </c>
      <c r="T869">
        <v>5500</v>
      </c>
      <c r="U869" t="s">
        <v>1154</v>
      </c>
      <c r="V869" t="s">
        <v>99</v>
      </c>
      <c r="W869" t="s">
        <v>2</v>
      </c>
      <c r="AI869">
        <v>62</v>
      </c>
      <c r="AJ869">
        <v>62</v>
      </c>
      <c r="AN869">
        <v>45170</v>
      </c>
      <c r="AO869">
        <v>45199</v>
      </c>
      <c r="AP869" t="s">
        <v>1101</v>
      </c>
    </row>
    <row r="870" spans="1:42" x14ac:dyDescent="0.25">
      <c r="A870">
        <v>2023</v>
      </c>
      <c r="B870">
        <v>9</v>
      </c>
      <c r="C870">
        <v>17</v>
      </c>
      <c r="D870" t="s">
        <v>1088</v>
      </c>
      <c r="E870" t="s">
        <v>282</v>
      </c>
      <c r="F870">
        <v>622657</v>
      </c>
      <c r="G870">
        <v>10383975</v>
      </c>
      <c r="H870" t="s">
        <v>282</v>
      </c>
      <c r="J870">
        <v>54063595</v>
      </c>
      <c r="K870">
        <v>1100</v>
      </c>
      <c r="L870">
        <v>1700</v>
      </c>
      <c r="M870">
        <v>1304</v>
      </c>
      <c r="P870">
        <v>18</v>
      </c>
      <c r="Q870">
        <v>1</v>
      </c>
      <c r="R870">
        <v>18</v>
      </c>
      <c r="S870">
        <v>45191.637645636576</v>
      </c>
      <c r="T870">
        <v>5500</v>
      </c>
      <c r="U870" t="s">
        <v>1154</v>
      </c>
      <c r="V870" t="s">
        <v>99</v>
      </c>
      <c r="W870" t="s">
        <v>2</v>
      </c>
      <c r="AI870">
        <v>62</v>
      </c>
      <c r="AJ870">
        <v>62</v>
      </c>
      <c r="AN870">
        <v>45170</v>
      </c>
      <c r="AO870">
        <v>45199</v>
      </c>
      <c r="AP870" t="s">
        <v>1101</v>
      </c>
    </row>
    <row r="871" spans="1:42" x14ac:dyDescent="0.25">
      <c r="A871">
        <v>2023</v>
      </c>
      <c r="B871">
        <v>9</v>
      </c>
      <c r="C871">
        <v>17</v>
      </c>
      <c r="D871" t="s">
        <v>1088</v>
      </c>
      <c r="E871" t="s">
        <v>282</v>
      </c>
      <c r="F871">
        <v>622658</v>
      </c>
      <c r="G871">
        <v>10383978</v>
      </c>
      <c r="H871" t="s">
        <v>282</v>
      </c>
      <c r="J871">
        <v>54063651</v>
      </c>
      <c r="K871">
        <v>1100</v>
      </c>
      <c r="L871">
        <v>1700</v>
      </c>
      <c r="M871">
        <v>1304</v>
      </c>
      <c r="P871">
        <v>216</v>
      </c>
      <c r="Q871">
        <v>1</v>
      </c>
      <c r="R871">
        <v>216</v>
      </c>
      <c r="S871">
        <v>45191.641432789351</v>
      </c>
      <c r="T871">
        <v>5500</v>
      </c>
      <c r="U871" t="s">
        <v>1154</v>
      </c>
      <c r="V871" t="s">
        <v>99</v>
      </c>
      <c r="W871" t="s">
        <v>2</v>
      </c>
      <c r="AI871">
        <v>62</v>
      </c>
      <c r="AJ871">
        <v>62</v>
      </c>
      <c r="AN871">
        <v>45170</v>
      </c>
      <c r="AO871">
        <v>45199</v>
      </c>
      <c r="AP871" t="s">
        <v>1101</v>
      </c>
    </row>
    <row r="872" spans="1:42" x14ac:dyDescent="0.25">
      <c r="A872">
        <v>2023</v>
      </c>
      <c r="B872">
        <v>9</v>
      </c>
      <c r="C872">
        <v>17</v>
      </c>
      <c r="D872" t="s">
        <v>1088</v>
      </c>
      <c r="E872" t="s">
        <v>282</v>
      </c>
      <c r="F872">
        <v>622658</v>
      </c>
      <c r="G872">
        <v>10383978</v>
      </c>
      <c r="H872" t="s">
        <v>282</v>
      </c>
      <c r="J872">
        <v>54063652</v>
      </c>
      <c r="K872">
        <v>1100</v>
      </c>
      <c r="L872">
        <v>1700</v>
      </c>
      <c r="M872">
        <v>1304</v>
      </c>
      <c r="P872">
        <v>216</v>
      </c>
      <c r="Q872">
        <v>1</v>
      </c>
      <c r="R872">
        <v>216</v>
      </c>
      <c r="S872">
        <v>45191.641530671295</v>
      </c>
      <c r="T872">
        <v>5500</v>
      </c>
      <c r="U872" t="s">
        <v>1154</v>
      </c>
      <c r="V872" t="s">
        <v>99</v>
      </c>
      <c r="W872" t="s">
        <v>2</v>
      </c>
      <c r="AI872">
        <v>62</v>
      </c>
      <c r="AJ872">
        <v>62</v>
      </c>
      <c r="AN872">
        <v>45170</v>
      </c>
      <c r="AO872">
        <v>45199</v>
      </c>
      <c r="AP872" t="s">
        <v>1101</v>
      </c>
    </row>
    <row r="873" spans="1:42" x14ac:dyDescent="0.25">
      <c r="A873">
        <v>2023</v>
      </c>
      <c r="B873">
        <v>9</v>
      </c>
      <c r="C873">
        <v>17</v>
      </c>
      <c r="D873" t="s">
        <v>1088</v>
      </c>
      <c r="E873" t="s">
        <v>282</v>
      </c>
      <c r="F873">
        <v>622658</v>
      </c>
      <c r="G873">
        <v>10383978</v>
      </c>
      <c r="H873" t="s">
        <v>282</v>
      </c>
      <c r="J873">
        <v>54063657</v>
      </c>
      <c r="K873">
        <v>1100</v>
      </c>
      <c r="L873">
        <v>1700</v>
      </c>
      <c r="M873">
        <v>1304</v>
      </c>
      <c r="P873">
        <v>18</v>
      </c>
      <c r="Q873">
        <v>1</v>
      </c>
      <c r="R873">
        <v>18</v>
      </c>
      <c r="S873">
        <v>45191.641586307873</v>
      </c>
      <c r="T873">
        <v>5500</v>
      </c>
      <c r="U873" t="s">
        <v>1154</v>
      </c>
      <c r="V873" t="s">
        <v>99</v>
      </c>
      <c r="W873" t="s">
        <v>2</v>
      </c>
      <c r="AI873">
        <v>62</v>
      </c>
      <c r="AJ873">
        <v>62</v>
      </c>
      <c r="AN873">
        <v>45170</v>
      </c>
      <c r="AO873">
        <v>45199</v>
      </c>
      <c r="AP873" t="s">
        <v>1101</v>
      </c>
    </row>
    <row r="874" spans="1:42" x14ac:dyDescent="0.25">
      <c r="A874">
        <v>2023</v>
      </c>
      <c r="B874">
        <v>9</v>
      </c>
      <c r="C874">
        <v>17</v>
      </c>
      <c r="D874" t="s">
        <v>1088</v>
      </c>
      <c r="E874" t="s">
        <v>282</v>
      </c>
      <c r="F874">
        <v>541945</v>
      </c>
      <c r="G874">
        <v>10346669</v>
      </c>
      <c r="H874" t="s">
        <v>282</v>
      </c>
      <c r="J874">
        <v>54071307</v>
      </c>
      <c r="K874">
        <v>1104</v>
      </c>
      <c r="L874">
        <v>1702</v>
      </c>
      <c r="M874">
        <v>1304</v>
      </c>
      <c r="N874">
        <v>53645784</v>
      </c>
      <c r="O874">
        <v>45177.666672719904</v>
      </c>
      <c r="P874">
        <v>300</v>
      </c>
      <c r="Q874">
        <v>1</v>
      </c>
      <c r="R874">
        <v>300</v>
      </c>
      <c r="S874">
        <v>45192.067372569443</v>
      </c>
      <c r="T874">
        <v>5509</v>
      </c>
      <c r="U874" t="s">
        <v>1152</v>
      </c>
      <c r="V874" t="s">
        <v>1153</v>
      </c>
      <c r="W874" t="s">
        <v>2</v>
      </c>
      <c r="AI874">
        <v>62</v>
      </c>
      <c r="AJ874">
        <v>62</v>
      </c>
      <c r="AN874">
        <v>45170</v>
      </c>
      <c r="AO874">
        <v>45199</v>
      </c>
      <c r="AP874" t="s">
        <v>1101</v>
      </c>
    </row>
    <row r="875" spans="1:42" x14ac:dyDescent="0.25">
      <c r="A875">
        <v>2023</v>
      </c>
      <c r="B875">
        <v>9</v>
      </c>
      <c r="C875">
        <v>17</v>
      </c>
      <c r="D875" t="s">
        <v>1088</v>
      </c>
      <c r="E875" t="s">
        <v>282</v>
      </c>
      <c r="F875">
        <v>561159</v>
      </c>
      <c r="G875">
        <v>10303824</v>
      </c>
      <c r="H875" t="s">
        <v>282</v>
      </c>
      <c r="J875">
        <v>54069216</v>
      </c>
      <c r="K875">
        <v>1104</v>
      </c>
      <c r="L875">
        <v>1702</v>
      </c>
      <c r="M875">
        <v>1304</v>
      </c>
      <c r="N875">
        <v>53941081</v>
      </c>
      <c r="O875">
        <v>45188.561575775464</v>
      </c>
      <c r="P875">
        <v>116</v>
      </c>
      <c r="Q875">
        <v>1</v>
      </c>
      <c r="R875">
        <v>116</v>
      </c>
      <c r="S875">
        <v>45192.067372569443</v>
      </c>
      <c r="T875">
        <v>5509</v>
      </c>
      <c r="U875" t="s">
        <v>1152</v>
      </c>
      <c r="V875" t="s">
        <v>1153</v>
      </c>
      <c r="W875" t="s">
        <v>2</v>
      </c>
      <c r="AI875">
        <v>62</v>
      </c>
      <c r="AJ875">
        <v>62</v>
      </c>
      <c r="AN875">
        <v>45170</v>
      </c>
      <c r="AO875">
        <v>45199</v>
      </c>
      <c r="AP875" t="s">
        <v>1101</v>
      </c>
    </row>
    <row r="876" spans="1:42" x14ac:dyDescent="0.25">
      <c r="A876">
        <v>2023</v>
      </c>
      <c r="B876">
        <v>9</v>
      </c>
      <c r="C876">
        <v>17</v>
      </c>
      <c r="D876" t="s">
        <v>1088</v>
      </c>
      <c r="E876" t="s">
        <v>282</v>
      </c>
      <c r="F876">
        <v>561159</v>
      </c>
      <c r="G876">
        <v>10303824</v>
      </c>
      <c r="H876" t="s">
        <v>282</v>
      </c>
      <c r="J876">
        <v>54069217</v>
      </c>
      <c r="K876">
        <v>1104</v>
      </c>
      <c r="L876">
        <v>1702</v>
      </c>
      <c r="M876">
        <v>1304</v>
      </c>
      <c r="N876">
        <v>53941085</v>
      </c>
      <c r="O876">
        <v>45188.561677048609</v>
      </c>
      <c r="P876">
        <v>116</v>
      </c>
      <c r="Q876">
        <v>1</v>
      </c>
      <c r="R876">
        <v>116</v>
      </c>
      <c r="S876">
        <v>45192.067372569443</v>
      </c>
      <c r="T876">
        <v>5509</v>
      </c>
      <c r="U876" t="s">
        <v>1152</v>
      </c>
      <c r="V876" t="s">
        <v>1153</v>
      </c>
      <c r="W876" t="s">
        <v>2</v>
      </c>
      <c r="AI876">
        <v>62</v>
      </c>
      <c r="AJ876">
        <v>62</v>
      </c>
      <c r="AN876">
        <v>45170</v>
      </c>
      <c r="AO876">
        <v>45199</v>
      </c>
      <c r="AP876" t="s">
        <v>1101</v>
      </c>
    </row>
    <row r="877" spans="1:42" x14ac:dyDescent="0.25">
      <c r="A877">
        <v>2023</v>
      </c>
      <c r="B877">
        <v>9</v>
      </c>
      <c r="C877">
        <v>17</v>
      </c>
      <c r="D877" t="s">
        <v>1088</v>
      </c>
      <c r="E877" t="s">
        <v>282</v>
      </c>
      <c r="F877">
        <v>561159</v>
      </c>
      <c r="G877">
        <v>10303824</v>
      </c>
      <c r="H877" t="s">
        <v>282</v>
      </c>
      <c r="J877">
        <v>54069218</v>
      </c>
      <c r="K877">
        <v>1104</v>
      </c>
      <c r="L877">
        <v>1702</v>
      </c>
      <c r="M877">
        <v>1304</v>
      </c>
      <c r="N877">
        <v>53941092</v>
      </c>
      <c r="O877">
        <v>45188.561866516204</v>
      </c>
      <c r="P877">
        <v>75</v>
      </c>
      <c r="Q877">
        <v>1</v>
      </c>
      <c r="R877">
        <v>75</v>
      </c>
      <c r="S877">
        <v>45192.067372569443</v>
      </c>
      <c r="T877">
        <v>5509</v>
      </c>
      <c r="U877" t="s">
        <v>1152</v>
      </c>
      <c r="V877" t="s">
        <v>1153</v>
      </c>
      <c r="W877" t="s">
        <v>2</v>
      </c>
      <c r="AI877">
        <v>62</v>
      </c>
      <c r="AJ877">
        <v>62</v>
      </c>
      <c r="AN877">
        <v>45170</v>
      </c>
      <c r="AO877">
        <v>45199</v>
      </c>
      <c r="AP877" t="s">
        <v>1101</v>
      </c>
    </row>
    <row r="878" spans="1:42" x14ac:dyDescent="0.25">
      <c r="A878">
        <v>2023</v>
      </c>
      <c r="B878">
        <v>9</v>
      </c>
      <c r="C878">
        <v>17</v>
      </c>
      <c r="D878" t="s">
        <v>1088</v>
      </c>
      <c r="E878" t="s">
        <v>282</v>
      </c>
      <c r="F878">
        <v>624023</v>
      </c>
      <c r="G878">
        <v>10410153</v>
      </c>
      <c r="H878" t="s">
        <v>282</v>
      </c>
      <c r="J878">
        <v>54103883</v>
      </c>
      <c r="K878">
        <v>1100</v>
      </c>
      <c r="L878">
        <v>1700</v>
      </c>
      <c r="M878">
        <v>1304</v>
      </c>
      <c r="P878">
        <v>216</v>
      </c>
      <c r="Q878">
        <v>1</v>
      </c>
      <c r="R878">
        <v>216</v>
      </c>
      <c r="S878">
        <v>45194.625042395834</v>
      </c>
      <c r="T878">
        <v>5500</v>
      </c>
      <c r="U878" t="s">
        <v>1154</v>
      </c>
      <c r="V878" t="s">
        <v>99</v>
      </c>
      <c r="W878" t="s">
        <v>2</v>
      </c>
      <c r="AI878">
        <v>62</v>
      </c>
      <c r="AJ878">
        <v>62</v>
      </c>
      <c r="AN878">
        <v>45170</v>
      </c>
      <c r="AO878">
        <v>45199</v>
      </c>
      <c r="AP878" t="s">
        <v>1101</v>
      </c>
    </row>
    <row r="879" spans="1:42" x14ac:dyDescent="0.25">
      <c r="A879">
        <v>2023</v>
      </c>
      <c r="B879">
        <v>9</v>
      </c>
      <c r="C879">
        <v>17</v>
      </c>
      <c r="D879" t="s">
        <v>1088</v>
      </c>
      <c r="E879" t="s">
        <v>282</v>
      </c>
      <c r="F879">
        <v>624023</v>
      </c>
      <c r="G879">
        <v>10410153</v>
      </c>
      <c r="H879" t="s">
        <v>282</v>
      </c>
      <c r="J879">
        <v>54103887</v>
      </c>
      <c r="K879">
        <v>1100</v>
      </c>
      <c r="L879">
        <v>1700</v>
      </c>
      <c r="M879">
        <v>1304</v>
      </c>
      <c r="P879">
        <v>216</v>
      </c>
      <c r="Q879">
        <v>1</v>
      </c>
      <c r="R879">
        <v>216</v>
      </c>
      <c r="S879">
        <v>45194.625140891207</v>
      </c>
      <c r="T879">
        <v>5500</v>
      </c>
      <c r="U879" t="s">
        <v>1154</v>
      </c>
      <c r="V879" t="s">
        <v>99</v>
      </c>
      <c r="W879" t="s">
        <v>2</v>
      </c>
      <c r="AI879">
        <v>62</v>
      </c>
      <c r="AJ879">
        <v>62</v>
      </c>
      <c r="AN879">
        <v>45170</v>
      </c>
      <c r="AO879">
        <v>45199</v>
      </c>
      <c r="AP879" t="s">
        <v>1101</v>
      </c>
    </row>
    <row r="880" spans="1:42" x14ac:dyDescent="0.25">
      <c r="A880">
        <v>2023</v>
      </c>
      <c r="B880">
        <v>9</v>
      </c>
      <c r="C880">
        <v>17</v>
      </c>
      <c r="D880" t="s">
        <v>1088</v>
      </c>
      <c r="E880" t="s">
        <v>282</v>
      </c>
      <c r="F880">
        <v>120152</v>
      </c>
      <c r="G880">
        <v>10417211</v>
      </c>
      <c r="H880" t="s">
        <v>282</v>
      </c>
      <c r="J880">
        <v>54112034</v>
      </c>
      <c r="K880">
        <v>1104</v>
      </c>
      <c r="L880">
        <v>1702</v>
      </c>
      <c r="M880">
        <v>1304</v>
      </c>
      <c r="N880">
        <v>54097921</v>
      </c>
      <c r="O880">
        <v>45194.550981712964</v>
      </c>
      <c r="P880">
        <v>200</v>
      </c>
      <c r="Q880">
        <v>1</v>
      </c>
      <c r="R880">
        <v>200</v>
      </c>
      <c r="S880">
        <v>45195.067372106481</v>
      </c>
      <c r="T880">
        <v>5509</v>
      </c>
      <c r="U880" t="s">
        <v>1152</v>
      </c>
      <c r="V880" t="s">
        <v>1153</v>
      </c>
      <c r="W880" t="s">
        <v>2</v>
      </c>
      <c r="AI880">
        <v>62</v>
      </c>
      <c r="AJ880">
        <v>62</v>
      </c>
      <c r="AN880">
        <v>45170</v>
      </c>
      <c r="AO880">
        <v>45199</v>
      </c>
      <c r="AP880" t="s">
        <v>1101</v>
      </c>
    </row>
    <row r="881" spans="1:42" x14ac:dyDescent="0.25">
      <c r="A881">
        <v>2023</v>
      </c>
      <c r="B881">
        <v>9</v>
      </c>
      <c r="C881">
        <v>17</v>
      </c>
      <c r="D881" t="s">
        <v>1088</v>
      </c>
      <c r="E881" t="s">
        <v>282</v>
      </c>
      <c r="F881">
        <v>179735</v>
      </c>
      <c r="G881">
        <v>10437759</v>
      </c>
      <c r="H881" t="s">
        <v>282</v>
      </c>
      <c r="J881">
        <v>54184708</v>
      </c>
      <c r="K881">
        <v>1100</v>
      </c>
      <c r="L881">
        <v>1700</v>
      </c>
      <c r="M881">
        <v>1304</v>
      </c>
      <c r="P881">
        <v>58</v>
      </c>
      <c r="Q881">
        <v>1</v>
      </c>
      <c r="R881">
        <v>58</v>
      </c>
      <c r="S881">
        <v>45196.473446643518</v>
      </c>
      <c r="T881">
        <v>5500</v>
      </c>
      <c r="U881" t="s">
        <v>1154</v>
      </c>
      <c r="V881" t="s">
        <v>99</v>
      </c>
      <c r="W881" t="s">
        <v>2</v>
      </c>
      <c r="AI881">
        <v>62</v>
      </c>
      <c r="AJ881">
        <v>62</v>
      </c>
      <c r="AN881">
        <v>45170</v>
      </c>
      <c r="AO881">
        <v>45199</v>
      </c>
      <c r="AP881" t="s">
        <v>1101</v>
      </c>
    </row>
    <row r="882" spans="1:42" x14ac:dyDescent="0.25">
      <c r="A882">
        <v>2023</v>
      </c>
      <c r="B882">
        <v>9</v>
      </c>
      <c r="C882">
        <v>17</v>
      </c>
      <c r="D882" t="s">
        <v>1088</v>
      </c>
      <c r="E882" t="s">
        <v>282</v>
      </c>
      <c r="F882">
        <v>619684</v>
      </c>
      <c r="G882">
        <v>10328331</v>
      </c>
      <c r="H882" t="s">
        <v>282</v>
      </c>
      <c r="J882">
        <v>54189707</v>
      </c>
      <c r="K882">
        <v>1101</v>
      </c>
      <c r="L882">
        <v>1702</v>
      </c>
      <c r="M882">
        <v>1301</v>
      </c>
      <c r="N882">
        <v>53720101</v>
      </c>
      <c r="O882">
        <v>45181.670451423612</v>
      </c>
      <c r="P882">
        <v>184.3</v>
      </c>
      <c r="Q882">
        <v>1</v>
      </c>
      <c r="R882">
        <v>184.3</v>
      </c>
      <c r="S882">
        <v>45196.540384224536</v>
      </c>
      <c r="T882">
        <v>5502</v>
      </c>
      <c r="U882" t="s">
        <v>1217</v>
      </c>
      <c r="V882" t="s">
        <v>1155</v>
      </c>
      <c r="W882" t="s">
        <v>1091</v>
      </c>
      <c r="X882" t="s">
        <v>1091</v>
      </c>
      <c r="AD882">
        <v>833328</v>
      </c>
      <c r="AE882" t="s">
        <v>1296</v>
      </c>
      <c r="AF882">
        <v>45196.540383796295</v>
      </c>
      <c r="AI882">
        <v>62</v>
      </c>
      <c r="AJ882">
        <v>62</v>
      </c>
      <c r="AN882">
        <v>45170</v>
      </c>
      <c r="AO882">
        <v>45199</v>
      </c>
      <c r="AP882" t="s">
        <v>1101</v>
      </c>
    </row>
    <row r="883" spans="1:42" x14ac:dyDescent="0.25">
      <c r="A883">
        <v>2023</v>
      </c>
      <c r="B883">
        <v>9</v>
      </c>
      <c r="C883">
        <v>17</v>
      </c>
      <c r="D883" t="s">
        <v>1088</v>
      </c>
      <c r="E883" t="s">
        <v>282</v>
      </c>
      <c r="F883">
        <v>619684</v>
      </c>
      <c r="G883">
        <v>10328331</v>
      </c>
      <c r="H883" t="s">
        <v>282</v>
      </c>
      <c r="J883">
        <v>54189708</v>
      </c>
      <c r="K883">
        <v>1103</v>
      </c>
      <c r="L883">
        <v>1702</v>
      </c>
      <c r="M883">
        <v>1301</v>
      </c>
      <c r="N883">
        <v>53720101</v>
      </c>
      <c r="O883">
        <v>45181.670451423612</v>
      </c>
      <c r="P883">
        <v>11.22</v>
      </c>
      <c r="Q883">
        <v>1</v>
      </c>
      <c r="R883">
        <v>11.22</v>
      </c>
      <c r="S883">
        <v>45196.540384224536</v>
      </c>
      <c r="T883">
        <v>5503</v>
      </c>
      <c r="U883" t="s">
        <v>1218</v>
      </c>
      <c r="V883" t="s">
        <v>1157</v>
      </c>
      <c r="W883" t="s">
        <v>1091</v>
      </c>
      <c r="X883" t="s">
        <v>1091</v>
      </c>
      <c r="AD883">
        <v>833328</v>
      </c>
      <c r="AE883" t="s">
        <v>1296</v>
      </c>
      <c r="AF883">
        <v>45196.540383796295</v>
      </c>
      <c r="AI883">
        <v>62</v>
      </c>
      <c r="AJ883">
        <v>62</v>
      </c>
      <c r="AK883" t="s">
        <v>1219</v>
      </c>
      <c r="AN883">
        <v>45170</v>
      </c>
      <c r="AO883">
        <v>45199</v>
      </c>
      <c r="AP883" t="s">
        <v>1101</v>
      </c>
    </row>
    <row r="884" spans="1:42" x14ac:dyDescent="0.25">
      <c r="A884">
        <v>2023</v>
      </c>
      <c r="B884">
        <v>9</v>
      </c>
      <c r="C884">
        <v>17</v>
      </c>
      <c r="D884" t="s">
        <v>1088</v>
      </c>
      <c r="E884" t="s">
        <v>282</v>
      </c>
      <c r="F884">
        <v>619684</v>
      </c>
      <c r="G884">
        <v>10328331</v>
      </c>
      <c r="H884" t="s">
        <v>282</v>
      </c>
      <c r="J884">
        <v>54189709</v>
      </c>
      <c r="K884">
        <v>1100</v>
      </c>
      <c r="L884">
        <v>1700</v>
      </c>
      <c r="M884">
        <v>1304</v>
      </c>
      <c r="N884">
        <v>53720101</v>
      </c>
      <c r="O884">
        <v>45181.670451423612</v>
      </c>
      <c r="P884">
        <v>20.48</v>
      </c>
      <c r="Q884">
        <v>1</v>
      </c>
      <c r="R884">
        <v>20.48</v>
      </c>
      <c r="S884">
        <v>45196.540384224536</v>
      </c>
      <c r="T884">
        <v>5504</v>
      </c>
      <c r="U884" t="s">
        <v>1220</v>
      </c>
      <c r="V884" t="s">
        <v>1221</v>
      </c>
      <c r="W884" t="s">
        <v>2</v>
      </c>
      <c r="X884" t="s">
        <v>1091</v>
      </c>
      <c r="AD884">
        <v>833328</v>
      </c>
      <c r="AE884" t="s">
        <v>1296</v>
      </c>
      <c r="AF884">
        <v>45196.540383796295</v>
      </c>
      <c r="AI884">
        <v>62</v>
      </c>
      <c r="AJ884">
        <v>62</v>
      </c>
      <c r="AN884">
        <v>45170</v>
      </c>
      <c r="AO884">
        <v>45199</v>
      </c>
      <c r="AP884" t="s">
        <v>1101</v>
      </c>
    </row>
    <row r="885" spans="1:42" x14ac:dyDescent="0.25">
      <c r="A885">
        <v>2023</v>
      </c>
      <c r="B885">
        <v>9</v>
      </c>
      <c r="C885">
        <v>17</v>
      </c>
      <c r="D885" t="s">
        <v>1088</v>
      </c>
      <c r="E885" t="s">
        <v>282</v>
      </c>
      <c r="F885">
        <v>619684</v>
      </c>
      <c r="G885">
        <v>10328331</v>
      </c>
      <c r="H885" t="s">
        <v>282</v>
      </c>
      <c r="J885">
        <v>54189710</v>
      </c>
      <c r="K885">
        <v>1101</v>
      </c>
      <c r="L885">
        <v>1702</v>
      </c>
      <c r="M885">
        <v>1301</v>
      </c>
      <c r="N885">
        <v>53720107</v>
      </c>
      <c r="O885">
        <v>45181.670569444446</v>
      </c>
      <c r="P885">
        <v>184.3</v>
      </c>
      <c r="Q885">
        <v>1</v>
      </c>
      <c r="R885">
        <v>184.3</v>
      </c>
      <c r="S885">
        <v>45196.540384224536</v>
      </c>
      <c r="T885">
        <v>5502</v>
      </c>
      <c r="U885" t="s">
        <v>1217</v>
      </c>
      <c r="V885" t="s">
        <v>1155</v>
      </c>
      <c r="W885" t="s">
        <v>1091</v>
      </c>
      <c r="X885" t="s">
        <v>1091</v>
      </c>
      <c r="AD885">
        <v>833328</v>
      </c>
      <c r="AE885" t="s">
        <v>1296</v>
      </c>
      <c r="AF885">
        <v>45196.540383796295</v>
      </c>
      <c r="AI885">
        <v>62</v>
      </c>
      <c r="AJ885">
        <v>62</v>
      </c>
      <c r="AN885">
        <v>45170</v>
      </c>
      <c r="AO885">
        <v>45199</v>
      </c>
      <c r="AP885" t="s">
        <v>1101</v>
      </c>
    </row>
    <row r="886" spans="1:42" x14ac:dyDescent="0.25">
      <c r="A886">
        <v>2023</v>
      </c>
      <c r="B886">
        <v>9</v>
      </c>
      <c r="C886">
        <v>17</v>
      </c>
      <c r="D886" t="s">
        <v>1088</v>
      </c>
      <c r="E886" t="s">
        <v>282</v>
      </c>
      <c r="F886">
        <v>619684</v>
      </c>
      <c r="G886">
        <v>10328331</v>
      </c>
      <c r="H886" t="s">
        <v>282</v>
      </c>
      <c r="J886">
        <v>54189711</v>
      </c>
      <c r="K886">
        <v>1103</v>
      </c>
      <c r="L886">
        <v>1702</v>
      </c>
      <c r="M886">
        <v>1301</v>
      </c>
      <c r="N886">
        <v>53720107</v>
      </c>
      <c r="O886">
        <v>45181.670569444446</v>
      </c>
      <c r="P886">
        <v>11.22</v>
      </c>
      <c r="Q886">
        <v>1</v>
      </c>
      <c r="R886">
        <v>11.22</v>
      </c>
      <c r="S886">
        <v>45196.540384224536</v>
      </c>
      <c r="T886">
        <v>5503</v>
      </c>
      <c r="U886" t="s">
        <v>1218</v>
      </c>
      <c r="V886" t="s">
        <v>1157</v>
      </c>
      <c r="W886" t="s">
        <v>1091</v>
      </c>
      <c r="X886" t="s">
        <v>1091</v>
      </c>
      <c r="AD886">
        <v>833328</v>
      </c>
      <c r="AE886" t="s">
        <v>1296</v>
      </c>
      <c r="AF886">
        <v>45196.540383796295</v>
      </c>
      <c r="AI886">
        <v>62</v>
      </c>
      <c r="AJ886">
        <v>62</v>
      </c>
      <c r="AK886" t="s">
        <v>1219</v>
      </c>
      <c r="AN886">
        <v>45170</v>
      </c>
      <c r="AO886">
        <v>45199</v>
      </c>
      <c r="AP886" t="s">
        <v>1101</v>
      </c>
    </row>
    <row r="887" spans="1:42" x14ac:dyDescent="0.25">
      <c r="A887">
        <v>2023</v>
      </c>
      <c r="B887">
        <v>9</v>
      </c>
      <c r="C887">
        <v>17</v>
      </c>
      <c r="D887" t="s">
        <v>1088</v>
      </c>
      <c r="E887" t="s">
        <v>282</v>
      </c>
      <c r="F887">
        <v>619684</v>
      </c>
      <c r="G887">
        <v>10328331</v>
      </c>
      <c r="H887" t="s">
        <v>282</v>
      </c>
      <c r="J887">
        <v>54189712</v>
      </c>
      <c r="K887">
        <v>1100</v>
      </c>
      <c r="L887">
        <v>1700</v>
      </c>
      <c r="M887">
        <v>1304</v>
      </c>
      <c r="N887">
        <v>53720107</v>
      </c>
      <c r="O887">
        <v>45181.670569444446</v>
      </c>
      <c r="P887">
        <v>20.48</v>
      </c>
      <c r="Q887">
        <v>1</v>
      </c>
      <c r="R887">
        <v>20.48</v>
      </c>
      <c r="S887">
        <v>45196.540384224536</v>
      </c>
      <c r="T887">
        <v>5504</v>
      </c>
      <c r="U887" t="s">
        <v>1220</v>
      </c>
      <c r="V887" t="s">
        <v>1221</v>
      </c>
      <c r="W887" t="s">
        <v>2</v>
      </c>
      <c r="X887" t="s">
        <v>1091</v>
      </c>
      <c r="AD887">
        <v>833328</v>
      </c>
      <c r="AE887" t="s">
        <v>1296</v>
      </c>
      <c r="AF887">
        <v>45196.540383796295</v>
      </c>
      <c r="AI887">
        <v>62</v>
      </c>
      <c r="AJ887">
        <v>62</v>
      </c>
      <c r="AN887">
        <v>45170</v>
      </c>
      <c r="AO887">
        <v>45199</v>
      </c>
      <c r="AP887" t="s">
        <v>1101</v>
      </c>
    </row>
    <row r="888" spans="1:42" x14ac:dyDescent="0.25">
      <c r="A888">
        <v>2023</v>
      </c>
      <c r="B888">
        <v>9</v>
      </c>
      <c r="C888">
        <v>17</v>
      </c>
      <c r="D888" t="s">
        <v>1088</v>
      </c>
      <c r="E888" t="s">
        <v>282</v>
      </c>
      <c r="F888">
        <v>372087</v>
      </c>
      <c r="G888">
        <v>10366042</v>
      </c>
      <c r="H888" t="s">
        <v>282</v>
      </c>
      <c r="J888">
        <v>54189713</v>
      </c>
      <c r="K888">
        <v>1101</v>
      </c>
      <c r="L888">
        <v>1702</v>
      </c>
      <c r="M888">
        <v>1301</v>
      </c>
      <c r="N888">
        <v>53859316</v>
      </c>
      <c r="O888">
        <v>45184.602469444442</v>
      </c>
      <c r="P888">
        <v>165.43</v>
      </c>
      <c r="Q888">
        <v>1</v>
      </c>
      <c r="R888">
        <v>165.43</v>
      </c>
      <c r="S888">
        <v>45196.540384224536</v>
      </c>
      <c r="T888">
        <v>5502</v>
      </c>
      <c r="U888" t="s">
        <v>1217</v>
      </c>
      <c r="V888" t="s">
        <v>1155</v>
      </c>
      <c r="W888" t="s">
        <v>1091</v>
      </c>
      <c r="X888" t="s">
        <v>1091</v>
      </c>
      <c r="AD888">
        <v>833328</v>
      </c>
      <c r="AE888" t="s">
        <v>1296</v>
      </c>
      <c r="AF888">
        <v>45196.540383796295</v>
      </c>
      <c r="AI888">
        <v>62</v>
      </c>
      <c r="AJ888">
        <v>62</v>
      </c>
      <c r="AN888">
        <v>45170</v>
      </c>
      <c r="AO888">
        <v>45199</v>
      </c>
      <c r="AP888" t="s">
        <v>1101</v>
      </c>
    </row>
    <row r="889" spans="1:42" x14ac:dyDescent="0.25">
      <c r="A889">
        <v>2023</v>
      </c>
      <c r="B889">
        <v>9</v>
      </c>
      <c r="C889">
        <v>17</v>
      </c>
      <c r="D889" t="s">
        <v>1088</v>
      </c>
      <c r="E889" t="s">
        <v>282</v>
      </c>
      <c r="F889">
        <v>372087</v>
      </c>
      <c r="G889">
        <v>10366042</v>
      </c>
      <c r="H889" t="s">
        <v>282</v>
      </c>
      <c r="J889">
        <v>54189714</v>
      </c>
      <c r="K889">
        <v>1103</v>
      </c>
      <c r="L889">
        <v>1702</v>
      </c>
      <c r="M889">
        <v>1301</v>
      </c>
      <c r="N889">
        <v>53859316</v>
      </c>
      <c r="O889">
        <v>45184.602469444442</v>
      </c>
      <c r="P889">
        <v>50.57</v>
      </c>
      <c r="Q889">
        <v>1</v>
      </c>
      <c r="R889">
        <v>50.57</v>
      </c>
      <c r="S889">
        <v>45196.540384224536</v>
      </c>
      <c r="T889">
        <v>5503</v>
      </c>
      <c r="U889" t="s">
        <v>1218</v>
      </c>
      <c r="V889" t="s">
        <v>1157</v>
      </c>
      <c r="W889" t="s">
        <v>1091</v>
      </c>
      <c r="X889" t="s">
        <v>1091</v>
      </c>
      <c r="AD889">
        <v>833328</v>
      </c>
      <c r="AE889" t="s">
        <v>1296</v>
      </c>
      <c r="AF889">
        <v>45196.540383796295</v>
      </c>
      <c r="AI889">
        <v>62</v>
      </c>
      <c r="AJ889">
        <v>62</v>
      </c>
      <c r="AK889" t="s">
        <v>1219</v>
      </c>
      <c r="AN889">
        <v>45170</v>
      </c>
      <c r="AO889">
        <v>45199</v>
      </c>
      <c r="AP889" t="s">
        <v>1101</v>
      </c>
    </row>
    <row r="890" spans="1:42" x14ac:dyDescent="0.25">
      <c r="A890">
        <v>2023</v>
      </c>
      <c r="B890">
        <v>9</v>
      </c>
      <c r="C890">
        <v>17</v>
      </c>
      <c r="D890" t="s">
        <v>1088</v>
      </c>
      <c r="E890" t="s">
        <v>282</v>
      </c>
      <c r="F890">
        <v>372087</v>
      </c>
      <c r="G890">
        <v>10366042</v>
      </c>
      <c r="H890" t="s">
        <v>282</v>
      </c>
      <c r="J890">
        <v>54189715</v>
      </c>
      <c r="K890">
        <v>1101</v>
      </c>
      <c r="L890">
        <v>1702</v>
      </c>
      <c r="M890">
        <v>1301</v>
      </c>
      <c r="N890">
        <v>53859317</v>
      </c>
      <c r="O890">
        <v>45184.602565428242</v>
      </c>
      <c r="P890">
        <v>165.43</v>
      </c>
      <c r="Q890">
        <v>1</v>
      </c>
      <c r="R890">
        <v>165.43</v>
      </c>
      <c r="S890">
        <v>45196.540384224536</v>
      </c>
      <c r="T890">
        <v>5502</v>
      </c>
      <c r="U890" t="s">
        <v>1217</v>
      </c>
      <c r="V890" t="s">
        <v>1155</v>
      </c>
      <c r="W890" t="s">
        <v>1091</v>
      </c>
      <c r="X890" t="s">
        <v>1091</v>
      </c>
      <c r="AD890">
        <v>833328</v>
      </c>
      <c r="AE890" t="s">
        <v>1296</v>
      </c>
      <c r="AF890">
        <v>45196.540383796295</v>
      </c>
      <c r="AI890">
        <v>62</v>
      </c>
      <c r="AJ890">
        <v>62</v>
      </c>
      <c r="AN890">
        <v>45170</v>
      </c>
      <c r="AO890">
        <v>45199</v>
      </c>
      <c r="AP890" t="s">
        <v>1101</v>
      </c>
    </row>
    <row r="891" spans="1:42" x14ac:dyDescent="0.25">
      <c r="A891">
        <v>2023</v>
      </c>
      <c r="B891">
        <v>9</v>
      </c>
      <c r="C891">
        <v>17</v>
      </c>
      <c r="D891" t="s">
        <v>1088</v>
      </c>
      <c r="E891" t="s">
        <v>282</v>
      </c>
      <c r="F891">
        <v>372087</v>
      </c>
      <c r="G891">
        <v>10366042</v>
      </c>
      <c r="H891" t="s">
        <v>282</v>
      </c>
      <c r="J891">
        <v>54189716</v>
      </c>
      <c r="K891">
        <v>1103</v>
      </c>
      <c r="L891">
        <v>1702</v>
      </c>
      <c r="M891">
        <v>1301</v>
      </c>
      <c r="N891">
        <v>53859317</v>
      </c>
      <c r="O891">
        <v>45184.602565428242</v>
      </c>
      <c r="P891">
        <v>50.57</v>
      </c>
      <c r="Q891">
        <v>1</v>
      </c>
      <c r="R891">
        <v>50.57</v>
      </c>
      <c r="S891">
        <v>45196.540384224536</v>
      </c>
      <c r="T891">
        <v>5503</v>
      </c>
      <c r="U891" t="s">
        <v>1218</v>
      </c>
      <c r="V891" t="s">
        <v>1157</v>
      </c>
      <c r="W891" t="s">
        <v>1091</v>
      </c>
      <c r="X891" t="s">
        <v>1091</v>
      </c>
      <c r="AD891">
        <v>833328</v>
      </c>
      <c r="AE891" t="s">
        <v>1296</v>
      </c>
      <c r="AF891">
        <v>45196.540383796295</v>
      </c>
      <c r="AI891">
        <v>62</v>
      </c>
      <c r="AJ891">
        <v>62</v>
      </c>
      <c r="AK891" t="s">
        <v>1219</v>
      </c>
      <c r="AN891">
        <v>45170</v>
      </c>
      <c r="AO891">
        <v>45199</v>
      </c>
      <c r="AP891" t="s">
        <v>1101</v>
      </c>
    </row>
    <row r="892" spans="1:42" x14ac:dyDescent="0.25">
      <c r="A892">
        <v>2023</v>
      </c>
      <c r="B892">
        <v>9</v>
      </c>
      <c r="C892">
        <v>17</v>
      </c>
      <c r="D892" t="s">
        <v>1088</v>
      </c>
      <c r="E892" t="s">
        <v>282</v>
      </c>
      <c r="F892">
        <v>625057</v>
      </c>
      <c r="G892">
        <v>10430434</v>
      </c>
      <c r="H892" t="s">
        <v>282</v>
      </c>
      <c r="J892">
        <v>54189730</v>
      </c>
      <c r="K892">
        <v>1100</v>
      </c>
      <c r="L892">
        <v>1700</v>
      </c>
      <c r="M892">
        <v>1304</v>
      </c>
      <c r="P892">
        <v>35</v>
      </c>
      <c r="Q892">
        <v>1</v>
      </c>
      <c r="R892">
        <v>35</v>
      </c>
      <c r="S892">
        <v>45196.540692557872</v>
      </c>
      <c r="T892">
        <v>5500</v>
      </c>
      <c r="U892" t="s">
        <v>1154</v>
      </c>
      <c r="V892" t="s">
        <v>99</v>
      </c>
      <c r="W892" t="s">
        <v>2</v>
      </c>
      <c r="AI892">
        <v>62</v>
      </c>
      <c r="AJ892">
        <v>62</v>
      </c>
      <c r="AN892">
        <v>45170</v>
      </c>
      <c r="AO892">
        <v>45199</v>
      </c>
      <c r="AP892" t="s">
        <v>1101</v>
      </c>
    </row>
    <row r="893" spans="1:42" x14ac:dyDescent="0.25">
      <c r="A893">
        <v>2023</v>
      </c>
      <c r="B893">
        <v>9</v>
      </c>
      <c r="C893">
        <v>17</v>
      </c>
      <c r="D893" t="s">
        <v>1088</v>
      </c>
      <c r="E893" t="s">
        <v>282</v>
      </c>
      <c r="F893">
        <v>625057</v>
      </c>
      <c r="G893">
        <v>10430434</v>
      </c>
      <c r="H893" t="s">
        <v>282</v>
      </c>
      <c r="J893">
        <v>54189939</v>
      </c>
      <c r="K893">
        <v>1104</v>
      </c>
      <c r="L893">
        <v>1702</v>
      </c>
      <c r="M893">
        <v>1304</v>
      </c>
      <c r="N893">
        <v>54189730</v>
      </c>
      <c r="O893">
        <v>45196.540692557872</v>
      </c>
      <c r="P893">
        <v>35</v>
      </c>
      <c r="Q893">
        <v>1</v>
      </c>
      <c r="R893">
        <v>35</v>
      </c>
      <c r="S893">
        <v>45196.545100034724</v>
      </c>
      <c r="T893">
        <v>5509</v>
      </c>
      <c r="U893" t="s">
        <v>1152</v>
      </c>
      <c r="V893" t="s">
        <v>1153</v>
      </c>
      <c r="W893" t="s">
        <v>2</v>
      </c>
      <c r="AI893">
        <v>62</v>
      </c>
      <c r="AJ893">
        <v>62</v>
      </c>
      <c r="AN893">
        <v>45170</v>
      </c>
      <c r="AO893">
        <v>45199</v>
      </c>
      <c r="AP893" t="s">
        <v>1101</v>
      </c>
    </row>
    <row r="894" spans="1:42" x14ac:dyDescent="0.25">
      <c r="A894">
        <v>2023</v>
      </c>
      <c r="B894">
        <v>9</v>
      </c>
      <c r="C894">
        <v>17</v>
      </c>
      <c r="D894" t="s">
        <v>1088</v>
      </c>
      <c r="E894" t="s">
        <v>282</v>
      </c>
      <c r="F894">
        <v>623676</v>
      </c>
      <c r="G894">
        <v>10403072</v>
      </c>
      <c r="H894" t="s">
        <v>282</v>
      </c>
      <c r="J894">
        <v>54304520</v>
      </c>
      <c r="K894">
        <v>1100</v>
      </c>
      <c r="L894">
        <v>1700</v>
      </c>
      <c r="M894">
        <v>1301</v>
      </c>
      <c r="P894">
        <v>15</v>
      </c>
      <c r="Q894">
        <v>1</v>
      </c>
      <c r="R894">
        <v>15</v>
      </c>
      <c r="S894">
        <v>45198.644497650464</v>
      </c>
      <c r="T894">
        <v>5500</v>
      </c>
      <c r="U894" t="s">
        <v>1151</v>
      </c>
      <c r="V894" t="s">
        <v>99</v>
      </c>
      <c r="W894" t="s">
        <v>1031</v>
      </c>
      <c r="X894" t="s">
        <v>1031</v>
      </c>
      <c r="AA894">
        <v>58053</v>
      </c>
      <c r="AB894" t="s">
        <v>1223</v>
      </c>
      <c r="AC894">
        <v>45199.084342476854</v>
      </c>
      <c r="AI894">
        <v>62</v>
      </c>
      <c r="AJ894">
        <v>62</v>
      </c>
      <c r="AN894">
        <v>45170</v>
      </c>
      <c r="AO894">
        <v>45199</v>
      </c>
      <c r="AP894" t="s">
        <v>1101</v>
      </c>
    </row>
    <row r="895" spans="1:42" x14ac:dyDescent="0.25">
      <c r="A895">
        <v>2023</v>
      </c>
      <c r="B895">
        <v>9</v>
      </c>
      <c r="C895">
        <v>17</v>
      </c>
      <c r="D895" t="s">
        <v>1088</v>
      </c>
      <c r="E895" t="s">
        <v>282</v>
      </c>
      <c r="F895">
        <v>603401</v>
      </c>
      <c r="H895" t="s">
        <v>282</v>
      </c>
      <c r="I895">
        <v>1238848</v>
      </c>
      <c r="M895">
        <v>1304</v>
      </c>
      <c r="P895">
        <v>66.180000000000007</v>
      </c>
      <c r="Q895">
        <v>1</v>
      </c>
      <c r="R895">
        <v>66.180000000000007</v>
      </c>
      <c r="S895">
        <v>45174</v>
      </c>
      <c r="U895" t="s">
        <v>222</v>
      </c>
      <c r="V895" t="s">
        <v>102</v>
      </c>
      <c r="W895" t="s">
        <v>1091</v>
      </c>
      <c r="AI895">
        <v>62</v>
      </c>
      <c r="AL895" t="s">
        <v>1160</v>
      </c>
      <c r="AM895" t="s">
        <v>282</v>
      </c>
      <c r="AN895">
        <v>45170</v>
      </c>
      <c r="AO895">
        <v>45199</v>
      </c>
      <c r="AP895" t="s">
        <v>1101</v>
      </c>
    </row>
    <row r="896" spans="1:42" x14ac:dyDescent="0.25">
      <c r="A896">
        <v>2023</v>
      </c>
      <c r="B896">
        <v>9</v>
      </c>
      <c r="C896">
        <v>17</v>
      </c>
      <c r="D896" t="s">
        <v>1088</v>
      </c>
      <c r="E896" t="s">
        <v>282</v>
      </c>
      <c r="F896">
        <v>616114</v>
      </c>
      <c r="H896" t="s">
        <v>282</v>
      </c>
      <c r="I896">
        <v>1245154</v>
      </c>
      <c r="M896">
        <v>1304</v>
      </c>
      <c r="P896">
        <v>333</v>
      </c>
      <c r="Q896">
        <v>1</v>
      </c>
      <c r="R896">
        <v>333</v>
      </c>
      <c r="S896">
        <v>45181</v>
      </c>
      <c r="U896" t="s">
        <v>222</v>
      </c>
      <c r="V896" t="s">
        <v>102</v>
      </c>
      <c r="AI896">
        <v>62</v>
      </c>
      <c r="AL896" t="s">
        <v>1159</v>
      </c>
      <c r="AM896" t="s">
        <v>282</v>
      </c>
      <c r="AN896">
        <v>45170</v>
      </c>
      <c r="AO896">
        <v>45199</v>
      </c>
      <c r="AP896" t="s">
        <v>1101</v>
      </c>
    </row>
    <row r="897" spans="1:42" x14ac:dyDescent="0.25">
      <c r="A897">
        <v>2023</v>
      </c>
      <c r="B897">
        <v>9</v>
      </c>
      <c r="C897">
        <v>17</v>
      </c>
      <c r="D897" t="s">
        <v>1088</v>
      </c>
      <c r="E897" t="s">
        <v>282</v>
      </c>
      <c r="F897">
        <v>561159</v>
      </c>
      <c r="H897" t="s">
        <v>282</v>
      </c>
      <c r="I897">
        <v>1253446</v>
      </c>
      <c r="M897">
        <v>1304</v>
      </c>
      <c r="P897">
        <v>307</v>
      </c>
      <c r="Q897">
        <v>1</v>
      </c>
      <c r="R897">
        <v>307</v>
      </c>
      <c r="S897">
        <v>45190</v>
      </c>
      <c r="U897" t="s">
        <v>222</v>
      </c>
      <c r="V897" t="s">
        <v>102</v>
      </c>
      <c r="W897" t="s">
        <v>1031</v>
      </c>
      <c r="AI897">
        <v>62</v>
      </c>
      <c r="AL897" t="s">
        <v>1159</v>
      </c>
      <c r="AM897" t="s">
        <v>282</v>
      </c>
      <c r="AN897">
        <v>45170</v>
      </c>
      <c r="AO897">
        <v>45199</v>
      </c>
      <c r="AP897" t="s">
        <v>1101</v>
      </c>
    </row>
    <row r="898" spans="1:42" x14ac:dyDescent="0.25">
      <c r="A898">
        <v>2023</v>
      </c>
      <c r="B898">
        <v>9</v>
      </c>
      <c r="C898">
        <v>17</v>
      </c>
      <c r="D898" t="s">
        <v>1088</v>
      </c>
      <c r="E898" t="s">
        <v>282</v>
      </c>
      <c r="F898">
        <v>561676</v>
      </c>
      <c r="H898" t="s">
        <v>282</v>
      </c>
      <c r="I898">
        <v>1247202</v>
      </c>
      <c r="M898">
        <v>1304</v>
      </c>
      <c r="P898">
        <v>450</v>
      </c>
      <c r="Q898">
        <v>1</v>
      </c>
      <c r="R898">
        <v>450</v>
      </c>
      <c r="S898">
        <v>45183</v>
      </c>
      <c r="U898" t="s">
        <v>222</v>
      </c>
      <c r="V898" t="s">
        <v>102</v>
      </c>
      <c r="AI898">
        <v>62</v>
      </c>
      <c r="AL898" t="s">
        <v>110</v>
      </c>
      <c r="AM898" t="s">
        <v>282</v>
      </c>
      <c r="AN898">
        <v>45170</v>
      </c>
      <c r="AO898">
        <v>45199</v>
      </c>
      <c r="AP898" t="s">
        <v>1101</v>
      </c>
    </row>
    <row r="899" spans="1:42" x14ac:dyDescent="0.25">
      <c r="A899">
        <v>2023</v>
      </c>
      <c r="B899">
        <v>9</v>
      </c>
      <c r="C899">
        <v>17</v>
      </c>
      <c r="D899" t="s">
        <v>1088</v>
      </c>
      <c r="E899" t="s">
        <v>282</v>
      </c>
      <c r="F899">
        <v>611117</v>
      </c>
      <c r="H899" t="s">
        <v>282</v>
      </c>
      <c r="I899">
        <v>1251478</v>
      </c>
      <c r="M899">
        <v>1304</v>
      </c>
      <c r="P899">
        <v>216</v>
      </c>
      <c r="Q899">
        <v>1</v>
      </c>
      <c r="R899">
        <v>216</v>
      </c>
      <c r="S899">
        <v>45189</v>
      </c>
      <c r="U899" t="s">
        <v>222</v>
      </c>
      <c r="V899" t="s">
        <v>102</v>
      </c>
      <c r="AI899">
        <v>62</v>
      </c>
      <c r="AL899" t="s">
        <v>1159</v>
      </c>
      <c r="AM899" t="s">
        <v>282</v>
      </c>
      <c r="AN899">
        <v>45170</v>
      </c>
      <c r="AO899">
        <v>45199</v>
      </c>
      <c r="AP899" t="s">
        <v>1101</v>
      </c>
    </row>
    <row r="900" spans="1:42" x14ac:dyDescent="0.25">
      <c r="A900">
        <v>2023</v>
      </c>
      <c r="B900">
        <v>9</v>
      </c>
      <c r="C900">
        <v>17</v>
      </c>
      <c r="D900" t="s">
        <v>1088</v>
      </c>
      <c r="E900" t="s">
        <v>282</v>
      </c>
      <c r="F900">
        <v>617368</v>
      </c>
      <c r="H900" t="s">
        <v>282</v>
      </c>
      <c r="I900">
        <v>1241448</v>
      </c>
      <c r="M900">
        <v>1304</v>
      </c>
      <c r="P900">
        <v>207</v>
      </c>
      <c r="Q900">
        <v>1</v>
      </c>
      <c r="R900">
        <v>207</v>
      </c>
      <c r="S900">
        <v>45176</v>
      </c>
      <c r="U900" t="s">
        <v>222</v>
      </c>
      <c r="V900" t="s">
        <v>102</v>
      </c>
      <c r="AI900">
        <v>62</v>
      </c>
      <c r="AL900" t="s">
        <v>1159</v>
      </c>
      <c r="AM900" t="s">
        <v>282</v>
      </c>
      <c r="AN900">
        <v>45170</v>
      </c>
      <c r="AO900">
        <v>45199</v>
      </c>
      <c r="AP900" t="s">
        <v>1101</v>
      </c>
    </row>
    <row r="901" spans="1:42" x14ac:dyDescent="0.25">
      <c r="A901">
        <v>2023</v>
      </c>
      <c r="B901">
        <v>9</v>
      </c>
      <c r="C901">
        <v>17</v>
      </c>
      <c r="D901" t="s">
        <v>1088</v>
      </c>
      <c r="E901" t="s">
        <v>282</v>
      </c>
      <c r="F901">
        <v>620699</v>
      </c>
      <c r="H901" t="s">
        <v>282</v>
      </c>
      <c r="I901">
        <v>1244180</v>
      </c>
      <c r="M901">
        <v>1304</v>
      </c>
      <c r="P901">
        <v>432</v>
      </c>
      <c r="Q901">
        <v>1</v>
      </c>
      <c r="R901">
        <v>432</v>
      </c>
      <c r="S901">
        <v>45180</v>
      </c>
      <c r="U901" t="s">
        <v>222</v>
      </c>
      <c r="V901" t="s">
        <v>102</v>
      </c>
      <c r="AI901">
        <v>62</v>
      </c>
      <c r="AL901" t="s">
        <v>1159</v>
      </c>
      <c r="AM901" t="s">
        <v>282</v>
      </c>
      <c r="AN901">
        <v>45170</v>
      </c>
      <c r="AO901">
        <v>45199</v>
      </c>
      <c r="AP901" t="s">
        <v>1101</v>
      </c>
    </row>
    <row r="902" spans="1:42" x14ac:dyDescent="0.25">
      <c r="A902">
        <v>2023</v>
      </c>
      <c r="B902">
        <v>9</v>
      </c>
      <c r="C902">
        <v>17</v>
      </c>
      <c r="D902" t="s">
        <v>1088</v>
      </c>
      <c r="E902" t="s">
        <v>282</v>
      </c>
      <c r="F902">
        <v>603401</v>
      </c>
      <c r="G902">
        <v>10034752</v>
      </c>
      <c r="H902" t="s">
        <v>282</v>
      </c>
      <c r="J902">
        <v>53492446</v>
      </c>
      <c r="K902">
        <v>1104</v>
      </c>
      <c r="L902">
        <v>1702</v>
      </c>
      <c r="M902">
        <v>1304</v>
      </c>
      <c r="N902">
        <v>51893575</v>
      </c>
      <c r="O902">
        <v>45121.622292361113</v>
      </c>
      <c r="P902">
        <v>33.090000000000003</v>
      </c>
      <c r="Q902">
        <v>1</v>
      </c>
      <c r="R902">
        <v>33.090000000000003</v>
      </c>
      <c r="S902">
        <v>45175.06737384259</v>
      </c>
      <c r="T902">
        <v>5509</v>
      </c>
      <c r="U902" t="s">
        <v>1152</v>
      </c>
      <c r="V902" t="s">
        <v>1153</v>
      </c>
      <c r="W902" t="s">
        <v>2</v>
      </c>
      <c r="X902" t="s">
        <v>1091</v>
      </c>
      <c r="AI902">
        <v>62</v>
      </c>
      <c r="AJ902">
        <v>62</v>
      </c>
      <c r="AN902">
        <v>45170</v>
      </c>
      <c r="AO902">
        <v>45199</v>
      </c>
      <c r="AP902" t="s">
        <v>1101</v>
      </c>
    </row>
    <row r="903" spans="1:42" x14ac:dyDescent="0.25">
      <c r="A903">
        <v>2023</v>
      </c>
      <c r="B903">
        <v>9</v>
      </c>
      <c r="C903">
        <v>17</v>
      </c>
      <c r="D903" t="s">
        <v>1088</v>
      </c>
      <c r="E903" t="s">
        <v>282</v>
      </c>
      <c r="F903">
        <v>603401</v>
      </c>
      <c r="G903">
        <v>10034752</v>
      </c>
      <c r="H903" t="s">
        <v>282</v>
      </c>
      <c r="J903">
        <v>53492447</v>
      </c>
      <c r="K903">
        <v>1104</v>
      </c>
      <c r="L903">
        <v>1702</v>
      </c>
      <c r="M903">
        <v>1304</v>
      </c>
      <c r="N903">
        <v>51893582</v>
      </c>
      <c r="O903">
        <v>45121.62240385417</v>
      </c>
      <c r="P903">
        <v>33.090000000000003</v>
      </c>
      <c r="Q903">
        <v>1</v>
      </c>
      <c r="R903">
        <v>33.090000000000003</v>
      </c>
      <c r="S903">
        <v>45175.06737384259</v>
      </c>
      <c r="T903">
        <v>5509</v>
      </c>
      <c r="U903" t="s">
        <v>1152</v>
      </c>
      <c r="V903" t="s">
        <v>1153</v>
      </c>
      <c r="W903" t="s">
        <v>2</v>
      </c>
      <c r="X903" t="s">
        <v>1091</v>
      </c>
      <c r="AI903">
        <v>62</v>
      </c>
      <c r="AJ903">
        <v>62</v>
      </c>
      <c r="AN903">
        <v>45170</v>
      </c>
      <c r="AO903">
        <v>45199</v>
      </c>
      <c r="AP903" t="s">
        <v>1101</v>
      </c>
    </row>
    <row r="904" spans="1:42" x14ac:dyDescent="0.25">
      <c r="A904">
        <v>2023</v>
      </c>
      <c r="B904">
        <v>9</v>
      </c>
      <c r="C904">
        <v>17</v>
      </c>
      <c r="D904" t="s">
        <v>1088</v>
      </c>
      <c r="E904" t="s">
        <v>282</v>
      </c>
      <c r="F904">
        <v>610259</v>
      </c>
      <c r="G904">
        <v>10144641</v>
      </c>
      <c r="H904" t="s">
        <v>282</v>
      </c>
      <c r="J904">
        <v>53638989</v>
      </c>
      <c r="K904">
        <v>1100</v>
      </c>
      <c r="L904">
        <v>1700</v>
      </c>
      <c r="M904">
        <v>1304</v>
      </c>
      <c r="P904">
        <v>216</v>
      </c>
      <c r="Q904">
        <v>1</v>
      </c>
      <c r="R904">
        <v>216</v>
      </c>
      <c r="S904">
        <v>45177.617808993054</v>
      </c>
      <c r="T904">
        <v>5500</v>
      </c>
      <c r="U904" t="s">
        <v>1154</v>
      </c>
      <c r="V904" t="s">
        <v>99</v>
      </c>
      <c r="W904" t="s">
        <v>2</v>
      </c>
      <c r="AI904">
        <v>62</v>
      </c>
      <c r="AJ904">
        <v>62</v>
      </c>
      <c r="AN904">
        <v>45170</v>
      </c>
      <c r="AO904">
        <v>45199</v>
      </c>
      <c r="AP904" t="s">
        <v>1101</v>
      </c>
    </row>
    <row r="905" spans="1:42" x14ac:dyDescent="0.25">
      <c r="A905">
        <v>2023</v>
      </c>
      <c r="B905">
        <v>9</v>
      </c>
      <c r="C905">
        <v>17</v>
      </c>
      <c r="D905" t="s">
        <v>1088</v>
      </c>
      <c r="E905" t="s">
        <v>282</v>
      </c>
      <c r="F905">
        <v>610259</v>
      </c>
      <c r="G905">
        <v>10144641</v>
      </c>
      <c r="H905" t="s">
        <v>282</v>
      </c>
      <c r="J905">
        <v>53638995</v>
      </c>
      <c r="K905">
        <v>1100</v>
      </c>
      <c r="L905">
        <v>1700</v>
      </c>
      <c r="M905">
        <v>1304</v>
      </c>
      <c r="P905">
        <v>216</v>
      </c>
      <c r="Q905">
        <v>1</v>
      </c>
      <c r="R905">
        <v>216</v>
      </c>
      <c r="S905">
        <v>45177.617938506941</v>
      </c>
      <c r="T905">
        <v>5500</v>
      </c>
      <c r="U905" t="s">
        <v>1154</v>
      </c>
      <c r="V905" t="s">
        <v>99</v>
      </c>
      <c r="W905" t="s">
        <v>2</v>
      </c>
      <c r="AI905">
        <v>62</v>
      </c>
      <c r="AJ905">
        <v>62</v>
      </c>
      <c r="AN905">
        <v>45170</v>
      </c>
      <c r="AO905">
        <v>45199</v>
      </c>
      <c r="AP905" t="s">
        <v>1101</v>
      </c>
    </row>
    <row r="906" spans="1:42" x14ac:dyDescent="0.25">
      <c r="A906">
        <v>2023</v>
      </c>
      <c r="B906">
        <v>9</v>
      </c>
      <c r="C906">
        <v>17</v>
      </c>
      <c r="D906" t="s">
        <v>1088</v>
      </c>
      <c r="E906" t="s">
        <v>282</v>
      </c>
      <c r="F906">
        <v>607932</v>
      </c>
      <c r="G906">
        <v>10147056</v>
      </c>
      <c r="H906" t="s">
        <v>282</v>
      </c>
      <c r="J906">
        <v>53650167</v>
      </c>
      <c r="K906">
        <v>1104</v>
      </c>
      <c r="L906">
        <v>1702</v>
      </c>
      <c r="M906">
        <v>1304</v>
      </c>
      <c r="N906">
        <v>52900304</v>
      </c>
      <c r="O906">
        <v>45155.40051446759</v>
      </c>
      <c r="P906">
        <v>24.81</v>
      </c>
      <c r="Q906">
        <v>1</v>
      </c>
      <c r="R906">
        <v>24.81</v>
      </c>
      <c r="S906">
        <v>45178.06737167824</v>
      </c>
      <c r="T906">
        <v>5509</v>
      </c>
      <c r="U906" t="s">
        <v>1152</v>
      </c>
      <c r="V906" t="s">
        <v>1153</v>
      </c>
      <c r="W906" t="s">
        <v>2</v>
      </c>
      <c r="X906" t="s">
        <v>1179</v>
      </c>
      <c r="AI906">
        <v>62</v>
      </c>
      <c r="AJ906">
        <v>62</v>
      </c>
      <c r="AN906">
        <v>45170</v>
      </c>
      <c r="AO906">
        <v>45199</v>
      </c>
      <c r="AP906" t="s">
        <v>1101</v>
      </c>
    </row>
    <row r="907" spans="1:42" x14ac:dyDescent="0.25">
      <c r="A907">
        <v>2023</v>
      </c>
      <c r="B907">
        <v>9</v>
      </c>
      <c r="C907">
        <v>17</v>
      </c>
      <c r="D907" t="s">
        <v>1088</v>
      </c>
      <c r="E907" t="s">
        <v>282</v>
      </c>
      <c r="F907">
        <v>607932</v>
      </c>
      <c r="G907">
        <v>10147056</v>
      </c>
      <c r="H907" t="s">
        <v>282</v>
      </c>
      <c r="J907">
        <v>53650168</v>
      </c>
      <c r="K907">
        <v>1104</v>
      </c>
      <c r="L907">
        <v>1702</v>
      </c>
      <c r="M907">
        <v>1304</v>
      </c>
      <c r="N907">
        <v>52900314</v>
      </c>
      <c r="O907">
        <v>45155.400623032408</v>
      </c>
      <c r="P907">
        <v>24.81</v>
      </c>
      <c r="Q907">
        <v>1</v>
      </c>
      <c r="R907">
        <v>24.81</v>
      </c>
      <c r="S907">
        <v>45178.06737167824</v>
      </c>
      <c r="T907">
        <v>5509</v>
      </c>
      <c r="U907" t="s">
        <v>1152</v>
      </c>
      <c r="V907" t="s">
        <v>1153</v>
      </c>
      <c r="W907" t="s">
        <v>2</v>
      </c>
      <c r="X907" t="s">
        <v>1179</v>
      </c>
      <c r="AI907">
        <v>62</v>
      </c>
      <c r="AJ907">
        <v>62</v>
      </c>
      <c r="AN907">
        <v>45170</v>
      </c>
      <c r="AO907">
        <v>45199</v>
      </c>
      <c r="AP907" t="s">
        <v>1101</v>
      </c>
    </row>
    <row r="908" spans="1:42" x14ac:dyDescent="0.25">
      <c r="A908">
        <v>2023</v>
      </c>
      <c r="B908">
        <v>9</v>
      </c>
      <c r="C908">
        <v>17</v>
      </c>
      <c r="D908" t="s">
        <v>1088</v>
      </c>
      <c r="E908" t="s">
        <v>282</v>
      </c>
      <c r="F908">
        <v>620378</v>
      </c>
      <c r="G908">
        <v>10339688</v>
      </c>
      <c r="H908" t="s">
        <v>282</v>
      </c>
      <c r="J908">
        <v>53588888</v>
      </c>
      <c r="K908">
        <v>1100</v>
      </c>
      <c r="L908">
        <v>1700</v>
      </c>
      <c r="M908">
        <v>1301</v>
      </c>
      <c r="P908">
        <v>85</v>
      </c>
      <c r="Q908">
        <v>1</v>
      </c>
      <c r="R908">
        <v>85</v>
      </c>
      <c r="S908">
        <v>45176.668413159721</v>
      </c>
      <c r="T908">
        <v>5500</v>
      </c>
      <c r="U908" t="s">
        <v>1151</v>
      </c>
      <c r="V908" t="s">
        <v>99</v>
      </c>
      <c r="W908" t="s">
        <v>1031</v>
      </c>
      <c r="X908" t="s">
        <v>1031</v>
      </c>
      <c r="AA908">
        <v>57802</v>
      </c>
      <c r="AB908" t="s">
        <v>1223</v>
      </c>
      <c r="AC908">
        <v>45178.083578819445</v>
      </c>
      <c r="AI908">
        <v>62</v>
      </c>
      <c r="AJ908">
        <v>62</v>
      </c>
      <c r="AN908">
        <v>45170</v>
      </c>
      <c r="AO908">
        <v>45199</v>
      </c>
      <c r="AP908" t="s">
        <v>1101</v>
      </c>
    </row>
    <row r="909" spans="1:42" x14ac:dyDescent="0.25">
      <c r="A909">
        <v>2023</v>
      </c>
      <c r="B909">
        <v>9</v>
      </c>
      <c r="C909">
        <v>17</v>
      </c>
      <c r="D909" t="s">
        <v>1088</v>
      </c>
      <c r="E909" t="s">
        <v>282</v>
      </c>
      <c r="F909">
        <v>620378</v>
      </c>
      <c r="G909">
        <v>10339688</v>
      </c>
      <c r="H909" t="s">
        <v>282</v>
      </c>
      <c r="J909">
        <v>53588927</v>
      </c>
      <c r="K909">
        <v>1100</v>
      </c>
      <c r="L909">
        <v>1700</v>
      </c>
      <c r="M909">
        <v>1301</v>
      </c>
      <c r="P909">
        <v>7.5</v>
      </c>
      <c r="Q909">
        <v>2</v>
      </c>
      <c r="R909">
        <v>15</v>
      </c>
      <c r="S909">
        <v>45176.668626273145</v>
      </c>
      <c r="T909">
        <v>5500</v>
      </c>
      <c r="U909" t="s">
        <v>1151</v>
      </c>
      <c r="V909" t="s">
        <v>99</v>
      </c>
      <c r="W909" t="s">
        <v>1031</v>
      </c>
      <c r="X909" t="s">
        <v>1031</v>
      </c>
      <c r="AA909">
        <v>57802</v>
      </c>
      <c r="AB909" t="s">
        <v>1223</v>
      </c>
      <c r="AC909">
        <v>45178.083578819445</v>
      </c>
      <c r="AI909">
        <v>62</v>
      </c>
      <c r="AJ909">
        <v>62</v>
      </c>
      <c r="AN909">
        <v>45170</v>
      </c>
      <c r="AO909">
        <v>45199</v>
      </c>
      <c r="AP909" t="s">
        <v>1101</v>
      </c>
    </row>
    <row r="910" spans="1:42" x14ac:dyDescent="0.25">
      <c r="A910">
        <v>2023</v>
      </c>
      <c r="B910">
        <v>9</v>
      </c>
      <c r="C910">
        <v>17</v>
      </c>
      <c r="D910" t="s">
        <v>1088</v>
      </c>
      <c r="E910" t="s">
        <v>282</v>
      </c>
      <c r="F910">
        <v>620378</v>
      </c>
      <c r="G910">
        <v>10339688</v>
      </c>
      <c r="H910" t="s">
        <v>282</v>
      </c>
      <c r="J910">
        <v>53588950</v>
      </c>
      <c r="K910">
        <v>1100</v>
      </c>
      <c r="L910">
        <v>1700</v>
      </c>
      <c r="M910">
        <v>1301</v>
      </c>
      <c r="P910">
        <v>12.5</v>
      </c>
      <c r="Q910">
        <v>2</v>
      </c>
      <c r="R910">
        <v>25</v>
      </c>
      <c r="S910">
        <v>45176.668824733795</v>
      </c>
      <c r="T910">
        <v>5500</v>
      </c>
      <c r="U910" t="s">
        <v>1151</v>
      </c>
      <c r="V910" t="s">
        <v>99</v>
      </c>
      <c r="W910" t="s">
        <v>1031</v>
      </c>
      <c r="X910" t="s">
        <v>1031</v>
      </c>
      <c r="AA910">
        <v>57802</v>
      </c>
      <c r="AB910" t="s">
        <v>1223</v>
      </c>
      <c r="AC910">
        <v>45178.083578819445</v>
      </c>
      <c r="AI910">
        <v>62</v>
      </c>
      <c r="AJ910">
        <v>62</v>
      </c>
      <c r="AN910">
        <v>45170</v>
      </c>
      <c r="AO910">
        <v>45199</v>
      </c>
      <c r="AP910" t="s">
        <v>1101</v>
      </c>
    </row>
    <row r="911" spans="1:42" x14ac:dyDescent="0.25">
      <c r="A911">
        <v>2023</v>
      </c>
      <c r="B911">
        <v>9</v>
      </c>
      <c r="C911">
        <v>17</v>
      </c>
      <c r="D911" t="s">
        <v>1088</v>
      </c>
      <c r="E911" t="s">
        <v>282</v>
      </c>
      <c r="F911">
        <v>620378</v>
      </c>
      <c r="G911">
        <v>10339688</v>
      </c>
      <c r="H911" t="s">
        <v>282</v>
      </c>
      <c r="J911">
        <v>53588961</v>
      </c>
      <c r="K911">
        <v>1100</v>
      </c>
      <c r="L911">
        <v>1700</v>
      </c>
      <c r="M911">
        <v>1301</v>
      </c>
      <c r="P911">
        <v>7.5</v>
      </c>
      <c r="Q911">
        <v>2</v>
      </c>
      <c r="R911">
        <v>15</v>
      </c>
      <c r="S911">
        <v>45176.668927627317</v>
      </c>
      <c r="T911">
        <v>5500</v>
      </c>
      <c r="U911" t="s">
        <v>1151</v>
      </c>
      <c r="V911" t="s">
        <v>99</v>
      </c>
      <c r="W911" t="s">
        <v>1031</v>
      </c>
      <c r="X911" t="s">
        <v>1031</v>
      </c>
      <c r="AA911">
        <v>57802</v>
      </c>
      <c r="AB911" t="s">
        <v>1223</v>
      </c>
      <c r="AC911">
        <v>45178.083578819445</v>
      </c>
      <c r="AI911">
        <v>62</v>
      </c>
      <c r="AJ911">
        <v>62</v>
      </c>
      <c r="AN911">
        <v>45170</v>
      </c>
      <c r="AO911">
        <v>45199</v>
      </c>
      <c r="AP911" t="s">
        <v>1101</v>
      </c>
    </row>
    <row r="912" spans="1:42" x14ac:dyDescent="0.25">
      <c r="A912">
        <v>2023</v>
      </c>
      <c r="B912">
        <v>9</v>
      </c>
      <c r="C912">
        <v>17</v>
      </c>
      <c r="D912" t="s">
        <v>1088</v>
      </c>
      <c r="E912" t="s">
        <v>282</v>
      </c>
      <c r="F912">
        <v>619684</v>
      </c>
      <c r="G912">
        <v>10328331</v>
      </c>
      <c r="H912" t="s">
        <v>282</v>
      </c>
      <c r="J912">
        <v>53720101</v>
      </c>
      <c r="K912">
        <v>1100</v>
      </c>
      <c r="L912">
        <v>1700</v>
      </c>
      <c r="M912">
        <v>1301</v>
      </c>
      <c r="P912">
        <v>216</v>
      </c>
      <c r="Q912">
        <v>1</v>
      </c>
      <c r="R912">
        <v>216</v>
      </c>
      <c r="S912">
        <v>45181.670451423612</v>
      </c>
      <c r="T912">
        <v>5500</v>
      </c>
      <c r="U912" t="s">
        <v>1151</v>
      </c>
      <c r="V912" t="s">
        <v>99</v>
      </c>
      <c r="W912" t="s">
        <v>1091</v>
      </c>
      <c r="X912" t="s">
        <v>1091</v>
      </c>
      <c r="AA912">
        <v>57859</v>
      </c>
      <c r="AB912" t="s">
        <v>1223</v>
      </c>
      <c r="AC912">
        <v>45183.08766646991</v>
      </c>
      <c r="AI912">
        <v>62</v>
      </c>
      <c r="AJ912">
        <v>62</v>
      </c>
      <c r="AN912">
        <v>45170</v>
      </c>
      <c r="AO912">
        <v>45199</v>
      </c>
      <c r="AP912" t="s">
        <v>1101</v>
      </c>
    </row>
    <row r="913" spans="1:42" x14ac:dyDescent="0.25">
      <c r="A913">
        <v>2023</v>
      </c>
      <c r="B913">
        <v>9</v>
      </c>
      <c r="C913">
        <v>17</v>
      </c>
      <c r="D913" t="s">
        <v>1088</v>
      </c>
      <c r="E913" t="s">
        <v>282</v>
      </c>
      <c r="F913">
        <v>619684</v>
      </c>
      <c r="G913">
        <v>10328331</v>
      </c>
      <c r="H913" t="s">
        <v>282</v>
      </c>
      <c r="J913">
        <v>53720107</v>
      </c>
      <c r="K913">
        <v>1100</v>
      </c>
      <c r="L913">
        <v>1700</v>
      </c>
      <c r="M913">
        <v>1301</v>
      </c>
      <c r="P913">
        <v>216</v>
      </c>
      <c r="Q913">
        <v>1</v>
      </c>
      <c r="R913">
        <v>216</v>
      </c>
      <c r="S913">
        <v>45181.670569444446</v>
      </c>
      <c r="T913">
        <v>5500</v>
      </c>
      <c r="U913" t="s">
        <v>1151</v>
      </c>
      <c r="V913" t="s">
        <v>99</v>
      </c>
      <c r="W913" t="s">
        <v>1091</v>
      </c>
      <c r="X913" t="s">
        <v>1091</v>
      </c>
      <c r="AA913">
        <v>57859</v>
      </c>
      <c r="AB913" t="s">
        <v>1223</v>
      </c>
      <c r="AC913">
        <v>45183.08766646991</v>
      </c>
      <c r="AI913">
        <v>62</v>
      </c>
      <c r="AJ913">
        <v>62</v>
      </c>
      <c r="AN913">
        <v>45170</v>
      </c>
      <c r="AO913">
        <v>45199</v>
      </c>
      <c r="AP913" t="s">
        <v>1101</v>
      </c>
    </row>
    <row r="914" spans="1:42" x14ac:dyDescent="0.25">
      <c r="A914">
        <v>2023</v>
      </c>
      <c r="B914">
        <v>9</v>
      </c>
      <c r="C914">
        <v>17</v>
      </c>
      <c r="D914" t="s">
        <v>1088</v>
      </c>
      <c r="E914" t="s">
        <v>282</v>
      </c>
      <c r="F914">
        <v>621445</v>
      </c>
      <c r="G914">
        <v>10362200</v>
      </c>
      <c r="H914" t="s">
        <v>282</v>
      </c>
      <c r="J914">
        <v>53717338</v>
      </c>
      <c r="K914">
        <v>1100</v>
      </c>
      <c r="L914">
        <v>1700</v>
      </c>
      <c r="M914">
        <v>1301</v>
      </c>
      <c r="P914">
        <v>85</v>
      </c>
      <c r="Q914">
        <v>1</v>
      </c>
      <c r="R914">
        <v>85</v>
      </c>
      <c r="S914">
        <v>45181.632084293982</v>
      </c>
      <c r="T914">
        <v>5500</v>
      </c>
      <c r="U914" t="s">
        <v>1151</v>
      </c>
      <c r="V914" t="s">
        <v>99</v>
      </c>
      <c r="W914" t="s">
        <v>1031</v>
      </c>
      <c r="X914" t="s">
        <v>1031</v>
      </c>
      <c r="AA914">
        <v>57859</v>
      </c>
      <c r="AB914" t="s">
        <v>1223</v>
      </c>
      <c r="AC914">
        <v>45183.08766646991</v>
      </c>
      <c r="AI914">
        <v>62</v>
      </c>
      <c r="AJ914">
        <v>62</v>
      </c>
      <c r="AN914">
        <v>45170</v>
      </c>
      <c r="AO914">
        <v>45199</v>
      </c>
      <c r="AP914" t="s">
        <v>1101</v>
      </c>
    </row>
    <row r="915" spans="1:42" x14ac:dyDescent="0.25">
      <c r="A915">
        <v>2023</v>
      </c>
      <c r="B915">
        <v>9</v>
      </c>
      <c r="C915">
        <v>17</v>
      </c>
      <c r="D915" t="s">
        <v>1088</v>
      </c>
      <c r="E915" t="s">
        <v>282</v>
      </c>
      <c r="F915">
        <v>621445</v>
      </c>
      <c r="G915">
        <v>10362200</v>
      </c>
      <c r="H915" t="s">
        <v>282</v>
      </c>
      <c r="J915">
        <v>53717348</v>
      </c>
      <c r="K915">
        <v>1100</v>
      </c>
      <c r="L915">
        <v>1700</v>
      </c>
      <c r="M915">
        <v>1301</v>
      </c>
      <c r="P915">
        <v>8</v>
      </c>
      <c r="Q915">
        <v>2</v>
      </c>
      <c r="R915">
        <v>16</v>
      </c>
      <c r="S915">
        <v>45181.632235914352</v>
      </c>
      <c r="T915">
        <v>5500</v>
      </c>
      <c r="U915" t="s">
        <v>1151</v>
      </c>
      <c r="V915" t="s">
        <v>99</v>
      </c>
      <c r="W915" t="s">
        <v>1031</v>
      </c>
      <c r="X915" t="s">
        <v>1031</v>
      </c>
      <c r="AA915">
        <v>57859</v>
      </c>
      <c r="AB915" t="s">
        <v>1223</v>
      </c>
      <c r="AC915">
        <v>45183.08766646991</v>
      </c>
      <c r="AI915">
        <v>62</v>
      </c>
      <c r="AJ915">
        <v>62</v>
      </c>
      <c r="AN915">
        <v>45170</v>
      </c>
      <c r="AO915">
        <v>45199</v>
      </c>
      <c r="AP915" t="s">
        <v>1101</v>
      </c>
    </row>
    <row r="916" spans="1:42" x14ac:dyDescent="0.25">
      <c r="A916">
        <v>2023</v>
      </c>
      <c r="B916">
        <v>9</v>
      </c>
      <c r="C916">
        <v>17</v>
      </c>
      <c r="D916" t="s">
        <v>1088</v>
      </c>
      <c r="E916" t="s">
        <v>282</v>
      </c>
      <c r="F916">
        <v>621445</v>
      </c>
      <c r="G916">
        <v>10362200</v>
      </c>
      <c r="H916" t="s">
        <v>282</v>
      </c>
      <c r="J916">
        <v>53717349</v>
      </c>
      <c r="K916">
        <v>1100</v>
      </c>
      <c r="L916">
        <v>1700</v>
      </c>
      <c r="M916">
        <v>1301</v>
      </c>
      <c r="P916">
        <v>5</v>
      </c>
      <c r="Q916">
        <v>2</v>
      </c>
      <c r="R916">
        <v>10</v>
      </c>
      <c r="S916">
        <v>45181.632362118056</v>
      </c>
      <c r="T916">
        <v>5500</v>
      </c>
      <c r="U916" t="s">
        <v>1151</v>
      </c>
      <c r="V916" t="s">
        <v>99</v>
      </c>
      <c r="W916" t="s">
        <v>1031</v>
      </c>
      <c r="X916" t="s">
        <v>1031</v>
      </c>
      <c r="AA916">
        <v>57859</v>
      </c>
      <c r="AB916" t="s">
        <v>1223</v>
      </c>
      <c r="AC916">
        <v>45183.08766646991</v>
      </c>
      <c r="AI916">
        <v>62</v>
      </c>
      <c r="AJ916">
        <v>62</v>
      </c>
      <c r="AN916">
        <v>45170</v>
      </c>
      <c r="AO916">
        <v>45199</v>
      </c>
      <c r="AP916" t="s">
        <v>1101</v>
      </c>
    </row>
    <row r="917" spans="1:42" x14ac:dyDescent="0.25">
      <c r="A917">
        <v>2023</v>
      </c>
      <c r="B917">
        <v>9</v>
      </c>
      <c r="C917">
        <v>17</v>
      </c>
      <c r="D917" t="s">
        <v>1088</v>
      </c>
      <c r="E917" t="s">
        <v>282</v>
      </c>
      <c r="F917">
        <v>621770</v>
      </c>
      <c r="G917">
        <v>10368269</v>
      </c>
      <c r="H917" t="s">
        <v>282</v>
      </c>
      <c r="J917">
        <v>53810151</v>
      </c>
      <c r="K917">
        <v>1100</v>
      </c>
      <c r="L917">
        <v>1700</v>
      </c>
      <c r="M917">
        <v>1304</v>
      </c>
      <c r="P917">
        <v>216</v>
      </c>
      <c r="Q917">
        <v>1</v>
      </c>
      <c r="R917">
        <v>216</v>
      </c>
      <c r="S917">
        <v>45183.57476103009</v>
      </c>
      <c r="T917">
        <v>5500</v>
      </c>
      <c r="U917" t="s">
        <v>1154</v>
      </c>
      <c r="V917" t="s">
        <v>99</v>
      </c>
      <c r="W917" t="s">
        <v>2</v>
      </c>
      <c r="AI917">
        <v>62</v>
      </c>
      <c r="AJ917">
        <v>62</v>
      </c>
      <c r="AN917">
        <v>45170</v>
      </c>
      <c r="AO917">
        <v>45199</v>
      </c>
      <c r="AP917" t="s">
        <v>1101</v>
      </c>
    </row>
    <row r="918" spans="1:42" x14ac:dyDescent="0.25">
      <c r="A918">
        <v>2023</v>
      </c>
      <c r="B918">
        <v>9</v>
      </c>
      <c r="C918">
        <v>17</v>
      </c>
      <c r="D918" t="s">
        <v>1088</v>
      </c>
      <c r="E918" t="s">
        <v>282</v>
      </c>
      <c r="F918">
        <v>621770</v>
      </c>
      <c r="G918">
        <v>10368269</v>
      </c>
      <c r="H918" t="s">
        <v>282</v>
      </c>
      <c r="J918">
        <v>53810160</v>
      </c>
      <c r="K918">
        <v>1100</v>
      </c>
      <c r="L918">
        <v>1700</v>
      </c>
      <c r="M918">
        <v>1304</v>
      </c>
      <c r="P918">
        <v>216</v>
      </c>
      <c r="Q918">
        <v>1</v>
      </c>
      <c r="R918">
        <v>216</v>
      </c>
      <c r="S918">
        <v>45183.574871990742</v>
      </c>
      <c r="T918">
        <v>5500</v>
      </c>
      <c r="U918" t="s">
        <v>1154</v>
      </c>
      <c r="V918" t="s">
        <v>99</v>
      </c>
      <c r="W918" t="s">
        <v>2</v>
      </c>
      <c r="AI918">
        <v>62</v>
      </c>
      <c r="AJ918">
        <v>62</v>
      </c>
      <c r="AN918">
        <v>45170</v>
      </c>
      <c r="AO918">
        <v>45199</v>
      </c>
      <c r="AP918" t="s">
        <v>1101</v>
      </c>
    </row>
    <row r="919" spans="1:42" x14ac:dyDescent="0.25">
      <c r="A919">
        <v>2023</v>
      </c>
      <c r="B919">
        <v>9</v>
      </c>
      <c r="C919">
        <v>17</v>
      </c>
      <c r="D919" t="s">
        <v>1088</v>
      </c>
      <c r="E919" t="s">
        <v>282</v>
      </c>
      <c r="F919">
        <v>621669</v>
      </c>
      <c r="G919">
        <v>10366571</v>
      </c>
      <c r="H919" t="s">
        <v>282</v>
      </c>
      <c r="J919">
        <v>53832866</v>
      </c>
      <c r="K919">
        <v>1104</v>
      </c>
      <c r="L919">
        <v>1702</v>
      </c>
      <c r="M919">
        <v>1304</v>
      </c>
      <c r="N919">
        <v>53796810</v>
      </c>
      <c r="O919">
        <v>45183.450417210646</v>
      </c>
      <c r="P919">
        <v>35</v>
      </c>
      <c r="Q919">
        <v>1</v>
      </c>
      <c r="R919">
        <v>35</v>
      </c>
      <c r="S919">
        <v>45184.06737207176</v>
      </c>
      <c r="T919">
        <v>5509</v>
      </c>
      <c r="U919" t="s">
        <v>1152</v>
      </c>
      <c r="V919" t="s">
        <v>1153</v>
      </c>
      <c r="W919" t="s">
        <v>2</v>
      </c>
      <c r="AI919">
        <v>62</v>
      </c>
      <c r="AJ919">
        <v>62</v>
      </c>
      <c r="AN919">
        <v>45170</v>
      </c>
      <c r="AO919">
        <v>45199</v>
      </c>
      <c r="AP919" t="s">
        <v>1101</v>
      </c>
    </row>
    <row r="920" spans="1:42" x14ac:dyDescent="0.25">
      <c r="A920">
        <v>2023</v>
      </c>
      <c r="B920">
        <v>9</v>
      </c>
      <c r="C920">
        <v>17</v>
      </c>
      <c r="D920" t="s">
        <v>1088</v>
      </c>
      <c r="E920" t="s">
        <v>282</v>
      </c>
      <c r="F920">
        <v>621669</v>
      </c>
      <c r="G920">
        <v>10366571</v>
      </c>
      <c r="H920" t="s">
        <v>282</v>
      </c>
      <c r="J920">
        <v>53832867</v>
      </c>
      <c r="K920">
        <v>1104</v>
      </c>
      <c r="L920">
        <v>1702</v>
      </c>
      <c r="M920">
        <v>1304</v>
      </c>
      <c r="N920">
        <v>53796867</v>
      </c>
      <c r="O920">
        <v>45183.453590937497</v>
      </c>
      <c r="P920">
        <v>50</v>
      </c>
      <c r="Q920">
        <v>1</v>
      </c>
      <c r="R920">
        <v>50</v>
      </c>
      <c r="S920">
        <v>45184.06737207176</v>
      </c>
      <c r="T920">
        <v>5509</v>
      </c>
      <c r="U920" t="s">
        <v>1152</v>
      </c>
      <c r="V920" t="s">
        <v>1153</v>
      </c>
      <c r="W920" t="s">
        <v>2</v>
      </c>
      <c r="AI920">
        <v>62</v>
      </c>
      <c r="AJ920">
        <v>62</v>
      </c>
      <c r="AN920">
        <v>45170</v>
      </c>
      <c r="AO920">
        <v>45199</v>
      </c>
      <c r="AP920" t="s">
        <v>1101</v>
      </c>
    </row>
    <row r="921" spans="1:42" x14ac:dyDescent="0.25">
      <c r="A921">
        <v>2023</v>
      </c>
      <c r="B921">
        <v>9</v>
      </c>
      <c r="C921">
        <v>17</v>
      </c>
      <c r="D921" t="s">
        <v>1088</v>
      </c>
      <c r="E921" t="s">
        <v>282</v>
      </c>
      <c r="F921">
        <v>621669</v>
      </c>
      <c r="G921">
        <v>10366571</v>
      </c>
      <c r="H921" t="s">
        <v>282</v>
      </c>
      <c r="J921">
        <v>53832868</v>
      </c>
      <c r="K921">
        <v>1104</v>
      </c>
      <c r="L921">
        <v>1702</v>
      </c>
      <c r="M921">
        <v>1304</v>
      </c>
      <c r="N921">
        <v>53796885</v>
      </c>
      <c r="O921">
        <v>45183.454071990738</v>
      </c>
      <c r="P921">
        <v>3</v>
      </c>
      <c r="Q921">
        <v>1</v>
      </c>
      <c r="R921">
        <v>3</v>
      </c>
      <c r="S921">
        <v>45184.06737207176</v>
      </c>
      <c r="T921">
        <v>5509</v>
      </c>
      <c r="U921" t="s">
        <v>1152</v>
      </c>
      <c r="V921" t="s">
        <v>1153</v>
      </c>
      <c r="W921" t="s">
        <v>2</v>
      </c>
      <c r="AI921">
        <v>62</v>
      </c>
      <c r="AJ921">
        <v>62</v>
      </c>
      <c r="AN921">
        <v>45170</v>
      </c>
      <c r="AO921">
        <v>45199</v>
      </c>
      <c r="AP921" t="s">
        <v>1101</v>
      </c>
    </row>
    <row r="922" spans="1:42" x14ac:dyDescent="0.25">
      <c r="A922">
        <v>2023</v>
      </c>
      <c r="B922">
        <v>9</v>
      </c>
      <c r="C922">
        <v>17</v>
      </c>
      <c r="D922" t="s">
        <v>1088</v>
      </c>
      <c r="E922" t="s">
        <v>282</v>
      </c>
      <c r="F922">
        <v>240543</v>
      </c>
      <c r="G922">
        <v>10363040</v>
      </c>
      <c r="H922" t="s">
        <v>282</v>
      </c>
      <c r="J922">
        <v>53832869</v>
      </c>
      <c r="K922">
        <v>1104</v>
      </c>
      <c r="L922">
        <v>1702</v>
      </c>
      <c r="M922">
        <v>1304</v>
      </c>
      <c r="N922">
        <v>53809878</v>
      </c>
      <c r="O922">
        <v>45183.561091435186</v>
      </c>
      <c r="P922">
        <v>216</v>
      </c>
      <c r="Q922">
        <v>1</v>
      </c>
      <c r="R922">
        <v>216</v>
      </c>
      <c r="S922">
        <v>45184.06737207176</v>
      </c>
      <c r="T922">
        <v>5509</v>
      </c>
      <c r="U922" t="s">
        <v>1152</v>
      </c>
      <c r="V922" t="s">
        <v>1153</v>
      </c>
      <c r="W922" t="s">
        <v>2</v>
      </c>
      <c r="AI922">
        <v>62</v>
      </c>
      <c r="AJ922">
        <v>62</v>
      </c>
      <c r="AN922">
        <v>45170</v>
      </c>
      <c r="AO922">
        <v>45199</v>
      </c>
      <c r="AP922" t="s">
        <v>1101</v>
      </c>
    </row>
    <row r="923" spans="1:42" x14ac:dyDescent="0.25">
      <c r="A923">
        <v>2023</v>
      </c>
      <c r="B923">
        <v>9</v>
      </c>
      <c r="C923">
        <v>17</v>
      </c>
      <c r="D923" t="s">
        <v>1088</v>
      </c>
      <c r="E923" t="s">
        <v>282</v>
      </c>
      <c r="F923">
        <v>240543</v>
      </c>
      <c r="G923">
        <v>10363040</v>
      </c>
      <c r="H923" t="s">
        <v>282</v>
      </c>
      <c r="J923">
        <v>53832870</v>
      </c>
      <c r="K923">
        <v>1104</v>
      </c>
      <c r="L923">
        <v>1702</v>
      </c>
      <c r="M923">
        <v>1304</v>
      </c>
      <c r="N923">
        <v>53809881</v>
      </c>
      <c r="O923">
        <v>45183.561202083336</v>
      </c>
      <c r="P923">
        <v>216</v>
      </c>
      <c r="Q923">
        <v>1</v>
      </c>
      <c r="R923">
        <v>216</v>
      </c>
      <c r="S923">
        <v>45184.06737207176</v>
      </c>
      <c r="T923">
        <v>5509</v>
      </c>
      <c r="U923" t="s">
        <v>1152</v>
      </c>
      <c r="V923" t="s">
        <v>1153</v>
      </c>
      <c r="W923" t="s">
        <v>2</v>
      </c>
      <c r="AI923">
        <v>62</v>
      </c>
      <c r="AJ923">
        <v>62</v>
      </c>
      <c r="AN923">
        <v>45170</v>
      </c>
      <c r="AO923">
        <v>45199</v>
      </c>
      <c r="AP923" t="s">
        <v>1101</v>
      </c>
    </row>
    <row r="924" spans="1:42" x14ac:dyDescent="0.25">
      <c r="A924">
        <v>2023</v>
      </c>
      <c r="B924">
        <v>9</v>
      </c>
      <c r="C924">
        <v>17</v>
      </c>
      <c r="D924" t="s">
        <v>1088</v>
      </c>
      <c r="E924" t="s">
        <v>282</v>
      </c>
      <c r="F924">
        <v>240543</v>
      </c>
      <c r="G924">
        <v>10363040</v>
      </c>
      <c r="H924" t="s">
        <v>282</v>
      </c>
      <c r="J924">
        <v>53832871</v>
      </c>
      <c r="K924">
        <v>1104</v>
      </c>
      <c r="L924">
        <v>1702</v>
      </c>
      <c r="M924">
        <v>1304</v>
      </c>
      <c r="N924">
        <v>53809900</v>
      </c>
      <c r="O924">
        <v>45183.561843784722</v>
      </c>
      <c r="P924">
        <v>18</v>
      </c>
      <c r="Q924">
        <v>1</v>
      </c>
      <c r="R924">
        <v>18</v>
      </c>
      <c r="S924">
        <v>45184.06737207176</v>
      </c>
      <c r="T924">
        <v>5509</v>
      </c>
      <c r="U924" t="s">
        <v>1152</v>
      </c>
      <c r="V924" t="s">
        <v>1153</v>
      </c>
      <c r="W924" t="s">
        <v>2</v>
      </c>
      <c r="AI924">
        <v>62</v>
      </c>
      <c r="AJ924">
        <v>62</v>
      </c>
      <c r="AN924">
        <v>45170</v>
      </c>
      <c r="AO924">
        <v>45199</v>
      </c>
      <c r="AP924" t="s">
        <v>1101</v>
      </c>
    </row>
    <row r="925" spans="1:42" x14ac:dyDescent="0.25">
      <c r="A925">
        <v>2023</v>
      </c>
      <c r="B925">
        <v>9</v>
      </c>
      <c r="C925">
        <v>17</v>
      </c>
      <c r="D925" t="s">
        <v>1088</v>
      </c>
      <c r="E925" t="s">
        <v>282</v>
      </c>
      <c r="F925">
        <v>561676</v>
      </c>
      <c r="G925">
        <v>10356210</v>
      </c>
      <c r="H925" t="s">
        <v>282</v>
      </c>
      <c r="J925">
        <v>53832875</v>
      </c>
      <c r="K925">
        <v>1104</v>
      </c>
      <c r="L925">
        <v>1702</v>
      </c>
      <c r="M925">
        <v>1304</v>
      </c>
      <c r="N925">
        <v>53821442</v>
      </c>
      <c r="O925">
        <v>45183.642583217596</v>
      </c>
      <c r="P925">
        <v>216</v>
      </c>
      <c r="Q925">
        <v>1</v>
      </c>
      <c r="R925">
        <v>216</v>
      </c>
      <c r="S925">
        <v>45184.06737207176</v>
      </c>
      <c r="T925">
        <v>5509</v>
      </c>
      <c r="U925" t="s">
        <v>1152</v>
      </c>
      <c r="V925" t="s">
        <v>1153</v>
      </c>
      <c r="W925" t="s">
        <v>2</v>
      </c>
      <c r="AI925">
        <v>62</v>
      </c>
      <c r="AJ925">
        <v>62</v>
      </c>
      <c r="AN925">
        <v>45170</v>
      </c>
      <c r="AO925">
        <v>45199</v>
      </c>
      <c r="AP925" t="s">
        <v>1101</v>
      </c>
    </row>
    <row r="926" spans="1:42" x14ac:dyDescent="0.25">
      <c r="A926">
        <v>2023</v>
      </c>
      <c r="B926">
        <v>9</v>
      </c>
      <c r="C926">
        <v>17</v>
      </c>
      <c r="D926" t="s">
        <v>1088</v>
      </c>
      <c r="E926" t="s">
        <v>282</v>
      </c>
      <c r="F926">
        <v>561676</v>
      </c>
      <c r="G926">
        <v>10356210</v>
      </c>
      <c r="H926" t="s">
        <v>282</v>
      </c>
      <c r="J926">
        <v>53832876</v>
      </c>
      <c r="K926">
        <v>1104</v>
      </c>
      <c r="L926">
        <v>1702</v>
      </c>
      <c r="M926">
        <v>1304</v>
      </c>
      <c r="N926">
        <v>53821443</v>
      </c>
      <c r="O926">
        <v>45183.642711840279</v>
      </c>
      <c r="P926">
        <v>216</v>
      </c>
      <c r="Q926">
        <v>1</v>
      </c>
      <c r="R926">
        <v>216</v>
      </c>
      <c r="S926">
        <v>45184.06737207176</v>
      </c>
      <c r="T926">
        <v>5509</v>
      </c>
      <c r="U926" t="s">
        <v>1152</v>
      </c>
      <c r="V926" t="s">
        <v>1153</v>
      </c>
      <c r="W926" t="s">
        <v>2</v>
      </c>
      <c r="AI926">
        <v>62</v>
      </c>
      <c r="AJ926">
        <v>62</v>
      </c>
      <c r="AN926">
        <v>45170</v>
      </c>
      <c r="AO926">
        <v>45199</v>
      </c>
      <c r="AP926" t="s">
        <v>1101</v>
      </c>
    </row>
    <row r="927" spans="1:42" x14ac:dyDescent="0.25">
      <c r="A927">
        <v>2023</v>
      </c>
      <c r="B927">
        <v>9</v>
      </c>
      <c r="C927">
        <v>17</v>
      </c>
      <c r="D927" t="s">
        <v>1088</v>
      </c>
      <c r="E927" t="s">
        <v>282</v>
      </c>
      <c r="F927">
        <v>561676</v>
      </c>
      <c r="G927">
        <v>10356210</v>
      </c>
      <c r="H927" t="s">
        <v>282</v>
      </c>
      <c r="J927">
        <v>53832877</v>
      </c>
      <c r="K927">
        <v>1104</v>
      </c>
      <c r="L927">
        <v>1702</v>
      </c>
      <c r="M927">
        <v>1304</v>
      </c>
      <c r="N927">
        <v>53821448</v>
      </c>
      <c r="O927">
        <v>45183.642816550928</v>
      </c>
      <c r="P927">
        <v>18</v>
      </c>
      <c r="Q927">
        <v>1</v>
      </c>
      <c r="R927">
        <v>18</v>
      </c>
      <c r="S927">
        <v>45184.06737207176</v>
      </c>
      <c r="T927">
        <v>5509</v>
      </c>
      <c r="U927" t="s">
        <v>1152</v>
      </c>
      <c r="V927" t="s">
        <v>1153</v>
      </c>
      <c r="W927" t="s">
        <v>2</v>
      </c>
      <c r="AI927">
        <v>62</v>
      </c>
      <c r="AJ927">
        <v>62</v>
      </c>
      <c r="AN927">
        <v>45170</v>
      </c>
      <c r="AO927">
        <v>45199</v>
      </c>
      <c r="AP927" t="s">
        <v>1101</v>
      </c>
    </row>
    <row r="928" spans="1:42" x14ac:dyDescent="0.25">
      <c r="A928">
        <v>2023</v>
      </c>
      <c r="B928">
        <v>9</v>
      </c>
      <c r="C928">
        <v>17</v>
      </c>
      <c r="D928" t="s">
        <v>1088</v>
      </c>
      <c r="E928" t="s">
        <v>282</v>
      </c>
      <c r="F928">
        <v>621770</v>
      </c>
      <c r="G928">
        <v>10368269</v>
      </c>
      <c r="H928" t="s">
        <v>282</v>
      </c>
      <c r="J928">
        <v>53833086</v>
      </c>
      <c r="K928">
        <v>1104</v>
      </c>
      <c r="L928">
        <v>1702</v>
      </c>
      <c r="M928">
        <v>1304</v>
      </c>
      <c r="N928">
        <v>53810151</v>
      </c>
      <c r="O928">
        <v>45183.57476103009</v>
      </c>
      <c r="P928">
        <v>216</v>
      </c>
      <c r="Q928">
        <v>1</v>
      </c>
      <c r="R928">
        <v>216</v>
      </c>
      <c r="S928">
        <v>45184.06737207176</v>
      </c>
      <c r="T928">
        <v>5509</v>
      </c>
      <c r="U928" t="s">
        <v>1152</v>
      </c>
      <c r="V928" t="s">
        <v>1153</v>
      </c>
      <c r="W928" t="s">
        <v>2</v>
      </c>
      <c r="AI928">
        <v>62</v>
      </c>
      <c r="AJ928">
        <v>62</v>
      </c>
      <c r="AN928">
        <v>45170</v>
      </c>
      <c r="AO928">
        <v>45199</v>
      </c>
      <c r="AP928" t="s">
        <v>1101</v>
      </c>
    </row>
    <row r="929" spans="1:42" x14ac:dyDescent="0.25">
      <c r="A929">
        <v>2023</v>
      </c>
      <c r="B929">
        <v>9</v>
      </c>
      <c r="C929">
        <v>17</v>
      </c>
      <c r="D929" t="s">
        <v>1088</v>
      </c>
      <c r="E929" t="s">
        <v>282</v>
      </c>
      <c r="F929">
        <v>621770</v>
      </c>
      <c r="G929">
        <v>10368269</v>
      </c>
      <c r="H929" t="s">
        <v>282</v>
      </c>
      <c r="J929">
        <v>53833087</v>
      </c>
      <c r="K929">
        <v>1104</v>
      </c>
      <c r="L929">
        <v>1702</v>
      </c>
      <c r="M929">
        <v>1304</v>
      </c>
      <c r="N929">
        <v>53810160</v>
      </c>
      <c r="O929">
        <v>45183.574871990742</v>
      </c>
      <c r="P929">
        <v>216</v>
      </c>
      <c r="Q929">
        <v>1</v>
      </c>
      <c r="R929">
        <v>216</v>
      </c>
      <c r="S929">
        <v>45184.06737207176</v>
      </c>
      <c r="T929">
        <v>5509</v>
      </c>
      <c r="U929" t="s">
        <v>1152</v>
      </c>
      <c r="V929" t="s">
        <v>1153</v>
      </c>
      <c r="W929" t="s">
        <v>2</v>
      </c>
      <c r="AI929">
        <v>62</v>
      </c>
      <c r="AJ929">
        <v>62</v>
      </c>
      <c r="AN929">
        <v>45170</v>
      </c>
      <c r="AO929">
        <v>45199</v>
      </c>
      <c r="AP929" t="s">
        <v>1101</v>
      </c>
    </row>
    <row r="930" spans="1:42" x14ac:dyDescent="0.25">
      <c r="A930">
        <v>2023</v>
      </c>
      <c r="B930">
        <v>9</v>
      </c>
      <c r="C930">
        <v>17</v>
      </c>
      <c r="D930" t="s">
        <v>1088</v>
      </c>
      <c r="E930" t="s">
        <v>282</v>
      </c>
      <c r="F930">
        <v>104276</v>
      </c>
      <c r="G930">
        <v>10366411</v>
      </c>
      <c r="H930" t="s">
        <v>282</v>
      </c>
      <c r="J930">
        <v>53833088</v>
      </c>
      <c r="K930">
        <v>1104</v>
      </c>
      <c r="L930">
        <v>1702</v>
      </c>
      <c r="M930">
        <v>1304</v>
      </c>
      <c r="N930">
        <v>53791552</v>
      </c>
      <c r="O930">
        <v>45183.423240972224</v>
      </c>
      <c r="P930">
        <v>216</v>
      </c>
      <c r="Q930">
        <v>1</v>
      </c>
      <c r="R930">
        <v>216</v>
      </c>
      <c r="S930">
        <v>45184.06737207176</v>
      </c>
      <c r="T930">
        <v>5509</v>
      </c>
      <c r="U930" t="s">
        <v>1152</v>
      </c>
      <c r="V930" t="s">
        <v>1153</v>
      </c>
      <c r="W930" t="s">
        <v>2</v>
      </c>
      <c r="AI930">
        <v>62</v>
      </c>
      <c r="AJ930">
        <v>62</v>
      </c>
      <c r="AN930">
        <v>45170</v>
      </c>
      <c r="AO930">
        <v>45199</v>
      </c>
      <c r="AP930" t="s">
        <v>1101</v>
      </c>
    </row>
    <row r="931" spans="1:42" x14ac:dyDescent="0.25">
      <c r="A931">
        <v>2023</v>
      </c>
      <c r="B931">
        <v>9</v>
      </c>
      <c r="C931">
        <v>17</v>
      </c>
      <c r="D931" t="s">
        <v>1088</v>
      </c>
      <c r="E931" t="s">
        <v>282</v>
      </c>
      <c r="F931">
        <v>104276</v>
      </c>
      <c r="G931">
        <v>10366411</v>
      </c>
      <c r="H931" t="s">
        <v>282</v>
      </c>
      <c r="J931">
        <v>53833089</v>
      </c>
      <c r="K931">
        <v>1104</v>
      </c>
      <c r="L931">
        <v>1702</v>
      </c>
      <c r="M931">
        <v>1304</v>
      </c>
      <c r="N931">
        <v>53791562</v>
      </c>
      <c r="O931">
        <v>45183.423347187498</v>
      </c>
      <c r="P931">
        <v>216</v>
      </c>
      <c r="Q931">
        <v>1</v>
      </c>
      <c r="R931">
        <v>216</v>
      </c>
      <c r="S931">
        <v>45184.06737207176</v>
      </c>
      <c r="T931">
        <v>5509</v>
      </c>
      <c r="U931" t="s">
        <v>1152</v>
      </c>
      <c r="V931" t="s">
        <v>1153</v>
      </c>
      <c r="W931" t="s">
        <v>2</v>
      </c>
      <c r="AI931">
        <v>62</v>
      </c>
      <c r="AJ931">
        <v>62</v>
      </c>
      <c r="AN931">
        <v>45170</v>
      </c>
      <c r="AO931">
        <v>45199</v>
      </c>
      <c r="AP931" t="s">
        <v>1101</v>
      </c>
    </row>
    <row r="932" spans="1:42" x14ac:dyDescent="0.25">
      <c r="A932">
        <v>2023</v>
      </c>
      <c r="B932">
        <v>9</v>
      </c>
      <c r="C932">
        <v>17</v>
      </c>
      <c r="D932" t="s">
        <v>1088</v>
      </c>
      <c r="E932" t="s">
        <v>282</v>
      </c>
      <c r="F932">
        <v>104276</v>
      </c>
      <c r="G932">
        <v>10366411</v>
      </c>
      <c r="H932" t="s">
        <v>282</v>
      </c>
      <c r="J932">
        <v>53833090</v>
      </c>
      <c r="K932">
        <v>1104</v>
      </c>
      <c r="L932">
        <v>1702</v>
      </c>
      <c r="M932">
        <v>1304</v>
      </c>
      <c r="N932">
        <v>53791565</v>
      </c>
      <c r="O932">
        <v>45183.42340767361</v>
      </c>
      <c r="P932">
        <v>18</v>
      </c>
      <c r="Q932">
        <v>1</v>
      </c>
      <c r="R932">
        <v>18</v>
      </c>
      <c r="S932">
        <v>45184.06737207176</v>
      </c>
      <c r="T932">
        <v>5509</v>
      </c>
      <c r="U932" t="s">
        <v>1152</v>
      </c>
      <c r="V932" t="s">
        <v>1153</v>
      </c>
      <c r="W932" t="s">
        <v>2</v>
      </c>
      <c r="AI932">
        <v>62</v>
      </c>
      <c r="AJ932">
        <v>62</v>
      </c>
      <c r="AN932">
        <v>45170</v>
      </c>
      <c r="AO932">
        <v>45199</v>
      </c>
      <c r="AP932" t="s">
        <v>1101</v>
      </c>
    </row>
    <row r="933" spans="1:42" x14ac:dyDescent="0.25">
      <c r="A933">
        <v>2023</v>
      </c>
      <c r="B933">
        <v>9</v>
      </c>
      <c r="C933">
        <v>17</v>
      </c>
      <c r="D933" t="s">
        <v>1088</v>
      </c>
      <c r="E933" t="s">
        <v>282</v>
      </c>
      <c r="F933">
        <v>621883</v>
      </c>
      <c r="G933">
        <v>10370312</v>
      </c>
      <c r="H933" t="s">
        <v>282</v>
      </c>
      <c r="J933">
        <v>53861796</v>
      </c>
      <c r="K933">
        <v>1100</v>
      </c>
      <c r="L933">
        <v>1700</v>
      </c>
      <c r="M933">
        <v>1301</v>
      </c>
      <c r="P933">
        <v>216</v>
      </c>
      <c r="Q933">
        <v>1</v>
      </c>
      <c r="R933">
        <v>216</v>
      </c>
      <c r="S933">
        <v>45184.649238738428</v>
      </c>
      <c r="T933">
        <v>5500</v>
      </c>
      <c r="U933" t="s">
        <v>1151</v>
      </c>
      <c r="V933" t="s">
        <v>99</v>
      </c>
      <c r="W933" t="s">
        <v>1180</v>
      </c>
      <c r="X933" t="s">
        <v>1180</v>
      </c>
      <c r="AA933">
        <v>57887</v>
      </c>
      <c r="AB933" t="s">
        <v>1223</v>
      </c>
      <c r="AC933">
        <v>45186.083636307871</v>
      </c>
      <c r="AI933">
        <v>62</v>
      </c>
      <c r="AJ933">
        <v>62</v>
      </c>
      <c r="AN933">
        <v>45170</v>
      </c>
      <c r="AO933">
        <v>45199</v>
      </c>
      <c r="AP933" t="s">
        <v>1101</v>
      </c>
    </row>
    <row r="934" spans="1:42" x14ac:dyDescent="0.25">
      <c r="A934">
        <v>2023</v>
      </c>
      <c r="B934">
        <v>9</v>
      </c>
      <c r="C934">
        <v>17</v>
      </c>
      <c r="D934" t="s">
        <v>1088</v>
      </c>
      <c r="E934" t="s">
        <v>282</v>
      </c>
      <c r="F934">
        <v>621883</v>
      </c>
      <c r="G934">
        <v>10370312</v>
      </c>
      <c r="H934" t="s">
        <v>282</v>
      </c>
      <c r="J934">
        <v>53861797</v>
      </c>
      <c r="K934">
        <v>1100</v>
      </c>
      <c r="L934">
        <v>1700</v>
      </c>
      <c r="M934">
        <v>1301</v>
      </c>
      <c r="P934">
        <v>216</v>
      </c>
      <c r="Q934">
        <v>1</v>
      </c>
      <c r="R934">
        <v>216</v>
      </c>
      <c r="S934">
        <v>45184.649331793982</v>
      </c>
      <c r="T934">
        <v>5500</v>
      </c>
      <c r="U934" t="s">
        <v>1151</v>
      </c>
      <c r="V934" t="s">
        <v>99</v>
      </c>
      <c r="W934" t="s">
        <v>1180</v>
      </c>
      <c r="X934" t="s">
        <v>1180</v>
      </c>
      <c r="AA934">
        <v>57887</v>
      </c>
      <c r="AB934" t="s">
        <v>1223</v>
      </c>
      <c r="AC934">
        <v>45186.083636307871</v>
      </c>
      <c r="AI934">
        <v>62</v>
      </c>
      <c r="AJ934">
        <v>62</v>
      </c>
      <c r="AN934">
        <v>45170</v>
      </c>
      <c r="AO934">
        <v>45199</v>
      </c>
      <c r="AP934" t="s">
        <v>1101</v>
      </c>
    </row>
    <row r="935" spans="1:42" x14ac:dyDescent="0.25">
      <c r="A935">
        <v>2023</v>
      </c>
      <c r="B935">
        <v>9</v>
      </c>
      <c r="C935">
        <v>17</v>
      </c>
      <c r="D935" t="s">
        <v>1088</v>
      </c>
      <c r="E935" t="s">
        <v>282</v>
      </c>
      <c r="F935">
        <v>417969</v>
      </c>
      <c r="G935">
        <v>10368582</v>
      </c>
      <c r="H935" t="s">
        <v>282</v>
      </c>
      <c r="J935">
        <v>53861855</v>
      </c>
      <c r="K935">
        <v>1100</v>
      </c>
      <c r="L935">
        <v>1700</v>
      </c>
      <c r="M935">
        <v>1304</v>
      </c>
      <c r="P935">
        <v>216</v>
      </c>
      <c r="Q935">
        <v>1</v>
      </c>
      <c r="R935">
        <v>216</v>
      </c>
      <c r="S935">
        <v>45184.652978738428</v>
      </c>
      <c r="T935">
        <v>5500</v>
      </c>
      <c r="U935" t="s">
        <v>1154</v>
      </c>
      <c r="V935" t="s">
        <v>99</v>
      </c>
      <c r="W935" t="s">
        <v>2</v>
      </c>
      <c r="AI935">
        <v>62</v>
      </c>
      <c r="AJ935">
        <v>62</v>
      </c>
      <c r="AN935">
        <v>45170</v>
      </c>
      <c r="AO935">
        <v>45199</v>
      </c>
      <c r="AP935" t="s">
        <v>1101</v>
      </c>
    </row>
    <row r="936" spans="1:42" x14ac:dyDescent="0.25">
      <c r="A936">
        <v>2023</v>
      </c>
      <c r="B936">
        <v>9</v>
      </c>
      <c r="C936">
        <v>17</v>
      </c>
      <c r="D936" t="s">
        <v>1088</v>
      </c>
      <c r="E936" t="s">
        <v>282</v>
      </c>
      <c r="F936">
        <v>417969</v>
      </c>
      <c r="G936">
        <v>10368582</v>
      </c>
      <c r="H936" t="s">
        <v>282</v>
      </c>
      <c r="J936">
        <v>53861856</v>
      </c>
      <c r="K936">
        <v>1100</v>
      </c>
      <c r="L936">
        <v>1700</v>
      </c>
      <c r="M936">
        <v>1304</v>
      </c>
      <c r="P936">
        <v>216</v>
      </c>
      <c r="Q936">
        <v>1</v>
      </c>
      <c r="R936">
        <v>216</v>
      </c>
      <c r="S936">
        <v>45184.653141400464</v>
      </c>
      <c r="T936">
        <v>5500</v>
      </c>
      <c r="U936" t="s">
        <v>1154</v>
      </c>
      <c r="V936" t="s">
        <v>99</v>
      </c>
      <c r="W936" t="s">
        <v>2</v>
      </c>
      <c r="AI936">
        <v>62</v>
      </c>
      <c r="AJ936">
        <v>62</v>
      </c>
      <c r="AN936">
        <v>45170</v>
      </c>
      <c r="AO936">
        <v>45199</v>
      </c>
      <c r="AP936" t="s">
        <v>1101</v>
      </c>
    </row>
    <row r="937" spans="1:42" x14ac:dyDescent="0.25">
      <c r="A937">
        <v>2023</v>
      </c>
      <c r="B937">
        <v>9</v>
      </c>
      <c r="C937">
        <v>17</v>
      </c>
      <c r="D937" t="s">
        <v>1088</v>
      </c>
      <c r="E937" t="s">
        <v>282</v>
      </c>
      <c r="F937">
        <v>417969</v>
      </c>
      <c r="G937">
        <v>10368582</v>
      </c>
      <c r="H937" t="s">
        <v>282</v>
      </c>
      <c r="J937">
        <v>53861857</v>
      </c>
      <c r="K937">
        <v>1100</v>
      </c>
      <c r="L937">
        <v>1700</v>
      </c>
      <c r="M937">
        <v>1304</v>
      </c>
      <c r="P937">
        <v>18</v>
      </c>
      <c r="Q937">
        <v>1</v>
      </c>
      <c r="R937">
        <v>18</v>
      </c>
      <c r="S937">
        <v>45184.653193981481</v>
      </c>
      <c r="T937">
        <v>5500</v>
      </c>
      <c r="U937" t="s">
        <v>1154</v>
      </c>
      <c r="V937" t="s">
        <v>99</v>
      </c>
      <c r="W937" t="s">
        <v>2</v>
      </c>
      <c r="AI937">
        <v>62</v>
      </c>
      <c r="AJ937">
        <v>62</v>
      </c>
      <c r="AN937">
        <v>45170</v>
      </c>
      <c r="AO937">
        <v>45199</v>
      </c>
      <c r="AP937" t="s">
        <v>1101</v>
      </c>
    </row>
    <row r="938" spans="1:42" x14ac:dyDescent="0.25">
      <c r="A938">
        <v>2023</v>
      </c>
      <c r="B938">
        <v>9</v>
      </c>
      <c r="C938">
        <v>17</v>
      </c>
      <c r="D938" t="s">
        <v>1088</v>
      </c>
      <c r="E938" t="s">
        <v>282</v>
      </c>
      <c r="F938">
        <v>142389</v>
      </c>
      <c r="G938">
        <v>10292371</v>
      </c>
      <c r="H938" t="s">
        <v>282</v>
      </c>
      <c r="J938">
        <v>53933684</v>
      </c>
      <c r="K938">
        <v>1100</v>
      </c>
      <c r="L938">
        <v>1700</v>
      </c>
      <c r="M938">
        <v>1304</v>
      </c>
      <c r="P938">
        <v>216</v>
      </c>
      <c r="Q938">
        <v>1</v>
      </c>
      <c r="R938">
        <v>216</v>
      </c>
      <c r="S938">
        <v>45188.470608449075</v>
      </c>
      <c r="T938">
        <v>5500</v>
      </c>
      <c r="U938" t="s">
        <v>1154</v>
      </c>
      <c r="V938" t="s">
        <v>99</v>
      </c>
      <c r="W938" t="s">
        <v>2</v>
      </c>
      <c r="AI938">
        <v>62</v>
      </c>
      <c r="AJ938">
        <v>62</v>
      </c>
      <c r="AN938">
        <v>45170</v>
      </c>
      <c r="AO938">
        <v>45199</v>
      </c>
      <c r="AP938" t="s">
        <v>1101</v>
      </c>
    </row>
    <row r="939" spans="1:42" x14ac:dyDescent="0.25">
      <c r="A939">
        <v>2023</v>
      </c>
      <c r="B939">
        <v>9</v>
      </c>
      <c r="C939">
        <v>17</v>
      </c>
      <c r="D939" t="s">
        <v>1088</v>
      </c>
      <c r="E939" t="s">
        <v>282</v>
      </c>
      <c r="F939">
        <v>142389</v>
      </c>
      <c r="G939">
        <v>10292371</v>
      </c>
      <c r="H939" t="s">
        <v>282</v>
      </c>
      <c r="J939">
        <v>53933685</v>
      </c>
      <c r="K939">
        <v>1100</v>
      </c>
      <c r="L939">
        <v>1700</v>
      </c>
      <c r="M939">
        <v>1304</v>
      </c>
      <c r="P939">
        <v>216</v>
      </c>
      <c r="Q939">
        <v>1</v>
      </c>
      <c r="R939">
        <v>216</v>
      </c>
      <c r="S939">
        <v>45188.470716863427</v>
      </c>
      <c r="T939">
        <v>5500</v>
      </c>
      <c r="U939" t="s">
        <v>1154</v>
      </c>
      <c r="V939" t="s">
        <v>99</v>
      </c>
      <c r="W939" t="s">
        <v>2</v>
      </c>
      <c r="AI939">
        <v>62</v>
      </c>
      <c r="AJ939">
        <v>62</v>
      </c>
      <c r="AN939">
        <v>45170</v>
      </c>
      <c r="AO939">
        <v>45199</v>
      </c>
      <c r="AP939" t="s">
        <v>1101</v>
      </c>
    </row>
    <row r="940" spans="1:42" x14ac:dyDescent="0.25">
      <c r="A940">
        <v>2023</v>
      </c>
      <c r="B940">
        <v>9</v>
      </c>
      <c r="C940">
        <v>17</v>
      </c>
      <c r="D940" t="s">
        <v>1088</v>
      </c>
      <c r="E940" t="s">
        <v>282</v>
      </c>
      <c r="F940">
        <v>142389</v>
      </c>
      <c r="G940">
        <v>10292371</v>
      </c>
      <c r="H940" t="s">
        <v>282</v>
      </c>
      <c r="J940">
        <v>53933686</v>
      </c>
      <c r="K940">
        <v>1100</v>
      </c>
      <c r="L940">
        <v>1700</v>
      </c>
      <c r="M940">
        <v>1304</v>
      </c>
      <c r="P940">
        <v>18</v>
      </c>
      <c r="Q940">
        <v>1</v>
      </c>
      <c r="R940">
        <v>18</v>
      </c>
      <c r="S940">
        <v>45188.470774571761</v>
      </c>
      <c r="T940">
        <v>5500</v>
      </c>
      <c r="U940" t="s">
        <v>1154</v>
      </c>
      <c r="V940" t="s">
        <v>99</v>
      </c>
      <c r="W940" t="s">
        <v>2</v>
      </c>
      <c r="AI940">
        <v>62</v>
      </c>
      <c r="AJ940">
        <v>62</v>
      </c>
      <c r="AN940">
        <v>45170</v>
      </c>
      <c r="AO940">
        <v>45199</v>
      </c>
      <c r="AP940" t="s">
        <v>1101</v>
      </c>
    </row>
    <row r="941" spans="1:42" x14ac:dyDescent="0.25">
      <c r="A941">
        <v>2023</v>
      </c>
      <c r="B941">
        <v>9</v>
      </c>
      <c r="C941">
        <v>17</v>
      </c>
      <c r="D941" t="s">
        <v>1088</v>
      </c>
      <c r="E941" t="s">
        <v>282</v>
      </c>
      <c r="F941">
        <v>436737</v>
      </c>
      <c r="G941">
        <v>10373663</v>
      </c>
      <c r="H941" t="s">
        <v>282</v>
      </c>
      <c r="J941">
        <v>53940937</v>
      </c>
      <c r="K941">
        <v>1104</v>
      </c>
      <c r="L941">
        <v>1702</v>
      </c>
      <c r="M941">
        <v>1304</v>
      </c>
      <c r="N941">
        <v>53940307</v>
      </c>
      <c r="O941">
        <v>45188.550552395835</v>
      </c>
      <c r="P941">
        <v>216</v>
      </c>
      <c r="Q941">
        <v>1</v>
      </c>
      <c r="R941">
        <v>216</v>
      </c>
      <c r="S941">
        <v>45188.553571608798</v>
      </c>
      <c r="T941">
        <v>5509</v>
      </c>
      <c r="U941" t="s">
        <v>1152</v>
      </c>
      <c r="V941" t="s">
        <v>1153</v>
      </c>
      <c r="W941" t="s">
        <v>2</v>
      </c>
      <c r="AI941">
        <v>62</v>
      </c>
      <c r="AJ941">
        <v>62</v>
      </c>
      <c r="AN941">
        <v>45170</v>
      </c>
      <c r="AO941">
        <v>45199</v>
      </c>
      <c r="AP941" t="s">
        <v>1101</v>
      </c>
    </row>
    <row r="942" spans="1:42" x14ac:dyDescent="0.25">
      <c r="A942">
        <v>2023</v>
      </c>
      <c r="B942">
        <v>9</v>
      </c>
      <c r="C942">
        <v>17</v>
      </c>
      <c r="D942" t="s">
        <v>1088</v>
      </c>
      <c r="E942" t="s">
        <v>282</v>
      </c>
      <c r="F942">
        <v>436737</v>
      </c>
      <c r="G942">
        <v>10373663</v>
      </c>
      <c r="H942" t="s">
        <v>282</v>
      </c>
      <c r="J942">
        <v>53940938</v>
      </c>
      <c r="K942">
        <v>1104</v>
      </c>
      <c r="L942">
        <v>1702</v>
      </c>
      <c r="M942">
        <v>1304</v>
      </c>
      <c r="N942">
        <v>53940308</v>
      </c>
      <c r="O942">
        <v>45188.550686921299</v>
      </c>
      <c r="P942">
        <v>216</v>
      </c>
      <c r="Q942">
        <v>1</v>
      </c>
      <c r="R942">
        <v>216</v>
      </c>
      <c r="S942">
        <v>45188.55365228009</v>
      </c>
      <c r="T942">
        <v>5509</v>
      </c>
      <c r="U942" t="s">
        <v>1152</v>
      </c>
      <c r="V942" t="s">
        <v>1153</v>
      </c>
      <c r="W942" t="s">
        <v>2</v>
      </c>
      <c r="AI942">
        <v>62</v>
      </c>
      <c r="AJ942">
        <v>62</v>
      </c>
      <c r="AN942">
        <v>45170</v>
      </c>
      <c r="AO942">
        <v>45199</v>
      </c>
      <c r="AP942" t="s">
        <v>1101</v>
      </c>
    </row>
    <row r="943" spans="1:42" x14ac:dyDescent="0.25">
      <c r="A943">
        <v>2023</v>
      </c>
      <c r="B943">
        <v>9</v>
      </c>
      <c r="C943">
        <v>17</v>
      </c>
      <c r="D943" t="s">
        <v>1088</v>
      </c>
      <c r="E943" t="s">
        <v>282</v>
      </c>
      <c r="F943">
        <v>436737</v>
      </c>
      <c r="G943">
        <v>10373663</v>
      </c>
      <c r="H943" t="s">
        <v>282</v>
      </c>
      <c r="J943">
        <v>53940944</v>
      </c>
      <c r="K943">
        <v>1104</v>
      </c>
      <c r="L943">
        <v>1702</v>
      </c>
      <c r="M943">
        <v>1304</v>
      </c>
      <c r="N943">
        <v>53940309</v>
      </c>
      <c r="O943">
        <v>45188.550750960647</v>
      </c>
      <c r="P943">
        <v>18</v>
      </c>
      <c r="Q943">
        <v>1</v>
      </c>
      <c r="R943">
        <v>18</v>
      </c>
      <c r="S943">
        <v>45188.553744444442</v>
      </c>
      <c r="T943">
        <v>5509</v>
      </c>
      <c r="U943" t="s">
        <v>1152</v>
      </c>
      <c r="V943" t="s">
        <v>1153</v>
      </c>
      <c r="W943" t="s">
        <v>2</v>
      </c>
      <c r="AI943">
        <v>62</v>
      </c>
      <c r="AJ943">
        <v>62</v>
      </c>
      <c r="AN943">
        <v>45170</v>
      </c>
      <c r="AO943">
        <v>45199</v>
      </c>
      <c r="AP943" t="s">
        <v>1101</v>
      </c>
    </row>
    <row r="944" spans="1:42" x14ac:dyDescent="0.25">
      <c r="A944">
        <v>2023</v>
      </c>
      <c r="B944">
        <v>9</v>
      </c>
      <c r="C944">
        <v>17</v>
      </c>
      <c r="D944" t="s">
        <v>1088</v>
      </c>
      <c r="E944" t="s">
        <v>282</v>
      </c>
      <c r="F944">
        <v>620993</v>
      </c>
      <c r="G944">
        <v>10352163</v>
      </c>
      <c r="H944" t="s">
        <v>282</v>
      </c>
      <c r="J944">
        <v>53935582</v>
      </c>
      <c r="K944">
        <v>1100</v>
      </c>
      <c r="L944">
        <v>1700</v>
      </c>
      <c r="M944">
        <v>1304</v>
      </c>
      <c r="P944">
        <v>216</v>
      </c>
      <c r="Q944">
        <v>1</v>
      </c>
      <c r="R944">
        <v>216</v>
      </c>
      <c r="S944">
        <v>45188.491005937503</v>
      </c>
      <c r="T944">
        <v>5500</v>
      </c>
      <c r="U944" t="s">
        <v>1154</v>
      </c>
      <c r="V944" t="s">
        <v>99</v>
      </c>
      <c r="W944" t="s">
        <v>2</v>
      </c>
      <c r="AI944">
        <v>62</v>
      </c>
      <c r="AJ944">
        <v>62</v>
      </c>
      <c r="AN944">
        <v>45170</v>
      </c>
      <c r="AO944">
        <v>45199</v>
      </c>
      <c r="AP944" t="s">
        <v>1101</v>
      </c>
    </row>
    <row r="945" spans="1:42" x14ac:dyDescent="0.25">
      <c r="A945">
        <v>2023</v>
      </c>
      <c r="B945">
        <v>9</v>
      </c>
      <c r="C945">
        <v>17</v>
      </c>
      <c r="D945" t="s">
        <v>1088</v>
      </c>
      <c r="E945" t="s">
        <v>282</v>
      </c>
      <c r="F945">
        <v>620993</v>
      </c>
      <c r="G945">
        <v>10352163</v>
      </c>
      <c r="H945" t="s">
        <v>282</v>
      </c>
      <c r="J945">
        <v>53935586</v>
      </c>
      <c r="K945">
        <v>1100</v>
      </c>
      <c r="L945">
        <v>1700</v>
      </c>
      <c r="M945">
        <v>1304</v>
      </c>
      <c r="P945">
        <v>216</v>
      </c>
      <c r="Q945">
        <v>1</v>
      </c>
      <c r="R945">
        <v>216</v>
      </c>
      <c r="S945">
        <v>45188.49111959491</v>
      </c>
      <c r="T945">
        <v>5500</v>
      </c>
      <c r="U945" t="s">
        <v>1154</v>
      </c>
      <c r="V945" t="s">
        <v>99</v>
      </c>
      <c r="W945" t="s">
        <v>2</v>
      </c>
      <c r="AI945">
        <v>62</v>
      </c>
      <c r="AJ945">
        <v>62</v>
      </c>
      <c r="AN945">
        <v>45170</v>
      </c>
      <c r="AO945">
        <v>45199</v>
      </c>
      <c r="AP945" t="s">
        <v>1101</v>
      </c>
    </row>
    <row r="946" spans="1:42" x14ac:dyDescent="0.25">
      <c r="A946">
        <v>2023</v>
      </c>
      <c r="B946">
        <v>9</v>
      </c>
      <c r="C946">
        <v>17</v>
      </c>
      <c r="D946" t="s">
        <v>1088</v>
      </c>
      <c r="E946" t="s">
        <v>282</v>
      </c>
      <c r="F946">
        <v>620993</v>
      </c>
      <c r="G946">
        <v>10352163</v>
      </c>
      <c r="H946" t="s">
        <v>282</v>
      </c>
      <c r="J946">
        <v>53935590</v>
      </c>
      <c r="K946">
        <v>1100</v>
      </c>
      <c r="L946">
        <v>1700</v>
      </c>
      <c r="M946">
        <v>1304</v>
      </c>
      <c r="P946">
        <v>18</v>
      </c>
      <c r="Q946">
        <v>1</v>
      </c>
      <c r="R946">
        <v>18</v>
      </c>
      <c r="S946">
        <v>45188.491178321761</v>
      </c>
      <c r="T946">
        <v>5500</v>
      </c>
      <c r="U946" t="s">
        <v>1154</v>
      </c>
      <c r="V946" t="s">
        <v>99</v>
      </c>
      <c r="W946" t="s">
        <v>2</v>
      </c>
      <c r="AI946">
        <v>62</v>
      </c>
      <c r="AJ946">
        <v>62</v>
      </c>
      <c r="AN946">
        <v>45170</v>
      </c>
      <c r="AO946">
        <v>45199</v>
      </c>
      <c r="AP946" t="s">
        <v>1101</v>
      </c>
    </row>
    <row r="947" spans="1:42" x14ac:dyDescent="0.25">
      <c r="A947">
        <v>2023</v>
      </c>
      <c r="B947">
        <v>9</v>
      </c>
      <c r="C947">
        <v>17</v>
      </c>
      <c r="D947" t="s">
        <v>1088</v>
      </c>
      <c r="E947" t="s">
        <v>282</v>
      </c>
      <c r="F947">
        <v>620993</v>
      </c>
      <c r="G947">
        <v>10352163</v>
      </c>
      <c r="H947" t="s">
        <v>282</v>
      </c>
      <c r="J947">
        <v>53935597</v>
      </c>
      <c r="K947">
        <v>1100</v>
      </c>
      <c r="L947">
        <v>1700</v>
      </c>
      <c r="M947">
        <v>1304</v>
      </c>
      <c r="P947">
        <v>150</v>
      </c>
      <c r="Q947">
        <v>1</v>
      </c>
      <c r="R947">
        <v>150</v>
      </c>
      <c r="S947">
        <v>45188.491306747688</v>
      </c>
      <c r="T947">
        <v>5500</v>
      </c>
      <c r="U947" t="s">
        <v>1154</v>
      </c>
      <c r="V947" t="s">
        <v>99</v>
      </c>
      <c r="W947" t="s">
        <v>2</v>
      </c>
      <c r="AI947">
        <v>62</v>
      </c>
      <c r="AJ947">
        <v>62</v>
      </c>
      <c r="AN947">
        <v>45170</v>
      </c>
      <c r="AO947">
        <v>45199</v>
      </c>
      <c r="AP947" t="s">
        <v>1101</v>
      </c>
    </row>
    <row r="948" spans="1:42" x14ac:dyDescent="0.25">
      <c r="A948">
        <v>2023</v>
      </c>
      <c r="B948">
        <v>9</v>
      </c>
      <c r="C948">
        <v>17</v>
      </c>
      <c r="D948" t="s">
        <v>1088</v>
      </c>
      <c r="E948" t="s">
        <v>282</v>
      </c>
      <c r="F948">
        <v>620993</v>
      </c>
      <c r="G948">
        <v>10352163</v>
      </c>
      <c r="H948" t="s">
        <v>282</v>
      </c>
      <c r="J948">
        <v>53935600</v>
      </c>
      <c r="K948">
        <v>1100</v>
      </c>
      <c r="L948">
        <v>1700</v>
      </c>
      <c r="M948">
        <v>1304</v>
      </c>
      <c r="P948">
        <v>150</v>
      </c>
      <c r="Q948">
        <v>1</v>
      </c>
      <c r="R948">
        <v>150</v>
      </c>
      <c r="S948">
        <v>45188.491424849541</v>
      </c>
      <c r="T948">
        <v>5500</v>
      </c>
      <c r="U948" t="s">
        <v>1154</v>
      </c>
      <c r="V948" t="s">
        <v>99</v>
      </c>
      <c r="W948" t="s">
        <v>2</v>
      </c>
      <c r="AI948">
        <v>62</v>
      </c>
      <c r="AJ948">
        <v>62</v>
      </c>
      <c r="AN948">
        <v>45170</v>
      </c>
      <c r="AO948">
        <v>45199</v>
      </c>
      <c r="AP948" t="s">
        <v>1101</v>
      </c>
    </row>
    <row r="949" spans="1:42" x14ac:dyDescent="0.25">
      <c r="A949">
        <v>2023</v>
      </c>
      <c r="B949">
        <v>9</v>
      </c>
      <c r="C949">
        <v>17</v>
      </c>
      <c r="D949" t="s">
        <v>1088</v>
      </c>
      <c r="E949" t="s">
        <v>282</v>
      </c>
      <c r="F949">
        <v>620993</v>
      </c>
      <c r="G949">
        <v>10352163</v>
      </c>
      <c r="H949" t="s">
        <v>282</v>
      </c>
      <c r="J949">
        <v>53935601</v>
      </c>
      <c r="K949">
        <v>1100</v>
      </c>
      <c r="L949">
        <v>1700</v>
      </c>
      <c r="M949">
        <v>1304</v>
      </c>
      <c r="P949">
        <v>18</v>
      </c>
      <c r="Q949">
        <v>1</v>
      </c>
      <c r="R949">
        <v>18</v>
      </c>
      <c r="S949">
        <v>45188.491505706021</v>
      </c>
      <c r="T949">
        <v>5500</v>
      </c>
      <c r="U949" t="s">
        <v>1154</v>
      </c>
      <c r="V949" t="s">
        <v>99</v>
      </c>
      <c r="W949" t="s">
        <v>2</v>
      </c>
      <c r="AI949">
        <v>62</v>
      </c>
      <c r="AJ949">
        <v>62</v>
      </c>
      <c r="AN949">
        <v>45170</v>
      </c>
      <c r="AO949">
        <v>45199</v>
      </c>
      <c r="AP949" t="s">
        <v>1101</v>
      </c>
    </row>
    <row r="950" spans="1:42" x14ac:dyDescent="0.25">
      <c r="A950">
        <v>2023</v>
      </c>
      <c r="B950">
        <v>9</v>
      </c>
      <c r="C950">
        <v>17</v>
      </c>
      <c r="D950" t="s">
        <v>1088</v>
      </c>
      <c r="E950" t="s">
        <v>282</v>
      </c>
      <c r="F950">
        <v>615489</v>
      </c>
      <c r="G950">
        <v>10293906</v>
      </c>
      <c r="H950" t="s">
        <v>282</v>
      </c>
      <c r="J950">
        <v>53962414</v>
      </c>
      <c r="K950">
        <v>1101</v>
      </c>
      <c r="L950">
        <v>1702</v>
      </c>
      <c r="M950">
        <v>1301</v>
      </c>
      <c r="N950">
        <v>53643818</v>
      </c>
      <c r="O950">
        <v>45177.634924108796</v>
      </c>
      <c r="P950">
        <v>165.43</v>
      </c>
      <c r="Q950">
        <v>1</v>
      </c>
      <c r="R950">
        <v>165.43</v>
      </c>
      <c r="S950">
        <v>45189.379830289348</v>
      </c>
      <c r="T950">
        <v>5502</v>
      </c>
      <c r="U950" t="s">
        <v>1217</v>
      </c>
      <c r="V950" t="s">
        <v>1155</v>
      </c>
      <c r="W950" t="s">
        <v>1091</v>
      </c>
      <c r="X950" t="s">
        <v>1091</v>
      </c>
      <c r="AD950">
        <v>830523</v>
      </c>
      <c r="AE950" t="s">
        <v>1292</v>
      </c>
      <c r="AF950">
        <v>45189.379830057871</v>
      </c>
      <c r="AI950">
        <v>62</v>
      </c>
      <c r="AJ950">
        <v>62</v>
      </c>
      <c r="AN950">
        <v>45170</v>
      </c>
      <c r="AO950">
        <v>45199</v>
      </c>
      <c r="AP950" t="s">
        <v>1101</v>
      </c>
    </row>
    <row r="951" spans="1:42" x14ac:dyDescent="0.25">
      <c r="A951">
        <v>2023</v>
      </c>
      <c r="B951">
        <v>9</v>
      </c>
      <c r="C951">
        <v>17</v>
      </c>
      <c r="D951" t="s">
        <v>1088</v>
      </c>
      <c r="E951" t="s">
        <v>282</v>
      </c>
      <c r="F951">
        <v>615489</v>
      </c>
      <c r="G951">
        <v>10293906</v>
      </c>
      <c r="H951" t="s">
        <v>282</v>
      </c>
      <c r="J951">
        <v>53962415</v>
      </c>
      <c r="K951">
        <v>1103</v>
      </c>
      <c r="L951">
        <v>1702</v>
      </c>
      <c r="M951">
        <v>1301</v>
      </c>
      <c r="N951">
        <v>53643818</v>
      </c>
      <c r="O951">
        <v>45177.634924108796</v>
      </c>
      <c r="P951">
        <v>50.57</v>
      </c>
      <c r="Q951">
        <v>1</v>
      </c>
      <c r="R951">
        <v>50.57</v>
      </c>
      <c r="S951">
        <v>45189.379830289348</v>
      </c>
      <c r="T951">
        <v>5503</v>
      </c>
      <c r="U951" t="s">
        <v>1218</v>
      </c>
      <c r="V951" t="s">
        <v>1157</v>
      </c>
      <c r="W951" t="s">
        <v>1091</v>
      </c>
      <c r="X951" t="s">
        <v>1091</v>
      </c>
      <c r="AD951">
        <v>830523</v>
      </c>
      <c r="AE951" t="s">
        <v>1292</v>
      </c>
      <c r="AF951">
        <v>45189.379830057871</v>
      </c>
      <c r="AI951">
        <v>62</v>
      </c>
      <c r="AJ951">
        <v>62</v>
      </c>
      <c r="AK951" t="s">
        <v>1219</v>
      </c>
      <c r="AN951">
        <v>45170</v>
      </c>
      <c r="AO951">
        <v>45199</v>
      </c>
      <c r="AP951" t="s">
        <v>1101</v>
      </c>
    </row>
    <row r="952" spans="1:42" x14ac:dyDescent="0.25">
      <c r="A952">
        <v>2023</v>
      </c>
      <c r="B952">
        <v>9</v>
      </c>
      <c r="C952">
        <v>17</v>
      </c>
      <c r="D952" t="s">
        <v>1088</v>
      </c>
      <c r="E952" t="s">
        <v>282</v>
      </c>
      <c r="F952">
        <v>615489</v>
      </c>
      <c r="G952">
        <v>10293906</v>
      </c>
      <c r="H952" t="s">
        <v>282</v>
      </c>
      <c r="J952">
        <v>53962416</v>
      </c>
      <c r="K952">
        <v>1101</v>
      </c>
      <c r="L952">
        <v>1702</v>
      </c>
      <c r="M952">
        <v>1301</v>
      </c>
      <c r="N952">
        <v>53643839</v>
      </c>
      <c r="O952">
        <v>45177.635036655091</v>
      </c>
      <c r="P952">
        <v>165.43</v>
      </c>
      <c r="Q952">
        <v>1</v>
      </c>
      <c r="R952">
        <v>165.43</v>
      </c>
      <c r="S952">
        <v>45189.379830289348</v>
      </c>
      <c r="T952">
        <v>5502</v>
      </c>
      <c r="U952" t="s">
        <v>1217</v>
      </c>
      <c r="V952" t="s">
        <v>1155</v>
      </c>
      <c r="W952" t="s">
        <v>1091</v>
      </c>
      <c r="X952" t="s">
        <v>1091</v>
      </c>
      <c r="AD952">
        <v>830523</v>
      </c>
      <c r="AE952" t="s">
        <v>1292</v>
      </c>
      <c r="AF952">
        <v>45189.379830057871</v>
      </c>
      <c r="AI952">
        <v>62</v>
      </c>
      <c r="AJ952">
        <v>62</v>
      </c>
      <c r="AN952">
        <v>45170</v>
      </c>
      <c r="AO952">
        <v>45199</v>
      </c>
      <c r="AP952" t="s">
        <v>1101</v>
      </c>
    </row>
    <row r="953" spans="1:42" x14ac:dyDescent="0.25">
      <c r="A953">
        <v>2023</v>
      </c>
      <c r="B953">
        <v>9</v>
      </c>
      <c r="C953">
        <v>17</v>
      </c>
      <c r="D953" t="s">
        <v>1088</v>
      </c>
      <c r="E953" t="s">
        <v>282</v>
      </c>
      <c r="F953">
        <v>615489</v>
      </c>
      <c r="G953">
        <v>10293906</v>
      </c>
      <c r="H953" t="s">
        <v>282</v>
      </c>
      <c r="J953">
        <v>53962417</v>
      </c>
      <c r="K953">
        <v>1103</v>
      </c>
      <c r="L953">
        <v>1702</v>
      </c>
      <c r="M953">
        <v>1301</v>
      </c>
      <c r="N953">
        <v>53643839</v>
      </c>
      <c r="O953">
        <v>45177.635036655091</v>
      </c>
      <c r="P953">
        <v>50.57</v>
      </c>
      <c r="Q953">
        <v>1</v>
      </c>
      <c r="R953">
        <v>50.57</v>
      </c>
      <c r="S953">
        <v>45189.379830289348</v>
      </c>
      <c r="T953">
        <v>5503</v>
      </c>
      <c r="U953" t="s">
        <v>1218</v>
      </c>
      <c r="V953" t="s">
        <v>1157</v>
      </c>
      <c r="W953" t="s">
        <v>1091</v>
      </c>
      <c r="X953" t="s">
        <v>1091</v>
      </c>
      <c r="AD953">
        <v>830523</v>
      </c>
      <c r="AE953" t="s">
        <v>1292</v>
      </c>
      <c r="AF953">
        <v>45189.379830057871</v>
      </c>
      <c r="AI953">
        <v>62</v>
      </c>
      <c r="AJ953">
        <v>62</v>
      </c>
      <c r="AK953" t="s">
        <v>1219</v>
      </c>
      <c r="AN953">
        <v>45170</v>
      </c>
      <c r="AO953">
        <v>45199</v>
      </c>
      <c r="AP953" t="s">
        <v>1101</v>
      </c>
    </row>
    <row r="954" spans="1:42" x14ac:dyDescent="0.25">
      <c r="A954">
        <v>2023</v>
      </c>
      <c r="B954">
        <v>9</v>
      </c>
      <c r="C954">
        <v>17</v>
      </c>
      <c r="D954" t="s">
        <v>1088</v>
      </c>
      <c r="E954" t="s">
        <v>282</v>
      </c>
      <c r="F954">
        <v>371938</v>
      </c>
      <c r="G954">
        <v>10216669</v>
      </c>
      <c r="H954" t="s">
        <v>282</v>
      </c>
      <c r="J954">
        <v>53962418</v>
      </c>
      <c r="K954">
        <v>1103</v>
      </c>
      <c r="L954">
        <v>1702</v>
      </c>
      <c r="M954">
        <v>1301</v>
      </c>
      <c r="N954">
        <v>52966151</v>
      </c>
      <c r="O954">
        <v>45156.577986307871</v>
      </c>
      <c r="P954">
        <v>11.22</v>
      </c>
      <c r="Q954">
        <v>1</v>
      </c>
      <c r="R954">
        <v>11.22</v>
      </c>
      <c r="S954">
        <v>45189.379830289348</v>
      </c>
      <c r="T954">
        <v>5503</v>
      </c>
      <c r="U954" t="s">
        <v>1218</v>
      </c>
      <c r="V954" t="s">
        <v>1157</v>
      </c>
      <c r="W954" t="s">
        <v>1091</v>
      </c>
      <c r="X954" t="s">
        <v>1091</v>
      </c>
      <c r="AD954">
        <v>830523</v>
      </c>
      <c r="AE954" t="s">
        <v>1292</v>
      </c>
      <c r="AF954">
        <v>45189.379830057871</v>
      </c>
      <c r="AI954">
        <v>62</v>
      </c>
      <c r="AJ954">
        <v>62</v>
      </c>
      <c r="AK954" t="s">
        <v>1219</v>
      </c>
      <c r="AN954">
        <v>45170</v>
      </c>
      <c r="AO954">
        <v>45199</v>
      </c>
      <c r="AP954" t="s">
        <v>1101</v>
      </c>
    </row>
    <row r="955" spans="1:42" x14ac:dyDescent="0.25">
      <c r="A955">
        <v>2023</v>
      </c>
      <c r="B955">
        <v>9</v>
      </c>
      <c r="C955">
        <v>17</v>
      </c>
      <c r="D955" t="s">
        <v>1088</v>
      </c>
      <c r="E955" t="s">
        <v>282</v>
      </c>
      <c r="F955">
        <v>371938</v>
      </c>
      <c r="G955">
        <v>10216669</v>
      </c>
      <c r="H955" t="s">
        <v>282</v>
      </c>
      <c r="J955">
        <v>53962419</v>
      </c>
      <c r="K955">
        <v>1100</v>
      </c>
      <c r="L955">
        <v>1700</v>
      </c>
      <c r="M955">
        <v>1304</v>
      </c>
      <c r="N955">
        <v>52966151</v>
      </c>
      <c r="O955">
        <v>45156.577986307871</v>
      </c>
      <c r="P955">
        <v>204.78</v>
      </c>
      <c r="Q955">
        <v>1</v>
      </c>
      <c r="R955">
        <v>204.78</v>
      </c>
      <c r="S955">
        <v>45189.379830289348</v>
      </c>
      <c r="T955">
        <v>5504</v>
      </c>
      <c r="U955" t="s">
        <v>1220</v>
      </c>
      <c r="V955" t="s">
        <v>1221</v>
      </c>
      <c r="W955" t="s">
        <v>2</v>
      </c>
      <c r="X955" t="s">
        <v>1091</v>
      </c>
      <c r="AD955">
        <v>830523</v>
      </c>
      <c r="AE955" t="s">
        <v>1292</v>
      </c>
      <c r="AF955">
        <v>45189.379830057871</v>
      </c>
      <c r="AI955">
        <v>62</v>
      </c>
      <c r="AJ955">
        <v>62</v>
      </c>
      <c r="AN955">
        <v>45170</v>
      </c>
      <c r="AO955">
        <v>45199</v>
      </c>
      <c r="AP955" t="s">
        <v>1101</v>
      </c>
    </row>
    <row r="956" spans="1:42" x14ac:dyDescent="0.25">
      <c r="A956">
        <v>2023</v>
      </c>
      <c r="B956">
        <v>9</v>
      </c>
      <c r="C956">
        <v>17</v>
      </c>
      <c r="D956" t="s">
        <v>1088</v>
      </c>
      <c r="E956" t="s">
        <v>282</v>
      </c>
      <c r="F956">
        <v>371938</v>
      </c>
      <c r="G956">
        <v>10216669</v>
      </c>
      <c r="H956" t="s">
        <v>282</v>
      </c>
      <c r="J956">
        <v>53962420</v>
      </c>
      <c r="K956">
        <v>1103</v>
      </c>
      <c r="L956">
        <v>1702</v>
      </c>
      <c r="M956">
        <v>1301</v>
      </c>
      <c r="N956">
        <v>52966156</v>
      </c>
      <c r="O956">
        <v>45156.578140428239</v>
      </c>
      <c r="P956">
        <v>11.22</v>
      </c>
      <c r="Q956">
        <v>1</v>
      </c>
      <c r="R956">
        <v>11.22</v>
      </c>
      <c r="S956">
        <v>45189.379830289348</v>
      </c>
      <c r="T956">
        <v>5503</v>
      </c>
      <c r="U956" t="s">
        <v>1218</v>
      </c>
      <c r="V956" t="s">
        <v>1157</v>
      </c>
      <c r="W956" t="s">
        <v>1091</v>
      </c>
      <c r="X956" t="s">
        <v>1091</v>
      </c>
      <c r="AD956">
        <v>830523</v>
      </c>
      <c r="AE956" t="s">
        <v>1292</v>
      </c>
      <c r="AF956">
        <v>45189.379830057871</v>
      </c>
      <c r="AI956">
        <v>62</v>
      </c>
      <c r="AJ956">
        <v>62</v>
      </c>
      <c r="AK956" t="s">
        <v>1219</v>
      </c>
      <c r="AN956">
        <v>45170</v>
      </c>
      <c r="AO956">
        <v>45199</v>
      </c>
      <c r="AP956" t="s">
        <v>1101</v>
      </c>
    </row>
    <row r="957" spans="1:42" x14ac:dyDescent="0.25">
      <c r="A957">
        <v>2023</v>
      </c>
      <c r="B957">
        <v>9</v>
      </c>
      <c r="C957">
        <v>17</v>
      </c>
      <c r="D957" t="s">
        <v>1088</v>
      </c>
      <c r="E957" t="s">
        <v>282</v>
      </c>
      <c r="F957">
        <v>371938</v>
      </c>
      <c r="G957">
        <v>10216669</v>
      </c>
      <c r="H957" t="s">
        <v>282</v>
      </c>
      <c r="J957">
        <v>53962421</v>
      </c>
      <c r="K957">
        <v>1100</v>
      </c>
      <c r="L957">
        <v>1700</v>
      </c>
      <c r="M957">
        <v>1304</v>
      </c>
      <c r="N957">
        <v>52966156</v>
      </c>
      <c r="O957">
        <v>45156.578140428239</v>
      </c>
      <c r="P957">
        <v>204.78</v>
      </c>
      <c r="Q957">
        <v>1</v>
      </c>
      <c r="R957">
        <v>204.78</v>
      </c>
      <c r="S957">
        <v>45189.379830289348</v>
      </c>
      <c r="T957">
        <v>5504</v>
      </c>
      <c r="U957" t="s">
        <v>1220</v>
      </c>
      <c r="V957" t="s">
        <v>1221</v>
      </c>
      <c r="W957" t="s">
        <v>2</v>
      </c>
      <c r="X957" t="s">
        <v>1091</v>
      </c>
      <c r="AD957">
        <v>830523</v>
      </c>
      <c r="AE957" t="s">
        <v>1292</v>
      </c>
      <c r="AF957">
        <v>45189.379830057871</v>
      </c>
      <c r="AI957">
        <v>62</v>
      </c>
      <c r="AJ957">
        <v>62</v>
      </c>
      <c r="AN957">
        <v>45170</v>
      </c>
      <c r="AO957">
        <v>45199</v>
      </c>
      <c r="AP957" t="s">
        <v>1101</v>
      </c>
    </row>
    <row r="958" spans="1:42" x14ac:dyDescent="0.25">
      <c r="A958">
        <v>2023</v>
      </c>
      <c r="B958">
        <v>9</v>
      </c>
      <c r="C958">
        <v>17</v>
      </c>
      <c r="D958" t="s">
        <v>1088</v>
      </c>
      <c r="E958" t="s">
        <v>282</v>
      </c>
      <c r="F958">
        <v>384980</v>
      </c>
      <c r="G958">
        <v>10281300</v>
      </c>
      <c r="H958" t="s">
        <v>282</v>
      </c>
      <c r="J958">
        <v>53962422</v>
      </c>
      <c r="K958">
        <v>1103</v>
      </c>
      <c r="L958">
        <v>1702</v>
      </c>
      <c r="M958">
        <v>1301</v>
      </c>
      <c r="N958">
        <v>53588617</v>
      </c>
      <c r="O958">
        <v>45176.665151967594</v>
      </c>
      <c r="P958">
        <v>50.57</v>
      </c>
      <c r="Q958">
        <v>1</v>
      </c>
      <c r="R958">
        <v>50.57</v>
      </c>
      <c r="S958">
        <v>45189.379830289348</v>
      </c>
      <c r="T958">
        <v>5503</v>
      </c>
      <c r="U958" t="s">
        <v>1218</v>
      </c>
      <c r="V958" t="s">
        <v>1157</v>
      </c>
      <c r="W958" t="s">
        <v>1091</v>
      </c>
      <c r="X958" t="s">
        <v>1091</v>
      </c>
      <c r="AD958">
        <v>830523</v>
      </c>
      <c r="AE958" t="s">
        <v>1292</v>
      </c>
      <c r="AF958">
        <v>45189.379830057871</v>
      </c>
      <c r="AI958">
        <v>62</v>
      </c>
      <c r="AJ958">
        <v>62</v>
      </c>
      <c r="AK958" t="s">
        <v>1219</v>
      </c>
      <c r="AN958">
        <v>45170</v>
      </c>
      <c r="AO958">
        <v>45199</v>
      </c>
      <c r="AP958" t="s">
        <v>1101</v>
      </c>
    </row>
    <row r="959" spans="1:42" x14ac:dyDescent="0.25">
      <c r="A959">
        <v>2023</v>
      </c>
      <c r="B959">
        <v>9</v>
      </c>
      <c r="C959">
        <v>17</v>
      </c>
      <c r="D959" t="s">
        <v>1088</v>
      </c>
      <c r="E959" t="s">
        <v>282</v>
      </c>
      <c r="F959">
        <v>384980</v>
      </c>
      <c r="G959">
        <v>10281300</v>
      </c>
      <c r="H959" t="s">
        <v>282</v>
      </c>
      <c r="J959">
        <v>53962423</v>
      </c>
      <c r="K959">
        <v>1100</v>
      </c>
      <c r="L959">
        <v>1700</v>
      </c>
      <c r="M959">
        <v>1304</v>
      </c>
      <c r="N959">
        <v>53588617</v>
      </c>
      <c r="O959">
        <v>45176.665151967594</v>
      </c>
      <c r="P959">
        <v>165.43</v>
      </c>
      <c r="Q959">
        <v>1</v>
      </c>
      <c r="R959">
        <v>165.43</v>
      </c>
      <c r="S959">
        <v>45189.379830289348</v>
      </c>
      <c r="T959">
        <v>5504</v>
      </c>
      <c r="U959" t="s">
        <v>1220</v>
      </c>
      <c r="V959" t="s">
        <v>1221</v>
      </c>
      <c r="W959" t="s">
        <v>2</v>
      </c>
      <c r="X959" t="s">
        <v>1091</v>
      </c>
      <c r="AD959">
        <v>830523</v>
      </c>
      <c r="AE959" t="s">
        <v>1292</v>
      </c>
      <c r="AF959">
        <v>45189.379830057871</v>
      </c>
      <c r="AI959">
        <v>62</v>
      </c>
      <c r="AJ959">
        <v>62</v>
      </c>
      <c r="AN959">
        <v>45170</v>
      </c>
      <c r="AO959">
        <v>45199</v>
      </c>
      <c r="AP959" t="s">
        <v>1101</v>
      </c>
    </row>
    <row r="960" spans="1:42" x14ac:dyDescent="0.25">
      <c r="A960">
        <v>2023</v>
      </c>
      <c r="B960">
        <v>9</v>
      </c>
      <c r="C960">
        <v>17</v>
      </c>
      <c r="D960" t="s">
        <v>1088</v>
      </c>
      <c r="E960" t="s">
        <v>282</v>
      </c>
      <c r="F960">
        <v>384980</v>
      </c>
      <c r="G960">
        <v>10281300</v>
      </c>
      <c r="H960" t="s">
        <v>282</v>
      </c>
      <c r="J960">
        <v>53962424</v>
      </c>
      <c r="K960">
        <v>1103</v>
      </c>
      <c r="L960">
        <v>1702</v>
      </c>
      <c r="M960">
        <v>1301</v>
      </c>
      <c r="N960">
        <v>53588621</v>
      </c>
      <c r="O960">
        <v>45176.665278043984</v>
      </c>
      <c r="P960">
        <v>50.57</v>
      </c>
      <c r="Q960">
        <v>1</v>
      </c>
      <c r="R960">
        <v>50.57</v>
      </c>
      <c r="S960">
        <v>45189.379830289348</v>
      </c>
      <c r="T960">
        <v>5503</v>
      </c>
      <c r="U960" t="s">
        <v>1218</v>
      </c>
      <c r="V960" t="s">
        <v>1157</v>
      </c>
      <c r="W960" t="s">
        <v>1091</v>
      </c>
      <c r="X960" t="s">
        <v>1091</v>
      </c>
      <c r="AD960">
        <v>830523</v>
      </c>
      <c r="AE960" t="s">
        <v>1292</v>
      </c>
      <c r="AF960">
        <v>45189.379830057871</v>
      </c>
      <c r="AI960">
        <v>62</v>
      </c>
      <c r="AJ960">
        <v>62</v>
      </c>
      <c r="AK960" t="s">
        <v>1219</v>
      </c>
      <c r="AN960">
        <v>45170</v>
      </c>
      <c r="AO960">
        <v>45199</v>
      </c>
      <c r="AP960" t="s">
        <v>1101</v>
      </c>
    </row>
    <row r="961" spans="1:42" x14ac:dyDescent="0.25">
      <c r="A961">
        <v>2023</v>
      </c>
      <c r="B961">
        <v>9</v>
      </c>
      <c r="C961">
        <v>17</v>
      </c>
      <c r="D961" t="s">
        <v>1088</v>
      </c>
      <c r="E961" t="s">
        <v>282</v>
      </c>
      <c r="F961">
        <v>384980</v>
      </c>
      <c r="G961">
        <v>10281300</v>
      </c>
      <c r="H961" t="s">
        <v>282</v>
      </c>
      <c r="J961">
        <v>53962425</v>
      </c>
      <c r="K961">
        <v>1100</v>
      </c>
      <c r="L961">
        <v>1700</v>
      </c>
      <c r="M961">
        <v>1304</v>
      </c>
      <c r="N961">
        <v>53588621</v>
      </c>
      <c r="O961">
        <v>45176.665278043984</v>
      </c>
      <c r="P961">
        <v>165.43</v>
      </c>
      <c r="Q961">
        <v>1</v>
      </c>
      <c r="R961">
        <v>165.43</v>
      </c>
      <c r="S961">
        <v>45189.379830289348</v>
      </c>
      <c r="T961">
        <v>5504</v>
      </c>
      <c r="U961" t="s">
        <v>1220</v>
      </c>
      <c r="V961" t="s">
        <v>1221</v>
      </c>
      <c r="W961" t="s">
        <v>2</v>
      </c>
      <c r="X961" t="s">
        <v>1091</v>
      </c>
      <c r="AD961">
        <v>830523</v>
      </c>
      <c r="AE961" t="s">
        <v>1292</v>
      </c>
      <c r="AF961">
        <v>45189.379830057871</v>
      </c>
      <c r="AI961">
        <v>62</v>
      </c>
      <c r="AJ961">
        <v>62</v>
      </c>
      <c r="AN961">
        <v>45170</v>
      </c>
      <c r="AO961">
        <v>45199</v>
      </c>
      <c r="AP961" t="s">
        <v>1101</v>
      </c>
    </row>
    <row r="962" spans="1:42" x14ac:dyDescent="0.25">
      <c r="A962">
        <v>2023</v>
      </c>
      <c r="B962">
        <v>9</v>
      </c>
      <c r="C962">
        <v>17</v>
      </c>
      <c r="D962" t="s">
        <v>1088</v>
      </c>
      <c r="E962" t="s">
        <v>282</v>
      </c>
      <c r="F962">
        <v>614222</v>
      </c>
      <c r="G962">
        <v>10223430</v>
      </c>
      <c r="H962" t="s">
        <v>282</v>
      </c>
      <c r="J962">
        <v>53962426</v>
      </c>
      <c r="K962">
        <v>1101</v>
      </c>
      <c r="L962">
        <v>1702</v>
      </c>
      <c r="M962">
        <v>1301</v>
      </c>
      <c r="N962">
        <v>53259534</v>
      </c>
      <c r="O962">
        <v>45166.66383888889</v>
      </c>
      <c r="P962">
        <v>165.43</v>
      </c>
      <c r="Q962">
        <v>1</v>
      </c>
      <c r="R962">
        <v>165.43</v>
      </c>
      <c r="S962">
        <v>45189.379830289348</v>
      </c>
      <c r="T962">
        <v>5502</v>
      </c>
      <c r="U962" t="s">
        <v>1217</v>
      </c>
      <c r="V962" t="s">
        <v>1155</v>
      </c>
      <c r="W962" t="s">
        <v>1091</v>
      </c>
      <c r="X962" t="s">
        <v>1091</v>
      </c>
      <c r="AD962">
        <v>830523</v>
      </c>
      <c r="AE962" t="s">
        <v>1292</v>
      </c>
      <c r="AF962">
        <v>45189.379830057871</v>
      </c>
      <c r="AI962">
        <v>62</v>
      </c>
      <c r="AJ962">
        <v>62</v>
      </c>
      <c r="AN962">
        <v>45170</v>
      </c>
      <c r="AO962">
        <v>45199</v>
      </c>
      <c r="AP962" t="s">
        <v>1101</v>
      </c>
    </row>
    <row r="963" spans="1:42" x14ac:dyDescent="0.25">
      <c r="A963">
        <v>2023</v>
      </c>
      <c r="B963">
        <v>9</v>
      </c>
      <c r="C963">
        <v>17</v>
      </c>
      <c r="D963" t="s">
        <v>1088</v>
      </c>
      <c r="E963" t="s">
        <v>282</v>
      </c>
      <c r="F963">
        <v>614222</v>
      </c>
      <c r="G963">
        <v>10223430</v>
      </c>
      <c r="H963" t="s">
        <v>282</v>
      </c>
      <c r="J963">
        <v>53962427</v>
      </c>
      <c r="K963">
        <v>1103</v>
      </c>
      <c r="L963">
        <v>1702</v>
      </c>
      <c r="M963">
        <v>1301</v>
      </c>
      <c r="N963">
        <v>53259534</v>
      </c>
      <c r="O963">
        <v>45166.66383888889</v>
      </c>
      <c r="P963">
        <v>50.57</v>
      </c>
      <c r="Q963">
        <v>1</v>
      </c>
      <c r="R963">
        <v>50.57</v>
      </c>
      <c r="S963">
        <v>45189.379830289348</v>
      </c>
      <c r="T963">
        <v>5503</v>
      </c>
      <c r="U963" t="s">
        <v>1218</v>
      </c>
      <c r="V963" t="s">
        <v>1157</v>
      </c>
      <c r="W963" t="s">
        <v>1091</v>
      </c>
      <c r="X963" t="s">
        <v>1091</v>
      </c>
      <c r="AD963">
        <v>830523</v>
      </c>
      <c r="AE963" t="s">
        <v>1292</v>
      </c>
      <c r="AF963">
        <v>45189.379830057871</v>
      </c>
      <c r="AI963">
        <v>62</v>
      </c>
      <c r="AJ963">
        <v>62</v>
      </c>
      <c r="AK963" t="s">
        <v>1219</v>
      </c>
      <c r="AN963">
        <v>45170</v>
      </c>
      <c r="AO963">
        <v>45199</v>
      </c>
      <c r="AP963" t="s">
        <v>1101</v>
      </c>
    </row>
    <row r="964" spans="1:42" x14ac:dyDescent="0.25">
      <c r="A964">
        <v>2023</v>
      </c>
      <c r="B964">
        <v>9</v>
      </c>
      <c r="C964">
        <v>17</v>
      </c>
      <c r="D964" t="s">
        <v>1088</v>
      </c>
      <c r="E964" t="s">
        <v>282</v>
      </c>
      <c r="F964">
        <v>614222</v>
      </c>
      <c r="G964">
        <v>10223430</v>
      </c>
      <c r="H964" t="s">
        <v>282</v>
      </c>
      <c r="J964">
        <v>53962428</v>
      </c>
      <c r="K964">
        <v>1101</v>
      </c>
      <c r="L964">
        <v>1702</v>
      </c>
      <c r="M964">
        <v>1301</v>
      </c>
      <c r="N964">
        <v>53259537</v>
      </c>
      <c r="O964">
        <v>45166.663927777779</v>
      </c>
      <c r="P964">
        <v>165.43</v>
      </c>
      <c r="Q964">
        <v>1</v>
      </c>
      <c r="R964">
        <v>165.43</v>
      </c>
      <c r="S964">
        <v>45189.379830289348</v>
      </c>
      <c r="T964">
        <v>5502</v>
      </c>
      <c r="U964" t="s">
        <v>1217</v>
      </c>
      <c r="V964" t="s">
        <v>1155</v>
      </c>
      <c r="W964" t="s">
        <v>1091</v>
      </c>
      <c r="X964" t="s">
        <v>1091</v>
      </c>
      <c r="AD964">
        <v>830523</v>
      </c>
      <c r="AE964" t="s">
        <v>1292</v>
      </c>
      <c r="AF964">
        <v>45189.379830057871</v>
      </c>
      <c r="AI964">
        <v>62</v>
      </c>
      <c r="AJ964">
        <v>62</v>
      </c>
      <c r="AN964">
        <v>45170</v>
      </c>
      <c r="AO964">
        <v>45199</v>
      </c>
      <c r="AP964" t="s">
        <v>1101</v>
      </c>
    </row>
    <row r="965" spans="1:42" x14ac:dyDescent="0.25">
      <c r="A965">
        <v>2023</v>
      </c>
      <c r="B965">
        <v>9</v>
      </c>
      <c r="C965">
        <v>17</v>
      </c>
      <c r="D965" t="s">
        <v>1088</v>
      </c>
      <c r="E965" t="s">
        <v>282</v>
      </c>
      <c r="F965">
        <v>614222</v>
      </c>
      <c r="G965">
        <v>10223430</v>
      </c>
      <c r="H965" t="s">
        <v>282</v>
      </c>
      <c r="J965">
        <v>53962429</v>
      </c>
      <c r="K965">
        <v>1103</v>
      </c>
      <c r="L965">
        <v>1702</v>
      </c>
      <c r="M965">
        <v>1301</v>
      </c>
      <c r="N965">
        <v>53259537</v>
      </c>
      <c r="O965">
        <v>45166.663927777779</v>
      </c>
      <c r="P965">
        <v>50.57</v>
      </c>
      <c r="Q965">
        <v>1</v>
      </c>
      <c r="R965">
        <v>50.57</v>
      </c>
      <c r="S965">
        <v>45189.379830289348</v>
      </c>
      <c r="T965">
        <v>5503</v>
      </c>
      <c r="U965" t="s">
        <v>1218</v>
      </c>
      <c r="V965" t="s">
        <v>1157</v>
      </c>
      <c r="W965" t="s">
        <v>1091</v>
      </c>
      <c r="X965" t="s">
        <v>1091</v>
      </c>
      <c r="AD965">
        <v>830523</v>
      </c>
      <c r="AE965" t="s">
        <v>1292</v>
      </c>
      <c r="AF965">
        <v>45189.379830057871</v>
      </c>
      <c r="AI965">
        <v>62</v>
      </c>
      <c r="AJ965">
        <v>62</v>
      </c>
      <c r="AK965" t="s">
        <v>1219</v>
      </c>
      <c r="AN965">
        <v>45170</v>
      </c>
      <c r="AO965">
        <v>45199</v>
      </c>
      <c r="AP965" t="s">
        <v>1101</v>
      </c>
    </row>
    <row r="966" spans="1:42" x14ac:dyDescent="0.25">
      <c r="A966">
        <v>2023</v>
      </c>
      <c r="B966">
        <v>9</v>
      </c>
      <c r="C966">
        <v>17</v>
      </c>
      <c r="D966" t="s">
        <v>1088</v>
      </c>
      <c r="E966" t="s">
        <v>282</v>
      </c>
      <c r="F966">
        <v>417873</v>
      </c>
      <c r="G966">
        <v>10380511</v>
      </c>
      <c r="H966" t="s">
        <v>282</v>
      </c>
      <c r="J966">
        <v>54005444</v>
      </c>
      <c r="K966">
        <v>1100</v>
      </c>
      <c r="L966">
        <v>1700</v>
      </c>
      <c r="M966">
        <v>1304</v>
      </c>
      <c r="P966">
        <v>150</v>
      </c>
      <c r="Q966">
        <v>1</v>
      </c>
      <c r="R966">
        <v>150</v>
      </c>
      <c r="S966">
        <v>45190.562017592594</v>
      </c>
      <c r="T966">
        <v>5500</v>
      </c>
      <c r="U966" t="s">
        <v>1154</v>
      </c>
      <c r="V966" t="s">
        <v>99</v>
      </c>
      <c r="W966" t="s">
        <v>2</v>
      </c>
      <c r="AI966">
        <v>62</v>
      </c>
      <c r="AJ966">
        <v>62</v>
      </c>
      <c r="AN966">
        <v>45170</v>
      </c>
      <c r="AO966">
        <v>45199</v>
      </c>
      <c r="AP966" t="s">
        <v>1101</v>
      </c>
    </row>
    <row r="967" spans="1:42" x14ac:dyDescent="0.25">
      <c r="A967">
        <v>2023</v>
      </c>
      <c r="B967">
        <v>9</v>
      </c>
      <c r="C967">
        <v>17</v>
      </c>
      <c r="D967" t="s">
        <v>1088</v>
      </c>
      <c r="E967" t="s">
        <v>282</v>
      </c>
      <c r="F967">
        <v>417873</v>
      </c>
      <c r="G967">
        <v>10380511</v>
      </c>
      <c r="H967" t="s">
        <v>282</v>
      </c>
      <c r="J967">
        <v>54005449</v>
      </c>
      <c r="K967">
        <v>1100</v>
      </c>
      <c r="L967">
        <v>1700</v>
      </c>
      <c r="M967">
        <v>1304</v>
      </c>
      <c r="P967">
        <v>150</v>
      </c>
      <c r="Q967">
        <v>1</v>
      </c>
      <c r="R967">
        <v>150</v>
      </c>
      <c r="S967">
        <v>45190.562136192129</v>
      </c>
      <c r="T967">
        <v>5500</v>
      </c>
      <c r="U967" t="s">
        <v>1154</v>
      </c>
      <c r="V967" t="s">
        <v>99</v>
      </c>
      <c r="W967" t="s">
        <v>2</v>
      </c>
      <c r="AI967">
        <v>62</v>
      </c>
      <c r="AJ967">
        <v>62</v>
      </c>
      <c r="AN967">
        <v>45170</v>
      </c>
      <c r="AO967">
        <v>45199</v>
      </c>
      <c r="AP967" t="s">
        <v>1101</v>
      </c>
    </row>
    <row r="968" spans="1:42" x14ac:dyDescent="0.25">
      <c r="A968">
        <v>2023</v>
      </c>
      <c r="B968">
        <v>9</v>
      </c>
      <c r="C968">
        <v>17</v>
      </c>
      <c r="D968" t="s">
        <v>1088</v>
      </c>
      <c r="E968" t="s">
        <v>282</v>
      </c>
      <c r="F968">
        <v>417873</v>
      </c>
      <c r="G968">
        <v>10380511</v>
      </c>
      <c r="H968" t="s">
        <v>282</v>
      </c>
      <c r="J968">
        <v>54005453</v>
      </c>
      <c r="K968">
        <v>1100</v>
      </c>
      <c r="L968">
        <v>1700</v>
      </c>
      <c r="M968">
        <v>1304</v>
      </c>
      <c r="P968">
        <v>18</v>
      </c>
      <c r="Q968">
        <v>1</v>
      </c>
      <c r="R968">
        <v>18</v>
      </c>
      <c r="S968">
        <v>45190.562192048608</v>
      </c>
      <c r="T968">
        <v>5500</v>
      </c>
      <c r="U968" t="s">
        <v>1154</v>
      </c>
      <c r="V968" t="s">
        <v>99</v>
      </c>
      <c r="W968" t="s">
        <v>2</v>
      </c>
      <c r="AI968">
        <v>62</v>
      </c>
      <c r="AJ968">
        <v>62</v>
      </c>
      <c r="AN968">
        <v>45170</v>
      </c>
      <c r="AO968">
        <v>45199</v>
      </c>
      <c r="AP968" t="s">
        <v>1101</v>
      </c>
    </row>
    <row r="969" spans="1:42" x14ac:dyDescent="0.25">
      <c r="A969">
        <v>2023</v>
      </c>
      <c r="B969">
        <v>9</v>
      </c>
      <c r="C969">
        <v>17</v>
      </c>
      <c r="D969" t="s">
        <v>1088</v>
      </c>
      <c r="E969" t="s">
        <v>282</v>
      </c>
      <c r="F969">
        <v>376248</v>
      </c>
      <c r="G969">
        <v>10303835</v>
      </c>
      <c r="H969" t="s">
        <v>282</v>
      </c>
      <c r="J969">
        <v>54037186</v>
      </c>
      <c r="K969">
        <v>1101</v>
      </c>
      <c r="L969">
        <v>1702</v>
      </c>
      <c r="M969">
        <v>1301</v>
      </c>
      <c r="N969">
        <v>53352116</v>
      </c>
      <c r="O969">
        <v>45168.618442511572</v>
      </c>
      <c r="P969">
        <v>116</v>
      </c>
      <c r="Q969">
        <v>1</v>
      </c>
      <c r="R969">
        <v>116</v>
      </c>
      <c r="S969">
        <v>45191.439559375001</v>
      </c>
      <c r="T969">
        <v>5502</v>
      </c>
      <c r="U969" t="s">
        <v>1217</v>
      </c>
      <c r="V969" t="s">
        <v>1155</v>
      </c>
      <c r="W969" t="s">
        <v>1031</v>
      </c>
      <c r="X969" t="s">
        <v>1031</v>
      </c>
      <c r="AD969">
        <v>831554</v>
      </c>
      <c r="AE969" t="s">
        <v>1290</v>
      </c>
      <c r="AF969">
        <v>45191.439558993057</v>
      </c>
      <c r="AI969">
        <v>62</v>
      </c>
      <c r="AJ969">
        <v>62</v>
      </c>
      <c r="AN969">
        <v>45170</v>
      </c>
      <c r="AO969">
        <v>45199</v>
      </c>
      <c r="AP969" t="s">
        <v>1101</v>
      </c>
    </row>
    <row r="970" spans="1:42" x14ac:dyDescent="0.25">
      <c r="A970">
        <v>2023</v>
      </c>
      <c r="B970">
        <v>9</v>
      </c>
      <c r="C970">
        <v>17</v>
      </c>
      <c r="D970" t="s">
        <v>1088</v>
      </c>
      <c r="E970" t="s">
        <v>282</v>
      </c>
      <c r="F970">
        <v>617337</v>
      </c>
      <c r="G970">
        <v>10405636</v>
      </c>
      <c r="H970" t="s">
        <v>282</v>
      </c>
      <c r="J970">
        <v>54051630</v>
      </c>
      <c r="K970">
        <v>1100</v>
      </c>
      <c r="L970">
        <v>1700</v>
      </c>
      <c r="M970">
        <v>1301</v>
      </c>
      <c r="P970">
        <v>216</v>
      </c>
      <c r="Q970">
        <v>1</v>
      </c>
      <c r="R970">
        <v>216</v>
      </c>
      <c r="S970">
        <v>45191.570462650459</v>
      </c>
      <c r="T970">
        <v>5500</v>
      </c>
      <c r="U970" t="s">
        <v>1151</v>
      </c>
      <c r="V970" t="s">
        <v>99</v>
      </c>
      <c r="W970" t="s">
        <v>1091</v>
      </c>
      <c r="X970" t="s">
        <v>1091</v>
      </c>
      <c r="AA970">
        <v>57970</v>
      </c>
      <c r="AB970" t="s">
        <v>1223</v>
      </c>
      <c r="AC970">
        <v>45193.083569062503</v>
      </c>
      <c r="AI970">
        <v>62</v>
      </c>
      <c r="AJ970">
        <v>62</v>
      </c>
      <c r="AN970">
        <v>45170</v>
      </c>
      <c r="AO970">
        <v>45199</v>
      </c>
      <c r="AP970" t="s">
        <v>1101</v>
      </c>
    </row>
    <row r="971" spans="1:42" x14ac:dyDescent="0.25">
      <c r="A971">
        <v>2023</v>
      </c>
      <c r="B971">
        <v>9</v>
      </c>
      <c r="C971">
        <v>17</v>
      </c>
      <c r="D971" t="s">
        <v>1088</v>
      </c>
      <c r="E971" t="s">
        <v>282</v>
      </c>
      <c r="F971">
        <v>617337</v>
      </c>
      <c r="G971">
        <v>10405636</v>
      </c>
      <c r="H971" t="s">
        <v>282</v>
      </c>
      <c r="J971">
        <v>54051635</v>
      </c>
      <c r="K971">
        <v>1100</v>
      </c>
      <c r="L971">
        <v>1700</v>
      </c>
      <c r="M971">
        <v>1301</v>
      </c>
      <c r="P971">
        <v>216</v>
      </c>
      <c r="Q971">
        <v>1</v>
      </c>
      <c r="R971">
        <v>216</v>
      </c>
      <c r="S971">
        <v>45191.570562384259</v>
      </c>
      <c r="T971">
        <v>5500</v>
      </c>
      <c r="U971" t="s">
        <v>1151</v>
      </c>
      <c r="V971" t="s">
        <v>99</v>
      </c>
      <c r="W971" t="s">
        <v>1091</v>
      </c>
      <c r="X971" t="s">
        <v>1091</v>
      </c>
      <c r="AA971">
        <v>57970</v>
      </c>
      <c r="AB971" t="s">
        <v>1223</v>
      </c>
      <c r="AC971">
        <v>45193.083569062503</v>
      </c>
      <c r="AI971">
        <v>62</v>
      </c>
      <c r="AJ971">
        <v>62</v>
      </c>
      <c r="AN971">
        <v>45170</v>
      </c>
      <c r="AO971">
        <v>45199</v>
      </c>
      <c r="AP971" t="s">
        <v>1101</v>
      </c>
    </row>
    <row r="972" spans="1:42" x14ac:dyDescent="0.25">
      <c r="A972">
        <v>2023</v>
      </c>
      <c r="B972">
        <v>9</v>
      </c>
      <c r="C972">
        <v>17</v>
      </c>
      <c r="D972" t="s">
        <v>1088</v>
      </c>
      <c r="E972" t="s">
        <v>282</v>
      </c>
      <c r="F972">
        <v>604926</v>
      </c>
      <c r="G972">
        <v>10387076</v>
      </c>
      <c r="H972" t="s">
        <v>282</v>
      </c>
      <c r="J972">
        <v>54082109</v>
      </c>
      <c r="K972">
        <v>1100</v>
      </c>
      <c r="L972">
        <v>1700</v>
      </c>
      <c r="M972">
        <v>1304</v>
      </c>
      <c r="P972">
        <v>150</v>
      </c>
      <c r="Q972">
        <v>1</v>
      </c>
      <c r="R972">
        <v>150</v>
      </c>
      <c r="S972">
        <v>45194.426830439814</v>
      </c>
      <c r="T972">
        <v>5500</v>
      </c>
      <c r="U972" t="s">
        <v>1154</v>
      </c>
      <c r="V972" t="s">
        <v>99</v>
      </c>
      <c r="W972" t="s">
        <v>2</v>
      </c>
      <c r="AI972">
        <v>62</v>
      </c>
      <c r="AJ972">
        <v>62</v>
      </c>
      <c r="AN972">
        <v>45170</v>
      </c>
      <c r="AO972">
        <v>45199</v>
      </c>
      <c r="AP972" t="s">
        <v>1101</v>
      </c>
    </row>
    <row r="973" spans="1:42" x14ac:dyDescent="0.25">
      <c r="A973">
        <v>2023</v>
      </c>
      <c r="B973">
        <v>9</v>
      </c>
      <c r="C973">
        <v>17</v>
      </c>
      <c r="D973" t="s">
        <v>1088</v>
      </c>
      <c r="E973" t="s">
        <v>282</v>
      </c>
      <c r="F973">
        <v>604926</v>
      </c>
      <c r="G973">
        <v>10387076</v>
      </c>
      <c r="H973" t="s">
        <v>282</v>
      </c>
      <c r="J973">
        <v>54082113</v>
      </c>
      <c r="K973">
        <v>1100</v>
      </c>
      <c r="L973">
        <v>1700</v>
      </c>
      <c r="M973">
        <v>1304</v>
      </c>
      <c r="P973">
        <v>150</v>
      </c>
      <c r="Q973">
        <v>1</v>
      </c>
      <c r="R973">
        <v>150</v>
      </c>
      <c r="S973">
        <v>45194.426952858797</v>
      </c>
      <c r="T973">
        <v>5500</v>
      </c>
      <c r="U973" t="s">
        <v>1154</v>
      </c>
      <c r="V973" t="s">
        <v>99</v>
      </c>
      <c r="W973" t="s">
        <v>2</v>
      </c>
      <c r="AI973">
        <v>62</v>
      </c>
      <c r="AJ973">
        <v>62</v>
      </c>
      <c r="AN973">
        <v>45170</v>
      </c>
      <c r="AO973">
        <v>45199</v>
      </c>
      <c r="AP973" t="s">
        <v>1101</v>
      </c>
    </row>
    <row r="974" spans="1:42" x14ac:dyDescent="0.25">
      <c r="A974">
        <v>2023</v>
      </c>
      <c r="B974">
        <v>9</v>
      </c>
      <c r="C974">
        <v>17</v>
      </c>
      <c r="D974" t="s">
        <v>1088</v>
      </c>
      <c r="E974" t="s">
        <v>282</v>
      </c>
      <c r="F974">
        <v>378635</v>
      </c>
      <c r="G974">
        <v>10405779</v>
      </c>
      <c r="H974" t="s">
        <v>282</v>
      </c>
      <c r="J974">
        <v>54069476</v>
      </c>
      <c r="K974">
        <v>1104</v>
      </c>
      <c r="L974">
        <v>1702</v>
      </c>
      <c r="M974">
        <v>1304</v>
      </c>
      <c r="N974">
        <v>54040796</v>
      </c>
      <c r="O974">
        <v>45191.478243437501</v>
      </c>
      <c r="P974">
        <v>216</v>
      </c>
      <c r="Q974">
        <v>1</v>
      </c>
      <c r="R974">
        <v>216</v>
      </c>
      <c r="S974">
        <v>45192.067372569443</v>
      </c>
      <c r="T974">
        <v>5509</v>
      </c>
      <c r="U974" t="s">
        <v>1152</v>
      </c>
      <c r="V974" t="s">
        <v>1153</v>
      </c>
      <c r="W974" t="s">
        <v>2</v>
      </c>
      <c r="AI974">
        <v>62</v>
      </c>
      <c r="AJ974">
        <v>62</v>
      </c>
      <c r="AN974">
        <v>45170</v>
      </c>
      <c r="AO974">
        <v>45199</v>
      </c>
      <c r="AP974" t="s">
        <v>1101</v>
      </c>
    </row>
    <row r="975" spans="1:42" x14ac:dyDescent="0.25">
      <c r="A975">
        <v>2023</v>
      </c>
      <c r="B975">
        <v>9</v>
      </c>
      <c r="C975">
        <v>17</v>
      </c>
      <c r="D975" t="s">
        <v>1088</v>
      </c>
      <c r="E975" t="s">
        <v>282</v>
      </c>
      <c r="F975">
        <v>378635</v>
      </c>
      <c r="G975">
        <v>10405779</v>
      </c>
      <c r="H975" t="s">
        <v>282</v>
      </c>
      <c r="J975">
        <v>54069477</v>
      </c>
      <c r="K975">
        <v>1104</v>
      </c>
      <c r="L975">
        <v>1702</v>
      </c>
      <c r="M975">
        <v>1304</v>
      </c>
      <c r="N975">
        <v>54040797</v>
      </c>
      <c r="O975">
        <v>45191.478360150461</v>
      </c>
      <c r="P975">
        <v>216</v>
      </c>
      <c r="Q975">
        <v>1</v>
      </c>
      <c r="R975">
        <v>216</v>
      </c>
      <c r="S975">
        <v>45192.067372569443</v>
      </c>
      <c r="T975">
        <v>5509</v>
      </c>
      <c r="U975" t="s">
        <v>1152</v>
      </c>
      <c r="V975" t="s">
        <v>1153</v>
      </c>
      <c r="W975" t="s">
        <v>2</v>
      </c>
      <c r="AI975">
        <v>62</v>
      </c>
      <c r="AJ975">
        <v>62</v>
      </c>
      <c r="AN975">
        <v>45170</v>
      </c>
      <c r="AO975">
        <v>45199</v>
      </c>
      <c r="AP975" t="s">
        <v>1101</v>
      </c>
    </row>
    <row r="976" spans="1:42" x14ac:dyDescent="0.25">
      <c r="A976">
        <v>2023</v>
      </c>
      <c r="B976">
        <v>9</v>
      </c>
      <c r="C976">
        <v>17</v>
      </c>
      <c r="D976" t="s">
        <v>1088</v>
      </c>
      <c r="E976" t="s">
        <v>282</v>
      </c>
      <c r="F976">
        <v>378635</v>
      </c>
      <c r="G976">
        <v>10405779</v>
      </c>
      <c r="H976" t="s">
        <v>282</v>
      </c>
      <c r="J976">
        <v>54069478</v>
      </c>
      <c r="K976">
        <v>1104</v>
      </c>
      <c r="L976">
        <v>1702</v>
      </c>
      <c r="M976">
        <v>1304</v>
      </c>
      <c r="N976">
        <v>54040798</v>
      </c>
      <c r="O976">
        <v>45191.47842230324</v>
      </c>
      <c r="P976">
        <v>18</v>
      </c>
      <c r="Q976">
        <v>1</v>
      </c>
      <c r="R976">
        <v>18</v>
      </c>
      <c r="S976">
        <v>45192.067372569443</v>
      </c>
      <c r="T976">
        <v>5509</v>
      </c>
      <c r="U976" t="s">
        <v>1152</v>
      </c>
      <c r="V976" t="s">
        <v>1153</v>
      </c>
      <c r="W976" t="s">
        <v>2</v>
      </c>
      <c r="AI976">
        <v>62</v>
      </c>
      <c r="AJ976">
        <v>62</v>
      </c>
      <c r="AN976">
        <v>45170</v>
      </c>
      <c r="AO976">
        <v>45199</v>
      </c>
      <c r="AP976" t="s">
        <v>1101</v>
      </c>
    </row>
    <row r="977" spans="1:42" x14ac:dyDescent="0.25">
      <c r="A977">
        <v>2023</v>
      </c>
      <c r="B977">
        <v>9</v>
      </c>
      <c r="C977">
        <v>17</v>
      </c>
      <c r="D977" t="s">
        <v>1088</v>
      </c>
      <c r="E977" t="s">
        <v>282</v>
      </c>
      <c r="F977">
        <v>580115</v>
      </c>
      <c r="G977">
        <v>10380011</v>
      </c>
      <c r="H977" t="s">
        <v>282</v>
      </c>
      <c r="J977">
        <v>54076881</v>
      </c>
      <c r="K977">
        <v>1100</v>
      </c>
      <c r="L977">
        <v>1700</v>
      </c>
      <c r="M977">
        <v>1304</v>
      </c>
      <c r="P977">
        <v>18</v>
      </c>
      <c r="Q977">
        <v>1</v>
      </c>
      <c r="R977">
        <v>18</v>
      </c>
      <c r="S977">
        <v>45194.36352939815</v>
      </c>
      <c r="T977">
        <v>5500</v>
      </c>
      <c r="U977" t="s">
        <v>1154</v>
      </c>
      <c r="V977" t="s">
        <v>99</v>
      </c>
      <c r="W977" t="s">
        <v>2</v>
      </c>
      <c r="AI977">
        <v>62</v>
      </c>
      <c r="AJ977">
        <v>62</v>
      </c>
      <c r="AN977">
        <v>45170</v>
      </c>
      <c r="AO977">
        <v>45199</v>
      </c>
      <c r="AP977" t="s">
        <v>1101</v>
      </c>
    </row>
    <row r="978" spans="1:42" x14ac:dyDescent="0.25">
      <c r="A978">
        <v>2023</v>
      </c>
      <c r="B978">
        <v>9</v>
      </c>
      <c r="C978">
        <v>17</v>
      </c>
      <c r="D978" t="s">
        <v>1088</v>
      </c>
      <c r="E978" t="s">
        <v>282</v>
      </c>
      <c r="F978">
        <v>580115</v>
      </c>
      <c r="G978">
        <v>10380011</v>
      </c>
      <c r="H978" t="s">
        <v>282</v>
      </c>
      <c r="J978">
        <v>54076897</v>
      </c>
      <c r="K978">
        <v>1105</v>
      </c>
      <c r="L978">
        <v>1702</v>
      </c>
      <c r="M978">
        <v>1300</v>
      </c>
      <c r="N978">
        <v>53989924</v>
      </c>
      <c r="O978">
        <v>45190.391307835649</v>
      </c>
      <c r="P978">
        <v>18</v>
      </c>
      <c r="Q978">
        <v>1</v>
      </c>
      <c r="R978">
        <v>-18</v>
      </c>
      <c r="S978">
        <v>45194.363607604166</v>
      </c>
      <c r="T978">
        <v>5511</v>
      </c>
      <c r="U978" t="s">
        <v>1156</v>
      </c>
      <c r="V978" t="s">
        <v>99</v>
      </c>
      <c r="W978" t="s">
        <v>1091</v>
      </c>
      <c r="X978" t="s">
        <v>1091</v>
      </c>
      <c r="AI978">
        <v>62</v>
      </c>
      <c r="AJ978">
        <v>62</v>
      </c>
      <c r="AN978">
        <v>45170</v>
      </c>
      <c r="AO978">
        <v>45199</v>
      </c>
      <c r="AP978" t="s">
        <v>1101</v>
      </c>
    </row>
    <row r="979" spans="1:42" x14ac:dyDescent="0.25">
      <c r="A979">
        <v>2023</v>
      </c>
      <c r="B979">
        <v>9</v>
      </c>
      <c r="C979">
        <v>17</v>
      </c>
      <c r="D979" t="s">
        <v>1088</v>
      </c>
      <c r="E979" t="s">
        <v>282</v>
      </c>
      <c r="F979">
        <v>580115</v>
      </c>
      <c r="G979">
        <v>10380011</v>
      </c>
      <c r="H979" t="s">
        <v>282</v>
      </c>
      <c r="J979">
        <v>54076898</v>
      </c>
      <c r="K979">
        <v>1104</v>
      </c>
      <c r="L979">
        <v>1702</v>
      </c>
      <c r="M979">
        <v>1304</v>
      </c>
      <c r="N979">
        <v>53989923</v>
      </c>
      <c r="O979">
        <v>45190.39123202546</v>
      </c>
      <c r="P979">
        <v>81.260000000000005</v>
      </c>
      <c r="Q979">
        <v>1</v>
      </c>
      <c r="R979">
        <v>81.260000000000005</v>
      </c>
      <c r="S979">
        <v>45194.363747916665</v>
      </c>
      <c r="T979">
        <v>5509</v>
      </c>
      <c r="U979" t="s">
        <v>1152</v>
      </c>
      <c r="V979" t="s">
        <v>1153</v>
      </c>
      <c r="W979" t="s">
        <v>2</v>
      </c>
      <c r="AI979">
        <v>62</v>
      </c>
      <c r="AJ979">
        <v>62</v>
      </c>
      <c r="AN979">
        <v>45170</v>
      </c>
      <c r="AO979">
        <v>45199</v>
      </c>
      <c r="AP979" t="s">
        <v>1101</v>
      </c>
    </row>
    <row r="980" spans="1:42" x14ac:dyDescent="0.25">
      <c r="A980">
        <v>2023</v>
      </c>
      <c r="B980">
        <v>9</v>
      </c>
      <c r="C980">
        <v>17</v>
      </c>
      <c r="D980" t="s">
        <v>1088</v>
      </c>
      <c r="E980" t="s">
        <v>282</v>
      </c>
      <c r="F980">
        <v>580115</v>
      </c>
      <c r="G980">
        <v>10380011</v>
      </c>
      <c r="H980" t="s">
        <v>282</v>
      </c>
      <c r="J980">
        <v>54076899</v>
      </c>
      <c r="K980">
        <v>1104</v>
      </c>
      <c r="L980">
        <v>1702</v>
      </c>
      <c r="M980">
        <v>1304</v>
      </c>
      <c r="N980">
        <v>54076881</v>
      </c>
      <c r="O980">
        <v>45194.36352939815</v>
      </c>
      <c r="P980">
        <v>18</v>
      </c>
      <c r="Q980">
        <v>1</v>
      </c>
      <c r="R980">
        <v>18</v>
      </c>
      <c r="S980">
        <v>45194.363848113426</v>
      </c>
      <c r="T980">
        <v>5509</v>
      </c>
      <c r="U980" t="s">
        <v>1152</v>
      </c>
      <c r="V980" t="s">
        <v>1153</v>
      </c>
      <c r="W980" t="s">
        <v>2</v>
      </c>
      <c r="AI980">
        <v>62</v>
      </c>
      <c r="AJ980">
        <v>62</v>
      </c>
      <c r="AN980">
        <v>45170</v>
      </c>
      <c r="AO980">
        <v>45199</v>
      </c>
      <c r="AP980" t="s">
        <v>1101</v>
      </c>
    </row>
    <row r="981" spans="1:42" x14ac:dyDescent="0.25">
      <c r="A981">
        <v>2023</v>
      </c>
      <c r="B981">
        <v>9</v>
      </c>
      <c r="C981">
        <v>17</v>
      </c>
      <c r="D981" t="s">
        <v>1088</v>
      </c>
      <c r="E981" t="s">
        <v>282</v>
      </c>
      <c r="F981">
        <v>624918</v>
      </c>
      <c r="G981">
        <v>10427374</v>
      </c>
      <c r="H981" t="s">
        <v>282</v>
      </c>
      <c r="J981">
        <v>54108327</v>
      </c>
      <c r="K981">
        <v>1100</v>
      </c>
      <c r="L981">
        <v>1700</v>
      </c>
      <c r="M981">
        <v>1301</v>
      </c>
      <c r="P981">
        <v>7.5</v>
      </c>
      <c r="Q981">
        <v>2</v>
      </c>
      <c r="R981">
        <v>15</v>
      </c>
      <c r="S981">
        <v>45194.698980011577</v>
      </c>
      <c r="T981">
        <v>5500</v>
      </c>
      <c r="U981" t="s">
        <v>1151</v>
      </c>
      <c r="V981" t="s">
        <v>99</v>
      </c>
      <c r="W981" t="s">
        <v>1031</v>
      </c>
      <c r="X981" t="s">
        <v>1031</v>
      </c>
      <c r="AA981">
        <v>58008</v>
      </c>
      <c r="AB981" t="s">
        <v>1223</v>
      </c>
      <c r="AC981">
        <v>45196.087766550925</v>
      </c>
      <c r="AI981">
        <v>62</v>
      </c>
      <c r="AJ981">
        <v>62</v>
      </c>
      <c r="AN981">
        <v>45170</v>
      </c>
      <c r="AO981">
        <v>45199</v>
      </c>
      <c r="AP981" t="s">
        <v>1101</v>
      </c>
    </row>
    <row r="982" spans="1:42" x14ac:dyDescent="0.25">
      <c r="A982">
        <v>2023</v>
      </c>
      <c r="B982">
        <v>9</v>
      </c>
      <c r="C982">
        <v>17</v>
      </c>
      <c r="D982" t="s">
        <v>1088</v>
      </c>
      <c r="E982" t="s">
        <v>282</v>
      </c>
      <c r="F982">
        <v>624867</v>
      </c>
      <c r="G982">
        <v>10426711</v>
      </c>
      <c r="H982" t="s">
        <v>282</v>
      </c>
      <c r="J982">
        <v>54108264</v>
      </c>
      <c r="K982">
        <v>1100</v>
      </c>
      <c r="L982">
        <v>1700</v>
      </c>
      <c r="M982">
        <v>1301</v>
      </c>
      <c r="P982">
        <v>216</v>
      </c>
      <c r="Q982">
        <v>1</v>
      </c>
      <c r="R982">
        <v>216</v>
      </c>
      <c r="S982">
        <v>45194.694861608798</v>
      </c>
      <c r="T982">
        <v>5500</v>
      </c>
      <c r="U982" t="s">
        <v>1151</v>
      </c>
      <c r="V982" t="s">
        <v>99</v>
      </c>
      <c r="W982" t="s">
        <v>1091</v>
      </c>
      <c r="X982" t="s">
        <v>1091</v>
      </c>
      <c r="AA982">
        <v>58040</v>
      </c>
      <c r="AB982" t="s">
        <v>1223</v>
      </c>
      <c r="AC982">
        <v>45198.087912997682</v>
      </c>
      <c r="AI982">
        <v>62</v>
      </c>
      <c r="AJ982">
        <v>62</v>
      </c>
      <c r="AN982">
        <v>45170</v>
      </c>
      <c r="AO982">
        <v>45199</v>
      </c>
      <c r="AP982" t="s">
        <v>1101</v>
      </c>
    </row>
    <row r="983" spans="1:42" x14ac:dyDescent="0.25">
      <c r="A983">
        <v>2023</v>
      </c>
      <c r="B983">
        <v>9</v>
      </c>
      <c r="C983">
        <v>17</v>
      </c>
      <c r="D983" t="s">
        <v>1088</v>
      </c>
      <c r="E983" t="s">
        <v>282</v>
      </c>
      <c r="F983">
        <v>624867</v>
      </c>
      <c r="G983">
        <v>10426711</v>
      </c>
      <c r="H983" t="s">
        <v>282</v>
      </c>
      <c r="J983">
        <v>54108267</v>
      </c>
      <c r="K983">
        <v>1100</v>
      </c>
      <c r="L983">
        <v>1700</v>
      </c>
      <c r="M983">
        <v>1301</v>
      </c>
      <c r="P983">
        <v>216</v>
      </c>
      <c r="Q983">
        <v>1</v>
      </c>
      <c r="R983">
        <v>216</v>
      </c>
      <c r="S983">
        <v>45194.694955868057</v>
      </c>
      <c r="T983">
        <v>5500</v>
      </c>
      <c r="U983" t="s">
        <v>1151</v>
      </c>
      <c r="V983" t="s">
        <v>99</v>
      </c>
      <c r="W983" t="s">
        <v>1091</v>
      </c>
      <c r="X983" t="s">
        <v>1091</v>
      </c>
      <c r="AA983">
        <v>58040</v>
      </c>
      <c r="AB983" t="s">
        <v>1223</v>
      </c>
      <c r="AC983">
        <v>45198.087912997682</v>
      </c>
      <c r="AI983">
        <v>62</v>
      </c>
      <c r="AJ983">
        <v>62</v>
      </c>
      <c r="AN983">
        <v>45170</v>
      </c>
      <c r="AO983">
        <v>45199</v>
      </c>
      <c r="AP983" t="s">
        <v>1101</v>
      </c>
    </row>
    <row r="984" spans="1:42" x14ac:dyDescent="0.25">
      <c r="A984">
        <v>2023</v>
      </c>
      <c r="B984">
        <v>9</v>
      </c>
      <c r="C984">
        <v>17</v>
      </c>
      <c r="D984" t="s">
        <v>1088</v>
      </c>
      <c r="E984" t="s">
        <v>282</v>
      </c>
      <c r="F984">
        <v>624918</v>
      </c>
      <c r="G984">
        <v>10427374</v>
      </c>
      <c r="H984" t="s">
        <v>282</v>
      </c>
      <c r="J984">
        <v>54108320</v>
      </c>
      <c r="K984">
        <v>1100</v>
      </c>
      <c r="L984">
        <v>1700</v>
      </c>
      <c r="M984">
        <v>1301</v>
      </c>
      <c r="P984">
        <v>85</v>
      </c>
      <c r="Q984">
        <v>1</v>
      </c>
      <c r="R984">
        <v>85</v>
      </c>
      <c r="S984">
        <v>45194.698853784721</v>
      </c>
      <c r="T984">
        <v>5500</v>
      </c>
      <c r="U984" t="s">
        <v>1151</v>
      </c>
      <c r="V984" t="s">
        <v>99</v>
      </c>
      <c r="W984" t="s">
        <v>1031</v>
      </c>
      <c r="X984" t="s">
        <v>1031</v>
      </c>
      <c r="AA984">
        <v>58008</v>
      </c>
      <c r="AB984" t="s">
        <v>1223</v>
      </c>
      <c r="AC984">
        <v>45196.087766550925</v>
      </c>
      <c r="AI984">
        <v>62</v>
      </c>
      <c r="AJ984">
        <v>62</v>
      </c>
      <c r="AN984">
        <v>45170</v>
      </c>
      <c r="AO984">
        <v>45199</v>
      </c>
      <c r="AP984" t="s">
        <v>1101</v>
      </c>
    </row>
    <row r="985" spans="1:42" x14ac:dyDescent="0.25">
      <c r="A985">
        <v>2023</v>
      </c>
      <c r="B985">
        <v>9</v>
      </c>
      <c r="C985">
        <v>17</v>
      </c>
      <c r="D985" t="s">
        <v>1088</v>
      </c>
      <c r="E985" t="s">
        <v>282</v>
      </c>
      <c r="F985">
        <v>624918</v>
      </c>
      <c r="G985">
        <v>10427374</v>
      </c>
      <c r="H985" t="s">
        <v>282</v>
      </c>
      <c r="J985">
        <v>54108331</v>
      </c>
      <c r="K985">
        <v>1100</v>
      </c>
      <c r="L985">
        <v>1700</v>
      </c>
      <c r="M985">
        <v>1301</v>
      </c>
      <c r="P985">
        <v>8</v>
      </c>
      <c r="Q985">
        <v>2</v>
      </c>
      <c r="R985">
        <v>16</v>
      </c>
      <c r="S985">
        <v>45194.699156828705</v>
      </c>
      <c r="T985">
        <v>5500</v>
      </c>
      <c r="U985" t="s">
        <v>1151</v>
      </c>
      <c r="V985" t="s">
        <v>99</v>
      </c>
      <c r="W985" t="s">
        <v>1031</v>
      </c>
      <c r="X985" t="s">
        <v>1031</v>
      </c>
      <c r="AA985">
        <v>58008</v>
      </c>
      <c r="AB985" t="s">
        <v>1223</v>
      </c>
      <c r="AC985">
        <v>45196.087766550925</v>
      </c>
      <c r="AI985">
        <v>62</v>
      </c>
      <c r="AJ985">
        <v>62</v>
      </c>
      <c r="AN985">
        <v>45170</v>
      </c>
      <c r="AO985">
        <v>45199</v>
      </c>
      <c r="AP985" t="s">
        <v>1101</v>
      </c>
    </row>
    <row r="986" spans="1:42" x14ac:dyDescent="0.25">
      <c r="A986">
        <v>2023</v>
      </c>
      <c r="B986">
        <v>9</v>
      </c>
      <c r="C986">
        <v>17</v>
      </c>
      <c r="D986" t="s">
        <v>1088</v>
      </c>
      <c r="E986" t="s">
        <v>282</v>
      </c>
      <c r="F986">
        <v>624918</v>
      </c>
      <c r="G986">
        <v>10427374</v>
      </c>
      <c r="H986" t="s">
        <v>282</v>
      </c>
      <c r="J986">
        <v>54108332</v>
      </c>
      <c r="K986">
        <v>1100</v>
      </c>
      <c r="L986">
        <v>1700</v>
      </c>
      <c r="M986">
        <v>1301</v>
      </c>
      <c r="P986">
        <v>4</v>
      </c>
      <c r="Q986">
        <v>2</v>
      </c>
      <c r="R986">
        <v>8</v>
      </c>
      <c r="S986">
        <v>45194.699288622687</v>
      </c>
      <c r="T986">
        <v>5500</v>
      </c>
      <c r="U986" t="s">
        <v>1151</v>
      </c>
      <c r="V986" t="s">
        <v>99</v>
      </c>
      <c r="W986" t="s">
        <v>1031</v>
      </c>
      <c r="X986" t="s">
        <v>1031</v>
      </c>
      <c r="AA986">
        <v>58008</v>
      </c>
      <c r="AB986" t="s">
        <v>1223</v>
      </c>
      <c r="AC986">
        <v>45196.087766550925</v>
      </c>
      <c r="AI986">
        <v>62</v>
      </c>
      <c r="AJ986">
        <v>62</v>
      </c>
      <c r="AN986">
        <v>45170</v>
      </c>
      <c r="AO986">
        <v>45199</v>
      </c>
      <c r="AP986" t="s">
        <v>1101</v>
      </c>
    </row>
    <row r="987" spans="1:42" x14ac:dyDescent="0.25">
      <c r="A987">
        <v>2023</v>
      </c>
      <c r="B987">
        <v>9</v>
      </c>
      <c r="C987">
        <v>17</v>
      </c>
      <c r="D987" t="s">
        <v>1088</v>
      </c>
      <c r="E987" t="s">
        <v>282</v>
      </c>
      <c r="F987">
        <v>619301</v>
      </c>
      <c r="G987">
        <v>10321726</v>
      </c>
      <c r="H987" t="s">
        <v>282</v>
      </c>
      <c r="J987">
        <v>54118369</v>
      </c>
      <c r="K987">
        <v>1104</v>
      </c>
      <c r="L987">
        <v>1702</v>
      </c>
      <c r="M987">
        <v>1304</v>
      </c>
      <c r="N987">
        <v>53487765</v>
      </c>
      <c r="O987">
        <v>45174.692086342591</v>
      </c>
      <c r="P987">
        <v>216</v>
      </c>
      <c r="Q987">
        <v>1</v>
      </c>
      <c r="R987">
        <v>216</v>
      </c>
      <c r="S987">
        <v>45195.378065243058</v>
      </c>
      <c r="T987">
        <v>5509</v>
      </c>
      <c r="U987" t="s">
        <v>1152</v>
      </c>
      <c r="V987" t="s">
        <v>1153</v>
      </c>
      <c r="W987" t="s">
        <v>2</v>
      </c>
      <c r="X987" t="s">
        <v>1090</v>
      </c>
      <c r="AI987">
        <v>62</v>
      </c>
      <c r="AJ987">
        <v>62</v>
      </c>
      <c r="AN987">
        <v>45170</v>
      </c>
      <c r="AO987">
        <v>45199</v>
      </c>
      <c r="AP987" t="s">
        <v>1101</v>
      </c>
    </row>
    <row r="988" spans="1:42" x14ac:dyDescent="0.25">
      <c r="A988">
        <v>2023</v>
      </c>
      <c r="B988">
        <v>9</v>
      </c>
      <c r="C988">
        <v>17</v>
      </c>
      <c r="D988" t="s">
        <v>1088</v>
      </c>
      <c r="E988" t="s">
        <v>282</v>
      </c>
      <c r="F988">
        <v>619301</v>
      </c>
      <c r="G988">
        <v>10321726</v>
      </c>
      <c r="H988" t="s">
        <v>282</v>
      </c>
      <c r="J988">
        <v>54118587</v>
      </c>
      <c r="K988">
        <v>1104</v>
      </c>
      <c r="L988">
        <v>1702</v>
      </c>
      <c r="M988">
        <v>1304</v>
      </c>
      <c r="N988">
        <v>53487765</v>
      </c>
      <c r="O988">
        <v>45174.692086342591</v>
      </c>
      <c r="P988">
        <v>118.5</v>
      </c>
      <c r="Q988">
        <v>1</v>
      </c>
      <c r="R988">
        <v>118.5</v>
      </c>
      <c r="S988">
        <v>45195.378234571763</v>
      </c>
      <c r="T988">
        <v>5509</v>
      </c>
      <c r="U988" t="s">
        <v>1152</v>
      </c>
      <c r="V988" t="s">
        <v>1153</v>
      </c>
      <c r="W988" t="s">
        <v>2</v>
      </c>
      <c r="X988" t="s">
        <v>1090</v>
      </c>
      <c r="AI988">
        <v>62</v>
      </c>
      <c r="AJ988">
        <v>62</v>
      </c>
      <c r="AN988">
        <v>45170</v>
      </c>
      <c r="AO988">
        <v>45199</v>
      </c>
      <c r="AP988" t="s">
        <v>1101</v>
      </c>
    </row>
    <row r="989" spans="1:42" x14ac:dyDescent="0.25">
      <c r="A989">
        <v>2023</v>
      </c>
      <c r="B989">
        <v>9</v>
      </c>
      <c r="C989">
        <v>17</v>
      </c>
      <c r="D989" t="s">
        <v>1088</v>
      </c>
      <c r="E989" t="s">
        <v>282</v>
      </c>
      <c r="F989">
        <v>474659</v>
      </c>
      <c r="G989">
        <v>10416675</v>
      </c>
      <c r="H989" t="s">
        <v>282</v>
      </c>
      <c r="J989">
        <v>54144236</v>
      </c>
      <c r="K989">
        <v>1100</v>
      </c>
      <c r="L989">
        <v>1700</v>
      </c>
      <c r="M989">
        <v>1304</v>
      </c>
      <c r="P989">
        <v>216</v>
      </c>
      <c r="Q989">
        <v>1</v>
      </c>
      <c r="R989">
        <v>216</v>
      </c>
      <c r="S989">
        <v>45195.627818483794</v>
      </c>
      <c r="T989">
        <v>5500</v>
      </c>
      <c r="U989" t="s">
        <v>1154</v>
      </c>
      <c r="V989" t="s">
        <v>99</v>
      </c>
      <c r="W989" t="s">
        <v>2</v>
      </c>
      <c r="AI989">
        <v>62</v>
      </c>
      <c r="AJ989">
        <v>62</v>
      </c>
      <c r="AN989">
        <v>45170</v>
      </c>
      <c r="AO989">
        <v>45199</v>
      </c>
      <c r="AP989" t="s">
        <v>1101</v>
      </c>
    </row>
    <row r="990" spans="1:42" x14ac:dyDescent="0.25">
      <c r="A990">
        <v>2023</v>
      </c>
      <c r="B990">
        <v>9</v>
      </c>
      <c r="C990">
        <v>17</v>
      </c>
      <c r="D990" t="s">
        <v>1088</v>
      </c>
      <c r="E990" t="s">
        <v>282</v>
      </c>
      <c r="F990">
        <v>474659</v>
      </c>
      <c r="G990">
        <v>10416675</v>
      </c>
      <c r="H990" t="s">
        <v>282</v>
      </c>
      <c r="J990">
        <v>54144240</v>
      </c>
      <c r="K990">
        <v>1100</v>
      </c>
      <c r="L990">
        <v>1700</v>
      </c>
      <c r="M990">
        <v>1304</v>
      </c>
      <c r="P990">
        <v>216</v>
      </c>
      <c r="Q990">
        <v>1</v>
      </c>
      <c r="R990">
        <v>216</v>
      </c>
      <c r="S990">
        <v>45195.627947488429</v>
      </c>
      <c r="T990">
        <v>5500</v>
      </c>
      <c r="U990" t="s">
        <v>1154</v>
      </c>
      <c r="V990" t="s">
        <v>99</v>
      </c>
      <c r="W990" t="s">
        <v>2</v>
      </c>
      <c r="AI990">
        <v>62</v>
      </c>
      <c r="AJ990">
        <v>62</v>
      </c>
      <c r="AN990">
        <v>45170</v>
      </c>
      <c r="AO990">
        <v>45199</v>
      </c>
      <c r="AP990" t="s">
        <v>1101</v>
      </c>
    </row>
    <row r="991" spans="1:42" x14ac:dyDescent="0.25">
      <c r="A991">
        <v>2023</v>
      </c>
      <c r="B991">
        <v>9</v>
      </c>
      <c r="C991">
        <v>17</v>
      </c>
      <c r="D991" t="s">
        <v>1088</v>
      </c>
      <c r="E991" t="s">
        <v>282</v>
      </c>
      <c r="F991">
        <v>474659</v>
      </c>
      <c r="G991">
        <v>10416675</v>
      </c>
      <c r="H991" t="s">
        <v>282</v>
      </c>
      <c r="J991">
        <v>54144241</v>
      </c>
      <c r="K991">
        <v>1100</v>
      </c>
      <c r="L991">
        <v>1700</v>
      </c>
      <c r="M991">
        <v>1304</v>
      </c>
      <c r="P991">
        <v>18</v>
      </c>
      <c r="Q991">
        <v>1</v>
      </c>
      <c r="R991">
        <v>18</v>
      </c>
      <c r="S991">
        <v>45195.628004085651</v>
      </c>
      <c r="T991">
        <v>5500</v>
      </c>
      <c r="U991" t="s">
        <v>1154</v>
      </c>
      <c r="V991" t="s">
        <v>99</v>
      </c>
      <c r="W991" t="s">
        <v>2</v>
      </c>
      <c r="AI991">
        <v>62</v>
      </c>
      <c r="AJ991">
        <v>62</v>
      </c>
      <c r="AN991">
        <v>45170</v>
      </c>
      <c r="AO991">
        <v>45199</v>
      </c>
      <c r="AP991" t="s">
        <v>1101</v>
      </c>
    </row>
    <row r="992" spans="1:42" x14ac:dyDescent="0.25">
      <c r="A992">
        <v>2023</v>
      </c>
      <c r="B992">
        <v>9</v>
      </c>
      <c r="C992">
        <v>17</v>
      </c>
      <c r="D992" t="s">
        <v>1088</v>
      </c>
      <c r="E992" t="s">
        <v>282</v>
      </c>
      <c r="F992">
        <v>621524</v>
      </c>
      <c r="G992">
        <v>10374535</v>
      </c>
      <c r="H992" t="s">
        <v>282</v>
      </c>
      <c r="J992">
        <v>54153937</v>
      </c>
      <c r="K992">
        <v>1100</v>
      </c>
      <c r="L992">
        <v>1700</v>
      </c>
      <c r="M992">
        <v>1301</v>
      </c>
      <c r="P992">
        <v>216</v>
      </c>
      <c r="Q992">
        <v>1</v>
      </c>
      <c r="R992">
        <v>216</v>
      </c>
      <c r="S992">
        <v>45195.684777581017</v>
      </c>
      <c r="T992">
        <v>5500</v>
      </c>
      <c r="U992" t="s">
        <v>1151</v>
      </c>
      <c r="V992" t="s">
        <v>99</v>
      </c>
      <c r="W992" t="s">
        <v>1091</v>
      </c>
      <c r="X992" t="s">
        <v>1091</v>
      </c>
      <c r="AA992">
        <v>58024</v>
      </c>
      <c r="AB992" t="s">
        <v>1223</v>
      </c>
      <c r="AC992">
        <v>45197.087670949077</v>
      </c>
      <c r="AI992">
        <v>62</v>
      </c>
      <c r="AJ992">
        <v>62</v>
      </c>
      <c r="AN992">
        <v>45170</v>
      </c>
      <c r="AO992">
        <v>45199</v>
      </c>
      <c r="AP992" t="s">
        <v>1101</v>
      </c>
    </row>
    <row r="993" spans="1:42" x14ac:dyDescent="0.25">
      <c r="A993">
        <v>2023</v>
      </c>
      <c r="B993">
        <v>9</v>
      </c>
      <c r="C993">
        <v>17</v>
      </c>
      <c r="D993" t="s">
        <v>1088</v>
      </c>
      <c r="E993" t="s">
        <v>282</v>
      </c>
      <c r="F993">
        <v>118496</v>
      </c>
      <c r="G993">
        <v>10332642</v>
      </c>
      <c r="H993" t="s">
        <v>282</v>
      </c>
      <c r="J993">
        <v>54154596</v>
      </c>
      <c r="K993">
        <v>1105</v>
      </c>
      <c r="L993">
        <v>1702</v>
      </c>
      <c r="M993">
        <v>1300</v>
      </c>
      <c r="N993">
        <v>53530262</v>
      </c>
      <c r="O993">
        <v>45175.695372719907</v>
      </c>
      <c r="P993">
        <v>116</v>
      </c>
      <c r="Q993">
        <v>1</v>
      </c>
      <c r="R993">
        <v>-116</v>
      </c>
      <c r="S993">
        <v>45195.691204201386</v>
      </c>
      <c r="T993">
        <v>5511</v>
      </c>
      <c r="U993" t="s">
        <v>1156</v>
      </c>
      <c r="V993" t="s">
        <v>99</v>
      </c>
      <c r="W993" t="s">
        <v>1031</v>
      </c>
      <c r="X993" t="s">
        <v>1031</v>
      </c>
      <c r="AI993">
        <v>62</v>
      </c>
      <c r="AJ993">
        <v>62</v>
      </c>
      <c r="AN993">
        <v>45170</v>
      </c>
      <c r="AO993">
        <v>45199</v>
      </c>
      <c r="AP993" t="s">
        <v>1101</v>
      </c>
    </row>
    <row r="994" spans="1:42" x14ac:dyDescent="0.25">
      <c r="A994">
        <v>2023</v>
      </c>
      <c r="B994">
        <v>9</v>
      </c>
      <c r="C994">
        <v>17</v>
      </c>
      <c r="D994" t="s">
        <v>1088</v>
      </c>
      <c r="E994" t="s">
        <v>282</v>
      </c>
      <c r="F994">
        <v>118496</v>
      </c>
      <c r="G994">
        <v>10332642</v>
      </c>
      <c r="H994" t="s">
        <v>282</v>
      </c>
      <c r="J994">
        <v>54154597</v>
      </c>
      <c r="K994">
        <v>1105</v>
      </c>
      <c r="L994">
        <v>1702</v>
      </c>
      <c r="M994">
        <v>1300</v>
      </c>
      <c r="N994">
        <v>53530266</v>
      </c>
      <c r="O994">
        <v>45175.695480752314</v>
      </c>
      <c r="P994">
        <v>116</v>
      </c>
      <c r="Q994">
        <v>1</v>
      </c>
      <c r="R994">
        <v>-116</v>
      </c>
      <c r="S994">
        <v>45195.691266122682</v>
      </c>
      <c r="T994">
        <v>5511</v>
      </c>
      <c r="U994" t="s">
        <v>1156</v>
      </c>
      <c r="V994" t="s">
        <v>99</v>
      </c>
      <c r="W994" t="s">
        <v>1031</v>
      </c>
      <c r="X994" t="s">
        <v>1031</v>
      </c>
      <c r="AI994">
        <v>62</v>
      </c>
      <c r="AJ994">
        <v>62</v>
      </c>
      <c r="AN994">
        <v>45170</v>
      </c>
      <c r="AO994">
        <v>45199</v>
      </c>
      <c r="AP994" t="s">
        <v>1101</v>
      </c>
    </row>
    <row r="995" spans="1:42" x14ac:dyDescent="0.25">
      <c r="A995">
        <v>2023</v>
      </c>
      <c r="B995">
        <v>9</v>
      </c>
      <c r="C995">
        <v>17</v>
      </c>
      <c r="D995" t="s">
        <v>1088</v>
      </c>
      <c r="E995" t="s">
        <v>282</v>
      </c>
      <c r="F995">
        <v>118496</v>
      </c>
      <c r="G995">
        <v>10332642</v>
      </c>
      <c r="H995" t="s">
        <v>282</v>
      </c>
      <c r="J995">
        <v>54154599</v>
      </c>
      <c r="K995">
        <v>1105</v>
      </c>
      <c r="L995">
        <v>1702</v>
      </c>
      <c r="M995">
        <v>1300</v>
      </c>
      <c r="N995">
        <v>53530267</v>
      </c>
      <c r="O995">
        <v>45175.695548460651</v>
      </c>
      <c r="P995">
        <v>15</v>
      </c>
      <c r="Q995">
        <v>1</v>
      </c>
      <c r="R995">
        <v>-15</v>
      </c>
      <c r="S995">
        <v>45195.691307719906</v>
      </c>
      <c r="T995">
        <v>5511</v>
      </c>
      <c r="U995" t="s">
        <v>1156</v>
      </c>
      <c r="V995" t="s">
        <v>99</v>
      </c>
      <c r="W995" t="s">
        <v>1031</v>
      </c>
      <c r="X995" t="s">
        <v>1031</v>
      </c>
      <c r="AI995">
        <v>62</v>
      </c>
      <c r="AJ995">
        <v>62</v>
      </c>
      <c r="AN995">
        <v>45170</v>
      </c>
      <c r="AO995">
        <v>45199</v>
      </c>
      <c r="AP995" t="s">
        <v>1101</v>
      </c>
    </row>
    <row r="996" spans="1:42" x14ac:dyDescent="0.25">
      <c r="A996">
        <v>2023</v>
      </c>
      <c r="B996">
        <v>9</v>
      </c>
      <c r="C996">
        <v>17</v>
      </c>
      <c r="D996" t="s">
        <v>1088</v>
      </c>
      <c r="E996" t="s">
        <v>282</v>
      </c>
      <c r="F996">
        <v>118496</v>
      </c>
      <c r="G996">
        <v>10332642</v>
      </c>
      <c r="H996" t="s">
        <v>282</v>
      </c>
      <c r="J996">
        <v>54154603</v>
      </c>
      <c r="K996">
        <v>1100</v>
      </c>
      <c r="L996">
        <v>1700</v>
      </c>
      <c r="M996">
        <v>1304</v>
      </c>
      <c r="P996">
        <v>116</v>
      </c>
      <c r="Q996">
        <v>1</v>
      </c>
      <c r="R996">
        <v>116</v>
      </c>
      <c r="S996">
        <v>45195.691427349535</v>
      </c>
      <c r="T996">
        <v>5500</v>
      </c>
      <c r="U996" t="s">
        <v>1154</v>
      </c>
      <c r="V996" t="s">
        <v>99</v>
      </c>
      <c r="W996" t="s">
        <v>2</v>
      </c>
      <c r="AI996">
        <v>62</v>
      </c>
      <c r="AJ996">
        <v>62</v>
      </c>
      <c r="AN996">
        <v>45170</v>
      </c>
      <c r="AO996">
        <v>45199</v>
      </c>
      <c r="AP996" t="s">
        <v>1101</v>
      </c>
    </row>
    <row r="997" spans="1:42" x14ac:dyDescent="0.25">
      <c r="A997">
        <v>2023</v>
      </c>
      <c r="B997">
        <v>9</v>
      </c>
      <c r="C997">
        <v>17</v>
      </c>
      <c r="D997" t="s">
        <v>1088</v>
      </c>
      <c r="E997" t="s">
        <v>282</v>
      </c>
      <c r="F997">
        <v>118496</v>
      </c>
      <c r="G997">
        <v>10332642</v>
      </c>
      <c r="H997" t="s">
        <v>282</v>
      </c>
      <c r="J997">
        <v>54154616</v>
      </c>
      <c r="K997">
        <v>1100</v>
      </c>
      <c r="L997">
        <v>1700</v>
      </c>
      <c r="M997">
        <v>1304</v>
      </c>
      <c r="P997">
        <v>116</v>
      </c>
      <c r="Q997">
        <v>1</v>
      </c>
      <c r="R997">
        <v>116</v>
      </c>
      <c r="S997">
        <v>45195.691616006945</v>
      </c>
      <c r="T997">
        <v>5500</v>
      </c>
      <c r="U997" t="s">
        <v>1154</v>
      </c>
      <c r="V997" t="s">
        <v>99</v>
      </c>
      <c r="W997" t="s">
        <v>2</v>
      </c>
      <c r="AI997">
        <v>62</v>
      </c>
      <c r="AJ997">
        <v>62</v>
      </c>
      <c r="AN997">
        <v>45170</v>
      </c>
      <c r="AO997">
        <v>45199</v>
      </c>
      <c r="AP997" t="s">
        <v>1101</v>
      </c>
    </row>
    <row r="998" spans="1:42" x14ac:dyDescent="0.25">
      <c r="A998">
        <v>2023</v>
      </c>
      <c r="B998">
        <v>9</v>
      </c>
      <c r="C998">
        <v>17</v>
      </c>
      <c r="D998" t="s">
        <v>1088</v>
      </c>
      <c r="E998" t="s">
        <v>282</v>
      </c>
      <c r="F998">
        <v>118496</v>
      </c>
      <c r="G998">
        <v>10332642</v>
      </c>
      <c r="H998" t="s">
        <v>282</v>
      </c>
      <c r="J998">
        <v>54154629</v>
      </c>
      <c r="K998">
        <v>1100</v>
      </c>
      <c r="L998">
        <v>1700</v>
      </c>
      <c r="M998">
        <v>1304</v>
      </c>
      <c r="P998">
        <v>15</v>
      </c>
      <c r="Q998">
        <v>1</v>
      </c>
      <c r="R998">
        <v>15</v>
      </c>
      <c r="S998">
        <v>45195.691738807873</v>
      </c>
      <c r="T998">
        <v>5500</v>
      </c>
      <c r="U998" t="s">
        <v>1154</v>
      </c>
      <c r="V998" t="s">
        <v>99</v>
      </c>
      <c r="W998" t="s">
        <v>2</v>
      </c>
      <c r="AI998">
        <v>62</v>
      </c>
      <c r="AJ998">
        <v>62</v>
      </c>
      <c r="AN998">
        <v>45170</v>
      </c>
      <c r="AO998">
        <v>45199</v>
      </c>
      <c r="AP998" t="s">
        <v>1101</v>
      </c>
    </row>
    <row r="999" spans="1:42" x14ac:dyDescent="0.25">
      <c r="A999">
        <v>2023</v>
      </c>
      <c r="B999">
        <v>9</v>
      </c>
      <c r="C999">
        <v>17</v>
      </c>
      <c r="D999" t="s">
        <v>1088</v>
      </c>
      <c r="E999" t="s">
        <v>282</v>
      </c>
      <c r="F999">
        <v>605038</v>
      </c>
      <c r="G999">
        <v>10438271</v>
      </c>
      <c r="H999" t="s">
        <v>282</v>
      </c>
      <c r="J999">
        <v>54190247</v>
      </c>
      <c r="K999">
        <v>1100</v>
      </c>
      <c r="L999">
        <v>1700</v>
      </c>
      <c r="M999">
        <v>1301</v>
      </c>
      <c r="P999">
        <v>116</v>
      </c>
      <c r="Q999">
        <v>1</v>
      </c>
      <c r="R999">
        <v>116</v>
      </c>
      <c r="S999">
        <v>45196.554924305558</v>
      </c>
      <c r="T999">
        <v>5500</v>
      </c>
      <c r="U999" t="s">
        <v>1151</v>
      </c>
      <c r="V999" t="s">
        <v>99</v>
      </c>
      <c r="W999" t="s">
        <v>1031</v>
      </c>
      <c r="X999" t="s">
        <v>1031</v>
      </c>
      <c r="AA999">
        <v>58024</v>
      </c>
      <c r="AB999" t="s">
        <v>1223</v>
      </c>
      <c r="AC999">
        <v>45197.087670949077</v>
      </c>
      <c r="AI999">
        <v>62</v>
      </c>
      <c r="AJ999">
        <v>62</v>
      </c>
      <c r="AN999">
        <v>45170</v>
      </c>
      <c r="AO999">
        <v>45199</v>
      </c>
      <c r="AP999" t="s">
        <v>1101</v>
      </c>
    </row>
    <row r="1000" spans="1:42" x14ac:dyDescent="0.25">
      <c r="A1000">
        <v>2023</v>
      </c>
      <c r="B1000">
        <v>9</v>
      </c>
      <c r="C1000">
        <v>17</v>
      </c>
      <c r="D1000" t="s">
        <v>1088</v>
      </c>
      <c r="E1000" t="s">
        <v>282</v>
      </c>
      <c r="F1000">
        <v>605038</v>
      </c>
      <c r="G1000">
        <v>10438271</v>
      </c>
      <c r="H1000" t="s">
        <v>282</v>
      </c>
      <c r="J1000">
        <v>54190248</v>
      </c>
      <c r="K1000">
        <v>1100</v>
      </c>
      <c r="L1000">
        <v>1700</v>
      </c>
      <c r="M1000">
        <v>1301</v>
      </c>
      <c r="P1000">
        <v>116</v>
      </c>
      <c r="Q1000">
        <v>1</v>
      </c>
      <c r="R1000">
        <v>116</v>
      </c>
      <c r="S1000">
        <v>45196.555001620371</v>
      </c>
      <c r="T1000">
        <v>5500</v>
      </c>
      <c r="U1000" t="s">
        <v>1151</v>
      </c>
      <c r="V1000" t="s">
        <v>99</v>
      </c>
      <c r="W1000" t="s">
        <v>1031</v>
      </c>
      <c r="X1000" t="s">
        <v>1031</v>
      </c>
      <c r="AA1000">
        <v>58024</v>
      </c>
      <c r="AB1000" t="s">
        <v>1223</v>
      </c>
      <c r="AC1000">
        <v>45197.087670949077</v>
      </c>
      <c r="AI1000">
        <v>62</v>
      </c>
      <c r="AJ1000">
        <v>62</v>
      </c>
      <c r="AN1000">
        <v>45170</v>
      </c>
      <c r="AO1000">
        <v>45199</v>
      </c>
      <c r="AP1000" t="s">
        <v>1101</v>
      </c>
    </row>
    <row r="1001" spans="1:42" x14ac:dyDescent="0.25">
      <c r="A1001">
        <v>2023</v>
      </c>
      <c r="B1001">
        <v>9</v>
      </c>
      <c r="C1001">
        <v>17</v>
      </c>
      <c r="D1001" t="s">
        <v>1088</v>
      </c>
      <c r="E1001" t="s">
        <v>282</v>
      </c>
      <c r="F1001">
        <v>625458</v>
      </c>
      <c r="G1001">
        <v>10437250</v>
      </c>
      <c r="H1001" t="s">
        <v>282</v>
      </c>
      <c r="J1001">
        <v>54178732</v>
      </c>
      <c r="K1001">
        <v>1100</v>
      </c>
      <c r="L1001">
        <v>1700</v>
      </c>
      <c r="M1001">
        <v>1301</v>
      </c>
      <c r="P1001">
        <v>85</v>
      </c>
      <c r="Q1001">
        <v>1</v>
      </c>
      <c r="R1001">
        <v>85</v>
      </c>
      <c r="S1001">
        <v>45196.429325347221</v>
      </c>
      <c r="T1001">
        <v>5500</v>
      </c>
      <c r="U1001" t="s">
        <v>1151</v>
      </c>
      <c r="V1001" t="s">
        <v>99</v>
      </c>
      <c r="W1001" t="s">
        <v>1031</v>
      </c>
      <c r="X1001" t="s">
        <v>1031</v>
      </c>
      <c r="AA1001">
        <v>58040</v>
      </c>
      <c r="AB1001" t="s">
        <v>1223</v>
      </c>
      <c r="AC1001">
        <v>45198.087912997682</v>
      </c>
      <c r="AI1001">
        <v>62</v>
      </c>
      <c r="AJ1001">
        <v>62</v>
      </c>
      <c r="AN1001">
        <v>45170</v>
      </c>
      <c r="AO1001">
        <v>45199</v>
      </c>
      <c r="AP1001" t="s">
        <v>1101</v>
      </c>
    </row>
    <row r="1002" spans="1:42" x14ac:dyDescent="0.25">
      <c r="A1002">
        <v>2023</v>
      </c>
      <c r="B1002">
        <v>9</v>
      </c>
      <c r="C1002">
        <v>17</v>
      </c>
      <c r="D1002" t="s">
        <v>1088</v>
      </c>
      <c r="E1002" t="s">
        <v>282</v>
      </c>
      <c r="F1002">
        <v>625458</v>
      </c>
      <c r="G1002">
        <v>10437250</v>
      </c>
      <c r="H1002" t="s">
        <v>282</v>
      </c>
      <c r="J1002">
        <v>54178749</v>
      </c>
      <c r="K1002">
        <v>1100</v>
      </c>
      <c r="L1002">
        <v>1700</v>
      </c>
      <c r="M1002">
        <v>1301</v>
      </c>
      <c r="P1002">
        <v>7.5</v>
      </c>
      <c r="Q1002">
        <v>2</v>
      </c>
      <c r="R1002">
        <v>15</v>
      </c>
      <c r="S1002">
        <v>45196.430082141203</v>
      </c>
      <c r="T1002">
        <v>5500</v>
      </c>
      <c r="U1002" t="s">
        <v>1151</v>
      </c>
      <c r="V1002" t="s">
        <v>99</v>
      </c>
      <c r="W1002" t="s">
        <v>1031</v>
      </c>
      <c r="X1002" t="s">
        <v>1031</v>
      </c>
      <c r="AA1002">
        <v>58040</v>
      </c>
      <c r="AB1002" t="s">
        <v>1223</v>
      </c>
      <c r="AC1002">
        <v>45198.087912997682</v>
      </c>
      <c r="AI1002">
        <v>62</v>
      </c>
      <c r="AJ1002">
        <v>62</v>
      </c>
      <c r="AN1002">
        <v>45170</v>
      </c>
      <c r="AO1002">
        <v>45199</v>
      </c>
      <c r="AP1002" t="s">
        <v>1101</v>
      </c>
    </row>
    <row r="1003" spans="1:42" x14ac:dyDescent="0.25">
      <c r="A1003">
        <v>2023</v>
      </c>
      <c r="B1003">
        <v>9</v>
      </c>
      <c r="C1003">
        <v>17</v>
      </c>
      <c r="D1003" t="s">
        <v>1088</v>
      </c>
      <c r="E1003" t="s">
        <v>282</v>
      </c>
      <c r="F1003">
        <v>625458</v>
      </c>
      <c r="G1003">
        <v>10437250</v>
      </c>
      <c r="H1003" t="s">
        <v>282</v>
      </c>
      <c r="J1003">
        <v>54178755</v>
      </c>
      <c r="K1003">
        <v>1100</v>
      </c>
      <c r="L1003">
        <v>1700</v>
      </c>
      <c r="M1003">
        <v>1301</v>
      </c>
      <c r="P1003">
        <v>12.5</v>
      </c>
      <c r="Q1003">
        <v>2</v>
      </c>
      <c r="R1003">
        <v>25</v>
      </c>
      <c r="S1003">
        <v>45196.430425844905</v>
      </c>
      <c r="T1003">
        <v>5500</v>
      </c>
      <c r="U1003" t="s">
        <v>1151</v>
      </c>
      <c r="V1003" t="s">
        <v>99</v>
      </c>
      <c r="W1003" t="s">
        <v>1031</v>
      </c>
      <c r="X1003" t="s">
        <v>1031</v>
      </c>
      <c r="AA1003">
        <v>58040</v>
      </c>
      <c r="AB1003" t="s">
        <v>1223</v>
      </c>
      <c r="AC1003">
        <v>45198.087912997682</v>
      </c>
      <c r="AI1003">
        <v>62</v>
      </c>
      <c r="AJ1003">
        <v>62</v>
      </c>
      <c r="AN1003">
        <v>45170</v>
      </c>
      <c r="AO1003">
        <v>45199</v>
      </c>
      <c r="AP1003" t="s">
        <v>1101</v>
      </c>
    </row>
    <row r="1004" spans="1:42" x14ac:dyDescent="0.25">
      <c r="A1004">
        <v>2023</v>
      </c>
      <c r="B1004">
        <v>9</v>
      </c>
      <c r="C1004">
        <v>17</v>
      </c>
      <c r="D1004" t="s">
        <v>1088</v>
      </c>
      <c r="E1004" t="s">
        <v>282</v>
      </c>
      <c r="F1004">
        <v>625458</v>
      </c>
      <c r="G1004">
        <v>10437250</v>
      </c>
      <c r="H1004" t="s">
        <v>282</v>
      </c>
      <c r="J1004">
        <v>54178758</v>
      </c>
      <c r="K1004">
        <v>1100</v>
      </c>
      <c r="L1004">
        <v>1700</v>
      </c>
      <c r="M1004">
        <v>1301</v>
      </c>
      <c r="P1004">
        <v>8</v>
      </c>
      <c r="Q1004">
        <v>2</v>
      </c>
      <c r="R1004">
        <v>16</v>
      </c>
      <c r="S1004">
        <v>45196.430794872686</v>
      </c>
      <c r="T1004">
        <v>5500</v>
      </c>
      <c r="U1004" t="s">
        <v>1151</v>
      </c>
      <c r="V1004" t="s">
        <v>99</v>
      </c>
      <c r="W1004" t="s">
        <v>1031</v>
      </c>
      <c r="X1004" t="s">
        <v>1031</v>
      </c>
      <c r="AA1004">
        <v>58040</v>
      </c>
      <c r="AB1004" t="s">
        <v>1223</v>
      </c>
      <c r="AC1004">
        <v>45198.087912997682</v>
      </c>
      <c r="AI1004">
        <v>62</v>
      </c>
      <c r="AJ1004">
        <v>62</v>
      </c>
      <c r="AN1004">
        <v>45170</v>
      </c>
      <c r="AO1004">
        <v>45199</v>
      </c>
      <c r="AP1004" t="s">
        <v>1101</v>
      </c>
    </row>
    <row r="1005" spans="1:42" x14ac:dyDescent="0.25">
      <c r="A1005">
        <v>2023</v>
      </c>
      <c r="B1005">
        <v>9</v>
      </c>
      <c r="C1005">
        <v>17</v>
      </c>
      <c r="D1005" t="s">
        <v>1088</v>
      </c>
      <c r="E1005" t="s">
        <v>282</v>
      </c>
      <c r="F1005">
        <v>624386</v>
      </c>
      <c r="G1005">
        <v>10417183</v>
      </c>
      <c r="H1005" t="s">
        <v>282</v>
      </c>
      <c r="J1005">
        <v>54254671</v>
      </c>
      <c r="K1005">
        <v>1104</v>
      </c>
      <c r="L1005">
        <v>1702</v>
      </c>
      <c r="M1005">
        <v>1304</v>
      </c>
      <c r="N1005">
        <v>54242764</v>
      </c>
      <c r="O1005">
        <v>45197.62684178241</v>
      </c>
      <c r="P1005">
        <v>216</v>
      </c>
      <c r="Q1005">
        <v>1</v>
      </c>
      <c r="R1005">
        <v>216</v>
      </c>
      <c r="S1005">
        <v>45198.067372337966</v>
      </c>
      <c r="T1005">
        <v>5509</v>
      </c>
      <c r="U1005" t="s">
        <v>1152</v>
      </c>
      <c r="V1005" t="s">
        <v>1153</v>
      </c>
      <c r="W1005" t="s">
        <v>2</v>
      </c>
      <c r="AI1005">
        <v>62</v>
      </c>
      <c r="AJ1005">
        <v>62</v>
      </c>
      <c r="AN1005">
        <v>45170</v>
      </c>
      <c r="AO1005">
        <v>45199</v>
      </c>
      <c r="AP1005" t="s">
        <v>1101</v>
      </c>
    </row>
    <row r="1006" spans="1:42" x14ac:dyDescent="0.25">
      <c r="A1006">
        <v>2023</v>
      </c>
      <c r="B1006">
        <v>9</v>
      </c>
      <c r="C1006">
        <v>17</v>
      </c>
      <c r="D1006" t="s">
        <v>1088</v>
      </c>
      <c r="E1006" t="s">
        <v>282</v>
      </c>
      <c r="F1006">
        <v>624386</v>
      </c>
      <c r="G1006">
        <v>10417183</v>
      </c>
      <c r="H1006" t="s">
        <v>282</v>
      </c>
      <c r="J1006">
        <v>54254672</v>
      </c>
      <c r="K1006">
        <v>1104</v>
      </c>
      <c r="L1006">
        <v>1702</v>
      </c>
      <c r="M1006">
        <v>1304</v>
      </c>
      <c r="N1006">
        <v>54242768</v>
      </c>
      <c r="O1006">
        <v>45197.62695489583</v>
      </c>
      <c r="P1006">
        <v>9</v>
      </c>
      <c r="Q1006">
        <v>1</v>
      </c>
      <c r="R1006">
        <v>9</v>
      </c>
      <c r="S1006">
        <v>45198.067372337966</v>
      </c>
      <c r="T1006">
        <v>5509</v>
      </c>
      <c r="U1006" t="s">
        <v>1152</v>
      </c>
      <c r="V1006" t="s">
        <v>1153</v>
      </c>
      <c r="W1006" t="s">
        <v>2</v>
      </c>
      <c r="AI1006">
        <v>62</v>
      </c>
      <c r="AJ1006">
        <v>62</v>
      </c>
      <c r="AN1006">
        <v>45170</v>
      </c>
      <c r="AO1006">
        <v>45199</v>
      </c>
      <c r="AP1006" t="s">
        <v>1101</v>
      </c>
    </row>
    <row r="1007" spans="1:42" x14ac:dyDescent="0.25">
      <c r="A1007">
        <v>2023</v>
      </c>
      <c r="B1007">
        <v>9</v>
      </c>
      <c r="C1007">
        <v>17</v>
      </c>
      <c r="D1007" t="s">
        <v>1088</v>
      </c>
      <c r="E1007" t="s">
        <v>282</v>
      </c>
      <c r="F1007">
        <v>390261</v>
      </c>
      <c r="H1007" t="s">
        <v>282</v>
      </c>
      <c r="I1007">
        <v>1243913</v>
      </c>
      <c r="M1007">
        <v>1304</v>
      </c>
      <c r="P1007">
        <v>225</v>
      </c>
      <c r="Q1007">
        <v>1</v>
      </c>
      <c r="R1007">
        <v>225</v>
      </c>
      <c r="S1007">
        <v>45180</v>
      </c>
      <c r="U1007" t="s">
        <v>222</v>
      </c>
      <c r="V1007" t="s">
        <v>102</v>
      </c>
      <c r="AI1007">
        <v>62</v>
      </c>
      <c r="AL1007" t="s">
        <v>1159</v>
      </c>
      <c r="AM1007" t="s">
        <v>282</v>
      </c>
      <c r="AN1007">
        <v>45170</v>
      </c>
      <c r="AO1007">
        <v>45199</v>
      </c>
      <c r="AP1007" t="s">
        <v>1101</v>
      </c>
    </row>
    <row r="1008" spans="1:42" x14ac:dyDescent="0.25">
      <c r="A1008">
        <v>2023</v>
      </c>
      <c r="B1008">
        <v>9</v>
      </c>
      <c r="C1008">
        <v>17</v>
      </c>
      <c r="D1008" t="s">
        <v>1088</v>
      </c>
      <c r="E1008" t="s">
        <v>282</v>
      </c>
      <c r="F1008">
        <v>330438</v>
      </c>
      <c r="H1008" t="s">
        <v>282</v>
      </c>
      <c r="I1008">
        <v>1242948</v>
      </c>
      <c r="M1008">
        <v>1304</v>
      </c>
      <c r="P1008">
        <v>333</v>
      </c>
      <c r="Q1008">
        <v>1</v>
      </c>
      <c r="R1008">
        <v>333</v>
      </c>
      <c r="S1008">
        <v>45177</v>
      </c>
      <c r="U1008" t="s">
        <v>222</v>
      </c>
      <c r="V1008" t="s">
        <v>102</v>
      </c>
      <c r="W1008" t="s">
        <v>1093</v>
      </c>
      <c r="AI1008">
        <v>62</v>
      </c>
      <c r="AL1008" t="s">
        <v>1159</v>
      </c>
      <c r="AM1008" t="s">
        <v>282</v>
      </c>
      <c r="AN1008">
        <v>45170</v>
      </c>
      <c r="AO1008">
        <v>45199</v>
      </c>
      <c r="AP1008" t="s">
        <v>1101</v>
      </c>
    </row>
    <row r="1009" spans="1:42" x14ac:dyDescent="0.25">
      <c r="A1009">
        <v>2023</v>
      </c>
      <c r="B1009">
        <v>9</v>
      </c>
      <c r="C1009">
        <v>17</v>
      </c>
      <c r="D1009" t="s">
        <v>1088</v>
      </c>
      <c r="E1009" t="s">
        <v>282</v>
      </c>
      <c r="F1009">
        <v>399512</v>
      </c>
      <c r="H1009" t="s">
        <v>282</v>
      </c>
      <c r="I1009">
        <v>1240816</v>
      </c>
      <c r="M1009">
        <v>1304</v>
      </c>
      <c r="P1009">
        <v>100</v>
      </c>
      <c r="Q1009">
        <v>1</v>
      </c>
      <c r="R1009">
        <v>100</v>
      </c>
      <c r="S1009">
        <v>45175</v>
      </c>
      <c r="U1009" t="s">
        <v>222</v>
      </c>
      <c r="V1009" t="s">
        <v>102</v>
      </c>
      <c r="AI1009">
        <v>62</v>
      </c>
      <c r="AL1009" t="s">
        <v>1159</v>
      </c>
      <c r="AM1009" t="s">
        <v>282</v>
      </c>
      <c r="AN1009">
        <v>45170</v>
      </c>
      <c r="AO1009">
        <v>45199</v>
      </c>
      <c r="AP1009" t="s">
        <v>1101</v>
      </c>
    </row>
    <row r="1010" spans="1:42" x14ac:dyDescent="0.25">
      <c r="A1010">
        <v>2023</v>
      </c>
      <c r="B1010">
        <v>9</v>
      </c>
      <c r="C1010">
        <v>17</v>
      </c>
      <c r="D1010" t="s">
        <v>1088</v>
      </c>
      <c r="E1010" t="s">
        <v>282</v>
      </c>
      <c r="F1010">
        <v>403402</v>
      </c>
      <c r="H1010" t="s">
        <v>282</v>
      </c>
      <c r="I1010">
        <v>1242506</v>
      </c>
      <c r="M1010">
        <v>1304</v>
      </c>
      <c r="P1010">
        <v>450</v>
      </c>
      <c r="Q1010">
        <v>1</v>
      </c>
      <c r="R1010">
        <v>450</v>
      </c>
      <c r="S1010">
        <v>45177</v>
      </c>
      <c r="U1010" t="s">
        <v>222</v>
      </c>
      <c r="V1010" t="s">
        <v>102</v>
      </c>
      <c r="W1010" t="s">
        <v>1091</v>
      </c>
      <c r="AI1010">
        <v>62</v>
      </c>
      <c r="AL1010" t="s">
        <v>1159</v>
      </c>
      <c r="AM1010" t="s">
        <v>282</v>
      </c>
      <c r="AN1010">
        <v>45170</v>
      </c>
      <c r="AO1010">
        <v>45199</v>
      </c>
      <c r="AP1010" t="s">
        <v>1101</v>
      </c>
    </row>
    <row r="1011" spans="1:42" x14ac:dyDescent="0.25">
      <c r="A1011">
        <v>2023</v>
      </c>
      <c r="B1011">
        <v>9</v>
      </c>
      <c r="C1011">
        <v>17</v>
      </c>
      <c r="D1011" t="s">
        <v>1088</v>
      </c>
      <c r="E1011" t="s">
        <v>282</v>
      </c>
      <c r="F1011">
        <v>436737</v>
      </c>
      <c r="H1011" t="s">
        <v>282</v>
      </c>
      <c r="I1011">
        <v>1250280</v>
      </c>
      <c r="M1011">
        <v>1304</v>
      </c>
      <c r="P1011">
        <v>450</v>
      </c>
      <c r="Q1011">
        <v>1</v>
      </c>
      <c r="R1011">
        <v>450</v>
      </c>
      <c r="S1011">
        <v>45188</v>
      </c>
      <c r="U1011" t="s">
        <v>222</v>
      </c>
      <c r="V1011" t="s">
        <v>102</v>
      </c>
      <c r="AI1011">
        <v>62</v>
      </c>
      <c r="AL1011" t="s">
        <v>1159</v>
      </c>
      <c r="AM1011" t="s">
        <v>282</v>
      </c>
      <c r="AN1011">
        <v>45170</v>
      </c>
      <c r="AO1011">
        <v>45199</v>
      </c>
      <c r="AP1011" t="s">
        <v>1101</v>
      </c>
    </row>
    <row r="1012" spans="1:42" x14ac:dyDescent="0.25">
      <c r="A1012">
        <v>2023</v>
      </c>
      <c r="B1012">
        <v>9</v>
      </c>
      <c r="C1012">
        <v>17</v>
      </c>
      <c r="D1012" t="s">
        <v>1088</v>
      </c>
      <c r="E1012" t="s">
        <v>282</v>
      </c>
      <c r="F1012">
        <v>417969</v>
      </c>
      <c r="H1012" t="s">
        <v>282</v>
      </c>
      <c r="I1012">
        <v>1258975</v>
      </c>
      <c r="M1012">
        <v>1304</v>
      </c>
      <c r="P1012">
        <v>450</v>
      </c>
      <c r="Q1012">
        <v>1</v>
      </c>
      <c r="R1012">
        <v>450</v>
      </c>
      <c r="S1012">
        <v>45198</v>
      </c>
      <c r="U1012" t="s">
        <v>222</v>
      </c>
      <c r="V1012" t="s">
        <v>102</v>
      </c>
      <c r="AI1012">
        <v>62</v>
      </c>
      <c r="AL1012" t="s">
        <v>110</v>
      </c>
      <c r="AM1012" t="s">
        <v>282</v>
      </c>
      <c r="AN1012">
        <v>45170</v>
      </c>
      <c r="AO1012">
        <v>45199</v>
      </c>
      <c r="AP1012" t="s">
        <v>1101</v>
      </c>
    </row>
    <row r="1013" spans="1:42" x14ac:dyDescent="0.25">
      <c r="A1013">
        <v>2023</v>
      </c>
      <c r="B1013">
        <v>9</v>
      </c>
      <c r="C1013">
        <v>17</v>
      </c>
      <c r="D1013" t="s">
        <v>1088</v>
      </c>
      <c r="E1013" t="s">
        <v>282</v>
      </c>
      <c r="F1013">
        <v>417873</v>
      </c>
      <c r="H1013" t="s">
        <v>282</v>
      </c>
      <c r="I1013">
        <v>1252426</v>
      </c>
      <c r="M1013">
        <v>1304</v>
      </c>
      <c r="P1013">
        <v>318</v>
      </c>
      <c r="Q1013">
        <v>1</v>
      </c>
      <c r="R1013">
        <v>318</v>
      </c>
      <c r="S1013">
        <v>45190</v>
      </c>
      <c r="U1013" t="s">
        <v>222</v>
      </c>
      <c r="V1013" t="s">
        <v>102</v>
      </c>
      <c r="AI1013">
        <v>62</v>
      </c>
      <c r="AL1013" t="s">
        <v>1159</v>
      </c>
      <c r="AM1013" t="s">
        <v>282</v>
      </c>
      <c r="AN1013">
        <v>45170</v>
      </c>
      <c r="AO1013">
        <v>45199</v>
      </c>
      <c r="AP1013" t="s">
        <v>1101</v>
      </c>
    </row>
    <row r="1014" spans="1:42" x14ac:dyDescent="0.25">
      <c r="A1014">
        <v>2023</v>
      </c>
      <c r="B1014">
        <v>9</v>
      </c>
      <c r="C1014">
        <v>17</v>
      </c>
      <c r="D1014" t="s">
        <v>1088</v>
      </c>
      <c r="E1014" t="s">
        <v>282</v>
      </c>
      <c r="F1014">
        <v>452885</v>
      </c>
      <c r="H1014" t="s">
        <v>282</v>
      </c>
      <c r="I1014">
        <v>1252673</v>
      </c>
      <c r="M1014">
        <v>1304</v>
      </c>
      <c r="P1014">
        <v>450</v>
      </c>
      <c r="Q1014">
        <v>1</v>
      </c>
      <c r="R1014">
        <v>450</v>
      </c>
      <c r="S1014">
        <v>45190</v>
      </c>
      <c r="U1014" t="s">
        <v>222</v>
      </c>
      <c r="V1014" t="s">
        <v>102</v>
      </c>
      <c r="AI1014">
        <v>62</v>
      </c>
      <c r="AL1014" t="s">
        <v>1159</v>
      </c>
      <c r="AM1014" t="s">
        <v>282</v>
      </c>
      <c r="AN1014">
        <v>45170</v>
      </c>
      <c r="AO1014">
        <v>45199</v>
      </c>
      <c r="AP1014" t="s">
        <v>1101</v>
      </c>
    </row>
    <row r="1015" spans="1:42" x14ac:dyDescent="0.25">
      <c r="A1015">
        <v>2023</v>
      </c>
      <c r="B1015">
        <v>9</v>
      </c>
      <c r="C1015">
        <v>17</v>
      </c>
      <c r="D1015" t="s">
        <v>1088</v>
      </c>
      <c r="E1015" t="s">
        <v>282</v>
      </c>
      <c r="F1015">
        <v>468088</v>
      </c>
      <c r="H1015" t="s">
        <v>282</v>
      </c>
      <c r="I1015">
        <v>1253262</v>
      </c>
      <c r="M1015">
        <v>1304</v>
      </c>
      <c r="P1015">
        <v>282</v>
      </c>
      <c r="Q1015">
        <v>1</v>
      </c>
      <c r="R1015">
        <v>282</v>
      </c>
      <c r="S1015">
        <v>45191</v>
      </c>
      <c r="U1015" t="s">
        <v>222</v>
      </c>
      <c r="V1015" t="s">
        <v>102</v>
      </c>
      <c r="AI1015">
        <v>62</v>
      </c>
      <c r="AL1015" t="s">
        <v>1159</v>
      </c>
      <c r="AM1015" t="s">
        <v>282</v>
      </c>
      <c r="AN1015">
        <v>45170</v>
      </c>
      <c r="AO1015">
        <v>45199</v>
      </c>
      <c r="AP1015" t="s">
        <v>1101</v>
      </c>
    </row>
    <row r="1016" spans="1:42" x14ac:dyDescent="0.25">
      <c r="A1016">
        <v>2023</v>
      </c>
      <c r="B1016">
        <v>9</v>
      </c>
      <c r="C1016">
        <v>17</v>
      </c>
      <c r="D1016" t="s">
        <v>1088</v>
      </c>
      <c r="E1016" t="s">
        <v>282</v>
      </c>
      <c r="F1016">
        <v>469595</v>
      </c>
      <c r="H1016" t="s">
        <v>282</v>
      </c>
      <c r="I1016">
        <v>1258569</v>
      </c>
      <c r="M1016">
        <v>1304</v>
      </c>
      <c r="P1016">
        <v>432</v>
      </c>
      <c r="Q1016">
        <v>1</v>
      </c>
      <c r="R1016">
        <v>432</v>
      </c>
      <c r="S1016">
        <v>45198</v>
      </c>
      <c r="U1016" t="s">
        <v>222</v>
      </c>
      <c r="V1016" t="s">
        <v>102</v>
      </c>
      <c r="AI1016">
        <v>62</v>
      </c>
      <c r="AL1016" t="s">
        <v>1159</v>
      </c>
      <c r="AM1016" t="s">
        <v>282</v>
      </c>
      <c r="AN1016">
        <v>45170</v>
      </c>
      <c r="AO1016">
        <v>45199</v>
      </c>
      <c r="AP1016" t="s">
        <v>1101</v>
      </c>
    </row>
    <row r="1017" spans="1:42" x14ac:dyDescent="0.25">
      <c r="A1017">
        <v>2023</v>
      </c>
      <c r="B1017">
        <v>9</v>
      </c>
      <c r="C1017">
        <v>17</v>
      </c>
      <c r="D1017" t="s">
        <v>1088</v>
      </c>
      <c r="E1017" t="s">
        <v>282</v>
      </c>
      <c r="F1017">
        <v>474659</v>
      </c>
      <c r="H1017" t="s">
        <v>282</v>
      </c>
      <c r="I1017">
        <v>1255692</v>
      </c>
      <c r="M1017">
        <v>1304</v>
      </c>
      <c r="P1017">
        <v>450</v>
      </c>
      <c r="Q1017">
        <v>1</v>
      </c>
      <c r="R1017">
        <v>450</v>
      </c>
      <c r="S1017">
        <v>45195</v>
      </c>
      <c r="U1017" t="s">
        <v>222</v>
      </c>
      <c r="V1017" t="s">
        <v>102</v>
      </c>
      <c r="AI1017">
        <v>62</v>
      </c>
      <c r="AL1017" t="s">
        <v>1159</v>
      </c>
      <c r="AM1017" t="s">
        <v>282</v>
      </c>
      <c r="AN1017">
        <v>45170</v>
      </c>
      <c r="AO1017">
        <v>45199</v>
      </c>
      <c r="AP1017" t="s">
        <v>1101</v>
      </c>
    </row>
    <row r="1018" spans="1:42" x14ac:dyDescent="0.25">
      <c r="A1018">
        <v>2023</v>
      </c>
      <c r="B1018">
        <v>9</v>
      </c>
      <c r="C1018">
        <v>17</v>
      </c>
      <c r="D1018" t="s">
        <v>1088</v>
      </c>
      <c r="E1018" t="s">
        <v>282</v>
      </c>
      <c r="F1018">
        <v>456649</v>
      </c>
      <c r="H1018" t="s">
        <v>282</v>
      </c>
      <c r="I1018">
        <v>1242754</v>
      </c>
      <c r="M1018">
        <v>1304</v>
      </c>
      <c r="P1018">
        <v>232</v>
      </c>
      <c r="Q1018">
        <v>1</v>
      </c>
      <c r="R1018">
        <v>232</v>
      </c>
      <c r="S1018">
        <v>45177</v>
      </c>
      <c r="U1018" t="s">
        <v>222</v>
      </c>
      <c r="V1018" t="s">
        <v>102</v>
      </c>
      <c r="W1018" t="s">
        <v>1032</v>
      </c>
      <c r="AI1018">
        <v>62</v>
      </c>
      <c r="AL1018" t="s">
        <v>1159</v>
      </c>
      <c r="AM1018" t="s">
        <v>282</v>
      </c>
      <c r="AN1018">
        <v>45170</v>
      </c>
      <c r="AO1018">
        <v>45199</v>
      </c>
      <c r="AP1018" t="s">
        <v>1101</v>
      </c>
    </row>
    <row r="1019" spans="1:42" x14ac:dyDescent="0.25">
      <c r="A1019">
        <v>2023</v>
      </c>
      <c r="B1019">
        <v>9</v>
      </c>
      <c r="C1019">
        <v>17</v>
      </c>
      <c r="D1019" t="s">
        <v>1088</v>
      </c>
      <c r="E1019" t="s">
        <v>282</v>
      </c>
      <c r="F1019">
        <v>540264</v>
      </c>
      <c r="G1019">
        <v>10360832</v>
      </c>
      <c r="H1019" t="s">
        <v>282</v>
      </c>
      <c r="J1019">
        <v>54309215</v>
      </c>
      <c r="K1019">
        <v>1104</v>
      </c>
      <c r="L1019">
        <v>1702</v>
      </c>
      <c r="M1019">
        <v>1304</v>
      </c>
      <c r="N1019">
        <v>53862760</v>
      </c>
      <c r="O1019">
        <v>45184.694262037039</v>
      </c>
      <c r="P1019">
        <v>79</v>
      </c>
      <c r="Q1019">
        <v>1</v>
      </c>
      <c r="R1019">
        <v>79</v>
      </c>
      <c r="S1019">
        <v>45199.067372766207</v>
      </c>
      <c r="T1019">
        <v>5509</v>
      </c>
      <c r="U1019" t="s">
        <v>1152</v>
      </c>
      <c r="V1019" t="s">
        <v>1153</v>
      </c>
      <c r="W1019" t="s">
        <v>2</v>
      </c>
      <c r="AI1019">
        <v>62</v>
      </c>
      <c r="AJ1019">
        <v>62</v>
      </c>
      <c r="AN1019">
        <v>45170</v>
      </c>
      <c r="AO1019">
        <v>45199</v>
      </c>
      <c r="AP1019" t="s">
        <v>1101</v>
      </c>
    </row>
    <row r="1020" spans="1:42" x14ac:dyDescent="0.25">
      <c r="A1020">
        <v>2023</v>
      </c>
      <c r="B1020">
        <v>9</v>
      </c>
      <c r="C1020">
        <v>17</v>
      </c>
      <c r="D1020" t="s">
        <v>1088</v>
      </c>
      <c r="E1020" t="s">
        <v>282</v>
      </c>
      <c r="F1020">
        <v>540264</v>
      </c>
      <c r="G1020">
        <v>10360832</v>
      </c>
      <c r="H1020" t="s">
        <v>282</v>
      </c>
      <c r="J1020">
        <v>54309216</v>
      </c>
      <c r="K1020">
        <v>1104</v>
      </c>
      <c r="L1020">
        <v>1702</v>
      </c>
      <c r="M1020">
        <v>1304</v>
      </c>
      <c r="N1020">
        <v>53862761</v>
      </c>
      <c r="O1020">
        <v>45184.69437665509</v>
      </c>
      <c r="P1020">
        <v>79</v>
      </c>
      <c r="Q1020">
        <v>1</v>
      </c>
      <c r="R1020">
        <v>79</v>
      </c>
      <c r="S1020">
        <v>45199.067372766207</v>
      </c>
      <c r="T1020">
        <v>5509</v>
      </c>
      <c r="U1020" t="s">
        <v>1152</v>
      </c>
      <c r="V1020" t="s">
        <v>1153</v>
      </c>
      <c r="W1020" t="s">
        <v>2</v>
      </c>
      <c r="AI1020">
        <v>62</v>
      </c>
      <c r="AJ1020">
        <v>62</v>
      </c>
      <c r="AN1020">
        <v>45170</v>
      </c>
      <c r="AO1020">
        <v>45199</v>
      </c>
      <c r="AP1020" t="s">
        <v>1101</v>
      </c>
    </row>
    <row r="1021" spans="1:42" x14ac:dyDescent="0.25">
      <c r="A1021">
        <v>2023</v>
      </c>
      <c r="B1021">
        <v>9</v>
      </c>
      <c r="C1021">
        <v>17</v>
      </c>
      <c r="D1021" t="s">
        <v>1088</v>
      </c>
      <c r="E1021" t="s">
        <v>282</v>
      </c>
      <c r="F1021">
        <v>607142</v>
      </c>
      <c r="H1021" t="s">
        <v>282</v>
      </c>
      <c r="I1021">
        <v>1253786</v>
      </c>
      <c r="M1021">
        <v>1304</v>
      </c>
      <c r="P1021">
        <v>-332</v>
      </c>
      <c r="Q1021">
        <v>1</v>
      </c>
      <c r="R1021">
        <v>-332</v>
      </c>
      <c r="S1021">
        <v>45171</v>
      </c>
      <c r="U1021" t="s">
        <v>222</v>
      </c>
      <c r="V1021" t="s">
        <v>102</v>
      </c>
      <c r="W1021" t="s">
        <v>1032</v>
      </c>
      <c r="AI1021">
        <v>62</v>
      </c>
      <c r="AL1021" t="s">
        <v>1160</v>
      </c>
      <c r="AM1021" t="s">
        <v>282</v>
      </c>
      <c r="AN1021">
        <v>45170</v>
      </c>
      <c r="AO1021">
        <v>45199</v>
      </c>
      <c r="AP1021" t="s">
        <v>1101</v>
      </c>
    </row>
    <row r="1022" spans="1:42" x14ac:dyDescent="0.25">
      <c r="A1022">
        <v>2023</v>
      </c>
      <c r="B1022">
        <v>9</v>
      </c>
      <c r="C1022">
        <v>17</v>
      </c>
      <c r="D1022" t="s">
        <v>1088</v>
      </c>
      <c r="E1022" t="s">
        <v>282</v>
      </c>
      <c r="F1022">
        <v>616507</v>
      </c>
      <c r="H1022" t="s">
        <v>282</v>
      </c>
      <c r="I1022">
        <v>1245312</v>
      </c>
      <c r="M1022">
        <v>1304</v>
      </c>
      <c r="P1022">
        <v>400.32</v>
      </c>
      <c r="Q1022">
        <v>1</v>
      </c>
      <c r="R1022">
        <v>400.32</v>
      </c>
      <c r="S1022">
        <v>45177</v>
      </c>
      <c r="U1022" t="s">
        <v>222</v>
      </c>
      <c r="V1022" t="s">
        <v>102</v>
      </c>
      <c r="AI1022">
        <v>62</v>
      </c>
      <c r="AL1022" t="s">
        <v>1160</v>
      </c>
      <c r="AM1022" t="s">
        <v>282</v>
      </c>
      <c r="AN1022">
        <v>45170</v>
      </c>
      <c r="AO1022">
        <v>45199</v>
      </c>
      <c r="AP1022" t="s">
        <v>1101</v>
      </c>
    </row>
    <row r="1023" spans="1:42" x14ac:dyDescent="0.25">
      <c r="A1023">
        <v>2023</v>
      </c>
      <c r="B1023">
        <v>9</v>
      </c>
      <c r="C1023">
        <v>17</v>
      </c>
      <c r="D1023" t="s">
        <v>1088</v>
      </c>
      <c r="E1023" t="s">
        <v>282</v>
      </c>
      <c r="F1023">
        <v>616507</v>
      </c>
      <c r="H1023" t="s">
        <v>282</v>
      </c>
      <c r="I1023">
        <v>1252710</v>
      </c>
      <c r="M1023">
        <v>1304</v>
      </c>
      <c r="P1023">
        <v>31.68</v>
      </c>
      <c r="Q1023">
        <v>1</v>
      </c>
      <c r="R1023">
        <v>31.68</v>
      </c>
      <c r="S1023">
        <v>45187</v>
      </c>
      <c r="U1023" t="s">
        <v>222</v>
      </c>
      <c r="V1023" t="s">
        <v>102</v>
      </c>
      <c r="AI1023">
        <v>62</v>
      </c>
      <c r="AL1023" t="s">
        <v>110</v>
      </c>
      <c r="AM1023" t="s">
        <v>282</v>
      </c>
      <c r="AN1023">
        <v>45170</v>
      </c>
      <c r="AO1023">
        <v>45199</v>
      </c>
      <c r="AP1023" t="s">
        <v>1101</v>
      </c>
    </row>
    <row r="1024" spans="1:42" x14ac:dyDescent="0.25">
      <c r="A1024">
        <v>2023</v>
      </c>
      <c r="B1024">
        <v>9</v>
      </c>
      <c r="C1024">
        <v>17</v>
      </c>
      <c r="D1024" t="s">
        <v>1088</v>
      </c>
      <c r="E1024" t="s">
        <v>282</v>
      </c>
      <c r="F1024">
        <v>617602</v>
      </c>
      <c r="H1024" t="s">
        <v>282</v>
      </c>
      <c r="I1024">
        <v>1242583</v>
      </c>
      <c r="M1024">
        <v>1304</v>
      </c>
      <c r="P1024">
        <v>432</v>
      </c>
      <c r="Q1024">
        <v>1</v>
      </c>
      <c r="R1024">
        <v>432</v>
      </c>
      <c r="S1024">
        <v>45177</v>
      </c>
      <c r="U1024" t="s">
        <v>222</v>
      </c>
      <c r="V1024" t="s">
        <v>102</v>
      </c>
      <c r="AI1024">
        <v>62</v>
      </c>
      <c r="AL1024" t="s">
        <v>1159</v>
      </c>
      <c r="AM1024" t="s">
        <v>282</v>
      </c>
      <c r="AN1024">
        <v>45170</v>
      </c>
      <c r="AO1024">
        <v>45199</v>
      </c>
      <c r="AP1024" t="s">
        <v>1101</v>
      </c>
    </row>
    <row r="1025" spans="1:42" x14ac:dyDescent="0.25">
      <c r="A1025">
        <v>2023</v>
      </c>
      <c r="B1025">
        <v>9</v>
      </c>
      <c r="C1025">
        <v>17</v>
      </c>
      <c r="D1025" t="s">
        <v>1088</v>
      </c>
      <c r="E1025" t="s">
        <v>282</v>
      </c>
      <c r="F1025">
        <v>590160</v>
      </c>
      <c r="G1025">
        <v>9784749</v>
      </c>
      <c r="H1025" t="s">
        <v>282</v>
      </c>
      <c r="J1025">
        <v>53924305</v>
      </c>
      <c r="K1025">
        <v>1103</v>
      </c>
      <c r="L1025">
        <v>1702</v>
      </c>
      <c r="M1025">
        <v>1304</v>
      </c>
      <c r="N1025">
        <v>50344112</v>
      </c>
      <c r="O1025">
        <v>45071.683489502313</v>
      </c>
      <c r="P1025">
        <v>204.78</v>
      </c>
      <c r="Q1025">
        <v>1</v>
      </c>
      <c r="R1025">
        <v>204.78</v>
      </c>
      <c r="S1025">
        <v>45188.370788854168</v>
      </c>
      <c r="T1025">
        <v>5503</v>
      </c>
      <c r="U1025" t="s">
        <v>104</v>
      </c>
      <c r="V1025" t="s">
        <v>1158</v>
      </c>
      <c r="W1025" t="s">
        <v>2</v>
      </c>
      <c r="X1025" t="s">
        <v>1091</v>
      </c>
      <c r="AI1025">
        <v>62</v>
      </c>
      <c r="AJ1025">
        <v>62</v>
      </c>
      <c r="AK1025" t="s">
        <v>182</v>
      </c>
      <c r="AN1025">
        <v>45170</v>
      </c>
      <c r="AO1025">
        <v>45199</v>
      </c>
      <c r="AP1025" t="s">
        <v>1261</v>
      </c>
    </row>
    <row r="1026" spans="1:42" x14ac:dyDescent="0.25">
      <c r="A1026">
        <v>2023</v>
      </c>
      <c r="B1026">
        <v>9</v>
      </c>
      <c r="C1026">
        <v>17</v>
      </c>
      <c r="D1026" t="s">
        <v>1088</v>
      </c>
      <c r="E1026" t="s">
        <v>282</v>
      </c>
      <c r="F1026">
        <v>607391</v>
      </c>
      <c r="G1026">
        <v>10089945</v>
      </c>
      <c r="H1026" t="s">
        <v>282</v>
      </c>
      <c r="J1026">
        <v>53961930</v>
      </c>
      <c r="K1026">
        <v>1101</v>
      </c>
      <c r="L1026">
        <v>1702</v>
      </c>
      <c r="M1026">
        <v>1301</v>
      </c>
      <c r="N1026">
        <v>52077804</v>
      </c>
      <c r="O1026">
        <v>45128.441569988427</v>
      </c>
      <c r="P1026">
        <v>109.5</v>
      </c>
      <c r="Q1026">
        <v>1</v>
      </c>
      <c r="R1026">
        <v>109.5</v>
      </c>
      <c r="S1026">
        <v>45189.372612118059</v>
      </c>
      <c r="T1026">
        <v>5502</v>
      </c>
      <c r="U1026" t="s">
        <v>1217</v>
      </c>
      <c r="V1026" t="s">
        <v>1155</v>
      </c>
      <c r="W1026" t="s">
        <v>1031</v>
      </c>
      <c r="X1026" t="s">
        <v>1031</v>
      </c>
      <c r="AD1026">
        <v>830515</v>
      </c>
      <c r="AE1026" t="s">
        <v>1287</v>
      </c>
      <c r="AF1026">
        <v>45189.372611770836</v>
      </c>
      <c r="AI1026">
        <v>62</v>
      </c>
      <c r="AJ1026">
        <v>62</v>
      </c>
      <c r="AN1026">
        <v>45170</v>
      </c>
      <c r="AO1026">
        <v>45199</v>
      </c>
      <c r="AP1026" t="s">
        <v>1101</v>
      </c>
    </row>
    <row r="1027" spans="1:42" x14ac:dyDescent="0.25">
      <c r="A1027">
        <v>2023</v>
      </c>
      <c r="B1027">
        <v>9</v>
      </c>
      <c r="C1027">
        <v>17</v>
      </c>
      <c r="D1027" t="s">
        <v>1088</v>
      </c>
      <c r="E1027" t="s">
        <v>282</v>
      </c>
      <c r="F1027">
        <v>605208</v>
      </c>
      <c r="G1027">
        <v>10067015</v>
      </c>
      <c r="H1027" t="s">
        <v>282</v>
      </c>
      <c r="J1027">
        <v>53988083</v>
      </c>
      <c r="K1027">
        <v>1102</v>
      </c>
      <c r="L1027">
        <v>1702</v>
      </c>
      <c r="M1027">
        <v>1304</v>
      </c>
      <c r="N1027">
        <v>51976018</v>
      </c>
      <c r="O1027">
        <v>45125.672749965277</v>
      </c>
      <c r="P1027">
        <v>33.08</v>
      </c>
      <c r="Q1027">
        <v>1</v>
      </c>
      <c r="R1027">
        <v>33.08</v>
      </c>
      <c r="S1027">
        <v>45190.347874502317</v>
      </c>
      <c r="T1027">
        <v>5502</v>
      </c>
      <c r="U1027" t="s">
        <v>103</v>
      </c>
      <c r="V1027" t="s">
        <v>1163</v>
      </c>
      <c r="W1027" t="s">
        <v>2</v>
      </c>
      <c r="X1027" t="s">
        <v>1091</v>
      </c>
      <c r="AD1027">
        <v>831053</v>
      </c>
      <c r="AE1027" t="s">
        <v>1297</v>
      </c>
      <c r="AF1027">
        <v>45190.347874270832</v>
      </c>
      <c r="AI1027">
        <v>62</v>
      </c>
      <c r="AJ1027">
        <v>62</v>
      </c>
      <c r="AN1027">
        <v>45170</v>
      </c>
      <c r="AO1027">
        <v>45199</v>
      </c>
      <c r="AP1027" t="s">
        <v>1101</v>
      </c>
    </row>
    <row r="1028" spans="1:42" x14ac:dyDescent="0.25">
      <c r="A1028">
        <v>2023</v>
      </c>
      <c r="B1028">
        <v>9</v>
      </c>
      <c r="C1028">
        <v>17</v>
      </c>
      <c r="D1028" t="s">
        <v>1088</v>
      </c>
      <c r="E1028" t="s">
        <v>282</v>
      </c>
      <c r="F1028">
        <v>605208</v>
      </c>
      <c r="G1028">
        <v>10067015</v>
      </c>
      <c r="H1028" t="s">
        <v>282</v>
      </c>
      <c r="J1028">
        <v>53988084</v>
      </c>
      <c r="K1028">
        <v>1102</v>
      </c>
      <c r="L1028">
        <v>1702</v>
      </c>
      <c r="M1028">
        <v>1304</v>
      </c>
      <c r="N1028">
        <v>51976024</v>
      </c>
      <c r="O1028">
        <v>45125.672870868053</v>
      </c>
      <c r="P1028">
        <v>33.08</v>
      </c>
      <c r="Q1028">
        <v>1</v>
      </c>
      <c r="R1028">
        <v>33.08</v>
      </c>
      <c r="S1028">
        <v>45190.347874502317</v>
      </c>
      <c r="T1028">
        <v>5502</v>
      </c>
      <c r="U1028" t="s">
        <v>103</v>
      </c>
      <c r="V1028" t="s">
        <v>1163</v>
      </c>
      <c r="W1028" t="s">
        <v>2</v>
      </c>
      <c r="X1028" t="s">
        <v>1091</v>
      </c>
      <c r="AD1028">
        <v>831053</v>
      </c>
      <c r="AE1028" t="s">
        <v>1297</v>
      </c>
      <c r="AF1028">
        <v>45190.347874270832</v>
      </c>
      <c r="AI1028">
        <v>62</v>
      </c>
      <c r="AJ1028">
        <v>62</v>
      </c>
      <c r="AN1028">
        <v>45170</v>
      </c>
      <c r="AO1028">
        <v>45199</v>
      </c>
      <c r="AP1028" t="s">
        <v>1101</v>
      </c>
    </row>
    <row r="1029" spans="1:42" x14ac:dyDescent="0.25">
      <c r="A1029">
        <v>2023</v>
      </c>
      <c r="B1029">
        <v>9</v>
      </c>
      <c r="C1029">
        <v>17</v>
      </c>
      <c r="D1029" t="s">
        <v>1088</v>
      </c>
      <c r="E1029" t="s">
        <v>282</v>
      </c>
      <c r="F1029">
        <v>610326</v>
      </c>
      <c r="G1029">
        <v>10145747</v>
      </c>
      <c r="H1029" t="s">
        <v>282</v>
      </c>
      <c r="J1029">
        <v>54148958</v>
      </c>
      <c r="K1029">
        <v>1101</v>
      </c>
      <c r="L1029">
        <v>1702</v>
      </c>
      <c r="M1029">
        <v>1301</v>
      </c>
      <c r="N1029">
        <v>52398839</v>
      </c>
      <c r="O1029">
        <v>45139.555746261576</v>
      </c>
      <c r="P1029">
        <v>85</v>
      </c>
      <c r="Q1029">
        <v>1</v>
      </c>
      <c r="R1029">
        <v>85</v>
      </c>
      <c r="S1029">
        <v>45195.643754201388</v>
      </c>
      <c r="T1029">
        <v>5502</v>
      </c>
      <c r="U1029" t="s">
        <v>1217</v>
      </c>
      <c r="V1029" t="s">
        <v>1155</v>
      </c>
      <c r="W1029" t="s">
        <v>1031</v>
      </c>
      <c r="X1029" t="s">
        <v>1031</v>
      </c>
      <c r="AD1029">
        <v>832845</v>
      </c>
      <c r="AE1029" t="s">
        <v>1280</v>
      </c>
      <c r="AF1029">
        <v>45195.643753703705</v>
      </c>
      <c r="AI1029">
        <v>62</v>
      </c>
      <c r="AJ1029">
        <v>62</v>
      </c>
      <c r="AN1029">
        <v>45170</v>
      </c>
      <c r="AO1029">
        <v>45199</v>
      </c>
      <c r="AP1029" t="s">
        <v>1101</v>
      </c>
    </row>
    <row r="1030" spans="1:42" x14ac:dyDescent="0.25">
      <c r="A1030">
        <v>2023</v>
      </c>
      <c r="B1030">
        <v>9</v>
      </c>
      <c r="C1030">
        <v>17</v>
      </c>
      <c r="D1030" t="s">
        <v>1088</v>
      </c>
      <c r="E1030" t="s">
        <v>282</v>
      </c>
      <c r="F1030">
        <v>214976</v>
      </c>
      <c r="G1030">
        <v>10264737</v>
      </c>
      <c r="H1030" t="s">
        <v>282</v>
      </c>
      <c r="J1030">
        <v>53452681</v>
      </c>
      <c r="K1030">
        <v>1104</v>
      </c>
      <c r="L1030">
        <v>1702</v>
      </c>
      <c r="M1030">
        <v>1304</v>
      </c>
      <c r="N1030">
        <v>53105389</v>
      </c>
      <c r="O1030">
        <v>45161.45420871528</v>
      </c>
      <c r="P1030">
        <v>118</v>
      </c>
      <c r="Q1030">
        <v>1</v>
      </c>
      <c r="R1030">
        <v>118</v>
      </c>
      <c r="S1030">
        <v>45171.067373414349</v>
      </c>
      <c r="T1030">
        <v>5509</v>
      </c>
      <c r="U1030" t="s">
        <v>1152</v>
      </c>
      <c r="V1030" t="s">
        <v>1153</v>
      </c>
      <c r="W1030" t="s">
        <v>2</v>
      </c>
      <c r="AI1030">
        <v>62</v>
      </c>
      <c r="AJ1030">
        <v>62</v>
      </c>
      <c r="AN1030">
        <v>45170</v>
      </c>
      <c r="AO1030">
        <v>45199</v>
      </c>
      <c r="AP1030" t="s">
        <v>1101</v>
      </c>
    </row>
    <row r="1031" spans="1:42" x14ac:dyDescent="0.25">
      <c r="A1031">
        <v>2023</v>
      </c>
      <c r="B1031">
        <v>9</v>
      </c>
      <c r="C1031">
        <v>17</v>
      </c>
      <c r="D1031" t="s">
        <v>1088</v>
      </c>
      <c r="E1031" t="s">
        <v>282</v>
      </c>
      <c r="F1031">
        <v>478021</v>
      </c>
      <c r="G1031">
        <v>10321296</v>
      </c>
      <c r="H1031" t="s">
        <v>282</v>
      </c>
      <c r="J1031">
        <v>53474662</v>
      </c>
      <c r="K1031">
        <v>1100</v>
      </c>
      <c r="L1031">
        <v>1700</v>
      </c>
      <c r="M1031">
        <v>1304</v>
      </c>
      <c r="P1031">
        <v>66</v>
      </c>
      <c r="Q1031">
        <v>1</v>
      </c>
      <c r="R1031">
        <v>66</v>
      </c>
      <c r="S1031">
        <v>45174.563982141204</v>
      </c>
      <c r="T1031">
        <v>5500</v>
      </c>
      <c r="U1031" t="s">
        <v>1154</v>
      </c>
      <c r="V1031" t="s">
        <v>99</v>
      </c>
      <c r="W1031" t="s">
        <v>2</v>
      </c>
      <c r="AI1031">
        <v>62</v>
      </c>
      <c r="AJ1031">
        <v>62</v>
      </c>
      <c r="AN1031">
        <v>45170</v>
      </c>
      <c r="AO1031">
        <v>45199</v>
      </c>
      <c r="AP1031" t="s">
        <v>1101</v>
      </c>
    </row>
    <row r="1032" spans="1:42" x14ac:dyDescent="0.25">
      <c r="A1032">
        <v>2023</v>
      </c>
      <c r="B1032">
        <v>9</v>
      </c>
      <c r="C1032">
        <v>17</v>
      </c>
      <c r="D1032" t="s">
        <v>1088</v>
      </c>
      <c r="E1032" t="s">
        <v>282</v>
      </c>
      <c r="F1032">
        <v>330438</v>
      </c>
      <c r="G1032">
        <v>10316520</v>
      </c>
      <c r="H1032" t="s">
        <v>282</v>
      </c>
      <c r="J1032">
        <v>53432411</v>
      </c>
      <c r="K1032">
        <v>1100</v>
      </c>
      <c r="L1032">
        <v>1700</v>
      </c>
      <c r="M1032">
        <v>1304</v>
      </c>
      <c r="P1032">
        <v>150</v>
      </c>
      <c r="Q1032">
        <v>1</v>
      </c>
      <c r="R1032">
        <v>150</v>
      </c>
      <c r="S1032">
        <v>45170.50522673611</v>
      </c>
      <c r="T1032">
        <v>5500</v>
      </c>
      <c r="U1032" t="s">
        <v>1154</v>
      </c>
      <c r="V1032" t="s">
        <v>99</v>
      </c>
      <c r="W1032" t="s">
        <v>2</v>
      </c>
      <c r="AI1032">
        <v>62</v>
      </c>
      <c r="AJ1032">
        <v>62</v>
      </c>
      <c r="AN1032">
        <v>45170</v>
      </c>
      <c r="AO1032">
        <v>45199</v>
      </c>
      <c r="AP1032" t="s">
        <v>1101</v>
      </c>
    </row>
    <row r="1033" spans="1:42" x14ac:dyDescent="0.25">
      <c r="A1033">
        <v>2023</v>
      </c>
      <c r="B1033">
        <v>9</v>
      </c>
      <c r="C1033">
        <v>17</v>
      </c>
      <c r="D1033" t="s">
        <v>1088</v>
      </c>
      <c r="E1033" t="s">
        <v>282</v>
      </c>
      <c r="F1033">
        <v>330438</v>
      </c>
      <c r="G1033">
        <v>10316520</v>
      </c>
      <c r="H1033" t="s">
        <v>282</v>
      </c>
      <c r="J1033">
        <v>53432415</v>
      </c>
      <c r="K1033">
        <v>1100</v>
      </c>
      <c r="L1033">
        <v>1700</v>
      </c>
      <c r="M1033">
        <v>1304</v>
      </c>
      <c r="P1033">
        <v>150</v>
      </c>
      <c r="Q1033">
        <v>1</v>
      </c>
      <c r="R1033">
        <v>150</v>
      </c>
      <c r="S1033">
        <v>45170.505339733798</v>
      </c>
      <c r="T1033">
        <v>5500</v>
      </c>
      <c r="U1033" t="s">
        <v>1154</v>
      </c>
      <c r="V1033" t="s">
        <v>99</v>
      </c>
      <c r="W1033" t="s">
        <v>2</v>
      </c>
      <c r="AI1033">
        <v>62</v>
      </c>
      <c r="AJ1033">
        <v>62</v>
      </c>
      <c r="AN1033">
        <v>45170</v>
      </c>
      <c r="AO1033">
        <v>45199</v>
      </c>
      <c r="AP1033" t="s">
        <v>1101</v>
      </c>
    </row>
    <row r="1034" spans="1:42" x14ac:dyDescent="0.25">
      <c r="A1034">
        <v>2023</v>
      </c>
      <c r="B1034">
        <v>9</v>
      </c>
      <c r="C1034">
        <v>17</v>
      </c>
      <c r="D1034" t="s">
        <v>1088</v>
      </c>
      <c r="E1034" t="s">
        <v>282</v>
      </c>
      <c r="F1034">
        <v>330438</v>
      </c>
      <c r="G1034">
        <v>10316520</v>
      </c>
      <c r="H1034" t="s">
        <v>282</v>
      </c>
      <c r="J1034">
        <v>53432417</v>
      </c>
      <c r="K1034">
        <v>1100</v>
      </c>
      <c r="L1034">
        <v>1700</v>
      </c>
      <c r="M1034">
        <v>1304</v>
      </c>
      <c r="P1034">
        <v>18</v>
      </c>
      <c r="Q1034">
        <v>1</v>
      </c>
      <c r="R1034">
        <v>18</v>
      </c>
      <c r="S1034">
        <v>45170.505828321759</v>
      </c>
      <c r="T1034">
        <v>5500</v>
      </c>
      <c r="U1034" t="s">
        <v>1154</v>
      </c>
      <c r="V1034" t="s">
        <v>99</v>
      </c>
      <c r="W1034" t="s">
        <v>2</v>
      </c>
      <c r="AI1034">
        <v>62</v>
      </c>
      <c r="AJ1034">
        <v>62</v>
      </c>
      <c r="AN1034">
        <v>45170</v>
      </c>
      <c r="AO1034">
        <v>45199</v>
      </c>
      <c r="AP1034" t="s">
        <v>1101</v>
      </c>
    </row>
    <row r="1035" spans="1:42" x14ac:dyDescent="0.25">
      <c r="A1035">
        <v>2023</v>
      </c>
      <c r="B1035">
        <v>9</v>
      </c>
      <c r="C1035">
        <v>17</v>
      </c>
      <c r="D1035" t="s">
        <v>1088</v>
      </c>
      <c r="E1035" t="s">
        <v>282</v>
      </c>
      <c r="F1035">
        <v>330438</v>
      </c>
      <c r="G1035">
        <v>10316520</v>
      </c>
      <c r="H1035" t="s">
        <v>282</v>
      </c>
      <c r="J1035">
        <v>53432423</v>
      </c>
      <c r="K1035">
        <v>1100</v>
      </c>
      <c r="L1035">
        <v>1700</v>
      </c>
      <c r="M1035">
        <v>1304</v>
      </c>
      <c r="P1035">
        <v>15</v>
      </c>
      <c r="Q1035">
        <v>1</v>
      </c>
      <c r="R1035">
        <v>15</v>
      </c>
      <c r="S1035">
        <v>45170.505913854169</v>
      </c>
      <c r="T1035">
        <v>5500</v>
      </c>
      <c r="U1035" t="s">
        <v>1154</v>
      </c>
      <c r="V1035" t="s">
        <v>99</v>
      </c>
      <c r="W1035" t="s">
        <v>2</v>
      </c>
      <c r="AI1035">
        <v>62</v>
      </c>
      <c r="AJ1035">
        <v>62</v>
      </c>
      <c r="AN1035">
        <v>45170</v>
      </c>
      <c r="AO1035">
        <v>45199</v>
      </c>
      <c r="AP1035" t="s">
        <v>1101</v>
      </c>
    </row>
    <row r="1036" spans="1:42" x14ac:dyDescent="0.25">
      <c r="A1036">
        <v>2023</v>
      </c>
      <c r="B1036">
        <v>9</v>
      </c>
      <c r="C1036">
        <v>17</v>
      </c>
      <c r="D1036" t="s">
        <v>1088</v>
      </c>
      <c r="E1036" t="s">
        <v>282</v>
      </c>
      <c r="F1036">
        <v>618969</v>
      </c>
      <c r="G1036">
        <v>10315720</v>
      </c>
      <c r="H1036" t="s">
        <v>282</v>
      </c>
      <c r="J1036">
        <v>53478675</v>
      </c>
      <c r="K1036">
        <v>1100</v>
      </c>
      <c r="L1036">
        <v>1700</v>
      </c>
      <c r="M1036">
        <v>1304</v>
      </c>
      <c r="P1036">
        <v>216</v>
      </c>
      <c r="Q1036">
        <v>1</v>
      </c>
      <c r="R1036">
        <v>216</v>
      </c>
      <c r="S1036">
        <v>45174.612400891201</v>
      </c>
      <c r="T1036">
        <v>5500</v>
      </c>
      <c r="U1036" t="s">
        <v>1154</v>
      </c>
      <c r="V1036" t="s">
        <v>99</v>
      </c>
      <c r="W1036" t="s">
        <v>2</v>
      </c>
      <c r="AI1036">
        <v>62</v>
      </c>
      <c r="AJ1036">
        <v>62</v>
      </c>
      <c r="AN1036">
        <v>45170</v>
      </c>
      <c r="AO1036">
        <v>45199</v>
      </c>
      <c r="AP1036" t="s">
        <v>1101</v>
      </c>
    </row>
    <row r="1037" spans="1:42" x14ac:dyDescent="0.25">
      <c r="A1037">
        <v>2023</v>
      </c>
      <c r="B1037">
        <v>9</v>
      </c>
      <c r="C1037">
        <v>17</v>
      </c>
      <c r="D1037" t="s">
        <v>1088</v>
      </c>
      <c r="E1037" t="s">
        <v>282</v>
      </c>
      <c r="F1037">
        <v>478021</v>
      </c>
      <c r="G1037">
        <v>10321296</v>
      </c>
      <c r="H1037" t="s">
        <v>282</v>
      </c>
      <c r="J1037">
        <v>53491190</v>
      </c>
      <c r="K1037">
        <v>1104</v>
      </c>
      <c r="L1037">
        <v>1702</v>
      </c>
      <c r="M1037">
        <v>1304</v>
      </c>
      <c r="N1037">
        <v>53474662</v>
      </c>
      <c r="O1037">
        <v>45174.563982141204</v>
      </c>
      <c r="P1037">
        <v>66</v>
      </c>
      <c r="Q1037">
        <v>1</v>
      </c>
      <c r="R1037">
        <v>66</v>
      </c>
      <c r="S1037">
        <v>45175.06737384259</v>
      </c>
      <c r="T1037">
        <v>5509</v>
      </c>
      <c r="U1037" t="s">
        <v>1152</v>
      </c>
      <c r="V1037" t="s">
        <v>1153</v>
      </c>
      <c r="W1037" t="s">
        <v>2</v>
      </c>
      <c r="AI1037">
        <v>62</v>
      </c>
      <c r="AJ1037">
        <v>62</v>
      </c>
      <c r="AN1037">
        <v>45170</v>
      </c>
      <c r="AO1037">
        <v>45199</v>
      </c>
      <c r="AP1037" t="s">
        <v>1101</v>
      </c>
    </row>
    <row r="1038" spans="1:42" x14ac:dyDescent="0.25">
      <c r="A1038">
        <v>2023</v>
      </c>
      <c r="B1038">
        <v>9</v>
      </c>
      <c r="C1038">
        <v>17</v>
      </c>
      <c r="D1038" t="s">
        <v>1088</v>
      </c>
      <c r="E1038" t="s">
        <v>282</v>
      </c>
      <c r="F1038">
        <v>181208</v>
      </c>
      <c r="G1038">
        <v>10324711</v>
      </c>
      <c r="H1038" t="s">
        <v>282</v>
      </c>
      <c r="J1038">
        <v>53589256</v>
      </c>
      <c r="K1038">
        <v>1100</v>
      </c>
      <c r="L1038">
        <v>1700</v>
      </c>
      <c r="M1038">
        <v>1304</v>
      </c>
      <c r="P1038">
        <v>6</v>
      </c>
      <c r="Q1038">
        <v>1</v>
      </c>
      <c r="R1038">
        <v>6</v>
      </c>
      <c r="S1038">
        <v>45176.676321990744</v>
      </c>
      <c r="T1038">
        <v>5500</v>
      </c>
      <c r="U1038" t="s">
        <v>1154</v>
      </c>
      <c r="V1038" t="s">
        <v>99</v>
      </c>
      <c r="W1038" t="s">
        <v>2</v>
      </c>
      <c r="AI1038">
        <v>62</v>
      </c>
      <c r="AJ1038">
        <v>62</v>
      </c>
      <c r="AN1038">
        <v>45170</v>
      </c>
      <c r="AO1038">
        <v>45199</v>
      </c>
      <c r="AP1038" t="s">
        <v>1101</v>
      </c>
    </row>
    <row r="1039" spans="1:42" x14ac:dyDescent="0.25">
      <c r="A1039">
        <v>2023</v>
      </c>
      <c r="B1039">
        <v>9</v>
      </c>
      <c r="C1039">
        <v>17</v>
      </c>
      <c r="D1039" t="s">
        <v>1088</v>
      </c>
      <c r="E1039" t="s">
        <v>282</v>
      </c>
      <c r="F1039">
        <v>181208</v>
      </c>
      <c r="G1039">
        <v>10324711</v>
      </c>
      <c r="H1039" t="s">
        <v>282</v>
      </c>
      <c r="J1039">
        <v>53589273</v>
      </c>
      <c r="K1039">
        <v>1100</v>
      </c>
      <c r="L1039">
        <v>1700</v>
      </c>
      <c r="M1039">
        <v>1304</v>
      </c>
      <c r="P1039">
        <v>66</v>
      </c>
      <c r="Q1039">
        <v>1</v>
      </c>
      <c r="R1039">
        <v>66</v>
      </c>
      <c r="S1039">
        <v>45176.676557407409</v>
      </c>
      <c r="T1039">
        <v>5500</v>
      </c>
      <c r="U1039" t="s">
        <v>1154</v>
      </c>
      <c r="V1039" t="s">
        <v>99</v>
      </c>
      <c r="W1039" t="s">
        <v>2</v>
      </c>
      <c r="AI1039">
        <v>62</v>
      </c>
      <c r="AJ1039">
        <v>62</v>
      </c>
      <c r="AN1039">
        <v>45170</v>
      </c>
      <c r="AO1039">
        <v>45199</v>
      </c>
      <c r="AP1039" t="s">
        <v>1101</v>
      </c>
    </row>
    <row r="1040" spans="1:42" x14ac:dyDescent="0.25">
      <c r="A1040">
        <v>2023</v>
      </c>
      <c r="B1040">
        <v>9</v>
      </c>
      <c r="C1040">
        <v>17</v>
      </c>
      <c r="D1040" t="s">
        <v>1088</v>
      </c>
      <c r="E1040" t="s">
        <v>282</v>
      </c>
      <c r="F1040">
        <v>74504</v>
      </c>
      <c r="G1040">
        <v>10332417</v>
      </c>
      <c r="H1040" t="s">
        <v>282</v>
      </c>
      <c r="J1040">
        <v>53576553</v>
      </c>
      <c r="K1040">
        <v>1100</v>
      </c>
      <c r="L1040">
        <v>1700</v>
      </c>
      <c r="M1040">
        <v>1304</v>
      </c>
      <c r="P1040">
        <v>216</v>
      </c>
      <c r="Q1040">
        <v>1</v>
      </c>
      <c r="R1040">
        <v>216</v>
      </c>
      <c r="S1040">
        <v>45176.594639085648</v>
      </c>
      <c r="T1040">
        <v>5500</v>
      </c>
      <c r="U1040" t="s">
        <v>1154</v>
      </c>
      <c r="V1040" t="s">
        <v>99</v>
      </c>
      <c r="W1040" t="s">
        <v>2</v>
      </c>
      <c r="AI1040">
        <v>62</v>
      </c>
      <c r="AJ1040">
        <v>62</v>
      </c>
      <c r="AN1040">
        <v>45170</v>
      </c>
      <c r="AO1040">
        <v>45199</v>
      </c>
      <c r="AP1040" t="s">
        <v>1101</v>
      </c>
    </row>
    <row r="1041" spans="1:42" x14ac:dyDescent="0.25">
      <c r="A1041">
        <v>2023</v>
      </c>
      <c r="B1041">
        <v>9</v>
      </c>
      <c r="C1041">
        <v>17</v>
      </c>
      <c r="D1041" t="s">
        <v>1088</v>
      </c>
      <c r="E1041" t="s">
        <v>282</v>
      </c>
      <c r="F1041">
        <v>74504</v>
      </c>
      <c r="G1041">
        <v>10332417</v>
      </c>
      <c r="H1041" t="s">
        <v>282</v>
      </c>
      <c r="J1041">
        <v>53576559</v>
      </c>
      <c r="K1041">
        <v>1100</v>
      </c>
      <c r="L1041">
        <v>1700</v>
      </c>
      <c r="M1041">
        <v>1304</v>
      </c>
      <c r="P1041">
        <v>216</v>
      </c>
      <c r="Q1041">
        <v>1</v>
      </c>
      <c r="R1041">
        <v>216</v>
      </c>
      <c r="S1041">
        <v>45176.594741469904</v>
      </c>
      <c r="T1041">
        <v>5500</v>
      </c>
      <c r="U1041" t="s">
        <v>1154</v>
      </c>
      <c r="V1041" t="s">
        <v>99</v>
      </c>
      <c r="W1041" t="s">
        <v>2</v>
      </c>
      <c r="AI1041">
        <v>62</v>
      </c>
      <c r="AJ1041">
        <v>62</v>
      </c>
      <c r="AN1041">
        <v>45170</v>
      </c>
      <c r="AO1041">
        <v>45199</v>
      </c>
      <c r="AP1041" t="s">
        <v>1101</v>
      </c>
    </row>
    <row r="1042" spans="1:42" x14ac:dyDescent="0.25">
      <c r="A1042">
        <v>2023</v>
      </c>
      <c r="B1042">
        <v>9</v>
      </c>
      <c r="C1042">
        <v>17</v>
      </c>
      <c r="D1042" t="s">
        <v>1088</v>
      </c>
      <c r="E1042" t="s">
        <v>282</v>
      </c>
      <c r="F1042">
        <v>74504</v>
      </c>
      <c r="G1042">
        <v>10332417</v>
      </c>
      <c r="H1042" t="s">
        <v>282</v>
      </c>
      <c r="J1042">
        <v>53576563</v>
      </c>
      <c r="K1042">
        <v>1100</v>
      </c>
      <c r="L1042">
        <v>1700</v>
      </c>
      <c r="M1042">
        <v>1304</v>
      </c>
      <c r="P1042">
        <v>18</v>
      </c>
      <c r="Q1042">
        <v>1</v>
      </c>
      <c r="R1042">
        <v>18</v>
      </c>
      <c r="S1042">
        <v>45176.594797650461</v>
      </c>
      <c r="T1042">
        <v>5500</v>
      </c>
      <c r="U1042" t="s">
        <v>1154</v>
      </c>
      <c r="V1042" t="s">
        <v>99</v>
      </c>
      <c r="W1042" t="s">
        <v>2</v>
      </c>
      <c r="AI1042">
        <v>62</v>
      </c>
      <c r="AJ1042">
        <v>62</v>
      </c>
      <c r="AN1042">
        <v>45170</v>
      </c>
      <c r="AO1042">
        <v>45199</v>
      </c>
      <c r="AP1042" t="s">
        <v>1101</v>
      </c>
    </row>
    <row r="1043" spans="1:42" x14ac:dyDescent="0.25">
      <c r="A1043">
        <v>2023</v>
      </c>
      <c r="B1043">
        <v>9</v>
      </c>
      <c r="C1043">
        <v>17</v>
      </c>
      <c r="D1043" t="s">
        <v>1088</v>
      </c>
      <c r="E1043" t="s">
        <v>282</v>
      </c>
      <c r="F1043">
        <v>155558</v>
      </c>
      <c r="G1043">
        <v>10213979</v>
      </c>
      <c r="H1043" t="s">
        <v>282</v>
      </c>
      <c r="J1043">
        <v>53605329</v>
      </c>
      <c r="K1043">
        <v>1100</v>
      </c>
      <c r="L1043">
        <v>1700</v>
      </c>
      <c r="M1043">
        <v>1304</v>
      </c>
      <c r="P1043">
        <v>150</v>
      </c>
      <c r="Q1043">
        <v>1</v>
      </c>
      <c r="R1043">
        <v>150</v>
      </c>
      <c r="S1043">
        <v>45177.413432372683</v>
      </c>
      <c r="T1043">
        <v>5500</v>
      </c>
      <c r="U1043" t="s">
        <v>1154</v>
      </c>
      <c r="V1043" t="s">
        <v>99</v>
      </c>
      <c r="W1043" t="s">
        <v>2</v>
      </c>
      <c r="AI1043">
        <v>62</v>
      </c>
      <c r="AJ1043">
        <v>62</v>
      </c>
      <c r="AN1043">
        <v>45170</v>
      </c>
      <c r="AO1043">
        <v>45199</v>
      </c>
      <c r="AP1043" t="s">
        <v>1101</v>
      </c>
    </row>
    <row r="1044" spans="1:42" x14ac:dyDescent="0.25">
      <c r="A1044">
        <v>2023</v>
      </c>
      <c r="B1044">
        <v>9</v>
      </c>
      <c r="C1044">
        <v>17</v>
      </c>
      <c r="D1044" t="s">
        <v>1088</v>
      </c>
      <c r="E1044" t="s">
        <v>282</v>
      </c>
      <c r="F1044">
        <v>155558</v>
      </c>
      <c r="G1044">
        <v>10213979</v>
      </c>
      <c r="H1044" t="s">
        <v>282</v>
      </c>
      <c r="J1044">
        <v>53605357</v>
      </c>
      <c r="K1044">
        <v>1100</v>
      </c>
      <c r="L1044">
        <v>1700</v>
      </c>
      <c r="M1044">
        <v>1304</v>
      </c>
      <c r="P1044">
        <v>150</v>
      </c>
      <c r="Q1044">
        <v>1</v>
      </c>
      <c r="R1044">
        <v>150</v>
      </c>
      <c r="S1044">
        <v>45177.413648692127</v>
      </c>
      <c r="T1044">
        <v>5500</v>
      </c>
      <c r="U1044" t="s">
        <v>1154</v>
      </c>
      <c r="V1044" t="s">
        <v>99</v>
      </c>
      <c r="W1044" t="s">
        <v>2</v>
      </c>
      <c r="AI1044">
        <v>62</v>
      </c>
      <c r="AJ1044">
        <v>62</v>
      </c>
      <c r="AN1044">
        <v>45170</v>
      </c>
      <c r="AO1044">
        <v>45199</v>
      </c>
      <c r="AP1044" t="s">
        <v>1101</v>
      </c>
    </row>
    <row r="1045" spans="1:42" x14ac:dyDescent="0.25">
      <c r="A1045">
        <v>2023</v>
      </c>
      <c r="B1045">
        <v>9</v>
      </c>
      <c r="C1045">
        <v>17</v>
      </c>
      <c r="D1045" t="s">
        <v>1088</v>
      </c>
      <c r="E1045" t="s">
        <v>282</v>
      </c>
      <c r="F1045">
        <v>155558</v>
      </c>
      <c r="G1045">
        <v>10213979</v>
      </c>
      <c r="H1045" t="s">
        <v>282</v>
      </c>
      <c r="J1045">
        <v>53605358</v>
      </c>
      <c r="K1045">
        <v>1100</v>
      </c>
      <c r="L1045">
        <v>1700</v>
      </c>
      <c r="M1045">
        <v>1304</v>
      </c>
      <c r="P1045">
        <v>18</v>
      </c>
      <c r="Q1045">
        <v>1</v>
      </c>
      <c r="R1045">
        <v>18</v>
      </c>
      <c r="S1045">
        <v>45177.413707210646</v>
      </c>
      <c r="T1045">
        <v>5500</v>
      </c>
      <c r="U1045" t="s">
        <v>1154</v>
      </c>
      <c r="V1045" t="s">
        <v>99</v>
      </c>
      <c r="W1045" t="s">
        <v>2</v>
      </c>
      <c r="AI1045">
        <v>62</v>
      </c>
      <c r="AJ1045">
        <v>62</v>
      </c>
      <c r="AN1045">
        <v>45170</v>
      </c>
      <c r="AO1045">
        <v>45199</v>
      </c>
      <c r="AP1045" t="s">
        <v>1101</v>
      </c>
    </row>
    <row r="1046" spans="1:42" x14ac:dyDescent="0.25">
      <c r="A1046">
        <v>2023</v>
      </c>
      <c r="B1046">
        <v>9</v>
      </c>
      <c r="C1046">
        <v>17</v>
      </c>
      <c r="D1046" t="s">
        <v>1088</v>
      </c>
      <c r="E1046" t="s">
        <v>282</v>
      </c>
      <c r="F1046">
        <v>541945</v>
      </c>
      <c r="G1046">
        <v>10346669</v>
      </c>
      <c r="H1046" t="s">
        <v>282</v>
      </c>
      <c r="J1046">
        <v>53645783</v>
      </c>
      <c r="K1046">
        <v>1100</v>
      </c>
      <c r="L1046">
        <v>1700</v>
      </c>
      <c r="M1046">
        <v>1304</v>
      </c>
      <c r="P1046">
        <v>150</v>
      </c>
      <c r="Q1046">
        <v>2</v>
      </c>
      <c r="R1046">
        <v>300</v>
      </c>
      <c r="S1046">
        <v>45177.666545949076</v>
      </c>
      <c r="T1046">
        <v>5500</v>
      </c>
      <c r="U1046" t="s">
        <v>1154</v>
      </c>
      <c r="V1046" t="s">
        <v>99</v>
      </c>
      <c r="W1046" t="s">
        <v>2</v>
      </c>
      <c r="AI1046">
        <v>62</v>
      </c>
      <c r="AJ1046">
        <v>62</v>
      </c>
      <c r="AN1046">
        <v>45170</v>
      </c>
      <c r="AO1046">
        <v>45199</v>
      </c>
      <c r="AP1046" t="s">
        <v>1101</v>
      </c>
    </row>
    <row r="1047" spans="1:42" x14ac:dyDescent="0.25">
      <c r="A1047">
        <v>2023</v>
      </c>
      <c r="B1047">
        <v>9</v>
      </c>
      <c r="C1047">
        <v>17</v>
      </c>
      <c r="D1047" t="s">
        <v>1088</v>
      </c>
      <c r="E1047" t="s">
        <v>282</v>
      </c>
      <c r="F1047">
        <v>541945</v>
      </c>
      <c r="G1047">
        <v>10346669</v>
      </c>
      <c r="H1047" t="s">
        <v>282</v>
      </c>
      <c r="J1047">
        <v>53645784</v>
      </c>
      <c r="K1047">
        <v>1100</v>
      </c>
      <c r="L1047">
        <v>1700</v>
      </c>
      <c r="M1047">
        <v>1304</v>
      </c>
      <c r="P1047">
        <v>150</v>
      </c>
      <c r="Q1047">
        <v>2</v>
      </c>
      <c r="R1047">
        <v>300</v>
      </c>
      <c r="S1047">
        <v>45177.666672719904</v>
      </c>
      <c r="T1047">
        <v>5500</v>
      </c>
      <c r="U1047" t="s">
        <v>1154</v>
      </c>
      <c r="V1047" t="s">
        <v>99</v>
      </c>
      <c r="W1047" t="s">
        <v>2</v>
      </c>
      <c r="AI1047">
        <v>62</v>
      </c>
      <c r="AJ1047">
        <v>62</v>
      </c>
      <c r="AN1047">
        <v>45170</v>
      </c>
      <c r="AO1047">
        <v>45199</v>
      </c>
      <c r="AP1047" t="s">
        <v>1101</v>
      </c>
    </row>
    <row r="1048" spans="1:42" x14ac:dyDescent="0.25">
      <c r="A1048">
        <v>2023</v>
      </c>
      <c r="B1048">
        <v>9</v>
      </c>
      <c r="C1048">
        <v>17</v>
      </c>
      <c r="D1048" t="s">
        <v>1088</v>
      </c>
      <c r="E1048" t="s">
        <v>282</v>
      </c>
      <c r="F1048">
        <v>105620</v>
      </c>
      <c r="G1048">
        <v>10345683</v>
      </c>
      <c r="H1048" t="s">
        <v>282</v>
      </c>
      <c r="J1048">
        <v>53638458</v>
      </c>
      <c r="K1048">
        <v>1100</v>
      </c>
      <c r="L1048">
        <v>1700</v>
      </c>
      <c r="M1048">
        <v>1304</v>
      </c>
      <c r="P1048">
        <v>150</v>
      </c>
      <c r="Q1048">
        <v>3</v>
      </c>
      <c r="R1048">
        <v>450</v>
      </c>
      <c r="S1048">
        <v>45177.612731631947</v>
      </c>
      <c r="T1048">
        <v>5500</v>
      </c>
      <c r="U1048" t="s">
        <v>1154</v>
      </c>
      <c r="V1048" t="s">
        <v>99</v>
      </c>
      <c r="W1048" t="s">
        <v>2</v>
      </c>
      <c r="AI1048">
        <v>62</v>
      </c>
      <c r="AJ1048">
        <v>62</v>
      </c>
      <c r="AN1048">
        <v>45170</v>
      </c>
      <c r="AO1048">
        <v>45199</v>
      </c>
      <c r="AP1048" t="s">
        <v>1101</v>
      </c>
    </row>
    <row r="1049" spans="1:42" x14ac:dyDescent="0.25">
      <c r="A1049">
        <v>2023</v>
      </c>
      <c r="B1049">
        <v>9</v>
      </c>
      <c r="C1049">
        <v>17</v>
      </c>
      <c r="D1049" t="s">
        <v>1088</v>
      </c>
      <c r="E1049" t="s">
        <v>282</v>
      </c>
      <c r="F1049">
        <v>105620</v>
      </c>
      <c r="G1049">
        <v>10345683</v>
      </c>
      <c r="H1049" t="s">
        <v>282</v>
      </c>
      <c r="J1049">
        <v>53638459</v>
      </c>
      <c r="K1049">
        <v>1100</v>
      </c>
      <c r="L1049">
        <v>1700</v>
      </c>
      <c r="M1049">
        <v>1304</v>
      </c>
      <c r="P1049">
        <v>150</v>
      </c>
      <c r="Q1049">
        <v>3</v>
      </c>
      <c r="R1049">
        <v>450</v>
      </c>
      <c r="S1049">
        <v>45177.612887847223</v>
      </c>
      <c r="T1049">
        <v>5500</v>
      </c>
      <c r="U1049" t="s">
        <v>1154</v>
      </c>
      <c r="V1049" t="s">
        <v>99</v>
      </c>
      <c r="W1049" t="s">
        <v>2</v>
      </c>
      <c r="AI1049">
        <v>62</v>
      </c>
      <c r="AJ1049">
        <v>62</v>
      </c>
      <c r="AN1049">
        <v>45170</v>
      </c>
      <c r="AO1049">
        <v>45199</v>
      </c>
      <c r="AP1049" t="s">
        <v>1101</v>
      </c>
    </row>
    <row r="1050" spans="1:42" x14ac:dyDescent="0.25">
      <c r="A1050">
        <v>2023</v>
      </c>
      <c r="B1050">
        <v>9</v>
      </c>
      <c r="C1050">
        <v>17</v>
      </c>
      <c r="D1050" t="s">
        <v>1088</v>
      </c>
      <c r="E1050" t="s">
        <v>282</v>
      </c>
      <c r="F1050">
        <v>105620</v>
      </c>
      <c r="G1050">
        <v>10345683</v>
      </c>
      <c r="H1050" t="s">
        <v>282</v>
      </c>
      <c r="J1050">
        <v>53638460</v>
      </c>
      <c r="K1050">
        <v>1100</v>
      </c>
      <c r="L1050">
        <v>1700</v>
      </c>
      <c r="M1050">
        <v>1304</v>
      </c>
      <c r="P1050">
        <v>25</v>
      </c>
      <c r="Q1050">
        <v>1</v>
      </c>
      <c r="R1050">
        <v>25</v>
      </c>
      <c r="S1050">
        <v>45177.613008067128</v>
      </c>
      <c r="T1050">
        <v>5500</v>
      </c>
      <c r="U1050" t="s">
        <v>1154</v>
      </c>
      <c r="V1050" t="s">
        <v>99</v>
      </c>
      <c r="W1050" t="s">
        <v>2</v>
      </c>
      <c r="AI1050">
        <v>62</v>
      </c>
      <c r="AJ1050">
        <v>62</v>
      </c>
      <c r="AN1050">
        <v>45170</v>
      </c>
      <c r="AO1050">
        <v>45199</v>
      </c>
      <c r="AP1050" t="s">
        <v>1101</v>
      </c>
    </row>
    <row r="1051" spans="1:42" x14ac:dyDescent="0.25">
      <c r="A1051">
        <v>2023</v>
      </c>
      <c r="B1051">
        <v>9</v>
      </c>
      <c r="C1051">
        <v>17</v>
      </c>
      <c r="D1051" t="s">
        <v>1088</v>
      </c>
      <c r="E1051" t="s">
        <v>282</v>
      </c>
      <c r="F1051">
        <v>614098</v>
      </c>
      <c r="G1051">
        <v>10221113</v>
      </c>
      <c r="H1051" t="s">
        <v>282</v>
      </c>
      <c r="J1051">
        <v>53697693</v>
      </c>
      <c r="K1051">
        <v>1104</v>
      </c>
      <c r="L1051">
        <v>1702</v>
      </c>
      <c r="M1051">
        <v>1304</v>
      </c>
      <c r="N1051">
        <v>53671764</v>
      </c>
      <c r="O1051">
        <v>45180.557613622688</v>
      </c>
      <c r="P1051">
        <v>216</v>
      </c>
      <c r="Q1051">
        <v>1</v>
      </c>
      <c r="R1051">
        <v>216</v>
      </c>
      <c r="S1051">
        <v>45181.067376736108</v>
      </c>
      <c r="T1051">
        <v>5509</v>
      </c>
      <c r="U1051" t="s">
        <v>1152</v>
      </c>
      <c r="V1051" t="s">
        <v>1153</v>
      </c>
      <c r="W1051" t="s">
        <v>2</v>
      </c>
      <c r="AI1051">
        <v>62</v>
      </c>
      <c r="AJ1051">
        <v>62</v>
      </c>
      <c r="AN1051">
        <v>45170</v>
      </c>
      <c r="AO1051">
        <v>45199</v>
      </c>
      <c r="AP1051" t="s">
        <v>1101</v>
      </c>
    </row>
    <row r="1052" spans="1:42" x14ac:dyDescent="0.25">
      <c r="A1052">
        <v>2023</v>
      </c>
      <c r="B1052">
        <v>9</v>
      </c>
      <c r="C1052">
        <v>17</v>
      </c>
      <c r="D1052" t="s">
        <v>1088</v>
      </c>
      <c r="E1052" t="s">
        <v>282</v>
      </c>
      <c r="F1052">
        <v>614098</v>
      </c>
      <c r="G1052">
        <v>10221113</v>
      </c>
      <c r="H1052" t="s">
        <v>282</v>
      </c>
      <c r="J1052">
        <v>53697694</v>
      </c>
      <c r="K1052">
        <v>1104</v>
      </c>
      <c r="L1052">
        <v>1702</v>
      </c>
      <c r="M1052">
        <v>1304</v>
      </c>
      <c r="N1052">
        <v>53671765</v>
      </c>
      <c r="O1052">
        <v>45180.557715358795</v>
      </c>
      <c r="P1052">
        <v>216</v>
      </c>
      <c r="Q1052">
        <v>1</v>
      </c>
      <c r="R1052">
        <v>216</v>
      </c>
      <c r="S1052">
        <v>45181.067376736108</v>
      </c>
      <c r="T1052">
        <v>5509</v>
      </c>
      <c r="U1052" t="s">
        <v>1152</v>
      </c>
      <c r="V1052" t="s">
        <v>1153</v>
      </c>
      <c r="W1052" t="s">
        <v>2</v>
      </c>
      <c r="AI1052">
        <v>62</v>
      </c>
      <c r="AJ1052">
        <v>62</v>
      </c>
      <c r="AN1052">
        <v>45170</v>
      </c>
      <c r="AO1052">
        <v>45199</v>
      </c>
      <c r="AP1052" t="s">
        <v>1101</v>
      </c>
    </row>
    <row r="1053" spans="1:42" x14ac:dyDescent="0.25">
      <c r="A1053">
        <v>2023</v>
      </c>
      <c r="B1053">
        <v>9</v>
      </c>
      <c r="C1053">
        <v>17</v>
      </c>
      <c r="D1053" t="s">
        <v>1088</v>
      </c>
      <c r="E1053" t="s">
        <v>282</v>
      </c>
      <c r="F1053">
        <v>614098</v>
      </c>
      <c r="G1053">
        <v>10221113</v>
      </c>
      <c r="H1053" t="s">
        <v>282</v>
      </c>
      <c r="J1053">
        <v>53697695</v>
      </c>
      <c r="K1053">
        <v>1104</v>
      </c>
      <c r="L1053">
        <v>1702</v>
      </c>
      <c r="M1053">
        <v>1304</v>
      </c>
      <c r="N1053">
        <v>53671770</v>
      </c>
      <c r="O1053">
        <v>45180.557768055558</v>
      </c>
      <c r="P1053">
        <v>18</v>
      </c>
      <c r="Q1053">
        <v>1</v>
      </c>
      <c r="R1053">
        <v>18</v>
      </c>
      <c r="S1053">
        <v>45181.067376736108</v>
      </c>
      <c r="T1053">
        <v>5509</v>
      </c>
      <c r="U1053" t="s">
        <v>1152</v>
      </c>
      <c r="V1053" t="s">
        <v>1153</v>
      </c>
      <c r="W1053" t="s">
        <v>2</v>
      </c>
      <c r="AI1053">
        <v>62</v>
      </c>
      <c r="AJ1053">
        <v>62</v>
      </c>
      <c r="AN1053">
        <v>45170</v>
      </c>
      <c r="AO1053">
        <v>45199</v>
      </c>
      <c r="AP1053" t="s">
        <v>1101</v>
      </c>
    </row>
    <row r="1054" spans="1:42" x14ac:dyDescent="0.25">
      <c r="A1054">
        <v>2023</v>
      </c>
      <c r="B1054">
        <v>9</v>
      </c>
      <c r="C1054">
        <v>17</v>
      </c>
      <c r="D1054" t="s">
        <v>1088</v>
      </c>
      <c r="E1054" t="s">
        <v>282</v>
      </c>
      <c r="F1054">
        <v>619995</v>
      </c>
      <c r="G1054">
        <v>10339402</v>
      </c>
      <c r="H1054" t="s">
        <v>282</v>
      </c>
      <c r="J1054">
        <v>53697956</v>
      </c>
      <c r="K1054">
        <v>1104</v>
      </c>
      <c r="L1054">
        <v>1702</v>
      </c>
      <c r="M1054">
        <v>1304</v>
      </c>
      <c r="N1054">
        <v>53683142</v>
      </c>
      <c r="O1054">
        <v>45180.623274305559</v>
      </c>
      <c r="P1054">
        <v>216</v>
      </c>
      <c r="Q1054">
        <v>1</v>
      </c>
      <c r="R1054">
        <v>216</v>
      </c>
      <c r="S1054">
        <v>45181.067376736108</v>
      </c>
      <c r="T1054">
        <v>5509</v>
      </c>
      <c r="U1054" t="s">
        <v>1152</v>
      </c>
      <c r="V1054" t="s">
        <v>1153</v>
      </c>
      <c r="W1054" t="s">
        <v>2</v>
      </c>
      <c r="AI1054">
        <v>62</v>
      </c>
      <c r="AJ1054">
        <v>62</v>
      </c>
      <c r="AN1054">
        <v>45170</v>
      </c>
      <c r="AO1054">
        <v>45199</v>
      </c>
      <c r="AP1054" t="s">
        <v>1101</v>
      </c>
    </row>
    <row r="1055" spans="1:42" x14ac:dyDescent="0.25">
      <c r="A1055">
        <v>2023</v>
      </c>
      <c r="B1055">
        <v>9</v>
      </c>
      <c r="C1055">
        <v>17</v>
      </c>
      <c r="D1055" t="s">
        <v>1088</v>
      </c>
      <c r="E1055" t="s">
        <v>282</v>
      </c>
      <c r="F1055">
        <v>619995</v>
      </c>
      <c r="G1055">
        <v>10339402</v>
      </c>
      <c r="H1055" t="s">
        <v>282</v>
      </c>
      <c r="J1055">
        <v>53697957</v>
      </c>
      <c r="K1055">
        <v>1104</v>
      </c>
      <c r="L1055">
        <v>1702</v>
      </c>
      <c r="M1055">
        <v>1304</v>
      </c>
      <c r="N1055">
        <v>53683152</v>
      </c>
      <c r="O1055">
        <v>45180.623367905093</v>
      </c>
      <c r="P1055">
        <v>216</v>
      </c>
      <c r="Q1055">
        <v>1</v>
      </c>
      <c r="R1055">
        <v>216</v>
      </c>
      <c r="S1055">
        <v>45181.067376736108</v>
      </c>
      <c r="T1055">
        <v>5509</v>
      </c>
      <c r="U1055" t="s">
        <v>1152</v>
      </c>
      <c r="V1055" t="s">
        <v>1153</v>
      </c>
      <c r="W1055" t="s">
        <v>2</v>
      </c>
      <c r="AI1055">
        <v>62</v>
      </c>
      <c r="AJ1055">
        <v>62</v>
      </c>
      <c r="AN1055">
        <v>45170</v>
      </c>
      <c r="AO1055">
        <v>45199</v>
      </c>
      <c r="AP1055" t="s">
        <v>1101</v>
      </c>
    </row>
    <row r="1056" spans="1:42" x14ac:dyDescent="0.25">
      <c r="A1056">
        <v>2023</v>
      </c>
      <c r="B1056">
        <v>9</v>
      </c>
      <c r="C1056">
        <v>17</v>
      </c>
      <c r="D1056" t="s">
        <v>1088</v>
      </c>
      <c r="E1056" t="s">
        <v>282</v>
      </c>
      <c r="F1056">
        <v>619995</v>
      </c>
      <c r="G1056">
        <v>10339402</v>
      </c>
      <c r="H1056" t="s">
        <v>282</v>
      </c>
      <c r="J1056">
        <v>53697958</v>
      </c>
      <c r="K1056">
        <v>1104</v>
      </c>
      <c r="L1056">
        <v>1702</v>
      </c>
      <c r="M1056">
        <v>1304</v>
      </c>
      <c r="N1056">
        <v>53685085</v>
      </c>
      <c r="O1056">
        <v>45180.630189386575</v>
      </c>
      <c r="P1056">
        <v>18</v>
      </c>
      <c r="Q1056">
        <v>1</v>
      </c>
      <c r="R1056">
        <v>18</v>
      </c>
      <c r="S1056">
        <v>45181.067376736108</v>
      </c>
      <c r="T1056">
        <v>5509</v>
      </c>
      <c r="U1056" t="s">
        <v>1152</v>
      </c>
      <c r="V1056" t="s">
        <v>1153</v>
      </c>
      <c r="W1056" t="s">
        <v>2</v>
      </c>
      <c r="AI1056">
        <v>62</v>
      </c>
      <c r="AJ1056">
        <v>62</v>
      </c>
      <c r="AN1056">
        <v>45170</v>
      </c>
      <c r="AO1056">
        <v>45199</v>
      </c>
      <c r="AP1056" t="s">
        <v>1101</v>
      </c>
    </row>
    <row r="1057" spans="1:42" x14ac:dyDescent="0.25">
      <c r="A1057">
        <v>2023</v>
      </c>
      <c r="B1057">
        <v>9</v>
      </c>
      <c r="C1057">
        <v>17</v>
      </c>
      <c r="D1057" t="s">
        <v>1088</v>
      </c>
      <c r="E1057" t="s">
        <v>282</v>
      </c>
      <c r="F1057">
        <v>390261</v>
      </c>
      <c r="G1057">
        <v>10332505</v>
      </c>
      <c r="H1057" t="s">
        <v>282</v>
      </c>
      <c r="J1057">
        <v>53697959</v>
      </c>
      <c r="K1057">
        <v>1104</v>
      </c>
      <c r="L1057">
        <v>1702</v>
      </c>
      <c r="M1057">
        <v>1304</v>
      </c>
      <c r="N1057">
        <v>53671748</v>
      </c>
      <c r="O1057">
        <v>45180.556638692127</v>
      </c>
      <c r="P1057">
        <v>216</v>
      </c>
      <c r="Q1057">
        <v>1</v>
      </c>
      <c r="R1057">
        <v>216</v>
      </c>
      <c r="S1057">
        <v>45181.067376736108</v>
      </c>
      <c r="T1057">
        <v>5509</v>
      </c>
      <c r="U1057" t="s">
        <v>1152</v>
      </c>
      <c r="V1057" t="s">
        <v>1153</v>
      </c>
      <c r="W1057" t="s">
        <v>2</v>
      </c>
      <c r="AI1057">
        <v>62</v>
      </c>
      <c r="AJ1057">
        <v>62</v>
      </c>
      <c r="AN1057">
        <v>45170</v>
      </c>
      <c r="AO1057">
        <v>45199</v>
      </c>
      <c r="AP1057" t="s">
        <v>1101</v>
      </c>
    </row>
    <row r="1058" spans="1:42" x14ac:dyDescent="0.25">
      <c r="A1058">
        <v>2023</v>
      </c>
      <c r="B1058">
        <v>9</v>
      </c>
      <c r="C1058">
        <v>17</v>
      </c>
      <c r="D1058" t="s">
        <v>1088</v>
      </c>
      <c r="E1058" t="s">
        <v>282</v>
      </c>
      <c r="F1058">
        <v>390261</v>
      </c>
      <c r="G1058">
        <v>10332505</v>
      </c>
      <c r="H1058" t="s">
        <v>282</v>
      </c>
      <c r="J1058">
        <v>53697960</v>
      </c>
      <c r="K1058">
        <v>1104</v>
      </c>
      <c r="L1058">
        <v>1702</v>
      </c>
      <c r="M1058">
        <v>1304</v>
      </c>
      <c r="N1058">
        <v>53671750</v>
      </c>
      <c r="O1058">
        <v>45180.556741932873</v>
      </c>
      <c r="P1058">
        <v>9</v>
      </c>
      <c r="Q1058">
        <v>1</v>
      </c>
      <c r="R1058">
        <v>9</v>
      </c>
      <c r="S1058">
        <v>45181.067376736108</v>
      </c>
      <c r="T1058">
        <v>5509</v>
      </c>
      <c r="U1058" t="s">
        <v>1152</v>
      </c>
      <c r="V1058" t="s">
        <v>1153</v>
      </c>
      <c r="W1058" t="s">
        <v>2</v>
      </c>
      <c r="AI1058">
        <v>62</v>
      </c>
      <c r="AJ1058">
        <v>62</v>
      </c>
      <c r="AN1058">
        <v>45170</v>
      </c>
      <c r="AO1058">
        <v>45199</v>
      </c>
      <c r="AP1058" t="s">
        <v>1101</v>
      </c>
    </row>
    <row r="1059" spans="1:42" x14ac:dyDescent="0.25">
      <c r="A1059">
        <v>2023</v>
      </c>
      <c r="B1059">
        <v>9</v>
      </c>
      <c r="C1059">
        <v>17</v>
      </c>
      <c r="D1059" t="s">
        <v>1088</v>
      </c>
      <c r="E1059" t="s">
        <v>282</v>
      </c>
      <c r="F1059">
        <v>621449</v>
      </c>
      <c r="G1059">
        <v>10362310</v>
      </c>
      <c r="H1059" t="s">
        <v>282</v>
      </c>
      <c r="J1059">
        <v>53717692</v>
      </c>
      <c r="K1059">
        <v>1100</v>
      </c>
      <c r="L1059">
        <v>1700</v>
      </c>
      <c r="M1059">
        <v>1301</v>
      </c>
      <c r="P1059">
        <v>7.5</v>
      </c>
      <c r="Q1059">
        <v>2</v>
      </c>
      <c r="R1059">
        <v>15</v>
      </c>
      <c r="S1059">
        <v>45181.637961261571</v>
      </c>
      <c r="T1059">
        <v>5500</v>
      </c>
      <c r="U1059" t="s">
        <v>1151</v>
      </c>
      <c r="V1059" t="s">
        <v>99</v>
      </c>
      <c r="W1059" t="s">
        <v>1031</v>
      </c>
      <c r="X1059" t="s">
        <v>1031</v>
      </c>
      <c r="AA1059">
        <v>57859</v>
      </c>
      <c r="AB1059" t="s">
        <v>1223</v>
      </c>
      <c r="AC1059">
        <v>45183.08766646991</v>
      </c>
      <c r="AI1059">
        <v>62</v>
      </c>
      <c r="AJ1059">
        <v>62</v>
      </c>
      <c r="AN1059">
        <v>45170</v>
      </c>
      <c r="AO1059">
        <v>45199</v>
      </c>
      <c r="AP1059" t="s">
        <v>1101</v>
      </c>
    </row>
    <row r="1060" spans="1:42" x14ac:dyDescent="0.25">
      <c r="A1060">
        <v>2023</v>
      </c>
      <c r="B1060">
        <v>9</v>
      </c>
      <c r="C1060">
        <v>17</v>
      </c>
      <c r="D1060" t="s">
        <v>1088</v>
      </c>
      <c r="E1060" t="s">
        <v>282</v>
      </c>
      <c r="F1060">
        <v>621449</v>
      </c>
      <c r="G1060">
        <v>10362310</v>
      </c>
      <c r="H1060" t="s">
        <v>282</v>
      </c>
      <c r="J1060">
        <v>53717694</v>
      </c>
      <c r="K1060">
        <v>1100</v>
      </c>
      <c r="L1060">
        <v>1700</v>
      </c>
      <c r="M1060">
        <v>1301</v>
      </c>
      <c r="P1060">
        <v>15</v>
      </c>
      <c r="Q1060">
        <v>1</v>
      </c>
      <c r="R1060">
        <v>15</v>
      </c>
      <c r="S1060">
        <v>45181.638047453707</v>
      </c>
      <c r="T1060">
        <v>5500</v>
      </c>
      <c r="U1060" t="s">
        <v>1151</v>
      </c>
      <c r="V1060" t="s">
        <v>99</v>
      </c>
      <c r="W1060" t="s">
        <v>1031</v>
      </c>
      <c r="X1060" t="s">
        <v>1031</v>
      </c>
      <c r="AA1060">
        <v>57859</v>
      </c>
      <c r="AB1060" t="s">
        <v>1223</v>
      </c>
      <c r="AC1060">
        <v>45183.08766646991</v>
      </c>
      <c r="AI1060">
        <v>62</v>
      </c>
      <c r="AJ1060">
        <v>62</v>
      </c>
      <c r="AN1060">
        <v>45170</v>
      </c>
      <c r="AO1060">
        <v>45199</v>
      </c>
      <c r="AP1060" t="s">
        <v>1101</v>
      </c>
    </row>
    <row r="1061" spans="1:42" x14ac:dyDescent="0.25">
      <c r="A1061">
        <v>2023</v>
      </c>
      <c r="B1061">
        <v>9</v>
      </c>
      <c r="C1061">
        <v>17</v>
      </c>
      <c r="D1061" t="s">
        <v>1088</v>
      </c>
      <c r="E1061" t="s">
        <v>282</v>
      </c>
      <c r="F1061">
        <v>488093</v>
      </c>
      <c r="G1061">
        <v>10366802</v>
      </c>
      <c r="H1061" t="s">
        <v>282</v>
      </c>
      <c r="J1061">
        <v>53756873</v>
      </c>
      <c r="K1061">
        <v>1100</v>
      </c>
      <c r="L1061">
        <v>1700</v>
      </c>
      <c r="M1061">
        <v>1304</v>
      </c>
      <c r="P1061">
        <v>120</v>
      </c>
      <c r="Q1061">
        <v>1</v>
      </c>
      <c r="R1061">
        <v>120</v>
      </c>
      <c r="S1061">
        <v>45182.466092939816</v>
      </c>
      <c r="T1061">
        <v>5500</v>
      </c>
      <c r="U1061" t="s">
        <v>1154</v>
      </c>
      <c r="V1061" t="s">
        <v>99</v>
      </c>
      <c r="W1061" t="s">
        <v>2</v>
      </c>
      <c r="AI1061">
        <v>62</v>
      </c>
      <c r="AJ1061">
        <v>62</v>
      </c>
      <c r="AN1061">
        <v>45170</v>
      </c>
      <c r="AO1061">
        <v>45199</v>
      </c>
      <c r="AP1061" t="s">
        <v>1101</v>
      </c>
    </row>
    <row r="1062" spans="1:42" x14ac:dyDescent="0.25">
      <c r="A1062">
        <v>2023</v>
      </c>
      <c r="B1062">
        <v>9</v>
      </c>
      <c r="C1062">
        <v>17</v>
      </c>
      <c r="D1062" t="s">
        <v>1088</v>
      </c>
      <c r="E1062" t="s">
        <v>282</v>
      </c>
      <c r="F1062">
        <v>488093</v>
      </c>
      <c r="G1062">
        <v>10366802</v>
      </c>
      <c r="H1062" t="s">
        <v>282</v>
      </c>
      <c r="J1062">
        <v>53756881</v>
      </c>
      <c r="K1062">
        <v>1100</v>
      </c>
      <c r="L1062">
        <v>1700</v>
      </c>
      <c r="M1062">
        <v>1304</v>
      </c>
      <c r="P1062">
        <v>120</v>
      </c>
      <c r="Q1062">
        <v>1</v>
      </c>
      <c r="R1062">
        <v>120</v>
      </c>
      <c r="S1062">
        <v>45182.466325613423</v>
      </c>
      <c r="T1062">
        <v>5500</v>
      </c>
      <c r="U1062" t="s">
        <v>1154</v>
      </c>
      <c r="V1062" t="s">
        <v>99</v>
      </c>
      <c r="W1062" t="s">
        <v>2</v>
      </c>
      <c r="AI1062">
        <v>62</v>
      </c>
      <c r="AJ1062">
        <v>62</v>
      </c>
      <c r="AN1062">
        <v>45170</v>
      </c>
      <c r="AO1062">
        <v>45199</v>
      </c>
      <c r="AP1062" t="s">
        <v>1101</v>
      </c>
    </row>
    <row r="1063" spans="1:42" x14ac:dyDescent="0.25">
      <c r="A1063">
        <v>2023</v>
      </c>
      <c r="B1063">
        <v>9</v>
      </c>
      <c r="C1063">
        <v>17</v>
      </c>
      <c r="D1063" t="s">
        <v>1088</v>
      </c>
      <c r="E1063" t="s">
        <v>282</v>
      </c>
      <c r="F1063">
        <v>488093</v>
      </c>
      <c r="G1063">
        <v>10366802</v>
      </c>
      <c r="H1063" t="s">
        <v>282</v>
      </c>
      <c r="J1063">
        <v>53756884</v>
      </c>
      <c r="K1063">
        <v>1100</v>
      </c>
      <c r="L1063">
        <v>1700</v>
      </c>
      <c r="M1063">
        <v>1304</v>
      </c>
      <c r="P1063">
        <v>14.4</v>
      </c>
      <c r="Q1063">
        <v>1</v>
      </c>
      <c r="R1063">
        <v>14.4</v>
      </c>
      <c r="S1063">
        <v>45182.46642271991</v>
      </c>
      <c r="T1063">
        <v>5500</v>
      </c>
      <c r="U1063" t="s">
        <v>1154</v>
      </c>
      <c r="V1063" t="s">
        <v>99</v>
      </c>
      <c r="W1063" t="s">
        <v>2</v>
      </c>
      <c r="AI1063">
        <v>62</v>
      </c>
      <c r="AJ1063">
        <v>62</v>
      </c>
      <c r="AN1063">
        <v>45170</v>
      </c>
      <c r="AO1063">
        <v>45199</v>
      </c>
      <c r="AP1063" t="s">
        <v>1101</v>
      </c>
    </row>
    <row r="1064" spans="1:42" x14ac:dyDescent="0.25">
      <c r="A1064">
        <v>2023</v>
      </c>
      <c r="B1064">
        <v>9</v>
      </c>
      <c r="C1064">
        <v>17</v>
      </c>
      <c r="D1064" t="s">
        <v>1088</v>
      </c>
      <c r="E1064" t="s">
        <v>282</v>
      </c>
      <c r="F1064">
        <v>488093</v>
      </c>
      <c r="G1064">
        <v>10366802</v>
      </c>
      <c r="H1064" t="s">
        <v>282</v>
      </c>
      <c r="J1064">
        <v>53756885</v>
      </c>
      <c r="K1064">
        <v>1100</v>
      </c>
      <c r="L1064">
        <v>1700</v>
      </c>
      <c r="M1064">
        <v>1304</v>
      </c>
      <c r="P1064">
        <v>8.5</v>
      </c>
      <c r="Q1064">
        <v>1</v>
      </c>
      <c r="R1064">
        <v>8.5</v>
      </c>
      <c r="S1064">
        <v>45182.466523229166</v>
      </c>
      <c r="T1064">
        <v>5500</v>
      </c>
      <c r="U1064" t="s">
        <v>1154</v>
      </c>
      <c r="V1064" t="s">
        <v>99</v>
      </c>
      <c r="W1064" t="s">
        <v>2</v>
      </c>
      <c r="AI1064">
        <v>62</v>
      </c>
      <c r="AJ1064">
        <v>62</v>
      </c>
      <c r="AN1064">
        <v>45170</v>
      </c>
      <c r="AO1064">
        <v>45199</v>
      </c>
      <c r="AP1064" t="s">
        <v>1101</v>
      </c>
    </row>
    <row r="1065" spans="1:42" x14ac:dyDescent="0.25">
      <c r="A1065">
        <v>2023</v>
      </c>
      <c r="B1065">
        <v>9</v>
      </c>
      <c r="C1065">
        <v>17</v>
      </c>
      <c r="D1065" t="s">
        <v>1088</v>
      </c>
      <c r="E1065" t="s">
        <v>282</v>
      </c>
      <c r="F1065">
        <v>620635</v>
      </c>
      <c r="G1065">
        <v>10345211</v>
      </c>
      <c r="H1065" t="s">
        <v>282</v>
      </c>
      <c r="J1065">
        <v>53732364</v>
      </c>
      <c r="K1065">
        <v>1104</v>
      </c>
      <c r="L1065">
        <v>1702</v>
      </c>
      <c r="M1065">
        <v>1304</v>
      </c>
      <c r="N1065">
        <v>53706719</v>
      </c>
      <c r="O1065">
        <v>45181.488452349535</v>
      </c>
      <c r="P1065">
        <v>200</v>
      </c>
      <c r="Q1065">
        <v>1</v>
      </c>
      <c r="R1065">
        <v>200</v>
      </c>
      <c r="S1065">
        <v>45182.067373032405</v>
      </c>
      <c r="T1065">
        <v>5509</v>
      </c>
      <c r="U1065" t="s">
        <v>1152</v>
      </c>
      <c r="V1065" t="s">
        <v>1153</v>
      </c>
      <c r="W1065" t="s">
        <v>2</v>
      </c>
      <c r="AI1065">
        <v>62</v>
      </c>
      <c r="AJ1065">
        <v>62</v>
      </c>
      <c r="AN1065">
        <v>45170</v>
      </c>
      <c r="AO1065">
        <v>45199</v>
      </c>
      <c r="AP1065" t="s">
        <v>1101</v>
      </c>
    </row>
    <row r="1066" spans="1:42" x14ac:dyDescent="0.25">
      <c r="A1066">
        <v>2023</v>
      </c>
      <c r="B1066">
        <v>9</v>
      </c>
      <c r="C1066">
        <v>17</v>
      </c>
      <c r="D1066" t="s">
        <v>1088</v>
      </c>
      <c r="E1066" t="s">
        <v>282</v>
      </c>
      <c r="F1066">
        <v>56310</v>
      </c>
      <c r="G1066">
        <v>10346871</v>
      </c>
      <c r="H1066" t="s">
        <v>282</v>
      </c>
      <c r="J1066">
        <v>53732550</v>
      </c>
      <c r="K1066">
        <v>1104</v>
      </c>
      <c r="L1066">
        <v>1702</v>
      </c>
      <c r="M1066">
        <v>1304</v>
      </c>
      <c r="N1066">
        <v>53719360</v>
      </c>
      <c r="O1066">
        <v>45181.660730474534</v>
      </c>
      <c r="P1066">
        <v>200</v>
      </c>
      <c r="Q1066">
        <v>1</v>
      </c>
      <c r="R1066">
        <v>200</v>
      </c>
      <c r="S1066">
        <v>45182.067373032405</v>
      </c>
      <c r="T1066">
        <v>5509</v>
      </c>
      <c r="U1066" t="s">
        <v>1152</v>
      </c>
      <c r="V1066" t="s">
        <v>1153</v>
      </c>
      <c r="W1066" t="s">
        <v>2</v>
      </c>
      <c r="AI1066">
        <v>62</v>
      </c>
      <c r="AJ1066">
        <v>62</v>
      </c>
      <c r="AN1066">
        <v>45170</v>
      </c>
      <c r="AO1066">
        <v>45199</v>
      </c>
      <c r="AP1066" t="s">
        <v>1101</v>
      </c>
    </row>
    <row r="1067" spans="1:42" x14ac:dyDescent="0.25">
      <c r="A1067">
        <v>2023</v>
      </c>
      <c r="B1067">
        <v>9</v>
      </c>
      <c r="C1067">
        <v>17</v>
      </c>
      <c r="D1067" t="s">
        <v>1088</v>
      </c>
      <c r="E1067" t="s">
        <v>282</v>
      </c>
      <c r="F1067">
        <v>621828</v>
      </c>
      <c r="G1067">
        <v>10369131</v>
      </c>
      <c r="H1067" t="s">
        <v>282</v>
      </c>
      <c r="J1067">
        <v>53769449</v>
      </c>
      <c r="K1067">
        <v>1100</v>
      </c>
      <c r="L1067">
        <v>1700</v>
      </c>
      <c r="M1067">
        <v>1301</v>
      </c>
      <c r="P1067">
        <v>85</v>
      </c>
      <c r="Q1067">
        <v>1</v>
      </c>
      <c r="R1067">
        <v>85</v>
      </c>
      <c r="S1067">
        <v>45182.602959062497</v>
      </c>
      <c r="T1067">
        <v>5500</v>
      </c>
      <c r="U1067" t="s">
        <v>1151</v>
      </c>
      <c r="V1067" t="s">
        <v>99</v>
      </c>
      <c r="W1067" t="s">
        <v>1031</v>
      </c>
      <c r="X1067" t="s">
        <v>1031</v>
      </c>
      <c r="AA1067">
        <v>57859</v>
      </c>
      <c r="AB1067" t="s">
        <v>1223</v>
      </c>
      <c r="AC1067">
        <v>45183.08766646991</v>
      </c>
      <c r="AI1067">
        <v>62</v>
      </c>
      <c r="AJ1067">
        <v>62</v>
      </c>
      <c r="AN1067">
        <v>45170</v>
      </c>
      <c r="AO1067">
        <v>45199</v>
      </c>
      <c r="AP1067" t="s">
        <v>1101</v>
      </c>
    </row>
    <row r="1068" spans="1:42" x14ac:dyDescent="0.25">
      <c r="A1068">
        <v>2023</v>
      </c>
      <c r="B1068">
        <v>9</v>
      </c>
      <c r="C1068">
        <v>17</v>
      </c>
      <c r="D1068" t="s">
        <v>1088</v>
      </c>
      <c r="E1068" t="s">
        <v>282</v>
      </c>
      <c r="F1068">
        <v>621828</v>
      </c>
      <c r="G1068">
        <v>10369131</v>
      </c>
      <c r="H1068" t="s">
        <v>282</v>
      </c>
      <c r="J1068">
        <v>53769453</v>
      </c>
      <c r="K1068">
        <v>1100</v>
      </c>
      <c r="L1068">
        <v>1700</v>
      </c>
      <c r="M1068">
        <v>1301</v>
      </c>
      <c r="P1068">
        <v>5</v>
      </c>
      <c r="Q1068">
        <v>2</v>
      </c>
      <c r="R1068">
        <v>10</v>
      </c>
      <c r="S1068">
        <v>45182.603146759262</v>
      </c>
      <c r="T1068">
        <v>5500</v>
      </c>
      <c r="U1068" t="s">
        <v>1151</v>
      </c>
      <c r="V1068" t="s">
        <v>99</v>
      </c>
      <c r="W1068" t="s">
        <v>1031</v>
      </c>
      <c r="X1068" t="s">
        <v>1031</v>
      </c>
      <c r="AA1068">
        <v>57859</v>
      </c>
      <c r="AB1068" t="s">
        <v>1223</v>
      </c>
      <c r="AC1068">
        <v>45183.08766646991</v>
      </c>
      <c r="AI1068">
        <v>62</v>
      </c>
      <c r="AJ1068">
        <v>62</v>
      </c>
      <c r="AN1068">
        <v>45170</v>
      </c>
      <c r="AO1068">
        <v>45199</v>
      </c>
      <c r="AP1068" t="s">
        <v>1101</v>
      </c>
    </row>
    <row r="1069" spans="1:42" x14ac:dyDescent="0.25">
      <c r="A1069">
        <v>2023</v>
      </c>
      <c r="B1069">
        <v>9</v>
      </c>
      <c r="C1069">
        <v>17</v>
      </c>
      <c r="D1069" t="s">
        <v>1088</v>
      </c>
      <c r="E1069" t="s">
        <v>282</v>
      </c>
      <c r="F1069">
        <v>621828</v>
      </c>
      <c r="G1069">
        <v>10369131</v>
      </c>
      <c r="H1069" t="s">
        <v>282</v>
      </c>
      <c r="J1069">
        <v>53769460</v>
      </c>
      <c r="K1069">
        <v>1100</v>
      </c>
      <c r="L1069">
        <v>1700</v>
      </c>
      <c r="M1069">
        <v>1301</v>
      </c>
      <c r="P1069">
        <v>7.5</v>
      </c>
      <c r="Q1069">
        <v>2</v>
      </c>
      <c r="R1069">
        <v>15</v>
      </c>
      <c r="S1069">
        <v>45182.603242557867</v>
      </c>
      <c r="T1069">
        <v>5500</v>
      </c>
      <c r="U1069" t="s">
        <v>1151</v>
      </c>
      <c r="V1069" t="s">
        <v>99</v>
      </c>
      <c r="W1069" t="s">
        <v>1031</v>
      </c>
      <c r="X1069" t="s">
        <v>1031</v>
      </c>
      <c r="AA1069">
        <v>57859</v>
      </c>
      <c r="AB1069" t="s">
        <v>1223</v>
      </c>
      <c r="AC1069">
        <v>45183.08766646991</v>
      </c>
      <c r="AI1069">
        <v>62</v>
      </c>
      <c r="AJ1069">
        <v>62</v>
      </c>
      <c r="AN1069">
        <v>45170</v>
      </c>
      <c r="AO1069">
        <v>45199</v>
      </c>
      <c r="AP1069" t="s">
        <v>1101</v>
      </c>
    </row>
    <row r="1070" spans="1:42" x14ac:dyDescent="0.25">
      <c r="A1070">
        <v>2023</v>
      </c>
      <c r="B1070">
        <v>9</v>
      </c>
      <c r="C1070">
        <v>17</v>
      </c>
      <c r="D1070" t="s">
        <v>1088</v>
      </c>
      <c r="E1070" t="s">
        <v>282</v>
      </c>
      <c r="F1070">
        <v>621828</v>
      </c>
      <c r="G1070">
        <v>10369131</v>
      </c>
      <c r="H1070" t="s">
        <v>282</v>
      </c>
      <c r="J1070">
        <v>53769463</v>
      </c>
      <c r="K1070">
        <v>1100</v>
      </c>
      <c r="L1070">
        <v>1700</v>
      </c>
      <c r="M1070">
        <v>1301</v>
      </c>
      <c r="P1070">
        <v>8</v>
      </c>
      <c r="Q1070">
        <v>2</v>
      </c>
      <c r="R1070">
        <v>16</v>
      </c>
      <c r="S1070">
        <v>45182.603372256941</v>
      </c>
      <c r="T1070">
        <v>5500</v>
      </c>
      <c r="U1070" t="s">
        <v>1151</v>
      </c>
      <c r="V1070" t="s">
        <v>99</v>
      </c>
      <c r="W1070" t="s">
        <v>1031</v>
      </c>
      <c r="X1070" t="s">
        <v>1031</v>
      </c>
      <c r="AA1070">
        <v>57859</v>
      </c>
      <c r="AB1070" t="s">
        <v>1223</v>
      </c>
      <c r="AC1070">
        <v>45183.08766646991</v>
      </c>
      <c r="AI1070">
        <v>62</v>
      </c>
      <c r="AJ1070">
        <v>62</v>
      </c>
      <c r="AN1070">
        <v>45170</v>
      </c>
      <c r="AO1070">
        <v>45199</v>
      </c>
      <c r="AP1070" t="s">
        <v>1101</v>
      </c>
    </row>
    <row r="1071" spans="1:42" x14ac:dyDescent="0.25">
      <c r="A1071">
        <v>2023</v>
      </c>
      <c r="B1071">
        <v>9</v>
      </c>
      <c r="C1071">
        <v>17</v>
      </c>
      <c r="D1071" t="s">
        <v>1088</v>
      </c>
      <c r="E1071" t="s">
        <v>282</v>
      </c>
      <c r="F1071">
        <v>621828</v>
      </c>
      <c r="G1071">
        <v>10369131</v>
      </c>
      <c r="H1071" t="s">
        <v>282</v>
      </c>
      <c r="J1071">
        <v>53769464</v>
      </c>
      <c r="K1071">
        <v>1100</v>
      </c>
      <c r="L1071">
        <v>1700</v>
      </c>
      <c r="M1071">
        <v>1301</v>
      </c>
      <c r="P1071">
        <v>15</v>
      </c>
      <c r="Q1071">
        <v>1</v>
      </c>
      <c r="R1071">
        <v>15</v>
      </c>
      <c r="S1071">
        <v>45182.603458715275</v>
      </c>
      <c r="T1071">
        <v>5500</v>
      </c>
      <c r="U1071" t="s">
        <v>1151</v>
      </c>
      <c r="V1071" t="s">
        <v>99</v>
      </c>
      <c r="W1071" t="s">
        <v>1031</v>
      </c>
      <c r="X1071" t="s">
        <v>1031</v>
      </c>
      <c r="AA1071">
        <v>57859</v>
      </c>
      <c r="AB1071" t="s">
        <v>1223</v>
      </c>
      <c r="AC1071">
        <v>45183.08766646991</v>
      </c>
      <c r="AI1071">
        <v>62</v>
      </c>
      <c r="AJ1071">
        <v>62</v>
      </c>
      <c r="AN1071">
        <v>45170</v>
      </c>
      <c r="AO1071">
        <v>45199</v>
      </c>
      <c r="AP1071" t="s">
        <v>1101</v>
      </c>
    </row>
    <row r="1072" spans="1:42" x14ac:dyDescent="0.25">
      <c r="A1072">
        <v>2023</v>
      </c>
      <c r="B1072">
        <v>9</v>
      </c>
      <c r="C1072">
        <v>17</v>
      </c>
      <c r="D1072" t="s">
        <v>1088</v>
      </c>
      <c r="E1072" t="s">
        <v>282</v>
      </c>
      <c r="F1072">
        <v>621831</v>
      </c>
      <c r="G1072">
        <v>10369215</v>
      </c>
      <c r="H1072" t="s">
        <v>282</v>
      </c>
      <c r="J1072">
        <v>53769584</v>
      </c>
      <c r="K1072">
        <v>1100</v>
      </c>
      <c r="L1072">
        <v>1700</v>
      </c>
      <c r="M1072">
        <v>1301</v>
      </c>
      <c r="P1072">
        <v>85</v>
      </c>
      <c r="Q1072">
        <v>1</v>
      </c>
      <c r="R1072">
        <v>85</v>
      </c>
      <c r="S1072">
        <v>45182.607656284723</v>
      </c>
      <c r="T1072">
        <v>5500</v>
      </c>
      <c r="U1072" t="s">
        <v>1151</v>
      </c>
      <c r="V1072" t="s">
        <v>99</v>
      </c>
      <c r="W1072" t="s">
        <v>1031</v>
      </c>
      <c r="X1072" t="s">
        <v>1031</v>
      </c>
      <c r="AA1072">
        <v>57859</v>
      </c>
      <c r="AB1072" t="s">
        <v>1223</v>
      </c>
      <c r="AC1072">
        <v>45183.08766646991</v>
      </c>
      <c r="AI1072">
        <v>62</v>
      </c>
      <c r="AJ1072">
        <v>62</v>
      </c>
      <c r="AN1072">
        <v>45170</v>
      </c>
      <c r="AO1072">
        <v>45199</v>
      </c>
      <c r="AP1072" t="s">
        <v>1101</v>
      </c>
    </row>
    <row r="1073" spans="1:42" x14ac:dyDescent="0.25">
      <c r="A1073">
        <v>2023</v>
      </c>
      <c r="B1073">
        <v>9</v>
      </c>
      <c r="C1073">
        <v>17</v>
      </c>
      <c r="D1073" t="s">
        <v>1088</v>
      </c>
      <c r="E1073" t="s">
        <v>282</v>
      </c>
      <c r="F1073">
        <v>621831</v>
      </c>
      <c r="G1073">
        <v>10369215</v>
      </c>
      <c r="H1073" t="s">
        <v>282</v>
      </c>
      <c r="J1073">
        <v>53769585</v>
      </c>
      <c r="K1073">
        <v>1100</v>
      </c>
      <c r="L1073">
        <v>1700</v>
      </c>
      <c r="M1073">
        <v>1301</v>
      </c>
      <c r="P1073">
        <v>5</v>
      </c>
      <c r="Q1073">
        <v>2</v>
      </c>
      <c r="R1073">
        <v>10</v>
      </c>
      <c r="S1073">
        <v>45182.607795914351</v>
      </c>
      <c r="T1073">
        <v>5500</v>
      </c>
      <c r="U1073" t="s">
        <v>1151</v>
      </c>
      <c r="V1073" t="s">
        <v>99</v>
      </c>
      <c r="W1073" t="s">
        <v>1031</v>
      </c>
      <c r="X1073" t="s">
        <v>1031</v>
      </c>
      <c r="AA1073">
        <v>57859</v>
      </c>
      <c r="AB1073" t="s">
        <v>1223</v>
      </c>
      <c r="AC1073">
        <v>45183.08766646991</v>
      </c>
      <c r="AI1073">
        <v>62</v>
      </c>
      <c r="AJ1073">
        <v>62</v>
      </c>
      <c r="AN1073">
        <v>45170</v>
      </c>
      <c r="AO1073">
        <v>45199</v>
      </c>
      <c r="AP1073" t="s">
        <v>1101</v>
      </c>
    </row>
    <row r="1074" spans="1:42" x14ac:dyDescent="0.25">
      <c r="A1074">
        <v>2023</v>
      </c>
      <c r="B1074">
        <v>9</v>
      </c>
      <c r="C1074">
        <v>17</v>
      </c>
      <c r="D1074" t="s">
        <v>1088</v>
      </c>
      <c r="E1074" t="s">
        <v>282</v>
      </c>
      <c r="F1074">
        <v>621831</v>
      </c>
      <c r="G1074">
        <v>10369215</v>
      </c>
      <c r="H1074" t="s">
        <v>282</v>
      </c>
      <c r="J1074">
        <v>53769593</v>
      </c>
      <c r="K1074">
        <v>1100</v>
      </c>
      <c r="L1074">
        <v>1700</v>
      </c>
      <c r="M1074">
        <v>1301</v>
      </c>
      <c r="P1074">
        <v>7.5</v>
      </c>
      <c r="Q1074">
        <v>2</v>
      </c>
      <c r="R1074">
        <v>15</v>
      </c>
      <c r="S1074">
        <v>45182.607949456018</v>
      </c>
      <c r="T1074">
        <v>5500</v>
      </c>
      <c r="U1074" t="s">
        <v>1151</v>
      </c>
      <c r="V1074" t="s">
        <v>99</v>
      </c>
      <c r="W1074" t="s">
        <v>1031</v>
      </c>
      <c r="X1074" t="s">
        <v>1031</v>
      </c>
      <c r="AA1074">
        <v>57859</v>
      </c>
      <c r="AB1074" t="s">
        <v>1223</v>
      </c>
      <c r="AC1074">
        <v>45183.08766646991</v>
      </c>
      <c r="AI1074">
        <v>62</v>
      </c>
      <c r="AJ1074">
        <v>62</v>
      </c>
      <c r="AN1074">
        <v>45170</v>
      </c>
      <c r="AO1074">
        <v>45199</v>
      </c>
      <c r="AP1074" t="s">
        <v>1101</v>
      </c>
    </row>
    <row r="1075" spans="1:42" x14ac:dyDescent="0.25">
      <c r="A1075">
        <v>2023</v>
      </c>
      <c r="B1075">
        <v>9</v>
      </c>
      <c r="C1075">
        <v>17</v>
      </c>
      <c r="D1075" t="s">
        <v>1088</v>
      </c>
      <c r="E1075" t="s">
        <v>282</v>
      </c>
      <c r="F1075">
        <v>621831</v>
      </c>
      <c r="G1075">
        <v>10369215</v>
      </c>
      <c r="H1075" t="s">
        <v>282</v>
      </c>
      <c r="J1075">
        <v>53769598</v>
      </c>
      <c r="K1075">
        <v>1100</v>
      </c>
      <c r="L1075">
        <v>1700</v>
      </c>
      <c r="M1075">
        <v>1301</v>
      </c>
      <c r="P1075">
        <v>8</v>
      </c>
      <c r="Q1075">
        <v>2</v>
      </c>
      <c r="R1075">
        <v>16</v>
      </c>
      <c r="S1075">
        <v>45182.608190624996</v>
      </c>
      <c r="T1075">
        <v>5500</v>
      </c>
      <c r="U1075" t="s">
        <v>1151</v>
      </c>
      <c r="V1075" t="s">
        <v>99</v>
      </c>
      <c r="W1075" t="s">
        <v>1031</v>
      </c>
      <c r="X1075" t="s">
        <v>1031</v>
      </c>
      <c r="AA1075">
        <v>57859</v>
      </c>
      <c r="AB1075" t="s">
        <v>1223</v>
      </c>
      <c r="AC1075">
        <v>45183.08766646991</v>
      </c>
      <c r="AI1075">
        <v>62</v>
      </c>
      <c r="AJ1075">
        <v>62</v>
      </c>
      <c r="AN1075">
        <v>45170</v>
      </c>
      <c r="AO1075">
        <v>45199</v>
      </c>
      <c r="AP1075" t="s">
        <v>1101</v>
      </c>
    </row>
    <row r="1076" spans="1:42" x14ac:dyDescent="0.25">
      <c r="A1076">
        <v>2023</v>
      </c>
      <c r="B1076">
        <v>9</v>
      </c>
      <c r="C1076">
        <v>17</v>
      </c>
      <c r="D1076" t="s">
        <v>1088</v>
      </c>
      <c r="E1076" t="s">
        <v>282</v>
      </c>
      <c r="F1076">
        <v>621831</v>
      </c>
      <c r="G1076">
        <v>10369215</v>
      </c>
      <c r="H1076" t="s">
        <v>282</v>
      </c>
      <c r="J1076">
        <v>53769603</v>
      </c>
      <c r="K1076">
        <v>1100</v>
      </c>
      <c r="L1076">
        <v>1700</v>
      </c>
      <c r="M1076">
        <v>1301</v>
      </c>
      <c r="P1076">
        <v>7.5</v>
      </c>
      <c r="Q1076">
        <v>1</v>
      </c>
      <c r="R1076">
        <v>7.5</v>
      </c>
      <c r="S1076">
        <v>45182.608501157411</v>
      </c>
      <c r="T1076">
        <v>5500</v>
      </c>
      <c r="U1076" t="s">
        <v>1151</v>
      </c>
      <c r="V1076" t="s">
        <v>99</v>
      </c>
      <c r="W1076" t="s">
        <v>1031</v>
      </c>
      <c r="X1076" t="s">
        <v>1031</v>
      </c>
      <c r="AA1076">
        <v>57859</v>
      </c>
      <c r="AB1076" t="s">
        <v>1223</v>
      </c>
      <c r="AC1076">
        <v>45183.08766646991</v>
      </c>
      <c r="AI1076">
        <v>62</v>
      </c>
      <c r="AJ1076">
        <v>62</v>
      </c>
      <c r="AN1076">
        <v>45170</v>
      </c>
      <c r="AO1076">
        <v>45199</v>
      </c>
      <c r="AP1076" t="s">
        <v>1101</v>
      </c>
    </row>
    <row r="1077" spans="1:42" x14ac:dyDescent="0.25">
      <c r="A1077">
        <v>2023</v>
      </c>
      <c r="B1077">
        <v>9</v>
      </c>
      <c r="C1077">
        <v>17</v>
      </c>
      <c r="D1077" t="s">
        <v>1088</v>
      </c>
      <c r="E1077" t="s">
        <v>282</v>
      </c>
      <c r="F1077">
        <v>621831</v>
      </c>
      <c r="G1077">
        <v>10369215</v>
      </c>
      <c r="H1077" t="s">
        <v>282</v>
      </c>
      <c r="J1077">
        <v>53769605</v>
      </c>
      <c r="K1077">
        <v>1100</v>
      </c>
      <c r="L1077">
        <v>1700</v>
      </c>
      <c r="M1077">
        <v>1301</v>
      </c>
      <c r="P1077">
        <v>15</v>
      </c>
      <c r="Q1077">
        <v>1</v>
      </c>
      <c r="R1077">
        <v>15</v>
      </c>
      <c r="S1077">
        <v>45182.608568553238</v>
      </c>
      <c r="T1077">
        <v>5500</v>
      </c>
      <c r="U1077" t="s">
        <v>1151</v>
      </c>
      <c r="V1077" t="s">
        <v>99</v>
      </c>
      <c r="W1077" t="s">
        <v>1031</v>
      </c>
      <c r="X1077" t="s">
        <v>1031</v>
      </c>
      <c r="AA1077">
        <v>57859</v>
      </c>
      <c r="AB1077" t="s">
        <v>1223</v>
      </c>
      <c r="AC1077">
        <v>45183.08766646991</v>
      </c>
      <c r="AI1077">
        <v>62</v>
      </c>
      <c r="AJ1077">
        <v>62</v>
      </c>
      <c r="AN1077">
        <v>45170</v>
      </c>
      <c r="AO1077">
        <v>45199</v>
      </c>
      <c r="AP1077" t="s">
        <v>1101</v>
      </c>
    </row>
    <row r="1078" spans="1:42" x14ac:dyDescent="0.25">
      <c r="A1078">
        <v>2023</v>
      </c>
      <c r="B1078">
        <v>9</v>
      </c>
      <c r="C1078">
        <v>17</v>
      </c>
      <c r="D1078" t="s">
        <v>1088</v>
      </c>
      <c r="E1078" t="s">
        <v>282</v>
      </c>
      <c r="F1078">
        <v>485175</v>
      </c>
      <c r="G1078">
        <v>10370488</v>
      </c>
      <c r="H1078" t="s">
        <v>282</v>
      </c>
      <c r="J1078">
        <v>53775604</v>
      </c>
      <c r="K1078">
        <v>1100</v>
      </c>
      <c r="L1078">
        <v>1700</v>
      </c>
      <c r="M1078">
        <v>1304</v>
      </c>
      <c r="P1078">
        <v>1.2</v>
      </c>
      <c r="Q1078">
        <v>1</v>
      </c>
      <c r="R1078">
        <v>1.2</v>
      </c>
      <c r="S1078">
        <v>45182.702013692127</v>
      </c>
      <c r="T1078">
        <v>5500</v>
      </c>
      <c r="U1078" t="s">
        <v>1154</v>
      </c>
      <c r="V1078" t="s">
        <v>99</v>
      </c>
      <c r="W1078" t="s">
        <v>2</v>
      </c>
      <c r="AI1078">
        <v>62</v>
      </c>
      <c r="AJ1078">
        <v>62</v>
      </c>
      <c r="AN1078">
        <v>45170</v>
      </c>
      <c r="AO1078">
        <v>45199</v>
      </c>
      <c r="AP1078" t="s">
        <v>1101</v>
      </c>
    </row>
    <row r="1079" spans="1:42" x14ac:dyDescent="0.25">
      <c r="A1079">
        <v>2023</v>
      </c>
      <c r="B1079">
        <v>9</v>
      </c>
      <c r="C1079">
        <v>17</v>
      </c>
      <c r="D1079" t="s">
        <v>1088</v>
      </c>
      <c r="E1079" t="s">
        <v>282</v>
      </c>
      <c r="F1079">
        <v>485175</v>
      </c>
      <c r="G1079">
        <v>10370488</v>
      </c>
      <c r="H1079" t="s">
        <v>282</v>
      </c>
      <c r="J1079">
        <v>53775614</v>
      </c>
      <c r="K1079">
        <v>1100</v>
      </c>
      <c r="L1079">
        <v>1700</v>
      </c>
      <c r="M1079">
        <v>1304</v>
      </c>
      <c r="P1079">
        <v>5.5</v>
      </c>
      <c r="Q1079">
        <v>1</v>
      </c>
      <c r="R1079">
        <v>5.5</v>
      </c>
      <c r="S1079">
        <v>45182.702167210649</v>
      </c>
      <c r="T1079">
        <v>5500</v>
      </c>
      <c r="U1079" t="s">
        <v>1154</v>
      </c>
      <c r="V1079" t="s">
        <v>99</v>
      </c>
      <c r="W1079" t="s">
        <v>2</v>
      </c>
      <c r="AI1079">
        <v>62</v>
      </c>
      <c r="AJ1079">
        <v>62</v>
      </c>
      <c r="AN1079">
        <v>45170</v>
      </c>
      <c r="AO1079">
        <v>45199</v>
      </c>
      <c r="AP1079" t="s">
        <v>1101</v>
      </c>
    </row>
    <row r="1080" spans="1:42" x14ac:dyDescent="0.25">
      <c r="A1080">
        <v>2023</v>
      </c>
      <c r="B1080">
        <v>9</v>
      </c>
      <c r="C1080">
        <v>17</v>
      </c>
      <c r="D1080" t="s">
        <v>1088</v>
      </c>
      <c r="E1080" t="s">
        <v>282</v>
      </c>
      <c r="F1080">
        <v>622670</v>
      </c>
      <c r="G1080">
        <v>10384138</v>
      </c>
      <c r="H1080" t="s">
        <v>282</v>
      </c>
      <c r="J1080">
        <v>53862445</v>
      </c>
      <c r="K1080">
        <v>1100</v>
      </c>
      <c r="L1080">
        <v>1700</v>
      </c>
      <c r="M1080">
        <v>1301</v>
      </c>
      <c r="P1080">
        <v>85</v>
      </c>
      <c r="Q1080">
        <v>1</v>
      </c>
      <c r="R1080">
        <v>85</v>
      </c>
      <c r="S1080">
        <v>45184.676935300929</v>
      </c>
      <c r="T1080">
        <v>5500</v>
      </c>
      <c r="U1080" t="s">
        <v>1151</v>
      </c>
      <c r="V1080" t="s">
        <v>99</v>
      </c>
      <c r="W1080" t="s">
        <v>1031</v>
      </c>
      <c r="X1080" t="s">
        <v>1031</v>
      </c>
      <c r="AA1080">
        <v>57887</v>
      </c>
      <c r="AB1080" t="s">
        <v>1223</v>
      </c>
      <c r="AC1080">
        <v>45186.083636307871</v>
      </c>
      <c r="AI1080">
        <v>62</v>
      </c>
      <c r="AJ1080">
        <v>62</v>
      </c>
      <c r="AN1080">
        <v>45170</v>
      </c>
      <c r="AO1080">
        <v>45199</v>
      </c>
      <c r="AP1080" t="s">
        <v>1101</v>
      </c>
    </row>
    <row r="1081" spans="1:42" x14ac:dyDescent="0.25">
      <c r="A1081">
        <v>2023</v>
      </c>
      <c r="B1081">
        <v>9</v>
      </c>
      <c r="C1081">
        <v>17</v>
      </c>
      <c r="D1081" t="s">
        <v>1088</v>
      </c>
      <c r="E1081" t="s">
        <v>282</v>
      </c>
      <c r="F1081">
        <v>622670</v>
      </c>
      <c r="G1081">
        <v>10384138</v>
      </c>
      <c r="H1081" t="s">
        <v>282</v>
      </c>
      <c r="J1081">
        <v>53862452</v>
      </c>
      <c r="K1081">
        <v>1100</v>
      </c>
      <c r="L1081">
        <v>1700</v>
      </c>
      <c r="M1081">
        <v>1301</v>
      </c>
      <c r="P1081">
        <v>7.5</v>
      </c>
      <c r="Q1081">
        <v>2</v>
      </c>
      <c r="R1081">
        <v>15</v>
      </c>
      <c r="S1081">
        <v>45184.677059340276</v>
      </c>
      <c r="T1081">
        <v>5500</v>
      </c>
      <c r="U1081" t="s">
        <v>1151</v>
      </c>
      <c r="V1081" t="s">
        <v>99</v>
      </c>
      <c r="W1081" t="s">
        <v>1031</v>
      </c>
      <c r="X1081" t="s">
        <v>1031</v>
      </c>
      <c r="AA1081">
        <v>57887</v>
      </c>
      <c r="AB1081" t="s">
        <v>1223</v>
      </c>
      <c r="AC1081">
        <v>45186.083636307871</v>
      </c>
      <c r="AI1081">
        <v>62</v>
      </c>
      <c r="AJ1081">
        <v>62</v>
      </c>
      <c r="AN1081">
        <v>45170</v>
      </c>
      <c r="AO1081">
        <v>45199</v>
      </c>
      <c r="AP1081" t="s">
        <v>1101</v>
      </c>
    </row>
    <row r="1082" spans="1:42" x14ac:dyDescent="0.25">
      <c r="A1082">
        <v>2023</v>
      </c>
      <c r="B1082">
        <v>9</v>
      </c>
      <c r="C1082">
        <v>17</v>
      </c>
      <c r="D1082" t="s">
        <v>1088</v>
      </c>
      <c r="E1082" t="s">
        <v>282</v>
      </c>
      <c r="F1082">
        <v>622670</v>
      </c>
      <c r="G1082">
        <v>10384138</v>
      </c>
      <c r="H1082" t="s">
        <v>282</v>
      </c>
      <c r="J1082">
        <v>53862457</v>
      </c>
      <c r="K1082">
        <v>1100</v>
      </c>
      <c r="L1082">
        <v>1700</v>
      </c>
      <c r="M1082">
        <v>1301</v>
      </c>
      <c r="P1082">
        <v>8</v>
      </c>
      <c r="Q1082">
        <v>2</v>
      </c>
      <c r="R1082">
        <v>16</v>
      </c>
      <c r="S1082">
        <v>45184.677205902779</v>
      </c>
      <c r="T1082">
        <v>5500</v>
      </c>
      <c r="U1082" t="s">
        <v>1151</v>
      </c>
      <c r="V1082" t="s">
        <v>99</v>
      </c>
      <c r="W1082" t="s">
        <v>1031</v>
      </c>
      <c r="X1082" t="s">
        <v>1031</v>
      </c>
      <c r="AA1082">
        <v>57887</v>
      </c>
      <c r="AB1082" t="s">
        <v>1223</v>
      </c>
      <c r="AC1082">
        <v>45186.083636307871</v>
      </c>
      <c r="AI1082">
        <v>62</v>
      </c>
      <c r="AJ1082">
        <v>62</v>
      </c>
      <c r="AN1082">
        <v>45170</v>
      </c>
      <c r="AO1082">
        <v>45199</v>
      </c>
      <c r="AP1082" t="s">
        <v>1101</v>
      </c>
    </row>
    <row r="1083" spans="1:42" x14ac:dyDescent="0.25">
      <c r="A1083">
        <v>2023</v>
      </c>
      <c r="B1083">
        <v>9</v>
      </c>
      <c r="C1083">
        <v>17</v>
      </c>
      <c r="D1083" t="s">
        <v>1088</v>
      </c>
      <c r="E1083" t="s">
        <v>282</v>
      </c>
      <c r="F1083">
        <v>622663</v>
      </c>
      <c r="G1083">
        <v>10384111</v>
      </c>
      <c r="H1083" t="s">
        <v>282</v>
      </c>
      <c r="J1083">
        <v>53943137</v>
      </c>
      <c r="K1083">
        <v>1100</v>
      </c>
      <c r="L1083">
        <v>1700</v>
      </c>
      <c r="M1083">
        <v>1304</v>
      </c>
      <c r="P1083">
        <v>216</v>
      </c>
      <c r="Q1083">
        <v>1</v>
      </c>
      <c r="R1083">
        <v>216</v>
      </c>
      <c r="S1083">
        <v>45188.62355034722</v>
      </c>
      <c r="T1083">
        <v>5500</v>
      </c>
      <c r="U1083" t="s">
        <v>1154</v>
      </c>
      <c r="V1083" t="s">
        <v>99</v>
      </c>
      <c r="W1083" t="s">
        <v>2</v>
      </c>
      <c r="AI1083">
        <v>62</v>
      </c>
      <c r="AJ1083">
        <v>62</v>
      </c>
      <c r="AN1083">
        <v>45170</v>
      </c>
      <c r="AO1083">
        <v>45199</v>
      </c>
      <c r="AP1083" t="s">
        <v>1101</v>
      </c>
    </row>
    <row r="1084" spans="1:42" x14ac:dyDescent="0.25">
      <c r="A1084">
        <v>2023</v>
      </c>
      <c r="B1084">
        <v>9</v>
      </c>
      <c r="C1084">
        <v>17</v>
      </c>
      <c r="D1084" t="s">
        <v>1088</v>
      </c>
      <c r="E1084" t="s">
        <v>282</v>
      </c>
      <c r="F1084">
        <v>622663</v>
      </c>
      <c r="G1084">
        <v>10384111</v>
      </c>
      <c r="H1084" t="s">
        <v>282</v>
      </c>
      <c r="J1084">
        <v>53943138</v>
      </c>
      <c r="K1084">
        <v>1100</v>
      </c>
      <c r="L1084">
        <v>1700</v>
      </c>
      <c r="M1084">
        <v>1304</v>
      </c>
      <c r="P1084">
        <v>216</v>
      </c>
      <c r="Q1084">
        <v>1</v>
      </c>
      <c r="R1084">
        <v>216</v>
      </c>
      <c r="S1084">
        <v>45188.623646759261</v>
      </c>
      <c r="T1084">
        <v>5500</v>
      </c>
      <c r="U1084" t="s">
        <v>1154</v>
      </c>
      <c r="V1084" t="s">
        <v>99</v>
      </c>
      <c r="W1084" t="s">
        <v>2</v>
      </c>
      <c r="AI1084">
        <v>62</v>
      </c>
      <c r="AJ1084">
        <v>62</v>
      </c>
      <c r="AN1084">
        <v>45170</v>
      </c>
      <c r="AO1084">
        <v>45199</v>
      </c>
      <c r="AP1084" t="s">
        <v>1101</v>
      </c>
    </row>
    <row r="1085" spans="1:42" x14ac:dyDescent="0.25">
      <c r="A1085">
        <v>2023</v>
      </c>
      <c r="B1085">
        <v>9</v>
      </c>
      <c r="C1085">
        <v>17</v>
      </c>
      <c r="D1085" t="s">
        <v>1088</v>
      </c>
      <c r="E1085" t="s">
        <v>282</v>
      </c>
      <c r="F1085">
        <v>620993</v>
      </c>
      <c r="G1085">
        <v>10352163</v>
      </c>
      <c r="H1085" t="s">
        <v>282</v>
      </c>
      <c r="J1085">
        <v>53958923</v>
      </c>
      <c r="K1085">
        <v>1104</v>
      </c>
      <c r="L1085">
        <v>1702</v>
      </c>
      <c r="M1085">
        <v>1304</v>
      </c>
      <c r="N1085">
        <v>53935582</v>
      </c>
      <c r="O1085">
        <v>45188.491005937503</v>
      </c>
      <c r="P1085">
        <v>216</v>
      </c>
      <c r="Q1085">
        <v>1</v>
      </c>
      <c r="R1085">
        <v>216</v>
      </c>
      <c r="S1085">
        <v>45189.067373726852</v>
      </c>
      <c r="T1085">
        <v>5509</v>
      </c>
      <c r="U1085" t="s">
        <v>1152</v>
      </c>
      <c r="V1085" t="s">
        <v>1153</v>
      </c>
      <c r="W1085" t="s">
        <v>2</v>
      </c>
      <c r="AI1085">
        <v>62</v>
      </c>
      <c r="AJ1085">
        <v>62</v>
      </c>
      <c r="AN1085">
        <v>45170</v>
      </c>
      <c r="AO1085">
        <v>45199</v>
      </c>
      <c r="AP1085" t="s">
        <v>1101</v>
      </c>
    </row>
    <row r="1086" spans="1:42" x14ac:dyDescent="0.25">
      <c r="A1086">
        <v>2023</v>
      </c>
      <c r="B1086">
        <v>9</v>
      </c>
      <c r="C1086">
        <v>17</v>
      </c>
      <c r="D1086" t="s">
        <v>1088</v>
      </c>
      <c r="E1086" t="s">
        <v>282</v>
      </c>
      <c r="F1086">
        <v>620993</v>
      </c>
      <c r="G1086">
        <v>10352163</v>
      </c>
      <c r="H1086" t="s">
        <v>282</v>
      </c>
      <c r="J1086">
        <v>53958924</v>
      </c>
      <c r="K1086">
        <v>1104</v>
      </c>
      <c r="L1086">
        <v>1702</v>
      </c>
      <c r="M1086">
        <v>1304</v>
      </c>
      <c r="N1086">
        <v>53935586</v>
      </c>
      <c r="O1086">
        <v>45188.49111959491</v>
      </c>
      <c r="P1086">
        <v>216</v>
      </c>
      <c r="Q1086">
        <v>1</v>
      </c>
      <c r="R1086">
        <v>216</v>
      </c>
      <c r="S1086">
        <v>45189.067373726852</v>
      </c>
      <c r="T1086">
        <v>5509</v>
      </c>
      <c r="U1086" t="s">
        <v>1152</v>
      </c>
      <c r="V1086" t="s">
        <v>1153</v>
      </c>
      <c r="W1086" t="s">
        <v>2</v>
      </c>
      <c r="AI1086">
        <v>62</v>
      </c>
      <c r="AJ1086">
        <v>62</v>
      </c>
      <c r="AN1086">
        <v>45170</v>
      </c>
      <c r="AO1086">
        <v>45199</v>
      </c>
      <c r="AP1086" t="s">
        <v>1101</v>
      </c>
    </row>
    <row r="1087" spans="1:42" x14ac:dyDescent="0.25">
      <c r="A1087">
        <v>2023</v>
      </c>
      <c r="B1087">
        <v>9</v>
      </c>
      <c r="C1087">
        <v>17</v>
      </c>
      <c r="D1087" t="s">
        <v>1088</v>
      </c>
      <c r="E1087" t="s">
        <v>282</v>
      </c>
      <c r="F1087">
        <v>620993</v>
      </c>
      <c r="G1087">
        <v>10352163</v>
      </c>
      <c r="H1087" t="s">
        <v>282</v>
      </c>
      <c r="J1087">
        <v>53958925</v>
      </c>
      <c r="K1087">
        <v>1104</v>
      </c>
      <c r="L1087">
        <v>1702</v>
      </c>
      <c r="M1087">
        <v>1304</v>
      </c>
      <c r="N1087">
        <v>53935590</v>
      </c>
      <c r="O1087">
        <v>45188.491178321761</v>
      </c>
      <c r="P1087">
        <v>18</v>
      </c>
      <c r="Q1087">
        <v>1</v>
      </c>
      <c r="R1087">
        <v>18</v>
      </c>
      <c r="S1087">
        <v>45189.067373726852</v>
      </c>
      <c r="T1087">
        <v>5509</v>
      </c>
      <c r="U1087" t="s">
        <v>1152</v>
      </c>
      <c r="V1087" t="s">
        <v>1153</v>
      </c>
      <c r="W1087" t="s">
        <v>2</v>
      </c>
      <c r="AI1087">
        <v>62</v>
      </c>
      <c r="AJ1087">
        <v>62</v>
      </c>
      <c r="AN1087">
        <v>45170</v>
      </c>
      <c r="AO1087">
        <v>45199</v>
      </c>
      <c r="AP1087" t="s">
        <v>1101</v>
      </c>
    </row>
    <row r="1088" spans="1:42" x14ac:dyDescent="0.25">
      <c r="A1088">
        <v>2023</v>
      </c>
      <c r="B1088">
        <v>9</v>
      </c>
      <c r="C1088">
        <v>17</v>
      </c>
      <c r="D1088" t="s">
        <v>1088</v>
      </c>
      <c r="E1088" t="s">
        <v>282</v>
      </c>
      <c r="F1088">
        <v>620993</v>
      </c>
      <c r="G1088">
        <v>10352163</v>
      </c>
      <c r="H1088" t="s">
        <v>282</v>
      </c>
      <c r="J1088">
        <v>53958926</v>
      </c>
      <c r="K1088">
        <v>1104</v>
      </c>
      <c r="L1088">
        <v>1702</v>
      </c>
      <c r="M1088">
        <v>1304</v>
      </c>
      <c r="N1088">
        <v>53935597</v>
      </c>
      <c r="O1088">
        <v>45188.491306747688</v>
      </c>
      <c r="P1088">
        <v>150</v>
      </c>
      <c r="Q1088">
        <v>1</v>
      </c>
      <c r="R1088">
        <v>150</v>
      </c>
      <c r="S1088">
        <v>45189.067373726852</v>
      </c>
      <c r="T1088">
        <v>5509</v>
      </c>
      <c r="U1088" t="s">
        <v>1152</v>
      </c>
      <c r="V1088" t="s">
        <v>1153</v>
      </c>
      <c r="W1088" t="s">
        <v>2</v>
      </c>
      <c r="AI1088">
        <v>62</v>
      </c>
      <c r="AJ1088">
        <v>62</v>
      </c>
      <c r="AN1088">
        <v>45170</v>
      </c>
      <c r="AO1088">
        <v>45199</v>
      </c>
      <c r="AP1088" t="s">
        <v>1101</v>
      </c>
    </row>
    <row r="1089" spans="1:42" x14ac:dyDescent="0.25">
      <c r="A1089">
        <v>2023</v>
      </c>
      <c r="B1089">
        <v>9</v>
      </c>
      <c r="C1089">
        <v>17</v>
      </c>
      <c r="D1089" t="s">
        <v>1088</v>
      </c>
      <c r="E1089" t="s">
        <v>282</v>
      </c>
      <c r="F1089">
        <v>620993</v>
      </c>
      <c r="G1089">
        <v>10352163</v>
      </c>
      <c r="H1089" t="s">
        <v>282</v>
      </c>
      <c r="J1089">
        <v>53958927</v>
      </c>
      <c r="K1089">
        <v>1104</v>
      </c>
      <c r="L1089">
        <v>1702</v>
      </c>
      <c r="M1089">
        <v>1304</v>
      </c>
      <c r="N1089">
        <v>53935600</v>
      </c>
      <c r="O1089">
        <v>45188.491424849541</v>
      </c>
      <c r="P1089">
        <v>150</v>
      </c>
      <c r="Q1089">
        <v>1</v>
      </c>
      <c r="R1089">
        <v>150</v>
      </c>
      <c r="S1089">
        <v>45189.067373726852</v>
      </c>
      <c r="T1089">
        <v>5509</v>
      </c>
      <c r="U1089" t="s">
        <v>1152</v>
      </c>
      <c r="V1089" t="s">
        <v>1153</v>
      </c>
      <c r="W1089" t="s">
        <v>2</v>
      </c>
      <c r="AI1089">
        <v>62</v>
      </c>
      <c r="AJ1089">
        <v>62</v>
      </c>
      <c r="AN1089">
        <v>45170</v>
      </c>
      <c r="AO1089">
        <v>45199</v>
      </c>
      <c r="AP1089" t="s">
        <v>1101</v>
      </c>
    </row>
    <row r="1090" spans="1:42" x14ac:dyDescent="0.25">
      <c r="A1090">
        <v>2023</v>
      </c>
      <c r="B1090">
        <v>9</v>
      </c>
      <c r="C1090">
        <v>17</v>
      </c>
      <c r="D1090" t="s">
        <v>1088</v>
      </c>
      <c r="E1090" t="s">
        <v>282</v>
      </c>
      <c r="F1090">
        <v>620993</v>
      </c>
      <c r="G1090">
        <v>10352163</v>
      </c>
      <c r="H1090" t="s">
        <v>282</v>
      </c>
      <c r="J1090">
        <v>53958928</v>
      </c>
      <c r="K1090">
        <v>1104</v>
      </c>
      <c r="L1090">
        <v>1702</v>
      </c>
      <c r="M1090">
        <v>1304</v>
      </c>
      <c r="N1090">
        <v>53935601</v>
      </c>
      <c r="O1090">
        <v>45188.491505706021</v>
      </c>
      <c r="P1090">
        <v>18</v>
      </c>
      <c r="Q1090">
        <v>1</v>
      </c>
      <c r="R1090">
        <v>18</v>
      </c>
      <c r="S1090">
        <v>45189.067373726852</v>
      </c>
      <c r="T1090">
        <v>5509</v>
      </c>
      <c r="U1090" t="s">
        <v>1152</v>
      </c>
      <c r="V1090" t="s">
        <v>1153</v>
      </c>
      <c r="W1090" t="s">
        <v>2</v>
      </c>
      <c r="AI1090">
        <v>62</v>
      </c>
      <c r="AJ1090">
        <v>62</v>
      </c>
      <c r="AN1090">
        <v>45170</v>
      </c>
      <c r="AO1090">
        <v>45199</v>
      </c>
      <c r="AP1090" t="s">
        <v>1101</v>
      </c>
    </row>
    <row r="1091" spans="1:42" x14ac:dyDescent="0.25">
      <c r="A1091">
        <v>2023</v>
      </c>
      <c r="B1091">
        <v>9</v>
      </c>
      <c r="C1091">
        <v>17</v>
      </c>
      <c r="D1091" t="s">
        <v>1088</v>
      </c>
      <c r="E1091" t="s">
        <v>282</v>
      </c>
      <c r="F1091">
        <v>142389</v>
      </c>
      <c r="G1091">
        <v>10292371</v>
      </c>
      <c r="H1091" t="s">
        <v>282</v>
      </c>
      <c r="J1091">
        <v>53958930</v>
      </c>
      <c r="K1091">
        <v>1104</v>
      </c>
      <c r="L1091">
        <v>1702</v>
      </c>
      <c r="M1091">
        <v>1304</v>
      </c>
      <c r="N1091">
        <v>53933684</v>
      </c>
      <c r="O1091">
        <v>45188.470608449075</v>
      </c>
      <c r="P1091">
        <v>216</v>
      </c>
      <c r="Q1091">
        <v>1</v>
      </c>
      <c r="R1091">
        <v>216</v>
      </c>
      <c r="S1091">
        <v>45189.067373726852</v>
      </c>
      <c r="T1091">
        <v>5509</v>
      </c>
      <c r="U1091" t="s">
        <v>1152</v>
      </c>
      <c r="V1091" t="s">
        <v>1153</v>
      </c>
      <c r="W1091" t="s">
        <v>2</v>
      </c>
      <c r="AI1091">
        <v>62</v>
      </c>
      <c r="AJ1091">
        <v>62</v>
      </c>
      <c r="AN1091">
        <v>45170</v>
      </c>
      <c r="AO1091">
        <v>45199</v>
      </c>
      <c r="AP1091" t="s">
        <v>1101</v>
      </c>
    </row>
    <row r="1092" spans="1:42" x14ac:dyDescent="0.25">
      <c r="A1092">
        <v>2023</v>
      </c>
      <c r="B1092">
        <v>9</v>
      </c>
      <c r="C1092">
        <v>17</v>
      </c>
      <c r="D1092" t="s">
        <v>1088</v>
      </c>
      <c r="E1092" t="s">
        <v>282</v>
      </c>
      <c r="F1092">
        <v>142389</v>
      </c>
      <c r="G1092">
        <v>10292371</v>
      </c>
      <c r="H1092" t="s">
        <v>282</v>
      </c>
      <c r="J1092">
        <v>53958931</v>
      </c>
      <c r="K1092">
        <v>1104</v>
      </c>
      <c r="L1092">
        <v>1702</v>
      </c>
      <c r="M1092">
        <v>1304</v>
      </c>
      <c r="N1092">
        <v>53933685</v>
      </c>
      <c r="O1092">
        <v>45188.470716863427</v>
      </c>
      <c r="P1092">
        <v>216</v>
      </c>
      <c r="Q1092">
        <v>1</v>
      </c>
      <c r="R1092">
        <v>216</v>
      </c>
      <c r="S1092">
        <v>45189.067373726852</v>
      </c>
      <c r="T1092">
        <v>5509</v>
      </c>
      <c r="U1092" t="s">
        <v>1152</v>
      </c>
      <c r="V1092" t="s">
        <v>1153</v>
      </c>
      <c r="W1092" t="s">
        <v>2</v>
      </c>
      <c r="AI1092">
        <v>62</v>
      </c>
      <c r="AJ1092">
        <v>62</v>
      </c>
      <c r="AN1092">
        <v>45170</v>
      </c>
      <c r="AO1092">
        <v>45199</v>
      </c>
      <c r="AP1092" t="s">
        <v>1101</v>
      </c>
    </row>
    <row r="1093" spans="1:42" x14ac:dyDescent="0.25">
      <c r="A1093">
        <v>2023</v>
      </c>
      <c r="B1093">
        <v>9</v>
      </c>
      <c r="C1093">
        <v>17</v>
      </c>
      <c r="D1093" t="s">
        <v>1088</v>
      </c>
      <c r="E1093" t="s">
        <v>282</v>
      </c>
      <c r="F1093">
        <v>142389</v>
      </c>
      <c r="G1093">
        <v>10292371</v>
      </c>
      <c r="H1093" t="s">
        <v>282</v>
      </c>
      <c r="J1093">
        <v>53958932</v>
      </c>
      <c r="K1093">
        <v>1104</v>
      </c>
      <c r="L1093">
        <v>1702</v>
      </c>
      <c r="M1093">
        <v>1304</v>
      </c>
      <c r="N1093">
        <v>53933686</v>
      </c>
      <c r="O1093">
        <v>45188.470774571761</v>
      </c>
      <c r="P1093">
        <v>18</v>
      </c>
      <c r="Q1093">
        <v>1</v>
      </c>
      <c r="R1093">
        <v>18</v>
      </c>
      <c r="S1093">
        <v>45189.067373726852</v>
      </c>
      <c r="T1093">
        <v>5509</v>
      </c>
      <c r="U1093" t="s">
        <v>1152</v>
      </c>
      <c r="V1093" t="s">
        <v>1153</v>
      </c>
      <c r="W1093" t="s">
        <v>2</v>
      </c>
      <c r="AI1093">
        <v>62</v>
      </c>
      <c r="AJ1093">
        <v>62</v>
      </c>
      <c r="AN1093">
        <v>45170</v>
      </c>
      <c r="AO1093">
        <v>45199</v>
      </c>
      <c r="AP1093" t="s">
        <v>1101</v>
      </c>
    </row>
    <row r="1094" spans="1:42" x14ac:dyDescent="0.25">
      <c r="A1094">
        <v>2023</v>
      </c>
      <c r="B1094">
        <v>9</v>
      </c>
      <c r="C1094">
        <v>17</v>
      </c>
      <c r="D1094" t="s">
        <v>1088</v>
      </c>
      <c r="E1094" t="s">
        <v>282</v>
      </c>
      <c r="F1094">
        <v>622093</v>
      </c>
      <c r="G1094">
        <v>10374602</v>
      </c>
      <c r="H1094" t="s">
        <v>282</v>
      </c>
      <c r="J1094">
        <v>53959146</v>
      </c>
      <c r="K1094">
        <v>1104</v>
      </c>
      <c r="L1094">
        <v>1702</v>
      </c>
      <c r="M1094">
        <v>1304</v>
      </c>
      <c r="N1094">
        <v>53942202</v>
      </c>
      <c r="O1094">
        <v>45188.59783579861</v>
      </c>
      <c r="P1094">
        <v>216</v>
      </c>
      <c r="Q1094">
        <v>1</v>
      </c>
      <c r="R1094">
        <v>216</v>
      </c>
      <c r="S1094">
        <v>45189.067373726852</v>
      </c>
      <c r="T1094">
        <v>5509</v>
      </c>
      <c r="U1094" t="s">
        <v>1152</v>
      </c>
      <c r="V1094" t="s">
        <v>1153</v>
      </c>
      <c r="W1094" t="s">
        <v>2</v>
      </c>
      <c r="AI1094">
        <v>62</v>
      </c>
      <c r="AJ1094">
        <v>62</v>
      </c>
      <c r="AN1094">
        <v>45170</v>
      </c>
      <c r="AO1094">
        <v>45199</v>
      </c>
      <c r="AP1094" t="s">
        <v>1101</v>
      </c>
    </row>
    <row r="1095" spans="1:42" x14ac:dyDescent="0.25">
      <c r="A1095">
        <v>2023</v>
      </c>
      <c r="B1095">
        <v>9</v>
      </c>
      <c r="C1095">
        <v>17</v>
      </c>
      <c r="D1095" t="s">
        <v>1088</v>
      </c>
      <c r="E1095" t="s">
        <v>282</v>
      </c>
      <c r="F1095">
        <v>622093</v>
      </c>
      <c r="G1095">
        <v>10374602</v>
      </c>
      <c r="H1095" t="s">
        <v>282</v>
      </c>
      <c r="J1095">
        <v>53959147</v>
      </c>
      <c r="K1095">
        <v>1104</v>
      </c>
      <c r="L1095">
        <v>1702</v>
      </c>
      <c r="M1095">
        <v>1304</v>
      </c>
      <c r="N1095">
        <v>53942206</v>
      </c>
      <c r="O1095">
        <v>45188.597946261572</v>
      </c>
      <c r="P1095">
        <v>9</v>
      </c>
      <c r="Q1095">
        <v>1</v>
      </c>
      <c r="R1095">
        <v>9</v>
      </c>
      <c r="S1095">
        <v>45189.067373726852</v>
      </c>
      <c r="T1095">
        <v>5509</v>
      </c>
      <c r="U1095" t="s">
        <v>1152</v>
      </c>
      <c r="V1095" t="s">
        <v>1153</v>
      </c>
      <c r="W1095" t="s">
        <v>2</v>
      </c>
      <c r="AI1095">
        <v>62</v>
      </c>
      <c r="AJ1095">
        <v>62</v>
      </c>
      <c r="AN1095">
        <v>45170</v>
      </c>
      <c r="AO1095">
        <v>45199</v>
      </c>
      <c r="AP1095" t="s">
        <v>1101</v>
      </c>
    </row>
    <row r="1096" spans="1:42" x14ac:dyDescent="0.25">
      <c r="A1096">
        <v>2023</v>
      </c>
      <c r="B1096">
        <v>9</v>
      </c>
      <c r="C1096">
        <v>17</v>
      </c>
      <c r="D1096" t="s">
        <v>1088</v>
      </c>
      <c r="E1096" t="s">
        <v>282</v>
      </c>
      <c r="F1096">
        <v>452885</v>
      </c>
      <c r="G1096">
        <v>10383178</v>
      </c>
      <c r="H1096" t="s">
        <v>282</v>
      </c>
      <c r="J1096">
        <v>54016568</v>
      </c>
      <c r="K1096">
        <v>1100</v>
      </c>
      <c r="L1096">
        <v>1700</v>
      </c>
      <c r="M1096">
        <v>1304</v>
      </c>
      <c r="P1096">
        <v>216</v>
      </c>
      <c r="Q1096">
        <v>1</v>
      </c>
      <c r="R1096">
        <v>216</v>
      </c>
      <c r="S1096">
        <v>45190.67044707176</v>
      </c>
      <c r="T1096">
        <v>5500</v>
      </c>
      <c r="U1096" t="s">
        <v>1154</v>
      </c>
      <c r="V1096" t="s">
        <v>99</v>
      </c>
      <c r="W1096" t="s">
        <v>2</v>
      </c>
      <c r="AI1096">
        <v>62</v>
      </c>
      <c r="AJ1096">
        <v>62</v>
      </c>
      <c r="AN1096">
        <v>45170</v>
      </c>
      <c r="AO1096">
        <v>45199</v>
      </c>
      <c r="AP1096" t="s">
        <v>1101</v>
      </c>
    </row>
    <row r="1097" spans="1:42" x14ac:dyDescent="0.25">
      <c r="A1097">
        <v>2023</v>
      </c>
      <c r="B1097">
        <v>9</v>
      </c>
      <c r="C1097">
        <v>17</v>
      </c>
      <c r="D1097" t="s">
        <v>1088</v>
      </c>
      <c r="E1097" t="s">
        <v>282</v>
      </c>
      <c r="F1097">
        <v>452885</v>
      </c>
      <c r="G1097">
        <v>10383178</v>
      </c>
      <c r="H1097" t="s">
        <v>282</v>
      </c>
      <c r="J1097">
        <v>54021177</v>
      </c>
      <c r="K1097">
        <v>1104</v>
      </c>
      <c r="L1097">
        <v>1702</v>
      </c>
      <c r="M1097">
        <v>1304</v>
      </c>
      <c r="N1097">
        <v>54016568</v>
      </c>
      <c r="O1097">
        <v>45190.67044707176</v>
      </c>
      <c r="P1097">
        <v>216</v>
      </c>
      <c r="Q1097">
        <v>1</v>
      </c>
      <c r="R1097">
        <v>216</v>
      </c>
      <c r="S1097">
        <v>45191.067372141202</v>
      </c>
      <c r="T1097">
        <v>5509</v>
      </c>
      <c r="U1097" t="s">
        <v>1152</v>
      </c>
      <c r="V1097" t="s">
        <v>1153</v>
      </c>
      <c r="W1097" t="s">
        <v>2</v>
      </c>
      <c r="AI1097">
        <v>62</v>
      </c>
      <c r="AJ1097">
        <v>62</v>
      </c>
      <c r="AN1097">
        <v>45170</v>
      </c>
      <c r="AO1097">
        <v>45199</v>
      </c>
      <c r="AP1097" t="s">
        <v>1101</v>
      </c>
    </row>
    <row r="1098" spans="1:42" x14ac:dyDescent="0.25">
      <c r="A1098">
        <v>2023</v>
      </c>
      <c r="B1098">
        <v>9</v>
      </c>
      <c r="C1098">
        <v>17</v>
      </c>
      <c r="D1098" t="s">
        <v>1088</v>
      </c>
      <c r="E1098" t="s">
        <v>282</v>
      </c>
      <c r="F1098">
        <v>452885</v>
      </c>
      <c r="G1098">
        <v>10383178</v>
      </c>
      <c r="H1098" t="s">
        <v>282</v>
      </c>
      <c r="J1098">
        <v>54021178</v>
      </c>
      <c r="K1098">
        <v>1104</v>
      </c>
      <c r="L1098">
        <v>1702</v>
      </c>
      <c r="M1098">
        <v>1304</v>
      </c>
      <c r="N1098">
        <v>54016580</v>
      </c>
      <c r="O1098">
        <v>45190.670578553239</v>
      </c>
      <c r="P1098">
        <v>216</v>
      </c>
      <c r="Q1098">
        <v>1</v>
      </c>
      <c r="R1098">
        <v>216</v>
      </c>
      <c r="S1098">
        <v>45191.067372141202</v>
      </c>
      <c r="T1098">
        <v>5509</v>
      </c>
      <c r="U1098" t="s">
        <v>1152</v>
      </c>
      <c r="V1098" t="s">
        <v>1153</v>
      </c>
      <c r="W1098" t="s">
        <v>2</v>
      </c>
      <c r="AI1098">
        <v>62</v>
      </c>
      <c r="AJ1098">
        <v>62</v>
      </c>
      <c r="AN1098">
        <v>45170</v>
      </c>
      <c r="AO1098">
        <v>45199</v>
      </c>
      <c r="AP1098" t="s">
        <v>1101</v>
      </c>
    </row>
    <row r="1099" spans="1:42" x14ac:dyDescent="0.25">
      <c r="A1099">
        <v>2023</v>
      </c>
      <c r="B1099">
        <v>9</v>
      </c>
      <c r="C1099">
        <v>17</v>
      </c>
      <c r="D1099" t="s">
        <v>1088</v>
      </c>
      <c r="E1099" t="s">
        <v>282</v>
      </c>
      <c r="F1099">
        <v>452885</v>
      </c>
      <c r="G1099">
        <v>10383178</v>
      </c>
      <c r="H1099" t="s">
        <v>282</v>
      </c>
      <c r="J1099">
        <v>54021179</v>
      </c>
      <c r="K1099">
        <v>1104</v>
      </c>
      <c r="L1099">
        <v>1702</v>
      </c>
      <c r="M1099">
        <v>1304</v>
      </c>
      <c r="N1099">
        <v>54016581</v>
      </c>
      <c r="O1099">
        <v>45190.670689618055</v>
      </c>
      <c r="P1099">
        <v>18</v>
      </c>
      <c r="Q1099">
        <v>1</v>
      </c>
      <c r="R1099">
        <v>18</v>
      </c>
      <c r="S1099">
        <v>45191.067372141202</v>
      </c>
      <c r="T1099">
        <v>5509</v>
      </c>
      <c r="U1099" t="s">
        <v>1152</v>
      </c>
      <c r="V1099" t="s">
        <v>1153</v>
      </c>
      <c r="W1099" t="s">
        <v>2</v>
      </c>
      <c r="AI1099">
        <v>62</v>
      </c>
      <c r="AJ1099">
        <v>62</v>
      </c>
      <c r="AN1099">
        <v>45170</v>
      </c>
      <c r="AO1099">
        <v>45199</v>
      </c>
      <c r="AP1099" t="s">
        <v>1101</v>
      </c>
    </row>
    <row r="1100" spans="1:42" x14ac:dyDescent="0.25">
      <c r="A1100">
        <v>2023</v>
      </c>
      <c r="B1100">
        <v>9</v>
      </c>
      <c r="C1100">
        <v>17</v>
      </c>
      <c r="D1100" t="s">
        <v>1088</v>
      </c>
      <c r="E1100" t="s">
        <v>282</v>
      </c>
      <c r="F1100">
        <v>618926</v>
      </c>
      <c r="G1100">
        <v>10315254</v>
      </c>
      <c r="H1100" t="s">
        <v>282</v>
      </c>
      <c r="J1100">
        <v>54035671</v>
      </c>
      <c r="K1100">
        <v>1100</v>
      </c>
      <c r="L1100">
        <v>1702</v>
      </c>
      <c r="M1100">
        <v>1301</v>
      </c>
      <c r="P1100">
        <v>216</v>
      </c>
      <c r="Q1100">
        <v>1</v>
      </c>
      <c r="R1100">
        <v>216</v>
      </c>
      <c r="S1100">
        <v>45191.429707407406</v>
      </c>
      <c r="T1100">
        <v>5500</v>
      </c>
      <c r="U1100" t="s">
        <v>1151</v>
      </c>
      <c r="V1100" t="s">
        <v>99</v>
      </c>
      <c r="W1100" t="s">
        <v>1091</v>
      </c>
      <c r="X1100" t="s">
        <v>1091</v>
      </c>
      <c r="AI1100">
        <v>62</v>
      </c>
      <c r="AJ1100">
        <v>62</v>
      </c>
      <c r="AN1100">
        <v>45170</v>
      </c>
      <c r="AO1100">
        <v>45199</v>
      </c>
      <c r="AP1100" t="s">
        <v>1101</v>
      </c>
    </row>
    <row r="1101" spans="1:42" x14ac:dyDescent="0.25">
      <c r="A1101">
        <v>2023</v>
      </c>
      <c r="B1101">
        <v>9</v>
      </c>
      <c r="C1101">
        <v>17</v>
      </c>
      <c r="D1101" t="s">
        <v>1088</v>
      </c>
      <c r="E1101" t="s">
        <v>282</v>
      </c>
      <c r="F1101">
        <v>618926</v>
      </c>
      <c r="G1101">
        <v>10315254</v>
      </c>
      <c r="H1101" t="s">
        <v>282</v>
      </c>
      <c r="J1101">
        <v>54035675</v>
      </c>
      <c r="K1101">
        <v>1100</v>
      </c>
      <c r="L1101">
        <v>1702</v>
      </c>
      <c r="M1101">
        <v>1301</v>
      </c>
      <c r="P1101">
        <v>216</v>
      </c>
      <c r="Q1101">
        <v>1</v>
      </c>
      <c r="R1101">
        <v>216</v>
      </c>
      <c r="S1101">
        <v>45191.429821874997</v>
      </c>
      <c r="T1101">
        <v>5500</v>
      </c>
      <c r="U1101" t="s">
        <v>1151</v>
      </c>
      <c r="V1101" t="s">
        <v>99</v>
      </c>
      <c r="W1101" t="s">
        <v>1091</v>
      </c>
      <c r="X1101" t="s">
        <v>1091</v>
      </c>
      <c r="AI1101">
        <v>62</v>
      </c>
      <c r="AJ1101">
        <v>62</v>
      </c>
      <c r="AN1101">
        <v>45170</v>
      </c>
      <c r="AO1101">
        <v>45199</v>
      </c>
      <c r="AP1101" t="s">
        <v>1101</v>
      </c>
    </row>
    <row r="1102" spans="1:42" x14ac:dyDescent="0.25">
      <c r="A1102">
        <v>2023</v>
      </c>
      <c r="B1102">
        <v>9</v>
      </c>
      <c r="C1102">
        <v>17</v>
      </c>
      <c r="D1102" t="s">
        <v>1088</v>
      </c>
      <c r="E1102" t="s">
        <v>282</v>
      </c>
      <c r="F1102">
        <v>618272</v>
      </c>
      <c r="G1102">
        <v>10301540</v>
      </c>
      <c r="H1102" t="s">
        <v>282</v>
      </c>
      <c r="J1102">
        <v>54035690</v>
      </c>
      <c r="K1102">
        <v>1104</v>
      </c>
      <c r="L1102">
        <v>1702</v>
      </c>
      <c r="M1102">
        <v>1304</v>
      </c>
      <c r="N1102">
        <v>53432756</v>
      </c>
      <c r="O1102">
        <v>45170.518326469908</v>
      </c>
      <c r="P1102">
        <v>99.24</v>
      </c>
      <c r="Q1102">
        <v>1</v>
      </c>
      <c r="R1102">
        <v>99.24</v>
      </c>
      <c r="S1102">
        <v>45191.430145405095</v>
      </c>
      <c r="T1102">
        <v>5509</v>
      </c>
      <c r="U1102" t="s">
        <v>1152</v>
      </c>
      <c r="V1102" t="s">
        <v>1153</v>
      </c>
      <c r="W1102" t="s">
        <v>2</v>
      </c>
      <c r="X1102" t="s">
        <v>1179</v>
      </c>
      <c r="AI1102">
        <v>62</v>
      </c>
      <c r="AJ1102">
        <v>62</v>
      </c>
      <c r="AN1102">
        <v>45170</v>
      </c>
      <c r="AO1102">
        <v>45199</v>
      </c>
      <c r="AP1102" t="s">
        <v>1101</v>
      </c>
    </row>
    <row r="1103" spans="1:42" x14ac:dyDescent="0.25">
      <c r="A1103">
        <v>2023</v>
      </c>
      <c r="B1103">
        <v>9</v>
      </c>
      <c r="C1103">
        <v>17</v>
      </c>
      <c r="D1103" t="s">
        <v>1088</v>
      </c>
      <c r="E1103" t="s">
        <v>282</v>
      </c>
      <c r="F1103">
        <v>576663</v>
      </c>
      <c r="G1103">
        <v>10218057</v>
      </c>
      <c r="H1103" t="s">
        <v>282</v>
      </c>
      <c r="J1103">
        <v>54037184</v>
      </c>
      <c r="K1103">
        <v>1101</v>
      </c>
      <c r="L1103">
        <v>1702</v>
      </c>
      <c r="M1103">
        <v>1301</v>
      </c>
      <c r="N1103">
        <v>52823050</v>
      </c>
      <c r="O1103">
        <v>45153.564317708333</v>
      </c>
      <c r="P1103">
        <v>116</v>
      </c>
      <c r="Q1103">
        <v>1</v>
      </c>
      <c r="R1103">
        <v>116</v>
      </c>
      <c r="S1103">
        <v>45191.439559375001</v>
      </c>
      <c r="T1103">
        <v>5502</v>
      </c>
      <c r="U1103" t="s">
        <v>1217</v>
      </c>
      <c r="V1103" t="s">
        <v>1155</v>
      </c>
      <c r="W1103" t="s">
        <v>1031</v>
      </c>
      <c r="X1103" t="s">
        <v>1031</v>
      </c>
      <c r="AD1103">
        <v>831554</v>
      </c>
      <c r="AE1103" t="s">
        <v>1290</v>
      </c>
      <c r="AF1103">
        <v>45191.439558993057</v>
      </c>
      <c r="AI1103">
        <v>62</v>
      </c>
      <c r="AJ1103">
        <v>62</v>
      </c>
      <c r="AN1103">
        <v>45170</v>
      </c>
      <c r="AO1103">
        <v>45199</v>
      </c>
      <c r="AP1103" t="s">
        <v>1101</v>
      </c>
    </row>
    <row r="1104" spans="1:42" x14ac:dyDescent="0.25">
      <c r="A1104">
        <v>2023</v>
      </c>
      <c r="B1104">
        <v>9</v>
      </c>
      <c r="C1104">
        <v>17</v>
      </c>
      <c r="D1104" t="s">
        <v>1088</v>
      </c>
      <c r="E1104" t="s">
        <v>282</v>
      </c>
      <c r="F1104">
        <v>622799</v>
      </c>
      <c r="G1104">
        <v>10386531</v>
      </c>
      <c r="H1104" t="s">
        <v>282</v>
      </c>
      <c r="J1104">
        <v>54037061</v>
      </c>
      <c r="K1104">
        <v>1100</v>
      </c>
      <c r="L1104">
        <v>1700</v>
      </c>
      <c r="M1104">
        <v>1301</v>
      </c>
      <c r="P1104">
        <v>216</v>
      </c>
      <c r="Q1104">
        <v>1</v>
      </c>
      <c r="R1104">
        <v>216</v>
      </c>
      <c r="S1104">
        <v>45191.436412384261</v>
      </c>
      <c r="T1104">
        <v>5500</v>
      </c>
      <c r="U1104" t="s">
        <v>1151</v>
      </c>
      <c r="V1104" t="s">
        <v>99</v>
      </c>
      <c r="W1104" t="s">
        <v>1091</v>
      </c>
      <c r="X1104" t="s">
        <v>1091</v>
      </c>
      <c r="AA1104">
        <v>57970</v>
      </c>
      <c r="AB1104" t="s">
        <v>1223</v>
      </c>
      <c r="AC1104">
        <v>45193.083569062503</v>
      </c>
      <c r="AI1104">
        <v>62</v>
      </c>
      <c r="AJ1104">
        <v>62</v>
      </c>
      <c r="AN1104">
        <v>45170</v>
      </c>
      <c r="AO1104">
        <v>45199</v>
      </c>
      <c r="AP1104" t="s">
        <v>1101</v>
      </c>
    </row>
    <row r="1105" spans="1:42" x14ac:dyDescent="0.25">
      <c r="A1105">
        <v>2023</v>
      </c>
      <c r="B1105">
        <v>9</v>
      </c>
      <c r="C1105">
        <v>17</v>
      </c>
      <c r="D1105" t="s">
        <v>1088</v>
      </c>
      <c r="E1105" t="s">
        <v>282</v>
      </c>
      <c r="F1105">
        <v>622799</v>
      </c>
      <c r="G1105">
        <v>10386531</v>
      </c>
      <c r="H1105" t="s">
        <v>282</v>
      </c>
      <c r="J1105">
        <v>54037067</v>
      </c>
      <c r="K1105">
        <v>1100</v>
      </c>
      <c r="L1105">
        <v>1700</v>
      </c>
      <c r="M1105">
        <v>1301</v>
      </c>
      <c r="P1105">
        <v>216</v>
      </c>
      <c r="Q1105">
        <v>1</v>
      </c>
      <c r="R1105">
        <v>216</v>
      </c>
      <c r="S1105">
        <v>45191.436533217595</v>
      </c>
      <c r="T1105">
        <v>5500</v>
      </c>
      <c r="U1105" t="s">
        <v>1151</v>
      </c>
      <c r="V1105" t="s">
        <v>99</v>
      </c>
      <c r="W1105" t="s">
        <v>1091</v>
      </c>
      <c r="X1105" t="s">
        <v>1091</v>
      </c>
      <c r="AA1105">
        <v>57970</v>
      </c>
      <c r="AB1105" t="s">
        <v>1223</v>
      </c>
      <c r="AC1105">
        <v>45193.083569062503</v>
      </c>
      <c r="AI1105">
        <v>62</v>
      </c>
      <c r="AJ1105">
        <v>62</v>
      </c>
      <c r="AN1105">
        <v>45170</v>
      </c>
      <c r="AO1105">
        <v>45199</v>
      </c>
      <c r="AP1105" t="s">
        <v>1101</v>
      </c>
    </row>
    <row r="1106" spans="1:42" x14ac:dyDescent="0.25">
      <c r="A1106">
        <v>2023</v>
      </c>
      <c r="B1106">
        <v>9</v>
      </c>
      <c r="C1106">
        <v>17</v>
      </c>
      <c r="D1106" t="s">
        <v>1088</v>
      </c>
      <c r="E1106" t="s">
        <v>282</v>
      </c>
      <c r="F1106">
        <v>624679</v>
      </c>
      <c r="G1106">
        <v>10423341</v>
      </c>
      <c r="H1106" t="s">
        <v>282</v>
      </c>
      <c r="J1106">
        <v>54086569</v>
      </c>
      <c r="K1106">
        <v>1100</v>
      </c>
      <c r="L1106">
        <v>1700</v>
      </c>
      <c r="M1106">
        <v>1301</v>
      </c>
      <c r="P1106">
        <v>7.5</v>
      </c>
      <c r="Q1106">
        <v>2</v>
      </c>
      <c r="R1106">
        <v>15</v>
      </c>
      <c r="S1106">
        <v>45194.462872453703</v>
      </c>
      <c r="T1106">
        <v>5500</v>
      </c>
      <c r="U1106" t="s">
        <v>1151</v>
      </c>
      <c r="V1106" t="s">
        <v>99</v>
      </c>
      <c r="W1106" t="s">
        <v>1031</v>
      </c>
      <c r="X1106" t="s">
        <v>1031</v>
      </c>
      <c r="AA1106">
        <v>57991</v>
      </c>
      <c r="AB1106" t="s">
        <v>1223</v>
      </c>
      <c r="AC1106">
        <v>45195.08738996528</v>
      </c>
      <c r="AI1106">
        <v>62</v>
      </c>
      <c r="AJ1106">
        <v>62</v>
      </c>
      <c r="AN1106">
        <v>45170</v>
      </c>
      <c r="AO1106">
        <v>45199</v>
      </c>
      <c r="AP1106" t="s">
        <v>1101</v>
      </c>
    </row>
    <row r="1107" spans="1:42" x14ac:dyDescent="0.25">
      <c r="A1107">
        <v>2023</v>
      </c>
      <c r="B1107">
        <v>9</v>
      </c>
      <c r="C1107">
        <v>17</v>
      </c>
      <c r="D1107" t="s">
        <v>1088</v>
      </c>
      <c r="E1107" t="s">
        <v>282</v>
      </c>
      <c r="F1107">
        <v>624679</v>
      </c>
      <c r="G1107">
        <v>10423341</v>
      </c>
      <c r="H1107" t="s">
        <v>282</v>
      </c>
      <c r="J1107">
        <v>54086563</v>
      </c>
      <c r="K1107">
        <v>1100</v>
      </c>
      <c r="L1107">
        <v>1700</v>
      </c>
      <c r="M1107">
        <v>1301</v>
      </c>
      <c r="P1107">
        <v>85</v>
      </c>
      <c r="Q1107">
        <v>1</v>
      </c>
      <c r="R1107">
        <v>85</v>
      </c>
      <c r="S1107">
        <v>45194.462754513886</v>
      </c>
      <c r="T1107">
        <v>5500</v>
      </c>
      <c r="U1107" t="s">
        <v>1151</v>
      </c>
      <c r="V1107" t="s">
        <v>99</v>
      </c>
      <c r="W1107" t="s">
        <v>1031</v>
      </c>
      <c r="X1107" t="s">
        <v>1031</v>
      </c>
      <c r="AA1107">
        <v>57991</v>
      </c>
      <c r="AB1107" t="s">
        <v>1223</v>
      </c>
      <c r="AC1107">
        <v>45195.08738996528</v>
      </c>
      <c r="AI1107">
        <v>62</v>
      </c>
      <c r="AJ1107">
        <v>62</v>
      </c>
      <c r="AN1107">
        <v>45170</v>
      </c>
      <c r="AO1107">
        <v>45199</v>
      </c>
      <c r="AP1107" t="s">
        <v>1101</v>
      </c>
    </row>
    <row r="1108" spans="1:42" x14ac:dyDescent="0.25">
      <c r="A1108">
        <v>2023</v>
      </c>
      <c r="B1108">
        <v>9</v>
      </c>
      <c r="C1108">
        <v>17</v>
      </c>
      <c r="D1108" t="s">
        <v>1088</v>
      </c>
      <c r="E1108" t="s">
        <v>282</v>
      </c>
      <c r="F1108">
        <v>624679</v>
      </c>
      <c r="G1108">
        <v>10423341</v>
      </c>
      <c r="H1108" t="s">
        <v>282</v>
      </c>
      <c r="J1108">
        <v>54086575</v>
      </c>
      <c r="K1108">
        <v>1100</v>
      </c>
      <c r="L1108">
        <v>1700</v>
      </c>
      <c r="M1108">
        <v>1301</v>
      </c>
      <c r="P1108">
        <v>8</v>
      </c>
      <c r="Q1108">
        <v>2</v>
      </c>
      <c r="R1108">
        <v>16</v>
      </c>
      <c r="S1108">
        <v>45194.463206562497</v>
      </c>
      <c r="T1108">
        <v>5500</v>
      </c>
      <c r="U1108" t="s">
        <v>1151</v>
      </c>
      <c r="V1108" t="s">
        <v>99</v>
      </c>
      <c r="W1108" t="s">
        <v>1031</v>
      </c>
      <c r="X1108" t="s">
        <v>1031</v>
      </c>
      <c r="AA1108">
        <v>57991</v>
      </c>
      <c r="AB1108" t="s">
        <v>1223</v>
      </c>
      <c r="AC1108">
        <v>45195.08738996528</v>
      </c>
      <c r="AI1108">
        <v>62</v>
      </c>
      <c r="AJ1108">
        <v>62</v>
      </c>
      <c r="AN1108">
        <v>45170</v>
      </c>
      <c r="AO1108">
        <v>45199</v>
      </c>
      <c r="AP1108" t="s">
        <v>1101</v>
      </c>
    </row>
    <row r="1109" spans="1:42" x14ac:dyDescent="0.25">
      <c r="A1109">
        <v>2023</v>
      </c>
      <c r="B1109">
        <v>9</v>
      </c>
      <c r="C1109">
        <v>17</v>
      </c>
      <c r="D1109" t="s">
        <v>1088</v>
      </c>
      <c r="E1109" t="s">
        <v>282</v>
      </c>
      <c r="F1109">
        <v>624679</v>
      </c>
      <c r="G1109">
        <v>10423341</v>
      </c>
      <c r="H1109" t="s">
        <v>282</v>
      </c>
      <c r="J1109">
        <v>54086581</v>
      </c>
      <c r="K1109">
        <v>1100</v>
      </c>
      <c r="L1109">
        <v>1700</v>
      </c>
      <c r="M1109">
        <v>1301</v>
      </c>
      <c r="P1109">
        <v>4</v>
      </c>
      <c r="Q1109">
        <v>2</v>
      </c>
      <c r="R1109">
        <v>8</v>
      </c>
      <c r="S1109">
        <v>45194.463415509257</v>
      </c>
      <c r="T1109">
        <v>5500</v>
      </c>
      <c r="U1109" t="s">
        <v>1151</v>
      </c>
      <c r="V1109" t="s">
        <v>99</v>
      </c>
      <c r="W1109" t="s">
        <v>1031</v>
      </c>
      <c r="X1109" t="s">
        <v>1031</v>
      </c>
      <c r="AA1109">
        <v>57991</v>
      </c>
      <c r="AB1109" t="s">
        <v>1223</v>
      </c>
      <c r="AC1109">
        <v>45195.08738996528</v>
      </c>
      <c r="AI1109">
        <v>62</v>
      </c>
      <c r="AJ1109">
        <v>62</v>
      </c>
      <c r="AN1109">
        <v>45170</v>
      </c>
      <c r="AO1109">
        <v>45199</v>
      </c>
      <c r="AP1109" t="s">
        <v>1101</v>
      </c>
    </row>
    <row r="1110" spans="1:42" x14ac:dyDescent="0.25">
      <c r="A1110">
        <v>2023</v>
      </c>
      <c r="B1110">
        <v>9</v>
      </c>
      <c r="C1110">
        <v>17</v>
      </c>
      <c r="D1110" t="s">
        <v>1088</v>
      </c>
      <c r="E1110" t="s">
        <v>282</v>
      </c>
      <c r="F1110">
        <v>619301</v>
      </c>
      <c r="G1110">
        <v>10321726</v>
      </c>
      <c r="H1110" t="s">
        <v>282</v>
      </c>
      <c r="J1110">
        <v>54118896</v>
      </c>
      <c r="K1110">
        <v>1101</v>
      </c>
      <c r="L1110">
        <v>1702</v>
      </c>
      <c r="M1110">
        <v>1301</v>
      </c>
      <c r="N1110">
        <v>53487765</v>
      </c>
      <c r="O1110">
        <v>45174.692086342591</v>
      </c>
      <c r="P1110">
        <v>167.25</v>
      </c>
      <c r="Q1110">
        <v>1</v>
      </c>
      <c r="R1110">
        <v>167.25</v>
      </c>
      <c r="S1110">
        <v>45195.386788460652</v>
      </c>
      <c r="T1110">
        <v>5502</v>
      </c>
      <c r="U1110" t="s">
        <v>1217</v>
      </c>
      <c r="V1110" t="s">
        <v>1155</v>
      </c>
      <c r="W1110" t="s">
        <v>1090</v>
      </c>
      <c r="X1110" t="s">
        <v>1090</v>
      </c>
      <c r="AD1110">
        <v>832804</v>
      </c>
      <c r="AE1110" t="s">
        <v>1298</v>
      </c>
      <c r="AF1110">
        <v>45195.386788194446</v>
      </c>
      <c r="AI1110">
        <v>62</v>
      </c>
      <c r="AJ1110">
        <v>62</v>
      </c>
      <c r="AN1110">
        <v>45170</v>
      </c>
      <c r="AO1110">
        <v>45199</v>
      </c>
      <c r="AP1110" t="s">
        <v>1101</v>
      </c>
    </row>
    <row r="1111" spans="1:42" x14ac:dyDescent="0.25">
      <c r="A1111">
        <v>2023</v>
      </c>
      <c r="B1111">
        <v>9</v>
      </c>
      <c r="C1111">
        <v>17</v>
      </c>
      <c r="D1111" t="s">
        <v>1088</v>
      </c>
      <c r="E1111" t="s">
        <v>282</v>
      </c>
      <c r="F1111">
        <v>619301</v>
      </c>
      <c r="G1111">
        <v>10321726</v>
      </c>
      <c r="H1111" t="s">
        <v>282</v>
      </c>
      <c r="J1111">
        <v>54118897</v>
      </c>
      <c r="K1111">
        <v>1103</v>
      </c>
      <c r="L1111">
        <v>1702</v>
      </c>
      <c r="M1111">
        <v>1301</v>
      </c>
      <c r="N1111">
        <v>53487765</v>
      </c>
      <c r="O1111">
        <v>45174.692086342591</v>
      </c>
      <c r="P1111">
        <v>48.75</v>
      </c>
      <c r="Q1111">
        <v>1</v>
      </c>
      <c r="R1111">
        <v>48.75</v>
      </c>
      <c r="S1111">
        <v>45195.386788460652</v>
      </c>
      <c r="T1111">
        <v>5503</v>
      </c>
      <c r="U1111" t="s">
        <v>1218</v>
      </c>
      <c r="V1111" t="s">
        <v>1157</v>
      </c>
      <c r="W1111" t="s">
        <v>1090</v>
      </c>
      <c r="X1111" t="s">
        <v>1090</v>
      </c>
      <c r="AD1111">
        <v>832804</v>
      </c>
      <c r="AE1111" t="s">
        <v>1298</v>
      </c>
      <c r="AF1111">
        <v>45195.386788194446</v>
      </c>
      <c r="AI1111">
        <v>62</v>
      </c>
      <c r="AJ1111">
        <v>62</v>
      </c>
      <c r="AK1111" t="s">
        <v>1219</v>
      </c>
      <c r="AN1111">
        <v>45170</v>
      </c>
      <c r="AO1111">
        <v>45199</v>
      </c>
      <c r="AP1111" t="s">
        <v>1101</v>
      </c>
    </row>
    <row r="1112" spans="1:42" x14ac:dyDescent="0.25">
      <c r="A1112">
        <v>2023</v>
      </c>
      <c r="B1112">
        <v>9</v>
      </c>
      <c r="C1112">
        <v>17</v>
      </c>
      <c r="D1112" t="s">
        <v>1088</v>
      </c>
      <c r="E1112" t="s">
        <v>282</v>
      </c>
      <c r="F1112">
        <v>619301</v>
      </c>
      <c r="G1112">
        <v>10321726</v>
      </c>
      <c r="H1112" t="s">
        <v>282</v>
      </c>
      <c r="J1112">
        <v>54118898</v>
      </c>
      <c r="K1112">
        <v>1101</v>
      </c>
      <c r="L1112">
        <v>1702</v>
      </c>
      <c r="M1112">
        <v>1301</v>
      </c>
      <c r="N1112">
        <v>53487766</v>
      </c>
      <c r="O1112">
        <v>45174.692195601849</v>
      </c>
      <c r="P1112">
        <v>167.25</v>
      </c>
      <c r="Q1112">
        <v>1</v>
      </c>
      <c r="R1112">
        <v>167.25</v>
      </c>
      <c r="S1112">
        <v>45195.386788460652</v>
      </c>
      <c r="T1112">
        <v>5502</v>
      </c>
      <c r="U1112" t="s">
        <v>1217</v>
      </c>
      <c r="V1112" t="s">
        <v>1155</v>
      </c>
      <c r="W1112" t="s">
        <v>1090</v>
      </c>
      <c r="X1112" t="s">
        <v>1090</v>
      </c>
      <c r="AD1112">
        <v>832804</v>
      </c>
      <c r="AE1112" t="s">
        <v>1298</v>
      </c>
      <c r="AF1112">
        <v>45195.386788194446</v>
      </c>
      <c r="AI1112">
        <v>62</v>
      </c>
      <c r="AJ1112">
        <v>62</v>
      </c>
      <c r="AN1112">
        <v>45170</v>
      </c>
      <c r="AO1112">
        <v>45199</v>
      </c>
      <c r="AP1112" t="s">
        <v>1101</v>
      </c>
    </row>
    <row r="1113" spans="1:42" x14ac:dyDescent="0.25">
      <c r="A1113">
        <v>2023</v>
      </c>
      <c r="B1113">
        <v>9</v>
      </c>
      <c r="C1113">
        <v>17</v>
      </c>
      <c r="D1113" t="s">
        <v>1088</v>
      </c>
      <c r="E1113" t="s">
        <v>282</v>
      </c>
      <c r="F1113">
        <v>619301</v>
      </c>
      <c r="G1113">
        <v>10321726</v>
      </c>
      <c r="H1113" t="s">
        <v>282</v>
      </c>
      <c r="J1113">
        <v>54118899</v>
      </c>
      <c r="K1113">
        <v>1103</v>
      </c>
      <c r="L1113">
        <v>1702</v>
      </c>
      <c r="M1113">
        <v>1301</v>
      </c>
      <c r="N1113">
        <v>53487766</v>
      </c>
      <c r="O1113">
        <v>45174.692195601849</v>
      </c>
      <c r="P1113">
        <v>48.75</v>
      </c>
      <c r="Q1113">
        <v>1</v>
      </c>
      <c r="R1113">
        <v>48.75</v>
      </c>
      <c r="S1113">
        <v>45195.386788460652</v>
      </c>
      <c r="T1113">
        <v>5503</v>
      </c>
      <c r="U1113" t="s">
        <v>1218</v>
      </c>
      <c r="V1113" t="s">
        <v>1157</v>
      </c>
      <c r="W1113" t="s">
        <v>1090</v>
      </c>
      <c r="X1113" t="s">
        <v>1090</v>
      </c>
      <c r="AD1113">
        <v>832804</v>
      </c>
      <c r="AE1113" t="s">
        <v>1298</v>
      </c>
      <c r="AF1113">
        <v>45195.386788194446</v>
      </c>
      <c r="AI1113">
        <v>62</v>
      </c>
      <c r="AJ1113">
        <v>62</v>
      </c>
      <c r="AK1113" t="s">
        <v>1219</v>
      </c>
      <c r="AN1113">
        <v>45170</v>
      </c>
      <c r="AO1113">
        <v>45199</v>
      </c>
      <c r="AP1113" t="s">
        <v>1101</v>
      </c>
    </row>
    <row r="1114" spans="1:42" x14ac:dyDescent="0.25">
      <c r="A1114">
        <v>2023</v>
      </c>
      <c r="B1114">
        <v>9</v>
      </c>
      <c r="C1114">
        <v>17</v>
      </c>
      <c r="D1114" t="s">
        <v>1088</v>
      </c>
      <c r="E1114" t="s">
        <v>282</v>
      </c>
      <c r="F1114">
        <v>56664</v>
      </c>
      <c r="G1114">
        <v>10417985</v>
      </c>
      <c r="H1114" t="s">
        <v>282</v>
      </c>
      <c r="J1114">
        <v>54106577</v>
      </c>
      <c r="K1114">
        <v>1100</v>
      </c>
      <c r="L1114">
        <v>1700</v>
      </c>
      <c r="M1114">
        <v>1304</v>
      </c>
      <c r="P1114">
        <v>66</v>
      </c>
      <c r="Q1114">
        <v>1</v>
      </c>
      <c r="R1114">
        <v>66</v>
      </c>
      <c r="S1114">
        <v>45194.647236423611</v>
      </c>
      <c r="T1114">
        <v>5500</v>
      </c>
      <c r="U1114" t="s">
        <v>1154</v>
      </c>
      <c r="V1114" t="s">
        <v>99</v>
      </c>
      <c r="W1114" t="s">
        <v>2</v>
      </c>
      <c r="AI1114">
        <v>62</v>
      </c>
      <c r="AJ1114">
        <v>62</v>
      </c>
      <c r="AN1114">
        <v>45170</v>
      </c>
      <c r="AO1114">
        <v>45199</v>
      </c>
      <c r="AP1114" t="s">
        <v>1101</v>
      </c>
    </row>
    <row r="1115" spans="1:42" x14ac:dyDescent="0.25">
      <c r="A1115">
        <v>2023</v>
      </c>
      <c r="B1115">
        <v>9</v>
      </c>
      <c r="C1115">
        <v>17</v>
      </c>
      <c r="D1115" t="s">
        <v>1088</v>
      </c>
      <c r="E1115" t="s">
        <v>282</v>
      </c>
      <c r="F1115">
        <v>56664</v>
      </c>
      <c r="G1115">
        <v>10417985</v>
      </c>
      <c r="H1115" t="s">
        <v>282</v>
      </c>
      <c r="J1115">
        <v>54112964</v>
      </c>
      <c r="K1115">
        <v>1104</v>
      </c>
      <c r="L1115">
        <v>1702</v>
      </c>
      <c r="M1115">
        <v>1304</v>
      </c>
      <c r="N1115">
        <v>54106577</v>
      </c>
      <c r="O1115">
        <v>45194.647236423611</v>
      </c>
      <c r="P1115">
        <v>66</v>
      </c>
      <c r="Q1115">
        <v>1</v>
      </c>
      <c r="R1115">
        <v>66</v>
      </c>
      <c r="S1115">
        <v>45195.067372106481</v>
      </c>
      <c r="T1115">
        <v>5509</v>
      </c>
      <c r="U1115" t="s">
        <v>1152</v>
      </c>
      <c r="V1115" t="s">
        <v>1153</v>
      </c>
      <c r="W1115" t="s">
        <v>2</v>
      </c>
      <c r="AI1115">
        <v>62</v>
      </c>
      <c r="AJ1115">
        <v>62</v>
      </c>
      <c r="AN1115">
        <v>45170</v>
      </c>
      <c r="AO1115">
        <v>45199</v>
      </c>
      <c r="AP1115" t="s">
        <v>1101</v>
      </c>
    </row>
    <row r="1116" spans="1:42" x14ac:dyDescent="0.25">
      <c r="A1116">
        <v>2023</v>
      </c>
      <c r="B1116">
        <v>9</v>
      </c>
      <c r="C1116">
        <v>17</v>
      </c>
      <c r="D1116" t="s">
        <v>1088</v>
      </c>
      <c r="E1116" t="s">
        <v>282</v>
      </c>
      <c r="F1116">
        <v>390261</v>
      </c>
      <c r="G1116">
        <v>10332505</v>
      </c>
      <c r="H1116" t="s">
        <v>282</v>
      </c>
      <c r="J1116">
        <v>54130437</v>
      </c>
      <c r="K1116">
        <v>1104</v>
      </c>
      <c r="L1116">
        <v>1702</v>
      </c>
      <c r="M1116">
        <v>1304</v>
      </c>
      <c r="N1116">
        <v>53671748</v>
      </c>
      <c r="O1116">
        <v>45180.556638692127</v>
      </c>
      <c r="P1116">
        <v>225</v>
      </c>
      <c r="Q1116">
        <v>1</v>
      </c>
      <c r="R1116">
        <v>225</v>
      </c>
      <c r="S1116">
        <v>45195.464533217593</v>
      </c>
      <c r="T1116">
        <v>5509</v>
      </c>
      <c r="U1116" t="s">
        <v>1152</v>
      </c>
      <c r="V1116" t="s">
        <v>1153</v>
      </c>
      <c r="W1116" t="s">
        <v>2</v>
      </c>
      <c r="AI1116">
        <v>62</v>
      </c>
      <c r="AJ1116">
        <v>62</v>
      </c>
      <c r="AN1116">
        <v>45170</v>
      </c>
      <c r="AO1116">
        <v>45199</v>
      </c>
      <c r="AP1116" t="s">
        <v>1101</v>
      </c>
    </row>
    <row r="1117" spans="1:42" x14ac:dyDescent="0.25">
      <c r="A1117">
        <v>2023</v>
      </c>
      <c r="B1117">
        <v>9</v>
      </c>
      <c r="C1117">
        <v>17</v>
      </c>
      <c r="D1117" t="s">
        <v>1088</v>
      </c>
      <c r="E1117" t="s">
        <v>282</v>
      </c>
      <c r="F1117">
        <v>615836</v>
      </c>
      <c r="G1117">
        <v>10254903</v>
      </c>
      <c r="H1117" t="s">
        <v>282</v>
      </c>
      <c r="J1117">
        <v>54162781</v>
      </c>
      <c r="K1117">
        <v>1102</v>
      </c>
      <c r="L1117">
        <v>1702</v>
      </c>
      <c r="M1117">
        <v>1304</v>
      </c>
      <c r="N1117">
        <v>53076264</v>
      </c>
      <c r="O1117">
        <v>45160.63648804398</v>
      </c>
      <c r="P1117">
        <v>49.62</v>
      </c>
      <c r="Q1117">
        <v>1</v>
      </c>
      <c r="R1117">
        <v>49.62</v>
      </c>
      <c r="S1117">
        <v>45196.340608101855</v>
      </c>
      <c r="T1117">
        <v>5502</v>
      </c>
      <c r="U1117" t="s">
        <v>103</v>
      </c>
      <c r="V1117" t="s">
        <v>1163</v>
      </c>
      <c r="W1117" t="s">
        <v>2</v>
      </c>
      <c r="X1117" t="s">
        <v>1179</v>
      </c>
      <c r="AD1117">
        <v>833257</v>
      </c>
      <c r="AE1117" t="s">
        <v>1299</v>
      </c>
      <c r="AF1117">
        <v>45196.340607835649</v>
      </c>
      <c r="AI1117">
        <v>62</v>
      </c>
      <c r="AJ1117">
        <v>62</v>
      </c>
      <c r="AN1117">
        <v>45170</v>
      </c>
      <c r="AO1117">
        <v>45199</v>
      </c>
      <c r="AP1117" t="s">
        <v>1101</v>
      </c>
    </row>
    <row r="1118" spans="1:42" x14ac:dyDescent="0.25">
      <c r="A1118">
        <v>2023</v>
      </c>
      <c r="B1118">
        <v>9</v>
      </c>
      <c r="C1118">
        <v>17</v>
      </c>
      <c r="D1118" t="s">
        <v>1088</v>
      </c>
      <c r="E1118" t="s">
        <v>282</v>
      </c>
      <c r="F1118">
        <v>615836</v>
      </c>
      <c r="G1118">
        <v>10254903</v>
      </c>
      <c r="H1118" t="s">
        <v>282</v>
      </c>
      <c r="J1118">
        <v>54162782</v>
      </c>
      <c r="K1118">
        <v>1102</v>
      </c>
      <c r="L1118">
        <v>1702</v>
      </c>
      <c r="M1118">
        <v>1304</v>
      </c>
      <c r="N1118">
        <v>53076269</v>
      </c>
      <c r="O1118">
        <v>45160.636645752318</v>
      </c>
      <c r="P1118">
        <v>49.62</v>
      </c>
      <c r="Q1118">
        <v>1</v>
      </c>
      <c r="R1118">
        <v>49.62</v>
      </c>
      <c r="S1118">
        <v>45196.340608101855</v>
      </c>
      <c r="T1118">
        <v>5502</v>
      </c>
      <c r="U1118" t="s">
        <v>103</v>
      </c>
      <c r="V1118" t="s">
        <v>1163</v>
      </c>
      <c r="W1118" t="s">
        <v>2</v>
      </c>
      <c r="X1118" t="s">
        <v>1179</v>
      </c>
      <c r="AD1118">
        <v>833257</v>
      </c>
      <c r="AE1118" t="s">
        <v>1299</v>
      </c>
      <c r="AF1118">
        <v>45196.340607835649</v>
      </c>
      <c r="AI1118">
        <v>62</v>
      </c>
      <c r="AJ1118">
        <v>62</v>
      </c>
      <c r="AN1118">
        <v>45170</v>
      </c>
      <c r="AO1118">
        <v>45199</v>
      </c>
      <c r="AP1118" t="s">
        <v>1101</v>
      </c>
    </row>
    <row r="1119" spans="1:42" x14ac:dyDescent="0.25">
      <c r="A1119">
        <v>2023</v>
      </c>
      <c r="B1119">
        <v>9</v>
      </c>
      <c r="C1119">
        <v>17</v>
      </c>
      <c r="D1119" t="s">
        <v>1088</v>
      </c>
      <c r="E1119" t="s">
        <v>282</v>
      </c>
      <c r="F1119">
        <v>179735</v>
      </c>
      <c r="G1119">
        <v>10437759</v>
      </c>
      <c r="H1119" t="s">
        <v>282</v>
      </c>
      <c r="J1119">
        <v>54182615</v>
      </c>
      <c r="K1119">
        <v>1100</v>
      </c>
      <c r="L1119">
        <v>1700</v>
      </c>
      <c r="M1119">
        <v>1304</v>
      </c>
      <c r="P1119">
        <v>150</v>
      </c>
      <c r="Q1119">
        <v>1</v>
      </c>
      <c r="R1119">
        <v>150</v>
      </c>
      <c r="S1119">
        <v>45196.459951851852</v>
      </c>
      <c r="T1119">
        <v>5500</v>
      </c>
      <c r="U1119" t="s">
        <v>1154</v>
      </c>
      <c r="V1119" t="s">
        <v>99</v>
      </c>
      <c r="W1119" t="s">
        <v>2</v>
      </c>
      <c r="AI1119">
        <v>62</v>
      </c>
      <c r="AJ1119">
        <v>62</v>
      </c>
      <c r="AN1119">
        <v>45170</v>
      </c>
      <c r="AO1119">
        <v>45199</v>
      </c>
      <c r="AP1119" t="s">
        <v>1101</v>
      </c>
    </row>
    <row r="1120" spans="1:42" x14ac:dyDescent="0.25">
      <c r="A1120">
        <v>2023</v>
      </c>
      <c r="B1120">
        <v>9</v>
      </c>
      <c r="C1120">
        <v>17</v>
      </c>
      <c r="D1120" t="s">
        <v>1088</v>
      </c>
      <c r="E1120" t="s">
        <v>282</v>
      </c>
      <c r="F1120">
        <v>179735</v>
      </c>
      <c r="G1120">
        <v>10437759</v>
      </c>
      <c r="H1120" t="s">
        <v>282</v>
      </c>
      <c r="J1120">
        <v>54182618</v>
      </c>
      <c r="K1120">
        <v>1100</v>
      </c>
      <c r="L1120">
        <v>1700</v>
      </c>
      <c r="M1120">
        <v>1304</v>
      </c>
      <c r="P1120">
        <v>150</v>
      </c>
      <c r="Q1120">
        <v>1</v>
      </c>
      <c r="R1120">
        <v>150</v>
      </c>
      <c r="S1120">
        <v>45196.460058182871</v>
      </c>
      <c r="T1120">
        <v>5500</v>
      </c>
      <c r="U1120" t="s">
        <v>1154</v>
      </c>
      <c r="V1120" t="s">
        <v>99</v>
      </c>
      <c r="W1120" t="s">
        <v>2</v>
      </c>
      <c r="AI1120">
        <v>62</v>
      </c>
      <c r="AJ1120">
        <v>62</v>
      </c>
      <c r="AN1120">
        <v>45170</v>
      </c>
      <c r="AO1120">
        <v>45199</v>
      </c>
      <c r="AP1120" t="s">
        <v>1101</v>
      </c>
    </row>
    <row r="1121" spans="1:42" x14ac:dyDescent="0.25">
      <c r="A1121">
        <v>2023</v>
      </c>
      <c r="B1121">
        <v>9</v>
      </c>
      <c r="C1121">
        <v>17</v>
      </c>
      <c r="D1121" t="s">
        <v>1088</v>
      </c>
      <c r="E1121" t="s">
        <v>282</v>
      </c>
      <c r="F1121">
        <v>508687</v>
      </c>
      <c r="G1121">
        <v>10312820</v>
      </c>
      <c r="H1121" t="s">
        <v>282</v>
      </c>
      <c r="J1121">
        <v>54248942</v>
      </c>
      <c r="K1121">
        <v>1100</v>
      </c>
      <c r="L1121">
        <v>1702</v>
      </c>
      <c r="M1121">
        <v>1301</v>
      </c>
      <c r="P1121">
        <v>150</v>
      </c>
      <c r="Q1121">
        <v>1</v>
      </c>
      <c r="R1121">
        <v>150</v>
      </c>
      <c r="S1121">
        <v>45197.685130555554</v>
      </c>
      <c r="T1121">
        <v>5500</v>
      </c>
      <c r="U1121" t="s">
        <v>1151</v>
      </c>
      <c r="V1121" t="s">
        <v>99</v>
      </c>
      <c r="W1121" t="s">
        <v>1091</v>
      </c>
      <c r="X1121" t="s">
        <v>1091</v>
      </c>
      <c r="AI1121">
        <v>62</v>
      </c>
      <c r="AJ1121">
        <v>62</v>
      </c>
      <c r="AN1121">
        <v>45170</v>
      </c>
      <c r="AO1121">
        <v>45199</v>
      </c>
      <c r="AP1121" t="s">
        <v>1101</v>
      </c>
    </row>
    <row r="1122" spans="1:42" x14ac:dyDescent="0.25">
      <c r="A1122">
        <v>2023</v>
      </c>
      <c r="B1122">
        <v>9</v>
      </c>
      <c r="C1122">
        <v>17</v>
      </c>
      <c r="D1122" t="s">
        <v>1088</v>
      </c>
      <c r="E1122" t="s">
        <v>282</v>
      </c>
      <c r="F1122">
        <v>508687</v>
      </c>
      <c r="G1122">
        <v>10312820</v>
      </c>
      <c r="H1122" t="s">
        <v>282</v>
      </c>
      <c r="J1122">
        <v>54248946</v>
      </c>
      <c r="K1122">
        <v>1100</v>
      </c>
      <c r="L1122">
        <v>1702</v>
      </c>
      <c r="M1122">
        <v>1301</v>
      </c>
      <c r="P1122">
        <v>150</v>
      </c>
      <c r="Q1122">
        <v>1</v>
      </c>
      <c r="R1122">
        <v>150</v>
      </c>
      <c r="S1122">
        <v>45197.685318252312</v>
      </c>
      <c r="T1122">
        <v>5500</v>
      </c>
      <c r="U1122" t="s">
        <v>1151</v>
      </c>
      <c r="V1122" t="s">
        <v>99</v>
      </c>
      <c r="W1122" t="s">
        <v>1091</v>
      </c>
      <c r="X1122" t="s">
        <v>1091</v>
      </c>
      <c r="AI1122">
        <v>62</v>
      </c>
      <c r="AJ1122">
        <v>62</v>
      </c>
      <c r="AN1122">
        <v>45170</v>
      </c>
      <c r="AO1122">
        <v>45199</v>
      </c>
      <c r="AP1122" t="s">
        <v>1101</v>
      </c>
    </row>
    <row r="1123" spans="1:42" x14ac:dyDescent="0.25">
      <c r="A1123">
        <v>2023</v>
      </c>
      <c r="B1123">
        <v>9</v>
      </c>
      <c r="C1123">
        <v>17</v>
      </c>
      <c r="D1123" t="s">
        <v>1088</v>
      </c>
      <c r="E1123" t="s">
        <v>282</v>
      </c>
      <c r="F1123">
        <v>624509</v>
      </c>
      <c r="G1123">
        <v>10419196</v>
      </c>
      <c r="H1123" t="s">
        <v>282</v>
      </c>
      <c r="J1123">
        <v>54249134</v>
      </c>
      <c r="K1123">
        <v>1105</v>
      </c>
      <c r="L1123">
        <v>1702</v>
      </c>
      <c r="M1123">
        <v>1300</v>
      </c>
      <c r="N1123">
        <v>54142503</v>
      </c>
      <c r="O1123">
        <v>45195.609826851854</v>
      </c>
      <c r="P1123">
        <v>216</v>
      </c>
      <c r="Q1123">
        <v>1</v>
      </c>
      <c r="R1123">
        <v>-216</v>
      </c>
      <c r="S1123">
        <v>45197.690141122686</v>
      </c>
      <c r="T1123">
        <v>5511</v>
      </c>
      <c r="U1123" t="s">
        <v>1156</v>
      </c>
      <c r="V1123" t="s">
        <v>99</v>
      </c>
      <c r="W1123" t="s">
        <v>1091</v>
      </c>
      <c r="X1123" t="s">
        <v>1091</v>
      </c>
      <c r="AI1123">
        <v>62</v>
      </c>
      <c r="AJ1123">
        <v>62</v>
      </c>
      <c r="AN1123">
        <v>45170</v>
      </c>
      <c r="AO1123">
        <v>45199</v>
      </c>
      <c r="AP1123" t="s">
        <v>1101</v>
      </c>
    </row>
    <row r="1124" spans="1:42" x14ac:dyDescent="0.25">
      <c r="A1124">
        <v>2023</v>
      </c>
      <c r="B1124">
        <v>9</v>
      </c>
      <c r="C1124">
        <v>17</v>
      </c>
      <c r="D1124" t="s">
        <v>1088</v>
      </c>
      <c r="E1124" t="s">
        <v>282</v>
      </c>
      <c r="F1124">
        <v>624509</v>
      </c>
      <c r="G1124">
        <v>10419196</v>
      </c>
      <c r="H1124" t="s">
        <v>282</v>
      </c>
      <c r="J1124">
        <v>54249152</v>
      </c>
      <c r="K1124">
        <v>1105</v>
      </c>
      <c r="L1124">
        <v>1702</v>
      </c>
      <c r="M1124">
        <v>1300</v>
      </c>
      <c r="N1124">
        <v>54142504</v>
      </c>
      <c r="O1124">
        <v>45195.609928124999</v>
      </c>
      <c r="P1124">
        <v>216</v>
      </c>
      <c r="Q1124">
        <v>1</v>
      </c>
      <c r="R1124">
        <v>-216</v>
      </c>
      <c r="S1124">
        <v>45197.690189432869</v>
      </c>
      <c r="T1124">
        <v>5511</v>
      </c>
      <c r="U1124" t="s">
        <v>1156</v>
      </c>
      <c r="V1124" t="s">
        <v>99</v>
      </c>
      <c r="W1124" t="s">
        <v>1091</v>
      </c>
      <c r="X1124" t="s">
        <v>1091</v>
      </c>
      <c r="AI1124">
        <v>62</v>
      </c>
      <c r="AJ1124">
        <v>62</v>
      </c>
      <c r="AN1124">
        <v>45170</v>
      </c>
      <c r="AO1124">
        <v>45199</v>
      </c>
      <c r="AP1124" t="s">
        <v>1101</v>
      </c>
    </row>
    <row r="1125" spans="1:42" x14ac:dyDescent="0.25">
      <c r="A1125">
        <v>2023</v>
      </c>
      <c r="B1125">
        <v>9</v>
      </c>
      <c r="C1125">
        <v>17</v>
      </c>
      <c r="D1125" t="s">
        <v>1088</v>
      </c>
      <c r="E1125" t="s">
        <v>282</v>
      </c>
      <c r="F1125">
        <v>624509</v>
      </c>
      <c r="G1125">
        <v>10419196</v>
      </c>
      <c r="H1125" t="s">
        <v>282</v>
      </c>
      <c r="J1125">
        <v>54249156</v>
      </c>
      <c r="K1125">
        <v>1100</v>
      </c>
      <c r="L1125">
        <v>1700</v>
      </c>
      <c r="M1125">
        <v>1304</v>
      </c>
      <c r="P1125">
        <v>216</v>
      </c>
      <c r="Q1125">
        <v>1</v>
      </c>
      <c r="R1125">
        <v>216</v>
      </c>
      <c r="S1125">
        <v>45197.690313969906</v>
      </c>
      <c r="T1125">
        <v>5500</v>
      </c>
      <c r="U1125" t="s">
        <v>1154</v>
      </c>
      <c r="V1125" t="s">
        <v>99</v>
      </c>
      <c r="W1125" t="s">
        <v>2</v>
      </c>
      <c r="AI1125">
        <v>62</v>
      </c>
      <c r="AJ1125">
        <v>62</v>
      </c>
      <c r="AN1125">
        <v>45170</v>
      </c>
      <c r="AO1125">
        <v>45199</v>
      </c>
      <c r="AP1125" t="s">
        <v>1101</v>
      </c>
    </row>
    <row r="1126" spans="1:42" x14ac:dyDescent="0.25">
      <c r="A1126">
        <v>2023</v>
      </c>
      <c r="B1126">
        <v>9</v>
      </c>
      <c r="C1126">
        <v>17</v>
      </c>
      <c r="D1126" t="s">
        <v>1088</v>
      </c>
      <c r="E1126" t="s">
        <v>282</v>
      </c>
      <c r="F1126">
        <v>417969</v>
      </c>
      <c r="G1126">
        <v>10368582</v>
      </c>
      <c r="H1126" t="s">
        <v>282</v>
      </c>
      <c r="J1126">
        <v>54299060</v>
      </c>
      <c r="K1126">
        <v>1104</v>
      </c>
      <c r="L1126">
        <v>1702</v>
      </c>
      <c r="M1126">
        <v>1304</v>
      </c>
      <c r="N1126">
        <v>53861855</v>
      </c>
      <c r="O1126">
        <v>45184.652978738428</v>
      </c>
      <c r="P1126">
        <v>450</v>
      </c>
      <c r="Q1126">
        <v>1</v>
      </c>
      <c r="R1126">
        <v>450</v>
      </c>
      <c r="S1126">
        <v>45198.59503329861</v>
      </c>
      <c r="T1126">
        <v>5509</v>
      </c>
      <c r="U1126" t="s">
        <v>1152</v>
      </c>
      <c r="V1126" t="s">
        <v>1153</v>
      </c>
      <c r="W1126" t="s">
        <v>2</v>
      </c>
      <c r="AI1126">
        <v>62</v>
      </c>
      <c r="AJ1126">
        <v>62</v>
      </c>
      <c r="AN1126">
        <v>45170</v>
      </c>
      <c r="AO1126">
        <v>45199</v>
      </c>
      <c r="AP1126" t="s">
        <v>1101</v>
      </c>
    </row>
    <row r="1127" spans="1:42" x14ac:dyDescent="0.25">
      <c r="A1127">
        <v>2023</v>
      </c>
      <c r="B1127">
        <v>9</v>
      </c>
      <c r="C1127">
        <v>17</v>
      </c>
      <c r="D1127" t="s">
        <v>1088</v>
      </c>
      <c r="E1127" t="s">
        <v>282</v>
      </c>
      <c r="F1127">
        <v>626219</v>
      </c>
      <c r="G1127">
        <v>10454296</v>
      </c>
      <c r="H1127" t="s">
        <v>282</v>
      </c>
      <c r="J1127">
        <v>54285513</v>
      </c>
      <c r="K1127">
        <v>1100</v>
      </c>
      <c r="L1127">
        <v>1700</v>
      </c>
      <c r="M1127">
        <v>1301</v>
      </c>
      <c r="P1127">
        <v>85</v>
      </c>
      <c r="Q1127">
        <v>1</v>
      </c>
      <c r="R1127">
        <v>85</v>
      </c>
      <c r="S1127">
        <v>45198.426080937497</v>
      </c>
      <c r="T1127">
        <v>5500</v>
      </c>
      <c r="U1127" t="s">
        <v>1151</v>
      </c>
      <c r="V1127" t="s">
        <v>99</v>
      </c>
      <c r="W1127" t="s">
        <v>1031</v>
      </c>
      <c r="X1127" t="s">
        <v>1031</v>
      </c>
      <c r="AA1127">
        <v>58054</v>
      </c>
      <c r="AB1127" t="s">
        <v>1223</v>
      </c>
      <c r="AC1127">
        <v>45200.083899999998</v>
      </c>
      <c r="AI1127">
        <v>62</v>
      </c>
      <c r="AJ1127">
        <v>62</v>
      </c>
      <c r="AN1127">
        <v>45170</v>
      </c>
      <c r="AO1127">
        <v>45199</v>
      </c>
      <c r="AP1127" t="s">
        <v>1101</v>
      </c>
    </row>
    <row r="1128" spans="1:42" x14ac:dyDescent="0.25">
      <c r="A1128">
        <v>2023</v>
      </c>
      <c r="B1128">
        <v>9</v>
      </c>
      <c r="C1128">
        <v>17</v>
      </c>
      <c r="D1128" t="s">
        <v>1088</v>
      </c>
      <c r="E1128" t="s">
        <v>282</v>
      </c>
      <c r="F1128">
        <v>626219</v>
      </c>
      <c r="G1128">
        <v>10454296</v>
      </c>
      <c r="H1128" t="s">
        <v>282</v>
      </c>
      <c r="J1128">
        <v>54285515</v>
      </c>
      <c r="K1128">
        <v>1100</v>
      </c>
      <c r="L1128">
        <v>1700</v>
      </c>
      <c r="M1128">
        <v>1301</v>
      </c>
      <c r="P1128">
        <v>5</v>
      </c>
      <c r="Q1128">
        <v>2</v>
      </c>
      <c r="R1128">
        <v>10</v>
      </c>
      <c r="S1128">
        <v>45198.426207604163</v>
      </c>
      <c r="T1128">
        <v>5500</v>
      </c>
      <c r="U1128" t="s">
        <v>1151</v>
      </c>
      <c r="V1128" t="s">
        <v>99</v>
      </c>
      <c r="W1128" t="s">
        <v>1031</v>
      </c>
      <c r="X1128" t="s">
        <v>1031</v>
      </c>
      <c r="AA1128">
        <v>58054</v>
      </c>
      <c r="AB1128" t="s">
        <v>1223</v>
      </c>
      <c r="AC1128">
        <v>45200.083899999998</v>
      </c>
      <c r="AI1128">
        <v>62</v>
      </c>
      <c r="AJ1128">
        <v>62</v>
      </c>
      <c r="AN1128">
        <v>45170</v>
      </c>
      <c r="AO1128">
        <v>45199</v>
      </c>
      <c r="AP1128" t="s">
        <v>1101</v>
      </c>
    </row>
    <row r="1129" spans="1:42" x14ac:dyDescent="0.25">
      <c r="A1129">
        <v>2023</v>
      </c>
      <c r="B1129">
        <v>9</v>
      </c>
      <c r="C1129">
        <v>17</v>
      </c>
      <c r="D1129" t="s">
        <v>1088</v>
      </c>
      <c r="E1129" t="s">
        <v>282</v>
      </c>
      <c r="F1129">
        <v>626219</v>
      </c>
      <c r="G1129">
        <v>10454296</v>
      </c>
      <c r="H1129" t="s">
        <v>282</v>
      </c>
      <c r="J1129">
        <v>54285524</v>
      </c>
      <c r="K1129">
        <v>1100</v>
      </c>
      <c r="L1129">
        <v>1700</v>
      </c>
      <c r="M1129">
        <v>1301</v>
      </c>
      <c r="P1129">
        <v>7.5</v>
      </c>
      <c r="Q1129">
        <v>2</v>
      </c>
      <c r="R1129">
        <v>15</v>
      </c>
      <c r="S1129">
        <v>45198.426327083333</v>
      </c>
      <c r="T1129">
        <v>5500</v>
      </c>
      <c r="U1129" t="s">
        <v>1151</v>
      </c>
      <c r="V1129" t="s">
        <v>99</v>
      </c>
      <c r="W1129" t="s">
        <v>1031</v>
      </c>
      <c r="X1129" t="s">
        <v>1031</v>
      </c>
      <c r="AA1129">
        <v>58054</v>
      </c>
      <c r="AB1129" t="s">
        <v>1223</v>
      </c>
      <c r="AC1129">
        <v>45200.083899999998</v>
      </c>
      <c r="AI1129">
        <v>62</v>
      </c>
      <c r="AJ1129">
        <v>62</v>
      </c>
      <c r="AN1129">
        <v>45170</v>
      </c>
      <c r="AO1129">
        <v>45199</v>
      </c>
      <c r="AP1129" t="s">
        <v>1101</v>
      </c>
    </row>
    <row r="1130" spans="1:42" x14ac:dyDescent="0.25">
      <c r="A1130">
        <v>2023</v>
      </c>
      <c r="B1130">
        <v>9</v>
      </c>
      <c r="C1130">
        <v>17</v>
      </c>
      <c r="D1130" t="s">
        <v>1088</v>
      </c>
      <c r="E1130" t="s">
        <v>282</v>
      </c>
      <c r="F1130">
        <v>626219</v>
      </c>
      <c r="G1130">
        <v>10454296</v>
      </c>
      <c r="H1130" t="s">
        <v>282</v>
      </c>
      <c r="J1130">
        <v>54285532</v>
      </c>
      <c r="K1130">
        <v>1100</v>
      </c>
      <c r="L1130">
        <v>1700</v>
      </c>
      <c r="M1130">
        <v>1301</v>
      </c>
      <c r="P1130">
        <v>6</v>
      </c>
      <c r="Q1130">
        <v>1</v>
      </c>
      <c r="R1130">
        <v>6</v>
      </c>
      <c r="S1130">
        <v>45198.426632789349</v>
      </c>
      <c r="T1130">
        <v>5500</v>
      </c>
      <c r="U1130" t="s">
        <v>1151</v>
      </c>
      <c r="V1130" t="s">
        <v>99</v>
      </c>
      <c r="W1130" t="s">
        <v>1031</v>
      </c>
      <c r="X1130" t="s">
        <v>1031</v>
      </c>
      <c r="AA1130">
        <v>58054</v>
      </c>
      <c r="AB1130" t="s">
        <v>1223</v>
      </c>
      <c r="AC1130">
        <v>45200.083899999998</v>
      </c>
      <c r="AI1130">
        <v>62</v>
      </c>
      <c r="AJ1130">
        <v>62</v>
      </c>
      <c r="AN1130">
        <v>45170</v>
      </c>
      <c r="AO1130">
        <v>45199</v>
      </c>
      <c r="AP1130" t="s">
        <v>1101</v>
      </c>
    </row>
    <row r="1131" spans="1:42" x14ac:dyDescent="0.25">
      <c r="A1131">
        <v>2023</v>
      </c>
      <c r="B1131">
        <v>9</v>
      </c>
      <c r="C1131">
        <v>17</v>
      </c>
      <c r="D1131" t="s">
        <v>1088</v>
      </c>
      <c r="E1131" t="s">
        <v>282</v>
      </c>
      <c r="F1131">
        <v>626219</v>
      </c>
      <c r="G1131">
        <v>10454296</v>
      </c>
      <c r="H1131" t="s">
        <v>282</v>
      </c>
      <c r="J1131">
        <v>54285569</v>
      </c>
      <c r="K1131">
        <v>1100</v>
      </c>
      <c r="L1131">
        <v>1700</v>
      </c>
      <c r="M1131">
        <v>1301</v>
      </c>
      <c r="P1131">
        <v>8</v>
      </c>
      <c r="Q1131">
        <v>2</v>
      </c>
      <c r="R1131">
        <v>16</v>
      </c>
      <c r="S1131">
        <v>45198.426851701392</v>
      </c>
      <c r="T1131">
        <v>5500</v>
      </c>
      <c r="U1131" t="s">
        <v>1151</v>
      </c>
      <c r="V1131" t="s">
        <v>99</v>
      </c>
      <c r="W1131" t="s">
        <v>1031</v>
      </c>
      <c r="X1131" t="s">
        <v>1031</v>
      </c>
      <c r="AA1131">
        <v>58054</v>
      </c>
      <c r="AB1131" t="s">
        <v>1223</v>
      </c>
      <c r="AC1131">
        <v>45200.083899999998</v>
      </c>
      <c r="AI1131">
        <v>62</v>
      </c>
      <c r="AJ1131">
        <v>62</v>
      </c>
      <c r="AN1131">
        <v>45170</v>
      </c>
      <c r="AO1131">
        <v>45199</v>
      </c>
      <c r="AP1131" t="s">
        <v>1101</v>
      </c>
    </row>
    <row r="1132" spans="1:42" x14ac:dyDescent="0.25">
      <c r="A1132">
        <v>2023</v>
      </c>
      <c r="B1132">
        <v>9</v>
      </c>
      <c r="C1132">
        <v>17</v>
      </c>
      <c r="D1132" t="s">
        <v>1088</v>
      </c>
      <c r="E1132" t="s">
        <v>282</v>
      </c>
      <c r="F1132">
        <v>626219</v>
      </c>
      <c r="G1132">
        <v>10454296</v>
      </c>
      <c r="H1132" t="s">
        <v>282</v>
      </c>
      <c r="J1132">
        <v>54285570</v>
      </c>
      <c r="K1132">
        <v>1100</v>
      </c>
      <c r="L1132">
        <v>1700</v>
      </c>
      <c r="M1132">
        <v>1301</v>
      </c>
      <c r="P1132">
        <v>15</v>
      </c>
      <c r="Q1132">
        <v>1</v>
      </c>
      <c r="R1132">
        <v>15</v>
      </c>
      <c r="S1132">
        <v>45198.426934606483</v>
      </c>
      <c r="T1132">
        <v>5500</v>
      </c>
      <c r="U1132" t="s">
        <v>1151</v>
      </c>
      <c r="V1132" t="s">
        <v>99</v>
      </c>
      <c r="W1132" t="s">
        <v>1031</v>
      </c>
      <c r="X1132" t="s">
        <v>1031</v>
      </c>
      <c r="AA1132">
        <v>58054</v>
      </c>
      <c r="AB1132" t="s">
        <v>1223</v>
      </c>
      <c r="AC1132">
        <v>45200.083899999998</v>
      </c>
      <c r="AI1132">
        <v>62</v>
      </c>
      <c r="AJ1132">
        <v>62</v>
      </c>
      <c r="AN1132">
        <v>45170</v>
      </c>
      <c r="AO1132">
        <v>45199</v>
      </c>
      <c r="AP1132" t="s">
        <v>1101</v>
      </c>
    </row>
    <row r="1133" spans="1:42" x14ac:dyDescent="0.25">
      <c r="A1133">
        <v>2023</v>
      </c>
      <c r="B1133">
        <v>9</v>
      </c>
      <c r="C1133">
        <v>17</v>
      </c>
      <c r="D1133" t="s">
        <v>1088</v>
      </c>
      <c r="E1133" t="s">
        <v>282</v>
      </c>
      <c r="F1133">
        <v>469595</v>
      </c>
      <c r="G1133">
        <v>10436772</v>
      </c>
      <c r="H1133" t="s">
        <v>282</v>
      </c>
      <c r="J1133">
        <v>54308161</v>
      </c>
      <c r="K1133">
        <v>1104</v>
      </c>
      <c r="L1133">
        <v>1702</v>
      </c>
      <c r="M1133">
        <v>1304</v>
      </c>
      <c r="N1133">
        <v>54285304</v>
      </c>
      <c r="O1133">
        <v>45198.422988576393</v>
      </c>
      <c r="P1133">
        <v>216</v>
      </c>
      <c r="Q1133">
        <v>1</v>
      </c>
      <c r="R1133">
        <v>216</v>
      </c>
      <c r="S1133">
        <v>45199.067372766207</v>
      </c>
      <c r="T1133">
        <v>5509</v>
      </c>
      <c r="U1133" t="s">
        <v>1152</v>
      </c>
      <c r="V1133" t="s">
        <v>1153</v>
      </c>
      <c r="W1133" t="s">
        <v>2</v>
      </c>
      <c r="AI1133">
        <v>62</v>
      </c>
      <c r="AJ1133">
        <v>62</v>
      </c>
      <c r="AN1133">
        <v>45170</v>
      </c>
      <c r="AO1133">
        <v>45199</v>
      </c>
      <c r="AP1133" t="s">
        <v>1101</v>
      </c>
    </row>
    <row r="1134" spans="1:42" x14ac:dyDescent="0.25">
      <c r="A1134">
        <v>2023</v>
      </c>
      <c r="B1134">
        <v>9</v>
      </c>
      <c r="C1134">
        <v>17</v>
      </c>
      <c r="D1134" t="s">
        <v>1088</v>
      </c>
      <c r="E1134" t="s">
        <v>282</v>
      </c>
      <c r="F1134">
        <v>469595</v>
      </c>
      <c r="G1134">
        <v>10436772</v>
      </c>
      <c r="H1134" t="s">
        <v>282</v>
      </c>
      <c r="J1134">
        <v>54308162</v>
      </c>
      <c r="K1134">
        <v>1104</v>
      </c>
      <c r="L1134">
        <v>1702</v>
      </c>
      <c r="M1134">
        <v>1304</v>
      </c>
      <c r="N1134">
        <v>54285307</v>
      </c>
      <c r="O1134">
        <v>45198.423129131945</v>
      </c>
      <c r="P1134">
        <v>216</v>
      </c>
      <c r="Q1134">
        <v>1</v>
      </c>
      <c r="R1134">
        <v>216</v>
      </c>
      <c r="S1134">
        <v>45199.067372766207</v>
      </c>
      <c r="T1134">
        <v>5509</v>
      </c>
      <c r="U1134" t="s">
        <v>1152</v>
      </c>
      <c r="V1134" t="s">
        <v>1153</v>
      </c>
      <c r="W1134" t="s">
        <v>2</v>
      </c>
      <c r="AI1134">
        <v>62</v>
      </c>
      <c r="AJ1134">
        <v>62</v>
      </c>
      <c r="AN1134">
        <v>45170</v>
      </c>
      <c r="AO1134">
        <v>45199</v>
      </c>
      <c r="AP1134" t="s">
        <v>1101</v>
      </c>
    </row>
    <row r="1135" spans="1:42" x14ac:dyDescent="0.25">
      <c r="A1135">
        <v>2023</v>
      </c>
      <c r="B1135">
        <v>9</v>
      </c>
      <c r="C1135">
        <v>17</v>
      </c>
      <c r="D1135" t="s">
        <v>1088</v>
      </c>
      <c r="E1135" t="s">
        <v>282</v>
      </c>
      <c r="F1135">
        <v>120152</v>
      </c>
      <c r="H1135" t="s">
        <v>282</v>
      </c>
      <c r="I1135">
        <v>1254364</v>
      </c>
      <c r="M1135">
        <v>1304</v>
      </c>
      <c r="P1135">
        <v>100</v>
      </c>
      <c r="Q1135">
        <v>1</v>
      </c>
      <c r="R1135">
        <v>100</v>
      </c>
      <c r="S1135">
        <v>45194</v>
      </c>
      <c r="U1135" t="s">
        <v>222</v>
      </c>
      <c r="V1135" t="s">
        <v>102</v>
      </c>
      <c r="W1135" t="s">
        <v>1090</v>
      </c>
      <c r="AI1135">
        <v>62</v>
      </c>
      <c r="AL1135" t="s">
        <v>1159</v>
      </c>
      <c r="AM1135" t="s">
        <v>282</v>
      </c>
      <c r="AN1135">
        <v>45170</v>
      </c>
      <c r="AO1135">
        <v>45199</v>
      </c>
      <c r="AP1135" t="s">
        <v>1101</v>
      </c>
    </row>
    <row r="1136" spans="1:42" x14ac:dyDescent="0.25">
      <c r="A1136">
        <v>2023</v>
      </c>
      <c r="B1136">
        <v>9</v>
      </c>
      <c r="C1136">
        <v>17</v>
      </c>
      <c r="D1136" t="s">
        <v>1088</v>
      </c>
      <c r="E1136" t="s">
        <v>282</v>
      </c>
      <c r="F1136">
        <v>208037</v>
      </c>
      <c r="H1136" t="s">
        <v>282</v>
      </c>
      <c r="I1136">
        <v>1250488</v>
      </c>
      <c r="M1136">
        <v>1304</v>
      </c>
      <c r="P1136">
        <v>225</v>
      </c>
      <c r="Q1136">
        <v>1</v>
      </c>
      <c r="R1136">
        <v>225</v>
      </c>
      <c r="S1136">
        <v>45187</v>
      </c>
      <c r="U1136" t="s">
        <v>222</v>
      </c>
      <c r="V1136" t="s">
        <v>102</v>
      </c>
      <c r="AI1136">
        <v>62</v>
      </c>
      <c r="AL1136" t="s">
        <v>1160</v>
      </c>
      <c r="AM1136" t="s">
        <v>282</v>
      </c>
      <c r="AN1136">
        <v>45170</v>
      </c>
      <c r="AO1136">
        <v>45199</v>
      </c>
      <c r="AP1136" t="s">
        <v>1101</v>
      </c>
    </row>
    <row r="1137" spans="1:42" x14ac:dyDescent="0.25">
      <c r="A1137">
        <v>2023</v>
      </c>
      <c r="B1137">
        <v>9</v>
      </c>
      <c r="C1137">
        <v>17</v>
      </c>
      <c r="D1137" t="s">
        <v>1088</v>
      </c>
      <c r="E1137" t="s">
        <v>282</v>
      </c>
      <c r="F1137">
        <v>56310</v>
      </c>
      <c r="H1137" t="s">
        <v>282</v>
      </c>
      <c r="I1137">
        <v>1245236</v>
      </c>
      <c r="M1137">
        <v>1304</v>
      </c>
      <c r="P1137">
        <v>200</v>
      </c>
      <c r="Q1137">
        <v>1</v>
      </c>
      <c r="R1137">
        <v>200</v>
      </c>
      <c r="S1137">
        <v>45181</v>
      </c>
      <c r="U1137" t="s">
        <v>222</v>
      </c>
      <c r="V1137" t="s">
        <v>102</v>
      </c>
      <c r="AI1137">
        <v>62</v>
      </c>
      <c r="AL1137" t="s">
        <v>1159</v>
      </c>
      <c r="AM1137" t="s">
        <v>282</v>
      </c>
      <c r="AN1137">
        <v>45170</v>
      </c>
      <c r="AO1137">
        <v>45199</v>
      </c>
      <c r="AP1137" t="s">
        <v>1101</v>
      </c>
    </row>
    <row r="1138" spans="1:42" x14ac:dyDescent="0.25">
      <c r="A1138">
        <v>2023</v>
      </c>
      <c r="B1138">
        <v>9</v>
      </c>
      <c r="C1138">
        <v>17</v>
      </c>
      <c r="D1138" t="s">
        <v>1088</v>
      </c>
      <c r="E1138" t="s">
        <v>282</v>
      </c>
      <c r="F1138">
        <v>181208</v>
      </c>
      <c r="H1138" t="s">
        <v>282</v>
      </c>
      <c r="I1138">
        <v>1242711</v>
      </c>
      <c r="M1138">
        <v>1304</v>
      </c>
      <c r="P1138">
        <v>66</v>
      </c>
      <c r="Q1138">
        <v>1</v>
      </c>
      <c r="R1138">
        <v>66</v>
      </c>
      <c r="S1138">
        <v>45177</v>
      </c>
      <c r="U1138" t="s">
        <v>222</v>
      </c>
      <c r="V1138" t="s">
        <v>102</v>
      </c>
      <c r="AI1138">
        <v>62</v>
      </c>
      <c r="AL1138" t="s">
        <v>1159</v>
      </c>
      <c r="AM1138" t="s">
        <v>282</v>
      </c>
      <c r="AN1138">
        <v>45170</v>
      </c>
      <c r="AO1138">
        <v>45199</v>
      </c>
      <c r="AP1138" t="s">
        <v>1101</v>
      </c>
    </row>
    <row r="1139" spans="1:42" x14ac:dyDescent="0.25">
      <c r="A1139">
        <v>2023</v>
      </c>
      <c r="B1139">
        <v>9</v>
      </c>
      <c r="C1139">
        <v>17</v>
      </c>
      <c r="D1139" t="s">
        <v>1088</v>
      </c>
      <c r="E1139" t="s">
        <v>282</v>
      </c>
      <c r="F1139">
        <v>74504</v>
      </c>
      <c r="H1139" t="s">
        <v>282</v>
      </c>
      <c r="I1139">
        <v>1241703</v>
      </c>
      <c r="M1139">
        <v>1304</v>
      </c>
      <c r="P1139">
        <v>450</v>
      </c>
      <c r="Q1139">
        <v>1</v>
      </c>
      <c r="R1139">
        <v>450</v>
      </c>
      <c r="S1139">
        <v>45176</v>
      </c>
      <c r="U1139" t="s">
        <v>222</v>
      </c>
      <c r="V1139" t="s">
        <v>102</v>
      </c>
      <c r="AI1139">
        <v>62</v>
      </c>
      <c r="AL1139" t="s">
        <v>1159</v>
      </c>
      <c r="AM1139" t="s">
        <v>282</v>
      </c>
      <c r="AN1139">
        <v>45170</v>
      </c>
      <c r="AO1139">
        <v>45199</v>
      </c>
      <c r="AP1139" t="s">
        <v>1101</v>
      </c>
    </row>
    <row r="1140" spans="1:42" x14ac:dyDescent="0.25">
      <c r="A1140">
        <v>2023</v>
      </c>
      <c r="B1140">
        <v>9</v>
      </c>
      <c r="C1140">
        <v>17</v>
      </c>
      <c r="D1140" t="s">
        <v>1088</v>
      </c>
      <c r="E1140" t="s">
        <v>282</v>
      </c>
      <c r="F1140">
        <v>213869</v>
      </c>
      <c r="H1140" t="s">
        <v>282</v>
      </c>
      <c r="I1140">
        <v>1239024</v>
      </c>
      <c r="M1140">
        <v>1304</v>
      </c>
      <c r="P1140">
        <v>450</v>
      </c>
      <c r="Q1140">
        <v>1</v>
      </c>
      <c r="R1140">
        <v>450</v>
      </c>
      <c r="S1140">
        <v>45174</v>
      </c>
      <c r="U1140" t="s">
        <v>222</v>
      </c>
      <c r="V1140" t="s">
        <v>102</v>
      </c>
      <c r="AI1140">
        <v>62</v>
      </c>
      <c r="AL1140" t="s">
        <v>1159</v>
      </c>
      <c r="AM1140" t="s">
        <v>282</v>
      </c>
      <c r="AN1140">
        <v>45170</v>
      </c>
      <c r="AO1140">
        <v>45199</v>
      </c>
      <c r="AP1140" t="s">
        <v>1101</v>
      </c>
    </row>
    <row r="1141" spans="1:42" x14ac:dyDescent="0.25">
      <c r="A1141">
        <v>2023</v>
      </c>
      <c r="B1141">
        <v>9</v>
      </c>
      <c r="C1141">
        <v>17</v>
      </c>
      <c r="D1141" t="s">
        <v>1088</v>
      </c>
      <c r="E1141" t="s">
        <v>282</v>
      </c>
      <c r="F1141">
        <v>324550</v>
      </c>
      <c r="H1141" t="s">
        <v>282</v>
      </c>
      <c r="I1141">
        <v>1243057</v>
      </c>
      <c r="M1141">
        <v>1304</v>
      </c>
      <c r="P1141">
        <v>432</v>
      </c>
      <c r="Q1141">
        <v>1</v>
      </c>
      <c r="R1141">
        <v>432</v>
      </c>
      <c r="S1141">
        <v>45177</v>
      </c>
      <c r="U1141" t="s">
        <v>222</v>
      </c>
      <c r="V1141" t="s">
        <v>102</v>
      </c>
      <c r="AI1141">
        <v>62</v>
      </c>
      <c r="AL1141" t="s">
        <v>1160</v>
      </c>
      <c r="AM1141" t="s">
        <v>282</v>
      </c>
      <c r="AN1141">
        <v>45170</v>
      </c>
      <c r="AO1141">
        <v>45199</v>
      </c>
      <c r="AP1141" t="s">
        <v>1101</v>
      </c>
    </row>
    <row r="1142" spans="1:42" x14ac:dyDescent="0.25">
      <c r="A1142">
        <v>2023</v>
      </c>
      <c r="B1142">
        <v>9</v>
      </c>
      <c r="C1142">
        <v>17</v>
      </c>
      <c r="D1142" t="s">
        <v>1088</v>
      </c>
      <c r="E1142" t="s">
        <v>282</v>
      </c>
      <c r="F1142">
        <v>378635</v>
      </c>
      <c r="H1142" t="s">
        <v>282</v>
      </c>
      <c r="I1142">
        <v>1253403</v>
      </c>
      <c r="M1142">
        <v>1304</v>
      </c>
      <c r="P1142">
        <v>450</v>
      </c>
      <c r="Q1142">
        <v>1</v>
      </c>
      <c r="R1142">
        <v>450</v>
      </c>
      <c r="S1142">
        <v>45191</v>
      </c>
      <c r="U1142" t="s">
        <v>222</v>
      </c>
      <c r="V1142" t="s">
        <v>102</v>
      </c>
      <c r="AI1142">
        <v>62</v>
      </c>
      <c r="AL1142" t="s">
        <v>1159</v>
      </c>
      <c r="AM1142" t="s">
        <v>282</v>
      </c>
      <c r="AN1142">
        <v>45170</v>
      </c>
      <c r="AO1142">
        <v>45199</v>
      </c>
      <c r="AP1142" t="s">
        <v>1101</v>
      </c>
    </row>
    <row r="1143" spans="1:42" x14ac:dyDescent="0.25">
      <c r="A1143">
        <v>2023</v>
      </c>
      <c r="B1143">
        <v>9</v>
      </c>
      <c r="C1143">
        <v>17</v>
      </c>
      <c r="D1143" t="s">
        <v>1088</v>
      </c>
      <c r="E1143" t="s">
        <v>282</v>
      </c>
      <c r="F1143">
        <v>384980</v>
      </c>
      <c r="H1143" t="s">
        <v>282</v>
      </c>
      <c r="I1143">
        <v>1255507</v>
      </c>
      <c r="M1143">
        <v>1304</v>
      </c>
      <c r="P1143">
        <v>330.86</v>
      </c>
      <c r="Q1143">
        <v>1</v>
      </c>
      <c r="R1143">
        <v>330.86</v>
      </c>
      <c r="S1143">
        <v>45195</v>
      </c>
      <c r="U1143" t="s">
        <v>222</v>
      </c>
      <c r="V1143" t="s">
        <v>102</v>
      </c>
      <c r="W1143" t="s">
        <v>1091</v>
      </c>
      <c r="AI1143">
        <v>62</v>
      </c>
      <c r="AL1143" t="s">
        <v>1160</v>
      </c>
      <c r="AM1143" t="s">
        <v>282</v>
      </c>
      <c r="AN1143">
        <v>45170</v>
      </c>
      <c r="AO1143">
        <v>45199</v>
      </c>
      <c r="AP1143" t="s">
        <v>1101</v>
      </c>
    </row>
    <row r="1144" spans="1:42" x14ac:dyDescent="0.25">
      <c r="A1144">
        <v>2023</v>
      </c>
      <c r="B1144">
        <v>9</v>
      </c>
      <c r="C1144">
        <v>17</v>
      </c>
      <c r="D1144" t="s">
        <v>1088</v>
      </c>
      <c r="E1144" t="s">
        <v>282</v>
      </c>
      <c r="F1144">
        <v>214976</v>
      </c>
      <c r="H1144" t="s">
        <v>282</v>
      </c>
      <c r="I1144">
        <v>1238289</v>
      </c>
      <c r="M1144">
        <v>1304</v>
      </c>
      <c r="P1144">
        <v>118</v>
      </c>
      <c r="Q1144">
        <v>1</v>
      </c>
      <c r="R1144">
        <v>118</v>
      </c>
      <c r="S1144">
        <v>45170</v>
      </c>
      <c r="U1144" t="s">
        <v>222</v>
      </c>
      <c r="V1144" t="s">
        <v>102</v>
      </c>
      <c r="W1144" t="s">
        <v>1091</v>
      </c>
      <c r="AI1144">
        <v>62</v>
      </c>
      <c r="AL1144" t="s">
        <v>1159</v>
      </c>
      <c r="AM1144" t="s">
        <v>282</v>
      </c>
      <c r="AN1144">
        <v>45170</v>
      </c>
      <c r="AO1144">
        <v>45199</v>
      </c>
      <c r="AP1144" t="s">
        <v>1101</v>
      </c>
    </row>
    <row r="1145" spans="1:42" x14ac:dyDescent="0.25">
      <c r="A1145">
        <v>2023</v>
      </c>
      <c r="B1145">
        <v>9</v>
      </c>
      <c r="C1145">
        <v>17</v>
      </c>
      <c r="D1145" t="s">
        <v>1088</v>
      </c>
      <c r="E1145" t="s">
        <v>282</v>
      </c>
      <c r="F1145">
        <v>378223</v>
      </c>
      <c r="H1145" t="s">
        <v>282</v>
      </c>
      <c r="I1145">
        <v>1250423</v>
      </c>
      <c r="M1145">
        <v>1304</v>
      </c>
      <c r="P1145">
        <v>333</v>
      </c>
      <c r="Q1145">
        <v>1</v>
      </c>
      <c r="R1145">
        <v>333</v>
      </c>
      <c r="S1145">
        <v>45188</v>
      </c>
      <c r="U1145" t="s">
        <v>222</v>
      </c>
      <c r="V1145" t="s">
        <v>102</v>
      </c>
      <c r="W1145" t="s">
        <v>1091</v>
      </c>
      <c r="AI1145">
        <v>62</v>
      </c>
      <c r="AL1145" t="s">
        <v>1159</v>
      </c>
      <c r="AM1145" t="s">
        <v>282</v>
      </c>
      <c r="AN1145">
        <v>45170</v>
      </c>
      <c r="AO1145">
        <v>45199</v>
      </c>
      <c r="AP1145" t="s">
        <v>1101</v>
      </c>
    </row>
    <row r="1146" spans="1:42" x14ac:dyDescent="0.25">
      <c r="A1146">
        <v>2023</v>
      </c>
      <c r="B1146">
        <v>9</v>
      </c>
      <c r="C1146">
        <v>17</v>
      </c>
      <c r="D1146" t="s">
        <v>1088</v>
      </c>
      <c r="E1146" t="s">
        <v>282</v>
      </c>
      <c r="F1146">
        <v>142389</v>
      </c>
      <c r="H1146" t="s">
        <v>282</v>
      </c>
      <c r="I1146">
        <v>1250059</v>
      </c>
      <c r="M1146">
        <v>1304</v>
      </c>
      <c r="P1146">
        <v>450</v>
      </c>
      <c r="Q1146">
        <v>1</v>
      </c>
      <c r="R1146">
        <v>450</v>
      </c>
      <c r="S1146">
        <v>45188</v>
      </c>
      <c r="U1146" t="s">
        <v>222</v>
      </c>
      <c r="V1146" t="s">
        <v>102</v>
      </c>
      <c r="AI1146">
        <v>62</v>
      </c>
      <c r="AL1146" t="s">
        <v>1159</v>
      </c>
      <c r="AM1146" t="s">
        <v>282</v>
      </c>
      <c r="AN1146">
        <v>45170</v>
      </c>
      <c r="AO1146">
        <v>45199</v>
      </c>
      <c r="AP1146" t="s">
        <v>1101</v>
      </c>
    </row>
    <row r="1147" spans="1:42" x14ac:dyDescent="0.25">
      <c r="A1147">
        <v>2023</v>
      </c>
      <c r="B1147">
        <v>9</v>
      </c>
      <c r="C1147">
        <v>17</v>
      </c>
      <c r="D1147" t="s">
        <v>1088</v>
      </c>
      <c r="E1147" t="s">
        <v>282</v>
      </c>
      <c r="F1147">
        <v>104276</v>
      </c>
      <c r="H1147" t="s">
        <v>282</v>
      </c>
      <c r="I1147">
        <v>1246801</v>
      </c>
      <c r="M1147">
        <v>1304</v>
      </c>
      <c r="P1147">
        <v>450</v>
      </c>
      <c r="Q1147">
        <v>1</v>
      </c>
      <c r="R1147">
        <v>450</v>
      </c>
      <c r="S1147">
        <v>45183</v>
      </c>
      <c r="U1147" t="s">
        <v>222</v>
      </c>
      <c r="V1147" t="s">
        <v>102</v>
      </c>
      <c r="AI1147">
        <v>62</v>
      </c>
      <c r="AL1147" t="s">
        <v>1159</v>
      </c>
      <c r="AM1147" t="s">
        <v>282</v>
      </c>
      <c r="AN1147">
        <v>45170</v>
      </c>
      <c r="AO1147">
        <v>45199</v>
      </c>
      <c r="AP1147" t="s">
        <v>1101</v>
      </c>
    </row>
    <row r="1148" spans="1:42" x14ac:dyDescent="0.25">
      <c r="A1148">
        <v>2023</v>
      </c>
      <c r="B1148">
        <v>9</v>
      </c>
      <c r="C1148">
        <v>17</v>
      </c>
      <c r="D1148" t="s">
        <v>1088</v>
      </c>
      <c r="E1148" t="s">
        <v>282</v>
      </c>
      <c r="F1148">
        <v>227610</v>
      </c>
      <c r="H1148" t="s">
        <v>282</v>
      </c>
      <c r="I1148">
        <v>1239610</v>
      </c>
      <c r="M1148">
        <v>1304</v>
      </c>
      <c r="P1148">
        <v>315</v>
      </c>
      <c r="Q1148">
        <v>1</v>
      </c>
      <c r="R1148">
        <v>315</v>
      </c>
      <c r="S1148">
        <v>45174</v>
      </c>
      <c r="U1148" t="s">
        <v>222</v>
      </c>
      <c r="V1148" t="s">
        <v>102</v>
      </c>
      <c r="W1148" t="s">
        <v>1031</v>
      </c>
      <c r="AI1148">
        <v>62</v>
      </c>
      <c r="AL1148" t="s">
        <v>1159</v>
      </c>
      <c r="AM1148" t="s">
        <v>282</v>
      </c>
      <c r="AN1148">
        <v>45170</v>
      </c>
      <c r="AO1148">
        <v>45199</v>
      </c>
      <c r="AP1148" t="s">
        <v>1101</v>
      </c>
    </row>
    <row r="1149" spans="1:42" x14ac:dyDescent="0.25">
      <c r="A1149">
        <v>2023</v>
      </c>
      <c r="B1149">
        <v>9</v>
      </c>
      <c r="C1149">
        <v>17</v>
      </c>
      <c r="D1149" t="s">
        <v>1088</v>
      </c>
      <c r="E1149" t="s">
        <v>282</v>
      </c>
      <c r="F1149">
        <v>181208</v>
      </c>
      <c r="H1149" t="s">
        <v>282</v>
      </c>
      <c r="I1149">
        <v>1241259</v>
      </c>
      <c r="M1149">
        <v>1304</v>
      </c>
      <c r="P1149">
        <v>106</v>
      </c>
      <c r="Q1149">
        <v>1</v>
      </c>
      <c r="R1149">
        <v>106</v>
      </c>
      <c r="S1149">
        <v>45176</v>
      </c>
      <c r="U1149" t="s">
        <v>222</v>
      </c>
      <c r="V1149" t="s">
        <v>102</v>
      </c>
      <c r="AI1149">
        <v>62</v>
      </c>
      <c r="AL1149" t="s">
        <v>1159</v>
      </c>
      <c r="AM1149" t="s">
        <v>282</v>
      </c>
      <c r="AN1149">
        <v>45170</v>
      </c>
      <c r="AO1149">
        <v>45199</v>
      </c>
      <c r="AP1149" t="s">
        <v>1101</v>
      </c>
    </row>
    <row r="1150" spans="1:42" x14ac:dyDescent="0.25">
      <c r="A1150">
        <v>2023</v>
      </c>
      <c r="B1150">
        <v>9</v>
      </c>
      <c r="C1150">
        <v>17</v>
      </c>
      <c r="D1150" t="s">
        <v>1088</v>
      </c>
      <c r="E1150" t="s">
        <v>282</v>
      </c>
      <c r="F1150">
        <v>161148</v>
      </c>
      <c r="H1150" t="s">
        <v>282</v>
      </c>
      <c r="I1150">
        <v>1244232</v>
      </c>
      <c r="M1150">
        <v>1304</v>
      </c>
      <c r="P1150">
        <v>450</v>
      </c>
      <c r="Q1150">
        <v>1</v>
      </c>
      <c r="R1150">
        <v>450</v>
      </c>
      <c r="S1150">
        <v>45180</v>
      </c>
      <c r="U1150" t="s">
        <v>222</v>
      </c>
      <c r="V1150" t="s">
        <v>102</v>
      </c>
      <c r="AI1150">
        <v>62</v>
      </c>
      <c r="AL1150" t="s">
        <v>1159</v>
      </c>
      <c r="AM1150" t="s">
        <v>282</v>
      </c>
      <c r="AN1150">
        <v>45170</v>
      </c>
      <c r="AO1150">
        <v>45199</v>
      </c>
      <c r="AP1150" t="s">
        <v>1101</v>
      </c>
    </row>
    <row r="1151" spans="1:42" x14ac:dyDescent="0.25">
      <c r="A1151">
        <v>2023</v>
      </c>
      <c r="B1151">
        <v>9</v>
      </c>
      <c r="C1151">
        <v>17</v>
      </c>
      <c r="D1151" t="s">
        <v>1088</v>
      </c>
      <c r="E1151" t="s">
        <v>282</v>
      </c>
      <c r="F1151">
        <v>171377</v>
      </c>
      <c r="H1151" t="s">
        <v>282</v>
      </c>
      <c r="I1151">
        <v>1243854</v>
      </c>
      <c r="M1151">
        <v>1304</v>
      </c>
      <c r="P1151">
        <v>200</v>
      </c>
      <c r="Q1151">
        <v>1</v>
      </c>
      <c r="R1151">
        <v>200</v>
      </c>
      <c r="S1151">
        <v>45180</v>
      </c>
      <c r="U1151" t="s">
        <v>222</v>
      </c>
      <c r="V1151" t="s">
        <v>102</v>
      </c>
      <c r="AI1151">
        <v>62</v>
      </c>
      <c r="AL1151" t="s">
        <v>1159</v>
      </c>
      <c r="AM1151" t="s">
        <v>282</v>
      </c>
      <c r="AN1151">
        <v>45170</v>
      </c>
      <c r="AO1151">
        <v>45199</v>
      </c>
      <c r="AP1151" t="s">
        <v>1101</v>
      </c>
    </row>
    <row r="1152" spans="1:42" x14ac:dyDescent="0.25">
      <c r="A1152">
        <v>2023</v>
      </c>
      <c r="B1152">
        <v>9</v>
      </c>
      <c r="C1152">
        <v>17</v>
      </c>
      <c r="D1152" t="s">
        <v>1088</v>
      </c>
      <c r="E1152" t="s">
        <v>282</v>
      </c>
      <c r="F1152">
        <v>163699</v>
      </c>
      <c r="H1152" t="s">
        <v>282</v>
      </c>
      <c r="I1152">
        <v>1254674</v>
      </c>
      <c r="M1152">
        <v>1304</v>
      </c>
      <c r="P1152">
        <v>200</v>
      </c>
      <c r="Q1152">
        <v>1</v>
      </c>
      <c r="R1152">
        <v>200</v>
      </c>
      <c r="S1152">
        <v>45194</v>
      </c>
      <c r="U1152" t="s">
        <v>222</v>
      </c>
      <c r="V1152" t="s">
        <v>102</v>
      </c>
      <c r="W1152" t="s">
        <v>1091</v>
      </c>
      <c r="AI1152">
        <v>62</v>
      </c>
      <c r="AL1152" t="s">
        <v>1159</v>
      </c>
      <c r="AM1152" t="s">
        <v>282</v>
      </c>
      <c r="AN1152">
        <v>45170</v>
      </c>
      <c r="AO1152">
        <v>45199</v>
      </c>
      <c r="AP1152" t="s">
        <v>1101</v>
      </c>
    </row>
    <row r="1153" spans="1:42" x14ac:dyDescent="0.25">
      <c r="A1153">
        <v>2023</v>
      </c>
      <c r="B1153">
        <v>9</v>
      </c>
      <c r="C1153">
        <v>17</v>
      </c>
      <c r="D1153" t="s">
        <v>1088</v>
      </c>
      <c r="E1153" t="s">
        <v>282</v>
      </c>
      <c r="F1153">
        <v>76672</v>
      </c>
      <c r="H1153" t="s">
        <v>282</v>
      </c>
      <c r="I1153">
        <v>1250889</v>
      </c>
      <c r="M1153">
        <v>1304</v>
      </c>
      <c r="P1153">
        <v>50</v>
      </c>
      <c r="Q1153">
        <v>1</v>
      </c>
      <c r="R1153">
        <v>50</v>
      </c>
      <c r="S1153">
        <v>45189.336634872685</v>
      </c>
      <c r="U1153" t="s">
        <v>1294</v>
      </c>
      <c r="V1153" t="s">
        <v>102</v>
      </c>
      <c r="AI1153">
        <v>62</v>
      </c>
      <c r="AL1153" t="s">
        <v>110</v>
      </c>
      <c r="AM1153" t="s">
        <v>282</v>
      </c>
      <c r="AN1153">
        <v>45170</v>
      </c>
      <c r="AO1153">
        <v>45199</v>
      </c>
      <c r="AP1153" t="s">
        <v>1101</v>
      </c>
    </row>
    <row r="1154" spans="1:42" x14ac:dyDescent="0.25">
      <c r="A1154">
        <v>2023</v>
      </c>
      <c r="B1154">
        <v>9</v>
      </c>
      <c r="C1154">
        <v>17</v>
      </c>
      <c r="D1154" t="s">
        <v>1088</v>
      </c>
      <c r="E1154" t="s">
        <v>282</v>
      </c>
      <c r="F1154">
        <v>179735</v>
      </c>
      <c r="H1154" t="s">
        <v>282</v>
      </c>
      <c r="I1154">
        <v>1256595</v>
      </c>
      <c r="M1154">
        <v>1304</v>
      </c>
      <c r="P1154">
        <v>376</v>
      </c>
      <c r="Q1154">
        <v>1</v>
      </c>
      <c r="R1154">
        <v>376</v>
      </c>
      <c r="S1154">
        <v>45196</v>
      </c>
      <c r="U1154" t="s">
        <v>222</v>
      </c>
      <c r="V1154" t="s">
        <v>102</v>
      </c>
      <c r="AI1154">
        <v>62</v>
      </c>
      <c r="AL1154" t="s">
        <v>1159</v>
      </c>
      <c r="AM1154" t="s">
        <v>282</v>
      </c>
      <c r="AN1154">
        <v>45170</v>
      </c>
      <c r="AO1154">
        <v>45199</v>
      </c>
      <c r="AP1154" t="s">
        <v>1101</v>
      </c>
    </row>
    <row r="1155" spans="1:42" x14ac:dyDescent="0.25">
      <c r="A1155">
        <v>2023</v>
      </c>
      <c r="B1155">
        <v>9</v>
      </c>
      <c r="C1155">
        <v>17</v>
      </c>
      <c r="D1155" t="s">
        <v>1088</v>
      </c>
      <c r="E1155" t="s">
        <v>282</v>
      </c>
      <c r="F1155">
        <v>390261</v>
      </c>
      <c r="H1155" t="s">
        <v>282</v>
      </c>
      <c r="I1155">
        <v>1255343</v>
      </c>
      <c r="M1155">
        <v>1304</v>
      </c>
      <c r="P1155">
        <v>225</v>
      </c>
      <c r="Q1155">
        <v>1</v>
      </c>
      <c r="R1155">
        <v>225</v>
      </c>
      <c r="S1155">
        <v>45195</v>
      </c>
      <c r="U1155" t="s">
        <v>222</v>
      </c>
      <c r="V1155" t="s">
        <v>102</v>
      </c>
      <c r="AI1155">
        <v>62</v>
      </c>
      <c r="AL1155" t="s">
        <v>1159</v>
      </c>
      <c r="AM1155" t="s">
        <v>282</v>
      </c>
      <c r="AN1155">
        <v>45170</v>
      </c>
      <c r="AO1155">
        <v>45199</v>
      </c>
      <c r="AP1155" t="s">
        <v>1101</v>
      </c>
    </row>
    <row r="1156" spans="1:42" x14ac:dyDescent="0.25">
      <c r="A1156">
        <v>2023</v>
      </c>
      <c r="B1156">
        <v>9</v>
      </c>
      <c r="C1156">
        <v>17</v>
      </c>
      <c r="D1156" t="s">
        <v>1088</v>
      </c>
      <c r="E1156" t="s">
        <v>282</v>
      </c>
      <c r="F1156">
        <v>341532</v>
      </c>
      <c r="H1156" t="s">
        <v>282</v>
      </c>
      <c r="I1156">
        <v>1245874</v>
      </c>
      <c r="M1156">
        <v>1304</v>
      </c>
      <c r="P1156">
        <v>318</v>
      </c>
      <c r="Q1156">
        <v>1</v>
      </c>
      <c r="R1156">
        <v>318</v>
      </c>
      <c r="S1156">
        <v>45182</v>
      </c>
      <c r="U1156" t="s">
        <v>222</v>
      </c>
      <c r="V1156" t="s">
        <v>102</v>
      </c>
      <c r="W1156" t="s">
        <v>1090</v>
      </c>
      <c r="AI1156">
        <v>62</v>
      </c>
      <c r="AL1156" t="s">
        <v>1159</v>
      </c>
      <c r="AM1156" t="s">
        <v>282</v>
      </c>
      <c r="AN1156">
        <v>45170</v>
      </c>
      <c r="AO1156">
        <v>45199</v>
      </c>
      <c r="AP1156" t="s">
        <v>1101</v>
      </c>
    </row>
    <row r="1157" spans="1:42" x14ac:dyDescent="0.25">
      <c r="A1157">
        <v>2023</v>
      </c>
      <c r="B1157">
        <v>9</v>
      </c>
      <c r="C1157">
        <v>17</v>
      </c>
      <c r="D1157" t="s">
        <v>1088</v>
      </c>
      <c r="E1157" t="s">
        <v>282</v>
      </c>
      <c r="F1157">
        <v>425072</v>
      </c>
      <c r="H1157" t="s">
        <v>282</v>
      </c>
      <c r="I1157">
        <v>1247956</v>
      </c>
      <c r="M1157">
        <v>1304</v>
      </c>
      <c r="P1157">
        <v>450</v>
      </c>
      <c r="Q1157">
        <v>1</v>
      </c>
      <c r="R1157">
        <v>450</v>
      </c>
      <c r="S1157">
        <v>45184</v>
      </c>
      <c r="U1157" t="s">
        <v>222</v>
      </c>
      <c r="V1157" t="s">
        <v>102</v>
      </c>
      <c r="AI1157">
        <v>62</v>
      </c>
      <c r="AL1157" t="s">
        <v>1159</v>
      </c>
      <c r="AM1157" t="s">
        <v>282</v>
      </c>
      <c r="AN1157">
        <v>45170</v>
      </c>
      <c r="AO1157">
        <v>45199</v>
      </c>
      <c r="AP1157" t="s">
        <v>1101</v>
      </c>
    </row>
    <row r="1158" spans="1:42" x14ac:dyDescent="0.25">
      <c r="A1158">
        <v>2023</v>
      </c>
      <c r="B1158">
        <v>9</v>
      </c>
      <c r="C1158">
        <v>17</v>
      </c>
      <c r="D1158" t="s">
        <v>1088</v>
      </c>
      <c r="E1158" t="s">
        <v>282</v>
      </c>
      <c r="F1158">
        <v>63218</v>
      </c>
      <c r="H1158" t="s">
        <v>282</v>
      </c>
      <c r="I1158">
        <v>1248323</v>
      </c>
      <c r="M1158">
        <v>1304</v>
      </c>
      <c r="P1158">
        <v>318</v>
      </c>
      <c r="Q1158">
        <v>1</v>
      </c>
      <c r="R1158">
        <v>318</v>
      </c>
      <c r="S1158">
        <v>45184</v>
      </c>
      <c r="U1158" t="s">
        <v>222</v>
      </c>
      <c r="V1158" t="s">
        <v>102</v>
      </c>
      <c r="AI1158">
        <v>62</v>
      </c>
      <c r="AL1158" t="s">
        <v>1159</v>
      </c>
      <c r="AM1158" t="s">
        <v>282</v>
      </c>
      <c r="AN1158">
        <v>45170</v>
      </c>
      <c r="AO1158">
        <v>45199</v>
      </c>
      <c r="AP1158" t="s">
        <v>1101</v>
      </c>
    </row>
    <row r="1159" spans="1:42" x14ac:dyDescent="0.25">
      <c r="A1159">
        <v>2023</v>
      </c>
      <c r="B1159">
        <v>9</v>
      </c>
      <c r="C1159">
        <v>17</v>
      </c>
      <c r="D1159" t="s">
        <v>1088</v>
      </c>
      <c r="E1159" t="s">
        <v>282</v>
      </c>
      <c r="F1159">
        <v>105620</v>
      </c>
      <c r="H1159" t="s">
        <v>282</v>
      </c>
      <c r="I1159">
        <v>1249494</v>
      </c>
      <c r="M1159">
        <v>1304</v>
      </c>
      <c r="P1159">
        <v>925</v>
      </c>
      <c r="Q1159">
        <v>1</v>
      </c>
      <c r="R1159">
        <v>925</v>
      </c>
      <c r="S1159">
        <v>45187</v>
      </c>
      <c r="U1159" t="s">
        <v>222</v>
      </c>
      <c r="V1159" t="s">
        <v>102</v>
      </c>
      <c r="AI1159">
        <v>62</v>
      </c>
      <c r="AL1159" t="s">
        <v>1159</v>
      </c>
      <c r="AM1159" t="s">
        <v>282</v>
      </c>
      <c r="AN1159">
        <v>45170</v>
      </c>
      <c r="AO1159">
        <v>45199</v>
      </c>
      <c r="AP1159" t="s">
        <v>1101</v>
      </c>
    </row>
    <row r="1160" spans="1:42" x14ac:dyDescent="0.25">
      <c r="A1160">
        <v>2023</v>
      </c>
      <c r="B1160">
        <v>9</v>
      </c>
      <c r="C1160">
        <v>17</v>
      </c>
      <c r="D1160" t="s">
        <v>1088</v>
      </c>
      <c r="E1160" t="s">
        <v>282</v>
      </c>
      <c r="F1160">
        <v>95780</v>
      </c>
      <c r="H1160" t="s">
        <v>282</v>
      </c>
      <c r="I1160">
        <v>1247203</v>
      </c>
      <c r="M1160">
        <v>1304</v>
      </c>
      <c r="P1160">
        <v>450</v>
      </c>
      <c r="Q1160">
        <v>1</v>
      </c>
      <c r="R1160">
        <v>450</v>
      </c>
      <c r="S1160">
        <v>45183</v>
      </c>
      <c r="U1160" t="s">
        <v>222</v>
      </c>
      <c r="V1160" t="s">
        <v>102</v>
      </c>
      <c r="AI1160">
        <v>62</v>
      </c>
      <c r="AL1160" t="s">
        <v>1159</v>
      </c>
      <c r="AM1160" t="s">
        <v>282</v>
      </c>
      <c r="AN1160">
        <v>45170</v>
      </c>
      <c r="AO1160">
        <v>45199</v>
      </c>
      <c r="AP1160" t="s">
        <v>1101</v>
      </c>
    </row>
    <row r="1161" spans="1:42" x14ac:dyDescent="0.25">
      <c r="A1161">
        <v>2023</v>
      </c>
      <c r="B1161">
        <v>9</v>
      </c>
      <c r="C1161">
        <v>17</v>
      </c>
      <c r="D1161" t="s">
        <v>1088</v>
      </c>
      <c r="E1161" t="s">
        <v>282</v>
      </c>
      <c r="F1161">
        <v>240543</v>
      </c>
      <c r="H1161" t="s">
        <v>282</v>
      </c>
      <c r="I1161">
        <v>1246954</v>
      </c>
      <c r="M1161">
        <v>1304</v>
      </c>
      <c r="P1161">
        <v>450</v>
      </c>
      <c r="Q1161">
        <v>1</v>
      </c>
      <c r="R1161">
        <v>450</v>
      </c>
      <c r="S1161">
        <v>45183</v>
      </c>
      <c r="U1161" t="s">
        <v>222</v>
      </c>
      <c r="V1161" t="s">
        <v>102</v>
      </c>
      <c r="AI1161">
        <v>62</v>
      </c>
      <c r="AL1161" t="s">
        <v>1160</v>
      </c>
      <c r="AM1161" t="s">
        <v>282</v>
      </c>
      <c r="AN1161">
        <v>45170</v>
      </c>
      <c r="AO1161">
        <v>45199</v>
      </c>
      <c r="AP1161" t="s">
        <v>1101</v>
      </c>
    </row>
    <row r="1162" spans="1:42" x14ac:dyDescent="0.25">
      <c r="A1162">
        <v>2023</v>
      </c>
      <c r="B1162">
        <v>9</v>
      </c>
      <c r="C1162">
        <v>17</v>
      </c>
      <c r="D1162" t="s">
        <v>1088</v>
      </c>
      <c r="E1162" t="s">
        <v>282</v>
      </c>
      <c r="F1162">
        <v>155558</v>
      </c>
      <c r="H1162" t="s">
        <v>282</v>
      </c>
      <c r="I1162">
        <v>1242564</v>
      </c>
      <c r="M1162">
        <v>1304</v>
      </c>
      <c r="P1162">
        <v>768</v>
      </c>
      <c r="Q1162">
        <v>1</v>
      </c>
      <c r="R1162">
        <v>768</v>
      </c>
      <c r="S1162">
        <v>45177</v>
      </c>
      <c r="U1162" t="s">
        <v>222</v>
      </c>
      <c r="V1162" t="s">
        <v>102</v>
      </c>
      <c r="AI1162">
        <v>62</v>
      </c>
      <c r="AL1162" t="s">
        <v>1159</v>
      </c>
      <c r="AM1162" t="s">
        <v>282</v>
      </c>
      <c r="AN1162">
        <v>45170</v>
      </c>
      <c r="AO1162">
        <v>45199</v>
      </c>
      <c r="AP1162" t="s">
        <v>1101</v>
      </c>
    </row>
    <row r="1163" spans="1:42" x14ac:dyDescent="0.25">
      <c r="A1163">
        <v>2023</v>
      </c>
      <c r="B1163">
        <v>9</v>
      </c>
      <c r="C1163">
        <v>17</v>
      </c>
      <c r="D1163" t="s">
        <v>1088</v>
      </c>
      <c r="E1163" t="s">
        <v>282</v>
      </c>
      <c r="F1163">
        <v>262133</v>
      </c>
      <c r="H1163" t="s">
        <v>282</v>
      </c>
      <c r="I1163">
        <v>1243121</v>
      </c>
      <c r="M1163">
        <v>1304</v>
      </c>
      <c r="P1163">
        <v>219</v>
      </c>
      <c r="Q1163">
        <v>1</v>
      </c>
      <c r="R1163">
        <v>219</v>
      </c>
      <c r="S1163">
        <v>45177</v>
      </c>
      <c r="U1163" t="s">
        <v>222</v>
      </c>
      <c r="V1163" t="s">
        <v>102</v>
      </c>
      <c r="AI1163">
        <v>62</v>
      </c>
      <c r="AL1163" t="s">
        <v>1159</v>
      </c>
      <c r="AM1163" t="s">
        <v>282</v>
      </c>
      <c r="AN1163">
        <v>45170</v>
      </c>
      <c r="AO1163">
        <v>45199</v>
      </c>
      <c r="AP1163" t="s">
        <v>1101</v>
      </c>
    </row>
    <row r="1164" spans="1:42" x14ac:dyDescent="0.25">
      <c r="A1164">
        <v>2023</v>
      </c>
      <c r="B1164">
        <v>9</v>
      </c>
      <c r="C1164">
        <v>17</v>
      </c>
      <c r="D1164" t="s">
        <v>1088</v>
      </c>
      <c r="E1164" t="s">
        <v>282</v>
      </c>
      <c r="F1164">
        <v>230865</v>
      </c>
      <c r="H1164" t="s">
        <v>282</v>
      </c>
      <c r="I1164">
        <v>1238175</v>
      </c>
      <c r="M1164">
        <v>1304</v>
      </c>
      <c r="P1164">
        <v>232</v>
      </c>
      <c r="Q1164">
        <v>1</v>
      </c>
      <c r="R1164">
        <v>232</v>
      </c>
      <c r="S1164">
        <v>45170</v>
      </c>
      <c r="U1164" t="s">
        <v>222</v>
      </c>
      <c r="V1164" t="s">
        <v>102</v>
      </c>
      <c r="AI1164">
        <v>62</v>
      </c>
      <c r="AL1164" t="s">
        <v>1159</v>
      </c>
      <c r="AM1164" t="s">
        <v>282</v>
      </c>
      <c r="AN1164">
        <v>45170</v>
      </c>
      <c r="AO1164">
        <v>45199</v>
      </c>
      <c r="AP1164" t="s">
        <v>1101</v>
      </c>
    </row>
    <row r="1165" spans="1:42" x14ac:dyDescent="0.25">
      <c r="A1165">
        <v>2023</v>
      </c>
      <c r="B1165">
        <v>9</v>
      </c>
      <c r="C1165">
        <v>17</v>
      </c>
      <c r="D1165" t="s">
        <v>1088</v>
      </c>
      <c r="E1165" t="s">
        <v>282</v>
      </c>
      <c r="F1165">
        <v>118496</v>
      </c>
      <c r="H1165" t="s">
        <v>282</v>
      </c>
      <c r="I1165">
        <v>1255868</v>
      </c>
      <c r="M1165">
        <v>1304</v>
      </c>
      <c r="P1165">
        <v>247</v>
      </c>
      <c r="Q1165">
        <v>1</v>
      </c>
      <c r="R1165">
        <v>247</v>
      </c>
      <c r="S1165">
        <v>45195</v>
      </c>
      <c r="U1165" t="s">
        <v>222</v>
      </c>
      <c r="V1165" t="s">
        <v>102</v>
      </c>
      <c r="W1165" t="s">
        <v>1031</v>
      </c>
      <c r="AI1165">
        <v>62</v>
      </c>
      <c r="AL1165" t="s">
        <v>1159</v>
      </c>
      <c r="AM1165" t="s">
        <v>282</v>
      </c>
      <c r="AN1165">
        <v>45170</v>
      </c>
      <c r="AO1165">
        <v>45199</v>
      </c>
      <c r="AP1165" t="s">
        <v>1101</v>
      </c>
    </row>
    <row r="1166" spans="1:42" x14ac:dyDescent="0.25">
      <c r="A1166">
        <v>2023</v>
      </c>
      <c r="B1166">
        <v>9</v>
      </c>
      <c r="C1166">
        <v>17</v>
      </c>
      <c r="D1166" t="s">
        <v>1088</v>
      </c>
      <c r="E1166" t="s">
        <v>282</v>
      </c>
      <c r="F1166">
        <v>56664</v>
      </c>
      <c r="H1166" t="s">
        <v>282</v>
      </c>
      <c r="I1166">
        <v>1254179</v>
      </c>
      <c r="M1166">
        <v>1304</v>
      </c>
      <c r="P1166">
        <v>66</v>
      </c>
      <c r="Q1166">
        <v>1</v>
      </c>
      <c r="R1166">
        <v>66</v>
      </c>
      <c r="S1166">
        <v>45194</v>
      </c>
      <c r="U1166" t="s">
        <v>222</v>
      </c>
      <c r="V1166" t="s">
        <v>102</v>
      </c>
      <c r="W1166" t="s">
        <v>1032</v>
      </c>
      <c r="AI1166">
        <v>62</v>
      </c>
      <c r="AL1166" t="s">
        <v>1160</v>
      </c>
      <c r="AM1166" t="s">
        <v>282</v>
      </c>
      <c r="AN1166">
        <v>45170</v>
      </c>
      <c r="AO1166">
        <v>45199</v>
      </c>
      <c r="AP1166" t="s">
        <v>1101</v>
      </c>
    </row>
    <row r="1167" spans="1:42" x14ac:dyDescent="0.25">
      <c r="A1167">
        <v>2023</v>
      </c>
      <c r="B1167">
        <v>9</v>
      </c>
      <c r="C1167">
        <v>17</v>
      </c>
      <c r="D1167" t="s">
        <v>1088</v>
      </c>
      <c r="E1167" t="s">
        <v>282</v>
      </c>
      <c r="F1167">
        <v>102362</v>
      </c>
      <c r="H1167" t="s">
        <v>282</v>
      </c>
      <c r="I1167">
        <v>1252262</v>
      </c>
      <c r="M1167">
        <v>1304</v>
      </c>
      <c r="P1167">
        <v>200</v>
      </c>
      <c r="Q1167">
        <v>1</v>
      </c>
      <c r="R1167">
        <v>200</v>
      </c>
      <c r="S1167">
        <v>45190</v>
      </c>
      <c r="U1167" t="s">
        <v>222</v>
      </c>
      <c r="V1167" t="s">
        <v>102</v>
      </c>
      <c r="W1167" t="s">
        <v>1091</v>
      </c>
      <c r="AI1167">
        <v>62</v>
      </c>
      <c r="AL1167" t="s">
        <v>1160</v>
      </c>
      <c r="AM1167" t="s">
        <v>282</v>
      </c>
      <c r="AN1167">
        <v>45170</v>
      </c>
      <c r="AO1167">
        <v>45199</v>
      </c>
      <c r="AP1167" t="s">
        <v>1101</v>
      </c>
    </row>
    <row r="1168" spans="1:42" x14ac:dyDescent="0.25">
      <c r="A1168">
        <v>2023</v>
      </c>
      <c r="B1168">
        <v>9</v>
      </c>
      <c r="C1168">
        <v>17</v>
      </c>
      <c r="D1168" t="s">
        <v>1088</v>
      </c>
      <c r="E1168" t="s">
        <v>282</v>
      </c>
      <c r="F1168">
        <v>56310</v>
      </c>
      <c r="H1168" t="s">
        <v>282</v>
      </c>
      <c r="I1168">
        <v>1258742</v>
      </c>
      <c r="M1168">
        <v>1304</v>
      </c>
      <c r="P1168">
        <v>250</v>
      </c>
      <c r="Q1168">
        <v>1</v>
      </c>
      <c r="R1168">
        <v>250</v>
      </c>
      <c r="S1168">
        <v>45198</v>
      </c>
      <c r="U1168" t="s">
        <v>222</v>
      </c>
      <c r="V1168" t="s">
        <v>102</v>
      </c>
      <c r="AI1168">
        <v>62</v>
      </c>
      <c r="AL1168" t="s">
        <v>1159</v>
      </c>
      <c r="AM1168" t="s">
        <v>282</v>
      </c>
      <c r="AN1168">
        <v>45170</v>
      </c>
      <c r="AO1168">
        <v>45199</v>
      </c>
      <c r="AP1168" t="s">
        <v>1101</v>
      </c>
    </row>
    <row r="1169" spans="1:42" x14ac:dyDescent="0.25">
      <c r="A1169">
        <v>2023</v>
      </c>
      <c r="B1169">
        <v>9</v>
      </c>
      <c r="C1169">
        <v>17</v>
      </c>
      <c r="D1169" t="s">
        <v>1088</v>
      </c>
      <c r="E1169" t="s">
        <v>282</v>
      </c>
      <c r="F1169">
        <v>604926</v>
      </c>
      <c r="H1169" t="s">
        <v>282</v>
      </c>
      <c r="I1169">
        <v>1254129</v>
      </c>
      <c r="M1169">
        <v>1304</v>
      </c>
      <c r="P1169">
        <v>300</v>
      </c>
      <c r="Q1169">
        <v>1</v>
      </c>
      <c r="R1169">
        <v>300</v>
      </c>
      <c r="S1169">
        <v>45194</v>
      </c>
      <c r="U1169" t="s">
        <v>222</v>
      </c>
      <c r="V1169" t="s">
        <v>102</v>
      </c>
      <c r="AI1169">
        <v>62</v>
      </c>
      <c r="AL1169" t="s">
        <v>1159</v>
      </c>
      <c r="AM1169" t="s">
        <v>282</v>
      </c>
      <c r="AN1169">
        <v>45170</v>
      </c>
      <c r="AO1169">
        <v>45199</v>
      </c>
      <c r="AP1169" t="s">
        <v>1101</v>
      </c>
    </row>
    <row r="1170" spans="1:42" x14ac:dyDescent="0.25">
      <c r="A1170">
        <v>2023</v>
      </c>
      <c r="B1170">
        <v>9</v>
      </c>
      <c r="C1170">
        <v>17</v>
      </c>
      <c r="D1170" t="s">
        <v>1088</v>
      </c>
      <c r="E1170" t="s">
        <v>282</v>
      </c>
      <c r="F1170">
        <v>607932</v>
      </c>
      <c r="H1170" t="s">
        <v>282</v>
      </c>
      <c r="I1170">
        <v>1242467</v>
      </c>
      <c r="M1170">
        <v>1304</v>
      </c>
      <c r="P1170">
        <v>49.62</v>
      </c>
      <c r="Q1170">
        <v>1</v>
      </c>
      <c r="R1170">
        <v>49.62</v>
      </c>
      <c r="S1170">
        <v>45177</v>
      </c>
      <c r="U1170" t="s">
        <v>222</v>
      </c>
      <c r="V1170" t="s">
        <v>102</v>
      </c>
      <c r="W1170" t="s">
        <v>1179</v>
      </c>
      <c r="AI1170">
        <v>62</v>
      </c>
      <c r="AL1170" t="s">
        <v>1159</v>
      </c>
      <c r="AM1170" t="s">
        <v>282</v>
      </c>
      <c r="AN1170">
        <v>45170</v>
      </c>
      <c r="AO1170">
        <v>45199</v>
      </c>
      <c r="AP1170" t="s">
        <v>1101</v>
      </c>
    </row>
    <row r="1171" spans="1:42" x14ac:dyDescent="0.25">
      <c r="A1171">
        <v>2023</v>
      </c>
      <c r="B1171">
        <v>9</v>
      </c>
      <c r="C1171">
        <v>17</v>
      </c>
      <c r="D1171" t="s">
        <v>1088</v>
      </c>
      <c r="E1171" t="s">
        <v>282</v>
      </c>
      <c r="F1171">
        <v>619920</v>
      </c>
      <c r="H1171" t="s">
        <v>282</v>
      </c>
      <c r="I1171">
        <v>1243881</v>
      </c>
      <c r="M1171">
        <v>1304</v>
      </c>
      <c r="P1171">
        <v>200</v>
      </c>
      <c r="Q1171">
        <v>1</v>
      </c>
      <c r="R1171">
        <v>200</v>
      </c>
      <c r="S1171">
        <v>45180</v>
      </c>
      <c r="U1171" t="s">
        <v>222</v>
      </c>
      <c r="V1171" t="s">
        <v>102</v>
      </c>
      <c r="AI1171">
        <v>62</v>
      </c>
      <c r="AL1171" t="s">
        <v>1160</v>
      </c>
      <c r="AM1171" t="s">
        <v>282</v>
      </c>
      <c r="AN1171">
        <v>45170</v>
      </c>
      <c r="AO1171">
        <v>45199</v>
      </c>
      <c r="AP1171" t="s">
        <v>1101</v>
      </c>
    </row>
    <row r="1172" spans="1:42" x14ac:dyDescent="0.25">
      <c r="A1172">
        <v>2023</v>
      </c>
      <c r="B1172">
        <v>9</v>
      </c>
      <c r="C1172">
        <v>17</v>
      </c>
      <c r="D1172" t="s">
        <v>1088</v>
      </c>
      <c r="E1172" t="s">
        <v>282</v>
      </c>
      <c r="F1172">
        <v>619938</v>
      </c>
      <c r="H1172" t="s">
        <v>282</v>
      </c>
      <c r="I1172">
        <v>1247229</v>
      </c>
      <c r="M1172">
        <v>1304</v>
      </c>
      <c r="P1172">
        <v>450</v>
      </c>
      <c r="Q1172">
        <v>1</v>
      </c>
      <c r="R1172">
        <v>450</v>
      </c>
      <c r="S1172">
        <v>45183</v>
      </c>
      <c r="U1172" t="s">
        <v>222</v>
      </c>
      <c r="V1172" t="s">
        <v>102</v>
      </c>
      <c r="AI1172">
        <v>62</v>
      </c>
      <c r="AL1172" t="s">
        <v>1159</v>
      </c>
      <c r="AM1172" t="s">
        <v>282</v>
      </c>
      <c r="AN1172">
        <v>45170</v>
      </c>
      <c r="AO1172">
        <v>45199</v>
      </c>
      <c r="AP1172" t="s">
        <v>1101</v>
      </c>
    </row>
    <row r="1173" spans="1:42" x14ac:dyDescent="0.25">
      <c r="A1173">
        <v>2023</v>
      </c>
      <c r="B1173">
        <v>9</v>
      </c>
      <c r="C1173">
        <v>17</v>
      </c>
      <c r="D1173" t="s">
        <v>1088</v>
      </c>
      <c r="E1173" t="s">
        <v>282</v>
      </c>
      <c r="F1173">
        <v>619995</v>
      </c>
      <c r="H1173" t="s">
        <v>282</v>
      </c>
      <c r="I1173">
        <v>1244033</v>
      </c>
      <c r="M1173">
        <v>1304</v>
      </c>
      <c r="P1173">
        <v>450</v>
      </c>
      <c r="Q1173">
        <v>1</v>
      </c>
      <c r="R1173">
        <v>450</v>
      </c>
      <c r="S1173">
        <v>45180</v>
      </c>
      <c r="U1173" t="s">
        <v>222</v>
      </c>
      <c r="V1173" t="s">
        <v>102</v>
      </c>
      <c r="AI1173">
        <v>62</v>
      </c>
      <c r="AL1173" t="s">
        <v>1159</v>
      </c>
      <c r="AM1173" t="s">
        <v>282</v>
      </c>
      <c r="AN1173">
        <v>45170</v>
      </c>
      <c r="AO1173">
        <v>45199</v>
      </c>
      <c r="AP1173" t="s">
        <v>1101</v>
      </c>
    </row>
  </sheetData>
  <phoneticPr fontId="23" type="noConversion"/>
  <pageMargins left="0.7" right="0.7" top="0.75" bottom="0.75" header="0.3" footer="0.3"/>
  <tableParts count="1">
    <tablePart r:id="rId1"/>
  </tablePart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7FABD-F18F-4E0C-8660-5B5FDF412DF3}">
  <sheetPr codeName="Sheet20"/>
  <dimension ref="A1:BF508"/>
  <sheetViews>
    <sheetView workbookViewId="0"/>
  </sheetViews>
  <sheetFormatPr defaultRowHeight="15" x14ac:dyDescent="0.25"/>
  <cols>
    <col min="1" max="1" width="14.85546875" bestFit="1" customWidth="1"/>
    <col min="2" max="2" width="13.42578125" bestFit="1" customWidth="1"/>
    <col min="3" max="3" width="17" customWidth="1"/>
    <col min="4" max="4" width="12.42578125" style="158" customWidth="1"/>
    <col min="5" max="5" width="8.85546875" bestFit="1" customWidth="1"/>
    <col min="6" max="6" width="16.7109375" bestFit="1" customWidth="1"/>
    <col min="7" max="7" width="15.42578125" bestFit="1" customWidth="1"/>
    <col min="8" max="8" width="22.28515625" bestFit="1" customWidth="1"/>
    <col min="9" max="9" width="12" bestFit="1" customWidth="1"/>
    <col min="10" max="10" width="30.5703125" bestFit="1" customWidth="1"/>
    <col min="11" max="11" width="14.5703125" bestFit="1" customWidth="1"/>
    <col min="12" max="12" width="20.85546875" bestFit="1" customWidth="1"/>
    <col min="13" max="13" width="18.28515625" bestFit="1" customWidth="1"/>
    <col min="14" max="14" width="18.42578125" bestFit="1" customWidth="1"/>
    <col min="15" max="15" width="17.85546875" bestFit="1" customWidth="1"/>
    <col min="16" max="16" width="22.5703125" bestFit="1" customWidth="1"/>
    <col min="17" max="17" width="14.28515625" bestFit="1" customWidth="1"/>
    <col min="18" max="18" width="17.5703125" bestFit="1" customWidth="1"/>
    <col min="19" max="19" width="13.7109375" bestFit="1" customWidth="1"/>
    <col min="20" max="20" width="18" bestFit="1" customWidth="1"/>
    <col min="21" max="21" width="17.42578125" bestFit="1" customWidth="1"/>
    <col min="22" max="22" width="19" bestFit="1" customWidth="1"/>
    <col min="23" max="23" width="14.42578125" bestFit="1" customWidth="1"/>
    <col min="24" max="24" width="17.140625" bestFit="1" customWidth="1"/>
    <col min="25" max="25" width="18.5703125" bestFit="1" customWidth="1"/>
    <col min="26" max="26" width="18" bestFit="1" customWidth="1"/>
    <col min="27" max="27" width="19.7109375" bestFit="1" customWidth="1"/>
    <col min="28" max="28" width="15" bestFit="1" customWidth="1"/>
    <col min="29" max="29" width="17.7109375" bestFit="1" customWidth="1"/>
    <col min="30" max="30" width="18.42578125" bestFit="1" customWidth="1"/>
    <col min="31" max="31" width="17.85546875" bestFit="1" customWidth="1"/>
    <col min="32" max="32" width="19.5703125" bestFit="1" customWidth="1"/>
    <col min="33" max="33" width="14.85546875" bestFit="1" customWidth="1"/>
    <col min="34" max="34" width="17.5703125" bestFit="1" customWidth="1"/>
    <col min="35" max="35" width="24.42578125" bestFit="1" customWidth="1"/>
    <col min="36" max="36" width="23.85546875" bestFit="1" customWidth="1"/>
    <col min="37" max="37" width="20.85546875" bestFit="1" customWidth="1"/>
    <col min="38" max="38" width="25.42578125" bestFit="1" customWidth="1"/>
    <col min="39" max="39" width="23.42578125" bestFit="1" customWidth="1"/>
    <col min="40" max="40" width="12.5703125" bestFit="1" customWidth="1"/>
    <col min="41" max="41" width="33.5703125" bestFit="1" customWidth="1"/>
    <col min="42" max="43" width="29.28515625" bestFit="1" customWidth="1"/>
    <col min="44" max="44" width="18.42578125" customWidth="1"/>
    <col min="45" max="45" width="45.28515625" bestFit="1" customWidth="1"/>
    <col min="46" max="46" width="23.140625" bestFit="1" customWidth="1"/>
    <col min="47" max="47" width="16.7109375" bestFit="1" customWidth="1"/>
    <col min="48" max="48" width="25.140625" bestFit="1" customWidth="1"/>
    <col min="49" max="49" width="45.28515625" bestFit="1" customWidth="1"/>
    <col min="50" max="50" width="20.28515625" bestFit="1" customWidth="1"/>
    <col min="51" max="51" width="20.5703125" bestFit="1" customWidth="1"/>
    <col min="52" max="52" width="21.140625" bestFit="1" customWidth="1"/>
    <col min="53" max="53" width="22.85546875" bestFit="1" customWidth="1"/>
    <col min="54" max="54" width="12.7109375" bestFit="1" customWidth="1"/>
    <col min="55" max="55" width="18" bestFit="1" customWidth="1"/>
    <col min="56" max="58" width="11.140625" bestFit="1" customWidth="1"/>
  </cols>
  <sheetData>
    <row r="1" spans="1:58" x14ac:dyDescent="0.25">
      <c r="A1" t="s">
        <v>1033</v>
      </c>
      <c r="B1" t="s">
        <v>1034</v>
      </c>
      <c r="C1" t="s">
        <v>1035</v>
      </c>
      <c r="D1" s="158" t="s">
        <v>1036</v>
      </c>
      <c r="E1" t="s">
        <v>1037</v>
      </c>
      <c r="F1" t="s">
        <v>1038</v>
      </c>
      <c r="G1" t="s">
        <v>1039</v>
      </c>
      <c r="H1" t="s">
        <v>1040</v>
      </c>
      <c r="I1" t="s">
        <v>1041</v>
      </c>
      <c r="J1" t="s">
        <v>1042</v>
      </c>
      <c r="K1" t="s">
        <v>1043</v>
      </c>
      <c r="L1" t="s">
        <v>1044</v>
      </c>
      <c r="M1" t="s">
        <v>1045</v>
      </c>
      <c r="N1" t="s">
        <v>1046</v>
      </c>
      <c r="O1" t="s">
        <v>1047</v>
      </c>
      <c r="P1" t="s">
        <v>1048</v>
      </c>
      <c r="Q1" t="s">
        <v>1049</v>
      </c>
      <c r="R1" t="s">
        <v>1050</v>
      </c>
      <c r="S1" t="s">
        <v>1051</v>
      </c>
      <c r="T1" t="s">
        <v>1052</v>
      </c>
      <c r="U1" t="s">
        <v>1053</v>
      </c>
      <c r="V1" t="s">
        <v>1054</v>
      </c>
      <c r="W1" t="s">
        <v>1055</v>
      </c>
      <c r="X1" t="s">
        <v>1056</v>
      </c>
      <c r="Y1" t="s">
        <v>1057</v>
      </c>
      <c r="Z1" t="s">
        <v>1058</v>
      </c>
      <c r="AA1" t="s">
        <v>1059</v>
      </c>
      <c r="AB1" t="s">
        <v>1060</v>
      </c>
      <c r="AC1" t="s">
        <v>1061</v>
      </c>
      <c r="AD1" t="s">
        <v>1062</v>
      </c>
      <c r="AE1" t="s">
        <v>1063</v>
      </c>
      <c r="AF1" t="s">
        <v>1064</v>
      </c>
      <c r="AG1" t="s">
        <v>1065</v>
      </c>
      <c r="AH1" t="s">
        <v>1066</v>
      </c>
      <c r="AI1" t="s">
        <v>1067</v>
      </c>
      <c r="AJ1" t="s">
        <v>1068</v>
      </c>
      <c r="AK1" t="s">
        <v>1069</v>
      </c>
      <c r="AL1" t="s">
        <v>1070</v>
      </c>
      <c r="AM1" t="s">
        <v>1071</v>
      </c>
      <c r="AN1" t="s">
        <v>1072</v>
      </c>
      <c r="AO1" t="s">
        <v>1073</v>
      </c>
      <c r="AP1" t="s">
        <v>1074</v>
      </c>
      <c r="AQ1" t="s">
        <v>1075</v>
      </c>
      <c r="AR1" t="s">
        <v>1076</v>
      </c>
      <c r="AS1" t="s">
        <v>1077</v>
      </c>
      <c r="AT1" t="s">
        <v>1078</v>
      </c>
      <c r="AU1" t="s">
        <v>1079</v>
      </c>
      <c r="AV1" t="s">
        <v>1080</v>
      </c>
      <c r="AW1" t="s">
        <v>1081</v>
      </c>
      <c r="AX1" t="s">
        <v>1082</v>
      </c>
      <c r="AY1" t="s">
        <v>1083</v>
      </c>
      <c r="AZ1" t="s">
        <v>1084</v>
      </c>
      <c r="BA1" t="s">
        <v>1085</v>
      </c>
      <c r="BB1" t="s">
        <v>1086</v>
      </c>
      <c r="BC1" t="s">
        <v>1087</v>
      </c>
    </row>
    <row r="2" spans="1:58" x14ac:dyDescent="0.25">
      <c r="A2" t="s">
        <v>99</v>
      </c>
      <c r="B2">
        <v>17</v>
      </c>
      <c r="C2" t="s">
        <v>1088</v>
      </c>
      <c r="D2" s="158">
        <v>45199</v>
      </c>
      <c r="E2">
        <v>557266</v>
      </c>
      <c r="F2">
        <v>9124261</v>
      </c>
      <c r="G2">
        <v>46485620</v>
      </c>
      <c r="H2" t="b">
        <v>0</v>
      </c>
      <c r="I2">
        <v>254</v>
      </c>
      <c r="J2" t="s">
        <v>1187</v>
      </c>
      <c r="K2">
        <v>216</v>
      </c>
      <c r="L2">
        <v>216</v>
      </c>
      <c r="M2">
        <v>1</v>
      </c>
      <c r="N2">
        <v>0</v>
      </c>
      <c r="O2">
        <v>0</v>
      </c>
      <c r="P2">
        <v>0</v>
      </c>
      <c r="Q2">
        <v>0</v>
      </c>
      <c r="R2">
        <v>0</v>
      </c>
      <c r="S2" s="157"/>
      <c r="T2">
        <v>216</v>
      </c>
      <c r="U2">
        <v>0</v>
      </c>
      <c r="V2">
        <v>0</v>
      </c>
      <c r="W2">
        <v>0</v>
      </c>
      <c r="X2">
        <v>0</v>
      </c>
      <c r="Y2">
        <v>0</v>
      </c>
      <c r="Z2">
        <v>216</v>
      </c>
      <c r="AA2">
        <v>0</v>
      </c>
      <c r="AB2">
        <v>0</v>
      </c>
      <c r="AC2">
        <v>0</v>
      </c>
      <c r="AD2">
        <v>0</v>
      </c>
      <c r="AE2">
        <v>0</v>
      </c>
      <c r="AF2">
        <v>0</v>
      </c>
      <c r="AG2">
        <v>0</v>
      </c>
      <c r="AH2">
        <v>0</v>
      </c>
      <c r="AI2">
        <v>0</v>
      </c>
      <c r="AJ2">
        <v>0</v>
      </c>
      <c r="AK2">
        <v>0</v>
      </c>
      <c r="AL2">
        <v>0</v>
      </c>
      <c r="AM2">
        <v>0</v>
      </c>
      <c r="AN2">
        <v>216</v>
      </c>
      <c r="AP2" t="s">
        <v>1227</v>
      </c>
      <c r="AQ2" t="s">
        <v>1180</v>
      </c>
      <c r="AS2" t="s">
        <v>85</v>
      </c>
      <c r="AT2" t="s">
        <v>1243</v>
      </c>
      <c r="AV2" t="s">
        <v>1227</v>
      </c>
      <c r="AW2" t="s">
        <v>85</v>
      </c>
      <c r="AX2">
        <v>0</v>
      </c>
      <c r="AY2">
        <v>0</v>
      </c>
      <c r="AZ2" t="s">
        <v>282</v>
      </c>
      <c r="BA2" t="s">
        <v>282</v>
      </c>
      <c r="BB2" t="s">
        <v>1204</v>
      </c>
      <c r="BC2">
        <v>7</v>
      </c>
      <c r="BF2" s="157"/>
    </row>
    <row r="3" spans="1:58" x14ac:dyDescent="0.25">
      <c r="A3" t="s">
        <v>99</v>
      </c>
      <c r="B3">
        <v>17</v>
      </c>
      <c r="C3" t="s">
        <v>1088</v>
      </c>
      <c r="D3" s="158">
        <v>45199</v>
      </c>
      <c r="E3">
        <v>623018</v>
      </c>
      <c r="F3">
        <v>10389922</v>
      </c>
      <c r="G3">
        <v>53908296</v>
      </c>
      <c r="H3" t="b">
        <v>0</v>
      </c>
      <c r="I3">
        <v>12</v>
      </c>
      <c r="J3" t="s">
        <v>1231</v>
      </c>
      <c r="K3">
        <v>15</v>
      </c>
      <c r="L3">
        <v>7.5</v>
      </c>
      <c r="M3">
        <v>2</v>
      </c>
      <c r="N3">
        <v>0</v>
      </c>
      <c r="O3">
        <v>0</v>
      </c>
      <c r="P3">
        <v>0</v>
      </c>
      <c r="Q3">
        <v>0</v>
      </c>
      <c r="R3">
        <v>0</v>
      </c>
      <c r="T3">
        <v>15</v>
      </c>
      <c r="U3">
        <v>0</v>
      </c>
      <c r="V3">
        <v>0</v>
      </c>
      <c r="W3">
        <v>0</v>
      </c>
      <c r="X3">
        <v>0</v>
      </c>
      <c r="Y3">
        <v>0</v>
      </c>
      <c r="Z3">
        <v>0</v>
      </c>
      <c r="AA3">
        <v>0</v>
      </c>
      <c r="AB3">
        <v>0</v>
      </c>
      <c r="AC3">
        <v>0</v>
      </c>
      <c r="AD3">
        <v>0</v>
      </c>
      <c r="AE3">
        <v>0</v>
      </c>
      <c r="AF3">
        <v>0</v>
      </c>
      <c r="AG3">
        <v>0</v>
      </c>
      <c r="AH3">
        <v>0</v>
      </c>
      <c r="AI3">
        <v>0</v>
      </c>
      <c r="AJ3">
        <v>0</v>
      </c>
      <c r="AK3">
        <v>0</v>
      </c>
      <c r="AL3">
        <v>0</v>
      </c>
      <c r="AM3">
        <v>0</v>
      </c>
      <c r="AN3">
        <v>15</v>
      </c>
      <c r="AP3" t="s">
        <v>1031</v>
      </c>
      <c r="AS3" t="s">
        <v>1230</v>
      </c>
      <c r="AV3" t="s">
        <v>1031</v>
      </c>
      <c r="AW3" t="s">
        <v>1230</v>
      </c>
      <c r="AX3">
        <v>0</v>
      </c>
      <c r="AY3">
        <v>0</v>
      </c>
      <c r="AZ3" t="s">
        <v>282</v>
      </c>
      <c r="BA3" t="s">
        <v>282</v>
      </c>
      <c r="BB3" t="s">
        <v>1197</v>
      </c>
      <c r="BC3">
        <v>1</v>
      </c>
    </row>
    <row r="4" spans="1:58" x14ac:dyDescent="0.25">
      <c r="A4" t="s">
        <v>99</v>
      </c>
      <c r="B4">
        <v>17</v>
      </c>
      <c r="C4" t="s">
        <v>1088</v>
      </c>
      <c r="D4" s="158">
        <v>45199</v>
      </c>
      <c r="E4">
        <v>58439</v>
      </c>
      <c r="F4">
        <v>10414134</v>
      </c>
      <c r="G4">
        <v>54016714</v>
      </c>
      <c r="H4" t="b">
        <v>0</v>
      </c>
      <c r="I4">
        <v>16</v>
      </c>
      <c r="J4" t="s">
        <v>1187</v>
      </c>
      <c r="K4">
        <v>300</v>
      </c>
      <c r="L4">
        <v>150</v>
      </c>
      <c r="M4">
        <v>2</v>
      </c>
      <c r="N4">
        <v>0</v>
      </c>
      <c r="O4">
        <v>0</v>
      </c>
      <c r="P4">
        <v>0</v>
      </c>
      <c r="Q4">
        <v>0</v>
      </c>
      <c r="R4">
        <v>0</v>
      </c>
      <c r="T4">
        <v>300</v>
      </c>
      <c r="U4">
        <v>0</v>
      </c>
      <c r="V4">
        <v>0</v>
      </c>
      <c r="W4">
        <v>0</v>
      </c>
      <c r="X4">
        <v>0</v>
      </c>
      <c r="Y4">
        <v>0</v>
      </c>
      <c r="Z4">
        <v>0</v>
      </c>
      <c r="AA4">
        <v>0</v>
      </c>
      <c r="AB4">
        <v>0</v>
      </c>
      <c r="AC4">
        <v>0</v>
      </c>
      <c r="AD4">
        <v>0</v>
      </c>
      <c r="AE4">
        <v>0</v>
      </c>
      <c r="AF4">
        <v>0</v>
      </c>
      <c r="AG4">
        <v>0</v>
      </c>
      <c r="AH4">
        <v>0</v>
      </c>
      <c r="AI4">
        <v>0</v>
      </c>
      <c r="AJ4">
        <v>0</v>
      </c>
      <c r="AK4">
        <v>0</v>
      </c>
      <c r="AL4">
        <v>0</v>
      </c>
      <c r="AM4">
        <v>0</v>
      </c>
      <c r="AN4">
        <v>300</v>
      </c>
      <c r="AP4" t="s">
        <v>1089</v>
      </c>
      <c r="AS4" t="s">
        <v>1264</v>
      </c>
      <c r="AV4" t="s">
        <v>1089</v>
      </c>
      <c r="AW4" t="s">
        <v>1264</v>
      </c>
      <c r="AX4">
        <v>0</v>
      </c>
      <c r="AY4">
        <v>0</v>
      </c>
      <c r="AZ4" t="s">
        <v>282</v>
      </c>
      <c r="BA4" t="s">
        <v>282</v>
      </c>
      <c r="BB4" t="s">
        <v>1197</v>
      </c>
      <c r="BC4">
        <v>1</v>
      </c>
    </row>
    <row r="5" spans="1:58" x14ac:dyDescent="0.25">
      <c r="A5" t="s">
        <v>99</v>
      </c>
      <c r="B5">
        <v>17</v>
      </c>
      <c r="C5" t="s">
        <v>1088</v>
      </c>
      <c r="D5" s="158">
        <v>45199</v>
      </c>
      <c r="E5">
        <v>58439</v>
      </c>
      <c r="F5">
        <v>10414134</v>
      </c>
      <c r="G5">
        <v>54016723</v>
      </c>
      <c r="H5" t="b">
        <v>0</v>
      </c>
      <c r="I5">
        <v>16</v>
      </c>
      <c r="J5" t="s">
        <v>1187</v>
      </c>
      <c r="K5">
        <v>300</v>
      </c>
      <c r="L5">
        <v>150</v>
      </c>
      <c r="M5">
        <v>2</v>
      </c>
      <c r="N5">
        <v>0</v>
      </c>
      <c r="O5">
        <v>0</v>
      </c>
      <c r="P5">
        <v>0</v>
      </c>
      <c r="Q5">
        <v>0</v>
      </c>
      <c r="R5">
        <v>0</v>
      </c>
      <c r="T5">
        <v>300</v>
      </c>
      <c r="U5">
        <v>0</v>
      </c>
      <c r="V5">
        <v>0</v>
      </c>
      <c r="W5">
        <v>0</v>
      </c>
      <c r="X5">
        <v>0</v>
      </c>
      <c r="Y5">
        <v>0</v>
      </c>
      <c r="Z5">
        <v>0</v>
      </c>
      <c r="AA5">
        <v>0</v>
      </c>
      <c r="AB5">
        <v>0</v>
      </c>
      <c r="AC5">
        <v>0</v>
      </c>
      <c r="AD5">
        <v>0</v>
      </c>
      <c r="AE5">
        <v>0</v>
      </c>
      <c r="AF5">
        <v>0</v>
      </c>
      <c r="AG5">
        <v>0</v>
      </c>
      <c r="AH5">
        <v>0</v>
      </c>
      <c r="AI5">
        <v>0</v>
      </c>
      <c r="AJ5">
        <v>0</v>
      </c>
      <c r="AK5">
        <v>0</v>
      </c>
      <c r="AL5">
        <v>0</v>
      </c>
      <c r="AM5">
        <v>0</v>
      </c>
      <c r="AN5">
        <v>300</v>
      </c>
      <c r="AP5" t="s">
        <v>1089</v>
      </c>
      <c r="AS5" t="s">
        <v>1264</v>
      </c>
      <c r="AV5" t="s">
        <v>1089</v>
      </c>
      <c r="AW5" t="s">
        <v>1264</v>
      </c>
      <c r="AX5">
        <v>0</v>
      </c>
      <c r="AY5">
        <v>0</v>
      </c>
      <c r="AZ5" t="s">
        <v>282</v>
      </c>
      <c r="BA5" t="s">
        <v>282</v>
      </c>
      <c r="BB5" t="s">
        <v>1197</v>
      </c>
      <c r="BC5">
        <v>1</v>
      </c>
    </row>
    <row r="6" spans="1:58" x14ac:dyDescent="0.25">
      <c r="A6" t="s">
        <v>99</v>
      </c>
      <c r="B6">
        <v>17</v>
      </c>
      <c r="C6" t="s">
        <v>1088</v>
      </c>
      <c r="D6" s="158">
        <v>45199</v>
      </c>
      <c r="E6">
        <v>609933</v>
      </c>
      <c r="F6">
        <v>10138757</v>
      </c>
      <c r="G6">
        <v>52363072</v>
      </c>
      <c r="H6" t="b">
        <v>0</v>
      </c>
      <c r="I6">
        <v>61</v>
      </c>
      <c r="J6" t="s">
        <v>1192</v>
      </c>
      <c r="K6">
        <v>15</v>
      </c>
      <c r="L6">
        <v>15</v>
      </c>
      <c r="M6">
        <v>1</v>
      </c>
      <c r="N6">
        <v>0</v>
      </c>
      <c r="O6">
        <v>0</v>
      </c>
      <c r="P6">
        <v>0</v>
      </c>
      <c r="Q6">
        <v>0</v>
      </c>
      <c r="R6">
        <v>0</v>
      </c>
      <c r="T6">
        <v>15</v>
      </c>
      <c r="U6">
        <v>0</v>
      </c>
      <c r="V6">
        <v>0</v>
      </c>
      <c r="W6">
        <v>0</v>
      </c>
      <c r="X6">
        <v>0</v>
      </c>
      <c r="Y6">
        <v>0</v>
      </c>
      <c r="Z6">
        <v>0</v>
      </c>
      <c r="AA6">
        <v>0</v>
      </c>
      <c r="AB6">
        <v>0</v>
      </c>
      <c r="AC6">
        <v>0</v>
      </c>
      <c r="AD6">
        <v>0</v>
      </c>
      <c r="AE6">
        <v>0</v>
      </c>
      <c r="AF6">
        <v>0</v>
      </c>
      <c r="AG6">
        <v>0</v>
      </c>
      <c r="AH6">
        <v>0</v>
      </c>
      <c r="AI6">
        <v>0</v>
      </c>
      <c r="AJ6">
        <v>0</v>
      </c>
      <c r="AK6">
        <v>0</v>
      </c>
      <c r="AL6">
        <v>0</v>
      </c>
      <c r="AM6">
        <v>0</v>
      </c>
      <c r="AN6">
        <v>15</v>
      </c>
      <c r="AP6" t="s">
        <v>1031</v>
      </c>
      <c r="AS6" t="s">
        <v>1256</v>
      </c>
      <c r="AV6" t="s">
        <v>1031</v>
      </c>
      <c r="AW6" t="s">
        <v>1256</v>
      </c>
      <c r="AX6">
        <v>0</v>
      </c>
      <c r="AY6">
        <v>0</v>
      </c>
      <c r="AZ6" t="s">
        <v>282</v>
      </c>
      <c r="BA6" t="s">
        <v>282</v>
      </c>
      <c r="BB6" t="s">
        <v>1186</v>
      </c>
      <c r="BC6">
        <v>3</v>
      </c>
    </row>
    <row r="7" spans="1:58" x14ac:dyDescent="0.25">
      <c r="A7" t="s">
        <v>99</v>
      </c>
      <c r="B7">
        <v>17</v>
      </c>
      <c r="C7" t="s">
        <v>1088</v>
      </c>
      <c r="D7" s="158">
        <v>45199</v>
      </c>
      <c r="E7">
        <v>562091</v>
      </c>
      <c r="F7">
        <v>9221655</v>
      </c>
      <c r="G7">
        <v>46813903</v>
      </c>
      <c r="H7" t="b">
        <v>0</v>
      </c>
      <c r="I7">
        <v>243</v>
      </c>
      <c r="J7" t="s">
        <v>1231</v>
      </c>
      <c r="K7">
        <v>10</v>
      </c>
      <c r="L7">
        <v>5</v>
      </c>
      <c r="M7">
        <v>2</v>
      </c>
      <c r="N7">
        <v>0</v>
      </c>
      <c r="O7">
        <v>0</v>
      </c>
      <c r="P7">
        <v>0</v>
      </c>
      <c r="Q7">
        <v>0</v>
      </c>
      <c r="R7">
        <v>0</v>
      </c>
      <c r="T7">
        <v>10</v>
      </c>
      <c r="U7">
        <v>0</v>
      </c>
      <c r="V7">
        <v>0</v>
      </c>
      <c r="W7">
        <v>0</v>
      </c>
      <c r="X7">
        <v>0</v>
      </c>
      <c r="Y7">
        <v>0</v>
      </c>
      <c r="Z7">
        <v>0</v>
      </c>
      <c r="AA7">
        <v>0</v>
      </c>
      <c r="AB7">
        <v>0</v>
      </c>
      <c r="AC7">
        <v>0</v>
      </c>
      <c r="AD7">
        <v>0</v>
      </c>
      <c r="AE7">
        <v>0</v>
      </c>
      <c r="AF7">
        <v>0</v>
      </c>
      <c r="AG7">
        <v>0</v>
      </c>
      <c r="AH7">
        <v>0</v>
      </c>
      <c r="AI7">
        <v>0</v>
      </c>
      <c r="AJ7">
        <v>0</v>
      </c>
      <c r="AK7">
        <v>0</v>
      </c>
      <c r="AL7">
        <v>0</v>
      </c>
      <c r="AM7">
        <v>0</v>
      </c>
      <c r="AN7">
        <v>10</v>
      </c>
      <c r="AP7" t="s">
        <v>1031</v>
      </c>
      <c r="AS7" t="s">
        <v>1238</v>
      </c>
      <c r="AV7" t="s">
        <v>1031</v>
      </c>
      <c r="AW7" t="s">
        <v>1238</v>
      </c>
      <c r="AX7">
        <v>0</v>
      </c>
      <c r="AY7">
        <v>0</v>
      </c>
      <c r="AZ7" t="s">
        <v>282</v>
      </c>
      <c r="BA7" t="s">
        <v>282</v>
      </c>
      <c r="BB7" t="s">
        <v>1204</v>
      </c>
      <c r="BC7">
        <v>7</v>
      </c>
    </row>
    <row r="8" spans="1:58" x14ac:dyDescent="0.25">
      <c r="A8" t="s">
        <v>99</v>
      </c>
      <c r="B8">
        <v>17</v>
      </c>
      <c r="C8" t="s">
        <v>1088</v>
      </c>
      <c r="D8" s="158">
        <v>45199</v>
      </c>
      <c r="E8">
        <v>245076</v>
      </c>
      <c r="F8">
        <v>3503848</v>
      </c>
      <c r="G8">
        <v>15663907</v>
      </c>
      <c r="H8" t="b">
        <v>0</v>
      </c>
      <c r="I8">
        <v>2007</v>
      </c>
      <c r="J8" t="s">
        <v>1192</v>
      </c>
      <c r="K8">
        <v>15</v>
      </c>
      <c r="L8">
        <v>15</v>
      </c>
      <c r="M8">
        <v>1</v>
      </c>
      <c r="N8">
        <v>0</v>
      </c>
      <c r="O8">
        <v>0</v>
      </c>
      <c r="P8">
        <v>0</v>
      </c>
      <c r="Q8">
        <v>0</v>
      </c>
      <c r="R8">
        <v>0</v>
      </c>
      <c r="T8">
        <v>15</v>
      </c>
      <c r="U8">
        <v>0</v>
      </c>
      <c r="V8">
        <v>1</v>
      </c>
      <c r="W8">
        <v>234</v>
      </c>
      <c r="X8">
        <v>0</v>
      </c>
      <c r="Y8">
        <v>0</v>
      </c>
      <c r="Z8">
        <v>0</v>
      </c>
      <c r="AA8">
        <v>0</v>
      </c>
      <c r="AB8">
        <v>0</v>
      </c>
      <c r="AC8">
        <v>0</v>
      </c>
      <c r="AD8">
        <v>0</v>
      </c>
      <c r="AE8">
        <v>0</v>
      </c>
      <c r="AF8">
        <v>0</v>
      </c>
      <c r="AG8">
        <v>0</v>
      </c>
      <c r="AH8">
        <v>0</v>
      </c>
      <c r="AI8">
        <v>0</v>
      </c>
      <c r="AJ8">
        <v>0</v>
      </c>
      <c r="AK8">
        <v>0</v>
      </c>
      <c r="AL8">
        <v>0</v>
      </c>
      <c r="AM8">
        <v>0</v>
      </c>
      <c r="AN8">
        <v>-219</v>
      </c>
      <c r="AP8" t="s">
        <v>1031</v>
      </c>
      <c r="AS8" t="s">
        <v>1203</v>
      </c>
      <c r="AV8" t="s">
        <v>1031</v>
      </c>
      <c r="AW8" t="s">
        <v>1203</v>
      </c>
      <c r="AX8">
        <v>0</v>
      </c>
      <c r="AY8">
        <v>0</v>
      </c>
      <c r="AZ8" t="s">
        <v>282</v>
      </c>
      <c r="BA8" t="s">
        <v>282</v>
      </c>
      <c r="BB8" t="s">
        <v>1200</v>
      </c>
      <c r="BC8">
        <v>8</v>
      </c>
    </row>
    <row r="9" spans="1:58" x14ac:dyDescent="0.25">
      <c r="A9" t="s">
        <v>99</v>
      </c>
      <c r="B9">
        <v>17</v>
      </c>
      <c r="C9" t="s">
        <v>1088</v>
      </c>
      <c r="D9" s="158">
        <v>45199</v>
      </c>
      <c r="E9">
        <v>181538</v>
      </c>
      <c r="F9">
        <v>3519977</v>
      </c>
      <c r="G9">
        <v>15745891</v>
      </c>
      <c r="H9" t="b">
        <v>0</v>
      </c>
      <c r="I9">
        <v>2005</v>
      </c>
      <c r="J9" t="s">
        <v>1202</v>
      </c>
      <c r="K9">
        <v>109.5</v>
      </c>
      <c r="L9">
        <v>109.5</v>
      </c>
      <c r="M9">
        <v>1</v>
      </c>
      <c r="N9">
        <v>0</v>
      </c>
      <c r="O9">
        <v>0</v>
      </c>
      <c r="P9">
        <v>0</v>
      </c>
      <c r="Q9">
        <v>0</v>
      </c>
      <c r="R9">
        <v>0</v>
      </c>
      <c r="T9">
        <v>0</v>
      </c>
      <c r="U9">
        <v>0</v>
      </c>
      <c r="V9">
        <v>0</v>
      </c>
      <c r="W9">
        <v>0</v>
      </c>
      <c r="X9">
        <v>0</v>
      </c>
      <c r="Y9">
        <v>0</v>
      </c>
      <c r="Z9">
        <v>0</v>
      </c>
      <c r="AA9">
        <v>0</v>
      </c>
      <c r="AB9">
        <v>0</v>
      </c>
      <c r="AC9">
        <v>0</v>
      </c>
      <c r="AD9">
        <v>0</v>
      </c>
      <c r="AE9">
        <v>0</v>
      </c>
      <c r="AF9">
        <v>0</v>
      </c>
      <c r="AG9">
        <v>0</v>
      </c>
      <c r="AH9">
        <v>0</v>
      </c>
      <c r="AI9">
        <v>109.5</v>
      </c>
      <c r="AJ9">
        <v>0</v>
      </c>
      <c r="AK9">
        <v>144.5</v>
      </c>
      <c r="AL9">
        <v>2</v>
      </c>
      <c r="AM9">
        <v>0</v>
      </c>
      <c r="AN9">
        <v>-35</v>
      </c>
      <c r="AX9">
        <v>0</v>
      </c>
      <c r="AY9">
        <v>0</v>
      </c>
      <c r="AZ9" t="s">
        <v>282</v>
      </c>
      <c r="BA9" t="s">
        <v>282</v>
      </c>
      <c r="BB9" t="s">
        <v>1200</v>
      </c>
      <c r="BC9">
        <v>8</v>
      </c>
    </row>
    <row r="10" spans="1:58" x14ac:dyDescent="0.25">
      <c r="A10" t="s">
        <v>99</v>
      </c>
      <c r="B10">
        <v>17</v>
      </c>
      <c r="C10" t="s">
        <v>1088</v>
      </c>
      <c r="D10" s="158">
        <v>45199</v>
      </c>
      <c r="E10">
        <v>562091</v>
      </c>
      <c r="F10">
        <v>9221655</v>
      </c>
      <c r="G10">
        <v>46813902</v>
      </c>
      <c r="H10" t="b">
        <v>0</v>
      </c>
      <c r="I10">
        <v>243</v>
      </c>
      <c r="J10" t="s">
        <v>1199</v>
      </c>
      <c r="K10">
        <v>20</v>
      </c>
      <c r="L10">
        <v>10</v>
      </c>
      <c r="M10">
        <v>2</v>
      </c>
      <c r="N10">
        <v>0</v>
      </c>
      <c r="O10">
        <v>0</v>
      </c>
      <c r="P10">
        <v>0</v>
      </c>
      <c r="Q10">
        <v>0</v>
      </c>
      <c r="R10">
        <v>0</v>
      </c>
      <c r="T10">
        <v>20</v>
      </c>
      <c r="U10">
        <v>0</v>
      </c>
      <c r="V10">
        <v>0</v>
      </c>
      <c r="W10">
        <v>0</v>
      </c>
      <c r="X10">
        <v>0</v>
      </c>
      <c r="Y10">
        <v>0</v>
      </c>
      <c r="Z10">
        <v>0</v>
      </c>
      <c r="AA10">
        <v>0</v>
      </c>
      <c r="AB10">
        <v>0</v>
      </c>
      <c r="AC10">
        <v>0</v>
      </c>
      <c r="AD10">
        <v>0</v>
      </c>
      <c r="AE10">
        <v>0</v>
      </c>
      <c r="AF10">
        <v>0</v>
      </c>
      <c r="AG10">
        <v>0</v>
      </c>
      <c r="AH10">
        <v>0</v>
      </c>
      <c r="AI10">
        <v>0</v>
      </c>
      <c r="AJ10">
        <v>0</v>
      </c>
      <c r="AK10">
        <v>0</v>
      </c>
      <c r="AL10">
        <v>0</v>
      </c>
      <c r="AM10">
        <v>0</v>
      </c>
      <c r="AN10">
        <v>20</v>
      </c>
      <c r="AP10" t="s">
        <v>1031</v>
      </c>
      <c r="AS10" t="s">
        <v>1238</v>
      </c>
      <c r="AV10" t="s">
        <v>1031</v>
      </c>
      <c r="AW10" t="s">
        <v>1238</v>
      </c>
      <c r="AX10">
        <v>0</v>
      </c>
      <c r="AY10">
        <v>0</v>
      </c>
      <c r="AZ10" t="s">
        <v>282</v>
      </c>
      <c r="BA10" t="s">
        <v>282</v>
      </c>
      <c r="BB10" t="s">
        <v>1204</v>
      </c>
      <c r="BC10">
        <v>7</v>
      </c>
    </row>
    <row r="11" spans="1:58" x14ac:dyDescent="0.25">
      <c r="A11" t="s">
        <v>99</v>
      </c>
      <c r="B11">
        <v>17</v>
      </c>
      <c r="C11" t="s">
        <v>1088</v>
      </c>
      <c r="D11" s="158">
        <v>45199</v>
      </c>
      <c r="E11">
        <v>624918</v>
      </c>
      <c r="F11">
        <v>10427374</v>
      </c>
      <c r="G11">
        <v>54108320</v>
      </c>
      <c r="H11" t="b">
        <v>0</v>
      </c>
      <c r="I11">
        <v>5</v>
      </c>
      <c r="J11" t="s">
        <v>1198</v>
      </c>
      <c r="K11">
        <v>85</v>
      </c>
      <c r="L11">
        <v>85</v>
      </c>
      <c r="M11">
        <v>1</v>
      </c>
      <c r="N11">
        <v>0</v>
      </c>
      <c r="O11">
        <v>0</v>
      </c>
      <c r="P11">
        <v>0</v>
      </c>
      <c r="Q11">
        <v>0</v>
      </c>
      <c r="R11">
        <v>0</v>
      </c>
      <c r="T11">
        <v>85</v>
      </c>
      <c r="U11">
        <v>0</v>
      </c>
      <c r="V11">
        <v>0</v>
      </c>
      <c r="W11">
        <v>0</v>
      </c>
      <c r="X11">
        <v>0</v>
      </c>
      <c r="Y11">
        <v>0</v>
      </c>
      <c r="Z11">
        <v>0</v>
      </c>
      <c r="AA11">
        <v>0</v>
      </c>
      <c r="AB11">
        <v>0</v>
      </c>
      <c r="AC11">
        <v>0</v>
      </c>
      <c r="AD11">
        <v>0</v>
      </c>
      <c r="AE11">
        <v>0</v>
      </c>
      <c r="AF11">
        <v>0</v>
      </c>
      <c r="AG11">
        <v>0</v>
      </c>
      <c r="AH11">
        <v>0</v>
      </c>
      <c r="AI11">
        <v>0</v>
      </c>
      <c r="AJ11">
        <v>0</v>
      </c>
      <c r="AK11">
        <v>0</v>
      </c>
      <c r="AL11">
        <v>0</v>
      </c>
      <c r="AM11">
        <v>0</v>
      </c>
      <c r="AN11">
        <v>85</v>
      </c>
      <c r="AP11" t="s">
        <v>1031</v>
      </c>
      <c r="AS11" t="s">
        <v>1250</v>
      </c>
      <c r="AV11" t="s">
        <v>1031</v>
      </c>
      <c r="AW11" t="s">
        <v>1250</v>
      </c>
      <c r="AX11">
        <v>0</v>
      </c>
      <c r="AY11">
        <v>0</v>
      </c>
      <c r="AZ11" t="s">
        <v>282</v>
      </c>
      <c r="BA11" t="s">
        <v>282</v>
      </c>
      <c r="BB11" t="s">
        <v>1197</v>
      </c>
      <c r="BC11">
        <v>1</v>
      </c>
    </row>
    <row r="12" spans="1:58" x14ac:dyDescent="0.25">
      <c r="A12" t="s">
        <v>99</v>
      </c>
      <c r="B12">
        <v>17</v>
      </c>
      <c r="C12" t="s">
        <v>1088</v>
      </c>
      <c r="D12" s="158">
        <v>45199</v>
      </c>
      <c r="E12">
        <v>624679</v>
      </c>
      <c r="F12">
        <v>10423341</v>
      </c>
      <c r="G12">
        <v>54086569</v>
      </c>
      <c r="H12" t="b">
        <v>0</v>
      </c>
      <c r="I12">
        <v>8</v>
      </c>
      <c r="J12" t="s">
        <v>1249</v>
      </c>
      <c r="K12">
        <v>15</v>
      </c>
      <c r="L12">
        <v>7.5</v>
      </c>
      <c r="M12">
        <v>2</v>
      </c>
      <c r="N12">
        <v>0</v>
      </c>
      <c r="O12">
        <v>0</v>
      </c>
      <c r="P12">
        <v>0</v>
      </c>
      <c r="Q12">
        <v>0</v>
      </c>
      <c r="R12">
        <v>0</v>
      </c>
      <c r="T12">
        <v>15</v>
      </c>
      <c r="U12">
        <v>0</v>
      </c>
      <c r="V12">
        <v>0</v>
      </c>
      <c r="W12">
        <v>0</v>
      </c>
      <c r="X12">
        <v>0</v>
      </c>
      <c r="Y12">
        <v>0</v>
      </c>
      <c r="Z12">
        <v>0</v>
      </c>
      <c r="AA12">
        <v>0</v>
      </c>
      <c r="AB12">
        <v>0</v>
      </c>
      <c r="AC12">
        <v>0</v>
      </c>
      <c r="AD12">
        <v>0</v>
      </c>
      <c r="AE12">
        <v>0</v>
      </c>
      <c r="AF12">
        <v>0</v>
      </c>
      <c r="AG12">
        <v>0</v>
      </c>
      <c r="AH12">
        <v>0</v>
      </c>
      <c r="AI12">
        <v>0</v>
      </c>
      <c r="AJ12">
        <v>0</v>
      </c>
      <c r="AK12">
        <v>0</v>
      </c>
      <c r="AL12">
        <v>0</v>
      </c>
      <c r="AM12">
        <v>0</v>
      </c>
      <c r="AN12">
        <v>15</v>
      </c>
      <c r="AP12" t="s">
        <v>1031</v>
      </c>
      <c r="AS12" t="s">
        <v>1250</v>
      </c>
      <c r="AV12" t="s">
        <v>1031</v>
      </c>
      <c r="AW12" t="s">
        <v>1250</v>
      </c>
      <c r="AX12">
        <v>0</v>
      </c>
      <c r="AY12">
        <v>0</v>
      </c>
      <c r="AZ12" t="s">
        <v>282</v>
      </c>
      <c r="BA12" t="s">
        <v>282</v>
      </c>
      <c r="BB12" t="s">
        <v>1197</v>
      </c>
      <c r="BC12">
        <v>1</v>
      </c>
    </row>
    <row r="13" spans="1:58" x14ac:dyDescent="0.25">
      <c r="A13" t="s">
        <v>99</v>
      </c>
      <c r="B13">
        <v>17</v>
      </c>
      <c r="C13" t="s">
        <v>1088</v>
      </c>
      <c r="D13" s="158">
        <v>45199</v>
      </c>
      <c r="E13">
        <v>624679</v>
      </c>
      <c r="F13">
        <v>10423341</v>
      </c>
      <c r="G13">
        <v>54086563</v>
      </c>
      <c r="H13" t="b">
        <v>0</v>
      </c>
      <c r="I13">
        <v>8</v>
      </c>
      <c r="J13" t="s">
        <v>1198</v>
      </c>
      <c r="K13">
        <v>85</v>
      </c>
      <c r="L13">
        <v>85</v>
      </c>
      <c r="M13">
        <v>1</v>
      </c>
      <c r="N13">
        <v>0</v>
      </c>
      <c r="O13">
        <v>0</v>
      </c>
      <c r="P13">
        <v>0</v>
      </c>
      <c r="Q13">
        <v>0</v>
      </c>
      <c r="R13">
        <v>0</v>
      </c>
      <c r="T13">
        <v>85</v>
      </c>
      <c r="U13">
        <v>0</v>
      </c>
      <c r="V13">
        <v>0</v>
      </c>
      <c r="W13">
        <v>0</v>
      </c>
      <c r="X13">
        <v>0</v>
      </c>
      <c r="Y13">
        <v>0</v>
      </c>
      <c r="Z13">
        <v>0</v>
      </c>
      <c r="AA13">
        <v>0</v>
      </c>
      <c r="AB13">
        <v>0</v>
      </c>
      <c r="AC13">
        <v>0</v>
      </c>
      <c r="AD13">
        <v>0</v>
      </c>
      <c r="AE13">
        <v>0</v>
      </c>
      <c r="AF13">
        <v>0</v>
      </c>
      <c r="AG13">
        <v>0</v>
      </c>
      <c r="AH13">
        <v>0</v>
      </c>
      <c r="AI13">
        <v>0</v>
      </c>
      <c r="AJ13">
        <v>0</v>
      </c>
      <c r="AK13">
        <v>0</v>
      </c>
      <c r="AL13">
        <v>0</v>
      </c>
      <c r="AM13">
        <v>0</v>
      </c>
      <c r="AN13">
        <v>85</v>
      </c>
      <c r="AP13" t="s">
        <v>1031</v>
      </c>
      <c r="AS13" t="s">
        <v>1250</v>
      </c>
      <c r="AV13" t="s">
        <v>1031</v>
      </c>
      <c r="AW13" t="s">
        <v>1250</v>
      </c>
      <c r="AX13">
        <v>0</v>
      </c>
      <c r="AY13">
        <v>0</v>
      </c>
      <c r="AZ13" t="s">
        <v>282</v>
      </c>
      <c r="BA13" t="s">
        <v>282</v>
      </c>
      <c r="BB13" t="s">
        <v>1197</v>
      </c>
      <c r="BC13">
        <v>1</v>
      </c>
    </row>
    <row r="14" spans="1:58" x14ac:dyDescent="0.25">
      <c r="A14" t="s">
        <v>99</v>
      </c>
      <c r="B14">
        <v>17</v>
      </c>
      <c r="C14" t="s">
        <v>1088</v>
      </c>
      <c r="D14" s="158">
        <v>45199</v>
      </c>
      <c r="E14">
        <v>625458</v>
      </c>
      <c r="F14">
        <v>10437250</v>
      </c>
      <c r="G14">
        <v>54178755</v>
      </c>
      <c r="H14" t="b">
        <v>0</v>
      </c>
      <c r="I14">
        <v>3</v>
      </c>
      <c r="J14" t="s">
        <v>1240</v>
      </c>
      <c r="K14">
        <v>25</v>
      </c>
      <c r="L14">
        <v>12.5</v>
      </c>
      <c r="M14">
        <v>2</v>
      </c>
      <c r="N14">
        <v>0</v>
      </c>
      <c r="O14">
        <v>0</v>
      </c>
      <c r="P14">
        <v>0</v>
      </c>
      <c r="Q14">
        <v>0</v>
      </c>
      <c r="R14">
        <v>0</v>
      </c>
      <c r="T14">
        <v>25</v>
      </c>
      <c r="U14">
        <v>0</v>
      </c>
      <c r="V14">
        <v>0</v>
      </c>
      <c r="W14">
        <v>0</v>
      </c>
      <c r="X14">
        <v>0</v>
      </c>
      <c r="Y14">
        <v>0</v>
      </c>
      <c r="Z14">
        <v>0</v>
      </c>
      <c r="AA14">
        <v>0</v>
      </c>
      <c r="AB14">
        <v>0</v>
      </c>
      <c r="AC14">
        <v>0</v>
      </c>
      <c r="AD14">
        <v>0</v>
      </c>
      <c r="AE14">
        <v>0</v>
      </c>
      <c r="AF14">
        <v>0</v>
      </c>
      <c r="AG14">
        <v>0</v>
      </c>
      <c r="AH14">
        <v>0</v>
      </c>
      <c r="AI14">
        <v>0</v>
      </c>
      <c r="AJ14">
        <v>0</v>
      </c>
      <c r="AK14">
        <v>0</v>
      </c>
      <c r="AL14">
        <v>0</v>
      </c>
      <c r="AM14">
        <v>0</v>
      </c>
      <c r="AN14">
        <v>25</v>
      </c>
      <c r="AP14" t="s">
        <v>1031</v>
      </c>
      <c r="AS14" t="s">
        <v>1250</v>
      </c>
      <c r="AV14" t="s">
        <v>1031</v>
      </c>
      <c r="AW14" t="s">
        <v>1250</v>
      </c>
      <c r="AX14">
        <v>0</v>
      </c>
      <c r="AY14">
        <v>0</v>
      </c>
      <c r="AZ14" t="s">
        <v>282</v>
      </c>
      <c r="BA14" t="s">
        <v>282</v>
      </c>
      <c r="BB14" t="s">
        <v>1197</v>
      </c>
      <c r="BC14">
        <v>1</v>
      </c>
    </row>
    <row r="15" spans="1:58" x14ac:dyDescent="0.25">
      <c r="A15" t="s">
        <v>99</v>
      </c>
      <c r="B15">
        <v>17</v>
      </c>
      <c r="C15" t="s">
        <v>1088</v>
      </c>
      <c r="D15" s="158">
        <v>45199</v>
      </c>
      <c r="E15">
        <v>567032</v>
      </c>
      <c r="F15">
        <v>9319024</v>
      </c>
      <c r="G15">
        <v>47264235</v>
      </c>
      <c r="H15" t="b">
        <v>0</v>
      </c>
      <c r="I15">
        <v>225</v>
      </c>
      <c r="J15" t="s">
        <v>1189</v>
      </c>
      <c r="K15">
        <v>15</v>
      </c>
      <c r="L15">
        <v>7.5</v>
      </c>
      <c r="M15">
        <v>2</v>
      </c>
      <c r="N15">
        <v>0</v>
      </c>
      <c r="O15">
        <v>0</v>
      </c>
      <c r="P15">
        <v>0</v>
      </c>
      <c r="Q15">
        <v>0</v>
      </c>
      <c r="R15">
        <v>0</v>
      </c>
      <c r="T15">
        <v>15</v>
      </c>
      <c r="U15">
        <v>0</v>
      </c>
      <c r="V15">
        <v>2</v>
      </c>
      <c r="W15">
        <v>30</v>
      </c>
      <c r="X15">
        <v>0</v>
      </c>
      <c r="Y15">
        <v>0</v>
      </c>
      <c r="Z15">
        <v>0</v>
      </c>
      <c r="AA15">
        <v>0</v>
      </c>
      <c r="AB15">
        <v>0</v>
      </c>
      <c r="AC15">
        <v>0</v>
      </c>
      <c r="AD15">
        <v>0</v>
      </c>
      <c r="AE15">
        <v>0</v>
      </c>
      <c r="AF15">
        <v>0</v>
      </c>
      <c r="AG15">
        <v>0</v>
      </c>
      <c r="AH15">
        <v>0</v>
      </c>
      <c r="AI15">
        <v>0</v>
      </c>
      <c r="AJ15">
        <v>0</v>
      </c>
      <c r="AK15">
        <v>0</v>
      </c>
      <c r="AL15">
        <v>0</v>
      </c>
      <c r="AM15">
        <v>0</v>
      </c>
      <c r="AN15">
        <v>-15</v>
      </c>
      <c r="AP15" t="s">
        <v>1031</v>
      </c>
      <c r="AS15" t="s">
        <v>1190</v>
      </c>
      <c r="AV15" t="s">
        <v>1031</v>
      </c>
      <c r="AW15" t="s">
        <v>1190</v>
      </c>
      <c r="AX15">
        <v>0</v>
      </c>
      <c r="AY15">
        <v>0</v>
      </c>
      <c r="AZ15" t="s">
        <v>282</v>
      </c>
      <c r="BA15" t="s">
        <v>282</v>
      </c>
      <c r="BB15" t="s">
        <v>1204</v>
      </c>
      <c r="BC15">
        <v>7</v>
      </c>
    </row>
    <row r="16" spans="1:58" x14ac:dyDescent="0.25">
      <c r="A16" t="s">
        <v>99</v>
      </c>
      <c r="B16">
        <v>17</v>
      </c>
      <c r="C16" t="s">
        <v>1088</v>
      </c>
      <c r="D16" s="158">
        <v>45199</v>
      </c>
      <c r="E16">
        <v>567032</v>
      </c>
      <c r="F16">
        <v>9319024</v>
      </c>
      <c r="G16">
        <v>47264239</v>
      </c>
      <c r="H16" t="b">
        <v>0</v>
      </c>
      <c r="I16">
        <v>225</v>
      </c>
      <c r="J16" t="s">
        <v>1192</v>
      </c>
      <c r="K16">
        <v>15</v>
      </c>
      <c r="L16">
        <v>15</v>
      </c>
      <c r="M16">
        <v>1</v>
      </c>
      <c r="N16">
        <v>0</v>
      </c>
      <c r="O16">
        <v>0</v>
      </c>
      <c r="P16">
        <v>0</v>
      </c>
      <c r="Q16">
        <v>0</v>
      </c>
      <c r="R16">
        <v>0</v>
      </c>
      <c r="T16">
        <v>15</v>
      </c>
      <c r="U16">
        <v>0</v>
      </c>
      <c r="V16">
        <v>2</v>
      </c>
      <c r="W16">
        <v>30</v>
      </c>
      <c r="X16">
        <v>0</v>
      </c>
      <c r="Y16">
        <v>0</v>
      </c>
      <c r="Z16">
        <v>0</v>
      </c>
      <c r="AA16">
        <v>0</v>
      </c>
      <c r="AB16">
        <v>0</v>
      </c>
      <c r="AC16">
        <v>0</v>
      </c>
      <c r="AD16">
        <v>0</v>
      </c>
      <c r="AE16">
        <v>0</v>
      </c>
      <c r="AF16">
        <v>0</v>
      </c>
      <c r="AG16">
        <v>0</v>
      </c>
      <c r="AH16">
        <v>0</v>
      </c>
      <c r="AI16">
        <v>0</v>
      </c>
      <c r="AJ16">
        <v>0</v>
      </c>
      <c r="AK16">
        <v>0</v>
      </c>
      <c r="AL16">
        <v>0</v>
      </c>
      <c r="AM16">
        <v>0</v>
      </c>
      <c r="AN16">
        <v>-15</v>
      </c>
      <c r="AP16" t="s">
        <v>1031</v>
      </c>
      <c r="AS16" t="s">
        <v>1190</v>
      </c>
      <c r="AV16" t="s">
        <v>1031</v>
      </c>
      <c r="AW16" t="s">
        <v>1190</v>
      </c>
      <c r="AX16">
        <v>0</v>
      </c>
      <c r="AY16">
        <v>0</v>
      </c>
      <c r="AZ16" t="s">
        <v>282</v>
      </c>
      <c r="BA16" t="s">
        <v>282</v>
      </c>
      <c r="BB16" t="s">
        <v>1204</v>
      </c>
      <c r="BC16">
        <v>7</v>
      </c>
    </row>
    <row r="17" spans="1:55" x14ac:dyDescent="0.25">
      <c r="A17" t="s">
        <v>99</v>
      </c>
      <c r="B17">
        <v>17</v>
      </c>
      <c r="C17" t="s">
        <v>1088</v>
      </c>
      <c r="D17" s="158">
        <v>45199</v>
      </c>
      <c r="E17">
        <v>620237</v>
      </c>
      <c r="F17">
        <v>10336633</v>
      </c>
      <c r="G17">
        <v>53563157</v>
      </c>
      <c r="H17" t="b">
        <v>0</v>
      </c>
      <c r="I17">
        <v>23</v>
      </c>
      <c r="J17" t="s">
        <v>1249</v>
      </c>
      <c r="K17">
        <v>15</v>
      </c>
      <c r="L17">
        <v>7.5</v>
      </c>
      <c r="M17">
        <v>2</v>
      </c>
      <c r="N17">
        <v>0</v>
      </c>
      <c r="O17">
        <v>0</v>
      </c>
      <c r="P17">
        <v>0</v>
      </c>
      <c r="Q17">
        <v>0</v>
      </c>
      <c r="R17">
        <v>0</v>
      </c>
      <c r="T17">
        <v>15</v>
      </c>
      <c r="U17">
        <v>0</v>
      </c>
      <c r="V17">
        <v>0</v>
      </c>
      <c r="W17">
        <v>0</v>
      </c>
      <c r="X17">
        <v>0</v>
      </c>
      <c r="Y17">
        <v>0</v>
      </c>
      <c r="Z17">
        <v>0</v>
      </c>
      <c r="AA17">
        <v>0</v>
      </c>
      <c r="AB17">
        <v>0</v>
      </c>
      <c r="AC17">
        <v>0</v>
      </c>
      <c r="AD17">
        <v>0</v>
      </c>
      <c r="AE17">
        <v>0</v>
      </c>
      <c r="AF17">
        <v>0</v>
      </c>
      <c r="AG17">
        <v>0</v>
      </c>
      <c r="AH17">
        <v>0</v>
      </c>
      <c r="AI17">
        <v>0</v>
      </c>
      <c r="AJ17">
        <v>0</v>
      </c>
      <c r="AK17">
        <v>0</v>
      </c>
      <c r="AL17">
        <v>0</v>
      </c>
      <c r="AM17">
        <v>0</v>
      </c>
      <c r="AN17">
        <v>15</v>
      </c>
      <c r="AP17" t="s">
        <v>1031</v>
      </c>
      <c r="AS17" t="s">
        <v>1250</v>
      </c>
      <c r="AV17" t="s">
        <v>1031</v>
      </c>
      <c r="AW17" t="s">
        <v>1250</v>
      </c>
      <c r="AX17">
        <v>0</v>
      </c>
      <c r="AY17">
        <v>0</v>
      </c>
      <c r="AZ17" t="s">
        <v>282</v>
      </c>
      <c r="BA17" t="s">
        <v>282</v>
      </c>
      <c r="BB17" t="s">
        <v>1197</v>
      </c>
      <c r="BC17">
        <v>1</v>
      </c>
    </row>
    <row r="18" spans="1:55" x14ac:dyDescent="0.25">
      <c r="A18" t="s">
        <v>99</v>
      </c>
      <c r="B18">
        <v>17</v>
      </c>
      <c r="C18" t="s">
        <v>1088</v>
      </c>
      <c r="D18" s="158">
        <v>45199</v>
      </c>
      <c r="E18">
        <v>620237</v>
      </c>
      <c r="F18">
        <v>10336633</v>
      </c>
      <c r="G18">
        <v>53563323</v>
      </c>
      <c r="H18" t="b">
        <v>0</v>
      </c>
      <c r="I18">
        <v>23</v>
      </c>
      <c r="J18" t="s">
        <v>1234</v>
      </c>
      <c r="K18">
        <v>8</v>
      </c>
      <c r="L18">
        <v>4</v>
      </c>
      <c r="M18">
        <v>2</v>
      </c>
      <c r="N18">
        <v>0</v>
      </c>
      <c r="O18">
        <v>0</v>
      </c>
      <c r="P18">
        <v>0</v>
      </c>
      <c r="Q18">
        <v>0</v>
      </c>
      <c r="R18">
        <v>0</v>
      </c>
      <c r="T18">
        <v>8</v>
      </c>
      <c r="U18">
        <v>0</v>
      </c>
      <c r="V18">
        <v>0</v>
      </c>
      <c r="W18">
        <v>0</v>
      </c>
      <c r="X18">
        <v>0</v>
      </c>
      <c r="Y18">
        <v>0</v>
      </c>
      <c r="Z18">
        <v>0</v>
      </c>
      <c r="AA18">
        <v>0</v>
      </c>
      <c r="AB18">
        <v>0</v>
      </c>
      <c r="AC18">
        <v>0</v>
      </c>
      <c r="AD18">
        <v>0</v>
      </c>
      <c r="AE18">
        <v>0</v>
      </c>
      <c r="AF18">
        <v>0</v>
      </c>
      <c r="AG18">
        <v>0</v>
      </c>
      <c r="AH18">
        <v>0</v>
      </c>
      <c r="AI18">
        <v>0</v>
      </c>
      <c r="AJ18">
        <v>0</v>
      </c>
      <c r="AK18">
        <v>0</v>
      </c>
      <c r="AL18">
        <v>0</v>
      </c>
      <c r="AM18">
        <v>0</v>
      </c>
      <c r="AN18">
        <v>8</v>
      </c>
      <c r="AP18" t="s">
        <v>1031</v>
      </c>
      <c r="AS18" t="s">
        <v>1250</v>
      </c>
      <c r="AV18" t="s">
        <v>1031</v>
      </c>
      <c r="AW18" t="s">
        <v>1250</v>
      </c>
      <c r="AX18">
        <v>0</v>
      </c>
      <c r="AY18">
        <v>0</v>
      </c>
      <c r="AZ18" t="s">
        <v>282</v>
      </c>
      <c r="BA18" t="s">
        <v>282</v>
      </c>
      <c r="BB18" t="s">
        <v>1197</v>
      </c>
      <c r="BC18">
        <v>1</v>
      </c>
    </row>
    <row r="19" spans="1:55" x14ac:dyDescent="0.25">
      <c r="A19" t="s">
        <v>99</v>
      </c>
      <c r="B19">
        <v>17</v>
      </c>
      <c r="C19" t="s">
        <v>1088</v>
      </c>
      <c r="D19" s="158">
        <v>45199</v>
      </c>
      <c r="E19">
        <v>620237</v>
      </c>
      <c r="F19">
        <v>10336633</v>
      </c>
      <c r="G19">
        <v>53563317</v>
      </c>
      <c r="H19" t="b">
        <v>0</v>
      </c>
      <c r="I19">
        <v>23</v>
      </c>
      <c r="J19" t="s">
        <v>1229</v>
      </c>
      <c r="K19">
        <v>16</v>
      </c>
      <c r="L19">
        <v>8</v>
      </c>
      <c r="M19">
        <v>2</v>
      </c>
      <c r="N19">
        <v>0</v>
      </c>
      <c r="O19">
        <v>0</v>
      </c>
      <c r="P19">
        <v>0</v>
      </c>
      <c r="Q19">
        <v>0</v>
      </c>
      <c r="R19">
        <v>0</v>
      </c>
      <c r="T19">
        <v>16</v>
      </c>
      <c r="U19">
        <v>0</v>
      </c>
      <c r="V19">
        <v>0</v>
      </c>
      <c r="W19">
        <v>0</v>
      </c>
      <c r="X19">
        <v>0</v>
      </c>
      <c r="Y19">
        <v>0</v>
      </c>
      <c r="Z19">
        <v>0</v>
      </c>
      <c r="AA19">
        <v>0</v>
      </c>
      <c r="AB19">
        <v>0</v>
      </c>
      <c r="AC19">
        <v>0</v>
      </c>
      <c r="AD19">
        <v>0</v>
      </c>
      <c r="AE19">
        <v>0</v>
      </c>
      <c r="AF19">
        <v>0</v>
      </c>
      <c r="AG19">
        <v>0</v>
      </c>
      <c r="AH19">
        <v>0</v>
      </c>
      <c r="AI19">
        <v>0</v>
      </c>
      <c r="AJ19">
        <v>0</v>
      </c>
      <c r="AK19">
        <v>0</v>
      </c>
      <c r="AL19">
        <v>0</v>
      </c>
      <c r="AM19">
        <v>0</v>
      </c>
      <c r="AN19">
        <v>16</v>
      </c>
      <c r="AP19" t="s">
        <v>1031</v>
      </c>
      <c r="AS19" t="s">
        <v>1250</v>
      </c>
      <c r="AV19" t="s">
        <v>1031</v>
      </c>
      <c r="AW19" t="s">
        <v>1250</v>
      </c>
      <c r="AX19">
        <v>0</v>
      </c>
      <c r="AY19">
        <v>0</v>
      </c>
      <c r="AZ19" t="s">
        <v>282</v>
      </c>
      <c r="BA19" t="s">
        <v>282</v>
      </c>
      <c r="BB19" t="s">
        <v>1197</v>
      </c>
      <c r="BC19">
        <v>1</v>
      </c>
    </row>
    <row r="20" spans="1:55" x14ac:dyDescent="0.25">
      <c r="A20" t="s">
        <v>99</v>
      </c>
      <c r="B20">
        <v>17</v>
      </c>
      <c r="C20" t="s">
        <v>1088</v>
      </c>
      <c r="D20" s="158">
        <v>45199</v>
      </c>
      <c r="E20">
        <v>595991</v>
      </c>
      <c r="F20">
        <v>10349186</v>
      </c>
      <c r="G20">
        <v>53662869</v>
      </c>
      <c r="H20" t="b">
        <v>0</v>
      </c>
      <c r="I20">
        <v>19</v>
      </c>
      <c r="J20" t="s">
        <v>1187</v>
      </c>
      <c r="K20">
        <v>150</v>
      </c>
      <c r="L20">
        <v>150</v>
      </c>
      <c r="M20">
        <v>1</v>
      </c>
      <c r="N20">
        <v>0</v>
      </c>
      <c r="O20">
        <v>0</v>
      </c>
      <c r="P20">
        <v>0</v>
      </c>
      <c r="Q20">
        <v>0</v>
      </c>
      <c r="R20">
        <v>0</v>
      </c>
      <c r="T20">
        <v>150</v>
      </c>
      <c r="U20">
        <v>0</v>
      </c>
      <c r="V20">
        <v>0</v>
      </c>
      <c r="W20">
        <v>0</v>
      </c>
      <c r="X20">
        <v>0</v>
      </c>
      <c r="Y20">
        <v>0</v>
      </c>
      <c r="Z20">
        <v>0</v>
      </c>
      <c r="AA20">
        <v>0</v>
      </c>
      <c r="AB20">
        <v>0</v>
      </c>
      <c r="AC20">
        <v>0</v>
      </c>
      <c r="AD20">
        <v>0</v>
      </c>
      <c r="AE20">
        <v>0</v>
      </c>
      <c r="AF20">
        <v>0</v>
      </c>
      <c r="AG20">
        <v>0</v>
      </c>
      <c r="AH20">
        <v>0</v>
      </c>
      <c r="AI20">
        <v>0</v>
      </c>
      <c r="AJ20">
        <v>0</v>
      </c>
      <c r="AK20">
        <v>0</v>
      </c>
      <c r="AL20">
        <v>0</v>
      </c>
      <c r="AM20">
        <v>0</v>
      </c>
      <c r="AN20">
        <v>150</v>
      </c>
      <c r="AP20" t="s">
        <v>1089</v>
      </c>
      <c r="AS20" t="s">
        <v>1265</v>
      </c>
      <c r="AV20" t="s">
        <v>1089</v>
      </c>
      <c r="AW20" t="s">
        <v>1265</v>
      </c>
      <c r="AX20">
        <v>0</v>
      </c>
      <c r="AY20">
        <v>0</v>
      </c>
      <c r="AZ20" t="s">
        <v>282</v>
      </c>
      <c r="BA20" t="s">
        <v>282</v>
      </c>
      <c r="BB20" t="s">
        <v>1197</v>
      </c>
      <c r="BC20">
        <v>1</v>
      </c>
    </row>
    <row r="21" spans="1:55" x14ac:dyDescent="0.25">
      <c r="A21" t="s">
        <v>99</v>
      </c>
      <c r="B21">
        <v>17</v>
      </c>
      <c r="C21" t="s">
        <v>1088</v>
      </c>
      <c r="D21" s="158">
        <v>45199</v>
      </c>
      <c r="E21">
        <v>620378</v>
      </c>
      <c r="F21">
        <v>10339688</v>
      </c>
      <c r="G21">
        <v>53588888</v>
      </c>
      <c r="H21" t="b">
        <v>0</v>
      </c>
      <c r="I21">
        <v>23</v>
      </c>
      <c r="J21" t="s">
        <v>1198</v>
      </c>
      <c r="K21">
        <v>85</v>
      </c>
      <c r="L21">
        <v>85</v>
      </c>
      <c r="M21">
        <v>1</v>
      </c>
      <c r="N21">
        <v>0</v>
      </c>
      <c r="O21">
        <v>0</v>
      </c>
      <c r="P21">
        <v>0</v>
      </c>
      <c r="Q21">
        <v>0</v>
      </c>
      <c r="R21">
        <v>0</v>
      </c>
      <c r="T21">
        <v>85</v>
      </c>
      <c r="U21">
        <v>0</v>
      </c>
      <c r="V21">
        <v>0</v>
      </c>
      <c r="W21">
        <v>0</v>
      </c>
      <c r="X21">
        <v>0</v>
      </c>
      <c r="Y21">
        <v>0</v>
      </c>
      <c r="Z21">
        <v>0</v>
      </c>
      <c r="AA21">
        <v>0</v>
      </c>
      <c r="AB21">
        <v>0</v>
      </c>
      <c r="AC21">
        <v>0</v>
      </c>
      <c r="AD21">
        <v>0</v>
      </c>
      <c r="AE21">
        <v>0</v>
      </c>
      <c r="AF21">
        <v>0</v>
      </c>
      <c r="AG21">
        <v>0</v>
      </c>
      <c r="AH21">
        <v>0</v>
      </c>
      <c r="AI21">
        <v>0</v>
      </c>
      <c r="AJ21">
        <v>0</v>
      </c>
      <c r="AK21">
        <v>0</v>
      </c>
      <c r="AL21">
        <v>0</v>
      </c>
      <c r="AM21">
        <v>0</v>
      </c>
      <c r="AN21">
        <v>85</v>
      </c>
      <c r="AP21" t="s">
        <v>1031</v>
      </c>
      <c r="AS21" t="s">
        <v>1250</v>
      </c>
      <c r="AV21" t="s">
        <v>1031</v>
      </c>
      <c r="AW21" t="s">
        <v>1250</v>
      </c>
      <c r="AX21">
        <v>0</v>
      </c>
      <c r="AY21">
        <v>0</v>
      </c>
      <c r="AZ21" t="s">
        <v>282</v>
      </c>
      <c r="BA21" t="s">
        <v>282</v>
      </c>
      <c r="BB21" t="s">
        <v>1197</v>
      </c>
      <c r="BC21">
        <v>1</v>
      </c>
    </row>
    <row r="22" spans="1:55" x14ac:dyDescent="0.25">
      <c r="A22" t="s">
        <v>99</v>
      </c>
      <c r="B22">
        <v>17</v>
      </c>
      <c r="C22" t="s">
        <v>1088</v>
      </c>
      <c r="D22" s="158">
        <v>45199</v>
      </c>
      <c r="E22">
        <v>109895</v>
      </c>
      <c r="F22">
        <v>10288385</v>
      </c>
      <c r="G22">
        <v>53637181</v>
      </c>
      <c r="H22" t="b">
        <v>0</v>
      </c>
      <c r="I22">
        <v>22</v>
      </c>
      <c r="J22" t="s">
        <v>1187</v>
      </c>
      <c r="K22">
        <v>216</v>
      </c>
      <c r="L22">
        <v>216</v>
      </c>
      <c r="M22">
        <v>1</v>
      </c>
      <c r="N22">
        <v>0</v>
      </c>
      <c r="O22">
        <v>0</v>
      </c>
      <c r="P22">
        <v>0</v>
      </c>
      <c r="Q22">
        <v>0</v>
      </c>
      <c r="R22">
        <v>0</v>
      </c>
      <c r="T22">
        <v>216</v>
      </c>
      <c r="U22">
        <v>0</v>
      </c>
      <c r="V22">
        <v>0</v>
      </c>
      <c r="W22">
        <v>0</v>
      </c>
      <c r="X22">
        <v>0</v>
      </c>
      <c r="Y22">
        <v>0</v>
      </c>
      <c r="Z22">
        <v>0</v>
      </c>
      <c r="AA22">
        <v>0</v>
      </c>
      <c r="AB22">
        <v>0</v>
      </c>
      <c r="AC22">
        <v>0</v>
      </c>
      <c r="AD22">
        <v>0</v>
      </c>
      <c r="AE22">
        <v>0</v>
      </c>
      <c r="AF22">
        <v>0</v>
      </c>
      <c r="AG22">
        <v>0</v>
      </c>
      <c r="AH22">
        <v>0</v>
      </c>
      <c r="AI22">
        <v>0</v>
      </c>
      <c r="AJ22">
        <v>0</v>
      </c>
      <c r="AK22">
        <v>0</v>
      </c>
      <c r="AL22">
        <v>0</v>
      </c>
      <c r="AM22">
        <v>0</v>
      </c>
      <c r="AN22">
        <v>216</v>
      </c>
      <c r="AP22" t="s">
        <v>1032</v>
      </c>
      <c r="AS22" t="s">
        <v>1226</v>
      </c>
      <c r="AV22" t="s">
        <v>1032</v>
      </c>
      <c r="AW22" t="s">
        <v>1226</v>
      </c>
      <c r="AX22">
        <v>0</v>
      </c>
      <c r="AY22">
        <v>0</v>
      </c>
      <c r="AZ22" t="s">
        <v>282</v>
      </c>
      <c r="BA22" t="s">
        <v>282</v>
      </c>
      <c r="BB22" t="s">
        <v>1197</v>
      </c>
      <c r="BC22">
        <v>1</v>
      </c>
    </row>
    <row r="23" spans="1:55" x14ac:dyDescent="0.25">
      <c r="A23" t="s">
        <v>99</v>
      </c>
      <c r="B23">
        <v>17</v>
      </c>
      <c r="C23" t="s">
        <v>1088</v>
      </c>
      <c r="D23" s="158">
        <v>45199</v>
      </c>
      <c r="E23">
        <v>432044</v>
      </c>
      <c r="F23">
        <v>9076490</v>
      </c>
      <c r="G23">
        <v>46078014</v>
      </c>
      <c r="H23" t="b">
        <v>0</v>
      </c>
      <c r="I23">
        <v>270</v>
      </c>
      <c r="J23" t="s">
        <v>1198</v>
      </c>
      <c r="K23">
        <v>85</v>
      </c>
      <c r="L23">
        <v>85</v>
      </c>
      <c r="M23">
        <v>1</v>
      </c>
      <c r="N23">
        <v>0</v>
      </c>
      <c r="O23">
        <v>0</v>
      </c>
      <c r="P23">
        <v>0</v>
      </c>
      <c r="Q23">
        <v>0</v>
      </c>
      <c r="R23">
        <v>0</v>
      </c>
      <c r="T23">
        <v>85</v>
      </c>
      <c r="U23">
        <v>0</v>
      </c>
      <c r="V23">
        <v>2</v>
      </c>
      <c r="W23">
        <v>170</v>
      </c>
      <c r="X23">
        <v>0</v>
      </c>
      <c r="Y23">
        <v>0</v>
      </c>
      <c r="Z23">
        <v>0</v>
      </c>
      <c r="AA23">
        <v>0</v>
      </c>
      <c r="AB23">
        <v>0</v>
      </c>
      <c r="AC23">
        <v>0</v>
      </c>
      <c r="AD23">
        <v>0</v>
      </c>
      <c r="AE23">
        <v>0</v>
      </c>
      <c r="AF23">
        <v>0</v>
      </c>
      <c r="AG23">
        <v>0</v>
      </c>
      <c r="AH23">
        <v>0</v>
      </c>
      <c r="AI23">
        <v>0</v>
      </c>
      <c r="AJ23">
        <v>0</v>
      </c>
      <c r="AK23">
        <v>0</v>
      </c>
      <c r="AL23">
        <v>0</v>
      </c>
      <c r="AM23">
        <v>0</v>
      </c>
      <c r="AN23">
        <v>-85</v>
      </c>
      <c r="AP23" t="s">
        <v>1031</v>
      </c>
      <c r="AS23" t="s">
        <v>1190</v>
      </c>
      <c r="AV23" t="s">
        <v>1031</v>
      </c>
      <c r="AW23" t="s">
        <v>1190</v>
      </c>
      <c r="AX23">
        <v>0</v>
      </c>
      <c r="AY23">
        <v>0</v>
      </c>
      <c r="AZ23" t="s">
        <v>282</v>
      </c>
      <c r="BA23" t="s">
        <v>282</v>
      </c>
      <c r="BB23" t="s">
        <v>1204</v>
      </c>
      <c r="BC23">
        <v>7</v>
      </c>
    </row>
    <row r="24" spans="1:55" x14ac:dyDescent="0.25">
      <c r="A24" t="s">
        <v>99</v>
      </c>
      <c r="B24">
        <v>17</v>
      </c>
      <c r="C24" t="s">
        <v>1088</v>
      </c>
      <c r="D24" s="158">
        <v>45199</v>
      </c>
      <c r="E24">
        <v>130205</v>
      </c>
      <c r="F24">
        <v>1731072</v>
      </c>
      <c r="G24">
        <v>8475109</v>
      </c>
      <c r="H24" t="b">
        <v>0</v>
      </c>
      <c r="I24">
        <v>2678</v>
      </c>
      <c r="J24" t="s">
        <v>1192</v>
      </c>
      <c r="K24">
        <v>15</v>
      </c>
      <c r="L24">
        <v>15</v>
      </c>
      <c r="M24">
        <v>1</v>
      </c>
      <c r="N24">
        <v>0</v>
      </c>
      <c r="O24">
        <v>0</v>
      </c>
      <c r="P24">
        <v>0</v>
      </c>
      <c r="Q24">
        <v>0</v>
      </c>
      <c r="R24">
        <v>0</v>
      </c>
      <c r="T24">
        <v>15</v>
      </c>
      <c r="U24">
        <v>0</v>
      </c>
      <c r="V24">
        <v>1</v>
      </c>
      <c r="W24">
        <v>19</v>
      </c>
      <c r="X24">
        <v>0</v>
      </c>
      <c r="Y24">
        <v>0</v>
      </c>
      <c r="Z24">
        <v>0</v>
      </c>
      <c r="AA24">
        <v>0</v>
      </c>
      <c r="AB24">
        <v>0</v>
      </c>
      <c r="AC24">
        <v>0</v>
      </c>
      <c r="AD24">
        <v>0</v>
      </c>
      <c r="AE24">
        <v>0</v>
      </c>
      <c r="AF24">
        <v>0</v>
      </c>
      <c r="AG24">
        <v>0</v>
      </c>
      <c r="AH24">
        <v>0</v>
      </c>
      <c r="AI24">
        <v>0</v>
      </c>
      <c r="AJ24">
        <v>0</v>
      </c>
      <c r="AK24">
        <v>0</v>
      </c>
      <c r="AL24">
        <v>0</v>
      </c>
      <c r="AM24">
        <v>0</v>
      </c>
      <c r="AN24">
        <v>-4</v>
      </c>
      <c r="AP24" t="s">
        <v>1031</v>
      </c>
      <c r="AS24" t="s">
        <v>1201</v>
      </c>
      <c r="AV24" t="s">
        <v>1031</v>
      </c>
      <c r="AW24" t="s">
        <v>1201</v>
      </c>
      <c r="AX24">
        <v>0</v>
      </c>
      <c r="AY24">
        <v>0</v>
      </c>
      <c r="AZ24" t="s">
        <v>282</v>
      </c>
      <c r="BA24" t="s">
        <v>282</v>
      </c>
      <c r="BB24" t="s">
        <v>1200</v>
      </c>
      <c r="BC24">
        <v>8</v>
      </c>
    </row>
    <row r="25" spans="1:55" x14ac:dyDescent="0.25">
      <c r="A25" t="s">
        <v>99</v>
      </c>
      <c r="B25">
        <v>17</v>
      </c>
      <c r="C25" t="s">
        <v>1088</v>
      </c>
      <c r="D25" s="158">
        <v>45199</v>
      </c>
      <c r="E25">
        <v>621445</v>
      </c>
      <c r="F25">
        <v>10362200</v>
      </c>
      <c r="G25">
        <v>53717348</v>
      </c>
      <c r="H25" t="b">
        <v>0</v>
      </c>
      <c r="I25">
        <v>18</v>
      </c>
      <c r="J25" t="s">
        <v>1229</v>
      </c>
      <c r="K25">
        <v>16</v>
      </c>
      <c r="L25">
        <v>8</v>
      </c>
      <c r="M25">
        <v>2</v>
      </c>
      <c r="N25">
        <v>0</v>
      </c>
      <c r="O25">
        <v>0</v>
      </c>
      <c r="P25">
        <v>0</v>
      </c>
      <c r="Q25">
        <v>0</v>
      </c>
      <c r="R25">
        <v>0</v>
      </c>
      <c r="T25">
        <v>16</v>
      </c>
      <c r="U25">
        <v>0</v>
      </c>
      <c r="V25">
        <v>0</v>
      </c>
      <c r="W25">
        <v>0</v>
      </c>
      <c r="X25">
        <v>0</v>
      </c>
      <c r="Y25">
        <v>0</v>
      </c>
      <c r="Z25">
        <v>0</v>
      </c>
      <c r="AA25">
        <v>0</v>
      </c>
      <c r="AB25">
        <v>0</v>
      </c>
      <c r="AC25">
        <v>0</v>
      </c>
      <c r="AD25">
        <v>0</v>
      </c>
      <c r="AE25">
        <v>0</v>
      </c>
      <c r="AF25">
        <v>0</v>
      </c>
      <c r="AG25">
        <v>0</v>
      </c>
      <c r="AH25">
        <v>0</v>
      </c>
      <c r="AI25">
        <v>0</v>
      </c>
      <c r="AJ25">
        <v>0</v>
      </c>
      <c r="AK25">
        <v>0</v>
      </c>
      <c r="AL25">
        <v>0</v>
      </c>
      <c r="AM25">
        <v>0</v>
      </c>
      <c r="AN25">
        <v>16</v>
      </c>
      <c r="AP25" t="s">
        <v>1031</v>
      </c>
      <c r="AS25" t="s">
        <v>1230</v>
      </c>
      <c r="AV25" t="s">
        <v>1031</v>
      </c>
      <c r="AW25" t="s">
        <v>1230</v>
      </c>
      <c r="AX25">
        <v>0</v>
      </c>
      <c r="AY25">
        <v>0</v>
      </c>
      <c r="AZ25" t="s">
        <v>282</v>
      </c>
      <c r="BA25" t="s">
        <v>282</v>
      </c>
      <c r="BB25" t="s">
        <v>1197</v>
      </c>
      <c r="BC25">
        <v>1</v>
      </c>
    </row>
    <row r="26" spans="1:55" x14ac:dyDescent="0.25">
      <c r="A26" t="s">
        <v>99</v>
      </c>
      <c r="B26">
        <v>17</v>
      </c>
      <c r="C26" t="s">
        <v>1088</v>
      </c>
      <c r="D26" s="158">
        <v>45199</v>
      </c>
      <c r="E26">
        <v>621445</v>
      </c>
      <c r="F26">
        <v>10362200</v>
      </c>
      <c r="G26">
        <v>53717387</v>
      </c>
      <c r="H26" t="b">
        <v>0</v>
      </c>
      <c r="I26">
        <v>18</v>
      </c>
      <c r="J26" t="s">
        <v>1192</v>
      </c>
      <c r="K26">
        <v>15</v>
      </c>
      <c r="L26">
        <v>15</v>
      </c>
      <c r="M26">
        <v>1</v>
      </c>
      <c r="N26">
        <v>0</v>
      </c>
      <c r="O26">
        <v>0</v>
      </c>
      <c r="P26">
        <v>0</v>
      </c>
      <c r="Q26">
        <v>0</v>
      </c>
      <c r="R26">
        <v>0</v>
      </c>
      <c r="T26">
        <v>15</v>
      </c>
      <c r="U26">
        <v>0</v>
      </c>
      <c r="V26">
        <v>0</v>
      </c>
      <c r="W26">
        <v>0</v>
      </c>
      <c r="X26">
        <v>0</v>
      </c>
      <c r="Y26">
        <v>0</v>
      </c>
      <c r="Z26">
        <v>0</v>
      </c>
      <c r="AA26">
        <v>0</v>
      </c>
      <c r="AB26">
        <v>0</v>
      </c>
      <c r="AC26">
        <v>0</v>
      </c>
      <c r="AD26">
        <v>0</v>
      </c>
      <c r="AE26">
        <v>0</v>
      </c>
      <c r="AF26">
        <v>0</v>
      </c>
      <c r="AG26">
        <v>0</v>
      </c>
      <c r="AH26">
        <v>0</v>
      </c>
      <c r="AI26">
        <v>0</v>
      </c>
      <c r="AJ26">
        <v>0</v>
      </c>
      <c r="AK26">
        <v>0</v>
      </c>
      <c r="AL26">
        <v>0</v>
      </c>
      <c r="AM26">
        <v>0</v>
      </c>
      <c r="AN26">
        <v>15</v>
      </c>
      <c r="AP26" t="s">
        <v>1031</v>
      </c>
      <c r="AS26" t="s">
        <v>1230</v>
      </c>
      <c r="AV26" t="s">
        <v>1031</v>
      </c>
      <c r="AW26" t="s">
        <v>1230</v>
      </c>
      <c r="AX26">
        <v>0</v>
      </c>
      <c r="AY26">
        <v>0</v>
      </c>
      <c r="AZ26" t="s">
        <v>282</v>
      </c>
      <c r="BA26" t="s">
        <v>282</v>
      </c>
      <c r="BB26" t="s">
        <v>1197</v>
      </c>
      <c r="BC26">
        <v>1</v>
      </c>
    </row>
    <row r="27" spans="1:55" x14ac:dyDescent="0.25">
      <c r="A27" t="s">
        <v>99</v>
      </c>
      <c r="B27">
        <v>17</v>
      </c>
      <c r="C27" t="s">
        <v>1088</v>
      </c>
      <c r="D27" s="158">
        <v>45199</v>
      </c>
      <c r="E27">
        <v>618342</v>
      </c>
      <c r="F27">
        <v>10302920</v>
      </c>
      <c r="G27">
        <v>53664401</v>
      </c>
      <c r="H27" t="b">
        <v>0</v>
      </c>
      <c r="I27">
        <v>22</v>
      </c>
      <c r="J27" t="s">
        <v>1187</v>
      </c>
      <c r="K27">
        <v>216</v>
      </c>
      <c r="L27">
        <v>216</v>
      </c>
      <c r="M27">
        <v>1</v>
      </c>
      <c r="N27">
        <v>0</v>
      </c>
      <c r="O27">
        <v>0</v>
      </c>
      <c r="P27">
        <v>0</v>
      </c>
      <c r="Q27">
        <v>0</v>
      </c>
      <c r="R27">
        <v>0</v>
      </c>
      <c r="T27">
        <v>216</v>
      </c>
      <c r="U27">
        <v>0</v>
      </c>
      <c r="V27">
        <v>0</v>
      </c>
      <c r="W27">
        <v>0</v>
      </c>
      <c r="X27">
        <v>0</v>
      </c>
      <c r="Y27">
        <v>0</v>
      </c>
      <c r="Z27">
        <v>0</v>
      </c>
      <c r="AA27">
        <v>0</v>
      </c>
      <c r="AB27">
        <v>0</v>
      </c>
      <c r="AC27">
        <v>0</v>
      </c>
      <c r="AD27">
        <v>0</v>
      </c>
      <c r="AE27">
        <v>0</v>
      </c>
      <c r="AF27">
        <v>0</v>
      </c>
      <c r="AG27">
        <v>0</v>
      </c>
      <c r="AH27">
        <v>0</v>
      </c>
      <c r="AI27">
        <v>0</v>
      </c>
      <c r="AJ27">
        <v>0</v>
      </c>
      <c r="AK27">
        <v>0</v>
      </c>
      <c r="AL27">
        <v>0</v>
      </c>
      <c r="AM27">
        <v>0</v>
      </c>
      <c r="AN27">
        <v>216</v>
      </c>
      <c r="AP27" t="s">
        <v>1091</v>
      </c>
      <c r="AS27" t="s">
        <v>1185</v>
      </c>
      <c r="AV27" t="s">
        <v>1091</v>
      </c>
      <c r="AW27" t="s">
        <v>1185</v>
      </c>
      <c r="AX27">
        <v>0</v>
      </c>
      <c r="AY27">
        <v>0</v>
      </c>
      <c r="AZ27" t="s">
        <v>282</v>
      </c>
      <c r="BA27" t="s">
        <v>282</v>
      </c>
      <c r="BB27" t="s">
        <v>1197</v>
      </c>
      <c r="BC27">
        <v>1</v>
      </c>
    </row>
    <row r="28" spans="1:55" x14ac:dyDescent="0.25">
      <c r="A28" t="s">
        <v>99</v>
      </c>
      <c r="B28">
        <v>17</v>
      </c>
      <c r="C28" t="s">
        <v>1088</v>
      </c>
      <c r="D28" s="158">
        <v>45199</v>
      </c>
      <c r="E28">
        <v>614580</v>
      </c>
      <c r="F28">
        <v>10230675</v>
      </c>
      <c r="G28">
        <v>52932483</v>
      </c>
      <c r="H28" t="b">
        <v>0</v>
      </c>
      <c r="I28">
        <v>44</v>
      </c>
      <c r="J28" t="s">
        <v>1187</v>
      </c>
      <c r="K28">
        <v>216</v>
      </c>
      <c r="L28">
        <v>216</v>
      </c>
      <c r="M28">
        <v>1</v>
      </c>
      <c r="N28">
        <v>0</v>
      </c>
      <c r="O28">
        <v>0</v>
      </c>
      <c r="P28">
        <v>0</v>
      </c>
      <c r="Q28">
        <v>0</v>
      </c>
      <c r="R28">
        <v>0</v>
      </c>
      <c r="T28">
        <v>216</v>
      </c>
      <c r="U28">
        <v>0</v>
      </c>
      <c r="V28">
        <v>0</v>
      </c>
      <c r="W28">
        <v>0</v>
      </c>
      <c r="X28">
        <v>0</v>
      </c>
      <c r="Y28">
        <v>0</v>
      </c>
      <c r="Z28">
        <v>0</v>
      </c>
      <c r="AA28">
        <v>0</v>
      </c>
      <c r="AB28">
        <v>0</v>
      </c>
      <c r="AC28">
        <v>0</v>
      </c>
      <c r="AD28">
        <v>0</v>
      </c>
      <c r="AE28">
        <v>0</v>
      </c>
      <c r="AF28">
        <v>0</v>
      </c>
      <c r="AG28">
        <v>0</v>
      </c>
      <c r="AH28">
        <v>0</v>
      </c>
      <c r="AI28">
        <v>0</v>
      </c>
      <c r="AJ28">
        <v>0</v>
      </c>
      <c r="AK28">
        <v>0</v>
      </c>
      <c r="AL28">
        <v>0</v>
      </c>
      <c r="AM28">
        <v>0</v>
      </c>
      <c r="AN28">
        <v>216</v>
      </c>
      <c r="AP28" t="s">
        <v>1091</v>
      </c>
      <c r="AS28" t="s">
        <v>1188</v>
      </c>
      <c r="AV28" t="s">
        <v>1091</v>
      </c>
      <c r="AW28" t="s">
        <v>1188</v>
      </c>
      <c r="AX28">
        <v>0</v>
      </c>
      <c r="AY28">
        <v>0</v>
      </c>
      <c r="AZ28" t="s">
        <v>282</v>
      </c>
      <c r="BA28" t="s">
        <v>282</v>
      </c>
      <c r="BB28" t="s">
        <v>1191</v>
      </c>
      <c r="BC28">
        <v>2</v>
      </c>
    </row>
    <row r="29" spans="1:55" x14ac:dyDescent="0.25">
      <c r="A29" t="s">
        <v>99</v>
      </c>
      <c r="B29">
        <v>17</v>
      </c>
      <c r="C29" t="s">
        <v>1088</v>
      </c>
      <c r="D29" s="158">
        <v>45199</v>
      </c>
      <c r="E29">
        <v>615545</v>
      </c>
      <c r="F29">
        <v>10250265</v>
      </c>
      <c r="G29">
        <v>52990506</v>
      </c>
      <c r="H29" t="b">
        <v>0</v>
      </c>
      <c r="I29">
        <v>43</v>
      </c>
      <c r="J29" t="s">
        <v>1187</v>
      </c>
      <c r="K29">
        <v>109.5</v>
      </c>
      <c r="L29">
        <v>109.5</v>
      </c>
      <c r="M29">
        <v>1</v>
      </c>
      <c r="N29">
        <v>0</v>
      </c>
      <c r="O29">
        <v>0</v>
      </c>
      <c r="P29">
        <v>0</v>
      </c>
      <c r="Q29">
        <v>0</v>
      </c>
      <c r="R29">
        <v>0</v>
      </c>
      <c r="T29">
        <v>109.5</v>
      </c>
      <c r="U29">
        <v>0</v>
      </c>
      <c r="V29">
        <v>0</v>
      </c>
      <c r="W29">
        <v>0</v>
      </c>
      <c r="X29">
        <v>0</v>
      </c>
      <c r="Y29">
        <v>0</v>
      </c>
      <c r="Z29">
        <v>0</v>
      </c>
      <c r="AA29">
        <v>0</v>
      </c>
      <c r="AB29">
        <v>0</v>
      </c>
      <c r="AC29">
        <v>0</v>
      </c>
      <c r="AD29">
        <v>0</v>
      </c>
      <c r="AE29">
        <v>0</v>
      </c>
      <c r="AF29">
        <v>0</v>
      </c>
      <c r="AG29">
        <v>0</v>
      </c>
      <c r="AH29">
        <v>0</v>
      </c>
      <c r="AI29">
        <v>0</v>
      </c>
      <c r="AJ29">
        <v>0</v>
      </c>
      <c r="AK29">
        <v>0</v>
      </c>
      <c r="AL29">
        <v>0</v>
      </c>
      <c r="AM29">
        <v>0</v>
      </c>
      <c r="AN29">
        <v>109.5</v>
      </c>
      <c r="AP29" t="s">
        <v>1031</v>
      </c>
      <c r="AS29" t="s">
        <v>1257</v>
      </c>
      <c r="AV29" t="s">
        <v>1031</v>
      </c>
      <c r="AW29" t="s">
        <v>1257</v>
      </c>
      <c r="AX29">
        <v>0</v>
      </c>
      <c r="AY29">
        <v>0</v>
      </c>
      <c r="AZ29" t="s">
        <v>282</v>
      </c>
      <c r="BA29" t="s">
        <v>282</v>
      </c>
      <c r="BB29" t="s">
        <v>1191</v>
      </c>
      <c r="BC29">
        <v>2</v>
      </c>
    </row>
    <row r="30" spans="1:55" x14ac:dyDescent="0.25">
      <c r="A30" t="s">
        <v>99</v>
      </c>
      <c r="B30">
        <v>17</v>
      </c>
      <c r="C30" t="s">
        <v>1088</v>
      </c>
      <c r="D30" s="158">
        <v>45199</v>
      </c>
      <c r="E30">
        <v>613877</v>
      </c>
      <c r="F30">
        <v>10220420</v>
      </c>
      <c r="G30">
        <v>53072303</v>
      </c>
      <c r="H30" t="b">
        <v>0</v>
      </c>
      <c r="I30">
        <v>39</v>
      </c>
      <c r="J30" t="s">
        <v>1187</v>
      </c>
      <c r="K30">
        <v>216</v>
      </c>
      <c r="L30">
        <v>216</v>
      </c>
      <c r="M30">
        <v>1</v>
      </c>
      <c r="N30">
        <v>0</v>
      </c>
      <c r="O30">
        <v>0</v>
      </c>
      <c r="P30">
        <v>0</v>
      </c>
      <c r="Q30">
        <v>0</v>
      </c>
      <c r="R30">
        <v>0</v>
      </c>
      <c r="T30">
        <v>216</v>
      </c>
      <c r="U30">
        <v>0</v>
      </c>
      <c r="V30">
        <v>0</v>
      </c>
      <c r="W30">
        <v>0</v>
      </c>
      <c r="X30">
        <v>0</v>
      </c>
      <c r="Y30">
        <v>0</v>
      </c>
      <c r="Z30">
        <v>0</v>
      </c>
      <c r="AA30">
        <v>0</v>
      </c>
      <c r="AB30">
        <v>0</v>
      </c>
      <c r="AC30">
        <v>0</v>
      </c>
      <c r="AD30">
        <v>0</v>
      </c>
      <c r="AE30">
        <v>0</v>
      </c>
      <c r="AF30">
        <v>0</v>
      </c>
      <c r="AG30">
        <v>0</v>
      </c>
      <c r="AH30">
        <v>0</v>
      </c>
      <c r="AI30">
        <v>0</v>
      </c>
      <c r="AJ30">
        <v>0</v>
      </c>
      <c r="AK30">
        <v>0</v>
      </c>
      <c r="AL30">
        <v>0</v>
      </c>
      <c r="AM30">
        <v>0</v>
      </c>
      <c r="AN30">
        <v>216</v>
      </c>
      <c r="AP30" t="s">
        <v>1091</v>
      </c>
      <c r="AS30" t="s">
        <v>1188</v>
      </c>
      <c r="AV30" t="s">
        <v>1091</v>
      </c>
      <c r="AW30" t="s">
        <v>1188</v>
      </c>
      <c r="AX30">
        <v>0</v>
      </c>
      <c r="AY30">
        <v>0</v>
      </c>
      <c r="AZ30" t="s">
        <v>282</v>
      </c>
      <c r="BA30" t="s">
        <v>282</v>
      </c>
      <c r="BB30" t="s">
        <v>1191</v>
      </c>
      <c r="BC30">
        <v>2</v>
      </c>
    </row>
    <row r="31" spans="1:55" x14ac:dyDescent="0.25">
      <c r="A31" t="s">
        <v>99</v>
      </c>
      <c r="B31">
        <v>17</v>
      </c>
      <c r="C31" t="s">
        <v>1088</v>
      </c>
      <c r="D31" s="158">
        <v>45199</v>
      </c>
      <c r="E31">
        <v>621896</v>
      </c>
      <c r="F31">
        <v>10370554</v>
      </c>
      <c r="G31">
        <v>53926889</v>
      </c>
      <c r="H31" t="b">
        <v>0</v>
      </c>
      <c r="I31">
        <v>11</v>
      </c>
      <c r="J31" t="s">
        <v>1184</v>
      </c>
      <c r="K31">
        <v>216</v>
      </c>
      <c r="L31">
        <v>216</v>
      </c>
      <c r="M31">
        <v>1</v>
      </c>
      <c r="N31">
        <v>0</v>
      </c>
      <c r="O31">
        <v>0</v>
      </c>
      <c r="P31">
        <v>0</v>
      </c>
      <c r="Q31">
        <v>0</v>
      </c>
      <c r="R31">
        <v>0</v>
      </c>
      <c r="T31">
        <v>216</v>
      </c>
      <c r="U31">
        <v>0</v>
      </c>
      <c r="V31">
        <v>0</v>
      </c>
      <c r="W31">
        <v>0</v>
      </c>
      <c r="X31">
        <v>0</v>
      </c>
      <c r="Y31">
        <v>0</v>
      </c>
      <c r="Z31">
        <v>0</v>
      </c>
      <c r="AA31">
        <v>0</v>
      </c>
      <c r="AB31">
        <v>0</v>
      </c>
      <c r="AC31">
        <v>0</v>
      </c>
      <c r="AD31">
        <v>0</v>
      </c>
      <c r="AE31">
        <v>0</v>
      </c>
      <c r="AF31">
        <v>0</v>
      </c>
      <c r="AG31">
        <v>0</v>
      </c>
      <c r="AH31">
        <v>0</v>
      </c>
      <c r="AI31">
        <v>0</v>
      </c>
      <c r="AJ31">
        <v>0</v>
      </c>
      <c r="AK31">
        <v>0</v>
      </c>
      <c r="AL31">
        <v>0</v>
      </c>
      <c r="AM31">
        <v>0</v>
      </c>
      <c r="AN31">
        <v>216</v>
      </c>
      <c r="AP31" t="s">
        <v>1091</v>
      </c>
      <c r="AS31" t="s">
        <v>1185</v>
      </c>
      <c r="AV31" t="s">
        <v>1091</v>
      </c>
      <c r="AW31" t="s">
        <v>1185</v>
      </c>
      <c r="AX31">
        <v>0</v>
      </c>
      <c r="AY31">
        <v>0</v>
      </c>
      <c r="AZ31" t="s">
        <v>282</v>
      </c>
      <c r="BA31" t="s">
        <v>282</v>
      </c>
      <c r="BB31" t="s">
        <v>1197</v>
      </c>
      <c r="BC31">
        <v>1</v>
      </c>
    </row>
    <row r="32" spans="1:55" x14ac:dyDescent="0.25">
      <c r="A32" t="s">
        <v>99</v>
      </c>
      <c r="B32">
        <v>17</v>
      </c>
      <c r="C32" t="s">
        <v>1088</v>
      </c>
      <c r="D32" s="158">
        <v>45199</v>
      </c>
      <c r="E32">
        <v>621896</v>
      </c>
      <c r="F32">
        <v>10370554</v>
      </c>
      <c r="G32">
        <v>53926890</v>
      </c>
      <c r="H32" t="b">
        <v>0</v>
      </c>
      <c r="I32">
        <v>11</v>
      </c>
      <c r="J32" t="s">
        <v>1184</v>
      </c>
      <c r="K32">
        <v>216</v>
      </c>
      <c r="L32">
        <v>216</v>
      </c>
      <c r="M32">
        <v>1</v>
      </c>
      <c r="N32">
        <v>0</v>
      </c>
      <c r="O32">
        <v>0</v>
      </c>
      <c r="P32">
        <v>0</v>
      </c>
      <c r="Q32">
        <v>0</v>
      </c>
      <c r="R32">
        <v>0</v>
      </c>
      <c r="T32">
        <v>216</v>
      </c>
      <c r="U32">
        <v>0</v>
      </c>
      <c r="V32">
        <v>0</v>
      </c>
      <c r="W32">
        <v>0</v>
      </c>
      <c r="X32">
        <v>0</v>
      </c>
      <c r="Y32">
        <v>0</v>
      </c>
      <c r="Z32">
        <v>0</v>
      </c>
      <c r="AA32">
        <v>0</v>
      </c>
      <c r="AB32">
        <v>0</v>
      </c>
      <c r="AC32">
        <v>0</v>
      </c>
      <c r="AD32">
        <v>0</v>
      </c>
      <c r="AE32">
        <v>0</v>
      </c>
      <c r="AF32">
        <v>0</v>
      </c>
      <c r="AG32">
        <v>0</v>
      </c>
      <c r="AH32">
        <v>0</v>
      </c>
      <c r="AI32">
        <v>0</v>
      </c>
      <c r="AJ32">
        <v>0</v>
      </c>
      <c r="AK32">
        <v>0</v>
      </c>
      <c r="AL32">
        <v>0</v>
      </c>
      <c r="AM32">
        <v>0</v>
      </c>
      <c r="AN32">
        <v>216</v>
      </c>
      <c r="AP32" t="s">
        <v>1091</v>
      </c>
      <c r="AS32" t="s">
        <v>1185</v>
      </c>
      <c r="AV32" t="s">
        <v>1091</v>
      </c>
      <c r="AW32" t="s">
        <v>1185</v>
      </c>
      <c r="AX32">
        <v>0</v>
      </c>
      <c r="AY32">
        <v>0</v>
      </c>
      <c r="AZ32" t="s">
        <v>282</v>
      </c>
      <c r="BA32" t="s">
        <v>282</v>
      </c>
      <c r="BB32" t="s">
        <v>1197</v>
      </c>
      <c r="BC32">
        <v>1</v>
      </c>
    </row>
    <row r="33" spans="1:55" x14ac:dyDescent="0.25">
      <c r="A33" t="s">
        <v>99</v>
      </c>
      <c r="B33">
        <v>17</v>
      </c>
      <c r="C33" t="s">
        <v>1088</v>
      </c>
      <c r="D33" s="158">
        <v>45199</v>
      </c>
      <c r="E33">
        <v>605038</v>
      </c>
      <c r="F33">
        <v>10438271</v>
      </c>
      <c r="G33">
        <v>54185629</v>
      </c>
      <c r="H33" t="b">
        <v>0</v>
      </c>
      <c r="I33">
        <v>5</v>
      </c>
      <c r="J33" t="s">
        <v>1194</v>
      </c>
      <c r="K33">
        <v>116</v>
      </c>
      <c r="L33">
        <v>116</v>
      </c>
      <c r="M33">
        <v>1</v>
      </c>
      <c r="N33">
        <v>0</v>
      </c>
      <c r="O33">
        <v>0</v>
      </c>
      <c r="P33">
        <v>0</v>
      </c>
      <c r="Q33">
        <v>0</v>
      </c>
      <c r="R33">
        <v>0</v>
      </c>
      <c r="T33">
        <v>116</v>
      </c>
      <c r="U33">
        <v>0</v>
      </c>
      <c r="V33">
        <v>0</v>
      </c>
      <c r="W33">
        <v>0</v>
      </c>
      <c r="X33">
        <v>0</v>
      </c>
      <c r="Y33">
        <v>0</v>
      </c>
      <c r="Z33">
        <v>0</v>
      </c>
      <c r="AA33">
        <v>0</v>
      </c>
      <c r="AB33">
        <v>0</v>
      </c>
      <c r="AC33">
        <v>0</v>
      </c>
      <c r="AD33">
        <v>0</v>
      </c>
      <c r="AE33">
        <v>0</v>
      </c>
      <c r="AF33">
        <v>0</v>
      </c>
      <c r="AG33">
        <v>0</v>
      </c>
      <c r="AH33">
        <v>0</v>
      </c>
      <c r="AI33">
        <v>0</v>
      </c>
      <c r="AJ33">
        <v>0</v>
      </c>
      <c r="AK33">
        <v>0</v>
      </c>
      <c r="AL33">
        <v>0</v>
      </c>
      <c r="AM33">
        <v>0</v>
      </c>
      <c r="AN33">
        <v>116</v>
      </c>
      <c r="AP33" t="s">
        <v>1031</v>
      </c>
      <c r="AS33" t="s">
        <v>1195</v>
      </c>
      <c r="AV33" t="s">
        <v>1031</v>
      </c>
      <c r="AW33" t="s">
        <v>1195</v>
      </c>
      <c r="AX33">
        <v>0</v>
      </c>
      <c r="AY33">
        <v>0</v>
      </c>
      <c r="AZ33" t="s">
        <v>282</v>
      </c>
      <c r="BA33" t="s">
        <v>282</v>
      </c>
      <c r="BB33" t="s">
        <v>1197</v>
      </c>
      <c r="BC33">
        <v>1</v>
      </c>
    </row>
    <row r="34" spans="1:55" x14ac:dyDescent="0.25">
      <c r="A34" t="s">
        <v>99</v>
      </c>
      <c r="B34">
        <v>17</v>
      </c>
      <c r="C34" t="s">
        <v>1088</v>
      </c>
      <c r="D34" s="158">
        <v>45199</v>
      </c>
      <c r="E34">
        <v>623622</v>
      </c>
      <c r="F34">
        <v>10402530</v>
      </c>
      <c r="G34">
        <v>53963613</v>
      </c>
      <c r="H34" t="b">
        <v>0</v>
      </c>
      <c r="I34">
        <v>10</v>
      </c>
      <c r="J34" t="s">
        <v>1198</v>
      </c>
      <c r="K34">
        <v>85</v>
      </c>
      <c r="L34">
        <v>85</v>
      </c>
      <c r="M34">
        <v>1</v>
      </c>
      <c r="N34">
        <v>0</v>
      </c>
      <c r="O34">
        <v>0</v>
      </c>
      <c r="P34">
        <v>0</v>
      </c>
      <c r="Q34">
        <v>0</v>
      </c>
      <c r="R34">
        <v>0</v>
      </c>
      <c r="T34">
        <v>85</v>
      </c>
      <c r="U34">
        <v>0</v>
      </c>
      <c r="V34">
        <v>0</v>
      </c>
      <c r="W34">
        <v>0</v>
      </c>
      <c r="X34">
        <v>0</v>
      </c>
      <c r="Y34">
        <v>0</v>
      </c>
      <c r="Z34">
        <v>0</v>
      </c>
      <c r="AA34">
        <v>0</v>
      </c>
      <c r="AB34">
        <v>0</v>
      </c>
      <c r="AC34">
        <v>0</v>
      </c>
      <c r="AD34">
        <v>0</v>
      </c>
      <c r="AE34">
        <v>0</v>
      </c>
      <c r="AF34">
        <v>0</v>
      </c>
      <c r="AG34">
        <v>0</v>
      </c>
      <c r="AH34">
        <v>0</v>
      </c>
      <c r="AI34">
        <v>0</v>
      </c>
      <c r="AJ34">
        <v>0</v>
      </c>
      <c r="AK34">
        <v>0</v>
      </c>
      <c r="AL34">
        <v>0</v>
      </c>
      <c r="AM34">
        <v>0</v>
      </c>
      <c r="AN34">
        <v>85</v>
      </c>
      <c r="AP34" t="s">
        <v>1031</v>
      </c>
      <c r="AS34" t="s">
        <v>1250</v>
      </c>
      <c r="AV34" t="s">
        <v>1031</v>
      </c>
      <c r="AW34" t="s">
        <v>1250</v>
      </c>
      <c r="AX34">
        <v>0</v>
      </c>
      <c r="AY34">
        <v>0</v>
      </c>
      <c r="AZ34" t="s">
        <v>282</v>
      </c>
      <c r="BA34" t="s">
        <v>282</v>
      </c>
      <c r="BB34" t="s">
        <v>1197</v>
      </c>
      <c r="BC34">
        <v>1</v>
      </c>
    </row>
    <row r="35" spans="1:55" x14ac:dyDescent="0.25">
      <c r="A35" t="s">
        <v>99</v>
      </c>
      <c r="B35">
        <v>17</v>
      </c>
      <c r="C35" t="s">
        <v>1088</v>
      </c>
      <c r="D35" s="158">
        <v>45199</v>
      </c>
      <c r="E35">
        <v>623625</v>
      </c>
      <c r="F35">
        <v>10402569</v>
      </c>
      <c r="G35">
        <v>53963771</v>
      </c>
      <c r="H35" t="b">
        <v>0</v>
      </c>
      <c r="I35">
        <v>10</v>
      </c>
      <c r="J35" t="s">
        <v>1234</v>
      </c>
      <c r="K35">
        <v>8</v>
      </c>
      <c r="L35">
        <v>4</v>
      </c>
      <c r="M35">
        <v>2</v>
      </c>
      <c r="N35">
        <v>0</v>
      </c>
      <c r="O35">
        <v>0</v>
      </c>
      <c r="P35">
        <v>0</v>
      </c>
      <c r="Q35">
        <v>0</v>
      </c>
      <c r="R35">
        <v>0</v>
      </c>
      <c r="T35">
        <v>8</v>
      </c>
      <c r="U35">
        <v>0</v>
      </c>
      <c r="V35">
        <v>0</v>
      </c>
      <c r="W35">
        <v>0</v>
      </c>
      <c r="X35">
        <v>0</v>
      </c>
      <c r="Y35">
        <v>0</v>
      </c>
      <c r="Z35">
        <v>0</v>
      </c>
      <c r="AA35">
        <v>0</v>
      </c>
      <c r="AB35">
        <v>0</v>
      </c>
      <c r="AC35">
        <v>0</v>
      </c>
      <c r="AD35">
        <v>0</v>
      </c>
      <c r="AE35">
        <v>0</v>
      </c>
      <c r="AF35">
        <v>0</v>
      </c>
      <c r="AG35">
        <v>0</v>
      </c>
      <c r="AH35">
        <v>0</v>
      </c>
      <c r="AI35">
        <v>0</v>
      </c>
      <c r="AJ35">
        <v>0</v>
      </c>
      <c r="AK35">
        <v>0</v>
      </c>
      <c r="AL35">
        <v>0</v>
      </c>
      <c r="AM35">
        <v>0</v>
      </c>
      <c r="AN35">
        <v>8</v>
      </c>
      <c r="AP35" t="s">
        <v>1031</v>
      </c>
      <c r="AS35" t="s">
        <v>1250</v>
      </c>
      <c r="AV35" t="s">
        <v>1031</v>
      </c>
      <c r="AW35" t="s">
        <v>1250</v>
      </c>
      <c r="AX35">
        <v>0</v>
      </c>
      <c r="AY35">
        <v>0</v>
      </c>
      <c r="AZ35" t="s">
        <v>282</v>
      </c>
      <c r="BA35" t="s">
        <v>282</v>
      </c>
      <c r="BB35" t="s">
        <v>1197</v>
      </c>
      <c r="BC35">
        <v>1</v>
      </c>
    </row>
    <row r="36" spans="1:55" x14ac:dyDescent="0.25">
      <c r="A36" t="s">
        <v>99</v>
      </c>
      <c r="B36">
        <v>17</v>
      </c>
      <c r="C36" t="s">
        <v>1088</v>
      </c>
      <c r="D36" s="158">
        <v>45199</v>
      </c>
      <c r="E36">
        <v>623018</v>
      </c>
      <c r="F36">
        <v>10389922</v>
      </c>
      <c r="G36">
        <v>53907967</v>
      </c>
      <c r="H36" t="b">
        <v>0</v>
      </c>
      <c r="I36">
        <v>12</v>
      </c>
      <c r="J36" t="s">
        <v>1196</v>
      </c>
      <c r="K36">
        <v>85</v>
      </c>
      <c r="L36">
        <v>85</v>
      </c>
      <c r="M36">
        <v>1</v>
      </c>
      <c r="N36">
        <v>0</v>
      </c>
      <c r="O36">
        <v>0</v>
      </c>
      <c r="P36">
        <v>0</v>
      </c>
      <c r="Q36">
        <v>0</v>
      </c>
      <c r="R36">
        <v>0</v>
      </c>
      <c r="T36">
        <v>85</v>
      </c>
      <c r="U36">
        <v>0</v>
      </c>
      <c r="V36">
        <v>0</v>
      </c>
      <c r="W36">
        <v>0</v>
      </c>
      <c r="X36">
        <v>0</v>
      </c>
      <c r="Y36">
        <v>0</v>
      </c>
      <c r="Z36">
        <v>0</v>
      </c>
      <c r="AA36">
        <v>0</v>
      </c>
      <c r="AB36">
        <v>0</v>
      </c>
      <c r="AC36">
        <v>0</v>
      </c>
      <c r="AD36">
        <v>0</v>
      </c>
      <c r="AE36">
        <v>0</v>
      </c>
      <c r="AF36">
        <v>0</v>
      </c>
      <c r="AG36">
        <v>0</v>
      </c>
      <c r="AH36">
        <v>0</v>
      </c>
      <c r="AI36">
        <v>0</v>
      </c>
      <c r="AJ36">
        <v>0</v>
      </c>
      <c r="AK36">
        <v>0</v>
      </c>
      <c r="AL36">
        <v>0</v>
      </c>
      <c r="AM36">
        <v>0</v>
      </c>
      <c r="AN36">
        <v>85</v>
      </c>
      <c r="AP36" t="s">
        <v>1031</v>
      </c>
      <c r="AS36" t="s">
        <v>1230</v>
      </c>
      <c r="AV36" t="s">
        <v>1031</v>
      </c>
      <c r="AW36" t="s">
        <v>1230</v>
      </c>
      <c r="AX36">
        <v>0</v>
      </c>
      <c r="AY36">
        <v>0</v>
      </c>
      <c r="AZ36" t="s">
        <v>282</v>
      </c>
      <c r="BA36" t="s">
        <v>282</v>
      </c>
      <c r="BB36" t="s">
        <v>1197</v>
      </c>
      <c r="BC36">
        <v>1</v>
      </c>
    </row>
    <row r="37" spans="1:55" x14ac:dyDescent="0.25">
      <c r="A37" t="s">
        <v>99</v>
      </c>
      <c r="B37">
        <v>17</v>
      </c>
      <c r="C37" t="s">
        <v>1088</v>
      </c>
      <c r="D37" s="158">
        <v>45199</v>
      </c>
      <c r="E37">
        <v>623018</v>
      </c>
      <c r="F37">
        <v>10389922</v>
      </c>
      <c r="G37">
        <v>53908290</v>
      </c>
      <c r="H37" t="b">
        <v>0</v>
      </c>
      <c r="I37">
        <v>12</v>
      </c>
      <c r="J37" t="s">
        <v>1229</v>
      </c>
      <c r="K37">
        <v>16</v>
      </c>
      <c r="L37">
        <v>8</v>
      </c>
      <c r="M37">
        <v>2</v>
      </c>
      <c r="N37">
        <v>0</v>
      </c>
      <c r="O37">
        <v>0</v>
      </c>
      <c r="P37">
        <v>0</v>
      </c>
      <c r="Q37">
        <v>0</v>
      </c>
      <c r="R37">
        <v>0</v>
      </c>
      <c r="T37">
        <v>16</v>
      </c>
      <c r="U37">
        <v>0</v>
      </c>
      <c r="V37">
        <v>0</v>
      </c>
      <c r="W37">
        <v>0</v>
      </c>
      <c r="X37">
        <v>0</v>
      </c>
      <c r="Y37">
        <v>0</v>
      </c>
      <c r="Z37">
        <v>0</v>
      </c>
      <c r="AA37">
        <v>0</v>
      </c>
      <c r="AB37">
        <v>0</v>
      </c>
      <c r="AC37">
        <v>0</v>
      </c>
      <c r="AD37">
        <v>0</v>
      </c>
      <c r="AE37">
        <v>0</v>
      </c>
      <c r="AF37">
        <v>0</v>
      </c>
      <c r="AG37">
        <v>0</v>
      </c>
      <c r="AH37">
        <v>0</v>
      </c>
      <c r="AI37">
        <v>0</v>
      </c>
      <c r="AJ37">
        <v>0</v>
      </c>
      <c r="AK37">
        <v>0</v>
      </c>
      <c r="AL37">
        <v>0</v>
      </c>
      <c r="AM37">
        <v>0</v>
      </c>
      <c r="AN37">
        <v>16</v>
      </c>
      <c r="AP37" t="s">
        <v>1031</v>
      </c>
      <c r="AS37" t="s">
        <v>1230</v>
      </c>
      <c r="AV37" t="s">
        <v>1031</v>
      </c>
      <c r="AW37" t="s">
        <v>1230</v>
      </c>
      <c r="AX37">
        <v>0</v>
      </c>
      <c r="AY37">
        <v>0</v>
      </c>
      <c r="AZ37" t="s">
        <v>282</v>
      </c>
      <c r="BA37" t="s">
        <v>282</v>
      </c>
      <c r="BB37" t="s">
        <v>1197</v>
      </c>
      <c r="BC37">
        <v>1</v>
      </c>
    </row>
    <row r="38" spans="1:55" x14ac:dyDescent="0.25">
      <c r="A38" t="s">
        <v>99</v>
      </c>
      <c r="B38">
        <v>17</v>
      </c>
      <c r="C38" t="s">
        <v>1088</v>
      </c>
      <c r="D38" s="158">
        <v>45199</v>
      </c>
      <c r="E38">
        <v>623676</v>
      </c>
      <c r="F38">
        <v>10403072</v>
      </c>
      <c r="G38">
        <v>53966629</v>
      </c>
      <c r="H38" t="b">
        <v>0</v>
      </c>
      <c r="I38">
        <v>10</v>
      </c>
      <c r="J38" t="s">
        <v>1231</v>
      </c>
      <c r="K38">
        <v>15</v>
      </c>
      <c r="L38">
        <v>7.5</v>
      </c>
      <c r="M38">
        <v>2</v>
      </c>
      <c r="N38">
        <v>0</v>
      </c>
      <c r="O38">
        <v>0</v>
      </c>
      <c r="P38">
        <v>0</v>
      </c>
      <c r="Q38">
        <v>0</v>
      </c>
      <c r="R38">
        <v>0</v>
      </c>
      <c r="T38">
        <v>15</v>
      </c>
      <c r="U38">
        <v>0</v>
      </c>
      <c r="V38">
        <v>0</v>
      </c>
      <c r="W38">
        <v>0</v>
      </c>
      <c r="X38">
        <v>0</v>
      </c>
      <c r="Y38">
        <v>0</v>
      </c>
      <c r="Z38">
        <v>0</v>
      </c>
      <c r="AA38">
        <v>0</v>
      </c>
      <c r="AB38">
        <v>0</v>
      </c>
      <c r="AC38">
        <v>0</v>
      </c>
      <c r="AD38">
        <v>0</v>
      </c>
      <c r="AE38">
        <v>0</v>
      </c>
      <c r="AF38">
        <v>0</v>
      </c>
      <c r="AG38">
        <v>0</v>
      </c>
      <c r="AH38">
        <v>0</v>
      </c>
      <c r="AI38">
        <v>0</v>
      </c>
      <c r="AJ38">
        <v>0</v>
      </c>
      <c r="AK38">
        <v>0</v>
      </c>
      <c r="AL38">
        <v>0</v>
      </c>
      <c r="AM38">
        <v>0</v>
      </c>
      <c r="AN38">
        <v>15</v>
      </c>
      <c r="AP38" t="s">
        <v>1031</v>
      </c>
      <c r="AS38" t="s">
        <v>1230</v>
      </c>
      <c r="AV38" t="s">
        <v>1031</v>
      </c>
      <c r="AW38" t="s">
        <v>1230</v>
      </c>
      <c r="AX38">
        <v>0</v>
      </c>
      <c r="AY38">
        <v>0</v>
      </c>
      <c r="AZ38" t="s">
        <v>282</v>
      </c>
      <c r="BA38" t="s">
        <v>282</v>
      </c>
      <c r="BB38" t="s">
        <v>1197</v>
      </c>
      <c r="BC38">
        <v>1</v>
      </c>
    </row>
    <row r="39" spans="1:55" x14ac:dyDescent="0.25">
      <c r="A39" t="s">
        <v>99</v>
      </c>
      <c r="B39">
        <v>17</v>
      </c>
      <c r="C39" t="s">
        <v>1088</v>
      </c>
      <c r="D39" s="158">
        <v>45199</v>
      </c>
      <c r="E39">
        <v>621615</v>
      </c>
      <c r="F39">
        <v>10365756</v>
      </c>
      <c r="G39">
        <v>54007810</v>
      </c>
      <c r="H39" t="b">
        <v>0</v>
      </c>
      <c r="I39">
        <v>9</v>
      </c>
      <c r="J39" t="s">
        <v>1187</v>
      </c>
      <c r="K39">
        <v>216</v>
      </c>
      <c r="L39">
        <v>216</v>
      </c>
      <c r="M39">
        <v>1</v>
      </c>
      <c r="N39">
        <v>0</v>
      </c>
      <c r="O39">
        <v>0</v>
      </c>
      <c r="P39">
        <v>0</v>
      </c>
      <c r="Q39">
        <v>0</v>
      </c>
      <c r="R39">
        <v>0</v>
      </c>
      <c r="T39">
        <v>216</v>
      </c>
      <c r="U39">
        <v>0</v>
      </c>
      <c r="V39">
        <v>0</v>
      </c>
      <c r="W39">
        <v>0</v>
      </c>
      <c r="X39">
        <v>0</v>
      </c>
      <c r="Y39">
        <v>0</v>
      </c>
      <c r="Z39">
        <v>0</v>
      </c>
      <c r="AA39">
        <v>0</v>
      </c>
      <c r="AB39">
        <v>0</v>
      </c>
      <c r="AC39">
        <v>0</v>
      </c>
      <c r="AD39">
        <v>0</v>
      </c>
      <c r="AE39">
        <v>0</v>
      </c>
      <c r="AF39">
        <v>0</v>
      </c>
      <c r="AG39">
        <v>0</v>
      </c>
      <c r="AH39">
        <v>0</v>
      </c>
      <c r="AI39">
        <v>0</v>
      </c>
      <c r="AJ39">
        <v>0</v>
      </c>
      <c r="AK39">
        <v>0</v>
      </c>
      <c r="AL39">
        <v>0</v>
      </c>
      <c r="AM39">
        <v>0</v>
      </c>
      <c r="AN39">
        <v>216</v>
      </c>
      <c r="AP39" t="s">
        <v>1091</v>
      </c>
      <c r="AS39" t="s">
        <v>1185</v>
      </c>
      <c r="AV39" t="s">
        <v>1091</v>
      </c>
      <c r="AW39" t="s">
        <v>1185</v>
      </c>
      <c r="AX39">
        <v>0</v>
      </c>
      <c r="AY39">
        <v>0</v>
      </c>
      <c r="AZ39" t="s">
        <v>282</v>
      </c>
      <c r="BA39" t="s">
        <v>282</v>
      </c>
      <c r="BB39" t="s">
        <v>1197</v>
      </c>
      <c r="BC39">
        <v>1</v>
      </c>
    </row>
    <row r="40" spans="1:55" x14ac:dyDescent="0.25">
      <c r="A40" t="s">
        <v>99</v>
      </c>
      <c r="B40">
        <v>17</v>
      </c>
      <c r="C40" t="s">
        <v>1088</v>
      </c>
      <c r="D40" s="158">
        <v>45199</v>
      </c>
      <c r="E40">
        <v>624867</v>
      </c>
      <c r="F40">
        <v>10426711</v>
      </c>
      <c r="G40">
        <v>54108264</v>
      </c>
      <c r="H40" t="b">
        <v>0</v>
      </c>
      <c r="I40">
        <v>5</v>
      </c>
      <c r="J40" t="s">
        <v>1187</v>
      </c>
      <c r="K40">
        <v>216</v>
      </c>
      <c r="L40">
        <v>216</v>
      </c>
      <c r="M40">
        <v>1</v>
      </c>
      <c r="N40">
        <v>0</v>
      </c>
      <c r="O40">
        <v>0</v>
      </c>
      <c r="P40">
        <v>0</v>
      </c>
      <c r="Q40">
        <v>0</v>
      </c>
      <c r="R40">
        <v>0</v>
      </c>
      <c r="T40">
        <v>216</v>
      </c>
      <c r="U40">
        <v>0</v>
      </c>
      <c r="V40">
        <v>0</v>
      </c>
      <c r="W40">
        <v>0</v>
      </c>
      <c r="X40">
        <v>0</v>
      </c>
      <c r="Y40">
        <v>0</v>
      </c>
      <c r="Z40">
        <v>0</v>
      </c>
      <c r="AA40">
        <v>0</v>
      </c>
      <c r="AB40">
        <v>0</v>
      </c>
      <c r="AC40">
        <v>0</v>
      </c>
      <c r="AD40">
        <v>0</v>
      </c>
      <c r="AE40">
        <v>0</v>
      </c>
      <c r="AF40">
        <v>0</v>
      </c>
      <c r="AG40">
        <v>0</v>
      </c>
      <c r="AH40">
        <v>0</v>
      </c>
      <c r="AI40">
        <v>0</v>
      </c>
      <c r="AJ40">
        <v>0</v>
      </c>
      <c r="AK40">
        <v>0</v>
      </c>
      <c r="AL40">
        <v>0</v>
      </c>
      <c r="AM40">
        <v>0</v>
      </c>
      <c r="AN40">
        <v>216</v>
      </c>
      <c r="AP40" t="s">
        <v>1091</v>
      </c>
      <c r="AS40" t="s">
        <v>1208</v>
      </c>
      <c r="AV40" t="s">
        <v>1091</v>
      </c>
      <c r="AW40" t="s">
        <v>1208</v>
      </c>
      <c r="AX40">
        <v>0</v>
      </c>
      <c r="AY40">
        <v>0</v>
      </c>
      <c r="AZ40" t="s">
        <v>282</v>
      </c>
      <c r="BA40" t="s">
        <v>282</v>
      </c>
      <c r="BB40" t="s">
        <v>1197</v>
      </c>
      <c r="BC40">
        <v>1</v>
      </c>
    </row>
    <row r="41" spans="1:55" x14ac:dyDescent="0.25">
      <c r="A41" t="s">
        <v>99</v>
      </c>
      <c r="B41">
        <v>17</v>
      </c>
      <c r="C41" t="s">
        <v>1088</v>
      </c>
      <c r="D41" s="158">
        <v>45199</v>
      </c>
      <c r="E41">
        <v>508687</v>
      </c>
      <c r="F41">
        <v>10312820</v>
      </c>
      <c r="G41">
        <v>54248946</v>
      </c>
      <c r="H41" t="b">
        <v>0</v>
      </c>
      <c r="I41">
        <v>30</v>
      </c>
      <c r="J41" t="s">
        <v>1184</v>
      </c>
      <c r="K41">
        <v>150</v>
      </c>
      <c r="L41">
        <v>150</v>
      </c>
      <c r="M41">
        <v>1</v>
      </c>
      <c r="N41">
        <v>0</v>
      </c>
      <c r="O41">
        <v>0</v>
      </c>
      <c r="P41">
        <v>0</v>
      </c>
      <c r="Q41">
        <v>0</v>
      </c>
      <c r="R41">
        <v>0</v>
      </c>
      <c r="T41">
        <v>150</v>
      </c>
      <c r="U41">
        <v>0</v>
      </c>
      <c r="V41">
        <v>0</v>
      </c>
      <c r="W41">
        <v>0</v>
      </c>
      <c r="X41">
        <v>0</v>
      </c>
      <c r="Y41">
        <v>0</v>
      </c>
      <c r="Z41">
        <v>0</v>
      </c>
      <c r="AA41">
        <v>0</v>
      </c>
      <c r="AB41">
        <v>0</v>
      </c>
      <c r="AC41">
        <v>0</v>
      </c>
      <c r="AD41">
        <v>0</v>
      </c>
      <c r="AE41">
        <v>0</v>
      </c>
      <c r="AF41">
        <v>0</v>
      </c>
      <c r="AG41">
        <v>0</v>
      </c>
      <c r="AH41">
        <v>0</v>
      </c>
      <c r="AI41">
        <v>0</v>
      </c>
      <c r="AJ41">
        <v>0</v>
      </c>
      <c r="AK41">
        <v>0</v>
      </c>
      <c r="AL41">
        <v>0</v>
      </c>
      <c r="AM41">
        <v>0</v>
      </c>
      <c r="AN41">
        <v>150</v>
      </c>
      <c r="AP41" t="s">
        <v>1091</v>
      </c>
      <c r="AS41" t="s">
        <v>1185</v>
      </c>
      <c r="AV41" t="s">
        <v>1091</v>
      </c>
      <c r="AW41" t="s">
        <v>1185</v>
      </c>
      <c r="AX41">
        <v>0</v>
      </c>
      <c r="AY41">
        <v>0</v>
      </c>
      <c r="AZ41" t="s">
        <v>282</v>
      </c>
      <c r="BA41" t="s">
        <v>282</v>
      </c>
      <c r="BB41" t="s">
        <v>1197</v>
      </c>
      <c r="BC41">
        <v>1</v>
      </c>
    </row>
    <row r="42" spans="1:55" x14ac:dyDescent="0.25">
      <c r="A42" t="s">
        <v>99</v>
      </c>
      <c r="B42">
        <v>17</v>
      </c>
      <c r="C42" t="s">
        <v>1088</v>
      </c>
      <c r="D42" s="158">
        <v>45199</v>
      </c>
      <c r="E42">
        <v>625458</v>
      </c>
      <c r="F42">
        <v>10437250</v>
      </c>
      <c r="G42">
        <v>54178732</v>
      </c>
      <c r="H42" t="b">
        <v>0</v>
      </c>
      <c r="I42">
        <v>3</v>
      </c>
      <c r="J42" t="s">
        <v>1198</v>
      </c>
      <c r="K42">
        <v>85</v>
      </c>
      <c r="L42">
        <v>85</v>
      </c>
      <c r="M42">
        <v>1</v>
      </c>
      <c r="N42">
        <v>0</v>
      </c>
      <c r="O42">
        <v>0</v>
      </c>
      <c r="P42">
        <v>0</v>
      </c>
      <c r="Q42">
        <v>0</v>
      </c>
      <c r="R42">
        <v>0</v>
      </c>
      <c r="T42">
        <v>85</v>
      </c>
      <c r="U42">
        <v>0</v>
      </c>
      <c r="V42">
        <v>0</v>
      </c>
      <c r="W42">
        <v>0</v>
      </c>
      <c r="X42">
        <v>0</v>
      </c>
      <c r="Y42">
        <v>0</v>
      </c>
      <c r="Z42">
        <v>0</v>
      </c>
      <c r="AA42">
        <v>0</v>
      </c>
      <c r="AB42">
        <v>0</v>
      </c>
      <c r="AC42">
        <v>0</v>
      </c>
      <c r="AD42">
        <v>0</v>
      </c>
      <c r="AE42">
        <v>0</v>
      </c>
      <c r="AF42">
        <v>0</v>
      </c>
      <c r="AG42">
        <v>0</v>
      </c>
      <c r="AH42">
        <v>0</v>
      </c>
      <c r="AI42">
        <v>0</v>
      </c>
      <c r="AJ42">
        <v>0</v>
      </c>
      <c r="AK42">
        <v>0</v>
      </c>
      <c r="AL42">
        <v>0</v>
      </c>
      <c r="AM42">
        <v>0</v>
      </c>
      <c r="AN42">
        <v>85</v>
      </c>
      <c r="AP42" t="s">
        <v>1031</v>
      </c>
      <c r="AS42" t="s">
        <v>1250</v>
      </c>
      <c r="AV42" t="s">
        <v>1031</v>
      </c>
      <c r="AW42" t="s">
        <v>1250</v>
      </c>
      <c r="AX42">
        <v>0</v>
      </c>
      <c r="AY42">
        <v>0</v>
      </c>
      <c r="AZ42" t="s">
        <v>282</v>
      </c>
      <c r="BA42" t="s">
        <v>282</v>
      </c>
      <c r="BB42" t="s">
        <v>1197</v>
      </c>
      <c r="BC42">
        <v>1</v>
      </c>
    </row>
    <row r="43" spans="1:55" x14ac:dyDescent="0.25">
      <c r="A43" t="s">
        <v>99</v>
      </c>
      <c r="B43">
        <v>17</v>
      </c>
      <c r="C43" t="s">
        <v>1088</v>
      </c>
      <c r="D43" s="158">
        <v>45199</v>
      </c>
      <c r="E43">
        <v>624463</v>
      </c>
      <c r="F43">
        <v>10418379</v>
      </c>
      <c r="G43">
        <v>54225383</v>
      </c>
      <c r="H43" t="b">
        <v>0</v>
      </c>
      <c r="I43">
        <v>2</v>
      </c>
      <c r="J43" t="s">
        <v>1187</v>
      </c>
      <c r="K43">
        <v>216</v>
      </c>
      <c r="L43">
        <v>216</v>
      </c>
      <c r="M43">
        <v>1</v>
      </c>
      <c r="N43">
        <v>0</v>
      </c>
      <c r="O43">
        <v>0</v>
      </c>
      <c r="P43">
        <v>0</v>
      </c>
      <c r="Q43">
        <v>0</v>
      </c>
      <c r="R43">
        <v>0</v>
      </c>
      <c r="T43">
        <v>0</v>
      </c>
      <c r="U43">
        <v>0</v>
      </c>
      <c r="V43">
        <v>0</v>
      </c>
      <c r="W43">
        <v>0</v>
      </c>
      <c r="X43">
        <v>0</v>
      </c>
      <c r="Y43">
        <v>0</v>
      </c>
      <c r="Z43">
        <v>0</v>
      </c>
      <c r="AA43">
        <v>0</v>
      </c>
      <c r="AB43">
        <v>0</v>
      </c>
      <c r="AC43">
        <v>0</v>
      </c>
      <c r="AD43">
        <v>0</v>
      </c>
      <c r="AE43">
        <v>0</v>
      </c>
      <c r="AF43">
        <v>0</v>
      </c>
      <c r="AG43">
        <v>0</v>
      </c>
      <c r="AH43">
        <v>0</v>
      </c>
      <c r="AI43">
        <v>216</v>
      </c>
      <c r="AJ43">
        <v>0</v>
      </c>
      <c r="AK43">
        <v>0</v>
      </c>
      <c r="AL43">
        <v>0</v>
      </c>
      <c r="AM43">
        <v>0</v>
      </c>
      <c r="AN43">
        <v>216</v>
      </c>
      <c r="AP43" t="s">
        <v>1091</v>
      </c>
      <c r="AS43" t="s">
        <v>1185</v>
      </c>
      <c r="AV43" t="s">
        <v>1091</v>
      </c>
      <c r="AW43" t="s">
        <v>1185</v>
      </c>
      <c r="AX43">
        <v>0</v>
      </c>
      <c r="AY43">
        <v>0</v>
      </c>
      <c r="AZ43" t="s">
        <v>282</v>
      </c>
      <c r="BA43" t="s">
        <v>282</v>
      </c>
      <c r="BB43" t="s">
        <v>1197</v>
      </c>
      <c r="BC43">
        <v>1</v>
      </c>
    </row>
    <row r="44" spans="1:55" x14ac:dyDescent="0.25">
      <c r="A44" t="s">
        <v>99</v>
      </c>
      <c r="B44">
        <v>17</v>
      </c>
      <c r="C44" t="s">
        <v>1088</v>
      </c>
      <c r="D44" s="158">
        <v>45199</v>
      </c>
      <c r="E44">
        <v>470677</v>
      </c>
      <c r="F44">
        <v>9926074</v>
      </c>
      <c r="G44">
        <v>52499301</v>
      </c>
      <c r="H44" t="b">
        <v>0</v>
      </c>
      <c r="I44">
        <v>82</v>
      </c>
      <c r="J44" t="s">
        <v>1187</v>
      </c>
      <c r="K44">
        <v>150</v>
      </c>
      <c r="L44">
        <v>150</v>
      </c>
      <c r="M44">
        <v>1</v>
      </c>
      <c r="N44">
        <v>0</v>
      </c>
      <c r="O44">
        <v>0</v>
      </c>
      <c r="P44">
        <v>0</v>
      </c>
      <c r="Q44">
        <v>0</v>
      </c>
      <c r="R44">
        <v>0</v>
      </c>
      <c r="T44">
        <v>150</v>
      </c>
      <c r="U44">
        <v>0</v>
      </c>
      <c r="V44">
        <v>0</v>
      </c>
      <c r="W44">
        <v>0</v>
      </c>
      <c r="X44">
        <v>0</v>
      </c>
      <c r="Y44">
        <v>0</v>
      </c>
      <c r="Z44">
        <v>0</v>
      </c>
      <c r="AA44">
        <v>0</v>
      </c>
      <c r="AB44">
        <v>0</v>
      </c>
      <c r="AC44">
        <v>0</v>
      </c>
      <c r="AD44">
        <v>0</v>
      </c>
      <c r="AE44">
        <v>0</v>
      </c>
      <c r="AF44">
        <v>0</v>
      </c>
      <c r="AG44">
        <v>0</v>
      </c>
      <c r="AH44">
        <v>0</v>
      </c>
      <c r="AI44">
        <v>0</v>
      </c>
      <c r="AJ44">
        <v>0</v>
      </c>
      <c r="AK44">
        <v>0</v>
      </c>
      <c r="AL44">
        <v>0</v>
      </c>
      <c r="AM44">
        <v>0</v>
      </c>
      <c r="AN44">
        <v>150</v>
      </c>
      <c r="AP44" t="s">
        <v>1089</v>
      </c>
      <c r="AS44" t="s">
        <v>1233</v>
      </c>
      <c r="AV44" t="s">
        <v>1089</v>
      </c>
      <c r="AW44" t="s">
        <v>1233</v>
      </c>
      <c r="AX44">
        <v>0</v>
      </c>
      <c r="AY44">
        <v>0</v>
      </c>
      <c r="AZ44" t="s">
        <v>282</v>
      </c>
      <c r="BA44" t="s">
        <v>282</v>
      </c>
      <c r="BB44" t="s">
        <v>1186</v>
      </c>
      <c r="BC44">
        <v>3</v>
      </c>
    </row>
    <row r="45" spans="1:55" x14ac:dyDescent="0.25">
      <c r="A45" t="s">
        <v>99</v>
      </c>
      <c r="B45">
        <v>17</v>
      </c>
      <c r="C45" t="s">
        <v>1088</v>
      </c>
      <c r="D45" s="158">
        <v>45199</v>
      </c>
      <c r="E45">
        <v>621688</v>
      </c>
      <c r="F45">
        <v>10367014</v>
      </c>
      <c r="G45">
        <v>53757733</v>
      </c>
      <c r="H45" t="b">
        <v>0</v>
      </c>
      <c r="I45">
        <v>17</v>
      </c>
      <c r="J45" t="s">
        <v>1198</v>
      </c>
      <c r="K45">
        <v>85</v>
      </c>
      <c r="L45">
        <v>85</v>
      </c>
      <c r="M45">
        <v>1</v>
      </c>
      <c r="N45">
        <v>0</v>
      </c>
      <c r="O45">
        <v>0</v>
      </c>
      <c r="P45">
        <v>0</v>
      </c>
      <c r="Q45">
        <v>0</v>
      </c>
      <c r="R45">
        <v>0</v>
      </c>
      <c r="T45">
        <v>85</v>
      </c>
      <c r="U45">
        <v>0</v>
      </c>
      <c r="V45">
        <v>0</v>
      </c>
      <c r="W45">
        <v>0</v>
      </c>
      <c r="X45">
        <v>0</v>
      </c>
      <c r="Y45">
        <v>0</v>
      </c>
      <c r="Z45">
        <v>0</v>
      </c>
      <c r="AA45">
        <v>0</v>
      </c>
      <c r="AB45">
        <v>0</v>
      </c>
      <c r="AC45">
        <v>0</v>
      </c>
      <c r="AD45">
        <v>0</v>
      </c>
      <c r="AE45">
        <v>0</v>
      </c>
      <c r="AF45">
        <v>0</v>
      </c>
      <c r="AG45">
        <v>0</v>
      </c>
      <c r="AH45">
        <v>0</v>
      </c>
      <c r="AI45">
        <v>0</v>
      </c>
      <c r="AJ45">
        <v>0</v>
      </c>
      <c r="AK45">
        <v>0</v>
      </c>
      <c r="AL45">
        <v>0</v>
      </c>
      <c r="AM45">
        <v>0</v>
      </c>
      <c r="AN45">
        <v>85</v>
      </c>
      <c r="AP45" t="s">
        <v>1031</v>
      </c>
      <c r="AS45" t="s">
        <v>1250</v>
      </c>
      <c r="AV45" t="s">
        <v>1031</v>
      </c>
      <c r="AW45" t="s">
        <v>1250</v>
      </c>
      <c r="AX45">
        <v>0</v>
      </c>
      <c r="AY45">
        <v>0</v>
      </c>
      <c r="AZ45" t="s">
        <v>282</v>
      </c>
      <c r="BA45" t="s">
        <v>282</v>
      </c>
      <c r="BB45" t="s">
        <v>1197</v>
      </c>
      <c r="BC45">
        <v>1</v>
      </c>
    </row>
    <row r="46" spans="1:55" x14ac:dyDescent="0.25">
      <c r="A46" t="s">
        <v>99</v>
      </c>
      <c r="B46">
        <v>17</v>
      </c>
      <c r="C46" t="s">
        <v>1088</v>
      </c>
      <c r="D46" s="158">
        <v>45199</v>
      </c>
      <c r="E46">
        <v>621692</v>
      </c>
      <c r="F46">
        <v>10367092</v>
      </c>
      <c r="G46">
        <v>53757900</v>
      </c>
      <c r="H46" t="b">
        <v>0</v>
      </c>
      <c r="I46">
        <v>17</v>
      </c>
      <c r="J46" t="s">
        <v>1240</v>
      </c>
      <c r="K46">
        <v>25</v>
      </c>
      <c r="L46">
        <v>12.5</v>
      </c>
      <c r="M46">
        <v>2</v>
      </c>
      <c r="N46">
        <v>0</v>
      </c>
      <c r="O46">
        <v>0</v>
      </c>
      <c r="P46">
        <v>0</v>
      </c>
      <c r="Q46">
        <v>0</v>
      </c>
      <c r="R46">
        <v>0</v>
      </c>
      <c r="T46">
        <v>25</v>
      </c>
      <c r="U46">
        <v>0</v>
      </c>
      <c r="V46">
        <v>0</v>
      </c>
      <c r="W46">
        <v>0</v>
      </c>
      <c r="X46">
        <v>0</v>
      </c>
      <c r="Y46">
        <v>0</v>
      </c>
      <c r="Z46">
        <v>0</v>
      </c>
      <c r="AA46">
        <v>0</v>
      </c>
      <c r="AB46">
        <v>0</v>
      </c>
      <c r="AC46">
        <v>0</v>
      </c>
      <c r="AD46">
        <v>0</v>
      </c>
      <c r="AE46">
        <v>0</v>
      </c>
      <c r="AF46">
        <v>0</v>
      </c>
      <c r="AG46">
        <v>0</v>
      </c>
      <c r="AH46">
        <v>0</v>
      </c>
      <c r="AI46">
        <v>0</v>
      </c>
      <c r="AJ46">
        <v>0</v>
      </c>
      <c r="AK46">
        <v>0</v>
      </c>
      <c r="AL46">
        <v>0</v>
      </c>
      <c r="AM46">
        <v>0</v>
      </c>
      <c r="AN46">
        <v>25</v>
      </c>
      <c r="AP46" t="s">
        <v>1031</v>
      </c>
      <c r="AS46" t="s">
        <v>1250</v>
      </c>
      <c r="AV46" t="s">
        <v>1031</v>
      </c>
      <c r="AW46" t="s">
        <v>1250</v>
      </c>
      <c r="AX46">
        <v>0</v>
      </c>
      <c r="AY46">
        <v>0</v>
      </c>
      <c r="AZ46" t="s">
        <v>282</v>
      </c>
      <c r="BA46" t="s">
        <v>282</v>
      </c>
      <c r="BB46" t="s">
        <v>1197</v>
      </c>
      <c r="BC46">
        <v>1</v>
      </c>
    </row>
    <row r="47" spans="1:55" x14ac:dyDescent="0.25">
      <c r="A47" t="s">
        <v>99</v>
      </c>
      <c r="B47">
        <v>17</v>
      </c>
      <c r="C47" t="s">
        <v>1088</v>
      </c>
      <c r="D47" s="158">
        <v>45199</v>
      </c>
      <c r="E47">
        <v>621445</v>
      </c>
      <c r="F47">
        <v>10362200</v>
      </c>
      <c r="G47">
        <v>53717338</v>
      </c>
      <c r="H47" t="b">
        <v>0</v>
      </c>
      <c r="I47">
        <v>18</v>
      </c>
      <c r="J47" t="s">
        <v>1196</v>
      </c>
      <c r="K47">
        <v>85</v>
      </c>
      <c r="L47">
        <v>85</v>
      </c>
      <c r="M47">
        <v>1</v>
      </c>
      <c r="N47">
        <v>0</v>
      </c>
      <c r="O47">
        <v>0</v>
      </c>
      <c r="P47">
        <v>0</v>
      </c>
      <c r="Q47">
        <v>0</v>
      </c>
      <c r="R47">
        <v>0</v>
      </c>
      <c r="T47">
        <v>85</v>
      </c>
      <c r="U47">
        <v>0</v>
      </c>
      <c r="V47">
        <v>0</v>
      </c>
      <c r="W47">
        <v>0</v>
      </c>
      <c r="X47">
        <v>0</v>
      </c>
      <c r="Y47">
        <v>0</v>
      </c>
      <c r="Z47">
        <v>0</v>
      </c>
      <c r="AA47">
        <v>0</v>
      </c>
      <c r="AB47">
        <v>0</v>
      </c>
      <c r="AC47">
        <v>0</v>
      </c>
      <c r="AD47">
        <v>0</v>
      </c>
      <c r="AE47">
        <v>0</v>
      </c>
      <c r="AF47">
        <v>0</v>
      </c>
      <c r="AG47">
        <v>0</v>
      </c>
      <c r="AH47">
        <v>0</v>
      </c>
      <c r="AI47">
        <v>0</v>
      </c>
      <c r="AJ47">
        <v>0</v>
      </c>
      <c r="AK47">
        <v>0</v>
      </c>
      <c r="AL47">
        <v>0</v>
      </c>
      <c r="AM47">
        <v>0</v>
      </c>
      <c r="AN47">
        <v>85</v>
      </c>
      <c r="AP47" t="s">
        <v>1031</v>
      </c>
      <c r="AS47" t="s">
        <v>1230</v>
      </c>
      <c r="AV47" t="s">
        <v>1031</v>
      </c>
      <c r="AW47" t="s">
        <v>1230</v>
      </c>
      <c r="AX47">
        <v>0</v>
      </c>
      <c r="AY47">
        <v>0</v>
      </c>
      <c r="AZ47" t="s">
        <v>282</v>
      </c>
      <c r="BA47" t="s">
        <v>282</v>
      </c>
      <c r="BB47" t="s">
        <v>1197</v>
      </c>
      <c r="BC47">
        <v>1</v>
      </c>
    </row>
    <row r="48" spans="1:55" x14ac:dyDescent="0.25">
      <c r="A48" t="s">
        <v>99</v>
      </c>
      <c r="B48">
        <v>17</v>
      </c>
      <c r="C48" t="s">
        <v>1088</v>
      </c>
      <c r="D48" s="158">
        <v>45199</v>
      </c>
      <c r="E48">
        <v>621445</v>
      </c>
      <c r="F48">
        <v>10362200</v>
      </c>
      <c r="G48">
        <v>53717377</v>
      </c>
      <c r="H48" t="b">
        <v>0</v>
      </c>
      <c r="I48">
        <v>18</v>
      </c>
      <c r="J48" t="s">
        <v>1231</v>
      </c>
      <c r="K48">
        <v>15</v>
      </c>
      <c r="L48">
        <v>7.5</v>
      </c>
      <c r="M48">
        <v>2</v>
      </c>
      <c r="N48">
        <v>0</v>
      </c>
      <c r="O48">
        <v>0</v>
      </c>
      <c r="P48">
        <v>0</v>
      </c>
      <c r="Q48">
        <v>0</v>
      </c>
      <c r="R48">
        <v>0</v>
      </c>
      <c r="T48">
        <v>15</v>
      </c>
      <c r="U48">
        <v>0</v>
      </c>
      <c r="V48">
        <v>0</v>
      </c>
      <c r="W48">
        <v>0</v>
      </c>
      <c r="X48">
        <v>0</v>
      </c>
      <c r="Y48">
        <v>0</v>
      </c>
      <c r="Z48">
        <v>0</v>
      </c>
      <c r="AA48">
        <v>0</v>
      </c>
      <c r="AB48">
        <v>0</v>
      </c>
      <c r="AC48">
        <v>0</v>
      </c>
      <c r="AD48">
        <v>0</v>
      </c>
      <c r="AE48">
        <v>0</v>
      </c>
      <c r="AF48">
        <v>0</v>
      </c>
      <c r="AG48">
        <v>0</v>
      </c>
      <c r="AH48">
        <v>0</v>
      </c>
      <c r="AI48">
        <v>0</v>
      </c>
      <c r="AJ48">
        <v>0</v>
      </c>
      <c r="AK48">
        <v>0</v>
      </c>
      <c r="AL48">
        <v>0</v>
      </c>
      <c r="AM48">
        <v>0</v>
      </c>
      <c r="AN48">
        <v>15</v>
      </c>
      <c r="AP48" t="s">
        <v>1031</v>
      </c>
      <c r="AS48" t="s">
        <v>1230</v>
      </c>
      <c r="AV48" t="s">
        <v>1031</v>
      </c>
      <c r="AW48" t="s">
        <v>1230</v>
      </c>
      <c r="AX48">
        <v>0</v>
      </c>
      <c r="AY48">
        <v>0</v>
      </c>
      <c r="AZ48" t="s">
        <v>282</v>
      </c>
      <c r="BA48" t="s">
        <v>282</v>
      </c>
      <c r="BB48" t="s">
        <v>1197</v>
      </c>
      <c r="BC48">
        <v>1</v>
      </c>
    </row>
    <row r="49" spans="1:55" x14ac:dyDescent="0.25">
      <c r="A49" t="s">
        <v>99</v>
      </c>
      <c r="B49">
        <v>17</v>
      </c>
      <c r="C49" t="s">
        <v>1088</v>
      </c>
      <c r="D49" s="158">
        <v>45199</v>
      </c>
      <c r="E49">
        <v>621449</v>
      </c>
      <c r="F49">
        <v>10362310</v>
      </c>
      <c r="G49">
        <v>53717692</v>
      </c>
      <c r="H49" t="b">
        <v>0</v>
      </c>
      <c r="I49">
        <v>18</v>
      </c>
      <c r="J49" t="s">
        <v>1249</v>
      </c>
      <c r="K49">
        <v>15</v>
      </c>
      <c r="L49">
        <v>7.5</v>
      </c>
      <c r="M49">
        <v>2</v>
      </c>
      <c r="N49">
        <v>0</v>
      </c>
      <c r="O49">
        <v>0</v>
      </c>
      <c r="P49">
        <v>0</v>
      </c>
      <c r="Q49">
        <v>0</v>
      </c>
      <c r="R49">
        <v>0</v>
      </c>
      <c r="T49">
        <v>15</v>
      </c>
      <c r="U49">
        <v>0</v>
      </c>
      <c r="V49">
        <v>0</v>
      </c>
      <c r="W49">
        <v>0</v>
      </c>
      <c r="X49">
        <v>0</v>
      </c>
      <c r="Y49">
        <v>0</v>
      </c>
      <c r="Z49">
        <v>0</v>
      </c>
      <c r="AA49">
        <v>0</v>
      </c>
      <c r="AB49">
        <v>0</v>
      </c>
      <c r="AC49">
        <v>0</v>
      </c>
      <c r="AD49">
        <v>0</v>
      </c>
      <c r="AE49">
        <v>0</v>
      </c>
      <c r="AF49">
        <v>0</v>
      </c>
      <c r="AG49">
        <v>0</v>
      </c>
      <c r="AH49">
        <v>0</v>
      </c>
      <c r="AI49">
        <v>0</v>
      </c>
      <c r="AJ49">
        <v>0</v>
      </c>
      <c r="AK49">
        <v>0</v>
      </c>
      <c r="AL49">
        <v>0</v>
      </c>
      <c r="AM49">
        <v>0</v>
      </c>
      <c r="AN49">
        <v>15</v>
      </c>
      <c r="AP49" t="s">
        <v>1031</v>
      </c>
      <c r="AS49" t="s">
        <v>1230</v>
      </c>
      <c r="AV49" t="s">
        <v>1031</v>
      </c>
      <c r="AW49" t="s">
        <v>1230</v>
      </c>
      <c r="AX49">
        <v>0</v>
      </c>
      <c r="AY49">
        <v>0</v>
      </c>
      <c r="AZ49" t="s">
        <v>282</v>
      </c>
      <c r="BA49" t="s">
        <v>282</v>
      </c>
      <c r="BB49" t="s">
        <v>1197</v>
      </c>
      <c r="BC49">
        <v>1</v>
      </c>
    </row>
    <row r="50" spans="1:55" x14ac:dyDescent="0.25">
      <c r="A50" t="s">
        <v>99</v>
      </c>
      <c r="B50">
        <v>17</v>
      </c>
      <c r="C50" t="s">
        <v>1088</v>
      </c>
      <c r="D50" s="158">
        <v>45199</v>
      </c>
      <c r="E50">
        <v>621449</v>
      </c>
      <c r="F50">
        <v>10362310</v>
      </c>
      <c r="G50">
        <v>53717669</v>
      </c>
      <c r="H50" t="b">
        <v>0</v>
      </c>
      <c r="I50">
        <v>18</v>
      </c>
      <c r="J50" t="s">
        <v>1229</v>
      </c>
      <c r="K50">
        <v>16</v>
      </c>
      <c r="L50">
        <v>8</v>
      </c>
      <c r="M50">
        <v>2</v>
      </c>
      <c r="N50">
        <v>0</v>
      </c>
      <c r="O50">
        <v>0</v>
      </c>
      <c r="P50">
        <v>0</v>
      </c>
      <c r="Q50">
        <v>0</v>
      </c>
      <c r="R50">
        <v>0</v>
      </c>
      <c r="T50">
        <v>16</v>
      </c>
      <c r="U50">
        <v>0</v>
      </c>
      <c r="V50">
        <v>0</v>
      </c>
      <c r="W50">
        <v>0</v>
      </c>
      <c r="X50">
        <v>0</v>
      </c>
      <c r="Y50">
        <v>0</v>
      </c>
      <c r="Z50">
        <v>0</v>
      </c>
      <c r="AA50">
        <v>0</v>
      </c>
      <c r="AB50">
        <v>0</v>
      </c>
      <c r="AC50">
        <v>0</v>
      </c>
      <c r="AD50">
        <v>0</v>
      </c>
      <c r="AE50">
        <v>0</v>
      </c>
      <c r="AF50">
        <v>0</v>
      </c>
      <c r="AG50">
        <v>0</v>
      </c>
      <c r="AH50">
        <v>0</v>
      </c>
      <c r="AI50">
        <v>0</v>
      </c>
      <c r="AJ50">
        <v>0</v>
      </c>
      <c r="AK50">
        <v>0</v>
      </c>
      <c r="AL50">
        <v>0</v>
      </c>
      <c r="AM50">
        <v>0</v>
      </c>
      <c r="AN50">
        <v>16</v>
      </c>
      <c r="AP50" t="s">
        <v>1031</v>
      </c>
      <c r="AS50" t="s">
        <v>1230</v>
      </c>
      <c r="AV50" t="s">
        <v>1031</v>
      </c>
      <c r="AW50" t="s">
        <v>1230</v>
      </c>
      <c r="AX50">
        <v>0</v>
      </c>
      <c r="AY50">
        <v>0</v>
      </c>
      <c r="AZ50" t="s">
        <v>282</v>
      </c>
      <c r="BA50" t="s">
        <v>282</v>
      </c>
      <c r="BB50" t="s">
        <v>1197</v>
      </c>
      <c r="BC50">
        <v>1</v>
      </c>
    </row>
    <row r="51" spans="1:55" x14ac:dyDescent="0.25">
      <c r="A51" t="s">
        <v>99</v>
      </c>
      <c r="B51">
        <v>17</v>
      </c>
      <c r="C51" t="s">
        <v>1088</v>
      </c>
      <c r="D51" s="158">
        <v>45199</v>
      </c>
      <c r="E51">
        <v>615283</v>
      </c>
      <c r="F51">
        <v>10244295</v>
      </c>
      <c r="G51">
        <v>52963751</v>
      </c>
      <c r="H51" t="b">
        <v>0</v>
      </c>
      <c r="I51">
        <v>44</v>
      </c>
      <c r="J51" t="s">
        <v>1187</v>
      </c>
      <c r="K51">
        <v>109.5</v>
      </c>
      <c r="L51">
        <v>109.5</v>
      </c>
      <c r="M51">
        <v>1</v>
      </c>
      <c r="N51">
        <v>0</v>
      </c>
      <c r="O51">
        <v>0</v>
      </c>
      <c r="P51">
        <v>0</v>
      </c>
      <c r="Q51">
        <v>0</v>
      </c>
      <c r="R51">
        <v>0</v>
      </c>
      <c r="T51">
        <v>109.5</v>
      </c>
      <c r="U51">
        <v>0</v>
      </c>
      <c r="V51">
        <v>0</v>
      </c>
      <c r="W51">
        <v>0</v>
      </c>
      <c r="X51">
        <v>0</v>
      </c>
      <c r="Y51">
        <v>0</v>
      </c>
      <c r="Z51">
        <v>0</v>
      </c>
      <c r="AA51">
        <v>0</v>
      </c>
      <c r="AB51">
        <v>0</v>
      </c>
      <c r="AC51">
        <v>0</v>
      </c>
      <c r="AD51">
        <v>0</v>
      </c>
      <c r="AE51">
        <v>0</v>
      </c>
      <c r="AF51">
        <v>0</v>
      </c>
      <c r="AG51">
        <v>0</v>
      </c>
      <c r="AH51">
        <v>0</v>
      </c>
      <c r="AI51">
        <v>0</v>
      </c>
      <c r="AJ51">
        <v>0</v>
      </c>
      <c r="AK51">
        <v>0</v>
      </c>
      <c r="AL51">
        <v>0</v>
      </c>
      <c r="AM51">
        <v>0</v>
      </c>
      <c r="AN51">
        <v>109.5</v>
      </c>
      <c r="AP51" t="s">
        <v>1031</v>
      </c>
      <c r="AS51" t="s">
        <v>1193</v>
      </c>
      <c r="AV51" t="s">
        <v>1031</v>
      </c>
      <c r="AW51" t="s">
        <v>1193</v>
      </c>
      <c r="AX51">
        <v>0</v>
      </c>
      <c r="AY51">
        <v>0</v>
      </c>
      <c r="AZ51" t="s">
        <v>282</v>
      </c>
      <c r="BA51" t="s">
        <v>282</v>
      </c>
      <c r="BB51" t="s">
        <v>1191</v>
      </c>
      <c r="BC51">
        <v>2</v>
      </c>
    </row>
    <row r="52" spans="1:55" x14ac:dyDescent="0.25">
      <c r="A52" t="s">
        <v>99</v>
      </c>
      <c r="B52">
        <v>17</v>
      </c>
      <c r="C52" t="s">
        <v>1088</v>
      </c>
      <c r="D52" s="158">
        <v>45199</v>
      </c>
      <c r="E52">
        <v>154892</v>
      </c>
      <c r="F52">
        <v>2105561</v>
      </c>
      <c r="G52">
        <v>10461026</v>
      </c>
      <c r="H52" t="b">
        <v>0</v>
      </c>
      <c r="I52">
        <v>2525</v>
      </c>
      <c r="J52" t="s">
        <v>1192</v>
      </c>
      <c r="K52">
        <v>15</v>
      </c>
      <c r="L52">
        <v>15</v>
      </c>
      <c r="M52">
        <v>1</v>
      </c>
      <c r="N52">
        <v>0</v>
      </c>
      <c r="O52">
        <v>0</v>
      </c>
      <c r="P52">
        <v>0</v>
      </c>
      <c r="Q52">
        <v>0</v>
      </c>
      <c r="R52">
        <v>0</v>
      </c>
      <c r="T52">
        <v>15</v>
      </c>
      <c r="U52">
        <v>0</v>
      </c>
      <c r="V52">
        <v>1</v>
      </c>
      <c r="W52">
        <v>30</v>
      </c>
      <c r="X52">
        <v>0</v>
      </c>
      <c r="Y52">
        <v>0</v>
      </c>
      <c r="Z52">
        <v>0</v>
      </c>
      <c r="AA52">
        <v>0</v>
      </c>
      <c r="AB52">
        <v>0</v>
      </c>
      <c r="AC52">
        <v>0</v>
      </c>
      <c r="AD52">
        <v>0</v>
      </c>
      <c r="AE52">
        <v>0</v>
      </c>
      <c r="AF52">
        <v>0</v>
      </c>
      <c r="AG52">
        <v>0</v>
      </c>
      <c r="AH52">
        <v>0</v>
      </c>
      <c r="AI52">
        <v>0</v>
      </c>
      <c r="AJ52">
        <v>0</v>
      </c>
      <c r="AK52">
        <v>0</v>
      </c>
      <c r="AL52">
        <v>0</v>
      </c>
      <c r="AM52">
        <v>0</v>
      </c>
      <c r="AN52">
        <v>-15</v>
      </c>
      <c r="AP52" t="s">
        <v>1031</v>
      </c>
      <c r="AS52" t="s">
        <v>1201</v>
      </c>
      <c r="AV52" t="s">
        <v>1031</v>
      </c>
      <c r="AW52" t="s">
        <v>1201</v>
      </c>
      <c r="AX52">
        <v>0</v>
      </c>
      <c r="AY52">
        <v>0</v>
      </c>
      <c r="AZ52" t="s">
        <v>282</v>
      </c>
      <c r="BA52" t="s">
        <v>282</v>
      </c>
      <c r="BB52" t="s">
        <v>1200</v>
      </c>
      <c r="BC52">
        <v>8</v>
      </c>
    </row>
    <row r="53" spans="1:55" x14ac:dyDescent="0.25">
      <c r="A53" t="s">
        <v>99</v>
      </c>
      <c r="B53">
        <v>17</v>
      </c>
      <c r="C53" t="s">
        <v>1088</v>
      </c>
      <c r="D53" s="158">
        <v>45199</v>
      </c>
      <c r="E53">
        <v>621615</v>
      </c>
      <c r="F53">
        <v>10365756</v>
      </c>
      <c r="G53">
        <v>54007797</v>
      </c>
      <c r="H53" t="b">
        <v>0</v>
      </c>
      <c r="I53">
        <v>9</v>
      </c>
      <c r="J53" t="s">
        <v>1187</v>
      </c>
      <c r="K53">
        <v>216</v>
      </c>
      <c r="L53">
        <v>216</v>
      </c>
      <c r="M53">
        <v>1</v>
      </c>
      <c r="N53">
        <v>0</v>
      </c>
      <c r="O53">
        <v>0</v>
      </c>
      <c r="P53">
        <v>0</v>
      </c>
      <c r="Q53">
        <v>0</v>
      </c>
      <c r="R53">
        <v>0</v>
      </c>
      <c r="T53">
        <v>216</v>
      </c>
      <c r="U53">
        <v>0</v>
      </c>
      <c r="V53">
        <v>0</v>
      </c>
      <c r="W53">
        <v>0</v>
      </c>
      <c r="X53">
        <v>0</v>
      </c>
      <c r="Y53">
        <v>0</v>
      </c>
      <c r="Z53">
        <v>0</v>
      </c>
      <c r="AA53">
        <v>0</v>
      </c>
      <c r="AB53">
        <v>0</v>
      </c>
      <c r="AC53">
        <v>0</v>
      </c>
      <c r="AD53">
        <v>0</v>
      </c>
      <c r="AE53">
        <v>0</v>
      </c>
      <c r="AF53">
        <v>0</v>
      </c>
      <c r="AG53">
        <v>0</v>
      </c>
      <c r="AH53">
        <v>0</v>
      </c>
      <c r="AI53">
        <v>0</v>
      </c>
      <c r="AJ53">
        <v>0</v>
      </c>
      <c r="AK53">
        <v>0</v>
      </c>
      <c r="AL53">
        <v>0</v>
      </c>
      <c r="AM53">
        <v>0</v>
      </c>
      <c r="AN53">
        <v>216</v>
      </c>
      <c r="AP53" t="s">
        <v>1091</v>
      </c>
      <c r="AS53" t="s">
        <v>1185</v>
      </c>
      <c r="AV53" t="s">
        <v>1091</v>
      </c>
      <c r="AW53" t="s">
        <v>1185</v>
      </c>
      <c r="AX53">
        <v>0</v>
      </c>
      <c r="AY53">
        <v>0</v>
      </c>
      <c r="AZ53" t="s">
        <v>282</v>
      </c>
      <c r="BA53" t="s">
        <v>282</v>
      </c>
      <c r="BB53" t="s">
        <v>1197</v>
      </c>
      <c r="BC53">
        <v>1</v>
      </c>
    </row>
    <row r="54" spans="1:55" x14ac:dyDescent="0.25">
      <c r="A54" t="s">
        <v>99</v>
      </c>
      <c r="B54">
        <v>17</v>
      </c>
      <c r="C54" t="s">
        <v>1088</v>
      </c>
      <c r="D54" s="158">
        <v>45199</v>
      </c>
      <c r="E54">
        <v>610335</v>
      </c>
      <c r="F54">
        <v>10145874</v>
      </c>
      <c r="G54">
        <v>52398999</v>
      </c>
      <c r="H54" t="b">
        <v>0</v>
      </c>
      <c r="I54">
        <v>60</v>
      </c>
      <c r="J54" t="s">
        <v>1187</v>
      </c>
      <c r="K54">
        <v>109.5</v>
      </c>
      <c r="L54">
        <v>109.5</v>
      </c>
      <c r="M54">
        <v>1</v>
      </c>
      <c r="N54">
        <v>0</v>
      </c>
      <c r="O54">
        <v>0</v>
      </c>
      <c r="P54">
        <v>0</v>
      </c>
      <c r="Q54">
        <v>0</v>
      </c>
      <c r="R54">
        <v>0</v>
      </c>
      <c r="T54">
        <v>109.5</v>
      </c>
      <c r="U54">
        <v>0</v>
      </c>
      <c r="V54">
        <v>0</v>
      </c>
      <c r="W54">
        <v>0</v>
      </c>
      <c r="X54">
        <v>0</v>
      </c>
      <c r="Y54">
        <v>0</v>
      </c>
      <c r="Z54">
        <v>0</v>
      </c>
      <c r="AA54">
        <v>0</v>
      </c>
      <c r="AB54">
        <v>0</v>
      </c>
      <c r="AC54">
        <v>0</v>
      </c>
      <c r="AD54">
        <v>0</v>
      </c>
      <c r="AE54">
        <v>0</v>
      </c>
      <c r="AF54">
        <v>0</v>
      </c>
      <c r="AG54">
        <v>0</v>
      </c>
      <c r="AH54">
        <v>0</v>
      </c>
      <c r="AI54">
        <v>0</v>
      </c>
      <c r="AJ54">
        <v>0</v>
      </c>
      <c r="AK54">
        <v>0</v>
      </c>
      <c r="AL54">
        <v>0</v>
      </c>
      <c r="AM54">
        <v>0</v>
      </c>
      <c r="AN54">
        <v>109.5</v>
      </c>
      <c r="AP54" t="s">
        <v>1031</v>
      </c>
      <c r="AS54" t="s">
        <v>1252</v>
      </c>
      <c r="AV54" t="s">
        <v>1031</v>
      </c>
      <c r="AW54" t="s">
        <v>1252</v>
      </c>
      <c r="AX54">
        <v>0</v>
      </c>
      <c r="AY54">
        <v>0</v>
      </c>
      <c r="AZ54" t="s">
        <v>282</v>
      </c>
      <c r="BA54" t="s">
        <v>282</v>
      </c>
      <c r="BB54" t="s">
        <v>1191</v>
      </c>
      <c r="BC54">
        <v>2</v>
      </c>
    </row>
    <row r="55" spans="1:55" x14ac:dyDescent="0.25">
      <c r="A55" t="s">
        <v>99</v>
      </c>
      <c r="B55">
        <v>17</v>
      </c>
      <c r="C55" t="s">
        <v>1088</v>
      </c>
      <c r="D55" s="158">
        <v>45199</v>
      </c>
      <c r="E55">
        <v>623676</v>
      </c>
      <c r="F55">
        <v>10403072</v>
      </c>
      <c r="G55">
        <v>53966618</v>
      </c>
      <c r="H55" t="b">
        <v>0</v>
      </c>
      <c r="I55">
        <v>10</v>
      </c>
      <c r="J55" t="s">
        <v>1241</v>
      </c>
      <c r="K55">
        <v>10</v>
      </c>
      <c r="L55">
        <v>5</v>
      </c>
      <c r="M55">
        <v>2</v>
      </c>
      <c r="N55">
        <v>0</v>
      </c>
      <c r="O55">
        <v>0</v>
      </c>
      <c r="P55">
        <v>0</v>
      </c>
      <c r="Q55">
        <v>0</v>
      </c>
      <c r="R55">
        <v>0</v>
      </c>
      <c r="T55">
        <v>10</v>
      </c>
      <c r="U55">
        <v>0</v>
      </c>
      <c r="V55">
        <v>0</v>
      </c>
      <c r="W55">
        <v>0</v>
      </c>
      <c r="X55">
        <v>0</v>
      </c>
      <c r="Y55">
        <v>0</v>
      </c>
      <c r="Z55">
        <v>0</v>
      </c>
      <c r="AA55">
        <v>0</v>
      </c>
      <c r="AB55">
        <v>0</v>
      </c>
      <c r="AC55">
        <v>0</v>
      </c>
      <c r="AD55">
        <v>0</v>
      </c>
      <c r="AE55">
        <v>0</v>
      </c>
      <c r="AF55">
        <v>0</v>
      </c>
      <c r="AG55">
        <v>0</v>
      </c>
      <c r="AH55">
        <v>0</v>
      </c>
      <c r="AI55">
        <v>0</v>
      </c>
      <c r="AJ55">
        <v>0</v>
      </c>
      <c r="AK55">
        <v>0</v>
      </c>
      <c r="AL55">
        <v>0</v>
      </c>
      <c r="AM55">
        <v>0</v>
      </c>
      <c r="AN55">
        <v>10</v>
      </c>
      <c r="AP55" t="s">
        <v>1031</v>
      </c>
      <c r="AS55" t="s">
        <v>1230</v>
      </c>
      <c r="AV55" t="s">
        <v>1031</v>
      </c>
      <c r="AW55" t="s">
        <v>1230</v>
      </c>
      <c r="AX55">
        <v>0</v>
      </c>
      <c r="AY55">
        <v>0</v>
      </c>
      <c r="AZ55" t="s">
        <v>282</v>
      </c>
      <c r="BA55" t="s">
        <v>282</v>
      </c>
      <c r="BB55" t="s">
        <v>1197</v>
      </c>
      <c r="BC55">
        <v>1</v>
      </c>
    </row>
    <row r="56" spans="1:55" x14ac:dyDescent="0.25">
      <c r="A56" t="s">
        <v>99</v>
      </c>
      <c r="B56">
        <v>17</v>
      </c>
      <c r="C56" t="s">
        <v>1088</v>
      </c>
      <c r="D56" s="158">
        <v>45199</v>
      </c>
      <c r="E56">
        <v>623676</v>
      </c>
      <c r="F56">
        <v>10403072</v>
      </c>
      <c r="G56">
        <v>53966625</v>
      </c>
      <c r="H56" t="b">
        <v>0</v>
      </c>
      <c r="I56">
        <v>10</v>
      </c>
      <c r="J56" t="s">
        <v>1229</v>
      </c>
      <c r="K56">
        <v>16</v>
      </c>
      <c r="L56">
        <v>8</v>
      </c>
      <c r="M56">
        <v>2</v>
      </c>
      <c r="N56">
        <v>0</v>
      </c>
      <c r="O56">
        <v>0</v>
      </c>
      <c r="P56">
        <v>0</v>
      </c>
      <c r="Q56">
        <v>0</v>
      </c>
      <c r="R56">
        <v>0</v>
      </c>
      <c r="T56">
        <v>16</v>
      </c>
      <c r="U56">
        <v>0</v>
      </c>
      <c r="V56">
        <v>0</v>
      </c>
      <c r="W56">
        <v>0</v>
      </c>
      <c r="X56">
        <v>0</v>
      </c>
      <c r="Y56">
        <v>0</v>
      </c>
      <c r="Z56">
        <v>0</v>
      </c>
      <c r="AA56">
        <v>0</v>
      </c>
      <c r="AB56">
        <v>0</v>
      </c>
      <c r="AC56">
        <v>0</v>
      </c>
      <c r="AD56">
        <v>0</v>
      </c>
      <c r="AE56">
        <v>0</v>
      </c>
      <c r="AF56">
        <v>0</v>
      </c>
      <c r="AG56">
        <v>0</v>
      </c>
      <c r="AH56">
        <v>0</v>
      </c>
      <c r="AI56">
        <v>0</v>
      </c>
      <c r="AJ56">
        <v>0</v>
      </c>
      <c r="AK56">
        <v>0</v>
      </c>
      <c r="AL56">
        <v>0</v>
      </c>
      <c r="AM56">
        <v>0</v>
      </c>
      <c r="AN56">
        <v>16</v>
      </c>
      <c r="AP56" t="s">
        <v>1031</v>
      </c>
      <c r="AS56" t="s">
        <v>1230</v>
      </c>
      <c r="AV56" t="s">
        <v>1031</v>
      </c>
      <c r="AW56" t="s">
        <v>1230</v>
      </c>
      <c r="AX56">
        <v>0</v>
      </c>
      <c r="AY56">
        <v>0</v>
      </c>
      <c r="AZ56" t="s">
        <v>282</v>
      </c>
      <c r="BA56" t="s">
        <v>282</v>
      </c>
      <c r="BB56" t="s">
        <v>1197</v>
      </c>
      <c r="BC56">
        <v>1</v>
      </c>
    </row>
    <row r="57" spans="1:55" x14ac:dyDescent="0.25">
      <c r="A57" t="s">
        <v>99</v>
      </c>
      <c r="B57">
        <v>17</v>
      </c>
      <c r="C57" t="s">
        <v>1088</v>
      </c>
      <c r="D57" s="158">
        <v>45199</v>
      </c>
      <c r="E57">
        <v>624642</v>
      </c>
      <c r="F57">
        <v>10422498</v>
      </c>
      <c r="G57">
        <v>54081856</v>
      </c>
      <c r="H57" t="b">
        <v>0</v>
      </c>
      <c r="I57">
        <v>5</v>
      </c>
      <c r="J57" t="s">
        <v>1192</v>
      </c>
      <c r="K57">
        <v>15</v>
      </c>
      <c r="L57">
        <v>15</v>
      </c>
      <c r="M57">
        <v>1</v>
      </c>
      <c r="N57">
        <v>0</v>
      </c>
      <c r="O57">
        <v>0</v>
      </c>
      <c r="P57">
        <v>0</v>
      </c>
      <c r="Q57">
        <v>0</v>
      </c>
      <c r="R57">
        <v>0</v>
      </c>
      <c r="T57">
        <v>15</v>
      </c>
      <c r="U57">
        <v>0</v>
      </c>
      <c r="V57">
        <v>0</v>
      </c>
      <c r="W57">
        <v>0</v>
      </c>
      <c r="X57">
        <v>0</v>
      </c>
      <c r="Y57">
        <v>0</v>
      </c>
      <c r="Z57">
        <v>0</v>
      </c>
      <c r="AA57">
        <v>0</v>
      </c>
      <c r="AB57">
        <v>0</v>
      </c>
      <c r="AC57">
        <v>0</v>
      </c>
      <c r="AD57">
        <v>0</v>
      </c>
      <c r="AE57">
        <v>0</v>
      </c>
      <c r="AF57">
        <v>0</v>
      </c>
      <c r="AG57">
        <v>0</v>
      </c>
      <c r="AH57">
        <v>0</v>
      </c>
      <c r="AI57">
        <v>0</v>
      </c>
      <c r="AJ57">
        <v>0</v>
      </c>
      <c r="AK57">
        <v>0</v>
      </c>
      <c r="AL57">
        <v>0</v>
      </c>
      <c r="AM57">
        <v>0</v>
      </c>
      <c r="AN57">
        <v>15</v>
      </c>
      <c r="AP57" t="s">
        <v>1031</v>
      </c>
      <c r="AS57" t="s">
        <v>1193</v>
      </c>
      <c r="AV57" t="s">
        <v>1031</v>
      </c>
      <c r="AW57" t="s">
        <v>1193</v>
      </c>
      <c r="AX57">
        <v>0</v>
      </c>
      <c r="AY57">
        <v>0</v>
      </c>
      <c r="AZ57" t="s">
        <v>282</v>
      </c>
      <c r="BA57" t="s">
        <v>282</v>
      </c>
      <c r="BB57" t="s">
        <v>1197</v>
      </c>
      <c r="BC57">
        <v>1</v>
      </c>
    </row>
    <row r="58" spans="1:55" x14ac:dyDescent="0.25">
      <c r="A58" t="s">
        <v>99</v>
      </c>
      <c r="B58">
        <v>17</v>
      </c>
      <c r="C58" t="s">
        <v>1088</v>
      </c>
      <c r="D58" s="158">
        <v>45199</v>
      </c>
      <c r="E58">
        <v>456651</v>
      </c>
      <c r="F58">
        <v>10209824</v>
      </c>
      <c r="G58">
        <v>53289644</v>
      </c>
      <c r="H58" t="b">
        <v>0</v>
      </c>
      <c r="I58">
        <v>36</v>
      </c>
      <c r="J58" t="s">
        <v>1184</v>
      </c>
      <c r="K58">
        <v>216</v>
      </c>
      <c r="L58">
        <v>216</v>
      </c>
      <c r="M58">
        <v>1</v>
      </c>
      <c r="N58">
        <v>0</v>
      </c>
      <c r="O58">
        <v>0</v>
      </c>
      <c r="P58">
        <v>0</v>
      </c>
      <c r="Q58">
        <v>0</v>
      </c>
      <c r="R58">
        <v>0</v>
      </c>
      <c r="T58">
        <v>216</v>
      </c>
      <c r="U58">
        <v>0</v>
      </c>
      <c r="V58">
        <v>0</v>
      </c>
      <c r="W58">
        <v>0</v>
      </c>
      <c r="X58">
        <v>0</v>
      </c>
      <c r="Y58">
        <v>0</v>
      </c>
      <c r="Z58">
        <v>0</v>
      </c>
      <c r="AA58">
        <v>0</v>
      </c>
      <c r="AB58">
        <v>0</v>
      </c>
      <c r="AC58">
        <v>0</v>
      </c>
      <c r="AD58">
        <v>0</v>
      </c>
      <c r="AE58">
        <v>0</v>
      </c>
      <c r="AF58">
        <v>0</v>
      </c>
      <c r="AG58">
        <v>0</v>
      </c>
      <c r="AH58">
        <v>0</v>
      </c>
      <c r="AI58">
        <v>0</v>
      </c>
      <c r="AJ58">
        <v>0</v>
      </c>
      <c r="AK58">
        <v>0</v>
      </c>
      <c r="AL58">
        <v>0</v>
      </c>
      <c r="AM58">
        <v>0</v>
      </c>
      <c r="AN58">
        <v>216</v>
      </c>
      <c r="AP58" t="s">
        <v>1180</v>
      </c>
      <c r="AS58" t="s">
        <v>1243</v>
      </c>
      <c r="AV58" t="s">
        <v>1180</v>
      </c>
      <c r="AW58" t="s">
        <v>1243</v>
      </c>
      <c r="AX58">
        <v>0</v>
      </c>
      <c r="AY58">
        <v>0</v>
      </c>
      <c r="AZ58" t="s">
        <v>282</v>
      </c>
      <c r="BA58" t="s">
        <v>282</v>
      </c>
      <c r="BB58" t="s">
        <v>1191</v>
      </c>
      <c r="BC58">
        <v>2</v>
      </c>
    </row>
    <row r="59" spans="1:55" x14ac:dyDescent="0.25">
      <c r="A59" t="s">
        <v>99</v>
      </c>
      <c r="B59">
        <v>17</v>
      </c>
      <c r="C59" t="s">
        <v>1088</v>
      </c>
      <c r="D59" s="158">
        <v>45199</v>
      </c>
      <c r="E59">
        <v>624867</v>
      </c>
      <c r="F59">
        <v>10426711</v>
      </c>
      <c r="G59">
        <v>54108267</v>
      </c>
      <c r="H59" t="b">
        <v>0</v>
      </c>
      <c r="I59">
        <v>5</v>
      </c>
      <c r="J59" t="s">
        <v>1187</v>
      </c>
      <c r="K59">
        <v>216</v>
      </c>
      <c r="L59">
        <v>216</v>
      </c>
      <c r="M59">
        <v>1</v>
      </c>
      <c r="N59">
        <v>0</v>
      </c>
      <c r="O59">
        <v>0</v>
      </c>
      <c r="P59">
        <v>0</v>
      </c>
      <c r="Q59">
        <v>0</v>
      </c>
      <c r="R59">
        <v>0</v>
      </c>
      <c r="T59">
        <v>216</v>
      </c>
      <c r="U59">
        <v>0</v>
      </c>
      <c r="V59">
        <v>0</v>
      </c>
      <c r="W59">
        <v>0</v>
      </c>
      <c r="X59">
        <v>0</v>
      </c>
      <c r="Y59">
        <v>0</v>
      </c>
      <c r="Z59">
        <v>0</v>
      </c>
      <c r="AA59">
        <v>0</v>
      </c>
      <c r="AB59">
        <v>0</v>
      </c>
      <c r="AC59">
        <v>0</v>
      </c>
      <c r="AD59">
        <v>0</v>
      </c>
      <c r="AE59">
        <v>0</v>
      </c>
      <c r="AF59">
        <v>0</v>
      </c>
      <c r="AG59">
        <v>0</v>
      </c>
      <c r="AH59">
        <v>0</v>
      </c>
      <c r="AI59">
        <v>0</v>
      </c>
      <c r="AJ59">
        <v>0</v>
      </c>
      <c r="AK59">
        <v>0</v>
      </c>
      <c r="AL59">
        <v>0</v>
      </c>
      <c r="AM59">
        <v>0</v>
      </c>
      <c r="AN59">
        <v>216</v>
      </c>
      <c r="AP59" t="s">
        <v>1091</v>
      </c>
      <c r="AS59" t="s">
        <v>1208</v>
      </c>
      <c r="AV59" t="s">
        <v>1091</v>
      </c>
      <c r="AW59" t="s">
        <v>1208</v>
      </c>
      <c r="AX59">
        <v>0</v>
      </c>
      <c r="AY59">
        <v>0</v>
      </c>
      <c r="AZ59" t="s">
        <v>282</v>
      </c>
      <c r="BA59" t="s">
        <v>282</v>
      </c>
      <c r="BB59" t="s">
        <v>1197</v>
      </c>
      <c r="BC59">
        <v>1</v>
      </c>
    </row>
    <row r="60" spans="1:55" x14ac:dyDescent="0.25">
      <c r="A60" t="s">
        <v>99</v>
      </c>
      <c r="B60">
        <v>17</v>
      </c>
      <c r="C60" t="s">
        <v>1088</v>
      </c>
      <c r="D60" s="158">
        <v>45199</v>
      </c>
      <c r="E60">
        <v>617337</v>
      </c>
      <c r="F60">
        <v>10405636</v>
      </c>
      <c r="G60">
        <v>54051635</v>
      </c>
      <c r="H60" t="b">
        <v>0</v>
      </c>
      <c r="I60">
        <v>8</v>
      </c>
      <c r="J60" t="s">
        <v>1187</v>
      </c>
      <c r="K60">
        <v>216</v>
      </c>
      <c r="L60">
        <v>216</v>
      </c>
      <c r="M60">
        <v>1</v>
      </c>
      <c r="N60">
        <v>0</v>
      </c>
      <c r="O60">
        <v>0</v>
      </c>
      <c r="P60">
        <v>0</v>
      </c>
      <c r="Q60">
        <v>0</v>
      </c>
      <c r="R60">
        <v>0</v>
      </c>
      <c r="T60">
        <v>216</v>
      </c>
      <c r="U60">
        <v>0</v>
      </c>
      <c r="V60">
        <v>0</v>
      </c>
      <c r="W60">
        <v>0</v>
      </c>
      <c r="X60">
        <v>0</v>
      </c>
      <c r="Y60">
        <v>0</v>
      </c>
      <c r="Z60">
        <v>0</v>
      </c>
      <c r="AA60">
        <v>0</v>
      </c>
      <c r="AB60">
        <v>0</v>
      </c>
      <c r="AC60">
        <v>0</v>
      </c>
      <c r="AD60">
        <v>0</v>
      </c>
      <c r="AE60">
        <v>0</v>
      </c>
      <c r="AF60">
        <v>0</v>
      </c>
      <c r="AG60">
        <v>0</v>
      </c>
      <c r="AH60">
        <v>0</v>
      </c>
      <c r="AI60">
        <v>0</v>
      </c>
      <c r="AJ60">
        <v>0</v>
      </c>
      <c r="AK60">
        <v>0</v>
      </c>
      <c r="AL60">
        <v>0</v>
      </c>
      <c r="AM60">
        <v>0</v>
      </c>
      <c r="AN60">
        <v>216</v>
      </c>
      <c r="AP60" t="s">
        <v>1091</v>
      </c>
      <c r="AS60" t="s">
        <v>1188</v>
      </c>
      <c r="AV60" t="s">
        <v>1091</v>
      </c>
      <c r="AW60" t="s">
        <v>1188</v>
      </c>
      <c r="AX60">
        <v>0</v>
      </c>
      <c r="AY60">
        <v>0</v>
      </c>
      <c r="AZ60" t="s">
        <v>282</v>
      </c>
      <c r="BA60" t="s">
        <v>282</v>
      </c>
      <c r="BB60" t="s">
        <v>1197</v>
      </c>
      <c r="BC60">
        <v>1</v>
      </c>
    </row>
    <row r="61" spans="1:55" x14ac:dyDescent="0.25">
      <c r="A61" t="s">
        <v>99</v>
      </c>
      <c r="B61">
        <v>17</v>
      </c>
      <c r="C61" t="s">
        <v>1088</v>
      </c>
      <c r="D61" s="158">
        <v>45199</v>
      </c>
      <c r="E61">
        <v>617621</v>
      </c>
      <c r="F61">
        <v>10371133</v>
      </c>
      <c r="G61">
        <v>54052974</v>
      </c>
      <c r="H61" t="b">
        <v>0</v>
      </c>
      <c r="I61">
        <v>8</v>
      </c>
      <c r="J61" t="s">
        <v>1184</v>
      </c>
      <c r="K61">
        <v>216</v>
      </c>
      <c r="L61">
        <v>216</v>
      </c>
      <c r="M61">
        <v>1</v>
      </c>
      <c r="N61">
        <v>0</v>
      </c>
      <c r="O61">
        <v>0</v>
      </c>
      <c r="P61">
        <v>0</v>
      </c>
      <c r="Q61">
        <v>0</v>
      </c>
      <c r="R61">
        <v>0</v>
      </c>
      <c r="T61">
        <v>216</v>
      </c>
      <c r="U61">
        <v>0</v>
      </c>
      <c r="V61">
        <v>0</v>
      </c>
      <c r="W61">
        <v>0</v>
      </c>
      <c r="X61">
        <v>0</v>
      </c>
      <c r="Y61">
        <v>0</v>
      </c>
      <c r="Z61">
        <v>0</v>
      </c>
      <c r="AA61">
        <v>0</v>
      </c>
      <c r="AB61">
        <v>0</v>
      </c>
      <c r="AC61">
        <v>0</v>
      </c>
      <c r="AD61">
        <v>0</v>
      </c>
      <c r="AE61">
        <v>0</v>
      </c>
      <c r="AF61">
        <v>0</v>
      </c>
      <c r="AG61">
        <v>0</v>
      </c>
      <c r="AH61">
        <v>0</v>
      </c>
      <c r="AI61">
        <v>0</v>
      </c>
      <c r="AJ61">
        <v>0</v>
      </c>
      <c r="AK61">
        <v>0</v>
      </c>
      <c r="AL61">
        <v>0</v>
      </c>
      <c r="AM61">
        <v>0</v>
      </c>
      <c r="AN61">
        <v>216</v>
      </c>
      <c r="AP61" t="s">
        <v>1090</v>
      </c>
      <c r="AS61" t="s">
        <v>1266</v>
      </c>
      <c r="AV61" t="s">
        <v>1090</v>
      </c>
      <c r="AW61" t="s">
        <v>1266</v>
      </c>
      <c r="AX61">
        <v>0</v>
      </c>
      <c r="AY61">
        <v>0</v>
      </c>
      <c r="AZ61" t="s">
        <v>282</v>
      </c>
      <c r="BA61" t="s">
        <v>282</v>
      </c>
      <c r="BB61" t="s">
        <v>1197</v>
      </c>
      <c r="BC61">
        <v>1</v>
      </c>
    </row>
    <row r="62" spans="1:55" x14ac:dyDescent="0.25">
      <c r="A62" t="s">
        <v>99</v>
      </c>
      <c r="B62">
        <v>17</v>
      </c>
      <c r="C62" t="s">
        <v>1088</v>
      </c>
      <c r="D62" s="158">
        <v>45199</v>
      </c>
      <c r="E62">
        <v>610335</v>
      </c>
      <c r="F62">
        <v>10145874</v>
      </c>
      <c r="G62">
        <v>52398989</v>
      </c>
      <c r="H62" t="b">
        <v>0</v>
      </c>
      <c r="I62">
        <v>60</v>
      </c>
      <c r="J62" t="s">
        <v>1187</v>
      </c>
      <c r="K62">
        <v>109.5</v>
      </c>
      <c r="L62">
        <v>109.5</v>
      </c>
      <c r="M62">
        <v>1</v>
      </c>
      <c r="N62">
        <v>0</v>
      </c>
      <c r="O62">
        <v>0</v>
      </c>
      <c r="P62">
        <v>0</v>
      </c>
      <c r="Q62">
        <v>0</v>
      </c>
      <c r="R62">
        <v>0</v>
      </c>
      <c r="T62">
        <v>109.5</v>
      </c>
      <c r="U62">
        <v>0</v>
      </c>
      <c r="V62">
        <v>0</v>
      </c>
      <c r="W62">
        <v>0</v>
      </c>
      <c r="X62">
        <v>0</v>
      </c>
      <c r="Y62">
        <v>0</v>
      </c>
      <c r="Z62">
        <v>0</v>
      </c>
      <c r="AA62">
        <v>0</v>
      </c>
      <c r="AB62">
        <v>0</v>
      </c>
      <c r="AC62">
        <v>0</v>
      </c>
      <c r="AD62">
        <v>0</v>
      </c>
      <c r="AE62">
        <v>0</v>
      </c>
      <c r="AF62">
        <v>0</v>
      </c>
      <c r="AG62">
        <v>0</v>
      </c>
      <c r="AH62">
        <v>0</v>
      </c>
      <c r="AI62">
        <v>0</v>
      </c>
      <c r="AJ62">
        <v>0</v>
      </c>
      <c r="AK62">
        <v>0</v>
      </c>
      <c r="AL62">
        <v>0</v>
      </c>
      <c r="AM62">
        <v>0</v>
      </c>
      <c r="AN62">
        <v>109.5</v>
      </c>
      <c r="AP62" t="s">
        <v>1031</v>
      </c>
      <c r="AS62" t="s">
        <v>1252</v>
      </c>
      <c r="AV62" t="s">
        <v>1031</v>
      </c>
      <c r="AW62" t="s">
        <v>1252</v>
      </c>
      <c r="AX62">
        <v>0</v>
      </c>
      <c r="AY62">
        <v>0</v>
      </c>
      <c r="AZ62" t="s">
        <v>282</v>
      </c>
      <c r="BA62" t="s">
        <v>282</v>
      </c>
      <c r="BB62" t="s">
        <v>1191</v>
      </c>
      <c r="BC62">
        <v>2</v>
      </c>
    </row>
    <row r="63" spans="1:55" x14ac:dyDescent="0.25">
      <c r="A63" t="s">
        <v>99</v>
      </c>
      <c r="B63">
        <v>17</v>
      </c>
      <c r="C63" t="s">
        <v>1088</v>
      </c>
      <c r="D63" s="158">
        <v>45199</v>
      </c>
      <c r="E63">
        <v>605038</v>
      </c>
      <c r="F63">
        <v>10438271</v>
      </c>
      <c r="G63">
        <v>54190247</v>
      </c>
      <c r="H63" t="b">
        <v>0</v>
      </c>
      <c r="I63">
        <v>5</v>
      </c>
      <c r="J63" t="s">
        <v>1202</v>
      </c>
      <c r="K63">
        <v>116</v>
      </c>
      <c r="L63">
        <v>116</v>
      </c>
      <c r="M63">
        <v>1</v>
      </c>
      <c r="N63">
        <v>0</v>
      </c>
      <c r="O63">
        <v>0</v>
      </c>
      <c r="P63">
        <v>0</v>
      </c>
      <c r="Q63">
        <v>0</v>
      </c>
      <c r="R63">
        <v>0</v>
      </c>
      <c r="T63">
        <v>116</v>
      </c>
      <c r="U63">
        <v>0</v>
      </c>
      <c r="V63">
        <v>0</v>
      </c>
      <c r="W63">
        <v>0</v>
      </c>
      <c r="X63">
        <v>0</v>
      </c>
      <c r="Y63">
        <v>0</v>
      </c>
      <c r="Z63">
        <v>0</v>
      </c>
      <c r="AA63">
        <v>0</v>
      </c>
      <c r="AB63">
        <v>0</v>
      </c>
      <c r="AC63">
        <v>0</v>
      </c>
      <c r="AD63">
        <v>0</v>
      </c>
      <c r="AE63">
        <v>0</v>
      </c>
      <c r="AF63">
        <v>0</v>
      </c>
      <c r="AG63">
        <v>0</v>
      </c>
      <c r="AH63">
        <v>0</v>
      </c>
      <c r="AI63">
        <v>0</v>
      </c>
      <c r="AJ63">
        <v>0</v>
      </c>
      <c r="AK63">
        <v>0</v>
      </c>
      <c r="AL63">
        <v>0</v>
      </c>
      <c r="AM63">
        <v>0</v>
      </c>
      <c r="AN63">
        <v>116</v>
      </c>
      <c r="AP63" t="s">
        <v>1031</v>
      </c>
      <c r="AS63" t="s">
        <v>1195</v>
      </c>
      <c r="AV63" t="s">
        <v>1031</v>
      </c>
      <c r="AW63" t="s">
        <v>1195</v>
      </c>
      <c r="AX63">
        <v>0</v>
      </c>
      <c r="AY63">
        <v>0</v>
      </c>
      <c r="AZ63" t="s">
        <v>282</v>
      </c>
      <c r="BA63" t="s">
        <v>282</v>
      </c>
      <c r="BB63" t="s">
        <v>1197</v>
      </c>
      <c r="BC63">
        <v>1</v>
      </c>
    </row>
    <row r="64" spans="1:55" x14ac:dyDescent="0.25">
      <c r="A64" t="s">
        <v>99</v>
      </c>
      <c r="B64">
        <v>17</v>
      </c>
      <c r="C64" t="s">
        <v>1088</v>
      </c>
      <c r="D64" s="158">
        <v>45199</v>
      </c>
      <c r="E64">
        <v>605038</v>
      </c>
      <c r="F64">
        <v>10438271</v>
      </c>
      <c r="G64">
        <v>54190248</v>
      </c>
      <c r="H64" t="b">
        <v>0</v>
      </c>
      <c r="I64">
        <v>5</v>
      </c>
      <c r="J64" t="s">
        <v>1202</v>
      </c>
      <c r="K64">
        <v>116</v>
      </c>
      <c r="L64">
        <v>116</v>
      </c>
      <c r="M64">
        <v>1</v>
      </c>
      <c r="N64">
        <v>0</v>
      </c>
      <c r="O64">
        <v>0</v>
      </c>
      <c r="P64">
        <v>0</v>
      </c>
      <c r="Q64">
        <v>0</v>
      </c>
      <c r="R64">
        <v>0</v>
      </c>
      <c r="T64">
        <v>116</v>
      </c>
      <c r="U64">
        <v>0</v>
      </c>
      <c r="V64">
        <v>0</v>
      </c>
      <c r="W64">
        <v>0</v>
      </c>
      <c r="X64">
        <v>0</v>
      </c>
      <c r="Y64">
        <v>0</v>
      </c>
      <c r="Z64">
        <v>0</v>
      </c>
      <c r="AA64">
        <v>0</v>
      </c>
      <c r="AB64">
        <v>0</v>
      </c>
      <c r="AC64">
        <v>0</v>
      </c>
      <c r="AD64">
        <v>0</v>
      </c>
      <c r="AE64">
        <v>0</v>
      </c>
      <c r="AF64">
        <v>0</v>
      </c>
      <c r="AG64">
        <v>0</v>
      </c>
      <c r="AH64">
        <v>0</v>
      </c>
      <c r="AI64">
        <v>0</v>
      </c>
      <c r="AJ64">
        <v>0</v>
      </c>
      <c r="AK64">
        <v>0</v>
      </c>
      <c r="AL64">
        <v>0</v>
      </c>
      <c r="AM64">
        <v>0</v>
      </c>
      <c r="AN64">
        <v>116</v>
      </c>
      <c r="AP64" t="s">
        <v>1031</v>
      </c>
      <c r="AS64" t="s">
        <v>1195</v>
      </c>
      <c r="AV64" t="s">
        <v>1031</v>
      </c>
      <c r="AW64" t="s">
        <v>1195</v>
      </c>
      <c r="AX64">
        <v>0</v>
      </c>
      <c r="AY64">
        <v>0</v>
      </c>
      <c r="AZ64" t="s">
        <v>282</v>
      </c>
      <c r="BA64" t="s">
        <v>282</v>
      </c>
      <c r="BB64" t="s">
        <v>1197</v>
      </c>
      <c r="BC64">
        <v>1</v>
      </c>
    </row>
    <row r="65" spans="1:55" x14ac:dyDescent="0.25">
      <c r="A65" t="s">
        <v>99</v>
      </c>
      <c r="B65">
        <v>17</v>
      </c>
      <c r="C65" t="s">
        <v>1088</v>
      </c>
      <c r="D65" s="158">
        <v>45199</v>
      </c>
      <c r="E65">
        <v>620237</v>
      </c>
      <c r="F65">
        <v>10336633</v>
      </c>
      <c r="G65">
        <v>53563149</v>
      </c>
      <c r="H65" t="b">
        <v>0</v>
      </c>
      <c r="I65">
        <v>23</v>
      </c>
      <c r="J65" t="s">
        <v>1198</v>
      </c>
      <c r="K65">
        <v>85</v>
      </c>
      <c r="L65">
        <v>85</v>
      </c>
      <c r="M65">
        <v>1</v>
      </c>
      <c r="N65">
        <v>0</v>
      </c>
      <c r="O65">
        <v>0</v>
      </c>
      <c r="P65">
        <v>0</v>
      </c>
      <c r="Q65">
        <v>0</v>
      </c>
      <c r="R65">
        <v>0</v>
      </c>
      <c r="T65">
        <v>85</v>
      </c>
      <c r="U65">
        <v>0</v>
      </c>
      <c r="V65">
        <v>0</v>
      </c>
      <c r="W65">
        <v>0</v>
      </c>
      <c r="X65">
        <v>0</v>
      </c>
      <c r="Y65">
        <v>0</v>
      </c>
      <c r="Z65">
        <v>0</v>
      </c>
      <c r="AA65">
        <v>0</v>
      </c>
      <c r="AB65">
        <v>0</v>
      </c>
      <c r="AC65">
        <v>0</v>
      </c>
      <c r="AD65">
        <v>0</v>
      </c>
      <c r="AE65">
        <v>0</v>
      </c>
      <c r="AF65">
        <v>0</v>
      </c>
      <c r="AG65">
        <v>0</v>
      </c>
      <c r="AH65">
        <v>0</v>
      </c>
      <c r="AI65">
        <v>0</v>
      </c>
      <c r="AJ65">
        <v>0</v>
      </c>
      <c r="AK65">
        <v>0</v>
      </c>
      <c r="AL65">
        <v>0</v>
      </c>
      <c r="AM65">
        <v>0</v>
      </c>
      <c r="AN65">
        <v>85</v>
      </c>
      <c r="AP65" t="s">
        <v>1031</v>
      </c>
      <c r="AS65" t="s">
        <v>1250</v>
      </c>
      <c r="AV65" t="s">
        <v>1031</v>
      </c>
      <c r="AW65" t="s">
        <v>1250</v>
      </c>
      <c r="AX65">
        <v>0</v>
      </c>
      <c r="AY65">
        <v>0</v>
      </c>
      <c r="AZ65" t="s">
        <v>282</v>
      </c>
      <c r="BA65" t="s">
        <v>282</v>
      </c>
      <c r="BB65" t="s">
        <v>1197</v>
      </c>
      <c r="BC65">
        <v>1</v>
      </c>
    </row>
    <row r="66" spans="1:55" x14ac:dyDescent="0.25">
      <c r="A66" t="s">
        <v>99</v>
      </c>
      <c r="B66">
        <v>17</v>
      </c>
      <c r="C66" t="s">
        <v>1088</v>
      </c>
      <c r="D66" s="158">
        <v>45199</v>
      </c>
      <c r="E66">
        <v>621688</v>
      </c>
      <c r="F66">
        <v>10367014</v>
      </c>
      <c r="G66">
        <v>53757740</v>
      </c>
      <c r="H66" t="b">
        <v>0</v>
      </c>
      <c r="I66">
        <v>17</v>
      </c>
      <c r="J66" t="s">
        <v>1249</v>
      </c>
      <c r="K66">
        <v>15</v>
      </c>
      <c r="L66">
        <v>7.5</v>
      </c>
      <c r="M66">
        <v>2</v>
      </c>
      <c r="N66">
        <v>0</v>
      </c>
      <c r="O66">
        <v>0</v>
      </c>
      <c r="P66">
        <v>0</v>
      </c>
      <c r="Q66">
        <v>0</v>
      </c>
      <c r="R66">
        <v>0</v>
      </c>
      <c r="T66">
        <v>15</v>
      </c>
      <c r="U66">
        <v>0</v>
      </c>
      <c r="V66">
        <v>0</v>
      </c>
      <c r="W66">
        <v>0</v>
      </c>
      <c r="X66">
        <v>0</v>
      </c>
      <c r="Y66">
        <v>0</v>
      </c>
      <c r="Z66">
        <v>0</v>
      </c>
      <c r="AA66">
        <v>0</v>
      </c>
      <c r="AB66">
        <v>0</v>
      </c>
      <c r="AC66">
        <v>0</v>
      </c>
      <c r="AD66">
        <v>0</v>
      </c>
      <c r="AE66">
        <v>0</v>
      </c>
      <c r="AF66">
        <v>0</v>
      </c>
      <c r="AG66">
        <v>0</v>
      </c>
      <c r="AH66">
        <v>0</v>
      </c>
      <c r="AI66">
        <v>0</v>
      </c>
      <c r="AJ66">
        <v>0</v>
      </c>
      <c r="AK66">
        <v>0</v>
      </c>
      <c r="AL66">
        <v>0</v>
      </c>
      <c r="AM66">
        <v>0</v>
      </c>
      <c r="AN66">
        <v>15</v>
      </c>
      <c r="AP66" t="s">
        <v>1031</v>
      </c>
      <c r="AS66" t="s">
        <v>1250</v>
      </c>
      <c r="AV66" t="s">
        <v>1031</v>
      </c>
      <c r="AW66" t="s">
        <v>1250</v>
      </c>
      <c r="AX66">
        <v>0</v>
      </c>
      <c r="AY66">
        <v>0</v>
      </c>
      <c r="AZ66" t="s">
        <v>282</v>
      </c>
      <c r="BA66" t="s">
        <v>282</v>
      </c>
      <c r="BB66" t="s">
        <v>1197</v>
      </c>
      <c r="BC66">
        <v>1</v>
      </c>
    </row>
    <row r="67" spans="1:55" x14ac:dyDescent="0.25">
      <c r="A67" t="s">
        <v>99</v>
      </c>
      <c r="B67">
        <v>17</v>
      </c>
      <c r="C67" t="s">
        <v>1088</v>
      </c>
      <c r="D67" s="158">
        <v>45199</v>
      </c>
      <c r="E67">
        <v>621697</v>
      </c>
      <c r="F67">
        <v>10367151</v>
      </c>
      <c r="G67">
        <v>53757973</v>
      </c>
      <c r="H67" t="b">
        <v>0</v>
      </c>
      <c r="I67">
        <v>17</v>
      </c>
      <c r="J67" t="s">
        <v>1198</v>
      </c>
      <c r="K67">
        <v>85</v>
      </c>
      <c r="L67">
        <v>85</v>
      </c>
      <c r="M67">
        <v>1</v>
      </c>
      <c r="N67">
        <v>0</v>
      </c>
      <c r="O67">
        <v>0</v>
      </c>
      <c r="P67">
        <v>0</v>
      </c>
      <c r="Q67">
        <v>0</v>
      </c>
      <c r="R67">
        <v>0</v>
      </c>
      <c r="T67">
        <v>85</v>
      </c>
      <c r="U67">
        <v>0</v>
      </c>
      <c r="V67">
        <v>0</v>
      </c>
      <c r="W67">
        <v>0</v>
      </c>
      <c r="X67">
        <v>0</v>
      </c>
      <c r="Y67">
        <v>0</v>
      </c>
      <c r="Z67">
        <v>0</v>
      </c>
      <c r="AA67">
        <v>0</v>
      </c>
      <c r="AB67">
        <v>0</v>
      </c>
      <c r="AC67">
        <v>0</v>
      </c>
      <c r="AD67">
        <v>0</v>
      </c>
      <c r="AE67">
        <v>0</v>
      </c>
      <c r="AF67">
        <v>0</v>
      </c>
      <c r="AG67">
        <v>0</v>
      </c>
      <c r="AH67">
        <v>0</v>
      </c>
      <c r="AI67">
        <v>0</v>
      </c>
      <c r="AJ67">
        <v>0</v>
      </c>
      <c r="AK67">
        <v>0</v>
      </c>
      <c r="AL67">
        <v>0</v>
      </c>
      <c r="AM67">
        <v>0</v>
      </c>
      <c r="AN67">
        <v>85</v>
      </c>
      <c r="AP67" t="s">
        <v>1031</v>
      </c>
      <c r="AS67" t="s">
        <v>1250</v>
      </c>
      <c r="AV67" t="s">
        <v>1031</v>
      </c>
      <c r="AW67" t="s">
        <v>1250</v>
      </c>
      <c r="AX67">
        <v>0</v>
      </c>
      <c r="AY67">
        <v>0</v>
      </c>
      <c r="AZ67" t="s">
        <v>282</v>
      </c>
      <c r="BA67" t="s">
        <v>282</v>
      </c>
      <c r="BB67" t="s">
        <v>1197</v>
      </c>
      <c r="BC67">
        <v>1</v>
      </c>
    </row>
    <row r="68" spans="1:55" x14ac:dyDescent="0.25">
      <c r="A68" t="s">
        <v>99</v>
      </c>
      <c r="B68">
        <v>17</v>
      </c>
      <c r="C68" t="s">
        <v>1088</v>
      </c>
      <c r="D68" s="158">
        <v>45199</v>
      </c>
      <c r="E68">
        <v>621697</v>
      </c>
      <c r="F68">
        <v>10367151</v>
      </c>
      <c r="G68">
        <v>53757976</v>
      </c>
      <c r="H68" t="b">
        <v>0</v>
      </c>
      <c r="I68">
        <v>17</v>
      </c>
      <c r="J68" t="s">
        <v>1249</v>
      </c>
      <c r="K68">
        <v>15</v>
      </c>
      <c r="L68">
        <v>7.5</v>
      </c>
      <c r="M68">
        <v>2</v>
      </c>
      <c r="N68">
        <v>0</v>
      </c>
      <c r="O68">
        <v>0</v>
      </c>
      <c r="P68">
        <v>0</v>
      </c>
      <c r="Q68">
        <v>0</v>
      </c>
      <c r="R68">
        <v>0</v>
      </c>
      <c r="T68">
        <v>15</v>
      </c>
      <c r="U68">
        <v>0</v>
      </c>
      <c r="V68">
        <v>0</v>
      </c>
      <c r="W68">
        <v>0</v>
      </c>
      <c r="X68">
        <v>0</v>
      </c>
      <c r="Y68">
        <v>0</v>
      </c>
      <c r="Z68">
        <v>0</v>
      </c>
      <c r="AA68">
        <v>0</v>
      </c>
      <c r="AB68">
        <v>0</v>
      </c>
      <c r="AC68">
        <v>0</v>
      </c>
      <c r="AD68">
        <v>0</v>
      </c>
      <c r="AE68">
        <v>0</v>
      </c>
      <c r="AF68">
        <v>0</v>
      </c>
      <c r="AG68">
        <v>0</v>
      </c>
      <c r="AH68">
        <v>0</v>
      </c>
      <c r="AI68">
        <v>0</v>
      </c>
      <c r="AJ68">
        <v>0</v>
      </c>
      <c r="AK68">
        <v>0</v>
      </c>
      <c r="AL68">
        <v>0</v>
      </c>
      <c r="AM68">
        <v>0</v>
      </c>
      <c r="AN68">
        <v>15</v>
      </c>
      <c r="AP68" t="s">
        <v>1031</v>
      </c>
      <c r="AS68" t="s">
        <v>1250</v>
      </c>
      <c r="AV68" t="s">
        <v>1031</v>
      </c>
      <c r="AW68" t="s">
        <v>1250</v>
      </c>
      <c r="AX68">
        <v>0</v>
      </c>
      <c r="AY68">
        <v>0</v>
      </c>
      <c r="AZ68" t="s">
        <v>282</v>
      </c>
      <c r="BA68" t="s">
        <v>282</v>
      </c>
      <c r="BB68" t="s">
        <v>1197</v>
      </c>
      <c r="BC68">
        <v>1</v>
      </c>
    </row>
    <row r="69" spans="1:55" x14ac:dyDescent="0.25">
      <c r="A69" t="s">
        <v>99</v>
      </c>
      <c r="B69">
        <v>17</v>
      </c>
      <c r="C69" t="s">
        <v>1088</v>
      </c>
      <c r="D69" s="158">
        <v>45199</v>
      </c>
      <c r="E69">
        <v>621702</v>
      </c>
      <c r="F69">
        <v>10367213</v>
      </c>
      <c r="G69">
        <v>53758060</v>
      </c>
      <c r="H69" t="b">
        <v>0</v>
      </c>
      <c r="I69">
        <v>17</v>
      </c>
      <c r="J69" t="s">
        <v>1249</v>
      </c>
      <c r="K69">
        <v>15</v>
      </c>
      <c r="L69">
        <v>7.5</v>
      </c>
      <c r="M69">
        <v>2</v>
      </c>
      <c r="N69">
        <v>0</v>
      </c>
      <c r="O69">
        <v>0</v>
      </c>
      <c r="P69">
        <v>0</v>
      </c>
      <c r="Q69">
        <v>0</v>
      </c>
      <c r="R69">
        <v>0</v>
      </c>
      <c r="T69">
        <v>15</v>
      </c>
      <c r="U69">
        <v>0</v>
      </c>
      <c r="V69">
        <v>0</v>
      </c>
      <c r="W69">
        <v>0</v>
      </c>
      <c r="X69">
        <v>0</v>
      </c>
      <c r="Y69">
        <v>0</v>
      </c>
      <c r="Z69">
        <v>0</v>
      </c>
      <c r="AA69">
        <v>0</v>
      </c>
      <c r="AB69">
        <v>0</v>
      </c>
      <c r="AC69">
        <v>0</v>
      </c>
      <c r="AD69">
        <v>0</v>
      </c>
      <c r="AE69">
        <v>0</v>
      </c>
      <c r="AF69">
        <v>0</v>
      </c>
      <c r="AG69">
        <v>0</v>
      </c>
      <c r="AH69">
        <v>0</v>
      </c>
      <c r="AI69">
        <v>0</v>
      </c>
      <c r="AJ69">
        <v>0</v>
      </c>
      <c r="AK69">
        <v>0</v>
      </c>
      <c r="AL69">
        <v>0</v>
      </c>
      <c r="AM69">
        <v>0</v>
      </c>
      <c r="AN69">
        <v>15</v>
      </c>
      <c r="AP69" t="s">
        <v>1031</v>
      </c>
      <c r="AS69" t="s">
        <v>1250</v>
      </c>
      <c r="AV69" t="s">
        <v>1031</v>
      </c>
      <c r="AW69" t="s">
        <v>1250</v>
      </c>
      <c r="AX69">
        <v>0</v>
      </c>
      <c r="AY69">
        <v>0</v>
      </c>
      <c r="AZ69" t="s">
        <v>282</v>
      </c>
      <c r="BA69" t="s">
        <v>282</v>
      </c>
      <c r="BB69" t="s">
        <v>1197</v>
      </c>
      <c r="BC69">
        <v>1</v>
      </c>
    </row>
    <row r="70" spans="1:55" x14ac:dyDescent="0.25">
      <c r="A70" t="s">
        <v>99</v>
      </c>
      <c r="B70">
        <v>17</v>
      </c>
      <c r="C70" t="s">
        <v>1088</v>
      </c>
      <c r="D70" s="158">
        <v>45199</v>
      </c>
      <c r="E70">
        <v>621449</v>
      </c>
      <c r="F70">
        <v>10362310</v>
      </c>
      <c r="G70">
        <v>53717675</v>
      </c>
      <c r="H70" t="b">
        <v>0</v>
      </c>
      <c r="I70">
        <v>18</v>
      </c>
      <c r="J70" t="s">
        <v>1231</v>
      </c>
      <c r="K70">
        <v>15</v>
      </c>
      <c r="L70">
        <v>7.5</v>
      </c>
      <c r="M70">
        <v>2</v>
      </c>
      <c r="N70">
        <v>0</v>
      </c>
      <c r="O70">
        <v>0</v>
      </c>
      <c r="P70">
        <v>0</v>
      </c>
      <c r="Q70">
        <v>0</v>
      </c>
      <c r="R70">
        <v>0</v>
      </c>
      <c r="T70">
        <v>15</v>
      </c>
      <c r="U70">
        <v>0</v>
      </c>
      <c r="V70">
        <v>0</v>
      </c>
      <c r="W70">
        <v>0</v>
      </c>
      <c r="X70">
        <v>0</v>
      </c>
      <c r="Y70">
        <v>0</v>
      </c>
      <c r="Z70">
        <v>0</v>
      </c>
      <c r="AA70">
        <v>0</v>
      </c>
      <c r="AB70">
        <v>0</v>
      </c>
      <c r="AC70">
        <v>0</v>
      </c>
      <c r="AD70">
        <v>0</v>
      </c>
      <c r="AE70">
        <v>0</v>
      </c>
      <c r="AF70">
        <v>0</v>
      </c>
      <c r="AG70">
        <v>0</v>
      </c>
      <c r="AH70">
        <v>0</v>
      </c>
      <c r="AI70">
        <v>0</v>
      </c>
      <c r="AJ70">
        <v>0</v>
      </c>
      <c r="AK70">
        <v>0</v>
      </c>
      <c r="AL70">
        <v>0</v>
      </c>
      <c r="AM70">
        <v>0</v>
      </c>
      <c r="AN70">
        <v>15</v>
      </c>
      <c r="AP70" t="s">
        <v>1031</v>
      </c>
      <c r="AS70" t="s">
        <v>1230</v>
      </c>
      <c r="AV70" t="s">
        <v>1031</v>
      </c>
      <c r="AW70" t="s">
        <v>1230</v>
      </c>
      <c r="AX70">
        <v>0</v>
      </c>
      <c r="AY70">
        <v>0</v>
      </c>
      <c r="AZ70" t="s">
        <v>282</v>
      </c>
      <c r="BA70" t="s">
        <v>282</v>
      </c>
      <c r="BB70" t="s">
        <v>1197</v>
      </c>
      <c r="BC70">
        <v>1</v>
      </c>
    </row>
    <row r="71" spans="1:55" x14ac:dyDescent="0.25">
      <c r="A71" t="s">
        <v>99</v>
      </c>
      <c r="B71">
        <v>17</v>
      </c>
      <c r="C71" t="s">
        <v>1088</v>
      </c>
      <c r="D71" s="158">
        <v>45199</v>
      </c>
      <c r="E71">
        <v>621688</v>
      </c>
      <c r="F71">
        <v>10367014</v>
      </c>
      <c r="G71">
        <v>53757748</v>
      </c>
      <c r="H71" t="b">
        <v>0</v>
      </c>
      <c r="I71">
        <v>17</v>
      </c>
      <c r="J71" t="s">
        <v>1229</v>
      </c>
      <c r="K71">
        <v>16</v>
      </c>
      <c r="L71">
        <v>8</v>
      </c>
      <c r="M71">
        <v>2</v>
      </c>
      <c r="N71">
        <v>0</v>
      </c>
      <c r="O71">
        <v>0</v>
      </c>
      <c r="P71">
        <v>0</v>
      </c>
      <c r="Q71">
        <v>0</v>
      </c>
      <c r="R71">
        <v>0</v>
      </c>
      <c r="T71">
        <v>16</v>
      </c>
      <c r="U71">
        <v>0</v>
      </c>
      <c r="V71">
        <v>0</v>
      </c>
      <c r="W71">
        <v>0</v>
      </c>
      <c r="X71">
        <v>0</v>
      </c>
      <c r="Y71">
        <v>0</v>
      </c>
      <c r="Z71">
        <v>0</v>
      </c>
      <c r="AA71">
        <v>0</v>
      </c>
      <c r="AB71">
        <v>0</v>
      </c>
      <c r="AC71">
        <v>0</v>
      </c>
      <c r="AD71">
        <v>0</v>
      </c>
      <c r="AE71">
        <v>0</v>
      </c>
      <c r="AF71">
        <v>0</v>
      </c>
      <c r="AG71">
        <v>0</v>
      </c>
      <c r="AH71">
        <v>0</v>
      </c>
      <c r="AI71">
        <v>0</v>
      </c>
      <c r="AJ71">
        <v>0</v>
      </c>
      <c r="AK71">
        <v>0</v>
      </c>
      <c r="AL71">
        <v>0</v>
      </c>
      <c r="AM71">
        <v>0</v>
      </c>
      <c r="AN71">
        <v>16</v>
      </c>
      <c r="AP71" t="s">
        <v>1031</v>
      </c>
      <c r="AS71" t="s">
        <v>1250</v>
      </c>
      <c r="AV71" t="s">
        <v>1031</v>
      </c>
      <c r="AW71" t="s">
        <v>1250</v>
      </c>
      <c r="AX71">
        <v>0</v>
      </c>
      <c r="AY71">
        <v>0</v>
      </c>
      <c r="AZ71" t="s">
        <v>282</v>
      </c>
      <c r="BA71" t="s">
        <v>282</v>
      </c>
      <c r="BB71" t="s">
        <v>1197</v>
      </c>
      <c r="BC71">
        <v>1</v>
      </c>
    </row>
    <row r="72" spans="1:55" x14ac:dyDescent="0.25">
      <c r="A72" t="s">
        <v>99</v>
      </c>
      <c r="B72">
        <v>17</v>
      </c>
      <c r="C72" t="s">
        <v>1088</v>
      </c>
      <c r="D72" s="158">
        <v>45199</v>
      </c>
      <c r="E72">
        <v>622662</v>
      </c>
      <c r="F72">
        <v>10384058</v>
      </c>
      <c r="G72">
        <v>53862295</v>
      </c>
      <c r="H72" t="b">
        <v>0</v>
      </c>
      <c r="I72">
        <v>15</v>
      </c>
      <c r="J72" t="s">
        <v>1234</v>
      </c>
      <c r="K72">
        <v>8</v>
      </c>
      <c r="L72">
        <v>4</v>
      </c>
      <c r="M72">
        <v>2</v>
      </c>
      <c r="N72">
        <v>0</v>
      </c>
      <c r="O72">
        <v>0</v>
      </c>
      <c r="P72">
        <v>0</v>
      </c>
      <c r="Q72">
        <v>0</v>
      </c>
      <c r="R72">
        <v>0</v>
      </c>
      <c r="T72">
        <v>8</v>
      </c>
      <c r="U72">
        <v>0</v>
      </c>
      <c r="V72">
        <v>0</v>
      </c>
      <c r="W72">
        <v>0</v>
      </c>
      <c r="X72">
        <v>0</v>
      </c>
      <c r="Y72">
        <v>0</v>
      </c>
      <c r="Z72">
        <v>0</v>
      </c>
      <c r="AA72">
        <v>0</v>
      </c>
      <c r="AB72">
        <v>0</v>
      </c>
      <c r="AC72">
        <v>0</v>
      </c>
      <c r="AD72">
        <v>0</v>
      </c>
      <c r="AE72">
        <v>0</v>
      </c>
      <c r="AF72">
        <v>0</v>
      </c>
      <c r="AG72">
        <v>0</v>
      </c>
      <c r="AH72">
        <v>0</v>
      </c>
      <c r="AI72">
        <v>0</v>
      </c>
      <c r="AJ72">
        <v>0</v>
      </c>
      <c r="AK72">
        <v>0</v>
      </c>
      <c r="AL72">
        <v>0</v>
      </c>
      <c r="AM72">
        <v>0</v>
      </c>
      <c r="AN72">
        <v>8</v>
      </c>
      <c r="AP72" t="s">
        <v>1031</v>
      </c>
      <c r="AS72" t="s">
        <v>1250</v>
      </c>
      <c r="AV72" t="s">
        <v>1031</v>
      </c>
      <c r="AW72" t="s">
        <v>1250</v>
      </c>
      <c r="AX72">
        <v>0</v>
      </c>
      <c r="AY72">
        <v>0</v>
      </c>
      <c r="AZ72" t="s">
        <v>282</v>
      </c>
      <c r="BA72" t="s">
        <v>282</v>
      </c>
      <c r="BB72" t="s">
        <v>1197</v>
      </c>
      <c r="BC72">
        <v>1</v>
      </c>
    </row>
    <row r="73" spans="1:55" x14ac:dyDescent="0.25">
      <c r="A73" t="s">
        <v>99</v>
      </c>
      <c r="B73">
        <v>17</v>
      </c>
      <c r="C73" t="s">
        <v>1088</v>
      </c>
      <c r="D73" s="158">
        <v>45199</v>
      </c>
      <c r="E73">
        <v>623622</v>
      </c>
      <c r="F73">
        <v>10402530</v>
      </c>
      <c r="G73">
        <v>53963786</v>
      </c>
      <c r="H73" t="b">
        <v>0</v>
      </c>
      <c r="I73">
        <v>10</v>
      </c>
      <c r="J73" t="s">
        <v>1234</v>
      </c>
      <c r="K73">
        <v>8</v>
      </c>
      <c r="L73">
        <v>4</v>
      </c>
      <c r="M73">
        <v>2</v>
      </c>
      <c r="N73">
        <v>0</v>
      </c>
      <c r="O73">
        <v>0</v>
      </c>
      <c r="P73">
        <v>0</v>
      </c>
      <c r="Q73">
        <v>0</v>
      </c>
      <c r="R73">
        <v>0</v>
      </c>
      <c r="T73">
        <v>8</v>
      </c>
      <c r="U73">
        <v>0</v>
      </c>
      <c r="V73">
        <v>0</v>
      </c>
      <c r="W73">
        <v>0</v>
      </c>
      <c r="X73">
        <v>0</v>
      </c>
      <c r="Y73">
        <v>0</v>
      </c>
      <c r="Z73">
        <v>0</v>
      </c>
      <c r="AA73">
        <v>0</v>
      </c>
      <c r="AB73">
        <v>0</v>
      </c>
      <c r="AC73">
        <v>0</v>
      </c>
      <c r="AD73">
        <v>0</v>
      </c>
      <c r="AE73">
        <v>0</v>
      </c>
      <c r="AF73">
        <v>0</v>
      </c>
      <c r="AG73">
        <v>0</v>
      </c>
      <c r="AH73">
        <v>0</v>
      </c>
      <c r="AI73">
        <v>0</v>
      </c>
      <c r="AJ73">
        <v>0</v>
      </c>
      <c r="AK73">
        <v>0</v>
      </c>
      <c r="AL73">
        <v>0</v>
      </c>
      <c r="AM73">
        <v>0</v>
      </c>
      <c r="AN73">
        <v>8</v>
      </c>
      <c r="AP73" t="s">
        <v>1031</v>
      </c>
      <c r="AS73" t="s">
        <v>1250</v>
      </c>
      <c r="AV73" t="s">
        <v>1031</v>
      </c>
      <c r="AW73" t="s">
        <v>1250</v>
      </c>
      <c r="AX73">
        <v>0</v>
      </c>
      <c r="AY73">
        <v>0</v>
      </c>
      <c r="AZ73" t="s">
        <v>282</v>
      </c>
      <c r="BA73" t="s">
        <v>282</v>
      </c>
      <c r="BB73" t="s">
        <v>1197</v>
      </c>
      <c r="BC73">
        <v>1</v>
      </c>
    </row>
    <row r="74" spans="1:55" x14ac:dyDescent="0.25">
      <c r="A74" t="s">
        <v>99</v>
      </c>
      <c r="B74">
        <v>17</v>
      </c>
      <c r="C74" t="s">
        <v>1088</v>
      </c>
      <c r="D74" s="158">
        <v>45199</v>
      </c>
      <c r="E74">
        <v>605038</v>
      </c>
      <c r="F74">
        <v>10438271</v>
      </c>
      <c r="G74">
        <v>54185635</v>
      </c>
      <c r="H74" t="b">
        <v>0</v>
      </c>
      <c r="I74">
        <v>5</v>
      </c>
      <c r="J74" t="s">
        <v>1194</v>
      </c>
      <c r="K74">
        <v>116</v>
      </c>
      <c r="L74">
        <v>116</v>
      </c>
      <c r="M74">
        <v>1</v>
      </c>
      <c r="N74">
        <v>0</v>
      </c>
      <c r="O74">
        <v>0</v>
      </c>
      <c r="P74">
        <v>0</v>
      </c>
      <c r="Q74">
        <v>0</v>
      </c>
      <c r="R74">
        <v>0</v>
      </c>
      <c r="T74">
        <v>116</v>
      </c>
      <c r="U74">
        <v>0</v>
      </c>
      <c r="V74">
        <v>0</v>
      </c>
      <c r="W74">
        <v>0</v>
      </c>
      <c r="X74">
        <v>0</v>
      </c>
      <c r="Y74">
        <v>0</v>
      </c>
      <c r="Z74">
        <v>0</v>
      </c>
      <c r="AA74">
        <v>0</v>
      </c>
      <c r="AB74">
        <v>0</v>
      </c>
      <c r="AC74">
        <v>0</v>
      </c>
      <c r="AD74">
        <v>0</v>
      </c>
      <c r="AE74">
        <v>0</v>
      </c>
      <c r="AF74">
        <v>0</v>
      </c>
      <c r="AG74">
        <v>0</v>
      </c>
      <c r="AH74">
        <v>0</v>
      </c>
      <c r="AI74">
        <v>0</v>
      </c>
      <c r="AJ74">
        <v>0</v>
      </c>
      <c r="AK74">
        <v>0</v>
      </c>
      <c r="AL74">
        <v>0</v>
      </c>
      <c r="AM74">
        <v>0</v>
      </c>
      <c r="AN74">
        <v>116</v>
      </c>
      <c r="AP74" t="s">
        <v>1031</v>
      </c>
      <c r="AS74" t="s">
        <v>1195</v>
      </c>
      <c r="AV74" t="s">
        <v>1031</v>
      </c>
      <c r="AW74" t="s">
        <v>1195</v>
      </c>
      <c r="AX74">
        <v>0</v>
      </c>
      <c r="AY74">
        <v>0</v>
      </c>
      <c r="AZ74" t="s">
        <v>282</v>
      </c>
      <c r="BA74" t="s">
        <v>282</v>
      </c>
      <c r="BB74" t="s">
        <v>1197</v>
      </c>
      <c r="BC74">
        <v>1</v>
      </c>
    </row>
    <row r="75" spans="1:55" x14ac:dyDescent="0.25">
      <c r="A75" t="s">
        <v>99</v>
      </c>
      <c r="B75">
        <v>17</v>
      </c>
      <c r="C75" t="s">
        <v>1088</v>
      </c>
      <c r="D75" s="158">
        <v>45199</v>
      </c>
      <c r="E75">
        <v>622662</v>
      </c>
      <c r="F75">
        <v>10384058</v>
      </c>
      <c r="G75">
        <v>53862283</v>
      </c>
      <c r="H75" t="b">
        <v>0</v>
      </c>
      <c r="I75">
        <v>15</v>
      </c>
      <c r="J75" t="s">
        <v>1249</v>
      </c>
      <c r="K75">
        <v>15</v>
      </c>
      <c r="L75">
        <v>7.5</v>
      </c>
      <c r="M75">
        <v>2</v>
      </c>
      <c r="N75">
        <v>0</v>
      </c>
      <c r="O75">
        <v>0</v>
      </c>
      <c r="P75">
        <v>0</v>
      </c>
      <c r="Q75">
        <v>0</v>
      </c>
      <c r="R75">
        <v>0</v>
      </c>
      <c r="T75">
        <v>15</v>
      </c>
      <c r="U75">
        <v>0</v>
      </c>
      <c r="V75">
        <v>0</v>
      </c>
      <c r="W75">
        <v>0</v>
      </c>
      <c r="X75">
        <v>0</v>
      </c>
      <c r="Y75">
        <v>0</v>
      </c>
      <c r="Z75">
        <v>0</v>
      </c>
      <c r="AA75">
        <v>0</v>
      </c>
      <c r="AB75">
        <v>0</v>
      </c>
      <c r="AC75">
        <v>0</v>
      </c>
      <c r="AD75">
        <v>0</v>
      </c>
      <c r="AE75">
        <v>0</v>
      </c>
      <c r="AF75">
        <v>0</v>
      </c>
      <c r="AG75">
        <v>0</v>
      </c>
      <c r="AH75">
        <v>0</v>
      </c>
      <c r="AI75">
        <v>0</v>
      </c>
      <c r="AJ75">
        <v>0</v>
      </c>
      <c r="AK75">
        <v>0</v>
      </c>
      <c r="AL75">
        <v>0</v>
      </c>
      <c r="AM75">
        <v>0</v>
      </c>
      <c r="AN75">
        <v>15</v>
      </c>
      <c r="AP75" t="s">
        <v>1031</v>
      </c>
      <c r="AS75" t="s">
        <v>1250</v>
      </c>
      <c r="AV75" t="s">
        <v>1031</v>
      </c>
      <c r="AW75" t="s">
        <v>1250</v>
      </c>
      <c r="AX75">
        <v>0</v>
      </c>
      <c r="AY75">
        <v>0</v>
      </c>
      <c r="AZ75" t="s">
        <v>282</v>
      </c>
      <c r="BA75" t="s">
        <v>282</v>
      </c>
      <c r="BB75" t="s">
        <v>1197</v>
      </c>
      <c r="BC75">
        <v>1</v>
      </c>
    </row>
    <row r="76" spans="1:55" x14ac:dyDescent="0.25">
      <c r="A76" t="s">
        <v>99</v>
      </c>
      <c r="B76">
        <v>17</v>
      </c>
      <c r="C76" t="s">
        <v>1088</v>
      </c>
      <c r="D76" s="158">
        <v>45199</v>
      </c>
      <c r="E76">
        <v>617511</v>
      </c>
      <c r="F76">
        <v>10286974</v>
      </c>
      <c r="G76">
        <v>53406534</v>
      </c>
      <c r="H76" t="b">
        <v>0</v>
      </c>
      <c r="I76">
        <v>30</v>
      </c>
      <c r="J76" t="s">
        <v>1187</v>
      </c>
      <c r="K76">
        <v>216</v>
      </c>
      <c r="L76">
        <v>216</v>
      </c>
      <c r="M76">
        <v>1</v>
      </c>
      <c r="N76">
        <v>0</v>
      </c>
      <c r="O76">
        <v>0</v>
      </c>
      <c r="P76">
        <v>0</v>
      </c>
      <c r="Q76">
        <v>0</v>
      </c>
      <c r="R76">
        <v>0</v>
      </c>
      <c r="T76">
        <v>0</v>
      </c>
      <c r="U76">
        <v>0</v>
      </c>
      <c r="V76">
        <v>0</v>
      </c>
      <c r="W76">
        <v>0</v>
      </c>
      <c r="X76">
        <v>0</v>
      </c>
      <c r="Y76">
        <v>0</v>
      </c>
      <c r="Z76">
        <v>0</v>
      </c>
      <c r="AA76">
        <v>0</v>
      </c>
      <c r="AB76">
        <v>0</v>
      </c>
      <c r="AC76">
        <v>0</v>
      </c>
      <c r="AD76">
        <v>0</v>
      </c>
      <c r="AE76">
        <v>0</v>
      </c>
      <c r="AF76">
        <v>0</v>
      </c>
      <c r="AG76">
        <v>0</v>
      </c>
      <c r="AH76">
        <v>0</v>
      </c>
      <c r="AI76">
        <v>216</v>
      </c>
      <c r="AJ76">
        <v>0</v>
      </c>
      <c r="AK76">
        <v>0</v>
      </c>
      <c r="AL76">
        <v>0</v>
      </c>
      <c r="AM76">
        <v>0</v>
      </c>
      <c r="AN76">
        <v>216</v>
      </c>
      <c r="AP76" t="s">
        <v>1091</v>
      </c>
      <c r="AS76" t="s">
        <v>1185</v>
      </c>
      <c r="AV76" t="s">
        <v>1091</v>
      </c>
      <c r="AW76" t="s">
        <v>1185</v>
      </c>
      <c r="AX76">
        <v>0</v>
      </c>
      <c r="AY76">
        <v>0</v>
      </c>
      <c r="AZ76" t="s">
        <v>282</v>
      </c>
      <c r="BA76" t="s">
        <v>282</v>
      </c>
      <c r="BB76" t="s">
        <v>1197</v>
      </c>
      <c r="BC76">
        <v>1</v>
      </c>
    </row>
    <row r="77" spans="1:55" x14ac:dyDescent="0.25">
      <c r="A77" t="s">
        <v>99</v>
      </c>
      <c r="B77">
        <v>17</v>
      </c>
      <c r="C77" t="s">
        <v>1088</v>
      </c>
      <c r="D77" s="158">
        <v>45199</v>
      </c>
      <c r="E77">
        <v>623681</v>
      </c>
      <c r="F77">
        <v>10403222</v>
      </c>
      <c r="G77">
        <v>53967487</v>
      </c>
      <c r="H77" t="b">
        <v>0</v>
      </c>
      <c r="I77">
        <v>10</v>
      </c>
      <c r="J77" t="s">
        <v>1196</v>
      </c>
      <c r="K77">
        <v>85</v>
      </c>
      <c r="L77">
        <v>85</v>
      </c>
      <c r="M77">
        <v>1</v>
      </c>
      <c r="N77">
        <v>0</v>
      </c>
      <c r="O77">
        <v>0</v>
      </c>
      <c r="P77">
        <v>0</v>
      </c>
      <c r="Q77">
        <v>0</v>
      </c>
      <c r="R77">
        <v>0</v>
      </c>
      <c r="T77">
        <v>85</v>
      </c>
      <c r="U77">
        <v>0</v>
      </c>
      <c r="V77">
        <v>0</v>
      </c>
      <c r="W77">
        <v>0</v>
      </c>
      <c r="X77">
        <v>0</v>
      </c>
      <c r="Y77">
        <v>0</v>
      </c>
      <c r="Z77">
        <v>0</v>
      </c>
      <c r="AA77">
        <v>0</v>
      </c>
      <c r="AB77">
        <v>0</v>
      </c>
      <c r="AC77">
        <v>0</v>
      </c>
      <c r="AD77">
        <v>0</v>
      </c>
      <c r="AE77">
        <v>0</v>
      </c>
      <c r="AF77">
        <v>0</v>
      </c>
      <c r="AG77">
        <v>0</v>
      </c>
      <c r="AH77">
        <v>0</v>
      </c>
      <c r="AI77">
        <v>0</v>
      </c>
      <c r="AJ77">
        <v>0</v>
      </c>
      <c r="AK77">
        <v>0</v>
      </c>
      <c r="AL77">
        <v>0</v>
      </c>
      <c r="AM77">
        <v>0</v>
      </c>
      <c r="AN77">
        <v>85</v>
      </c>
      <c r="AP77" t="s">
        <v>1031</v>
      </c>
      <c r="AS77" t="s">
        <v>1230</v>
      </c>
      <c r="AV77" t="s">
        <v>1031</v>
      </c>
      <c r="AW77" t="s">
        <v>1230</v>
      </c>
      <c r="AX77">
        <v>0</v>
      </c>
      <c r="AY77">
        <v>0</v>
      </c>
      <c r="AZ77" t="s">
        <v>282</v>
      </c>
      <c r="BA77" t="s">
        <v>282</v>
      </c>
      <c r="BB77" t="s">
        <v>1197</v>
      </c>
      <c r="BC77">
        <v>1</v>
      </c>
    </row>
    <row r="78" spans="1:55" x14ac:dyDescent="0.25">
      <c r="A78" t="s">
        <v>99</v>
      </c>
      <c r="B78">
        <v>17</v>
      </c>
      <c r="C78" t="s">
        <v>1088</v>
      </c>
      <c r="D78" s="158">
        <v>45199</v>
      </c>
      <c r="E78">
        <v>622799</v>
      </c>
      <c r="F78">
        <v>10386531</v>
      </c>
      <c r="G78">
        <v>54037067</v>
      </c>
      <c r="H78" t="b">
        <v>0</v>
      </c>
      <c r="I78">
        <v>8</v>
      </c>
      <c r="J78" t="s">
        <v>1187</v>
      </c>
      <c r="K78">
        <v>216</v>
      </c>
      <c r="L78">
        <v>216</v>
      </c>
      <c r="M78">
        <v>1</v>
      </c>
      <c r="N78">
        <v>0</v>
      </c>
      <c r="O78">
        <v>0</v>
      </c>
      <c r="P78">
        <v>0</v>
      </c>
      <c r="Q78">
        <v>0</v>
      </c>
      <c r="R78">
        <v>0</v>
      </c>
      <c r="T78">
        <v>216</v>
      </c>
      <c r="U78">
        <v>0</v>
      </c>
      <c r="V78">
        <v>0</v>
      </c>
      <c r="W78">
        <v>0</v>
      </c>
      <c r="X78">
        <v>0</v>
      </c>
      <c r="Y78">
        <v>0</v>
      </c>
      <c r="Z78">
        <v>0</v>
      </c>
      <c r="AA78">
        <v>0</v>
      </c>
      <c r="AB78">
        <v>0</v>
      </c>
      <c r="AC78">
        <v>0</v>
      </c>
      <c r="AD78">
        <v>0</v>
      </c>
      <c r="AE78">
        <v>0</v>
      </c>
      <c r="AF78">
        <v>0</v>
      </c>
      <c r="AG78">
        <v>0</v>
      </c>
      <c r="AH78">
        <v>0</v>
      </c>
      <c r="AI78">
        <v>0</v>
      </c>
      <c r="AJ78">
        <v>0</v>
      </c>
      <c r="AK78">
        <v>0</v>
      </c>
      <c r="AL78">
        <v>0</v>
      </c>
      <c r="AM78">
        <v>0</v>
      </c>
      <c r="AN78">
        <v>216</v>
      </c>
      <c r="AP78" t="s">
        <v>1091</v>
      </c>
      <c r="AS78" t="s">
        <v>1188</v>
      </c>
      <c r="AV78" t="s">
        <v>1091</v>
      </c>
      <c r="AW78" t="s">
        <v>1188</v>
      </c>
      <c r="AX78">
        <v>0</v>
      </c>
      <c r="AY78">
        <v>0</v>
      </c>
      <c r="AZ78" t="s">
        <v>282</v>
      </c>
      <c r="BA78" t="s">
        <v>282</v>
      </c>
      <c r="BB78" t="s">
        <v>1197</v>
      </c>
      <c r="BC78">
        <v>1</v>
      </c>
    </row>
    <row r="79" spans="1:55" x14ac:dyDescent="0.25">
      <c r="A79" t="s">
        <v>99</v>
      </c>
      <c r="B79">
        <v>17</v>
      </c>
      <c r="C79" t="s">
        <v>1088</v>
      </c>
      <c r="D79" s="158">
        <v>45199</v>
      </c>
      <c r="E79">
        <v>557266</v>
      </c>
      <c r="F79">
        <v>9124261</v>
      </c>
      <c r="G79">
        <v>46485614</v>
      </c>
      <c r="H79" t="b">
        <v>0</v>
      </c>
      <c r="I79">
        <v>254</v>
      </c>
      <c r="J79" t="s">
        <v>1187</v>
      </c>
      <c r="K79">
        <v>216</v>
      </c>
      <c r="L79">
        <v>216</v>
      </c>
      <c r="M79">
        <v>1</v>
      </c>
      <c r="N79">
        <v>0</v>
      </c>
      <c r="O79">
        <v>0</v>
      </c>
      <c r="P79">
        <v>0</v>
      </c>
      <c r="Q79">
        <v>0</v>
      </c>
      <c r="R79">
        <v>0</v>
      </c>
      <c r="T79">
        <v>216</v>
      </c>
      <c r="U79">
        <v>0</v>
      </c>
      <c r="V79">
        <v>0</v>
      </c>
      <c r="W79">
        <v>0</v>
      </c>
      <c r="X79">
        <v>0</v>
      </c>
      <c r="Y79">
        <v>0</v>
      </c>
      <c r="Z79">
        <v>216</v>
      </c>
      <c r="AA79">
        <v>0</v>
      </c>
      <c r="AB79">
        <v>0</v>
      </c>
      <c r="AC79">
        <v>0</v>
      </c>
      <c r="AD79">
        <v>0</v>
      </c>
      <c r="AE79">
        <v>0</v>
      </c>
      <c r="AF79">
        <v>0</v>
      </c>
      <c r="AG79">
        <v>0</v>
      </c>
      <c r="AH79">
        <v>0</v>
      </c>
      <c r="AI79">
        <v>0</v>
      </c>
      <c r="AJ79">
        <v>0</v>
      </c>
      <c r="AK79">
        <v>0</v>
      </c>
      <c r="AL79">
        <v>0</v>
      </c>
      <c r="AM79">
        <v>0</v>
      </c>
      <c r="AN79">
        <v>216</v>
      </c>
      <c r="AP79" t="s">
        <v>1227</v>
      </c>
      <c r="AQ79" t="s">
        <v>1180</v>
      </c>
      <c r="AS79" t="s">
        <v>85</v>
      </c>
      <c r="AT79" t="s">
        <v>1243</v>
      </c>
      <c r="AV79" t="s">
        <v>1227</v>
      </c>
      <c r="AW79" t="s">
        <v>85</v>
      </c>
      <c r="AX79">
        <v>0</v>
      </c>
      <c r="AY79">
        <v>0</v>
      </c>
      <c r="AZ79" t="s">
        <v>282</v>
      </c>
      <c r="BA79" t="s">
        <v>282</v>
      </c>
      <c r="BB79" t="s">
        <v>1204</v>
      </c>
      <c r="BC79">
        <v>7</v>
      </c>
    </row>
    <row r="80" spans="1:55" x14ac:dyDescent="0.25">
      <c r="A80" t="s">
        <v>99</v>
      </c>
      <c r="B80">
        <v>17</v>
      </c>
      <c r="C80" t="s">
        <v>1088</v>
      </c>
      <c r="D80" s="158">
        <v>45199</v>
      </c>
      <c r="E80">
        <v>623676</v>
      </c>
      <c r="F80">
        <v>10403072</v>
      </c>
      <c r="G80">
        <v>53966614</v>
      </c>
      <c r="H80" t="b">
        <v>0</v>
      </c>
      <c r="I80">
        <v>10</v>
      </c>
      <c r="J80" t="s">
        <v>1198</v>
      </c>
      <c r="K80">
        <v>85</v>
      </c>
      <c r="L80">
        <v>85</v>
      </c>
      <c r="M80">
        <v>1</v>
      </c>
      <c r="N80">
        <v>0</v>
      </c>
      <c r="O80">
        <v>0</v>
      </c>
      <c r="P80">
        <v>0</v>
      </c>
      <c r="Q80">
        <v>0</v>
      </c>
      <c r="R80">
        <v>0</v>
      </c>
      <c r="T80">
        <v>85</v>
      </c>
      <c r="U80">
        <v>0</v>
      </c>
      <c r="V80">
        <v>0</v>
      </c>
      <c r="W80">
        <v>0</v>
      </c>
      <c r="X80">
        <v>0</v>
      </c>
      <c r="Y80">
        <v>0</v>
      </c>
      <c r="Z80">
        <v>0</v>
      </c>
      <c r="AA80">
        <v>0</v>
      </c>
      <c r="AB80">
        <v>0</v>
      </c>
      <c r="AC80">
        <v>0</v>
      </c>
      <c r="AD80">
        <v>0</v>
      </c>
      <c r="AE80">
        <v>0</v>
      </c>
      <c r="AF80">
        <v>0</v>
      </c>
      <c r="AG80">
        <v>0</v>
      </c>
      <c r="AH80">
        <v>0</v>
      </c>
      <c r="AI80">
        <v>0</v>
      </c>
      <c r="AJ80">
        <v>0</v>
      </c>
      <c r="AK80">
        <v>0</v>
      </c>
      <c r="AL80">
        <v>0</v>
      </c>
      <c r="AM80">
        <v>0</v>
      </c>
      <c r="AN80">
        <v>85</v>
      </c>
      <c r="AP80" t="s">
        <v>1031</v>
      </c>
      <c r="AS80" t="s">
        <v>1230</v>
      </c>
      <c r="AV80" t="s">
        <v>1031</v>
      </c>
      <c r="AW80" t="s">
        <v>1230</v>
      </c>
      <c r="AX80">
        <v>0</v>
      </c>
      <c r="AY80">
        <v>0</v>
      </c>
      <c r="AZ80" t="s">
        <v>282</v>
      </c>
      <c r="BA80" t="s">
        <v>282</v>
      </c>
      <c r="BB80" t="s">
        <v>1197</v>
      </c>
      <c r="BC80">
        <v>1</v>
      </c>
    </row>
    <row r="81" spans="1:55" x14ac:dyDescent="0.25">
      <c r="A81" t="s">
        <v>99</v>
      </c>
      <c r="B81">
        <v>17</v>
      </c>
      <c r="C81" t="s">
        <v>1088</v>
      </c>
      <c r="D81" s="158">
        <v>45199</v>
      </c>
      <c r="E81">
        <v>470677</v>
      </c>
      <c r="F81">
        <v>9926074</v>
      </c>
      <c r="G81">
        <v>52499307</v>
      </c>
      <c r="H81" t="b">
        <v>0</v>
      </c>
      <c r="I81">
        <v>82</v>
      </c>
      <c r="J81" t="s">
        <v>1187</v>
      </c>
      <c r="K81">
        <v>150</v>
      </c>
      <c r="L81">
        <v>150</v>
      </c>
      <c r="M81">
        <v>1</v>
      </c>
      <c r="N81">
        <v>0</v>
      </c>
      <c r="O81">
        <v>0</v>
      </c>
      <c r="P81">
        <v>0</v>
      </c>
      <c r="Q81">
        <v>0</v>
      </c>
      <c r="R81">
        <v>0</v>
      </c>
      <c r="T81">
        <v>150</v>
      </c>
      <c r="U81">
        <v>0</v>
      </c>
      <c r="V81">
        <v>0</v>
      </c>
      <c r="W81">
        <v>0</v>
      </c>
      <c r="X81">
        <v>0</v>
      </c>
      <c r="Y81">
        <v>0</v>
      </c>
      <c r="Z81">
        <v>0</v>
      </c>
      <c r="AA81">
        <v>0</v>
      </c>
      <c r="AB81">
        <v>0</v>
      </c>
      <c r="AC81">
        <v>0</v>
      </c>
      <c r="AD81">
        <v>0</v>
      </c>
      <c r="AE81">
        <v>0</v>
      </c>
      <c r="AF81">
        <v>0</v>
      </c>
      <c r="AG81">
        <v>0</v>
      </c>
      <c r="AH81">
        <v>0</v>
      </c>
      <c r="AI81">
        <v>0</v>
      </c>
      <c r="AJ81">
        <v>0</v>
      </c>
      <c r="AK81">
        <v>0</v>
      </c>
      <c r="AL81">
        <v>0</v>
      </c>
      <c r="AM81">
        <v>0</v>
      </c>
      <c r="AN81">
        <v>150</v>
      </c>
      <c r="AP81" t="s">
        <v>1089</v>
      </c>
      <c r="AS81" t="s">
        <v>1233</v>
      </c>
      <c r="AV81" t="s">
        <v>1089</v>
      </c>
      <c r="AW81" t="s">
        <v>1233</v>
      </c>
      <c r="AX81">
        <v>0</v>
      </c>
      <c r="AY81">
        <v>0</v>
      </c>
      <c r="AZ81" t="s">
        <v>282</v>
      </c>
      <c r="BA81" t="s">
        <v>282</v>
      </c>
      <c r="BB81" t="s">
        <v>1186</v>
      </c>
      <c r="BC81">
        <v>3</v>
      </c>
    </row>
    <row r="82" spans="1:55" x14ac:dyDescent="0.25">
      <c r="A82" t="s">
        <v>99</v>
      </c>
      <c r="B82">
        <v>17</v>
      </c>
      <c r="C82" t="s">
        <v>1088</v>
      </c>
      <c r="D82" s="158">
        <v>45199</v>
      </c>
      <c r="E82">
        <v>624781</v>
      </c>
      <c r="F82">
        <v>10425164</v>
      </c>
      <c r="G82">
        <v>54099553</v>
      </c>
      <c r="H82" t="b">
        <v>0</v>
      </c>
      <c r="I82">
        <v>5</v>
      </c>
      <c r="J82" t="s">
        <v>1198</v>
      </c>
      <c r="K82">
        <v>85</v>
      </c>
      <c r="L82">
        <v>85</v>
      </c>
      <c r="M82">
        <v>1</v>
      </c>
      <c r="N82">
        <v>0</v>
      </c>
      <c r="O82">
        <v>0</v>
      </c>
      <c r="P82">
        <v>0</v>
      </c>
      <c r="Q82">
        <v>0</v>
      </c>
      <c r="R82">
        <v>0</v>
      </c>
      <c r="T82">
        <v>85</v>
      </c>
      <c r="U82">
        <v>0</v>
      </c>
      <c r="V82">
        <v>0</v>
      </c>
      <c r="W82">
        <v>0</v>
      </c>
      <c r="X82">
        <v>0</v>
      </c>
      <c r="Y82">
        <v>0</v>
      </c>
      <c r="Z82">
        <v>0</v>
      </c>
      <c r="AA82">
        <v>0</v>
      </c>
      <c r="AB82">
        <v>0</v>
      </c>
      <c r="AC82">
        <v>0</v>
      </c>
      <c r="AD82">
        <v>0</v>
      </c>
      <c r="AE82">
        <v>0</v>
      </c>
      <c r="AF82">
        <v>0</v>
      </c>
      <c r="AG82">
        <v>0</v>
      </c>
      <c r="AH82">
        <v>0</v>
      </c>
      <c r="AI82">
        <v>0</v>
      </c>
      <c r="AJ82">
        <v>0</v>
      </c>
      <c r="AK82">
        <v>0</v>
      </c>
      <c r="AL82">
        <v>0</v>
      </c>
      <c r="AM82">
        <v>0</v>
      </c>
      <c r="AN82">
        <v>85</v>
      </c>
      <c r="AP82" t="s">
        <v>1031</v>
      </c>
      <c r="AS82" t="s">
        <v>1250</v>
      </c>
      <c r="AV82" t="s">
        <v>1031</v>
      </c>
      <c r="AW82" t="s">
        <v>1250</v>
      </c>
      <c r="AX82">
        <v>0</v>
      </c>
      <c r="AY82">
        <v>0</v>
      </c>
      <c r="AZ82" t="s">
        <v>282</v>
      </c>
      <c r="BA82" t="s">
        <v>282</v>
      </c>
      <c r="BB82" t="s">
        <v>1197</v>
      </c>
      <c r="BC82">
        <v>1</v>
      </c>
    </row>
    <row r="83" spans="1:55" x14ac:dyDescent="0.25">
      <c r="A83" t="s">
        <v>99</v>
      </c>
      <c r="B83">
        <v>17</v>
      </c>
      <c r="C83" t="s">
        <v>1088</v>
      </c>
      <c r="D83" s="158">
        <v>45199</v>
      </c>
      <c r="E83">
        <v>624781</v>
      </c>
      <c r="F83">
        <v>10425164</v>
      </c>
      <c r="G83">
        <v>54099579</v>
      </c>
      <c r="H83" t="b">
        <v>0</v>
      </c>
      <c r="I83">
        <v>5</v>
      </c>
      <c r="J83" t="s">
        <v>1249</v>
      </c>
      <c r="K83">
        <v>15</v>
      </c>
      <c r="L83">
        <v>7.5</v>
      </c>
      <c r="M83">
        <v>2</v>
      </c>
      <c r="N83">
        <v>0</v>
      </c>
      <c r="O83">
        <v>0</v>
      </c>
      <c r="P83">
        <v>0</v>
      </c>
      <c r="Q83">
        <v>0</v>
      </c>
      <c r="R83">
        <v>0</v>
      </c>
      <c r="T83">
        <v>15</v>
      </c>
      <c r="U83">
        <v>0</v>
      </c>
      <c r="V83">
        <v>0</v>
      </c>
      <c r="W83">
        <v>0</v>
      </c>
      <c r="X83">
        <v>0</v>
      </c>
      <c r="Y83">
        <v>0</v>
      </c>
      <c r="Z83">
        <v>0</v>
      </c>
      <c r="AA83">
        <v>0</v>
      </c>
      <c r="AB83">
        <v>0</v>
      </c>
      <c r="AC83">
        <v>0</v>
      </c>
      <c r="AD83">
        <v>0</v>
      </c>
      <c r="AE83">
        <v>0</v>
      </c>
      <c r="AF83">
        <v>0</v>
      </c>
      <c r="AG83">
        <v>0</v>
      </c>
      <c r="AH83">
        <v>0</v>
      </c>
      <c r="AI83">
        <v>0</v>
      </c>
      <c r="AJ83">
        <v>0</v>
      </c>
      <c r="AK83">
        <v>0</v>
      </c>
      <c r="AL83">
        <v>0</v>
      </c>
      <c r="AM83">
        <v>0</v>
      </c>
      <c r="AN83">
        <v>15</v>
      </c>
      <c r="AP83" t="s">
        <v>1031</v>
      </c>
      <c r="AS83" t="s">
        <v>1250</v>
      </c>
      <c r="AV83" t="s">
        <v>1031</v>
      </c>
      <c r="AW83" t="s">
        <v>1250</v>
      </c>
      <c r="AX83">
        <v>0</v>
      </c>
      <c r="AY83">
        <v>0</v>
      </c>
      <c r="AZ83" t="s">
        <v>282</v>
      </c>
      <c r="BA83" t="s">
        <v>282</v>
      </c>
      <c r="BB83" t="s">
        <v>1197</v>
      </c>
      <c r="BC83">
        <v>1</v>
      </c>
    </row>
    <row r="84" spans="1:55" x14ac:dyDescent="0.25">
      <c r="A84" t="s">
        <v>99</v>
      </c>
      <c r="B84">
        <v>17</v>
      </c>
      <c r="C84" t="s">
        <v>1088</v>
      </c>
      <c r="D84" s="158">
        <v>45199</v>
      </c>
      <c r="E84">
        <v>624781</v>
      </c>
      <c r="F84">
        <v>10425164</v>
      </c>
      <c r="G84">
        <v>54099625</v>
      </c>
      <c r="H84" t="b">
        <v>0</v>
      </c>
      <c r="I84">
        <v>5</v>
      </c>
      <c r="J84" t="s">
        <v>1229</v>
      </c>
      <c r="K84">
        <v>16</v>
      </c>
      <c r="L84">
        <v>8</v>
      </c>
      <c r="M84">
        <v>2</v>
      </c>
      <c r="N84">
        <v>0</v>
      </c>
      <c r="O84">
        <v>0</v>
      </c>
      <c r="P84">
        <v>0</v>
      </c>
      <c r="Q84">
        <v>0</v>
      </c>
      <c r="R84">
        <v>0</v>
      </c>
      <c r="T84">
        <v>16</v>
      </c>
      <c r="U84">
        <v>0</v>
      </c>
      <c r="V84">
        <v>0</v>
      </c>
      <c r="W84">
        <v>0</v>
      </c>
      <c r="X84">
        <v>0</v>
      </c>
      <c r="Y84">
        <v>0</v>
      </c>
      <c r="Z84">
        <v>0</v>
      </c>
      <c r="AA84">
        <v>0</v>
      </c>
      <c r="AB84">
        <v>0</v>
      </c>
      <c r="AC84">
        <v>0</v>
      </c>
      <c r="AD84">
        <v>0</v>
      </c>
      <c r="AE84">
        <v>0</v>
      </c>
      <c r="AF84">
        <v>0</v>
      </c>
      <c r="AG84">
        <v>0</v>
      </c>
      <c r="AH84">
        <v>0</v>
      </c>
      <c r="AI84">
        <v>0</v>
      </c>
      <c r="AJ84">
        <v>0</v>
      </c>
      <c r="AK84">
        <v>0</v>
      </c>
      <c r="AL84">
        <v>0</v>
      </c>
      <c r="AM84">
        <v>0</v>
      </c>
      <c r="AN84">
        <v>16</v>
      </c>
      <c r="AP84" t="s">
        <v>1031</v>
      </c>
      <c r="AS84" t="s">
        <v>1250</v>
      </c>
      <c r="AV84" t="s">
        <v>1031</v>
      </c>
      <c r="AW84" t="s">
        <v>1250</v>
      </c>
      <c r="AX84">
        <v>0</v>
      </c>
      <c r="AY84">
        <v>0</v>
      </c>
      <c r="AZ84" t="s">
        <v>282</v>
      </c>
      <c r="BA84" t="s">
        <v>282</v>
      </c>
      <c r="BB84" t="s">
        <v>1197</v>
      </c>
      <c r="BC84">
        <v>1</v>
      </c>
    </row>
    <row r="85" spans="1:55" x14ac:dyDescent="0.25">
      <c r="A85" t="s">
        <v>99</v>
      </c>
      <c r="B85">
        <v>17</v>
      </c>
      <c r="C85" t="s">
        <v>1088</v>
      </c>
      <c r="D85" s="158">
        <v>45199</v>
      </c>
      <c r="E85">
        <v>624781</v>
      </c>
      <c r="F85">
        <v>10425164</v>
      </c>
      <c r="G85">
        <v>54099669</v>
      </c>
      <c r="H85" t="b">
        <v>0</v>
      </c>
      <c r="I85">
        <v>5</v>
      </c>
      <c r="J85" t="s">
        <v>1234</v>
      </c>
      <c r="K85">
        <v>8</v>
      </c>
      <c r="L85">
        <v>4</v>
      </c>
      <c r="M85">
        <v>2</v>
      </c>
      <c r="N85">
        <v>0</v>
      </c>
      <c r="O85">
        <v>0</v>
      </c>
      <c r="P85">
        <v>0</v>
      </c>
      <c r="Q85">
        <v>0</v>
      </c>
      <c r="R85">
        <v>0</v>
      </c>
      <c r="T85">
        <v>8</v>
      </c>
      <c r="U85">
        <v>0</v>
      </c>
      <c r="V85">
        <v>0</v>
      </c>
      <c r="W85">
        <v>0</v>
      </c>
      <c r="X85">
        <v>0</v>
      </c>
      <c r="Y85">
        <v>0</v>
      </c>
      <c r="Z85">
        <v>0</v>
      </c>
      <c r="AA85">
        <v>0</v>
      </c>
      <c r="AB85">
        <v>0</v>
      </c>
      <c r="AC85">
        <v>0</v>
      </c>
      <c r="AD85">
        <v>0</v>
      </c>
      <c r="AE85">
        <v>0</v>
      </c>
      <c r="AF85">
        <v>0</v>
      </c>
      <c r="AG85">
        <v>0</v>
      </c>
      <c r="AH85">
        <v>0</v>
      </c>
      <c r="AI85">
        <v>0</v>
      </c>
      <c r="AJ85">
        <v>0</v>
      </c>
      <c r="AK85">
        <v>0</v>
      </c>
      <c r="AL85">
        <v>0</v>
      </c>
      <c r="AM85">
        <v>0</v>
      </c>
      <c r="AN85">
        <v>8</v>
      </c>
      <c r="AP85" t="s">
        <v>1031</v>
      </c>
      <c r="AS85" t="s">
        <v>1250</v>
      </c>
      <c r="AV85" t="s">
        <v>1031</v>
      </c>
      <c r="AW85" t="s">
        <v>1250</v>
      </c>
      <c r="AX85">
        <v>0</v>
      </c>
      <c r="AY85">
        <v>0</v>
      </c>
      <c r="AZ85" t="s">
        <v>282</v>
      </c>
      <c r="BA85" t="s">
        <v>282</v>
      </c>
      <c r="BB85" t="s">
        <v>1197</v>
      </c>
      <c r="BC85">
        <v>1</v>
      </c>
    </row>
    <row r="86" spans="1:55" x14ac:dyDescent="0.25">
      <c r="A86" t="s">
        <v>99</v>
      </c>
      <c r="B86">
        <v>17</v>
      </c>
      <c r="C86" t="s">
        <v>1088</v>
      </c>
      <c r="D86" s="158">
        <v>45199</v>
      </c>
      <c r="E86">
        <v>562091</v>
      </c>
      <c r="F86">
        <v>9221655</v>
      </c>
      <c r="G86">
        <v>46813919</v>
      </c>
      <c r="H86" t="b">
        <v>0</v>
      </c>
      <c r="I86">
        <v>243</v>
      </c>
      <c r="J86" t="s">
        <v>1234</v>
      </c>
      <c r="K86">
        <v>8</v>
      </c>
      <c r="L86">
        <v>4</v>
      </c>
      <c r="M86">
        <v>2</v>
      </c>
      <c r="N86">
        <v>0</v>
      </c>
      <c r="O86">
        <v>0</v>
      </c>
      <c r="P86">
        <v>0</v>
      </c>
      <c r="Q86">
        <v>0</v>
      </c>
      <c r="R86">
        <v>0</v>
      </c>
      <c r="T86">
        <v>8</v>
      </c>
      <c r="U86">
        <v>0</v>
      </c>
      <c r="V86">
        <v>0</v>
      </c>
      <c r="W86">
        <v>0</v>
      </c>
      <c r="X86">
        <v>0</v>
      </c>
      <c r="Y86">
        <v>0</v>
      </c>
      <c r="Z86">
        <v>0</v>
      </c>
      <c r="AA86">
        <v>0</v>
      </c>
      <c r="AB86">
        <v>0</v>
      </c>
      <c r="AC86">
        <v>0</v>
      </c>
      <c r="AD86">
        <v>0</v>
      </c>
      <c r="AE86">
        <v>0</v>
      </c>
      <c r="AF86">
        <v>0</v>
      </c>
      <c r="AG86">
        <v>0</v>
      </c>
      <c r="AH86">
        <v>0</v>
      </c>
      <c r="AI86">
        <v>0</v>
      </c>
      <c r="AJ86">
        <v>0</v>
      </c>
      <c r="AK86">
        <v>0</v>
      </c>
      <c r="AL86">
        <v>0</v>
      </c>
      <c r="AM86">
        <v>0</v>
      </c>
      <c r="AN86">
        <v>8</v>
      </c>
      <c r="AP86" t="s">
        <v>1031</v>
      </c>
      <c r="AS86" t="s">
        <v>1238</v>
      </c>
      <c r="AV86" t="s">
        <v>1031</v>
      </c>
      <c r="AW86" t="s">
        <v>1238</v>
      </c>
      <c r="AX86">
        <v>0</v>
      </c>
      <c r="AY86">
        <v>0</v>
      </c>
      <c r="AZ86" t="s">
        <v>282</v>
      </c>
      <c r="BA86" t="s">
        <v>282</v>
      </c>
      <c r="BB86" t="s">
        <v>1204</v>
      </c>
      <c r="BC86">
        <v>7</v>
      </c>
    </row>
    <row r="87" spans="1:55" x14ac:dyDescent="0.25">
      <c r="A87" t="s">
        <v>99</v>
      </c>
      <c r="B87">
        <v>17</v>
      </c>
      <c r="C87" t="s">
        <v>1088</v>
      </c>
      <c r="D87" s="158">
        <v>45199</v>
      </c>
      <c r="E87">
        <v>562091</v>
      </c>
      <c r="F87">
        <v>9221655</v>
      </c>
      <c r="G87">
        <v>46814037</v>
      </c>
      <c r="H87" t="b">
        <v>0</v>
      </c>
      <c r="I87">
        <v>243</v>
      </c>
      <c r="J87" t="s">
        <v>1192</v>
      </c>
      <c r="K87">
        <v>15</v>
      </c>
      <c r="L87">
        <v>15</v>
      </c>
      <c r="M87">
        <v>1</v>
      </c>
      <c r="N87">
        <v>0</v>
      </c>
      <c r="O87">
        <v>0</v>
      </c>
      <c r="P87">
        <v>0</v>
      </c>
      <c r="Q87">
        <v>0</v>
      </c>
      <c r="R87">
        <v>0</v>
      </c>
      <c r="T87">
        <v>15</v>
      </c>
      <c r="U87">
        <v>0</v>
      </c>
      <c r="V87">
        <v>0</v>
      </c>
      <c r="W87">
        <v>0</v>
      </c>
      <c r="X87">
        <v>0</v>
      </c>
      <c r="Y87">
        <v>0</v>
      </c>
      <c r="Z87">
        <v>0</v>
      </c>
      <c r="AA87">
        <v>0</v>
      </c>
      <c r="AB87">
        <v>0</v>
      </c>
      <c r="AC87">
        <v>0</v>
      </c>
      <c r="AD87">
        <v>0</v>
      </c>
      <c r="AE87">
        <v>0</v>
      </c>
      <c r="AF87">
        <v>0</v>
      </c>
      <c r="AG87">
        <v>0</v>
      </c>
      <c r="AH87">
        <v>0</v>
      </c>
      <c r="AI87">
        <v>0</v>
      </c>
      <c r="AJ87">
        <v>0</v>
      </c>
      <c r="AK87">
        <v>0</v>
      </c>
      <c r="AL87">
        <v>0</v>
      </c>
      <c r="AM87">
        <v>0</v>
      </c>
      <c r="AN87">
        <v>15</v>
      </c>
      <c r="AP87" t="s">
        <v>1031</v>
      </c>
      <c r="AS87" t="s">
        <v>1238</v>
      </c>
      <c r="AV87" t="s">
        <v>1031</v>
      </c>
      <c r="AW87" t="s">
        <v>1238</v>
      </c>
      <c r="AX87">
        <v>0</v>
      </c>
      <c r="AY87">
        <v>0</v>
      </c>
      <c r="AZ87" t="s">
        <v>282</v>
      </c>
      <c r="BA87" t="s">
        <v>282</v>
      </c>
      <c r="BB87" t="s">
        <v>1204</v>
      </c>
      <c r="BC87">
        <v>7</v>
      </c>
    </row>
    <row r="88" spans="1:55" x14ac:dyDescent="0.25">
      <c r="A88" t="s">
        <v>99</v>
      </c>
      <c r="B88">
        <v>17</v>
      </c>
      <c r="C88" t="s">
        <v>1088</v>
      </c>
      <c r="D88" s="158">
        <v>45199</v>
      </c>
      <c r="E88">
        <v>621524</v>
      </c>
      <c r="F88">
        <v>10374535</v>
      </c>
      <c r="G88">
        <v>54153937</v>
      </c>
      <c r="H88" t="b">
        <v>0</v>
      </c>
      <c r="I88">
        <v>4</v>
      </c>
      <c r="J88" t="s">
        <v>1187</v>
      </c>
      <c r="K88">
        <v>216</v>
      </c>
      <c r="L88">
        <v>216</v>
      </c>
      <c r="M88">
        <v>1</v>
      </c>
      <c r="N88">
        <v>0</v>
      </c>
      <c r="O88">
        <v>0</v>
      </c>
      <c r="P88">
        <v>0</v>
      </c>
      <c r="Q88">
        <v>0</v>
      </c>
      <c r="R88">
        <v>0</v>
      </c>
      <c r="T88">
        <v>216</v>
      </c>
      <c r="U88">
        <v>0</v>
      </c>
      <c r="V88">
        <v>0</v>
      </c>
      <c r="W88">
        <v>0</v>
      </c>
      <c r="X88">
        <v>0</v>
      </c>
      <c r="Y88">
        <v>0</v>
      </c>
      <c r="Z88">
        <v>0</v>
      </c>
      <c r="AA88">
        <v>0</v>
      </c>
      <c r="AB88">
        <v>0</v>
      </c>
      <c r="AC88">
        <v>0</v>
      </c>
      <c r="AD88">
        <v>0</v>
      </c>
      <c r="AE88">
        <v>0</v>
      </c>
      <c r="AF88">
        <v>0</v>
      </c>
      <c r="AG88">
        <v>0</v>
      </c>
      <c r="AH88">
        <v>0</v>
      </c>
      <c r="AI88">
        <v>0</v>
      </c>
      <c r="AJ88">
        <v>0</v>
      </c>
      <c r="AK88">
        <v>0</v>
      </c>
      <c r="AL88">
        <v>0</v>
      </c>
      <c r="AM88">
        <v>0</v>
      </c>
      <c r="AN88">
        <v>216</v>
      </c>
      <c r="AP88" t="s">
        <v>1091</v>
      </c>
      <c r="AS88" t="s">
        <v>1185</v>
      </c>
      <c r="AV88" t="s">
        <v>1091</v>
      </c>
      <c r="AW88" t="s">
        <v>1185</v>
      </c>
      <c r="AX88">
        <v>0</v>
      </c>
      <c r="AY88">
        <v>0</v>
      </c>
      <c r="AZ88" t="s">
        <v>282</v>
      </c>
      <c r="BA88" t="s">
        <v>282</v>
      </c>
      <c r="BB88" t="s">
        <v>1197</v>
      </c>
      <c r="BC88">
        <v>1</v>
      </c>
    </row>
    <row r="89" spans="1:55" x14ac:dyDescent="0.25">
      <c r="A89" t="s">
        <v>99</v>
      </c>
      <c r="B89">
        <v>17</v>
      </c>
      <c r="C89" t="s">
        <v>1088</v>
      </c>
      <c r="D89" s="158">
        <v>45199</v>
      </c>
      <c r="E89">
        <v>621524</v>
      </c>
      <c r="F89">
        <v>10374535</v>
      </c>
      <c r="G89">
        <v>54153938</v>
      </c>
      <c r="H89" t="b">
        <v>0</v>
      </c>
      <c r="I89">
        <v>4</v>
      </c>
      <c r="J89" t="s">
        <v>1187</v>
      </c>
      <c r="K89">
        <v>216</v>
      </c>
      <c r="L89">
        <v>216</v>
      </c>
      <c r="M89">
        <v>1</v>
      </c>
      <c r="N89">
        <v>0</v>
      </c>
      <c r="O89">
        <v>0</v>
      </c>
      <c r="P89">
        <v>0</v>
      </c>
      <c r="Q89">
        <v>0</v>
      </c>
      <c r="R89">
        <v>0</v>
      </c>
      <c r="T89">
        <v>216</v>
      </c>
      <c r="U89">
        <v>0</v>
      </c>
      <c r="V89">
        <v>0</v>
      </c>
      <c r="W89">
        <v>0</v>
      </c>
      <c r="X89">
        <v>0</v>
      </c>
      <c r="Y89">
        <v>0</v>
      </c>
      <c r="Z89">
        <v>0</v>
      </c>
      <c r="AA89">
        <v>0</v>
      </c>
      <c r="AB89">
        <v>0</v>
      </c>
      <c r="AC89">
        <v>0</v>
      </c>
      <c r="AD89">
        <v>0</v>
      </c>
      <c r="AE89">
        <v>0</v>
      </c>
      <c r="AF89">
        <v>0</v>
      </c>
      <c r="AG89">
        <v>0</v>
      </c>
      <c r="AH89">
        <v>0</v>
      </c>
      <c r="AI89">
        <v>0</v>
      </c>
      <c r="AJ89">
        <v>0</v>
      </c>
      <c r="AK89">
        <v>0</v>
      </c>
      <c r="AL89">
        <v>0</v>
      </c>
      <c r="AM89">
        <v>0</v>
      </c>
      <c r="AN89">
        <v>216</v>
      </c>
      <c r="AP89" t="s">
        <v>1091</v>
      </c>
      <c r="AS89" t="s">
        <v>1185</v>
      </c>
      <c r="AV89" t="s">
        <v>1091</v>
      </c>
      <c r="AW89" t="s">
        <v>1185</v>
      </c>
      <c r="AX89">
        <v>0</v>
      </c>
      <c r="AY89">
        <v>0</v>
      </c>
      <c r="AZ89" t="s">
        <v>282</v>
      </c>
      <c r="BA89" t="s">
        <v>282</v>
      </c>
      <c r="BB89" t="s">
        <v>1197</v>
      </c>
      <c r="BC89">
        <v>1</v>
      </c>
    </row>
    <row r="90" spans="1:55" x14ac:dyDescent="0.25">
      <c r="A90" t="s">
        <v>99</v>
      </c>
      <c r="B90">
        <v>17</v>
      </c>
      <c r="C90" t="s">
        <v>1088</v>
      </c>
      <c r="D90" s="158">
        <v>45199</v>
      </c>
      <c r="E90">
        <v>282257</v>
      </c>
      <c r="F90">
        <v>9350831</v>
      </c>
      <c r="G90">
        <v>47440393</v>
      </c>
      <c r="H90" t="b">
        <v>0</v>
      </c>
      <c r="I90">
        <v>219</v>
      </c>
      <c r="J90" t="s">
        <v>1189</v>
      </c>
      <c r="K90">
        <v>15</v>
      </c>
      <c r="L90">
        <v>7.5</v>
      </c>
      <c r="M90">
        <v>2</v>
      </c>
      <c r="N90">
        <v>0</v>
      </c>
      <c r="O90">
        <v>0</v>
      </c>
      <c r="P90">
        <v>0</v>
      </c>
      <c r="Q90">
        <v>0</v>
      </c>
      <c r="R90">
        <v>0</v>
      </c>
      <c r="T90">
        <v>15</v>
      </c>
      <c r="U90">
        <v>0</v>
      </c>
      <c r="V90">
        <v>2</v>
      </c>
      <c r="W90">
        <v>30</v>
      </c>
      <c r="X90">
        <v>0</v>
      </c>
      <c r="Y90">
        <v>0</v>
      </c>
      <c r="Z90">
        <v>0</v>
      </c>
      <c r="AA90">
        <v>0</v>
      </c>
      <c r="AB90">
        <v>0</v>
      </c>
      <c r="AC90">
        <v>0</v>
      </c>
      <c r="AD90">
        <v>0</v>
      </c>
      <c r="AE90">
        <v>0</v>
      </c>
      <c r="AF90">
        <v>0</v>
      </c>
      <c r="AG90">
        <v>0</v>
      </c>
      <c r="AH90">
        <v>0</v>
      </c>
      <c r="AI90">
        <v>0</v>
      </c>
      <c r="AJ90">
        <v>0</v>
      </c>
      <c r="AK90">
        <v>0</v>
      </c>
      <c r="AL90">
        <v>0</v>
      </c>
      <c r="AM90">
        <v>0</v>
      </c>
      <c r="AN90">
        <v>-15</v>
      </c>
      <c r="AP90" t="s">
        <v>1031</v>
      </c>
      <c r="AS90" t="s">
        <v>1190</v>
      </c>
      <c r="AV90" t="s">
        <v>1031</v>
      </c>
      <c r="AW90" t="s">
        <v>1190</v>
      </c>
      <c r="AX90">
        <v>0</v>
      </c>
      <c r="AY90">
        <v>0</v>
      </c>
      <c r="AZ90" t="s">
        <v>282</v>
      </c>
      <c r="BA90" t="s">
        <v>282</v>
      </c>
      <c r="BB90" t="s">
        <v>1204</v>
      </c>
      <c r="BC90">
        <v>7</v>
      </c>
    </row>
    <row r="91" spans="1:55" x14ac:dyDescent="0.25">
      <c r="A91" t="s">
        <v>99</v>
      </c>
      <c r="B91">
        <v>17</v>
      </c>
      <c r="C91" t="s">
        <v>1088</v>
      </c>
      <c r="D91" s="158">
        <v>45199</v>
      </c>
      <c r="E91">
        <v>282257</v>
      </c>
      <c r="F91">
        <v>9350831</v>
      </c>
      <c r="G91">
        <v>47440395</v>
      </c>
      <c r="H91" t="b">
        <v>0</v>
      </c>
      <c r="I91">
        <v>219</v>
      </c>
      <c r="J91" t="s">
        <v>1192</v>
      </c>
      <c r="K91">
        <v>15</v>
      </c>
      <c r="L91">
        <v>15</v>
      </c>
      <c r="M91">
        <v>1</v>
      </c>
      <c r="N91">
        <v>0</v>
      </c>
      <c r="O91">
        <v>0</v>
      </c>
      <c r="P91">
        <v>0</v>
      </c>
      <c r="Q91">
        <v>0</v>
      </c>
      <c r="R91">
        <v>0</v>
      </c>
      <c r="T91">
        <v>15</v>
      </c>
      <c r="U91">
        <v>0</v>
      </c>
      <c r="V91">
        <v>2</v>
      </c>
      <c r="W91">
        <v>30</v>
      </c>
      <c r="X91">
        <v>0</v>
      </c>
      <c r="Y91">
        <v>0</v>
      </c>
      <c r="Z91">
        <v>0</v>
      </c>
      <c r="AA91">
        <v>0</v>
      </c>
      <c r="AB91">
        <v>0</v>
      </c>
      <c r="AC91">
        <v>0</v>
      </c>
      <c r="AD91">
        <v>0</v>
      </c>
      <c r="AE91">
        <v>0</v>
      </c>
      <c r="AF91">
        <v>0</v>
      </c>
      <c r="AG91">
        <v>0</v>
      </c>
      <c r="AH91">
        <v>0</v>
      </c>
      <c r="AI91">
        <v>0</v>
      </c>
      <c r="AJ91">
        <v>0</v>
      </c>
      <c r="AK91">
        <v>0</v>
      </c>
      <c r="AL91">
        <v>0</v>
      </c>
      <c r="AM91">
        <v>0</v>
      </c>
      <c r="AN91">
        <v>-15</v>
      </c>
      <c r="AP91" t="s">
        <v>1031</v>
      </c>
      <c r="AS91" t="s">
        <v>1190</v>
      </c>
      <c r="AV91" t="s">
        <v>1031</v>
      </c>
      <c r="AW91" t="s">
        <v>1190</v>
      </c>
      <c r="AX91">
        <v>0</v>
      </c>
      <c r="AY91">
        <v>0</v>
      </c>
      <c r="AZ91" t="s">
        <v>282</v>
      </c>
      <c r="BA91" t="s">
        <v>282</v>
      </c>
      <c r="BB91" t="s">
        <v>1204</v>
      </c>
      <c r="BC91">
        <v>7</v>
      </c>
    </row>
    <row r="92" spans="1:55" x14ac:dyDescent="0.25">
      <c r="A92" t="s">
        <v>99</v>
      </c>
      <c r="B92">
        <v>17</v>
      </c>
      <c r="C92" t="s">
        <v>1088</v>
      </c>
      <c r="D92" s="158">
        <v>45199</v>
      </c>
      <c r="E92">
        <v>568529</v>
      </c>
      <c r="F92">
        <v>9350807</v>
      </c>
      <c r="G92">
        <v>47439905</v>
      </c>
      <c r="H92" t="b">
        <v>0</v>
      </c>
      <c r="I92">
        <v>219</v>
      </c>
      <c r="J92" t="s">
        <v>1196</v>
      </c>
      <c r="K92">
        <v>85</v>
      </c>
      <c r="L92">
        <v>85</v>
      </c>
      <c r="M92">
        <v>1</v>
      </c>
      <c r="N92">
        <v>0</v>
      </c>
      <c r="O92">
        <v>0</v>
      </c>
      <c r="P92">
        <v>0</v>
      </c>
      <c r="Q92">
        <v>0</v>
      </c>
      <c r="R92">
        <v>0</v>
      </c>
      <c r="T92">
        <v>85</v>
      </c>
      <c r="U92">
        <v>0</v>
      </c>
      <c r="V92">
        <v>2</v>
      </c>
      <c r="W92">
        <v>170</v>
      </c>
      <c r="X92">
        <v>0</v>
      </c>
      <c r="Y92">
        <v>0</v>
      </c>
      <c r="Z92">
        <v>0</v>
      </c>
      <c r="AA92">
        <v>0</v>
      </c>
      <c r="AB92">
        <v>0</v>
      </c>
      <c r="AC92">
        <v>0</v>
      </c>
      <c r="AD92">
        <v>0</v>
      </c>
      <c r="AE92">
        <v>0</v>
      </c>
      <c r="AF92">
        <v>0</v>
      </c>
      <c r="AG92">
        <v>0</v>
      </c>
      <c r="AH92">
        <v>0</v>
      </c>
      <c r="AI92">
        <v>0</v>
      </c>
      <c r="AJ92">
        <v>0</v>
      </c>
      <c r="AK92">
        <v>0</v>
      </c>
      <c r="AL92">
        <v>0</v>
      </c>
      <c r="AM92">
        <v>0</v>
      </c>
      <c r="AN92">
        <v>-85</v>
      </c>
      <c r="AP92" t="s">
        <v>1031</v>
      </c>
      <c r="AS92" t="s">
        <v>1190</v>
      </c>
      <c r="AV92" t="s">
        <v>1031</v>
      </c>
      <c r="AW92" t="s">
        <v>1190</v>
      </c>
      <c r="AX92">
        <v>0</v>
      </c>
      <c r="AY92">
        <v>0</v>
      </c>
      <c r="AZ92" t="s">
        <v>282</v>
      </c>
      <c r="BA92" t="s">
        <v>282</v>
      </c>
      <c r="BB92" t="s">
        <v>1204</v>
      </c>
      <c r="BC92">
        <v>7</v>
      </c>
    </row>
    <row r="93" spans="1:55" x14ac:dyDescent="0.25">
      <c r="A93" t="s">
        <v>99</v>
      </c>
      <c r="B93">
        <v>17</v>
      </c>
      <c r="C93" t="s">
        <v>1088</v>
      </c>
      <c r="D93" s="158">
        <v>45199</v>
      </c>
      <c r="E93">
        <v>621703</v>
      </c>
      <c r="F93">
        <v>10367247</v>
      </c>
      <c r="G93">
        <v>53758473</v>
      </c>
      <c r="H93" t="b">
        <v>0</v>
      </c>
      <c r="I93">
        <v>17</v>
      </c>
      <c r="J93" t="s">
        <v>1249</v>
      </c>
      <c r="K93">
        <v>15</v>
      </c>
      <c r="L93">
        <v>7.5</v>
      </c>
      <c r="M93">
        <v>2</v>
      </c>
      <c r="N93">
        <v>0</v>
      </c>
      <c r="O93">
        <v>0</v>
      </c>
      <c r="P93">
        <v>0</v>
      </c>
      <c r="Q93">
        <v>0</v>
      </c>
      <c r="R93">
        <v>0</v>
      </c>
      <c r="T93">
        <v>15</v>
      </c>
      <c r="U93">
        <v>0</v>
      </c>
      <c r="V93">
        <v>0</v>
      </c>
      <c r="W93">
        <v>0</v>
      </c>
      <c r="X93">
        <v>0</v>
      </c>
      <c r="Y93">
        <v>0</v>
      </c>
      <c r="Z93">
        <v>0</v>
      </c>
      <c r="AA93">
        <v>0</v>
      </c>
      <c r="AB93">
        <v>0</v>
      </c>
      <c r="AC93">
        <v>0</v>
      </c>
      <c r="AD93">
        <v>0</v>
      </c>
      <c r="AE93">
        <v>0</v>
      </c>
      <c r="AF93">
        <v>0</v>
      </c>
      <c r="AG93">
        <v>0</v>
      </c>
      <c r="AH93">
        <v>0</v>
      </c>
      <c r="AI93">
        <v>0</v>
      </c>
      <c r="AJ93">
        <v>0</v>
      </c>
      <c r="AK93">
        <v>0</v>
      </c>
      <c r="AL93">
        <v>0</v>
      </c>
      <c r="AM93">
        <v>0</v>
      </c>
      <c r="AN93">
        <v>15</v>
      </c>
      <c r="AP93" t="s">
        <v>1031</v>
      </c>
      <c r="AS93" t="s">
        <v>1250</v>
      </c>
      <c r="AV93" t="s">
        <v>1031</v>
      </c>
      <c r="AW93" t="s">
        <v>1250</v>
      </c>
      <c r="AX93">
        <v>0</v>
      </c>
      <c r="AY93">
        <v>0</v>
      </c>
      <c r="AZ93" t="s">
        <v>282</v>
      </c>
      <c r="BA93" t="s">
        <v>282</v>
      </c>
      <c r="BB93" t="s">
        <v>1197</v>
      </c>
      <c r="BC93">
        <v>1</v>
      </c>
    </row>
    <row r="94" spans="1:55" x14ac:dyDescent="0.25">
      <c r="A94" t="s">
        <v>99</v>
      </c>
      <c r="B94">
        <v>17</v>
      </c>
      <c r="C94" t="s">
        <v>1088</v>
      </c>
      <c r="D94" s="158">
        <v>45199</v>
      </c>
      <c r="E94">
        <v>621703</v>
      </c>
      <c r="F94">
        <v>10367247</v>
      </c>
      <c r="G94">
        <v>53758498</v>
      </c>
      <c r="H94" t="b">
        <v>0</v>
      </c>
      <c r="I94">
        <v>17</v>
      </c>
      <c r="J94" t="s">
        <v>1234</v>
      </c>
      <c r="K94">
        <v>8</v>
      </c>
      <c r="L94">
        <v>4</v>
      </c>
      <c r="M94">
        <v>2</v>
      </c>
      <c r="N94">
        <v>0</v>
      </c>
      <c r="O94">
        <v>0</v>
      </c>
      <c r="P94">
        <v>0</v>
      </c>
      <c r="Q94">
        <v>0</v>
      </c>
      <c r="R94">
        <v>0</v>
      </c>
      <c r="T94">
        <v>8</v>
      </c>
      <c r="U94">
        <v>0</v>
      </c>
      <c r="V94">
        <v>0</v>
      </c>
      <c r="W94">
        <v>0</v>
      </c>
      <c r="X94">
        <v>0</v>
      </c>
      <c r="Y94">
        <v>0</v>
      </c>
      <c r="Z94">
        <v>0</v>
      </c>
      <c r="AA94">
        <v>0</v>
      </c>
      <c r="AB94">
        <v>0</v>
      </c>
      <c r="AC94">
        <v>0</v>
      </c>
      <c r="AD94">
        <v>0</v>
      </c>
      <c r="AE94">
        <v>0</v>
      </c>
      <c r="AF94">
        <v>0</v>
      </c>
      <c r="AG94">
        <v>0</v>
      </c>
      <c r="AH94">
        <v>0</v>
      </c>
      <c r="AI94">
        <v>0</v>
      </c>
      <c r="AJ94">
        <v>0</v>
      </c>
      <c r="AK94">
        <v>0</v>
      </c>
      <c r="AL94">
        <v>0</v>
      </c>
      <c r="AM94">
        <v>0</v>
      </c>
      <c r="AN94">
        <v>8</v>
      </c>
      <c r="AP94" t="s">
        <v>1031</v>
      </c>
      <c r="AS94" t="s">
        <v>1250</v>
      </c>
      <c r="AV94" t="s">
        <v>1031</v>
      </c>
      <c r="AW94" t="s">
        <v>1250</v>
      </c>
      <c r="AX94">
        <v>0</v>
      </c>
      <c r="AY94">
        <v>0</v>
      </c>
      <c r="AZ94" t="s">
        <v>282</v>
      </c>
      <c r="BA94" t="s">
        <v>282</v>
      </c>
      <c r="BB94" t="s">
        <v>1197</v>
      </c>
      <c r="BC94">
        <v>1</v>
      </c>
    </row>
    <row r="95" spans="1:55" x14ac:dyDescent="0.25">
      <c r="A95" t="s">
        <v>99</v>
      </c>
      <c r="B95">
        <v>17</v>
      </c>
      <c r="C95" t="s">
        <v>1088</v>
      </c>
      <c r="D95" s="158">
        <v>45199</v>
      </c>
      <c r="E95">
        <v>621449</v>
      </c>
      <c r="F95">
        <v>10362310</v>
      </c>
      <c r="G95">
        <v>53717668</v>
      </c>
      <c r="H95" t="b">
        <v>0</v>
      </c>
      <c r="I95">
        <v>18</v>
      </c>
      <c r="J95" t="s">
        <v>1196</v>
      </c>
      <c r="K95">
        <v>85</v>
      </c>
      <c r="L95">
        <v>85</v>
      </c>
      <c r="M95">
        <v>1</v>
      </c>
      <c r="N95">
        <v>0</v>
      </c>
      <c r="O95">
        <v>0</v>
      </c>
      <c r="P95">
        <v>0</v>
      </c>
      <c r="Q95">
        <v>0</v>
      </c>
      <c r="R95">
        <v>0</v>
      </c>
      <c r="T95">
        <v>85</v>
      </c>
      <c r="U95">
        <v>0</v>
      </c>
      <c r="V95">
        <v>0</v>
      </c>
      <c r="W95">
        <v>0</v>
      </c>
      <c r="X95">
        <v>0</v>
      </c>
      <c r="Y95">
        <v>0</v>
      </c>
      <c r="Z95">
        <v>0</v>
      </c>
      <c r="AA95">
        <v>0</v>
      </c>
      <c r="AB95">
        <v>0</v>
      </c>
      <c r="AC95">
        <v>0</v>
      </c>
      <c r="AD95">
        <v>0</v>
      </c>
      <c r="AE95">
        <v>0</v>
      </c>
      <c r="AF95">
        <v>0</v>
      </c>
      <c r="AG95">
        <v>0</v>
      </c>
      <c r="AH95">
        <v>0</v>
      </c>
      <c r="AI95">
        <v>0</v>
      </c>
      <c r="AJ95">
        <v>0</v>
      </c>
      <c r="AK95">
        <v>0</v>
      </c>
      <c r="AL95">
        <v>0</v>
      </c>
      <c r="AM95">
        <v>0</v>
      </c>
      <c r="AN95">
        <v>85</v>
      </c>
      <c r="AP95" t="s">
        <v>1031</v>
      </c>
      <c r="AS95" t="s">
        <v>1230</v>
      </c>
      <c r="AV95" t="s">
        <v>1031</v>
      </c>
      <c r="AW95" t="s">
        <v>1230</v>
      </c>
      <c r="AX95">
        <v>0</v>
      </c>
      <c r="AY95">
        <v>0</v>
      </c>
      <c r="AZ95" t="s">
        <v>282</v>
      </c>
      <c r="BA95" t="s">
        <v>282</v>
      </c>
      <c r="BB95" t="s">
        <v>1197</v>
      </c>
      <c r="BC95">
        <v>1</v>
      </c>
    </row>
    <row r="96" spans="1:55" x14ac:dyDescent="0.25">
      <c r="A96" t="s">
        <v>99</v>
      </c>
      <c r="B96">
        <v>17</v>
      </c>
      <c r="C96" t="s">
        <v>1088</v>
      </c>
      <c r="D96" s="158">
        <v>45199</v>
      </c>
      <c r="E96">
        <v>621449</v>
      </c>
      <c r="F96">
        <v>10362310</v>
      </c>
      <c r="G96">
        <v>53717694</v>
      </c>
      <c r="H96" t="b">
        <v>0</v>
      </c>
      <c r="I96">
        <v>18</v>
      </c>
      <c r="J96" t="s">
        <v>1192</v>
      </c>
      <c r="K96">
        <v>15</v>
      </c>
      <c r="L96">
        <v>15</v>
      </c>
      <c r="M96">
        <v>1</v>
      </c>
      <c r="N96">
        <v>0</v>
      </c>
      <c r="O96">
        <v>0</v>
      </c>
      <c r="P96">
        <v>0</v>
      </c>
      <c r="Q96">
        <v>0</v>
      </c>
      <c r="R96">
        <v>0</v>
      </c>
      <c r="T96">
        <v>15</v>
      </c>
      <c r="U96">
        <v>0</v>
      </c>
      <c r="V96">
        <v>0</v>
      </c>
      <c r="W96">
        <v>0</v>
      </c>
      <c r="X96">
        <v>0</v>
      </c>
      <c r="Y96">
        <v>0</v>
      </c>
      <c r="Z96">
        <v>0</v>
      </c>
      <c r="AA96">
        <v>0</v>
      </c>
      <c r="AB96">
        <v>0</v>
      </c>
      <c r="AC96">
        <v>0</v>
      </c>
      <c r="AD96">
        <v>0</v>
      </c>
      <c r="AE96">
        <v>0</v>
      </c>
      <c r="AF96">
        <v>0</v>
      </c>
      <c r="AG96">
        <v>0</v>
      </c>
      <c r="AH96">
        <v>0</v>
      </c>
      <c r="AI96">
        <v>0</v>
      </c>
      <c r="AJ96">
        <v>0</v>
      </c>
      <c r="AK96">
        <v>0</v>
      </c>
      <c r="AL96">
        <v>0</v>
      </c>
      <c r="AM96">
        <v>0</v>
      </c>
      <c r="AN96">
        <v>15</v>
      </c>
      <c r="AP96" t="s">
        <v>1031</v>
      </c>
      <c r="AS96" t="s">
        <v>1230</v>
      </c>
      <c r="AV96" t="s">
        <v>1031</v>
      </c>
      <c r="AW96" t="s">
        <v>1230</v>
      </c>
      <c r="AX96">
        <v>0</v>
      </c>
      <c r="AY96">
        <v>0</v>
      </c>
      <c r="AZ96" t="s">
        <v>282</v>
      </c>
      <c r="BA96" t="s">
        <v>282</v>
      </c>
      <c r="BB96" t="s">
        <v>1197</v>
      </c>
      <c r="BC96">
        <v>1</v>
      </c>
    </row>
    <row r="97" spans="1:55" x14ac:dyDescent="0.25">
      <c r="A97" t="s">
        <v>99</v>
      </c>
      <c r="B97">
        <v>17</v>
      </c>
      <c r="C97" t="s">
        <v>1088</v>
      </c>
      <c r="D97" s="158">
        <v>45199</v>
      </c>
      <c r="E97">
        <v>621445</v>
      </c>
      <c r="F97">
        <v>10362200</v>
      </c>
      <c r="G97">
        <v>53717349</v>
      </c>
      <c r="H97" t="b">
        <v>0</v>
      </c>
      <c r="I97">
        <v>18</v>
      </c>
      <c r="J97" t="s">
        <v>1241</v>
      </c>
      <c r="K97">
        <v>10</v>
      </c>
      <c r="L97">
        <v>5</v>
      </c>
      <c r="M97">
        <v>2</v>
      </c>
      <c r="N97">
        <v>0</v>
      </c>
      <c r="O97">
        <v>0</v>
      </c>
      <c r="P97">
        <v>0</v>
      </c>
      <c r="Q97">
        <v>0</v>
      </c>
      <c r="R97">
        <v>0</v>
      </c>
      <c r="T97">
        <v>10</v>
      </c>
      <c r="U97">
        <v>0</v>
      </c>
      <c r="V97">
        <v>0</v>
      </c>
      <c r="W97">
        <v>0</v>
      </c>
      <c r="X97">
        <v>0</v>
      </c>
      <c r="Y97">
        <v>0</v>
      </c>
      <c r="Z97">
        <v>0</v>
      </c>
      <c r="AA97">
        <v>0</v>
      </c>
      <c r="AB97">
        <v>0</v>
      </c>
      <c r="AC97">
        <v>0</v>
      </c>
      <c r="AD97">
        <v>0</v>
      </c>
      <c r="AE97">
        <v>0</v>
      </c>
      <c r="AF97">
        <v>0</v>
      </c>
      <c r="AG97">
        <v>0</v>
      </c>
      <c r="AH97">
        <v>0</v>
      </c>
      <c r="AI97">
        <v>0</v>
      </c>
      <c r="AJ97">
        <v>0</v>
      </c>
      <c r="AK97">
        <v>0</v>
      </c>
      <c r="AL97">
        <v>0</v>
      </c>
      <c r="AM97">
        <v>0</v>
      </c>
      <c r="AN97">
        <v>10</v>
      </c>
      <c r="AP97" t="s">
        <v>1031</v>
      </c>
      <c r="AS97" t="s">
        <v>1230</v>
      </c>
      <c r="AV97" t="s">
        <v>1031</v>
      </c>
      <c r="AW97" t="s">
        <v>1230</v>
      </c>
      <c r="AX97">
        <v>0</v>
      </c>
      <c r="AY97">
        <v>0</v>
      </c>
      <c r="AZ97" t="s">
        <v>282</v>
      </c>
      <c r="BA97" t="s">
        <v>282</v>
      </c>
      <c r="BB97" t="s">
        <v>1197</v>
      </c>
      <c r="BC97">
        <v>1</v>
      </c>
    </row>
    <row r="98" spans="1:55" x14ac:dyDescent="0.25">
      <c r="A98" t="s">
        <v>99</v>
      </c>
      <c r="B98">
        <v>17</v>
      </c>
      <c r="C98" t="s">
        <v>1088</v>
      </c>
      <c r="D98" s="158">
        <v>45199</v>
      </c>
      <c r="E98">
        <v>621692</v>
      </c>
      <c r="F98">
        <v>10367092</v>
      </c>
      <c r="G98">
        <v>53757869</v>
      </c>
      <c r="H98" t="b">
        <v>0</v>
      </c>
      <c r="I98">
        <v>17</v>
      </c>
      <c r="J98" t="s">
        <v>1198</v>
      </c>
      <c r="K98">
        <v>85</v>
      </c>
      <c r="L98">
        <v>85</v>
      </c>
      <c r="M98">
        <v>1</v>
      </c>
      <c r="N98">
        <v>0</v>
      </c>
      <c r="O98">
        <v>0</v>
      </c>
      <c r="P98">
        <v>0</v>
      </c>
      <c r="Q98">
        <v>0</v>
      </c>
      <c r="R98">
        <v>0</v>
      </c>
      <c r="T98">
        <v>85</v>
      </c>
      <c r="U98">
        <v>0</v>
      </c>
      <c r="V98">
        <v>0</v>
      </c>
      <c r="W98">
        <v>0</v>
      </c>
      <c r="X98">
        <v>0</v>
      </c>
      <c r="Y98">
        <v>0</v>
      </c>
      <c r="Z98">
        <v>0</v>
      </c>
      <c r="AA98">
        <v>0</v>
      </c>
      <c r="AB98">
        <v>0</v>
      </c>
      <c r="AC98">
        <v>0</v>
      </c>
      <c r="AD98">
        <v>0</v>
      </c>
      <c r="AE98">
        <v>0</v>
      </c>
      <c r="AF98">
        <v>0</v>
      </c>
      <c r="AG98">
        <v>0</v>
      </c>
      <c r="AH98">
        <v>0</v>
      </c>
      <c r="AI98">
        <v>0</v>
      </c>
      <c r="AJ98">
        <v>0</v>
      </c>
      <c r="AK98">
        <v>0</v>
      </c>
      <c r="AL98">
        <v>0</v>
      </c>
      <c r="AM98">
        <v>0</v>
      </c>
      <c r="AN98">
        <v>85</v>
      </c>
      <c r="AP98" t="s">
        <v>1031</v>
      </c>
      <c r="AS98" t="s">
        <v>1250</v>
      </c>
      <c r="AV98" t="s">
        <v>1031</v>
      </c>
      <c r="AW98" t="s">
        <v>1250</v>
      </c>
      <c r="AX98">
        <v>0</v>
      </c>
      <c r="AY98">
        <v>0</v>
      </c>
      <c r="AZ98" t="s">
        <v>282</v>
      </c>
      <c r="BA98" t="s">
        <v>282</v>
      </c>
      <c r="BB98" t="s">
        <v>1197</v>
      </c>
      <c r="BC98">
        <v>1</v>
      </c>
    </row>
    <row r="99" spans="1:55" x14ac:dyDescent="0.25">
      <c r="A99" t="s">
        <v>99</v>
      </c>
      <c r="B99">
        <v>17</v>
      </c>
      <c r="C99" t="s">
        <v>1088</v>
      </c>
      <c r="D99" s="158">
        <v>45199</v>
      </c>
      <c r="E99">
        <v>621692</v>
      </c>
      <c r="F99">
        <v>10367092</v>
      </c>
      <c r="G99">
        <v>53757872</v>
      </c>
      <c r="H99" t="b">
        <v>0</v>
      </c>
      <c r="I99">
        <v>17</v>
      </c>
      <c r="J99" t="s">
        <v>1249</v>
      </c>
      <c r="K99">
        <v>15</v>
      </c>
      <c r="L99">
        <v>7.5</v>
      </c>
      <c r="M99">
        <v>2</v>
      </c>
      <c r="N99">
        <v>0</v>
      </c>
      <c r="O99">
        <v>0</v>
      </c>
      <c r="P99">
        <v>0</v>
      </c>
      <c r="Q99">
        <v>0</v>
      </c>
      <c r="R99">
        <v>0</v>
      </c>
      <c r="T99">
        <v>15</v>
      </c>
      <c r="U99">
        <v>0</v>
      </c>
      <c r="V99">
        <v>0</v>
      </c>
      <c r="W99">
        <v>0</v>
      </c>
      <c r="X99">
        <v>0</v>
      </c>
      <c r="Y99">
        <v>0</v>
      </c>
      <c r="Z99">
        <v>0</v>
      </c>
      <c r="AA99">
        <v>0</v>
      </c>
      <c r="AB99">
        <v>0</v>
      </c>
      <c r="AC99">
        <v>0</v>
      </c>
      <c r="AD99">
        <v>0</v>
      </c>
      <c r="AE99">
        <v>0</v>
      </c>
      <c r="AF99">
        <v>0</v>
      </c>
      <c r="AG99">
        <v>0</v>
      </c>
      <c r="AH99">
        <v>0</v>
      </c>
      <c r="AI99">
        <v>0</v>
      </c>
      <c r="AJ99">
        <v>0</v>
      </c>
      <c r="AK99">
        <v>0</v>
      </c>
      <c r="AL99">
        <v>0</v>
      </c>
      <c r="AM99">
        <v>0</v>
      </c>
      <c r="AN99">
        <v>15</v>
      </c>
      <c r="AP99" t="s">
        <v>1031</v>
      </c>
      <c r="AS99" t="s">
        <v>1250</v>
      </c>
      <c r="AV99" t="s">
        <v>1031</v>
      </c>
      <c r="AW99" t="s">
        <v>1250</v>
      </c>
      <c r="AX99">
        <v>0</v>
      </c>
      <c r="AY99">
        <v>0</v>
      </c>
      <c r="AZ99" t="s">
        <v>282</v>
      </c>
      <c r="BA99" t="s">
        <v>282</v>
      </c>
      <c r="BB99" t="s">
        <v>1197</v>
      </c>
      <c r="BC99">
        <v>1</v>
      </c>
    </row>
    <row r="100" spans="1:55" x14ac:dyDescent="0.25">
      <c r="A100" t="s">
        <v>99</v>
      </c>
      <c r="B100">
        <v>17</v>
      </c>
      <c r="C100" t="s">
        <v>1088</v>
      </c>
      <c r="D100" s="158">
        <v>45199</v>
      </c>
      <c r="E100">
        <v>621697</v>
      </c>
      <c r="F100">
        <v>10367151</v>
      </c>
      <c r="G100">
        <v>53757981</v>
      </c>
      <c r="H100" t="b">
        <v>0</v>
      </c>
      <c r="I100">
        <v>17</v>
      </c>
      <c r="J100" t="s">
        <v>1240</v>
      </c>
      <c r="K100">
        <v>25</v>
      </c>
      <c r="L100">
        <v>12.5</v>
      </c>
      <c r="M100">
        <v>2</v>
      </c>
      <c r="N100">
        <v>0</v>
      </c>
      <c r="O100">
        <v>0</v>
      </c>
      <c r="P100">
        <v>0</v>
      </c>
      <c r="Q100">
        <v>0</v>
      </c>
      <c r="R100">
        <v>0</v>
      </c>
      <c r="T100">
        <v>25</v>
      </c>
      <c r="U100">
        <v>0</v>
      </c>
      <c r="V100">
        <v>0</v>
      </c>
      <c r="W100">
        <v>0</v>
      </c>
      <c r="X100">
        <v>0</v>
      </c>
      <c r="Y100">
        <v>0</v>
      </c>
      <c r="Z100">
        <v>0</v>
      </c>
      <c r="AA100">
        <v>0</v>
      </c>
      <c r="AB100">
        <v>0</v>
      </c>
      <c r="AC100">
        <v>0</v>
      </c>
      <c r="AD100">
        <v>0</v>
      </c>
      <c r="AE100">
        <v>0</v>
      </c>
      <c r="AF100">
        <v>0</v>
      </c>
      <c r="AG100">
        <v>0</v>
      </c>
      <c r="AH100">
        <v>0</v>
      </c>
      <c r="AI100">
        <v>0</v>
      </c>
      <c r="AJ100">
        <v>0</v>
      </c>
      <c r="AK100">
        <v>0</v>
      </c>
      <c r="AL100">
        <v>0</v>
      </c>
      <c r="AM100">
        <v>0</v>
      </c>
      <c r="AN100">
        <v>25</v>
      </c>
      <c r="AP100" t="s">
        <v>1031</v>
      </c>
      <c r="AS100" t="s">
        <v>1250</v>
      </c>
      <c r="AV100" t="s">
        <v>1031</v>
      </c>
      <c r="AW100" t="s">
        <v>1250</v>
      </c>
      <c r="AX100">
        <v>0</v>
      </c>
      <c r="AY100">
        <v>0</v>
      </c>
      <c r="AZ100" t="s">
        <v>282</v>
      </c>
      <c r="BA100" t="s">
        <v>282</v>
      </c>
      <c r="BB100" t="s">
        <v>1197</v>
      </c>
      <c r="BC100">
        <v>1</v>
      </c>
    </row>
    <row r="101" spans="1:55" x14ac:dyDescent="0.25">
      <c r="A101" t="s">
        <v>99</v>
      </c>
      <c r="B101">
        <v>17</v>
      </c>
      <c r="C101" t="s">
        <v>1088</v>
      </c>
      <c r="D101" s="158">
        <v>45199</v>
      </c>
      <c r="E101">
        <v>115568</v>
      </c>
      <c r="F101">
        <v>10366700</v>
      </c>
      <c r="G101">
        <v>53861376</v>
      </c>
      <c r="H101" t="b">
        <v>0</v>
      </c>
      <c r="I101">
        <v>15</v>
      </c>
      <c r="J101" t="s">
        <v>1184</v>
      </c>
      <c r="K101">
        <v>216</v>
      </c>
      <c r="L101">
        <v>216</v>
      </c>
      <c r="M101">
        <v>1</v>
      </c>
      <c r="N101">
        <v>0</v>
      </c>
      <c r="O101">
        <v>0</v>
      </c>
      <c r="P101">
        <v>0</v>
      </c>
      <c r="Q101">
        <v>0</v>
      </c>
      <c r="R101">
        <v>0</v>
      </c>
      <c r="T101">
        <v>216</v>
      </c>
      <c r="U101">
        <v>0</v>
      </c>
      <c r="V101">
        <v>0</v>
      </c>
      <c r="W101">
        <v>0</v>
      </c>
      <c r="X101">
        <v>0</v>
      </c>
      <c r="Y101">
        <v>0</v>
      </c>
      <c r="Z101">
        <v>0</v>
      </c>
      <c r="AA101">
        <v>0</v>
      </c>
      <c r="AB101">
        <v>0</v>
      </c>
      <c r="AC101">
        <v>0</v>
      </c>
      <c r="AD101">
        <v>0</v>
      </c>
      <c r="AE101">
        <v>0</v>
      </c>
      <c r="AF101">
        <v>0</v>
      </c>
      <c r="AG101">
        <v>0</v>
      </c>
      <c r="AH101">
        <v>0</v>
      </c>
      <c r="AI101">
        <v>0</v>
      </c>
      <c r="AJ101">
        <v>0</v>
      </c>
      <c r="AK101">
        <v>0</v>
      </c>
      <c r="AL101">
        <v>0</v>
      </c>
      <c r="AM101">
        <v>0</v>
      </c>
      <c r="AN101">
        <v>216</v>
      </c>
      <c r="AP101" t="s">
        <v>1091</v>
      </c>
      <c r="AS101" t="s">
        <v>1185</v>
      </c>
      <c r="AV101" t="s">
        <v>1091</v>
      </c>
      <c r="AW101" t="s">
        <v>1185</v>
      </c>
      <c r="AX101">
        <v>0</v>
      </c>
      <c r="AY101">
        <v>0</v>
      </c>
      <c r="AZ101" t="s">
        <v>282</v>
      </c>
      <c r="BA101" t="s">
        <v>282</v>
      </c>
      <c r="BB101" t="s">
        <v>1197</v>
      </c>
      <c r="BC101">
        <v>1</v>
      </c>
    </row>
    <row r="102" spans="1:55" x14ac:dyDescent="0.25">
      <c r="A102" t="s">
        <v>99</v>
      </c>
      <c r="B102">
        <v>17</v>
      </c>
      <c r="C102" t="s">
        <v>1088</v>
      </c>
      <c r="D102" s="158">
        <v>45199</v>
      </c>
      <c r="E102">
        <v>622670</v>
      </c>
      <c r="F102">
        <v>10384138</v>
      </c>
      <c r="G102">
        <v>53862457</v>
      </c>
      <c r="H102" t="b">
        <v>0</v>
      </c>
      <c r="I102">
        <v>15</v>
      </c>
      <c r="J102" t="s">
        <v>1229</v>
      </c>
      <c r="K102">
        <v>16</v>
      </c>
      <c r="L102">
        <v>8</v>
      </c>
      <c r="M102">
        <v>2</v>
      </c>
      <c r="N102">
        <v>0</v>
      </c>
      <c r="O102">
        <v>0</v>
      </c>
      <c r="P102">
        <v>0</v>
      </c>
      <c r="Q102">
        <v>0</v>
      </c>
      <c r="R102">
        <v>0</v>
      </c>
      <c r="T102">
        <v>16</v>
      </c>
      <c r="U102">
        <v>0</v>
      </c>
      <c r="V102">
        <v>0</v>
      </c>
      <c r="W102">
        <v>0</v>
      </c>
      <c r="X102">
        <v>0</v>
      </c>
      <c r="Y102">
        <v>0</v>
      </c>
      <c r="Z102">
        <v>0</v>
      </c>
      <c r="AA102">
        <v>0</v>
      </c>
      <c r="AB102">
        <v>0</v>
      </c>
      <c r="AC102">
        <v>0</v>
      </c>
      <c r="AD102">
        <v>0</v>
      </c>
      <c r="AE102">
        <v>0</v>
      </c>
      <c r="AF102">
        <v>0</v>
      </c>
      <c r="AG102">
        <v>0</v>
      </c>
      <c r="AH102">
        <v>0</v>
      </c>
      <c r="AI102">
        <v>0</v>
      </c>
      <c r="AJ102">
        <v>0</v>
      </c>
      <c r="AK102">
        <v>0</v>
      </c>
      <c r="AL102">
        <v>0</v>
      </c>
      <c r="AM102">
        <v>0</v>
      </c>
      <c r="AN102">
        <v>16</v>
      </c>
      <c r="AP102" t="s">
        <v>1031</v>
      </c>
      <c r="AS102" t="s">
        <v>1250</v>
      </c>
      <c r="AV102" t="s">
        <v>1031</v>
      </c>
      <c r="AW102" t="s">
        <v>1250</v>
      </c>
      <c r="AX102">
        <v>0</v>
      </c>
      <c r="AY102">
        <v>0</v>
      </c>
      <c r="AZ102" t="s">
        <v>282</v>
      </c>
      <c r="BA102" t="s">
        <v>282</v>
      </c>
      <c r="BB102" t="s">
        <v>1197</v>
      </c>
      <c r="BC102">
        <v>1</v>
      </c>
    </row>
    <row r="103" spans="1:55" x14ac:dyDescent="0.25">
      <c r="A103" t="s">
        <v>99</v>
      </c>
      <c r="B103">
        <v>17</v>
      </c>
      <c r="C103" t="s">
        <v>1088</v>
      </c>
      <c r="D103" s="158">
        <v>45199</v>
      </c>
      <c r="E103">
        <v>623622</v>
      </c>
      <c r="F103">
        <v>10402530</v>
      </c>
      <c r="G103">
        <v>53963620</v>
      </c>
      <c r="H103" t="b">
        <v>0</v>
      </c>
      <c r="I103">
        <v>10</v>
      </c>
      <c r="J103" t="s">
        <v>1249</v>
      </c>
      <c r="K103">
        <v>15</v>
      </c>
      <c r="L103">
        <v>7.5</v>
      </c>
      <c r="M103">
        <v>2</v>
      </c>
      <c r="N103">
        <v>0</v>
      </c>
      <c r="O103">
        <v>0</v>
      </c>
      <c r="P103">
        <v>0</v>
      </c>
      <c r="Q103">
        <v>0</v>
      </c>
      <c r="R103">
        <v>0</v>
      </c>
      <c r="T103">
        <v>15</v>
      </c>
      <c r="U103">
        <v>0</v>
      </c>
      <c r="V103">
        <v>0</v>
      </c>
      <c r="W103">
        <v>0</v>
      </c>
      <c r="X103">
        <v>0</v>
      </c>
      <c r="Y103">
        <v>0</v>
      </c>
      <c r="Z103">
        <v>0</v>
      </c>
      <c r="AA103">
        <v>0</v>
      </c>
      <c r="AB103">
        <v>0</v>
      </c>
      <c r="AC103">
        <v>0</v>
      </c>
      <c r="AD103">
        <v>0</v>
      </c>
      <c r="AE103">
        <v>0</v>
      </c>
      <c r="AF103">
        <v>0</v>
      </c>
      <c r="AG103">
        <v>0</v>
      </c>
      <c r="AH103">
        <v>0</v>
      </c>
      <c r="AI103">
        <v>0</v>
      </c>
      <c r="AJ103">
        <v>0</v>
      </c>
      <c r="AK103">
        <v>0</v>
      </c>
      <c r="AL103">
        <v>0</v>
      </c>
      <c r="AM103">
        <v>0</v>
      </c>
      <c r="AN103">
        <v>15</v>
      </c>
      <c r="AP103" t="s">
        <v>1031</v>
      </c>
      <c r="AS103" t="s">
        <v>1250</v>
      </c>
      <c r="AV103" t="s">
        <v>1031</v>
      </c>
      <c r="AW103" t="s">
        <v>1250</v>
      </c>
      <c r="AX103">
        <v>0</v>
      </c>
      <c r="AY103">
        <v>0</v>
      </c>
      <c r="AZ103" t="s">
        <v>282</v>
      </c>
      <c r="BA103" t="s">
        <v>282</v>
      </c>
      <c r="BB103" t="s">
        <v>1197</v>
      </c>
      <c r="BC103">
        <v>1</v>
      </c>
    </row>
    <row r="104" spans="1:55" x14ac:dyDescent="0.25">
      <c r="A104" t="s">
        <v>99</v>
      </c>
      <c r="B104">
        <v>17</v>
      </c>
      <c r="C104" t="s">
        <v>1088</v>
      </c>
      <c r="D104" s="158">
        <v>45199</v>
      </c>
      <c r="E104">
        <v>623622</v>
      </c>
      <c r="F104">
        <v>10402530</v>
      </c>
      <c r="G104">
        <v>53963621</v>
      </c>
      <c r="H104" t="b">
        <v>0</v>
      </c>
      <c r="I104">
        <v>10</v>
      </c>
      <c r="J104" t="s">
        <v>1229</v>
      </c>
      <c r="K104">
        <v>16</v>
      </c>
      <c r="L104">
        <v>8</v>
      </c>
      <c r="M104">
        <v>2</v>
      </c>
      <c r="N104">
        <v>0</v>
      </c>
      <c r="O104">
        <v>0</v>
      </c>
      <c r="P104">
        <v>0</v>
      </c>
      <c r="Q104">
        <v>0</v>
      </c>
      <c r="R104">
        <v>0</v>
      </c>
      <c r="T104">
        <v>16</v>
      </c>
      <c r="U104">
        <v>0</v>
      </c>
      <c r="V104">
        <v>0</v>
      </c>
      <c r="W104">
        <v>0</v>
      </c>
      <c r="X104">
        <v>0</v>
      </c>
      <c r="Y104">
        <v>0</v>
      </c>
      <c r="Z104">
        <v>0</v>
      </c>
      <c r="AA104">
        <v>0</v>
      </c>
      <c r="AB104">
        <v>0</v>
      </c>
      <c r="AC104">
        <v>0</v>
      </c>
      <c r="AD104">
        <v>0</v>
      </c>
      <c r="AE104">
        <v>0</v>
      </c>
      <c r="AF104">
        <v>0</v>
      </c>
      <c r="AG104">
        <v>0</v>
      </c>
      <c r="AH104">
        <v>0</v>
      </c>
      <c r="AI104">
        <v>0</v>
      </c>
      <c r="AJ104">
        <v>0</v>
      </c>
      <c r="AK104">
        <v>0</v>
      </c>
      <c r="AL104">
        <v>0</v>
      </c>
      <c r="AM104">
        <v>0</v>
      </c>
      <c r="AN104">
        <v>16</v>
      </c>
      <c r="AP104" t="s">
        <v>1031</v>
      </c>
      <c r="AS104" t="s">
        <v>1250</v>
      </c>
      <c r="AV104" t="s">
        <v>1031</v>
      </c>
      <c r="AW104" t="s">
        <v>1250</v>
      </c>
      <c r="AX104">
        <v>0</v>
      </c>
      <c r="AY104">
        <v>0</v>
      </c>
      <c r="AZ104" t="s">
        <v>282</v>
      </c>
      <c r="BA104" t="s">
        <v>282</v>
      </c>
      <c r="BB104" t="s">
        <v>1197</v>
      </c>
      <c r="BC104">
        <v>1</v>
      </c>
    </row>
    <row r="105" spans="1:55" x14ac:dyDescent="0.25">
      <c r="A105" t="s">
        <v>99</v>
      </c>
      <c r="B105">
        <v>17</v>
      </c>
      <c r="C105" t="s">
        <v>1088</v>
      </c>
      <c r="D105" s="158">
        <v>45199</v>
      </c>
      <c r="E105">
        <v>623622</v>
      </c>
      <c r="F105">
        <v>10402530</v>
      </c>
      <c r="G105">
        <v>53963652</v>
      </c>
      <c r="H105" t="b">
        <v>0</v>
      </c>
      <c r="I105">
        <v>10</v>
      </c>
      <c r="J105" t="s">
        <v>1231</v>
      </c>
      <c r="K105">
        <v>15</v>
      </c>
      <c r="L105">
        <v>7.5</v>
      </c>
      <c r="M105">
        <v>2</v>
      </c>
      <c r="N105">
        <v>0</v>
      </c>
      <c r="O105">
        <v>0</v>
      </c>
      <c r="P105">
        <v>0</v>
      </c>
      <c r="Q105">
        <v>0</v>
      </c>
      <c r="R105">
        <v>0</v>
      </c>
      <c r="T105">
        <v>15</v>
      </c>
      <c r="U105">
        <v>0</v>
      </c>
      <c r="V105">
        <v>0</v>
      </c>
      <c r="W105">
        <v>0</v>
      </c>
      <c r="X105">
        <v>0</v>
      </c>
      <c r="Y105">
        <v>0</v>
      </c>
      <c r="Z105">
        <v>0</v>
      </c>
      <c r="AA105">
        <v>0</v>
      </c>
      <c r="AB105">
        <v>0</v>
      </c>
      <c r="AC105">
        <v>0</v>
      </c>
      <c r="AD105">
        <v>0</v>
      </c>
      <c r="AE105">
        <v>0</v>
      </c>
      <c r="AF105">
        <v>0</v>
      </c>
      <c r="AG105">
        <v>0</v>
      </c>
      <c r="AH105">
        <v>0</v>
      </c>
      <c r="AI105">
        <v>0</v>
      </c>
      <c r="AJ105">
        <v>0</v>
      </c>
      <c r="AK105">
        <v>0</v>
      </c>
      <c r="AL105">
        <v>0</v>
      </c>
      <c r="AM105">
        <v>0</v>
      </c>
      <c r="AN105">
        <v>15</v>
      </c>
      <c r="AP105" t="s">
        <v>1031</v>
      </c>
      <c r="AS105" t="s">
        <v>1250</v>
      </c>
      <c r="AV105" t="s">
        <v>1031</v>
      </c>
      <c r="AW105" t="s">
        <v>1250</v>
      </c>
      <c r="AX105">
        <v>0</v>
      </c>
      <c r="AY105">
        <v>0</v>
      </c>
      <c r="AZ105" t="s">
        <v>282</v>
      </c>
      <c r="BA105" t="s">
        <v>282</v>
      </c>
      <c r="BB105" t="s">
        <v>1197</v>
      </c>
      <c r="BC105">
        <v>1</v>
      </c>
    </row>
    <row r="106" spans="1:55" x14ac:dyDescent="0.25">
      <c r="A106" t="s">
        <v>99</v>
      </c>
      <c r="B106">
        <v>17</v>
      </c>
      <c r="C106" t="s">
        <v>1088</v>
      </c>
      <c r="D106" s="158">
        <v>45199</v>
      </c>
      <c r="E106">
        <v>623625</v>
      </c>
      <c r="F106">
        <v>10402569</v>
      </c>
      <c r="G106">
        <v>53963750</v>
      </c>
      <c r="H106" t="b">
        <v>0</v>
      </c>
      <c r="I106">
        <v>10</v>
      </c>
      <c r="J106" t="s">
        <v>1198</v>
      </c>
      <c r="K106">
        <v>85</v>
      </c>
      <c r="L106">
        <v>85</v>
      </c>
      <c r="M106">
        <v>1</v>
      </c>
      <c r="N106">
        <v>0</v>
      </c>
      <c r="O106">
        <v>0</v>
      </c>
      <c r="P106">
        <v>0</v>
      </c>
      <c r="Q106">
        <v>0</v>
      </c>
      <c r="R106">
        <v>0</v>
      </c>
      <c r="T106">
        <v>85</v>
      </c>
      <c r="U106">
        <v>0</v>
      </c>
      <c r="V106">
        <v>0</v>
      </c>
      <c r="W106">
        <v>0</v>
      </c>
      <c r="X106">
        <v>0</v>
      </c>
      <c r="Y106">
        <v>0</v>
      </c>
      <c r="Z106">
        <v>0</v>
      </c>
      <c r="AA106">
        <v>0</v>
      </c>
      <c r="AB106">
        <v>0</v>
      </c>
      <c r="AC106">
        <v>0</v>
      </c>
      <c r="AD106">
        <v>0</v>
      </c>
      <c r="AE106">
        <v>0</v>
      </c>
      <c r="AF106">
        <v>0</v>
      </c>
      <c r="AG106">
        <v>0</v>
      </c>
      <c r="AH106">
        <v>0</v>
      </c>
      <c r="AI106">
        <v>0</v>
      </c>
      <c r="AJ106">
        <v>0</v>
      </c>
      <c r="AK106">
        <v>0</v>
      </c>
      <c r="AL106">
        <v>0</v>
      </c>
      <c r="AM106">
        <v>0</v>
      </c>
      <c r="AN106">
        <v>85</v>
      </c>
      <c r="AP106" t="s">
        <v>1031</v>
      </c>
      <c r="AS106" t="s">
        <v>1250</v>
      </c>
      <c r="AV106" t="s">
        <v>1031</v>
      </c>
      <c r="AW106" t="s">
        <v>1250</v>
      </c>
      <c r="AX106">
        <v>0</v>
      </c>
      <c r="AY106">
        <v>0</v>
      </c>
      <c r="AZ106" t="s">
        <v>282</v>
      </c>
      <c r="BA106" t="s">
        <v>282</v>
      </c>
      <c r="BB106" t="s">
        <v>1197</v>
      </c>
      <c r="BC106">
        <v>1</v>
      </c>
    </row>
    <row r="107" spans="1:55" x14ac:dyDescent="0.25">
      <c r="A107" t="s">
        <v>99</v>
      </c>
      <c r="B107">
        <v>17</v>
      </c>
      <c r="C107" t="s">
        <v>1088</v>
      </c>
      <c r="D107" s="158">
        <v>45199</v>
      </c>
      <c r="E107">
        <v>623625</v>
      </c>
      <c r="F107">
        <v>10402569</v>
      </c>
      <c r="G107">
        <v>53963755</v>
      </c>
      <c r="H107" t="b">
        <v>0</v>
      </c>
      <c r="I107">
        <v>10</v>
      </c>
      <c r="J107" t="s">
        <v>1267</v>
      </c>
      <c r="K107">
        <v>10</v>
      </c>
      <c r="L107">
        <v>5</v>
      </c>
      <c r="M107">
        <v>2</v>
      </c>
      <c r="N107">
        <v>0</v>
      </c>
      <c r="O107">
        <v>0</v>
      </c>
      <c r="P107">
        <v>0</v>
      </c>
      <c r="Q107">
        <v>0</v>
      </c>
      <c r="R107">
        <v>0</v>
      </c>
      <c r="T107">
        <v>10</v>
      </c>
      <c r="U10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10</v>
      </c>
      <c r="AP107" t="s">
        <v>1031</v>
      </c>
      <c r="AS107" t="s">
        <v>1250</v>
      </c>
      <c r="AV107" t="s">
        <v>1031</v>
      </c>
      <c r="AW107" t="s">
        <v>1250</v>
      </c>
      <c r="AX107">
        <v>0</v>
      </c>
      <c r="AY107">
        <v>0</v>
      </c>
      <c r="AZ107" t="s">
        <v>282</v>
      </c>
      <c r="BA107" t="s">
        <v>282</v>
      </c>
      <c r="BB107" t="s">
        <v>1197</v>
      </c>
      <c r="BC107">
        <v>1</v>
      </c>
    </row>
    <row r="108" spans="1:55" x14ac:dyDescent="0.25">
      <c r="A108" t="s">
        <v>99</v>
      </c>
      <c r="B108">
        <v>17</v>
      </c>
      <c r="C108" t="s">
        <v>1088</v>
      </c>
      <c r="D108" s="158">
        <v>45199</v>
      </c>
      <c r="E108">
        <v>623681</v>
      </c>
      <c r="F108">
        <v>10403222</v>
      </c>
      <c r="G108">
        <v>53977411</v>
      </c>
      <c r="H108" t="b">
        <v>0</v>
      </c>
      <c r="I108">
        <v>10</v>
      </c>
      <c r="J108" t="s">
        <v>1241</v>
      </c>
      <c r="K108">
        <v>10</v>
      </c>
      <c r="L108">
        <v>5</v>
      </c>
      <c r="M108">
        <v>2</v>
      </c>
      <c r="N108">
        <v>0</v>
      </c>
      <c r="O108">
        <v>0</v>
      </c>
      <c r="P108">
        <v>0</v>
      </c>
      <c r="Q108">
        <v>0</v>
      </c>
      <c r="R108">
        <v>0</v>
      </c>
      <c r="T108">
        <v>10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10</v>
      </c>
      <c r="AP108" t="s">
        <v>1031</v>
      </c>
      <c r="AS108" t="s">
        <v>1230</v>
      </c>
      <c r="AV108" t="s">
        <v>1031</v>
      </c>
      <c r="AW108" t="s">
        <v>1230</v>
      </c>
      <c r="AX108">
        <v>0</v>
      </c>
      <c r="AY108">
        <v>0</v>
      </c>
      <c r="AZ108" t="s">
        <v>282</v>
      </c>
      <c r="BA108" t="s">
        <v>282</v>
      </c>
      <c r="BB108" t="s">
        <v>1197</v>
      </c>
      <c r="BC108">
        <v>1</v>
      </c>
    </row>
    <row r="109" spans="1:55" x14ac:dyDescent="0.25">
      <c r="A109" t="s">
        <v>99</v>
      </c>
      <c r="B109">
        <v>17</v>
      </c>
      <c r="C109" t="s">
        <v>1088</v>
      </c>
      <c r="D109" s="158">
        <v>45199</v>
      </c>
      <c r="E109">
        <v>420665</v>
      </c>
      <c r="F109">
        <v>6453523</v>
      </c>
      <c r="G109">
        <v>32273219</v>
      </c>
      <c r="H109" t="b">
        <v>0</v>
      </c>
      <c r="I109">
        <v>934</v>
      </c>
      <c r="J109" t="s">
        <v>1187</v>
      </c>
      <c r="K109">
        <v>109.5</v>
      </c>
      <c r="L109">
        <v>109.5</v>
      </c>
      <c r="M109">
        <v>1</v>
      </c>
      <c r="N109">
        <v>0</v>
      </c>
      <c r="O109">
        <v>0</v>
      </c>
      <c r="P109">
        <v>0</v>
      </c>
      <c r="Q109">
        <v>0</v>
      </c>
      <c r="R109">
        <v>0</v>
      </c>
      <c r="T109">
        <v>109.5</v>
      </c>
      <c r="U109">
        <v>0</v>
      </c>
      <c r="V109">
        <v>1</v>
      </c>
      <c r="W109">
        <v>110</v>
      </c>
      <c r="X109">
        <v>0</v>
      </c>
      <c r="Y109">
        <v>0</v>
      </c>
      <c r="Z109">
        <v>0</v>
      </c>
      <c r="AA109">
        <v>0</v>
      </c>
      <c r="AB109">
        <v>0</v>
      </c>
      <c r="AC109">
        <v>0</v>
      </c>
      <c r="AD109">
        <v>0</v>
      </c>
      <c r="AE109">
        <v>0</v>
      </c>
      <c r="AF109">
        <v>0</v>
      </c>
      <c r="AG109">
        <v>0</v>
      </c>
      <c r="AH109">
        <v>0</v>
      </c>
      <c r="AI109">
        <v>0</v>
      </c>
      <c r="AJ109">
        <v>0</v>
      </c>
      <c r="AK109">
        <v>0</v>
      </c>
      <c r="AL109">
        <v>0</v>
      </c>
      <c r="AM109">
        <v>0</v>
      </c>
      <c r="AN109">
        <v>-0.5</v>
      </c>
      <c r="AP109" t="s">
        <v>1031</v>
      </c>
      <c r="AS109" t="s">
        <v>1193</v>
      </c>
      <c r="AV109" t="s">
        <v>1031</v>
      </c>
      <c r="AW109" t="s">
        <v>1193</v>
      </c>
      <c r="AX109">
        <v>0</v>
      </c>
      <c r="AY109">
        <v>0</v>
      </c>
      <c r="AZ109" t="s">
        <v>282</v>
      </c>
      <c r="BA109" t="s">
        <v>282</v>
      </c>
      <c r="BB109" t="s">
        <v>1200</v>
      </c>
      <c r="BC109">
        <v>8</v>
      </c>
    </row>
    <row r="110" spans="1:55" x14ac:dyDescent="0.25">
      <c r="A110" t="s">
        <v>99</v>
      </c>
      <c r="B110">
        <v>17</v>
      </c>
      <c r="C110" t="s">
        <v>1088</v>
      </c>
      <c r="D110" s="158">
        <v>45199</v>
      </c>
      <c r="E110">
        <v>508687</v>
      </c>
      <c r="F110">
        <v>10312820</v>
      </c>
      <c r="G110">
        <v>54248942</v>
      </c>
      <c r="H110" t="b">
        <v>0</v>
      </c>
      <c r="I110">
        <v>30</v>
      </c>
      <c r="J110" t="s">
        <v>1184</v>
      </c>
      <c r="K110">
        <v>150</v>
      </c>
      <c r="L110">
        <v>150</v>
      </c>
      <c r="M110">
        <v>1</v>
      </c>
      <c r="N110">
        <v>0</v>
      </c>
      <c r="O110">
        <v>0</v>
      </c>
      <c r="P110">
        <v>0</v>
      </c>
      <c r="Q110">
        <v>0</v>
      </c>
      <c r="R110">
        <v>0</v>
      </c>
      <c r="T110">
        <v>150</v>
      </c>
      <c r="U110">
        <v>0</v>
      </c>
      <c r="V110">
        <v>0</v>
      </c>
      <c r="W110">
        <v>0</v>
      </c>
      <c r="X110">
        <v>0</v>
      </c>
      <c r="Y110">
        <v>0</v>
      </c>
      <c r="Z110">
        <v>0</v>
      </c>
      <c r="AA110">
        <v>0</v>
      </c>
      <c r="AB110">
        <v>0</v>
      </c>
      <c r="AC110">
        <v>0</v>
      </c>
      <c r="AD110">
        <v>0</v>
      </c>
      <c r="AE110">
        <v>0</v>
      </c>
      <c r="AF110">
        <v>0</v>
      </c>
      <c r="AG110">
        <v>0</v>
      </c>
      <c r="AH110">
        <v>0</v>
      </c>
      <c r="AI110">
        <v>0</v>
      </c>
      <c r="AJ110">
        <v>0</v>
      </c>
      <c r="AK110">
        <v>0</v>
      </c>
      <c r="AL110">
        <v>0</v>
      </c>
      <c r="AM110">
        <v>0</v>
      </c>
      <c r="AN110">
        <v>150</v>
      </c>
      <c r="AP110" t="s">
        <v>1091</v>
      </c>
      <c r="AS110" t="s">
        <v>1185</v>
      </c>
      <c r="AV110" t="s">
        <v>1091</v>
      </c>
      <c r="AW110" t="s">
        <v>1185</v>
      </c>
      <c r="AX110">
        <v>0</v>
      </c>
      <c r="AY110">
        <v>0</v>
      </c>
      <c r="AZ110" t="s">
        <v>282</v>
      </c>
      <c r="BA110" t="s">
        <v>282</v>
      </c>
      <c r="BB110" t="s">
        <v>1197</v>
      </c>
      <c r="BC110">
        <v>1</v>
      </c>
    </row>
    <row r="111" spans="1:55" x14ac:dyDescent="0.25">
      <c r="A111" t="s">
        <v>99</v>
      </c>
      <c r="B111">
        <v>17</v>
      </c>
      <c r="C111" t="s">
        <v>1088</v>
      </c>
      <c r="D111" s="158">
        <v>45199</v>
      </c>
      <c r="E111">
        <v>626219</v>
      </c>
      <c r="F111">
        <v>10454296</v>
      </c>
      <c r="G111">
        <v>54285515</v>
      </c>
      <c r="H111" t="b">
        <v>0</v>
      </c>
      <c r="I111">
        <v>1</v>
      </c>
      <c r="J111" t="s">
        <v>1241</v>
      </c>
      <c r="K111">
        <v>10</v>
      </c>
      <c r="L111">
        <v>5</v>
      </c>
      <c r="M111">
        <v>2</v>
      </c>
      <c r="N111">
        <v>0</v>
      </c>
      <c r="O111">
        <v>0</v>
      </c>
      <c r="P111">
        <v>0</v>
      </c>
      <c r="Q111">
        <v>0</v>
      </c>
      <c r="R111">
        <v>0</v>
      </c>
      <c r="T111">
        <v>10</v>
      </c>
      <c r="U111">
        <v>0</v>
      </c>
      <c r="V111">
        <v>0</v>
      </c>
      <c r="W111">
        <v>0</v>
      </c>
      <c r="X111">
        <v>0</v>
      </c>
      <c r="Y111">
        <v>0</v>
      </c>
      <c r="Z111">
        <v>0</v>
      </c>
      <c r="AA111">
        <v>0</v>
      </c>
      <c r="AB111">
        <v>0</v>
      </c>
      <c r="AC111">
        <v>0</v>
      </c>
      <c r="AD111">
        <v>0</v>
      </c>
      <c r="AE111">
        <v>0</v>
      </c>
      <c r="AF111">
        <v>0</v>
      </c>
      <c r="AG111">
        <v>0</v>
      </c>
      <c r="AH111">
        <v>0</v>
      </c>
      <c r="AI111">
        <v>0</v>
      </c>
      <c r="AJ111">
        <v>0</v>
      </c>
      <c r="AK111">
        <v>0</v>
      </c>
      <c r="AL111">
        <v>0</v>
      </c>
      <c r="AM111">
        <v>0</v>
      </c>
      <c r="AN111">
        <v>10</v>
      </c>
      <c r="AP111" t="s">
        <v>1031</v>
      </c>
      <c r="AS111" t="s">
        <v>1230</v>
      </c>
      <c r="AV111" t="s">
        <v>1031</v>
      </c>
      <c r="AW111" t="s">
        <v>1230</v>
      </c>
      <c r="AX111">
        <v>0</v>
      </c>
      <c r="AY111">
        <v>0</v>
      </c>
      <c r="AZ111" t="s">
        <v>282</v>
      </c>
      <c r="BA111" t="s">
        <v>282</v>
      </c>
      <c r="BB111" t="s">
        <v>1197</v>
      </c>
      <c r="BC111">
        <v>1</v>
      </c>
    </row>
    <row r="112" spans="1:55" x14ac:dyDescent="0.25">
      <c r="A112" t="s">
        <v>99</v>
      </c>
      <c r="B112">
        <v>17</v>
      </c>
      <c r="C112" t="s">
        <v>1088</v>
      </c>
      <c r="D112" s="158">
        <v>45199</v>
      </c>
      <c r="E112">
        <v>626219</v>
      </c>
      <c r="F112">
        <v>10454296</v>
      </c>
      <c r="G112">
        <v>54285569</v>
      </c>
      <c r="H112" t="b">
        <v>0</v>
      </c>
      <c r="I112">
        <v>1</v>
      </c>
      <c r="J112" t="s">
        <v>1229</v>
      </c>
      <c r="K112">
        <v>16</v>
      </c>
      <c r="L112">
        <v>8</v>
      </c>
      <c r="M112">
        <v>2</v>
      </c>
      <c r="N112">
        <v>0</v>
      </c>
      <c r="O112">
        <v>0</v>
      </c>
      <c r="P112">
        <v>0</v>
      </c>
      <c r="Q112">
        <v>0</v>
      </c>
      <c r="R112">
        <v>0</v>
      </c>
      <c r="T112">
        <v>16</v>
      </c>
      <c r="U112">
        <v>0</v>
      </c>
      <c r="V112">
        <v>0</v>
      </c>
      <c r="W112">
        <v>0</v>
      </c>
      <c r="X112">
        <v>0</v>
      </c>
      <c r="Y112">
        <v>0</v>
      </c>
      <c r="Z112">
        <v>0</v>
      </c>
      <c r="AA112">
        <v>0</v>
      </c>
      <c r="AB112">
        <v>0</v>
      </c>
      <c r="AC112">
        <v>0</v>
      </c>
      <c r="AD112">
        <v>0</v>
      </c>
      <c r="AE112">
        <v>0</v>
      </c>
      <c r="AF112">
        <v>0</v>
      </c>
      <c r="AG112">
        <v>0</v>
      </c>
      <c r="AH112">
        <v>0</v>
      </c>
      <c r="AI112">
        <v>0</v>
      </c>
      <c r="AJ112">
        <v>0</v>
      </c>
      <c r="AK112">
        <v>0</v>
      </c>
      <c r="AL112">
        <v>0</v>
      </c>
      <c r="AM112">
        <v>0</v>
      </c>
      <c r="AN112">
        <v>16</v>
      </c>
      <c r="AP112" t="s">
        <v>1031</v>
      </c>
      <c r="AS112" t="s">
        <v>1230</v>
      </c>
      <c r="AV112" t="s">
        <v>1031</v>
      </c>
      <c r="AW112" t="s">
        <v>1230</v>
      </c>
      <c r="AX112">
        <v>0</v>
      </c>
      <c r="AY112">
        <v>0</v>
      </c>
      <c r="AZ112" t="s">
        <v>282</v>
      </c>
      <c r="BA112" t="s">
        <v>282</v>
      </c>
      <c r="BB112" t="s">
        <v>1197</v>
      </c>
      <c r="BC112">
        <v>1</v>
      </c>
    </row>
    <row r="113" spans="1:55" x14ac:dyDescent="0.25">
      <c r="A113" t="s">
        <v>99</v>
      </c>
      <c r="B113">
        <v>17</v>
      </c>
      <c r="C113" t="s">
        <v>1088</v>
      </c>
      <c r="D113" s="158">
        <v>45199</v>
      </c>
      <c r="E113">
        <v>623681</v>
      </c>
      <c r="F113">
        <v>10403222</v>
      </c>
      <c r="G113">
        <v>53977412</v>
      </c>
      <c r="H113" t="b">
        <v>0</v>
      </c>
      <c r="I113">
        <v>10</v>
      </c>
      <c r="J113" t="s">
        <v>1231</v>
      </c>
      <c r="K113">
        <v>15</v>
      </c>
      <c r="L113">
        <v>7.5</v>
      </c>
      <c r="M113">
        <v>2</v>
      </c>
      <c r="N113">
        <v>0</v>
      </c>
      <c r="O113">
        <v>0</v>
      </c>
      <c r="P113">
        <v>0</v>
      </c>
      <c r="Q113">
        <v>0</v>
      </c>
      <c r="R113">
        <v>0</v>
      </c>
      <c r="T113">
        <v>15</v>
      </c>
      <c r="U113">
        <v>0</v>
      </c>
      <c r="V113">
        <v>0</v>
      </c>
      <c r="W113">
        <v>0</v>
      </c>
      <c r="X113">
        <v>0</v>
      </c>
      <c r="Y113">
        <v>0</v>
      </c>
      <c r="Z113">
        <v>0</v>
      </c>
      <c r="AA113">
        <v>0</v>
      </c>
      <c r="AB113">
        <v>0</v>
      </c>
      <c r="AC113">
        <v>0</v>
      </c>
      <c r="AD113">
        <v>0</v>
      </c>
      <c r="AE113">
        <v>0</v>
      </c>
      <c r="AF113">
        <v>0</v>
      </c>
      <c r="AG113">
        <v>0</v>
      </c>
      <c r="AH113">
        <v>0</v>
      </c>
      <c r="AI113">
        <v>0</v>
      </c>
      <c r="AJ113">
        <v>0</v>
      </c>
      <c r="AK113">
        <v>0</v>
      </c>
      <c r="AL113">
        <v>0</v>
      </c>
      <c r="AM113">
        <v>0</v>
      </c>
      <c r="AN113">
        <v>15</v>
      </c>
      <c r="AP113" t="s">
        <v>1031</v>
      </c>
      <c r="AS113" t="s">
        <v>1230</v>
      </c>
      <c r="AV113" t="s">
        <v>1031</v>
      </c>
      <c r="AW113" t="s">
        <v>1230</v>
      </c>
      <c r="AX113">
        <v>0</v>
      </c>
      <c r="AY113">
        <v>0</v>
      </c>
      <c r="AZ113" t="s">
        <v>282</v>
      </c>
      <c r="BA113" t="s">
        <v>282</v>
      </c>
      <c r="BB113" t="s">
        <v>1197</v>
      </c>
      <c r="BC113">
        <v>1</v>
      </c>
    </row>
    <row r="114" spans="1:55" x14ac:dyDescent="0.25">
      <c r="A114" t="s">
        <v>99</v>
      </c>
      <c r="B114">
        <v>17</v>
      </c>
      <c r="C114" t="s">
        <v>1088</v>
      </c>
      <c r="D114" s="158">
        <v>45199</v>
      </c>
      <c r="E114">
        <v>624094</v>
      </c>
      <c r="F114">
        <v>10411263</v>
      </c>
      <c r="G114">
        <v>53997175</v>
      </c>
      <c r="H114" t="b">
        <v>0</v>
      </c>
      <c r="I114">
        <v>15</v>
      </c>
      <c r="J114" t="s">
        <v>1194</v>
      </c>
      <c r="K114">
        <v>121.5</v>
      </c>
      <c r="L114">
        <v>121.5</v>
      </c>
      <c r="M114">
        <v>1</v>
      </c>
      <c r="N114">
        <v>0</v>
      </c>
      <c r="O114">
        <v>0</v>
      </c>
      <c r="P114">
        <v>0</v>
      </c>
      <c r="Q114">
        <v>0</v>
      </c>
      <c r="R114">
        <v>0</v>
      </c>
      <c r="T114">
        <v>121.5</v>
      </c>
      <c r="U114">
        <v>0</v>
      </c>
      <c r="V114">
        <v>0</v>
      </c>
      <c r="W114">
        <v>0</v>
      </c>
      <c r="X114">
        <v>0</v>
      </c>
      <c r="Y114">
        <v>0</v>
      </c>
      <c r="Z114">
        <v>0</v>
      </c>
      <c r="AA114">
        <v>0</v>
      </c>
      <c r="AB114">
        <v>0</v>
      </c>
      <c r="AC114">
        <v>0</v>
      </c>
      <c r="AD114">
        <v>0</v>
      </c>
      <c r="AE114">
        <v>0</v>
      </c>
      <c r="AF114">
        <v>0</v>
      </c>
      <c r="AG114">
        <v>0</v>
      </c>
      <c r="AH114">
        <v>0</v>
      </c>
      <c r="AI114">
        <v>0</v>
      </c>
      <c r="AJ114">
        <v>0</v>
      </c>
      <c r="AK114">
        <v>0</v>
      </c>
      <c r="AL114">
        <v>0</v>
      </c>
      <c r="AM114">
        <v>0</v>
      </c>
      <c r="AN114">
        <v>121.5</v>
      </c>
      <c r="AP114" t="s">
        <v>1031</v>
      </c>
      <c r="AS114" t="s">
        <v>1195</v>
      </c>
      <c r="AV114" t="s">
        <v>1031</v>
      </c>
      <c r="AW114" t="s">
        <v>1195</v>
      </c>
      <c r="AX114">
        <v>0</v>
      </c>
      <c r="AY114">
        <v>0</v>
      </c>
      <c r="AZ114" t="s">
        <v>282</v>
      </c>
      <c r="BA114" t="s">
        <v>282</v>
      </c>
      <c r="BB114" t="s">
        <v>1197</v>
      </c>
      <c r="BC114">
        <v>1</v>
      </c>
    </row>
    <row r="115" spans="1:55" x14ac:dyDescent="0.25">
      <c r="A115" t="s">
        <v>99</v>
      </c>
      <c r="B115">
        <v>17</v>
      </c>
      <c r="C115" t="s">
        <v>1088</v>
      </c>
      <c r="D115" s="158">
        <v>45199</v>
      </c>
      <c r="E115">
        <v>624425</v>
      </c>
      <c r="F115">
        <v>10417817</v>
      </c>
      <c r="G115">
        <v>54042133</v>
      </c>
      <c r="H115" t="b">
        <v>0</v>
      </c>
      <c r="I115">
        <v>8</v>
      </c>
      <c r="J115" t="s">
        <v>1229</v>
      </c>
      <c r="K115">
        <v>16</v>
      </c>
      <c r="L115">
        <v>8</v>
      </c>
      <c r="M115">
        <v>2</v>
      </c>
      <c r="N115">
        <v>0</v>
      </c>
      <c r="O115">
        <v>0</v>
      </c>
      <c r="P115">
        <v>0</v>
      </c>
      <c r="Q115">
        <v>0</v>
      </c>
      <c r="R115">
        <v>0</v>
      </c>
      <c r="T115">
        <v>16</v>
      </c>
      <c r="U115">
        <v>0</v>
      </c>
      <c r="V115">
        <v>0</v>
      </c>
      <c r="W115">
        <v>0</v>
      </c>
      <c r="X115">
        <v>0</v>
      </c>
      <c r="Y115">
        <v>0</v>
      </c>
      <c r="Z115">
        <v>0</v>
      </c>
      <c r="AA115">
        <v>0</v>
      </c>
      <c r="AB115">
        <v>0</v>
      </c>
      <c r="AC115">
        <v>0</v>
      </c>
      <c r="AD115">
        <v>0</v>
      </c>
      <c r="AE115">
        <v>0</v>
      </c>
      <c r="AF115">
        <v>0</v>
      </c>
      <c r="AG115">
        <v>0</v>
      </c>
      <c r="AH115">
        <v>0</v>
      </c>
      <c r="AI115">
        <v>0</v>
      </c>
      <c r="AJ115">
        <v>0</v>
      </c>
      <c r="AK115">
        <v>0</v>
      </c>
      <c r="AL115">
        <v>0</v>
      </c>
      <c r="AM115">
        <v>0</v>
      </c>
      <c r="AN115">
        <v>16</v>
      </c>
      <c r="AP115" t="s">
        <v>1031</v>
      </c>
      <c r="AS115" t="s">
        <v>1250</v>
      </c>
      <c r="AV115" t="s">
        <v>1031</v>
      </c>
      <c r="AW115" t="s">
        <v>1250</v>
      </c>
      <c r="AX115">
        <v>0</v>
      </c>
      <c r="AY115">
        <v>0</v>
      </c>
      <c r="AZ115" t="s">
        <v>282</v>
      </c>
      <c r="BA115" t="s">
        <v>282</v>
      </c>
      <c r="BB115" t="s">
        <v>1197</v>
      </c>
      <c r="BC115">
        <v>1</v>
      </c>
    </row>
    <row r="116" spans="1:55" x14ac:dyDescent="0.25">
      <c r="A116" t="s">
        <v>99</v>
      </c>
      <c r="B116">
        <v>17</v>
      </c>
      <c r="C116" t="s">
        <v>1088</v>
      </c>
      <c r="D116" s="158">
        <v>45199</v>
      </c>
      <c r="E116">
        <v>430162</v>
      </c>
      <c r="F116">
        <v>10382986</v>
      </c>
      <c r="G116">
        <v>54016934</v>
      </c>
      <c r="H116" t="b">
        <v>0</v>
      </c>
      <c r="I116">
        <v>9</v>
      </c>
      <c r="J116" t="s">
        <v>1187</v>
      </c>
      <c r="K116">
        <v>216</v>
      </c>
      <c r="L116">
        <v>216</v>
      </c>
      <c r="M116">
        <v>1</v>
      </c>
      <c r="N116">
        <v>0</v>
      </c>
      <c r="O116">
        <v>0</v>
      </c>
      <c r="P116">
        <v>0</v>
      </c>
      <c r="Q116">
        <v>0</v>
      </c>
      <c r="R116">
        <v>0</v>
      </c>
      <c r="T116">
        <v>0</v>
      </c>
      <c r="U116">
        <v>0</v>
      </c>
      <c r="V116">
        <v>0</v>
      </c>
      <c r="W116">
        <v>0</v>
      </c>
      <c r="X116">
        <v>0</v>
      </c>
      <c r="Y116">
        <v>0</v>
      </c>
      <c r="Z116">
        <v>0</v>
      </c>
      <c r="AA116">
        <v>0</v>
      </c>
      <c r="AB116">
        <v>0</v>
      </c>
      <c r="AC116">
        <v>0</v>
      </c>
      <c r="AD116">
        <v>0</v>
      </c>
      <c r="AE116">
        <v>0</v>
      </c>
      <c r="AF116">
        <v>0</v>
      </c>
      <c r="AG116">
        <v>0</v>
      </c>
      <c r="AH116">
        <v>0</v>
      </c>
      <c r="AI116">
        <v>216</v>
      </c>
      <c r="AJ116">
        <v>0</v>
      </c>
      <c r="AK116">
        <v>0</v>
      </c>
      <c r="AL116">
        <v>0</v>
      </c>
      <c r="AM116">
        <v>0</v>
      </c>
      <c r="AN116">
        <v>216</v>
      </c>
      <c r="AP116" t="s">
        <v>1091</v>
      </c>
      <c r="AS116" t="s">
        <v>1185</v>
      </c>
      <c r="AV116" t="s">
        <v>1091</v>
      </c>
      <c r="AW116" t="s">
        <v>1185</v>
      </c>
      <c r="AX116">
        <v>0</v>
      </c>
      <c r="AY116">
        <v>0</v>
      </c>
      <c r="AZ116" t="s">
        <v>282</v>
      </c>
      <c r="BA116" t="s">
        <v>282</v>
      </c>
      <c r="BB116" t="s">
        <v>1197</v>
      </c>
      <c r="BC116">
        <v>1</v>
      </c>
    </row>
    <row r="117" spans="1:55" x14ac:dyDescent="0.25">
      <c r="A117" t="s">
        <v>99</v>
      </c>
      <c r="B117">
        <v>17</v>
      </c>
      <c r="C117" t="s">
        <v>1088</v>
      </c>
      <c r="D117" s="158">
        <v>45199</v>
      </c>
      <c r="E117">
        <v>430162</v>
      </c>
      <c r="F117">
        <v>10382986</v>
      </c>
      <c r="G117">
        <v>54016937</v>
      </c>
      <c r="H117" t="b">
        <v>0</v>
      </c>
      <c r="I117">
        <v>9</v>
      </c>
      <c r="J117" t="s">
        <v>1187</v>
      </c>
      <c r="K117">
        <v>216</v>
      </c>
      <c r="L117">
        <v>216</v>
      </c>
      <c r="M117">
        <v>1</v>
      </c>
      <c r="N117">
        <v>0</v>
      </c>
      <c r="O117">
        <v>0</v>
      </c>
      <c r="P117">
        <v>0</v>
      </c>
      <c r="Q117">
        <v>0</v>
      </c>
      <c r="R117">
        <v>0</v>
      </c>
      <c r="T117">
        <v>0</v>
      </c>
      <c r="U117">
        <v>0</v>
      </c>
      <c r="V117">
        <v>0</v>
      </c>
      <c r="W117">
        <v>0</v>
      </c>
      <c r="X117">
        <v>0</v>
      </c>
      <c r="Y117">
        <v>0</v>
      </c>
      <c r="Z117">
        <v>0</v>
      </c>
      <c r="AA117">
        <v>0</v>
      </c>
      <c r="AB117">
        <v>0</v>
      </c>
      <c r="AC117">
        <v>0</v>
      </c>
      <c r="AD117">
        <v>0</v>
      </c>
      <c r="AE117">
        <v>0</v>
      </c>
      <c r="AF117">
        <v>0</v>
      </c>
      <c r="AG117">
        <v>0</v>
      </c>
      <c r="AH117">
        <v>0</v>
      </c>
      <c r="AI117">
        <v>216</v>
      </c>
      <c r="AJ117">
        <v>0</v>
      </c>
      <c r="AK117">
        <v>0</v>
      </c>
      <c r="AL117">
        <v>0</v>
      </c>
      <c r="AM117">
        <v>0</v>
      </c>
      <c r="AN117">
        <v>216</v>
      </c>
      <c r="AP117" t="s">
        <v>1091</v>
      </c>
      <c r="AS117" t="s">
        <v>1185</v>
      </c>
      <c r="AV117" t="s">
        <v>1091</v>
      </c>
      <c r="AW117" t="s">
        <v>1185</v>
      </c>
      <c r="AX117">
        <v>0</v>
      </c>
      <c r="AY117">
        <v>0</v>
      </c>
      <c r="AZ117" t="s">
        <v>282</v>
      </c>
      <c r="BA117" t="s">
        <v>282</v>
      </c>
      <c r="BB117" t="s">
        <v>1197</v>
      </c>
      <c r="BC117">
        <v>1</v>
      </c>
    </row>
    <row r="118" spans="1:55" x14ac:dyDescent="0.25">
      <c r="A118" t="s">
        <v>99</v>
      </c>
      <c r="B118">
        <v>17</v>
      </c>
      <c r="C118" t="s">
        <v>1088</v>
      </c>
      <c r="D118" s="158">
        <v>45199</v>
      </c>
      <c r="E118">
        <v>612222</v>
      </c>
      <c r="F118">
        <v>10178481</v>
      </c>
      <c r="G118">
        <v>52695066</v>
      </c>
      <c r="H118" t="b">
        <v>0</v>
      </c>
      <c r="I118">
        <v>51</v>
      </c>
      <c r="J118" t="s">
        <v>1187</v>
      </c>
      <c r="K118">
        <v>216</v>
      </c>
      <c r="L118">
        <v>216</v>
      </c>
      <c r="M118">
        <v>1</v>
      </c>
      <c r="N118">
        <v>0</v>
      </c>
      <c r="O118">
        <v>0</v>
      </c>
      <c r="P118">
        <v>0</v>
      </c>
      <c r="Q118">
        <v>0</v>
      </c>
      <c r="R118">
        <v>0</v>
      </c>
      <c r="T118">
        <v>216</v>
      </c>
      <c r="U118">
        <v>0</v>
      </c>
      <c r="V118">
        <v>0</v>
      </c>
      <c r="W118">
        <v>0</v>
      </c>
      <c r="X118">
        <v>0</v>
      </c>
      <c r="Y118">
        <v>0</v>
      </c>
      <c r="Z118">
        <v>0</v>
      </c>
      <c r="AA118">
        <v>0</v>
      </c>
      <c r="AB118">
        <v>0</v>
      </c>
      <c r="AC118">
        <v>0</v>
      </c>
      <c r="AD118">
        <v>0</v>
      </c>
      <c r="AE118">
        <v>0</v>
      </c>
      <c r="AF118">
        <v>0</v>
      </c>
      <c r="AG118">
        <v>0</v>
      </c>
      <c r="AH118">
        <v>0</v>
      </c>
      <c r="AI118">
        <v>0</v>
      </c>
      <c r="AJ118">
        <v>0</v>
      </c>
      <c r="AK118">
        <v>0</v>
      </c>
      <c r="AL118">
        <v>0</v>
      </c>
      <c r="AM118">
        <v>0</v>
      </c>
      <c r="AN118">
        <v>216</v>
      </c>
      <c r="AP118" t="s">
        <v>1091</v>
      </c>
      <c r="AS118" t="s">
        <v>1185</v>
      </c>
      <c r="AV118" t="s">
        <v>1091</v>
      </c>
      <c r="AW118" t="s">
        <v>1185</v>
      </c>
      <c r="AX118">
        <v>0</v>
      </c>
      <c r="AY118">
        <v>0</v>
      </c>
      <c r="AZ118" t="s">
        <v>282</v>
      </c>
      <c r="BA118" t="s">
        <v>282</v>
      </c>
      <c r="BB118" t="s">
        <v>1191</v>
      </c>
      <c r="BC118">
        <v>2</v>
      </c>
    </row>
    <row r="119" spans="1:55" x14ac:dyDescent="0.25">
      <c r="A119" t="s">
        <v>99</v>
      </c>
      <c r="B119">
        <v>17</v>
      </c>
      <c r="C119" t="s">
        <v>1088</v>
      </c>
      <c r="D119" s="158">
        <v>45199</v>
      </c>
      <c r="E119">
        <v>276017</v>
      </c>
      <c r="F119">
        <v>10322056</v>
      </c>
      <c r="G119">
        <v>53628017</v>
      </c>
      <c r="H119" t="b">
        <v>0</v>
      </c>
      <c r="I119">
        <v>23</v>
      </c>
      <c r="J119" t="s">
        <v>1268</v>
      </c>
      <c r="K119">
        <v>216</v>
      </c>
      <c r="L119">
        <v>216</v>
      </c>
      <c r="M119">
        <v>1</v>
      </c>
      <c r="N119">
        <v>0</v>
      </c>
      <c r="O119">
        <v>0</v>
      </c>
      <c r="P119">
        <v>0</v>
      </c>
      <c r="Q119">
        <v>0</v>
      </c>
      <c r="R119">
        <v>0</v>
      </c>
      <c r="T119">
        <v>216</v>
      </c>
      <c r="U119">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216</v>
      </c>
      <c r="AP119" t="s">
        <v>1269</v>
      </c>
      <c r="AS119" t="s">
        <v>1270</v>
      </c>
      <c r="AV119" t="s">
        <v>1269</v>
      </c>
      <c r="AW119" t="s">
        <v>1270</v>
      </c>
      <c r="AX119">
        <v>0</v>
      </c>
      <c r="AY119">
        <v>0</v>
      </c>
      <c r="AZ119" t="s">
        <v>282</v>
      </c>
      <c r="BA119" t="s">
        <v>282</v>
      </c>
      <c r="BB119" t="s">
        <v>1197</v>
      </c>
      <c r="BC119">
        <v>1</v>
      </c>
    </row>
    <row r="120" spans="1:55" x14ac:dyDescent="0.25">
      <c r="A120" t="s">
        <v>99</v>
      </c>
      <c r="B120">
        <v>17</v>
      </c>
      <c r="C120" t="s">
        <v>1088</v>
      </c>
      <c r="D120" s="158">
        <v>45199</v>
      </c>
      <c r="E120">
        <v>621692</v>
      </c>
      <c r="F120">
        <v>10367092</v>
      </c>
      <c r="G120">
        <v>53757889</v>
      </c>
      <c r="H120" t="b">
        <v>0</v>
      </c>
      <c r="I120">
        <v>17</v>
      </c>
      <c r="J120" t="s">
        <v>1229</v>
      </c>
      <c r="K120">
        <v>16</v>
      </c>
      <c r="L120">
        <v>8</v>
      </c>
      <c r="M120">
        <v>2</v>
      </c>
      <c r="N120">
        <v>0</v>
      </c>
      <c r="O120">
        <v>0</v>
      </c>
      <c r="P120">
        <v>0</v>
      </c>
      <c r="Q120">
        <v>0</v>
      </c>
      <c r="R120">
        <v>0</v>
      </c>
      <c r="T120">
        <v>16</v>
      </c>
      <c r="U120">
        <v>0</v>
      </c>
      <c r="V120">
        <v>0</v>
      </c>
      <c r="W120">
        <v>0</v>
      </c>
      <c r="X120">
        <v>0</v>
      </c>
      <c r="Y120">
        <v>0</v>
      </c>
      <c r="Z120">
        <v>0</v>
      </c>
      <c r="AA120">
        <v>0</v>
      </c>
      <c r="AB120">
        <v>0</v>
      </c>
      <c r="AC120">
        <v>0</v>
      </c>
      <c r="AD120">
        <v>0</v>
      </c>
      <c r="AE120">
        <v>0</v>
      </c>
      <c r="AF120">
        <v>0</v>
      </c>
      <c r="AG120">
        <v>0</v>
      </c>
      <c r="AH120">
        <v>0</v>
      </c>
      <c r="AI120">
        <v>0</v>
      </c>
      <c r="AJ120">
        <v>0</v>
      </c>
      <c r="AK120">
        <v>0</v>
      </c>
      <c r="AL120">
        <v>0</v>
      </c>
      <c r="AM120">
        <v>0</v>
      </c>
      <c r="AN120">
        <v>16</v>
      </c>
      <c r="AP120" t="s">
        <v>1031</v>
      </c>
      <c r="AS120" t="s">
        <v>1250</v>
      </c>
      <c r="AV120" t="s">
        <v>1031</v>
      </c>
      <c r="AW120" t="s">
        <v>1250</v>
      </c>
      <c r="AX120">
        <v>0</v>
      </c>
      <c r="AY120">
        <v>0</v>
      </c>
      <c r="AZ120" t="s">
        <v>282</v>
      </c>
      <c r="BA120" t="s">
        <v>282</v>
      </c>
      <c r="BB120" t="s">
        <v>1197</v>
      </c>
      <c r="BC120">
        <v>1</v>
      </c>
    </row>
    <row r="121" spans="1:55" x14ac:dyDescent="0.25">
      <c r="A121" t="s">
        <v>99</v>
      </c>
      <c r="B121">
        <v>17</v>
      </c>
      <c r="C121" t="s">
        <v>1088</v>
      </c>
      <c r="D121" s="158">
        <v>45199</v>
      </c>
      <c r="E121">
        <v>621692</v>
      </c>
      <c r="F121">
        <v>10367092</v>
      </c>
      <c r="G121">
        <v>53757902</v>
      </c>
      <c r="H121" t="b">
        <v>0</v>
      </c>
      <c r="I121">
        <v>17</v>
      </c>
      <c r="J121" t="s">
        <v>1231</v>
      </c>
      <c r="K121">
        <v>15</v>
      </c>
      <c r="L121">
        <v>7.5</v>
      </c>
      <c r="M121">
        <v>2</v>
      </c>
      <c r="N121">
        <v>0</v>
      </c>
      <c r="O121">
        <v>0</v>
      </c>
      <c r="P121">
        <v>0</v>
      </c>
      <c r="Q121">
        <v>0</v>
      </c>
      <c r="R121">
        <v>0</v>
      </c>
      <c r="T121">
        <v>15</v>
      </c>
      <c r="U121">
        <v>0</v>
      </c>
      <c r="V121">
        <v>0</v>
      </c>
      <c r="W121">
        <v>0</v>
      </c>
      <c r="X121">
        <v>0</v>
      </c>
      <c r="Y121">
        <v>0</v>
      </c>
      <c r="Z121">
        <v>0</v>
      </c>
      <c r="AA121">
        <v>0</v>
      </c>
      <c r="AB121">
        <v>0</v>
      </c>
      <c r="AC121">
        <v>0</v>
      </c>
      <c r="AD121">
        <v>0</v>
      </c>
      <c r="AE121">
        <v>0</v>
      </c>
      <c r="AF121">
        <v>0</v>
      </c>
      <c r="AG121">
        <v>0</v>
      </c>
      <c r="AH121">
        <v>0</v>
      </c>
      <c r="AI121">
        <v>0</v>
      </c>
      <c r="AJ121">
        <v>0</v>
      </c>
      <c r="AK121">
        <v>0</v>
      </c>
      <c r="AL121">
        <v>0</v>
      </c>
      <c r="AM121">
        <v>0</v>
      </c>
      <c r="AN121">
        <v>15</v>
      </c>
      <c r="AP121" t="s">
        <v>1031</v>
      </c>
      <c r="AS121" t="s">
        <v>1250</v>
      </c>
      <c r="AV121" t="s">
        <v>1031</v>
      </c>
      <c r="AW121" t="s">
        <v>1250</v>
      </c>
      <c r="AX121">
        <v>0</v>
      </c>
      <c r="AY121">
        <v>0</v>
      </c>
      <c r="AZ121" t="s">
        <v>282</v>
      </c>
      <c r="BA121" t="s">
        <v>282</v>
      </c>
      <c r="BB121" t="s">
        <v>1197</v>
      </c>
      <c r="BC121">
        <v>1</v>
      </c>
    </row>
    <row r="122" spans="1:55" x14ac:dyDescent="0.25">
      <c r="A122" t="s">
        <v>99</v>
      </c>
      <c r="B122">
        <v>17</v>
      </c>
      <c r="C122" t="s">
        <v>1088</v>
      </c>
      <c r="D122" s="158">
        <v>45199</v>
      </c>
      <c r="E122">
        <v>621702</v>
      </c>
      <c r="F122">
        <v>10367213</v>
      </c>
      <c r="G122">
        <v>53758061</v>
      </c>
      <c r="H122" t="b">
        <v>0</v>
      </c>
      <c r="I122">
        <v>17</v>
      </c>
      <c r="J122" t="s">
        <v>1240</v>
      </c>
      <c r="K122">
        <v>25</v>
      </c>
      <c r="L122">
        <v>12.5</v>
      </c>
      <c r="M122">
        <v>2</v>
      </c>
      <c r="N122">
        <v>0</v>
      </c>
      <c r="O122">
        <v>0</v>
      </c>
      <c r="P122">
        <v>0</v>
      </c>
      <c r="Q122">
        <v>0</v>
      </c>
      <c r="R122">
        <v>0</v>
      </c>
      <c r="T122">
        <v>25</v>
      </c>
      <c r="U122">
        <v>0</v>
      </c>
      <c r="V122">
        <v>0</v>
      </c>
      <c r="W122">
        <v>0</v>
      </c>
      <c r="X122">
        <v>0</v>
      </c>
      <c r="Y122">
        <v>0</v>
      </c>
      <c r="Z122">
        <v>0</v>
      </c>
      <c r="AA122">
        <v>0</v>
      </c>
      <c r="AB122">
        <v>0</v>
      </c>
      <c r="AC122">
        <v>0</v>
      </c>
      <c r="AD122">
        <v>0</v>
      </c>
      <c r="AE122">
        <v>0</v>
      </c>
      <c r="AF122">
        <v>0</v>
      </c>
      <c r="AG122">
        <v>0</v>
      </c>
      <c r="AH122">
        <v>0</v>
      </c>
      <c r="AI122">
        <v>0</v>
      </c>
      <c r="AJ122">
        <v>0</v>
      </c>
      <c r="AK122">
        <v>0</v>
      </c>
      <c r="AL122">
        <v>0</v>
      </c>
      <c r="AM122">
        <v>0</v>
      </c>
      <c r="AN122">
        <v>25</v>
      </c>
      <c r="AP122" t="s">
        <v>1031</v>
      </c>
      <c r="AS122" t="s">
        <v>1250</v>
      </c>
      <c r="AV122" t="s">
        <v>1031</v>
      </c>
      <c r="AW122" t="s">
        <v>1250</v>
      </c>
      <c r="AX122">
        <v>0</v>
      </c>
      <c r="AY122">
        <v>0</v>
      </c>
      <c r="AZ122" t="s">
        <v>282</v>
      </c>
      <c r="BA122" t="s">
        <v>282</v>
      </c>
      <c r="BB122" t="s">
        <v>1197</v>
      </c>
      <c r="BC122">
        <v>1</v>
      </c>
    </row>
    <row r="123" spans="1:55" x14ac:dyDescent="0.25">
      <c r="A123" t="s">
        <v>99</v>
      </c>
      <c r="B123">
        <v>17</v>
      </c>
      <c r="C123" t="s">
        <v>1088</v>
      </c>
      <c r="D123" s="158">
        <v>45199</v>
      </c>
      <c r="E123">
        <v>621703</v>
      </c>
      <c r="F123">
        <v>10367247</v>
      </c>
      <c r="G123">
        <v>53758493</v>
      </c>
      <c r="H123" t="b">
        <v>0</v>
      </c>
      <c r="I123">
        <v>17</v>
      </c>
      <c r="J123" t="s">
        <v>1199</v>
      </c>
      <c r="K123">
        <v>20</v>
      </c>
      <c r="L123">
        <v>10</v>
      </c>
      <c r="M123">
        <v>2</v>
      </c>
      <c r="N123">
        <v>0</v>
      </c>
      <c r="O123">
        <v>0</v>
      </c>
      <c r="P123">
        <v>0</v>
      </c>
      <c r="Q123">
        <v>0</v>
      </c>
      <c r="R123">
        <v>0</v>
      </c>
      <c r="T123">
        <v>20</v>
      </c>
      <c r="U123">
        <v>0</v>
      </c>
      <c r="V123">
        <v>0</v>
      </c>
      <c r="W123">
        <v>0</v>
      </c>
      <c r="X123">
        <v>0</v>
      </c>
      <c r="Y123">
        <v>0</v>
      </c>
      <c r="Z123">
        <v>0</v>
      </c>
      <c r="AA123">
        <v>0</v>
      </c>
      <c r="AB123">
        <v>0</v>
      </c>
      <c r="AC123">
        <v>0</v>
      </c>
      <c r="AD123">
        <v>0</v>
      </c>
      <c r="AE123">
        <v>0</v>
      </c>
      <c r="AF123">
        <v>0</v>
      </c>
      <c r="AG123">
        <v>0</v>
      </c>
      <c r="AH123">
        <v>0</v>
      </c>
      <c r="AI123">
        <v>0</v>
      </c>
      <c r="AJ123">
        <v>0</v>
      </c>
      <c r="AK123">
        <v>0</v>
      </c>
      <c r="AL123">
        <v>0</v>
      </c>
      <c r="AM123">
        <v>0</v>
      </c>
      <c r="AN123">
        <v>20</v>
      </c>
      <c r="AP123" t="s">
        <v>1031</v>
      </c>
      <c r="AS123" t="s">
        <v>1250</v>
      </c>
      <c r="AV123" t="s">
        <v>1031</v>
      </c>
      <c r="AW123" t="s">
        <v>1250</v>
      </c>
      <c r="AX123">
        <v>0</v>
      </c>
      <c r="AY123">
        <v>0</v>
      </c>
      <c r="AZ123" t="s">
        <v>282</v>
      </c>
      <c r="BA123" t="s">
        <v>282</v>
      </c>
      <c r="BB123" t="s">
        <v>1197</v>
      </c>
      <c r="BC123">
        <v>1</v>
      </c>
    </row>
    <row r="124" spans="1:55" x14ac:dyDescent="0.25">
      <c r="A124" t="s">
        <v>99</v>
      </c>
      <c r="B124">
        <v>17</v>
      </c>
      <c r="C124" t="s">
        <v>1088</v>
      </c>
      <c r="D124" s="158">
        <v>45199</v>
      </c>
      <c r="E124">
        <v>618218</v>
      </c>
      <c r="F124">
        <v>10315349</v>
      </c>
      <c r="G124">
        <v>53553783</v>
      </c>
      <c r="H124" t="b">
        <v>0</v>
      </c>
      <c r="I124">
        <v>23</v>
      </c>
      <c r="J124" t="s">
        <v>1187</v>
      </c>
      <c r="K124">
        <v>216</v>
      </c>
      <c r="L124">
        <v>216</v>
      </c>
      <c r="M124">
        <v>1</v>
      </c>
      <c r="N124">
        <v>0</v>
      </c>
      <c r="O124">
        <v>0</v>
      </c>
      <c r="P124">
        <v>0</v>
      </c>
      <c r="Q124">
        <v>0</v>
      </c>
      <c r="R124">
        <v>0</v>
      </c>
      <c r="T124">
        <v>0</v>
      </c>
      <c r="U124">
        <v>0</v>
      </c>
      <c r="V124">
        <v>0</v>
      </c>
      <c r="W124">
        <v>0</v>
      </c>
      <c r="X124">
        <v>0</v>
      </c>
      <c r="Y124">
        <v>0</v>
      </c>
      <c r="Z124">
        <v>0</v>
      </c>
      <c r="AA124">
        <v>0</v>
      </c>
      <c r="AB124">
        <v>0</v>
      </c>
      <c r="AC124">
        <v>0</v>
      </c>
      <c r="AD124">
        <v>0</v>
      </c>
      <c r="AE124">
        <v>0</v>
      </c>
      <c r="AF124">
        <v>0</v>
      </c>
      <c r="AG124">
        <v>0</v>
      </c>
      <c r="AH124">
        <v>0</v>
      </c>
      <c r="AI124">
        <v>216</v>
      </c>
      <c r="AJ124">
        <v>0</v>
      </c>
      <c r="AK124">
        <v>0</v>
      </c>
      <c r="AL124">
        <v>0</v>
      </c>
      <c r="AM124">
        <v>0</v>
      </c>
      <c r="AN124">
        <v>216</v>
      </c>
      <c r="AP124" t="s">
        <v>1091</v>
      </c>
      <c r="AS124" t="s">
        <v>1188</v>
      </c>
      <c r="AV124" t="s">
        <v>1091</v>
      </c>
      <c r="AW124" t="s">
        <v>1188</v>
      </c>
      <c r="AX124">
        <v>0</v>
      </c>
      <c r="AY124">
        <v>0</v>
      </c>
      <c r="AZ124" t="s">
        <v>282</v>
      </c>
      <c r="BA124" t="s">
        <v>282</v>
      </c>
      <c r="BB124" t="s">
        <v>1197</v>
      </c>
      <c r="BC124">
        <v>1</v>
      </c>
    </row>
    <row r="125" spans="1:55" x14ac:dyDescent="0.25">
      <c r="A125" t="s">
        <v>99</v>
      </c>
      <c r="B125">
        <v>17</v>
      </c>
      <c r="C125" t="s">
        <v>1088</v>
      </c>
      <c r="D125" s="158">
        <v>45199</v>
      </c>
      <c r="E125">
        <v>622662</v>
      </c>
      <c r="F125">
        <v>10384058</v>
      </c>
      <c r="G125">
        <v>53862282</v>
      </c>
      <c r="H125" t="b">
        <v>0</v>
      </c>
      <c r="I125">
        <v>15</v>
      </c>
      <c r="J125" t="s">
        <v>1198</v>
      </c>
      <c r="K125">
        <v>85</v>
      </c>
      <c r="L125">
        <v>85</v>
      </c>
      <c r="M125">
        <v>1</v>
      </c>
      <c r="N125">
        <v>0</v>
      </c>
      <c r="O125">
        <v>0</v>
      </c>
      <c r="P125">
        <v>0</v>
      </c>
      <c r="Q125">
        <v>0</v>
      </c>
      <c r="R125">
        <v>0</v>
      </c>
      <c r="T125">
        <v>85</v>
      </c>
      <c r="U125">
        <v>0</v>
      </c>
      <c r="V125">
        <v>0</v>
      </c>
      <c r="W125">
        <v>0</v>
      </c>
      <c r="X125">
        <v>0</v>
      </c>
      <c r="Y125">
        <v>0</v>
      </c>
      <c r="Z125">
        <v>0</v>
      </c>
      <c r="AA125">
        <v>0</v>
      </c>
      <c r="AB125">
        <v>0</v>
      </c>
      <c r="AC125">
        <v>0</v>
      </c>
      <c r="AD125">
        <v>0</v>
      </c>
      <c r="AE125">
        <v>0</v>
      </c>
      <c r="AF125">
        <v>0</v>
      </c>
      <c r="AG125">
        <v>0</v>
      </c>
      <c r="AH125">
        <v>0</v>
      </c>
      <c r="AI125">
        <v>0</v>
      </c>
      <c r="AJ125">
        <v>0</v>
      </c>
      <c r="AK125">
        <v>0</v>
      </c>
      <c r="AL125">
        <v>0</v>
      </c>
      <c r="AM125">
        <v>0</v>
      </c>
      <c r="AN125">
        <v>85</v>
      </c>
      <c r="AP125" t="s">
        <v>1031</v>
      </c>
      <c r="AS125" t="s">
        <v>1250</v>
      </c>
      <c r="AV125" t="s">
        <v>1031</v>
      </c>
      <c r="AW125" t="s">
        <v>1250</v>
      </c>
      <c r="AX125">
        <v>0</v>
      </c>
      <c r="AY125">
        <v>0</v>
      </c>
      <c r="AZ125" t="s">
        <v>282</v>
      </c>
      <c r="BA125" t="s">
        <v>282</v>
      </c>
      <c r="BB125" t="s">
        <v>1197</v>
      </c>
      <c r="BC125">
        <v>1</v>
      </c>
    </row>
    <row r="126" spans="1:55" x14ac:dyDescent="0.25">
      <c r="A126" t="s">
        <v>99</v>
      </c>
      <c r="B126">
        <v>17</v>
      </c>
      <c r="C126" t="s">
        <v>1088</v>
      </c>
      <c r="D126" s="158">
        <v>45199</v>
      </c>
      <c r="E126">
        <v>622662</v>
      </c>
      <c r="F126">
        <v>10384058</v>
      </c>
      <c r="G126">
        <v>53862287</v>
      </c>
      <c r="H126" t="b">
        <v>0</v>
      </c>
      <c r="I126">
        <v>15</v>
      </c>
      <c r="J126" t="s">
        <v>1229</v>
      </c>
      <c r="K126">
        <v>16</v>
      </c>
      <c r="L126">
        <v>8</v>
      </c>
      <c r="M126">
        <v>2</v>
      </c>
      <c r="N126">
        <v>0</v>
      </c>
      <c r="O126">
        <v>0</v>
      </c>
      <c r="P126">
        <v>0</v>
      </c>
      <c r="Q126">
        <v>0</v>
      </c>
      <c r="R126">
        <v>0</v>
      </c>
      <c r="T126">
        <v>16</v>
      </c>
      <c r="U126">
        <v>0</v>
      </c>
      <c r="V126">
        <v>0</v>
      </c>
      <c r="W126">
        <v>0</v>
      </c>
      <c r="X126">
        <v>0</v>
      </c>
      <c r="Y126">
        <v>0</v>
      </c>
      <c r="Z126">
        <v>0</v>
      </c>
      <c r="AA126">
        <v>0</v>
      </c>
      <c r="AB126">
        <v>0</v>
      </c>
      <c r="AC126">
        <v>0</v>
      </c>
      <c r="AD126">
        <v>0</v>
      </c>
      <c r="AE126">
        <v>0</v>
      </c>
      <c r="AF126">
        <v>0</v>
      </c>
      <c r="AG126">
        <v>0</v>
      </c>
      <c r="AH126">
        <v>0</v>
      </c>
      <c r="AI126">
        <v>0</v>
      </c>
      <c r="AJ126">
        <v>0</v>
      </c>
      <c r="AK126">
        <v>0</v>
      </c>
      <c r="AL126">
        <v>0</v>
      </c>
      <c r="AM126">
        <v>0</v>
      </c>
      <c r="AN126">
        <v>16</v>
      </c>
      <c r="AP126" t="s">
        <v>1031</v>
      </c>
      <c r="AS126" t="s">
        <v>1250</v>
      </c>
      <c r="AV126" t="s">
        <v>1031</v>
      </c>
      <c r="AW126" t="s">
        <v>1250</v>
      </c>
      <c r="AX126">
        <v>0</v>
      </c>
      <c r="AY126">
        <v>0</v>
      </c>
      <c r="AZ126" t="s">
        <v>282</v>
      </c>
      <c r="BA126" t="s">
        <v>282</v>
      </c>
      <c r="BB126" t="s">
        <v>1197</v>
      </c>
      <c r="BC126">
        <v>1</v>
      </c>
    </row>
    <row r="127" spans="1:55" x14ac:dyDescent="0.25">
      <c r="A127" t="s">
        <v>99</v>
      </c>
      <c r="B127">
        <v>17</v>
      </c>
      <c r="C127" t="s">
        <v>1088</v>
      </c>
      <c r="D127" s="158">
        <v>45199</v>
      </c>
      <c r="E127">
        <v>622670</v>
      </c>
      <c r="F127">
        <v>10384138</v>
      </c>
      <c r="G127">
        <v>53862445</v>
      </c>
      <c r="H127" t="b">
        <v>0</v>
      </c>
      <c r="I127">
        <v>15</v>
      </c>
      <c r="J127" t="s">
        <v>1198</v>
      </c>
      <c r="K127">
        <v>85</v>
      </c>
      <c r="L127">
        <v>85</v>
      </c>
      <c r="M127">
        <v>1</v>
      </c>
      <c r="N127">
        <v>0</v>
      </c>
      <c r="O127">
        <v>0</v>
      </c>
      <c r="P127">
        <v>0</v>
      </c>
      <c r="Q127">
        <v>0</v>
      </c>
      <c r="R127">
        <v>0</v>
      </c>
      <c r="T127">
        <v>85</v>
      </c>
      <c r="U127">
        <v>0</v>
      </c>
      <c r="V127">
        <v>0</v>
      </c>
      <c r="W127">
        <v>0</v>
      </c>
      <c r="X127">
        <v>0</v>
      </c>
      <c r="Y127">
        <v>0</v>
      </c>
      <c r="Z127">
        <v>0</v>
      </c>
      <c r="AA127">
        <v>0</v>
      </c>
      <c r="AB127">
        <v>0</v>
      </c>
      <c r="AC127">
        <v>0</v>
      </c>
      <c r="AD127">
        <v>0</v>
      </c>
      <c r="AE127">
        <v>0</v>
      </c>
      <c r="AF127">
        <v>0</v>
      </c>
      <c r="AG127">
        <v>0</v>
      </c>
      <c r="AH127">
        <v>0</v>
      </c>
      <c r="AI127">
        <v>0</v>
      </c>
      <c r="AJ127">
        <v>0</v>
      </c>
      <c r="AK127">
        <v>0</v>
      </c>
      <c r="AL127">
        <v>0</v>
      </c>
      <c r="AM127">
        <v>0</v>
      </c>
      <c r="AN127">
        <v>85</v>
      </c>
      <c r="AP127" t="s">
        <v>1031</v>
      </c>
      <c r="AS127" t="s">
        <v>1250</v>
      </c>
      <c r="AV127" t="s">
        <v>1031</v>
      </c>
      <c r="AW127" t="s">
        <v>1250</v>
      </c>
      <c r="AX127">
        <v>0</v>
      </c>
      <c r="AY127">
        <v>0</v>
      </c>
      <c r="AZ127" t="s">
        <v>282</v>
      </c>
      <c r="BA127" t="s">
        <v>282</v>
      </c>
      <c r="BB127" t="s">
        <v>1197</v>
      </c>
      <c r="BC127">
        <v>1</v>
      </c>
    </row>
    <row r="128" spans="1:55" x14ac:dyDescent="0.25">
      <c r="A128" t="s">
        <v>99</v>
      </c>
      <c r="B128">
        <v>17</v>
      </c>
      <c r="C128" t="s">
        <v>1088</v>
      </c>
      <c r="D128" s="158">
        <v>45199</v>
      </c>
      <c r="E128">
        <v>615291</v>
      </c>
      <c r="F128">
        <v>10244373</v>
      </c>
      <c r="G128">
        <v>52963855</v>
      </c>
      <c r="H128" t="b">
        <v>0</v>
      </c>
      <c r="I128">
        <v>44</v>
      </c>
      <c r="J128" t="s">
        <v>1187</v>
      </c>
      <c r="K128">
        <v>109.5</v>
      </c>
      <c r="L128">
        <v>109.5</v>
      </c>
      <c r="M128">
        <v>1</v>
      </c>
      <c r="N128">
        <v>0</v>
      </c>
      <c r="O128">
        <v>0</v>
      </c>
      <c r="P128">
        <v>0</v>
      </c>
      <c r="Q128">
        <v>0</v>
      </c>
      <c r="R128">
        <v>0</v>
      </c>
      <c r="T128">
        <v>109.5</v>
      </c>
      <c r="U128">
        <v>0</v>
      </c>
      <c r="V128">
        <v>0</v>
      </c>
      <c r="W128">
        <v>0</v>
      </c>
      <c r="X128">
        <v>0</v>
      </c>
      <c r="Y128">
        <v>0</v>
      </c>
      <c r="Z128">
        <v>0</v>
      </c>
      <c r="AA128">
        <v>0</v>
      </c>
      <c r="AB128">
        <v>0</v>
      </c>
      <c r="AC128">
        <v>0</v>
      </c>
      <c r="AD128">
        <v>0</v>
      </c>
      <c r="AE128">
        <v>0</v>
      </c>
      <c r="AF128">
        <v>0</v>
      </c>
      <c r="AG128">
        <v>0</v>
      </c>
      <c r="AH128">
        <v>0</v>
      </c>
      <c r="AI128">
        <v>0</v>
      </c>
      <c r="AJ128">
        <v>0</v>
      </c>
      <c r="AK128">
        <v>0</v>
      </c>
      <c r="AL128">
        <v>0</v>
      </c>
      <c r="AM128">
        <v>0</v>
      </c>
      <c r="AN128">
        <v>109.5</v>
      </c>
      <c r="AP128" t="s">
        <v>1031</v>
      </c>
      <c r="AS128" t="s">
        <v>1193</v>
      </c>
      <c r="AV128" t="s">
        <v>1031</v>
      </c>
      <c r="AW128" t="s">
        <v>1193</v>
      </c>
      <c r="AX128">
        <v>0</v>
      </c>
      <c r="AY128">
        <v>0</v>
      </c>
      <c r="AZ128" t="s">
        <v>282</v>
      </c>
      <c r="BA128" t="s">
        <v>282</v>
      </c>
      <c r="BB128" t="s">
        <v>1191</v>
      </c>
      <c r="BC128">
        <v>2</v>
      </c>
    </row>
    <row r="129" spans="1:55" x14ac:dyDescent="0.25">
      <c r="A129" t="s">
        <v>99</v>
      </c>
      <c r="B129">
        <v>17</v>
      </c>
      <c r="C129" t="s">
        <v>1088</v>
      </c>
      <c r="D129" s="158">
        <v>45199</v>
      </c>
      <c r="E129">
        <v>432044</v>
      </c>
      <c r="F129">
        <v>9076490</v>
      </c>
      <c r="G129">
        <v>46078019</v>
      </c>
      <c r="H129" t="b">
        <v>0</v>
      </c>
      <c r="I129">
        <v>270</v>
      </c>
      <c r="J129" t="s">
        <v>1189</v>
      </c>
      <c r="K129">
        <v>15</v>
      </c>
      <c r="L129">
        <v>7.5</v>
      </c>
      <c r="M129">
        <v>2</v>
      </c>
      <c r="N129">
        <v>0</v>
      </c>
      <c r="O129">
        <v>0</v>
      </c>
      <c r="P129">
        <v>0</v>
      </c>
      <c r="Q129">
        <v>0</v>
      </c>
      <c r="R129">
        <v>0</v>
      </c>
      <c r="T129">
        <v>15</v>
      </c>
      <c r="U129">
        <v>0</v>
      </c>
      <c r="V129">
        <v>2</v>
      </c>
      <c r="W129">
        <v>30</v>
      </c>
      <c r="X129">
        <v>0</v>
      </c>
      <c r="Y129">
        <v>0</v>
      </c>
      <c r="Z129">
        <v>0</v>
      </c>
      <c r="AA129">
        <v>0</v>
      </c>
      <c r="AB129">
        <v>0</v>
      </c>
      <c r="AC129">
        <v>0</v>
      </c>
      <c r="AD129">
        <v>0</v>
      </c>
      <c r="AE129">
        <v>0</v>
      </c>
      <c r="AF129">
        <v>0</v>
      </c>
      <c r="AG129">
        <v>0</v>
      </c>
      <c r="AH129">
        <v>0</v>
      </c>
      <c r="AI129">
        <v>0</v>
      </c>
      <c r="AJ129">
        <v>0</v>
      </c>
      <c r="AK129">
        <v>0</v>
      </c>
      <c r="AL129">
        <v>0</v>
      </c>
      <c r="AM129">
        <v>0</v>
      </c>
      <c r="AN129">
        <v>-15</v>
      </c>
      <c r="AP129" t="s">
        <v>1031</v>
      </c>
      <c r="AS129" t="s">
        <v>1190</v>
      </c>
      <c r="AV129" t="s">
        <v>1031</v>
      </c>
      <c r="AW129" t="s">
        <v>1190</v>
      </c>
      <c r="AX129">
        <v>0</v>
      </c>
      <c r="AY129">
        <v>0</v>
      </c>
      <c r="AZ129" t="s">
        <v>282</v>
      </c>
      <c r="BA129" t="s">
        <v>282</v>
      </c>
      <c r="BB129" t="s">
        <v>1204</v>
      </c>
      <c r="BC129">
        <v>7</v>
      </c>
    </row>
    <row r="130" spans="1:55" x14ac:dyDescent="0.25">
      <c r="A130" t="s">
        <v>99</v>
      </c>
      <c r="B130">
        <v>17</v>
      </c>
      <c r="C130" t="s">
        <v>1088</v>
      </c>
      <c r="D130" s="158">
        <v>45199</v>
      </c>
      <c r="E130">
        <v>432044</v>
      </c>
      <c r="F130">
        <v>9076490</v>
      </c>
      <c r="G130">
        <v>46078021</v>
      </c>
      <c r="H130" t="b">
        <v>0</v>
      </c>
      <c r="I130">
        <v>270</v>
      </c>
      <c r="J130" t="s">
        <v>1192</v>
      </c>
      <c r="K130">
        <v>15</v>
      </c>
      <c r="L130">
        <v>15</v>
      </c>
      <c r="M130">
        <v>1</v>
      </c>
      <c r="N130">
        <v>0</v>
      </c>
      <c r="O130">
        <v>0</v>
      </c>
      <c r="P130">
        <v>0</v>
      </c>
      <c r="Q130">
        <v>0</v>
      </c>
      <c r="R130">
        <v>0</v>
      </c>
      <c r="T130">
        <v>15</v>
      </c>
      <c r="U130">
        <v>0</v>
      </c>
      <c r="V130">
        <v>2</v>
      </c>
      <c r="W130">
        <v>30</v>
      </c>
      <c r="X130">
        <v>0</v>
      </c>
      <c r="Y130">
        <v>0</v>
      </c>
      <c r="Z130">
        <v>0</v>
      </c>
      <c r="AA130">
        <v>0</v>
      </c>
      <c r="AB130">
        <v>0</v>
      </c>
      <c r="AC130">
        <v>0</v>
      </c>
      <c r="AD130">
        <v>0</v>
      </c>
      <c r="AE130">
        <v>0</v>
      </c>
      <c r="AF130">
        <v>0</v>
      </c>
      <c r="AG130">
        <v>0</v>
      </c>
      <c r="AH130">
        <v>0</v>
      </c>
      <c r="AI130">
        <v>0</v>
      </c>
      <c r="AJ130">
        <v>0</v>
      </c>
      <c r="AK130">
        <v>0</v>
      </c>
      <c r="AL130">
        <v>0</v>
      </c>
      <c r="AM130">
        <v>0</v>
      </c>
      <c r="AN130">
        <v>-15</v>
      </c>
      <c r="AP130" t="s">
        <v>1031</v>
      </c>
      <c r="AS130" t="s">
        <v>1190</v>
      </c>
      <c r="AV130" t="s">
        <v>1031</v>
      </c>
      <c r="AW130" t="s">
        <v>1190</v>
      </c>
      <c r="AX130">
        <v>0</v>
      </c>
      <c r="AY130">
        <v>0</v>
      </c>
      <c r="AZ130" t="s">
        <v>282</v>
      </c>
      <c r="BA130" t="s">
        <v>282</v>
      </c>
      <c r="BB130" t="s">
        <v>1204</v>
      </c>
      <c r="BC130">
        <v>7</v>
      </c>
    </row>
    <row r="131" spans="1:55" x14ac:dyDescent="0.25">
      <c r="A131" t="s">
        <v>99</v>
      </c>
      <c r="B131">
        <v>17</v>
      </c>
      <c r="C131" t="s">
        <v>1088</v>
      </c>
      <c r="D131" s="158">
        <v>45199</v>
      </c>
      <c r="E131">
        <v>623625</v>
      </c>
      <c r="F131">
        <v>10402569</v>
      </c>
      <c r="G131">
        <v>53963760</v>
      </c>
      <c r="H131" t="b">
        <v>0</v>
      </c>
      <c r="I131">
        <v>10</v>
      </c>
      <c r="J131" t="s">
        <v>1249</v>
      </c>
      <c r="K131">
        <v>15</v>
      </c>
      <c r="L131">
        <v>7.5</v>
      </c>
      <c r="M131">
        <v>2</v>
      </c>
      <c r="N131">
        <v>0</v>
      </c>
      <c r="O131">
        <v>0</v>
      </c>
      <c r="P131">
        <v>0</v>
      </c>
      <c r="Q131">
        <v>0</v>
      </c>
      <c r="R131">
        <v>0</v>
      </c>
      <c r="T131">
        <v>15</v>
      </c>
      <c r="U131">
        <v>0</v>
      </c>
      <c r="V131">
        <v>0</v>
      </c>
      <c r="W131">
        <v>0</v>
      </c>
      <c r="X131">
        <v>0</v>
      </c>
      <c r="Y131">
        <v>0</v>
      </c>
      <c r="Z131">
        <v>0</v>
      </c>
      <c r="AA131">
        <v>0</v>
      </c>
      <c r="AB131">
        <v>0</v>
      </c>
      <c r="AC131">
        <v>0</v>
      </c>
      <c r="AD131">
        <v>0</v>
      </c>
      <c r="AE131">
        <v>0</v>
      </c>
      <c r="AF131">
        <v>0</v>
      </c>
      <c r="AG131">
        <v>0</v>
      </c>
      <c r="AH131">
        <v>0</v>
      </c>
      <c r="AI131">
        <v>0</v>
      </c>
      <c r="AJ131">
        <v>0</v>
      </c>
      <c r="AK131">
        <v>0</v>
      </c>
      <c r="AL131">
        <v>0</v>
      </c>
      <c r="AM131">
        <v>0</v>
      </c>
      <c r="AN131">
        <v>15</v>
      </c>
      <c r="AP131" t="s">
        <v>1031</v>
      </c>
      <c r="AS131" t="s">
        <v>1250</v>
      </c>
      <c r="AV131" t="s">
        <v>1031</v>
      </c>
      <c r="AW131" t="s">
        <v>1250</v>
      </c>
      <c r="AX131">
        <v>0</v>
      </c>
      <c r="AY131">
        <v>0</v>
      </c>
      <c r="AZ131" t="s">
        <v>282</v>
      </c>
      <c r="BA131" t="s">
        <v>282</v>
      </c>
      <c r="BB131" t="s">
        <v>1197</v>
      </c>
      <c r="BC131">
        <v>1</v>
      </c>
    </row>
    <row r="132" spans="1:55" x14ac:dyDescent="0.25">
      <c r="A132" t="s">
        <v>99</v>
      </c>
      <c r="B132">
        <v>17</v>
      </c>
      <c r="C132" t="s">
        <v>1088</v>
      </c>
      <c r="D132" s="158">
        <v>45199</v>
      </c>
      <c r="E132">
        <v>623625</v>
      </c>
      <c r="F132">
        <v>10402569</v>
      </c>
      <c r="G132">
        <v>53963764</v>
      </c>
      <c r="H132" t="b">
        <v>0</v>
      </c>
      <c r="I132">
        <v>10</v>
      </c>
      <c r="J132" t="s">
        <v>1229</v>
      </c>
      <c r="K132">
        <v>16</v>
      </c>
      <c r="L132">
        <v>8</v>
      </c>
      <c r="M132">
        <v>2</v>
      </c>
      <c r="N132">
        <v>0</v>
      </c>
      <c r="O132">
        <v>0</v>
      </c>
      <c r="P132">
        <v>0</v>
      </c>
      <c r="Q132">
        <v>0</v>
      </c>
      <c r="R132">
        <v>0</v>
      </c>
      <c r="T132">
        <v>16</v>
      </c>
      <c r="U132">
        <v>0</v>
      </c>
      <c r="V132">
        <v>0</v>
      </c>
      <c r="W132">
        <v>0</v>
      </c>
      <c r="X132">
        <v>0</v>
      </c>
      <c r="Y132">
        <v>0</v>
      </c>
      <c r="Z132">
        <v>0</v>
      </c>
      <c r="AA132">
        <v>0</v>
      </c>
      <c r="AB132">
        <v>0</v>
      </c>
      <c r="AC132">
        <v>0</v>
      </c>
      <c r="AD132">
        <v>0</v>
      </c>
      <c r="AE132">
        <v>0</v>
      </c>
      <c r="AF132">
        <v>0</v>
      </c>
      <c r="AG132">
        <v>0</v>
      </c>
      <c r="AH132">
        <v>0</v>
      </c>
      <c r="AI132">
        <v>0</v>
      </c>
      <c r="AJ132">
        <v>0</v>
      </c>
      <c r="AK132">
        <v>0</v>
      </c>
      <c r="AL132">
        <v>0</v>
      </c>
      <c r="AM132">
        <v>0</v>
      </c>
      <c r="AN132">
        <v>16</v>
      </c>
      <c r="AP132" t="s">
        <v>1031</v>
      </c>
      <c r="AS132" t="s">
        <v>1250</v>
      </c>
      <c r="AV132" t="s">
        <v>1031</v>
      </c>
      <c r="AW132" t="s">
        <v>1250</v>
      </c>
      <c r="AX132">
        <v>0</v>
      </c>
      <c r="AY132">
        <v>0</v>
      </c>
      <c r="AZ132" t="s">
        <v>282</v>
      </c>
      <c r="BA132" t="s">
        <v>282</v>
      </c>
      <c r="BB132" t="s">
        <v>1197</v>
      </c>
      <c r="BC132">
        <v>1</v>
      </c>
    </row>
    <row r="133" spans="1:55" x14ac:dyDescent="0.25">
      <c r="A133" t="s">
        <v>99</v>
      </c>
      <c r="B133">
        <v>17</v>
      </c>
      <c r="C133" t="s">
        <v>1088</v>
      </c>
      <c r="D133" s="158">
        <v>45199</v>
      </c>
      <c r="E133">
        <v>624094</v>
      </c>
      <c r="F133">
        <v>10411263</v>
      </c>
      <c r="G133">
        <v>53997178</v>
      </c>
      <c r="H133" t="b">
        <v>0</v>
      </c>
      <c r="I133">
        <v>15</v>
      </c>
      <c r="J133" t="s">
        <v>1194</v>
      </c>
      <c r="K133">
        <v>121.5</v>
      </c>
      <c r="L133">
        <v>121.5</v>
      </c>
      <c r="M133">
        <v>1</v>
      </c>
      <c r="N133">
        <v>0</v>
      </c>
      <c r="O133">
        <v>0</v>
      </c>
      <c r="P133">
        <v>0</v>
      </c>
      <c r="Q133">
        <v>0</v>
      </c>
      <c r="R133">
        <v>0</v>
      </c>
      <c r="T133">
        <v>121.5</v>
      </c>
      <c r="U133">
        <v>0</v>
      </c>
      <c r="V133">
        <v>0</v>
      </c>
      <c r="W133">
        <v>0</v>
      </c>
      <c r="X133">
        <v>0</v>
      </c>
      <c r="Y133">
        <v>0</v>
      </c>
      <c r="Z133">
        <v>0</v>
      </c>
      <c r="AA133">
        <v>0</v>
      </c>
      <c r="AB133">
        <v>0</v>
      </c>
      <c r="AC133">
        <v>0</v>
      </c>
      <c r="AD133">
        <v>0</v>
      </c>
      <c r="AE133">
        <v>0</v>
      </c>
      <c r="AF133">
        <v>0</v>
      </c>
      <c r="AG133">
        <v>0</v>
      </c>
      <c r="AH133">
        <v>0</v>
      </c>
      <c r="AI133">
        <v>0</v>
      </c>
      <c r="AJ133">
        <v>0</v>
      </c>
      <c r="AK133">
        <v>0</v>
      </c>
      <c r="AL133">
        <v>0</v>
      </c>
      <c r="AM133">
        <v>0</v>
      </c>
      <c r="AN133">
        <v>121.5</v>
      </c>
      <c r="AP133" t="s">
        <v>1031</v>
      </c>
      <c r="AS133" t="s">
        <v>1195</v>
      </c>
      <c r="AV133" t="s">
        <v>1031</v>
      </c>
      <c r="AW133" t="s">
        <v>1195</v>
      </c>
      <c r="AX133">
        <v>0</v>
      </c>
      <c r="AY133">
        <v>0</v>
      </c>
      <c r="AZ133" t="s">
        <v>282</v>
      </c>
      <c r="BA133" t="s">
        <v>282</v>
      </c>
      <c r="BB133" t="s">
        <v>1197</v>
      </c>
      <c r="BC133">
        <v>1</v>
      </c>
    </row>
    <row r="134" spans="1:55" x14ac:dyDescent="0.25">
      <c r="A134" t="s">
        <v>99</v>
      </c>
      <c r="B134">
        <v>17</v>
      </c>
      <c r="C134" t="s">
        <v>1088</v>
      </c>
      <c r="D134" s="158">
        <v>45199</v>
      </c>
      <c r="E134">
        <v>623018</v>
      </c>
      <c r="F134">
        <v>10389922</v>
      </c>
      <c r="G134">
        <v>53907971</v>
      </c>
      <c r="H134" t="b">
        <v>0</v>
      </c>
      <c r="I134">
        <v>12</v>
      </c>
      <c r="J134" t="s">
        <v>1249</v>
      </c>
      <c r="K134">
        <v>15</v>
      </c>
      <c r="L134">
        <v>7.5</v>
      </c>
      <c r="M134">
        <v>2</v>
      </c>
      <c r="N134">
        <v>0</v>
      </c>
      <c r="O134">
        <v>0</v>
      </c>
      <c r="P134">
        <v>0</v>
      </c>
      <c r="Q134">
        <v>0</v>
      </c>
      <c r="R134">
        <v>0</v>
      </c>
      <c r="T134">
        <v>15</v>
      </c>
      <c r="U134">
        <v>0</v>
      </c>
      <c r="V134">
        <v>0</v>
      </c>
      <c r="W134">
        <v>0</v>
      </c>
      <c r="X134">
        <v>0</v>
      </c>
      <c r="Y134">
        <v>0</v>
      </c>
      <c r="Z134">
        <v>0</v>
      </c>
      <c r="AA134">
        <v>0</v>
      </c>
      <c r="AB134">
        <v>0</v>
      </c>
      <c r="AC134">
        <v>0</v>
      </c>
      <c r="AD134">
        <v>0</v>
      </c>
      <c r="AE134">
        <v>0</v>
      </c>
      <c r="AF134">
        <v>0</v>
      </c>
      <c r="AG134">
        <v>0</v>
      </c>
      <c r="AH134">
        <v>0</v>
      </c>
      <c r="AI134">
        <v>0</v>
      </c>
      <c r="AJ134">
        <v>0</v>
      </c>
      <c r="AK134">
        <v>0</v>
      </c>
      <c r="AL134">
        <v>0</v>
      </c>
      <c r="AM134">
        <v>0</v>
      </c>
      <c r="AN134">
        <v>15</v>
      </c>
      <c r="AP134" t="s">
        <v>1031</v>
      </c>
      <c r="AS134" t="s">
        <v>1230</v>
      </c>
      <c r="AV134" t="s">
        <v>1031</v>
      </c>
      <c r="AW134" t="s">
        <v>1230</v>
      </c>
      <c r="AX134">
        <v>0</v>
      </c>
      <c r="AY134">
        <v>0</v>
      </c>
      <c r="AZ134" t="s">
        <v>282</v>
      </c>
      <c r="BA134" t="s">
        <v>282</v>
      </c>
      <c r="BB134" t="s">
        <v>1197</v>
      </c>
      <c r="BC134">
        <v>1</v>
      </c>
    </row>
    <row r="135" spans="1:55" x14ac:dyDescent="0.25">
      <c r="A135" t="s">
        <v>99</v>
      </c>
      <c r="B135">
        <v>17</v>
      </c>
      <c r="C135" t="s">
        <v>1088</v>
      </c>
      <c r="D135" s="158">
        <v>45199</v>
      </c>
      <c r="E135">
        <v>624425</v>
      </c>
      <c r="F135">
        <v>10417817</v>
      </c>
      <c r="G135">
        <v>54042137</v>
      </c>
      <c r="H135" t="b">
        <v>0</v>
      </c>
      <c r="I135">
        <v>8</v>
      </c>
      <c r="J135" t="s">
        <v>1234</v>
      </c>
      <c r="K135">
        <v>8</v>
      </c>
      <c r="L135">
        <v>4</v>
      </c>
      <c r="M135">
        <v>2</v>
      </c>
      <c r="N135">
        <v>0</v>
      </c>
      <c r="O135">
        <v>0</v>
      </c>
      <c r="P135">
        <v>0</v>
      </c>
      <c r="Q135">
        <v>0</v>
      </c>
      <c r="R135">
        <v>0</v>
      </c>
      <c r="T135">
        <v>8</v>
      </c>
      <c r="U135">
        <v>0</v>
      </c>
      <c r="V135">
        <v>0</v>
      </c>
      <c r="W135">
        <v>0</v>
      </c>
      <c r="X135">
        <v>0</v>
      </c>
      <c r="Y135">
        <v>0</v>
      </c>
      <c r="Z135">
        <v>0</v>
      </c>
      <c r="AA135">
        <v>0</v>
      </c>
      <c r="AB135">
        <v>0</v>
      </c>
      <c r="AC135">
        <v>0</v>
      </c>
      <c r="AD135">
        <v>0</v>
      </c>
      <c r="AE135">
        <v>0</v>
      </c>
      <c r="AF135">
        <v>0</v>
      </c>
      <c r="AG135">
        <v>0</v>
      </c>
      <c r="AH135">
        <v>0</v>
      </c>
      <c r="AI135">
        <v>0</v>
      </c>
      <c r="AJ135">
        <v>0</v>
      </c>
      <c r="AK135">
        <v>0</v>
      </c>
      <c r="AL135">
        <v>0</v>
      </c>
      <c r="AM135">
        <v>0</v>
      </c>
      <c r="AN135">
        <v>8</v>
      </c>
      <c r="AP135" t="s">
        <v>1031</v>
      </c>
      <c r="AS135" t="s">
        <v>1250</v>
      </c>
      <c r="AV135" t="s">
        <v>1031</v>
      </c>
      <c r="AW135" t="s">
        <v>1250</v>
      </c>
      <c r="AX135">
        <v>0</v>
      </c>
      <c r="AY135">
        <v>0</v>
      </c>
      <c r="AZ135" t="s">
        <v>282</v>
      </c>
      <c r="BA135" t="s">
        <v>282</v>
      </c>
      <c r="BB135" t="s">
        <v>1197</v>
      </c>
      <c r="BC135">
        <v>1</v>
      </c>
    </row>
    <row r="136" spans="1:55" x14ac:dyDescent="0.25">
      <c r="A136" t="s">
        <v>99</v>
      </c>
      <c r="B136">
        <v>17</v>
      </c>
      <c r="C136" t="s">
        <v>1088</v>
      </c>
      <c r="D136" s="158">
        <v>45199</v>
      </c>
      <c r="E136">
        <v>325681</v>
      </c>
      <c r="F136">
        <v>8803104</v>
      </c>
      <c r="G136">
        <v>44640637</v>
      </c>
      <c r="H136" t="b">
        <v>0</v>
      </c>
      <c r="I136">
        <v>331</v>
      </c>
      <c r="J136" t="s">
        <v>1187</v>
      </c>
      <c r="K136">
        <v>150</v>
      </c>
      <c r="L136">
        <v>150</v>
      </c>
      <c r="M136">
        <v>1</v>
      </c>
      <c r="N136">
        <v>0</v>
      </c>
      <c r="O136">
        <v>14.22</v>
      </c>
      <c r="P136">
        <v>0</v>
      </c>
      <c r="Q136">
        <v>14.22</v>
      </c>
      <c r="R136">
        <v>0</v>
      </c>
      <c r="T136">
        <v>150</v>
      </c>
      <c r="U136">
        <v>0</v>
      </c>
      <c r="V136">
        <v>2</v>
      </c>
      <c r="W136">
        <v>142.16</v>
      </c>
      <c r="X136">
        <v>7.84</v>
      </c>
      <c r="Y136">
        <v>0</v>
      </c>
      <c r="Z136">
        <v>0</v>
      </c>
      <c r="AA136">
        <v>0</v>
      </c>
      <c r="AB136">
        <v>0</v>
      </c>
      <c r="AC136">
        <v>0</v>
      </c>
      <c r="AD136">
        <v>0</v>
      </c>
      <c r="AE136">
        <v>0</v>
      </c>
      <c r="AF136">
        <v>0</v>
      </c>
      <c r="AG136">
        <v>0</v>
      </c>
      <c r="AH136">
        <v>0</v>
      </c>
      <c r="AI136">
        <v>0</v>
      </c>
      <c r="AJ136">
        <v>0</v>
      </c>
      <c r="AK136">
        <v>0</v>
      </c>
      <c r="AL136">
        <v>0</v>
      </c>
      <c r="AM136">
        <v>0</v>
      </c>
      <c r="AN136">
        <v>-14.22</v>
      </c>
      <c r="AP136" t="s">
        <v>1091</v>
      </c>
      <c r="AS136" t="s">
        <v>1185</v>
      </c>
      <c r="AV136" t="s">
        <v>1091</v>
      </c>
      <c r="AW136" t="s">
        <v>1185</v>
      </c>
      <c r="AX136">
        <v>0</v>
      </c>
      <c r="AY136">
        <v>0</v>
      </c>
      <c r="AZ136" t="s">
        <v>282</v>
      </c>
      <c r="BA136" t="s">
        <v>282</v>
      </c>
      <c r="BB136" t="s">
        <v>1204</v>
      </c>
      <c r="BC136">
        <v>7</v>
      </c>
    </row>
    <row r="137" spans="1:55" x14ac:dyDescent="0.25">
      <c r="A137" t="s">
        <v>99</v>
      </c>
      <c r="B137">
        <v>17</v>
      </c>
      <c r="C137" t="s">
        <v>1088</v>
      </c>
      <c r="D137" s="158">
        <v>45199</v>
      </c>
      <c r="E137">
        <v>610335</v>
      </c>
      <c r="F137">
        <v>10145874</v>
      </c>
      <c r="G137">
        <v>52399002</v>
      </c>
      <c r="H137" t="b">
        <v>0</v>
      </c>
      <c r="I137">
        <v>60</v>
      </c>
      <c r="J137" t="s">
        <v>1192</v>
      </c>
      <c r="K137">
        <v>15</v>
      </c>
      <c r="L137">
        <v>15</v>
      </c>
      <c r="M137">
        <v>1</v>
      </c>
      <c r="N137">
        <v>0</v>
      </c>
      <c r="O137">
        <v>0</v>
      </c>
      <c r="P137">
        <v>0</v>
      </c>
      <c r="Q137">
        <v>0</v>
      </c>
      <c r="R137">
        <v>0</v>
      </c>
      <c r="T137">
        <v>15</v>
      </c>
      <c r="U137">
        <v>0</v>
      </c>
      <c r="V137">
        <v>0</v>
      </c>
      <c r="W137">
        <v>0</v>
      </c>
      <c r="X137">
        <v>0</v>
      </c>
      <c r="Y137">
        <v>0</v>
      </c>
      <c r="Z137">
        <v>0</v>
      </c>
      <c r="AA137">
        <v>0</v>
      </c>
      <c r="AB137">
        <v>0</v>
      </c>
      <c r="AC137">
        <v>0</v>
      </c>
      <c r="AD137">
        <v>0</v>
      </c>
      <c r="AE137">
        <v>0</v>
      </c>
      <c r="AF137">
        <v>0</v>
      </c>
      <c r="AG137">
        <v>0</v>
      </c>
      <c r="AH137">
        <v>0</v>
      </c>
      <c r="AI137">
        <v>0</v>
      </c>
      <c r="AJ137">
        <v>0</v>
      </c>
      <c r="AK137">
        <v>0</v>
      </c>
      <c r="AL137">
        <v>0</v>
      </c>
      <c r="AM137">
        <v>0</v>
      </c>
      <c r="AN137">
        <v>15</v>
      </c>
      <c r="AP137" t="s">
        <v>1031</v>
      </c>
      <c r="AS137" t="s">
        <v>1252</v>
      </c>
      <c r="AV137" t="s">
        <v>1031</v>
      </c>
      <c r="AW137" t="s">
        <v>1252</v>
      </c>
      <c r="AX137">
        <v>0</v>
      </c>
      <c r="AY137">
        <v>0</v>
      </c>
      <c r="AZ137" t="s">
        <v>282</v>
      </c>
      <c r="BA137" t="s">
        <v>282</v>
      </c>
      <c r="BB137" t="s">
        <v>1191</v>
      </c>
      <c r="BC137">
        <v>2</v>
      </c>
    </row>
    <row r="138" spans="1:55" x14ac:dyDescent="0.25">
      <c r="A138" t="s">
        <v>99</v>
      </c>
      <c r="B138">
        <v>17</v>
      </c>
      <c r="C138" t="s">
        <v>1088</v>
      </c>
      <c r="D138" s="158">
        <v>45199</v>
      </c>
      <c r="E138">
        <v>626219</v>
      </c>
      <c r="F138">
        <v>10454296</v>
      </c>
      <c r="G138">
        <v>54285532</v>
      </c>
      <c r="H138" t="b">
        <v>0</v>
      </c>
      <c r="I138">
        <v>1</v>
      </c>
      <c r="J138" t="s">
        <v>1271</v>
      </c>
      <c r="K138">
        <v>6</v>
      </c>
      <c r="L138">
        <v>6</v>
      </c>
      <c r="M138">
        <v>1</v>
      </c>
      <c r="N138">
        <v>0</v>
      </c>
      <c r="O138">
        <v>0</v>
      </c>
      <c r="P138">
        <v>0</v>
      </c>
      <c r="Q138">
        <v>0</v>
      </c>
      <c r="R138">
        <v>0</v>
      </c>
      <c r="T138">
        <v>6</v>
      </c>
      <c r="U138">
        <v>0</v>
      </c>
      <c r="V138">
        <v>0</v>
      </c>
      <c r="W138">
        <v>0</v>
      </c>
      <c r="X138">
        <v>0</v>
      </c>
      <c r="Y138">
        <v>0</v>
      </c>
      <c r="Z138">
        <v>0</v>
      </c>
      <c r="AA138">
        <v>0</v>
      </c>
      <c r="AB138">
        <v>0</v>
      </c>
      <c r="AC138">
        <v>0</v>
      </c>
      <c r="AD138">
        <v>0</v>
      </c>
      <c r="AE138">
        <v>0</v>
      </c>
      <c r="AF138">
        <v>0</v>
      </c>
      <c r="AG138">
        <v>0</v>
      </c>
      <c r="AH138">
        <v>0</v>
      </c>
      <c r="AI138">
        <v>0</v>
      </c>
      <c r="AJ138">
        <v>0</v>
      </c>
      <c r="AK138">
        <v>0</v>
      </c>
      <c r="AL138">
        <v>0</v>
      </c>
      <c r="AM138">
        <v>0</v>
      </c>
      <c r="AN138">
        <v>6</v>
      </c>
      <c r="AP138" t="s">
        <v>1031</v>
      </c>
      <c r="AS138" t="s">
        <v>1230</v>
      </c>
      <c r="AV138" t="s">
        <v>1031</v>
      </c>
      <c r="AW138" t="s">
        <v>1230</v>
      </c>
      <c r="AX138">
        <v>0</v>
      </c>
      <c r="AY138">
        <v>0</v>
      </c>
      <c r="AZ138" t="s">
        <v>282</v>
      </c>
      <c r="BA138" t="s">
        <v>282</v>
      </c>
      <c r="BB138" t="s">
        <v>1197</v>
      </c>
      <c r="BC138">
        <v>1</v>
      </c>
    </row>
    <row r="139" spans="1:55" x14ac:dyDescent="0.25">
      <c r="A139" t="s">
        <v>99</v>
      </c>
      <c r="B139">
        <v>17</v>
      </c>
      <c r="C139" t="s">
        <v>1088</v>
      </c>
      <c r="D139" s="158">
        <v>45199</v>
      </c>
      <c r="E139">
        <v>626219</v>
      </c>
      <c r="F139">
        <v>10454296</v>
      </c>
      <c r="G139">
        <v>54285570</v>
      </c>
      <c r="H139" t="b">
        <v>0</v>
      </c>
      <c r="I139">
        <v>1</v>
      </c>
      <c r="J139" t="s">
        <v>1192</v>
      </c>
      <c r="K139">
        <v>15</v>
      </c>
      <c r="L139">
        <v>15</v>
      </c>
      <c r="M139">
        <v>1</v>
      </c>
      <c r="N139">
        <v>0</v>
      </c>
      <c r="O139">
        <v>0</v>
      </c>
      <c r="P139">
        <v>0</v>
      </c>
      <c r="Q139">
        <v>0</v>
      </c>
      <c r="R139">
        <v>0</v>
      </c>
      <c r="T139">
        <v>15</v>
      </c>
      <c r="U139">
        <v>0</v>
      </c>
      <c r="V139">
        <v>0</v>
      </c>
      <c r="W139">
        <v>0</v>
      </c>
      <c r="X139">
        <v>0</v>
      </c>
      <c r="Y139">
        <v>0</v>
      </c>
      <c r="Z139">
        <v>0</v>
      </c>
      <c r="AA139">
        <v>0</v>
      </c>
      <c r="AB139">
        <v>0</v>
      </c>
      <c r="AC139">
        <v>0</v>
      </c>
      <c r="AD139">
        <v>0</v>
      </c>
      <c r="AE139">
        <v>0</v>
      </c>
      <c r="AF139">
        <v>0</v>
      </c>
      <c r="AG139">
        <v>0</v>
      </c>
      <c r="AH139">
        <v>0</v>
      </c>
      <c r="AI139">
        <v>0</v>
      </c>
      <c r="AJ139">
        <v>0</v>
      </c>
      <c r="AK139">
        <v>0</v>
      </c>
      <c r="AL139">
        <v>0</v>
      </c>
      <c r="AM139">
        <v>0</v>
      </c>
      <c r="AN139">
        <v>15</v>
      </c>
      <c r="AP139" t="s">
        <v>1031</v>
      </c>
      <c r="AS139" t="s">
        <v>1230</v>
      </c>
      <c r="AV139" t="s">
        <v>1031</v>
      </c>
      <c r="AW139" t="s">
        <v>1230</v>
      </c>
      <c r="AX139">
        <v>0</v>
      </c>
      <c r="AY139">
        <v>0</v>
      </c>
      <c r="AZ139" t="s">
        <v>282</v>
      </c>
      <c r="BA139" t="s">
        <v>282</v>
      </c>
      <c r="BB139" t="s">
        <v>1197</v>
      </c>
      <c r="BC139">
        <v>1</v>
      </c>
    </row>
    <row r="140" spans="1:55" x14ac:dyDescent="0.25">
      <c r="A140" t="s">
        <v>99</v>
      </c>
      <c r="B140">
        <v>17</v>
      </c>
      <c r="C140" t="s">
        <v>1088</v>
      </c>
      <c r="D140" s="158">
        <v>45199</v>
      </c>
      <c r="E140">
        <v>620378</v>
      </c>
      <c r="F140">
        <v>10339688</v>
      </c>
      <c r="G140">
        <v>53588950</v>
      </c>
      <c r="H140" t="b">
        <v>0</v>
      </c>
      <c r="I140">
        <v>23</v>
      </c>
      <c r="J140" t="s">
        <v>1240</v>
      </c>
      <c r="K140">
        <v>25</v>
      </c>
      <c r="L140">
        <v>12.5</v>
      </c>
      <c r="M140">
        <v>2</v>
      </c>
      <c r="N140">
        <v>0</v>
      </c>
      <c r="O140">
        <v>0</v>
      </c>
      <c r="P140">
        <v>0</v>
      </c>
      <c r="Q140">
        <v>0</v>
      </c>
      <c r="R140">
        <v>0</v>
      </c>
      <c r="T140">
        <v>25</v>
      </c>
      <c r="U140">
        <v>0</v>
      </c>
      <c r="V140">
        <v>0</v>
      </c>
      <c r="W140">
        <v>0</v>
      </c>
      <c r="X140">
        <v>0</v>
      </c>
      <c r="Y140">
        <v>0</v>
      </c>
      <c r="Z140">
        <v>0</v>
      </c>
      <c r="AA140">
        <v>0</v>
      </c>
      <c r="AB140">
        <v>0</v>
      </c>
      <c r="AC140">
        <v>0</v>
      </c>
      <c r="AD140">
        <v>0</v>
      </c>
      <c r="AE140">
        <v>0</v>
      </c>
      <c r="AF140">
        <v>0</v>
      </c>
      <c r="AG140">
        <v>0</v>
      </c>
      <c r="AH140">
        <v>0</v>
      </c>
      <c r="AI140">
        <v>0</v>
      </c>
      <c r="AJ140">
        <v>0</v>
      </c>
      <c r="AK140">
        <v>0</v>
      </c>
      <c r="AL140">
        <v>0</v>
      </c>
      <c r="AM140">
        <v>0</v>
      </c>
      <c r="AN140">
        <v>25</v>
      </c>
      <c r="AP140" t="s">
        <v>1031</v>
      </c>
      <c r="AS140" t="s">
        <v>1250</v>
      </c>
      <c r="AV140" t="s">
        <v>1031</v>
      </c>
      <c r="AW140" t="s">
        <v>1250</v>
      </c>
      <c r="AX140">
        <v>0</v>
      </c>
      <c r="AY140">
        <v>0</v>
      </c>
      <c r="AZ140" t="s">
        <v>282</v>
      </c>
      <c r="BA140" t="s">
        <v>282</v>
      </c>
      <c r="BB140" t="s">
        <v>1197</v>
      </c>
      <c r="BC140">
        <v>1</v>
      </c>
    </row>
    <row r="141" spans="1:55" x14ac:dyDescent="0.25">
      <c r="A141" t="s">
        <v>99</v>
      </c>
      <c r="B141">
        <v>17</v>
      </c>
      <c r="C141" t="s">
        <v>1088</v>
      </c>
      <c r="D141" s="158">
        <v>45199</v>
      </c>
      <c r="E141">
        <v>618342</v>
      </c>
      <c r="F141">
        <v>10302920</v>
      </c>
      <c r="G141">
        <v>53664398</v>
      </c>
      <c r="H141" t="b">
        <v>0</v>
      </c>
      <c r="I141">
        <v>22</v>
      </c>
      <c r="J141" t="s">
        <v>1187</v>
      </c>
      <c r="K141">
        <v>216</v>
      </c>
      <c r="L141">
        <v>216</v>
      </c>
      <c r="M141">
        <v>1</v>
      </c>
      <c r="N141">
        <v>0</v>
      </c>
      <c r="O141">
        <v>0</v>
      </c>
      <c r="P141">
        <v>0</v>
      </c>
      <c r="Q141">
        <v>0</v>
      </c>
      <c r="R141">
        <v>0</v>
      </c>
      <c r="T141">
        <v>216</v>
      </c>
      <c r="U141">
        <v>0</v>
      </c>
      <c r="V141">
        <v>0</v>
      </c>
      <c r="W141">
        <v>0</v>
      </c>
      <c r="X141">
        <v>0</v>
      </c>
      <c r="Y141">
        <v>0</v>
      </c>
      <c r="Z141">
        <v>0</v>
      </c>
      <c r="AA141">
        <v>0</v>
      </c>
      <c r="AB141">
        <v>0</v>
      </c>
      <c r="AC141">
        <v>0</v>
      </c>
      <c r="AD141">
        <v>0</v>
      </c>
      <c r="AE141">
        <v>0</v>
      </c>
      <c r="AF141">
        <v>0</v>
      </c>
      <c r="AG141">
        <v>0</v>
      </c>
      <c r="AH141">
        <v>0</v>
      </c>
      <c r="AI141">
        <v>0</v>
      </c>
      <c r="AJ141">
        <v>0</v>
      </c>
      <c r="AK141">
        <v>0</v>
      </c>
      <c r="AL141">
        <v>0</v>
      </c>
      <c r="AM141">
        <v>0</v>
      </c>
      <c r="AN141">
        <v>216</v>
      </c>
      <c r="AP141" t="s">
        <v>1091</v>
      </c>
      <c r="AS141" t="s">
        <v>1185</v>
      </c>
      <c r="AV141" t="s">
        <v>1091</v>
      </c>
      <c r="AW141" t="s">
        <v>1185</v>
      </c>
      <c r="AX141">
        <v>0</v>
      </c>
      <c r="AY141">
        <v>0</v>
      </c>
      <c r="AZ141" t="s">
        <v>282</v>
      </c>
      <c r="BA141" t="s">
        <v>282</v>
      </c>
      <c r="BB141" t="s">
        <v>1197</v>
      </c>
      <c r="BC141">
        <v>1</v>
      </c>
    </row>
    <row r="142" spans="1:55" x14ac:dyDescent="0.25">
      <c r="A142" t="s">
        <v>99</v>
      </c>
      <c r="B142">
        <v>17</v>
      </c>
      <c r="C142" t="s">
        <v>1088</v>
      </c>
      <c r="D142" s="158">
        <v>45199</v>
      </c>
      <c r="E142">
        <v>611625</v>
      </c>
      <c r="F142">
        <v>10167647</v>
      </c>
      <c r="G142">
        <v>52761564</v>
      </c>
      <c r="H142" t="b">
        <v>0</v>
      </c>
      <c r="I142">
        <v>50</v>
      </c>
      <c r="J142" t="s">
        <v>1187</v>
      </c>
      <c r="K142">
        <v>216</v>
      </c>
      <c r="L142">
        <v>216</v>
      </c>
      <c r="M142">
        <v>1</v>
      </c>
      <c r="N142">
        <v>0</v>
      </c>
      <c r="O142">
        <v>0</v>
      </c>
      <c r="P142">
        <v>0</v>
      </c>
      <c r="Q142">
        <v>0</v>
      </c>
      <c r="R142">
        <v>0</v>
      </c>
      <c r="T142">
        <v>216</v>
      </c>
      <c r="U142">
        <v>0</v>
      </c>
      <c r="V142">
        <v>0</v>
      </c>
      <c r="W142">
        <v>0</v>
      </c>
      <c r="X142">
        <v>0</v>
      </c>
      <c r="Y142">
        <v>0</v>
      </c>
      <c r="Z142">
        <v>0</v>
      </c>
      <c r="AA142">
        <v>0</v>
      </c>
      <c r="AB142">
        <v>0</v>
      </c>
      <c r="AC142">
        <v>0</v>
      </c>
      <c r="AD142">
        <v>0</v>
      </c>
      <c r="AE142">
        <v>0</v>
      </c>
      <c r="AF142">
        <v>0</v>
      </c>
      <c r="AG142">
        <v>0</v>
      </c>
      <c r="AH142">
        <v>0</v>
      </c>
      <c r="AI142">
        <v>0</v>
      </c>
      <c r="AJ142">
        <v>0</v>
      </c>
      <c r="AK142">
        <v>0</v>
      </c>
      <c r="AL142">
        <v>0</v>
      </c>
      <c r="AM142">
        <v>0</v>
      </c>
      <c r="AN142">
        <v>216</v>
      </c>
      <c r="AP142" t="s">
        <v>1180</v>
      </c>
      <c r="AS142" t="s">
        <v>1259</v>
      </c>
      <c r="AV142" t="s">
        <v>1180</v>
      </c>
      <c r="AW142" t="s">
        <v>1259</v>
      </c>
      <c r="AX142">
        <v>0</v>
      </c>
      <c r="AY142">
        <v>0</v>
      </c>
      <c r="AZ142" t="s">
        <v>282</v>
      </c>
      <c r="BA142" t="s">
        <v>282</v>
      </c>
      <c r="BB142" t="s">
        <v>1191</v>
      </c>
      <c r="BC142">
        <v>2</v>
      </c>
    </row>
    <row r="143" spans="1:55" x14ac:dyDescent="0.25">
      <c r="A143" t="s">
        <v>99</v>
      </c>
      <c r="B143">
        <v>17</v>
      </c>
      <c r="C143" t="s">
        <v>1088</v>
      </c>
      <c r="D143" s="158">
        <v>45199</v>
      </c>
      <c r="E143">
        <v>621702</v>
      </c>
      <c r="F143">
        <v>10367213</v>
      </c>
      <c r="G143">
        <v>53758053</v>
      </c>
      <c r="H143" t="b">
        <v>0</v>
      </c>
      <c r="I143">
        <v>17</v>
      </c>
      <c r="J143" t="s">
        <v>1198</v>
      </c>
      <c r="K143">
        <v>85</v>
      </c>
      <c r="L143">
        <v>85</v>
      </c>
      <c r="M143">
        <v>1</v>
      </c>
      <c r="N143">
        <v>0</v>
      </c>
      <c r="O143">
        <v>0</v>
      </c>
      <c r="P143">
        <v>0</v>
      </c>
      <c r="Q143">
        <v>0</v>
      </c>
      <c r="R143">
        <v>0</v>
      </c>
      <c r="T143">
        <v>85</v>
      </c>
      <c r="U143">
        <v>0</v>
      </c>
      <c r="V143">
        <v>0</v>
      </c>
      <c r="W143">
        <v>0</v>
      </c>
      <c r="X143">
        <v>0</v>
      </c>
      <c r="Y143">
        <v>0</v>
      </c>
      <c r="Z143">
        <v>0</v>
      </c>
      <c r="AA143">
        <v>0</v>
      </c>
      <c r="AB143">
        <v>0</v>
      </c>
      <c r="AC143">
        <v>0</v>
      </c>
      <c r="AD143">
        <v>0</v>
      </c>
      <c r="AE143">
        <v>0</v>
      </c>
      <c r="AF143">
        <v>0</v>
      </c>
      <c r="AG143">
        <v>0</v>
      </c>
      <c r="AH143">
        <v>0</v>
      </c>
      <c r="AI143">
        <v>0</v>
      </c>
      <c r="AJ143">
        <v>0</v>
      </c>
      <c r="AK143">
        <v>0</v>
      </c>
      <c r="AL143">
        <v>0</v>
      </c>
      <c r="AM143">
        <v>0</v>
      </c>
      <c r="AN143">
        <v>85</v>
      </c>
      <c r="AP143" t="s">
        <v>1031</v>
      </c>
      <c r="AS143" t="s">
        <v>1250</v>
      </c>
      <c r="AV143" t="s">
        <v>1031</v>
      </c>
      <c r="AW143" t="s">
        <v>1250</v>
      </c>
      <c r="AX143">
        <v>0</v>
      </c>
      <c r="AY143">
        <v>0</v>
      </c>
      <c r="AZ143" t="s">
        <v>282</v>
      </c>
      <c r="BA143" t="s">
        <v>282</v>
      </c>
      <c r="BB143" t="s">
        <v>1197</v>
      </c>
      <c r="BC143">
        <v>1</v>
      </c>
    </row>
    <row r="144" spans="1:55" x14ac:dyDescent="0.25">
      <c r="A144" t="s">
        <v>99</v>
      </c>
      <c r="B144">
        <v>17</v>
      </c>
      <c r="C144" t="s">
        <v>1088</v>
      </c>
      <c r="D144" s="158">
        <v>45199</v>
      </c>
      <c r="E144">
        <v>621703</v>
      </c>
      <c r="F144">
        <v>10367247</v>
      </c>
      <c r="G144">
        <v>53758437</v>
      </c>
      <c r="H144" t="b">
        <v>0</v>
      </c>
      <c r="I144">
        <v>17</v>
      </c>
      <c r="J144" t="s">
        <v>1198</v>
      </c>
      <c r="K144">
        <v>85</v>
      </c>
      <c r="L144">
        <v>85</v>
      </c>
      <c r="M144">
        <v>1</v>
      </c>
      <c r="N144">
        <v>0</v>
      </c>
      <c r="O144">
        <v>0</v>
      </c>
      <c r="P144">
        <v>0</v>
      </c>
      <c r="Q144">
        <v>0</v>
      </c>
      <c r="R144">
        <v>0</v>
      </c>
      <c r="T144">
        <v>85</v>
      </c>
      <c r="U144">
        <v>0</v>
      </c>
      <c r="V144">
        <v>0</v>
      </c>
      <c r="W144">
        <v>0</v>
      </c>
      <c r="X144">
        <v>0</v>
      </c>
      <c r="Y144">
        <v>0</v>
      </c>
      <c r="Z144">
        <v>0</v>
      </c>
      <c r="AA144">
        <v>0</v>
      </c>
      <c r="AB144">
        <v>0</v>
      </c>
      <c r="AC144">
        <v>0</v>
      </c>
      <c r="AD144">
        <v>0</v>
      </c>
      <c r="AE144">
        <v>0</v>
      </c>
      <c r="AF144">
        <v>0</v>
      </c>
      <c r="AG144">
        <v>0</v>
      </c>
      <c r="AH144">
        <v>0</v>
      </c>
      <c r="AI144">
        <v>0</v>
      </c>
      <c r="AJ144">
        <v>0</v>
      </c>
      <c r="AK144">
        <v>0</v>
      </c>
      <c r="AL144">
        <v>0</v>
      </c>
      <c r="AM144">
        <v>0</v>
      </c>
      <c r="AN144">
        <v>85</v>
      </c>
      <c r="AP144" t="s">
        <v>1031</v>
      </c>
      <c r="AS144" t="s">
        <v>1250</v>
      </c>
      <c r="AV144" t="s">
        <v>1031</v>
      </c>
      <c r="AW144" t="s">
        <v>1250</v>
      </c>
      <c r="AX144">
        <v>0</v>
      </c>
      <c r="AY144">
        <v>0</v>
      </c>
      <c r="AZ144" t="s">
        <v>282</v>
      </c>
      <c r="BA144" t="s">
        <v>282</v>
      </c>
      <c r="BB144" t="s">
        <v>1197</v>
      </c>
      <c r="BC144">
        <v>1</v>
      </c>
    </row>
    <row r="145" spans="1:55" x14ac:dyDescent="0.25">
      <c r="A145" t="s">
        <v>99</v>
      </c>
      <c r="B145">
        <v>17</v>
      </c>
      <c r="C145" t="s">
        <v>1088</v>
      </c>
      <c r="D145" s="158">
        <v>45199</v>
      </c>
      <c r="E145">
        <v>621828</v>
      </c>
      <c r="F145">
        <v>10369131</v>
      </c>
      <c r="G145">
        <v>53769453</v>
      </c>
      <c r="H145" t="b">
        <v>0</v>
      </c>
      <c r="I145">
        <v>19</v>
      </c>
      <c r="J145" t="s">
        <v>1241</v>
      </c>
      <c r="K145">
        <v>10</v>
      </c>
      <c r="L145">
        <v>5</v>
      </c>
      <c r="M145">
        <v>2</v>
      </c>
      <c r="N145">
        <v>0</v>
      </c>
      <c r="O145">
        <v>0</v>
      </c>
      <c r="P145">
        <v>0</v>
      </c>
      <c r="Q145">
        <v>0</v>
      </c>
      <c r="R145">
        <v>0</v>
      </c>
      <c r="T145">
        <v>10</v>
      </c>
      <c r="U145">
        <v>0</v>
      </c>
      <c r="V145">
        <v>0</v>
      </c>
      <c r="W145">
        <v>0</v>
      </c>
      <c r="X145">
        <v>0</v>
      </c>
      <c r="Y145">
        <v>0</v>
      </c>
      <c r="Z145">
        <v>0</v>
      </c>
      <c r="AA145">
        <v>0</v>
      </c>
      <c r="AB145">
        <v>0</v>
      </c>
      <c r="AC145">
        <v>0</v>
      </c>
      <c r="AD145">
        <v>0</v>
      </c>
      <c r="AE145">
        <v>0</v>
      </c>
      <c r="AF145">
        <v>0</v>
      </c>
      <c r="AG145">
        <v>0</v>
      </c>
      <c r="AH145">
        <v>0</v>
      </c>
      <c r="AI145">
        <v>0</v>
      </c>
      <c r="AJ145">
        <v>0</v>
      </c>
      <c r="AK145">
        <v>0</v>
      </c>
      <c r="AL145">
        <v>0</v>
      </c>
      <c r="AM145">
        <v>0</v>
      </c>
      <c r="AN145">
        <v>10</v>
      </c>
      <c r="AP145" t="s">
        <v>1031</v>
      </c>
      <c r="AS145" t="s">
        <v>1230</v>
      </c>
      <c r="AV145" t="s">
        <v>1031</v>
      </c>
      <c r="AW145" t="s">
        <v>1230</v>
      </c>
      <c r="AX145">
        <v>0</v>
      </c>
      <c r="AY145">
        <v>0</v>
      </c>
      <c r="AZ145" t="s">
        <v>282</v>
      </c>
      <c r="BA145" t="s">
        <v>282</v>
      </c>
      <c r="BB145" t="s">
        <v>1197</v>
      </c>
      <c r="BC145">
        <v>1</v>
      </c>
    </row>
    <row r="146" spans="1:55" x14ac:dyDescent="0.25">
      <c r="A146" t="s">
        <v>99</v>
      </c>
      <c r="B146">
        <v>17</v>
      </c>
      <c r="C146" t="s">
        <v>1088</v>
      </c>
      <c r="D146" s="158">
        <v>45199</v>
      </c>
      <c r="E146">
        <v>621831</v>
      </c>
      <c r="F146">
        <v>10369215</v>
      </c>
      <c r="G146">
        <v>53769593</v>
      </c>
      <c r="H146" t="b">
        <v>0</v>
      </c>
      <c r="I146">
        <v>19</v>
      </c>
      <c r="J146" t="s">
        <v>1231</v>
      </c>
      <c r="K146">
        <v>15</v>
      </c>
      <c r="L146">
        <v>7.5</v>
      </c>
      <c r="M146">
        <v>2</v>
      </c>
      <c r="N146">
        <v>0</v>
      </c>
      <c r="O146">
        <v>0</v>
      </c>
      <c r="P146">
        <v>0</v>
      </c>
      <c r="Q146">
        <v>0</v>
      </c>
      <c r="R146">
        <v>0</v>
      </c>
      <c r="T146">
        <v>15</v>
      </c>
      <c r="U146">
        <v>0</v>
      </c>
      <c r="V146">
        <v>0</v>
      </c>
      <c r="W146">
        <v>0</v>
      </c>
      <c r="X146">
        <v>0</v>
      </c>
      <c r="Y146">
        <v>0</v>
      </c>
      <c r="Z146">
        <v>0</v>
      </c>
      <c r="AA146">
        <v>0</v>
      </c>
      <c r="AB146">
        <v>0</v>
      </c>
      <c r="AC146">
        <v>0</v>
      </c>
      <c r="AD146">
        <v>0</v>
      </c>
      <c r="AE146">
        <v>0</v>
      </c>
      <c r="AF146">
        <v>0</v>
      </c>
      <c r="AG146">
        <v>0</v>
      </c>
      <c r="AH146">
        <v>0</v>
      </c>
      <c r="AI146">
        <v>0</v>
      </c>
      <c r="AJ146">
        <v>0</v>
      </c>
      <c r="AK146">
        <v>0</v>
      </c>
      <c r="AL146">
        <v>0</v>
      </c>
      <c r="AM146">
        <v>0</v>
      </c>
      <c r="AN146">
        <v>15</v>
      </c>
      <c r="AP146" t="s">
        <v>1031</v>
      </c>
      <c r="AS146" t="s">
        <v>1230</v>
      </c>
      <c r="AV146" t="s">
        <v>1031</v>
      </c>
      <c r="AW146" t="s">
        <v>1230</v>
      </c>
      <c r="AX146">
        <v>0</v>
      </c>
      <c r="AY146">
        <v>0</v>
      </c>
      <c r="AZ146" t="s">
        <v>282</v>
      </c>
      <c r="BA146" t="s">
        <v>282</v>
      </c>
      <c r="BB146" t="s">
        <v>1197</v>
      </c>
      <c r="BC146">
        <v>1</v>
      </c>
    </row>
    <row r="147" spans="1:55" x14ac:dyDescent="0.25">
      <c r="A147" t="s">
        <v>99</v>
      </c>
      <c r="B147">
        <v>17</v>
      </c>
      <c r="C147" t="s">
        <v>1088</v>
      </c>
      <c r="D147" s="158">
        <v>45199</v>
      </c>
      <c r="E147">
        <v>470677</v>
      </c>
      <c r="F147">
        <v>9926074</v>
      </c>
      <c r="G147">
        <v>51715821</v>
      </c>
      <c r="H147" t="b">
        <v>0</v>
      </c>
      <c r="I147">
        <v>82</v>
      </c>
      <c r="J147" t="s">
        <v>1187</v>
      </c>
      <c r="K147">
        <v>216</v>
      </c>
      <c r="L147">
        <v>216</v>
      </c>
      <c r="M147">
        <v>1</v>
      </c>
      <c r="N147">
        <v>0</v>
      </c>
      <c r="O147">
        <v>0</v>
      </c>
      <c r="P147">
        <v>0</v>
      </c>
      <c r="Q147">
        <v>0</v>
      </c>
      <c r="R147">
        <v>0</v>
      </c>
      <c r="T147">
        <v>216</v>
      </c>
      <c r="U147">
        <v>0</v>
      </c>
      <c r="V147">
        <v>0</v>
      </c>
      <c r="W147">
        <v>0</v>
      </c>
      <c r="X147">
        <v>0</v>
      </c>
      <c r="Y147">
        <v>0</v>
      </c>
      <c r="Z147">
        <v>0</v>
      </c>
      <c r="AA147">
        <v>0</v>
      </c>
      <c r="AB147">
        <v>0</v>
      </c>
      <c r="AC147">
        <v>0</v>
      </c>
      <c r="AD147">
        <v>0</v>
      </c>
      <c r="AE147">
        <v>0</v>
      </c>
      <c r="AF147">
        <v>0</v>
      </c>
      <c r="AG147">
        <v>0</v>
      </c>
      <c r="AH147">
        <v>0</v>
      </c>
      <c r="AI147">
        <v>0</v>
      </c>
      <c r="AJ147">
        <v>0</v>
      </c>
      <c r="AK147">
        <v>0</v>
      </c>
      <c r="AL147">
        <v>0</v>
      </c>
      <c r="AM147">
        <v>0</v>
      </c>
      <c r="AN147">
        <v>216</v>
      </c>
      <c r="AP147" t="s">
        <v>1089</v>
      </c>
      <c r="AS147" t="s">
        <v>1233</v>
      </c>
      <c r="AV147" t="s">
        <v>1089</v>
      </c>
      <c r="AW147" t="s">
        <v>1233</v>
      </c>
      <c r="AX147">
        <v>0</v>
      </c>
      <c r="AY147">
        <v>0</v>
      </c>
      <c r="AZ147" t="s">
        <v>282</v>
      </c>
      <c r="BA147" t="s">
        <v>282</v>
      </c>
      <c r="BB147" t="s">
        <v>1186</v>
      </c>
      <c r="BC147">
        <v>3</v>
      </c>
    </row>
    <row r="148" spans="1:55" x14ac:dyDescent="0.25">
      <c r="A148" t="s">
        <v>99</v>
      </c>
      <c r="B148">
        <v>17</v>
      </c>
      <c r="C148" t="s">
        <v>1088</v>
      </c>
      <c r="D148" s="158">
        <v>45199</v>
      </c>
      <c r="E148">
        <v>470677</v>
      </c>
      <c r="F148">
        <v>9926074</v>
      </c>
      <c r="G148">
        <v>51715824</v>
      </c>
      <c r="H148" t="b">
        <v>0</v>
      </c>
      <c r="I148">
        <v>82</v>
      </c>
      <c r="J148" t="s">
        <v>1187</v>
      </c>
      <c r="K148">
        <v>216</v>
      </c>
      <c r="L148">
        <v>216</v>
      </c>
      <c r="M148">
        <v>1</v>
      </c>
      <c r="N148">
        <v>0</v>
      </c>
      <c r="O148">
        <v>0</v>
      </c>
      <c r="P148">
        <v>0</v>
      </c>
      <c r="Q148">
        <v>0</v>
      </c>
      <c r="R148">
        <v>0</v>
      </c>
      <c r="T148">
        <v>216</v>
      </c>
      <c r="U148">
        <v>0</v>
      </c>
      <c r="V148">
        <v>0</v>
      </c>
      <c r="W148">
        <v>0</v>
      </c>
      <c r="X148">
        <v>0</v>
      </c>
      <c r="Y148">
        <v>0</v>
      </c>
      <c r="Z148">
        <v>0</v>
      </c>
      <c r="AA148">
        <v>0</v>
      </c>
      <c r="AB148">
        <v>0</v>
      </c>
      <c r="AC148">
        <v>0</v>
      </c>
      <c r="AD148">
        <v>0</v>
      </c>
      <c r="AE148">
        <v>0</v>
      </c>
      <c r="AF148">
        <v>0</v>
      </c>
      <c r="AG148">
        <v>0</v>
      </c>
      <c r="AH148">
        <v>0</v>
      </c>
      <c r="AI148">
        <v>0</v>
      </c>
      <c r="AJ148">
        <v>0</v>
      </c>
      <c r="AK148">
        <v>0</v>
      </c>
      <c r="AL148">
        <v>0</v>
      </c>
      <c r="AM148">
        <v>0</v>
      </c>
      <c r="AN148">
        <v>216</v>
      </c>
      <c r="AP148" t="s">
        <v>1089</v>
      </c>
      <c r="AS148" t="s">
        <v>1233</v>
      </c>
      <c r="AV148" t="s">
        <v>1089</v>
      </c>
      <c r="AW148" t="s">
        <v>1233</v>
      </c>
      <c r="AX148">
        <v>0</v>
      </c>
      <c r="AY148">
        <v>0</v>
      </c>
      <c r="AZ148" t="s">
        <v>282</v>
      </c>
      <c r="BA148" t="s">
        <v>282</v>
      </c>
      <c r="BB148" t="s">
        <v>1186</v>
      </c>
      <c r="BC148">
        <v>3</v>
      </c>
    </row>
    <row r="149" spans="1:55" x14ac:dyDescent="0.25">
      <c r="A149" t="s">
        <v>99</v>
      </c>
      <c r="B149">
        <v>17</v>
      </c>
      <c r="C149" t="s">
        <v>1088</v>
      </c>
      <c r="D149" s="158">
        <v>45199</v>
      </c>
      <c r="E149">
        <v>109895</v>
      </c>
      <c r="F149">
        <v>10288385</v>
      </c>
      <c r="G149">
        <v>53637182</v>
      </c>
      <c r="H149" t="b">
        <v>0</v>
      </c>
      <c r="I149">
        <v>22</v>
      </c>
      <c r="J149" t="s">
        <v>1187</v>
      </c>
      <c r="K149">
        <v>216</v>
      </c>
      <c r="L149">
        <v>216</v>
      </c>
      <c r="M149">
        <v>1</v>
      </c>
      <c r="N149">
        <v>0</v>
      </c>
      <c r="O149">
        <v>0</v>
      </c>
      <c r="P149">
        <v>0</v>
      </c>
      <c r="Q149">
        <v>0</v>
      </c>
      <c r="R149">
        <v>0</v>
      </c>
      <c r="T149">
        <v>216</v>
      </c>
      <c r="U149">
        <v>0</v>
      </c>
      <c r="V149">
        <v>0</v>
      </c>
      <c r="W149">
        <v>0</v>
      </c>
      <c r="X149">
        <v>0</v>
      </c>
      <c r="Y149">
        <v>0</v>
      </c>
      <c r="Z149">
        <v>0</v>
      </c>
      <c r="AA149">
        <v>0</v>
      </c>
      <c r="AB149">
        <v>0</v>
      </c>
      <c r="AC149">
        <v>0</v>
      </c>
      <c r="AD149">
        <v>0</v>
      </c>
      <c r="AE149">
        <v>0</v>
      </c>
      <c r="AF149">
        <v>0</v>
      </c>
      <c r="AG149">
        <v>0</v>
      </c>
      <c r="AH149">
        <v>0</v>
      </c>
      <c r="AI149">
        <v>0</v>
      </c>
      <c r="AJ149">
        <v>0</v>
      </c>
      <c r="AK149">
        <v>0</v>
      </c>
      <c r="AL149">
        <v>0</v>
      </c>
      <c r="AM149">
        <v>0</v>
      </c>
      <c r="AN149">
        <v>216</v>
      </c>
      <c r="AP149" t="s">
        <v>1032</v>
      </c>
      <c r="AS149" t="s">
        <v>1226</v>
      </c>
      <c r="AV149" t="s">
        <v>1032</v>
      </c>
      <c r="AW149" t="s">
        <v>1226</v>
      </c>
      <c r="AX149">
        <v>0</v>
      </c>
      <c r="AY149">
        <v>0</v>
      </c>
      <c r="AZ149" t="s">
        <v>282</v>
      </c>
      <c r="BA149" t="s">
        <v>282</v>
      </c>
      <c r="BB149" t="s">
        <v>1197</v>
      </c>
      <c r="BC149">
        <v>1</v>
      </c>
    </row>
    <row r="150" spans="1:55" x14ac:dyDescent="0.25">
      <c r="A150" t="s">
        <v>99</v>
      </c>
      <c r="B150">
        <v>17</v>
      </c>
      <c r="C150" t="s">
        <v>1088</v>
      </c>
      <c r="D150" s="158">
        <v>45199</v>
      </c>
      <c r="E150">
        <v>621828</v>
      </c>
      <c r="F150">
        <v>10369131</v>
      </c>
      <c r="G150">
        <v>53769463</v>
      </c>
      <c r="H150" t="b">
        <v>0</v>
      </c>
      <c r="I150">
        <v>19</v>
      </c>
      <c r="J150" t="s">
        <v>1229</v>
      </c>
      <c r="K150">
        <v>16</v>
      </c>
      <c r="L150">
        <v>8</v>
      </c>
      <c r="M150">
        <v>2</v>
      </c>
      <c r="N150">
        <v>0</v>
      </c>
      <c r="O150">
        <v>0</v>
      </c>
      <c r="P150">
        <v>0</v>
      </c>
      <c r="Q150">
        <v>0</v>
      </c>
      <c r="R150">
        <v>0</v>
      </c>
      <c r="T150">
        <v>16</v>
      </c>
      <c r="U150">
        <v>0</v>
      </c>
      <c r="V150">
        <v>0</v>
      </c>
      <c r="W150">
        <v>0</v>
      </c>
      <c r="X150">
        <v>0</v>
      </c>
      <c r="Y150">
        <v>0</v>
      </c>
      <c r="Z150">
        <v>0</v>
      </c>
      <c r="AA150">
        <v>0</v>
      </c>
      <c r="AB150">
        <v>0</v>
      </c>
      <c r="AC150">
        <v>0</v>
      </c>
      <c r="AD150">
        <v>0</v>
      </c>
      <c r="AE150">
        <v>0</v>
      </c>
      <c r="AF150">
        <v>0</v>
      </c>
      <c r="AG150">
        <v>0</v>
      </c>
      <c r="AH150">
        <v>0</v>
      </c>
      <c r="AI150">
        <v>0</v>
      </c>
      <c r="AJ150">
        <v>0</v>
      </c>
      <c r="AK150">
        <v>0</v>
      </c>
      <c r="AL150">
        <v>0</v>
      </c>
      <c r="AM150">
        <v>0</v>
      </c>
      <c r="AN150">
        <v>16</v>
      </c>
      <c r="AP150" t="s">
        <v>1031</v>
      </c>
      <c r="AS150" t="s">
        <v>1230</v>
      </c>
      <c r="AV150" t="s">
        <v>1031</v>
      </c>
      <c r="AW150" t="s">
        <v>1230</v>
      </c>
      <c r="AX150">
        <v>0</v>
      </c>
      <c r="AY150">
        <v>0</v>
      </c>
      <c r="AZ150" t="s">
        <v>282</v>
      </c>
      <c r="BA150" t="s">
        <v>282</v>
      </c>
      <c r="BB150" t="s">
        <v>1197</v>
      </c>
      <c r="BC150">
        <v>1</v>
      </c>
    </row>
    <row r="151" spans="1:55" x14ac:dyDescent="0.25">
      <c r="A151" t="s">
        <v>99</v>
      </c>
      <c r="B151">
        <v>17</v>
      </c>
      <c r="C151" t="s">
        <v>1088</v>
      </c>
      <c r="D151" s="158">
        <v>45199</v>
      </c>
      <c r="E151">
        <v>621831</v>
      </c>
      <c r="F151">
        <v>10369215</v>
      </c>
      <c r="G151">
        <v>53769598</v>
      </c>
      <c r="H151" t="b">
        <v>0</v>
      </c>
      <c r="I151">
        <v>19</v>
      </c>
      <c r="J151" t="s">
        <v>1229</v>
      </c>
      <c r="K151">
        <v>16</v>
      </c>
      <c r="L151">
        <v>8</v>
      </c>
      <c r="M151">
        <v>2</v>
      </c>
      <c r="N151">
        <v>0</v>
      </c>
      <c r="O151">
        <v>0</v>
      </c>
      <c r="P151">
        <v>0</v>
      </c>
      <c r="Q151">
        <v>0</v>
      </c>
      <c r="R151">
        <v>0</v>
      </c>
      <c r="T151">
        <v>16</v>
      </c>
      <c r="U151">
        <v>0</v>
      </c>
      <c r="V151">
        <v>0</v>
      </c>
      <c r="W151">
        <v>0</v>
      </c>
      <c r="X151">
        <v>0</v>
      </c>
      <c r="Y151">
        <v>0</v>
      </c>
      <c r="Z151">
        <v>0</v>
      </c>
      <c r="AA151">
        <v>0</v>
      </c>
      <c r="AB151">
        <v>0</v>
      </c>
      <c r="AC151">
        <v>0</v>
      </c>
      <c r="AD151">
        <v>0</v>
      </c>
      <c r="AE151">
        <v>0</v>
      </c>
      <c r="AF151">
        <v>0</v>
      </c>
      <c r="AG151">
        <v>0</v>
      </c>
      <c r="AH151">
        <v>0</v>
      </c>
      <c r="AI151">
        <v>0</v>
      </c>
      <c r="AJ151">
        <v>0</v>
      </c>
      <c r="AK151">
        <v>0</v>
      </c>
      <c r="AL151">
        <v>0</v>
      </c>
      <c r="AM151">
        <v>0</v>
      </c>
      <c r="AN151">
        <v>16</v>
      </c>
      <c r="AP151" t="s">
        <v>1031</v>
      </c>
      <c r="AS151" t="s">
        <v>1230</v>
      </c>
      <c r="AV151" t="s">
        <v>1031</v>
      </c>
      <c r="AW151" t="s">
        <v>1230</v>
      </c>
      <c r="AX151">
        <v>0</v>
      </c>
      <c r="AY151">
        <v>0</v>
      </c>
      <c r="AZ151" t="s">
        <v>282</v>
      </c>
      <c r="BA151" t="s">
        <v>282</v>
      </c>
      <c r="BB151" t="s">
        <v>1197</v>
      </c>
      <c r="BC151">
        <v>1</v>
      </c>
    </row>
    <row r="152" spans="1:55" x14ac:dyDescent="0.25">
      <c r="A152" t="s">
        <v>99</v>
      </c>
      <c r="B152">
        <v>17</v>
      </c>
      <c r="C152" t="s">
        <v>1088</v>
      </c>
      <c r="D152" s="158">
        <v>45199</v>
      </c>
      <c r="E152">
        <v>621831</v>
      </c>
      <c r="F152">
        <v>10369215</v>
      </c>
      <c r="G152">
        <v>53769603</v>
      </c>
      <c r="H152" t="b">
        <v>0</v>
      </c>
      <c r="I152">
        <v>19</v>
      </c>
      <c r="J152" t="s">
        <v>1260</v>
      </c>
      <c r="K152">
        <v>7.5</v>
      </c>
      <c r="L152">
        <v>7.5</v>
      </c>
      <c r="M152">
        <v>1</v>
      </c>
      <c r="N152">
        <v>0</v>
      </c>
      <c r="O152">
        <v>0</v>
      </c>
      <c r="P152">
        <v>0</v>
      </c>
      <c r="Q152">
        <v>0</v>
      </c>
      <c r="R152">
        <v>0</v>
      </c>
      <c r="T152">
        <v>7.5</v>
      </c>
      <c r="U152">
        <v>0</v>
      </c>
      <c r="V152">
        <v>0</v>
      </c>
      <c r="W152">
        <v>0</v>
      </c>
      <c r="X152">
        <v>0</v>
      </c>
      <c r="Y152">
        <v>0</v>
      </c>
      <c r="Z152">
        <v>0</v>
      </c>
      <c r="AA152">
        <v>0</v>
      </c>
      <c r="AB152">
        <v>0</v>
      </c>
      <c r="AC152">
        <v>0</v>
      </c>
      <c r="AD152">
        <v>0</v>
      </c>
      <c r="AE152">
        <v>0</v>
      </c>
      <c r="AF152">
        <v>0</v>
      </c>
      <c r="AG152">
        <v>0</v>
      </c>
      <c r="AH152">
        <v>0</v>
      </c>
      <c r="AI152">
        <v>0</v>
      </c>
      <c r="AJ152">
        <v>0</v>
      </c>
      <c r="AK152">
        <v>0</v>
      </c>
      <c r="AL152">
        <v>0</v>
      </c>
      <c r="AM152">
        <v>0</v>
      </c>
      <c r="AN152">
        <v>7.5</v>
      </c>
      <c r="AP152" t="s">
        <v>1031</v>
      </c>
      <c r="AS152" t="s">
        <v>1230</v>
      </c>
      <c r="AV152" t="s">
        <v>1031</v>
      </c>
      <c r="AW152" t="s">
        <v>1230</v>
      </c>
      <c r="AX152">
        <v>0</v>
      </c>
      <c r="AY152">
        <v>0</v>
      </c>
      <c r="AZ152" t="s">
        <v>282</v>
      </c>
      <c r="BA152" t="s">
        <v>282</v>
      </c>
      <c r="BB152" t="s">
        <v>1197</v>
      </c>
      <c r="BC152">
        <v>1</v>
      </c>
    </row>
    <row r="153" spans="1:55" x14ac:dyDescent="0.25">
      <c r="A153" t="s">
        <v>99</v>
      </c>
      <c r="B153">
        <v>17</v>
      </c>
      <c r="C153" t="s">
        <v>1088</v>
      </c>
      <c r="D153" s="158">
        <v>45199</v>
      </c>
      <c r="E153">
        <v>621831</v>
      </c>
      <c r="F153">
        <v>10369215</v>
      </c>
      <c r="G153">
        <v>53769605</v>
      </c>
      <c r="H153" t="b">
        <v>0</v>
      </c>
      <c r="I153">
        <v>19</v>
      </c>
      <c r="J153" t="s">
        <v>1192</v>
      </c>
      <c r="K153">
        <v>15</v>
      </c>
      <c r="L153">
        <v>15</v>
      </c>
      <c r="M153">
        <v>1</v>
      </c>
      <c r="N153">
        <v>0</v>
      </c>
      <c r="O153">
        <v>0</v>
      </c>
      <c r="P153">
        <v>0</v>
      </c>
      <c r="Q153">
        <v>0</v>
      </c>
      <c r="R153">
        <v>0</v>
      </c>
      <c r="T153">
        <v>15</v>
      </c>
      <c r="U153">
        <v>0</v>
      </c>
      <c r="V153">
        <v>0</v>
      </c>
      <c r="W153">
        <v>0</v>
      </c>
      <c r="X153">
        <v>0</v>
      </c>
      <c r="Y153">
        <v>0</v>
      </c>
      <c r="Z153">
        <v>0</v>
      </c>
      <c r="AA153">
        <v>0</v>
      </c>
      <c r="AB153">
        <v>0</v>
      </c>
      <c r="AC153">
        <v>0</v>
      </c>
      <c r="AD153">
        <v>0</v>
      </c>
      <c r="AE153">
        <v>0</v>
      </c>
      <c r="AF153">
        <v>0</v>
      </c>
      <c r="AG153">
        <v>0</v>
      </c>
      <c r="AH153">
        <v>0</v>
      </c>
      <c r="AI153">
        <v>0</v>
      </c>
      <c r="AJ153">
        <v>0</v>
      </c>
      <c r="AK153">
        <v>0</v>
      </c>
      <c r="AL153">
        <v>0</v>
      </c>
      <c r="AM153">
        <v>0</v>
      </c>
      <c r="AN153">
        <v>15</v>
      </c>
      <c r="AP153" t="s">
        <v>1031</v>
      </c>
      <c r="AS153" t="s">
        <v>1230</v>
      </c>
      <c r="AV153" t="s">
        <v>1031</v>
      </c>
      <c r="AW153" t="s">
        <v>1230</v>
      </c>
      <c r="AX153">
        <v>0</v>
      </c>
      <c r="AY153">
        <v>0</v>
      </c>
      <c r="AZ153" t="s">
        <v>282</v>
      </c>
      <c r="BA153" t="s">
        <v>282</v>
      </c>
      <c r="BB153" t="s">
        <v>1197</v>
      </c>
      <c r="BC153">
        <v>1</v>
      </c>
    </row>
    <row r="154" spans="1:55" x14ac:dyDescent="0.25">
      <c r="A154" t="s">
        <v>99</v>
      </c>
      <c r="B154">
        <v>17</v>
      </c>
      <c r="C154" t="s">
        <v>1088</v>
      </c>
      <c r="D154" s="158">
        <v>45199</v>
      </c>
      <c r="E154">
        <v>615545</v>
      </c>
      <c r="F154">
        <v>10250265</v>
      </c>
      <c r="G154">
        <v>52990499</v>
      </c>
      <c r="H154" t="b">
        <v>0</v>
      </c>
      <c r="I154">
        <v>43</v>
      </c>
      <c r="J154" t="s">
        <v>1184</v>
      </c>
      <c r="K154">
        <v>109.5</v>
      </c>
      <c r="L154">
        <v>109.5</v>
      </c>
      <c r="M154">
        <v>1</v>
      </c>
      <c r="N154">
        <v>0</v>
      </c>
      <c r="O154">
        <v>0</v>
      </c>
      <c r="P154">
        <v>0</v>
      </c>
      <c r="Q154">
        <v>0</v>
      </c>
      <c r="R154">
        <v>0</v>
      </c>
      <c r="T154">
        <v>109.5</v>
      </c>
      <c r="U154">
        <v>0</v>
      </c>
      <c r="V154">
        <v>0</v>
      </c>
      <c r="W154">
        <v>0</v>
      </c>
      <c r="X154">
        <v>0</v>
      </c>
      <c r="Y154">
        <v>0</v>
      </c>
      <c r="Z154">
        <v>0</v>
      </c>
      <c r="AA154">
        <v>0</v>
      </c>
      <c r="AB154">
        <v>0</v>
      </c>
      <c r="AC154">
        <v>0</v>
      </c>
      <c r="AD154">
        <v>0</v>
      </c>
      <c r="AE154">
        <v>0</v>
      </c>
      <c r="AF154">
        <v>0</v>
      </c>
      <c r="AG154">
        <v>0</v>
      </c>
      <c r="AH154">
        <v>0</v>
      </c>
      <c r="AI154">
        <v>0</v>
      </c>
      <c r="AJ154">
        <v>0</v>
      </c>
      <c r="AK154">
        <v>0</v>
      </c>
      <c r="AL154">
        <v>0</v>
      </c>
      <c r="AM154">
        <v>0</v>
      </c>
      <c r="AN154">
        <v>109.5</v>
      </c>
      <c r="AP154" t="s">
        <v>1031</v>
      </c>
      <c r="AS154" t="s">
        <v>1257</v>
      </c>
      <c r="AV154" t="s">
        <v>1031</v>
      </c>
      <c r="AW154" t="s">
        <v>1257</v>
      </c>
      <c r="AX154">
        <v>0</v>
      </c>
      <c r="AY154">
        <v>0</v>
      </c>
      <c r="AZ154" t="s">
        <v>282</v>
      </c>
      <c r="BA154" t="s">
        <v>282</v>
      </c>
      <c r="BB154" t="s">
        <v>1191</v>
      </c>
      <c r="BC154">
        <v>2</v>
      </c>
    </row>
    <row r="155" spans="1:55" x14ac:dyDescent="0.25">
      <c r="A155" t="s">
        <v>99</v>
      </c>
      <c r="B155">
        <v>17</v>
      </c>
      <c r="C155" t="s">
        <v>1088</v>
      </c>
      <c r="D155" s="158">
        <v>45199</v>
      </c>
      <c r="E155">
        <v>615545</v>
      </c>
      <c r="F155">
        <v>10250265</v>
      </c>
      <c r="G155">
        <v>52990715</v>
      </c>
      <c r="H155" t="b">
        <v>0</v>
      </c>
      <c r="I155">
        <v>43</v>
      </c>
      <c r="J155" t="s">
        <v>1192</v>
      </c>
      <c r="K155">
        <v>8.5</v>
      </c>
      <c r="L155">
        <v>8.5</v>
      </c>
      <c r="M155">
        <v>1</v>
      </c>
      <c r="N155">
        <v>0</v>
      </c>
      <c r="O155">
        <v>0</v>
      </c>
      <c r="P155">
        <v>0</v>
      </c>
      <c r="Q155">
        <v>0</v>
      </c>
      <c r="R155">
        <v>0</v>
      </c>
      <c r="T155">
        <v>8.5</v>
      </c>
      <c r="U155">
        <v>0</v>
      </c>
      <c r="V155">
        <v>0</v>
      </c>
      <c r="W155">
        <v>0</v>
      </c>
      <c r="X155">
        <v>0</v>
      </c>
      <c r="Y155">
        <v>0</v>
      </c>
      <c r="Z155">
        <v>0</v>
      </c>
      <c r="AA155">
        <v>0</v>
      </c>
      <c r="AB155">
        <v>0</v>
      </c>
      <c r="AC155">
        <v>0</v>
      </c>
      <c r="AD155">
        <v>0</v>
      </c>
      <c r="AE155">
        <v>0</v>
      </c>
      <c r="AF155">
        <v>0</v>
      </c>
      <c r="AG155">
        <v>0</v>
      </c>
      <c r="AH155">
        <v>0</v>
      </c>
      <c r="AI155">
        <v>0</v>
      </c>
      <c r="AJ155">
        <v>0</v>
      </c>
      <c r="AK155">
        <v>0</v>
      </c>
      <c r="AL155">
        <v>0</v>
      </c>
      <c r="AM155">
        <v>0</v>
      </c>
      <c r="AN155">
        <v>8.5</v>
      </c>
      <c r="AP155" t="s">
        <v>1031</v>
      </c>
      <c r="AS155" t="s">
        <v>1257</v>
      </c>
      <c r="AV155" t="s">
        <v>1031</v>
      </c>
      <c r="AW155" t="s">
        <v>1257</v>
      </c>
      <c r="AX155">
        <v>0</v>
      </c>
      <c r="AY155">
        <v>0</v>
      </c>
      <c r="AZ155" t="s">
        <v>282</v>
      </c>
      <c r="BA155" t="s">
        <v>282</v>
      </c>
      <c r="BB155" t="s">
        <v>1191</v>
      </c>
      <c r="BC155">
        <v>2</v>
      </c>
    </row>
    <row r="156" spans="1:55" x14ac:dyDescent="0.25">
      <c r="A156" t="s">
        <v>99</v>
      </c>
      <c r="B156">
        <v>17</v>
      </c>
      <c r="C156" t="s">
        <v>1088</v>
      </c>
      <c r="D156" s="158">
        <v>45199</v>
      </c>
      <c r="E156">
        <v>624918</v>
      </c>
      <c r="F156">
        <v>10427374</v>
      </c>
      <c r="G156">
        <v>54108332</v>
      </c>
      <c r="H156" t="b">
        <v>0</v>
      </c>
      <c r="I156">
        <v>5</v>
      </c>
      <c r="J156" t="s">
        <v>1234</v>
      </c>
      <c r="K156">
        <v>8</v>
      </c>
      <c r="L156">
        <v>4</v>
      </c>
      <c r="M156">
        <v>2</v>
      </c>
      <c r="N156">
        <v>0</v>
      </c>
      <c r="O156">
        <v>0</v>
      </c>
      <c r="P156">
        <v>0</v>
      </c>
      <c r="Q156">
        <v>0</v>
      </c>
      <c r="R156">
        <v>0</v>
      </c>
      <c r="T156">
        <v>8</v>
      </c>
      <c r="U156">
        <v>0</v>
      </c>
      <c r="V156">
        <v>0</v>
      </c>
      <c r="W156">
        <v>0</v>
      </c>
      <c r="X156">
        <v>0</v>
      </c>
      <c r="Y156">
        <v>0</v>
      </c>
      <c r="Z156">
        <v>0</v>
      </c>
      <c r="AA156">
        <v>0</v>
      </c>
      <c r="AB156">
        <v>0</v>
      </c>
      <c r="AC156">
        <v>0</v>
      </c>
      <c r="AD156">
        <v>0</v>
      </c>
      <c r="AE156">
        <v>0</v>
      </c>
      <c r="AF156">
        <v>0</v>
      </c>
      <c r="AG156">
        <v>0</v>
      </c>
      <c r="AH156">
        <v>0</v>
      </c>
      <c r="AI156">
        <v>0</v>
      </c>
      <c r="AJ156">
        <v>0</v>
      </c>
      <c r="AK156">
        <v>0</v>
      </c>
      <c r="AL156">
        <v>0</v>
      </c>
      <c r="AM156">
        <v>0</v>
      </c>
      <c r="AN156">
        <v>8</v>
      </c>
      <c r="AP156" t="s">
        <v>1031</v>
      </c>
      <c r="AS156" t="s">
        <v>1250</v>
      </c>
      <c r="AV156" t="s">
        <v>1031</v>
      </c>
      <c r="AW156" t="s">
        <v>1250</v>
      </c>
      <c r="AX156">
        <v>0</v>
      </c>
      <c r="AY156">
        <v>0</v>
      </c>
      <c r="AZ156" t="s">
        <v>282</v>
      </c>
      <c r="BA156" t="s">
        <v>282</v>
      </c>
      <c r="BB156" t="s">
        <v>1197</v>
      </c>
      <c r="BC156">
        <v>1</v>
      </c>
    </row>
    <row r="157" spans="1:55" x14ac:dyDescent="0.25">
      <c r="A157" t="s">
        <v>99</v>
      </c>
      <c r="B157">
        <v>17</v>
      </c>
      <c r="C157" t="s">
        <v>1088</v>
      </c>
      <c r="D157" s="158">
        <v>45199</v>
      </c>
      <c r="E157">
        <v>609933</v>
      </c>
      <c r="F157">
        <v>10138757</v>
      </c>
      <c r="G157">
        <v>52363071</v>
      </c>
      <c r="H157" t="b">
        <v>0</v>
      </c>
      <c r="I157">
        <v>61</v>
      </c>
      <c r="J157" t="s">
        <v>1187</v>
      </c>
      <c r="K157">
        <v>109.5</v>
      </c>
      <c r="L157">
        <v>109.5</v>
      </c>
      <c r="M157">
        <v>1</v>
      </c>
      <c r="N157">
        <v>0</v>
      </c>
      <c r="O157">
        <v>0</v>
      </c>
      <c r="P157">
        <v>0</v>
      </c>
      <c r="Q157">
        <v>0</v>
      </c>
      <c r="R157">
        <v>0</v>
      </c>
      <c r="T157">
        <v>109.5</v>
      </c>
      <c r="U157">
        <v>0</v>
      </c>
      <c r="V157">
        <v>0</v>
      </c>
      <c r="W157">
        <v>0</v>
      </c>
      <c r="X157">
        <v>0</v>
      </c>
      <c r="Y157">
        <v>0</v>
      </c>
      <c r="Z157">
        <v>0</v>
      </c>
      <c r="AA157">
        <v>0</v>
      </c>
      <c r="AB157">
        <v>0</v>
      </c>
      <c r="AC157">
        <v>0</v>
      </c>
      <c r="AD157">
        <v>0</v>
      </c>
      <c r="AE157">
        <v>0</v>
      </c>
      <c r="AF157">
        <v>0</v>
      </c>
      <c r="AG157">
        <v>0</v>
      </c>
      <c r="AH157">
        <v>0</v>
      </c>
      <c r="AI157">
        <v>0</v>
      </c>
      <c r="AJ157">
        <v>0</v>
      </c>
      <c r="AK157">
        <v>0</v>
      </c>
      <c r="AL157">
        <v>0</v>
      </c>
      <c r="AM157">
        <v>0</v>
      </c>
      <c r="AN157">
        <v>109.5</v>
      </c>
      <c r="AP157" t="s">
        <v>1031</v>
      </c>
      <c r="AS157" t="s">
        <v>1256</v>
      </c>
      <c r="AV157" t="s">
        <v>1031</v>
      </c>
      <c r="AW157" t="s">
        <v>1256</v>
      </c>
      <c r="AX157">
        <v>0</v>
      </c>
      <c r="AY157">
        <v>0</v>
      </c>
      <c r="AZ157" t="s">
        <v>282</v>
      </c>
      <c r="BA157" t="s">
        <v>282</v>
      </c>
      <c r="BB157" t="s">
        <v>1186</v>
      </c>
      <c r="BC157">
        <v>3</v>
      </c>
    </row>
    <row r="158" spans="1:55" x14ac:dyDescent="0.25">
      <c r="A158" t="s">
        <v>99</v>
      </c>
      <c r="B158">
        <v>17</v>
      </c>
      <c r="C158" t="s">
        <v>1088</v>
      </c>
      <c r="D158" s="158">
        <v>45199</v>
      </c>
      <c r="E158">
        <v>626219</v>
      </c>
      <c r="F158">
        <v>10454296</v>
      </c>
      <c r="G158">
        <v>54285513</v>
      </c>
      <c r="H158" t="b">
        <v>0</v>
      </c>
      <c r="I158">
        <v>1</v>
      </c>
      <c r="J158" t="s">
        <v>1196</v>
      </c>
      <c r="K158">
        <v>85</v>
      </c>
      <c r="L158">
        <v>85</v>
      </c>
      <c r="M158">
        <v>1</v>
      </c>
      <c r="N158">
        <v>0</v>
      </c>
      <c r="O158">
        <v>0</v>
      </c>
      <c r="P158">
        <v>0</v>
      </c>
      <c r="Q158">
        <v>0</v>
      </c>
      <c r="R158">
        <v>0</v>
      </c>
      <c r="T158">
        <v>85</v>
      </c>
      <c r="U158">
        <v>0</v>
      </c>
      <c r="V158">
        <v>0</v>
      </c>
      <c r="W158">
        <v>0</v>
      </c>
      <c r="X158">
        <v>0</v>
      </c>
      <c r="Y158">
        <v>0</v>
      </c>
      <c r="Z158">
        <v>0</v>
      </c>
      <c r="AA158">
        <v>0</v>
      </c>
      <c r="AB158">
        <v>0</v>
      </c>
      <c r="AC158">
        <v>0</v>
      </c>
      <c r="AD158">
        <v>0</v>
      </c>
      <c r="AE158">
        <v>0</v>
      </c>
      <c r="AF158">
        <v>0</v>
      </c>
      <c r="AG158">
        <v>0</v>
      </c>
      <c r="AH158">
        <v>0</v>
      </c>
      <c r="AI158">
        <v>0</v>
      </c>
      <c r="AJ158">
        <v>0</v>
      </c>
      <c r="AK158">
        <v>0</v>
      </c>
      <c r="AL158">
        <v>0</v>
      </c>
      <c r="AM158">
        <v>0</v>
      </c>
      <c r="AN158">
        <v>85</v>
      </c>
      <c r="AP158" t="s">
        <v>1031</v>
      </c>
      <c r="AS158" t="s">
        <v>1230</v>
      </c>
      <c r="AV158" t="s">
        <v>1031</v>
      </c>
      <c r="AW158" t="s">
        <v>1230</v>
      </c>
      <c r="AX158">
        <v>0</v>
      </c>
      <c r="AY158">
        <v>0</v>
      </c>
      <c r="AZ158" t="s">
        <v>282</v>
      </c>
      <c r="BA158" t="s">
        <v>282</v>
      </c>
      <c r="BB158" t="s">
        <v>1197</v>
      </c>
      <c r="BC158">
        <v>1</v>
      </c>
    </row>
    <row r="159" spans="1:55" x14ac:dyDescent="0.25">
      <c r="A159" t="s">
        <v>99</v>
      </c>
      <c r="B159">
        <v>17</v>
      </c>
      <c r="C159" t="s">
        <v>1088</v>
      </c>
      <c r="D159" s="158">
        <v>45199</v>
      </c>
      <c r="E159">
        <v>626219</v>
      </c>
      <c r="F159">
        <v>10454296</v>
      </c>
      <c r="G159">
        <v>54285524</v>
      </c>
      <c r="H159" t="b">
        <v>0</v>
      </c>
      <c r="I159">
        <v>1</v>
      </c>
      <c r="J159" t="s">
        <v>1231</v>
      </c>
      <c r="K159">
        <v>15</v>
      </c>
      <c r="L159">
        <v>7.5</v>
      </c>
      <c r="M159">
        <v>2</v>
      </c>
      <c r="N159">
        <v>0</v>
      </c>
      <c r="O159">
        <v>0</v>
      </c>
      <c r="P159">
        <v>0</v>
      </c>
      <c r="Q159">
        <v>0</v>
      </c>
      <c r="R159">
        <v>0</v>
      </c>
      <c r="T159">
        <v>15</v>
      </c>
      <c r="U159">
        <v>0</v>
      </c>
      <c r="V159">
        <v>0</v>
      </c>
      <c r="W159">
        <v>0</v>
      </c>
      <c r="X159">
        <v>0</v>
      </c>
      <c r="Y159">
        <v>0</v>
      </c>
      <c r="Z159">
        <v>0</v>
      </c>
      <c r="AA159">
        <v>0</v>
      </c>
      <c r="AB159">
        <v>0</v>
      </c>
      <c r="AC159">
        <v>0</v>
      </c>
      <c r="AD159">
        <v>0</v>
      </c>
      <c r="AE159">
        <v>0</v>
      </c>
      <c r="AF159">
        <v>0</v>
      </c>
      <c r="AG159">
        <v>0</v>
      </c>
      <c r="AH159">
        <v>0</v>
      </c>
      <c r="AI159">
        <v>0</v>
      </c>
      <c r="AJ159">
        <v>0</v>
      </c>
      <c r="AK159">
        <v>0</v>
      </c>
      <c r="AL159">
        <v>0</v>
      </c>
      <c r="AM159">
        <v>0</v>
      </c>
      <c r="AN159">
        <v>15</v>
      </c>
      <c r="AP159" t="s">
        <v>1031</v>
      </c>
      <c r="AS159" t="s">
        <v>1230</v>
      </c>
      <c r="AV159" t="s">
        <v>1031</v>
      </c>
      <c r="AW159" t="s">
        <v>1230</v>
      </c>
      <c r="AX159">
        <v>0</v>
      </c>
      <c r="AY159">
        <v>0</v>
      </c>
      <c r="AZ159" t="s">
        <v>282</v>
      </c>
      <c r="BA159" t="s">
        <v>282</v>
      </c>
      <c r="BB159" t="s">
        <v>1197</v>
      </c>
      <c r="BC159">
        <v>1</v>
      </c>
    </row>
    <row r="160" spans="1:55" x14ac:dyDescent="0.25">
      <c r="A160" t="s">
        <v>99</v>
      </c>
      <c r="B160">
        <v>17</v>
      </c>
      <c r="C160" t="s">
        <v>1088</v>
      </c>
      <c r="D160" s="158">
        <v>45199</v>
      </c>
      <c r="E160">
        <v>622799</v>
      </c>
      <c r="F160">
        <v>10386531</v>
      </c>
      <c r="G160">
        <v>54037061</v>
      </c>
      <c r="H160" t="b">
        <v>0</v>
      </c>
      <c r="I160">
        <v>8</v>
      </c>
      <c r="J160" t="s">
        <v>1187</v>
      </c>
      <c r="K160">
        <v>216</v>
      </c>
      <c r="L160">
        <v>216</v>
      </c>
      <c r="M160">
        <v>1</v>
      </c>
      <c r="N160">
        <v>0</v>
      </c>
      <c r="O160">
        <v>0</v>
      </c>
      <c r="P160">
        <v>0</v>
      </c>
      <c r="Q160">
        <v>0</v>
      </c>
      <c r="R160">
        <v>0</v>
      </c>
      <c r="T160">
        <v>216</v>
      </c>
      <c r="U160">
        <v>0</v>
      </c>
      <c r="V160">
        <v>0</v>
      </c>
      <c r="W160">
        <v>0</v>
      </c>
      <c r="X160">
        <v>0</v>
      </c>
      <c r="Y160">
        <v>0</v>
      </c>
      <c r="Z160">
        <v>0</v>
      </c>
      <c r="AA160">
        <v>0</v>
      </c>
      <c r="AB160">
        <v>0</v>
      </c>
      <c r="AC160">
        <v>0</v>
      </c>
      <c r="AD160">
        <v>0</v>
      </c>
      <c r="AE160">
        <v>0</v>
      </c>
      <c r="AF160">
        <v>0</v>
      </c>
      <c r="AG160">
        <v>0</v>
      </c>
      <c r="AH160">
        <v>0</v>
      </c>
      <c r="AI160">
        <v>0</v>
      </c>
      <c r="AJ160">
        <v>0</v>
      </c>
      <c r="AK160">
        <v>0</v>
      </c>
      <c r="AL160">
        <v>0</v>
      </c>
      <c r="AM160">
        <v>0</v>
      </c>
      <c r="AN160">
        <v>216</v>
      </c>
      <c r="AP160" t="s">
        <v>1091</v>
      </c>
      <c r="AS160" t="s">
        <v>1188</v>
      </c>
      <c r="AV160" t="s">
        <v>1091</v>
      </c>
      <c r="AW160" t="s">
        <v>1188</v>
      </c>
      <c r="AX160">
        <v>0</v>
      </c>
      <c r="AY160">
        <v>0</v>
      </c>
      <c r="AZ160" t="s">
        <v>282</v>
      </c>
      <c r="BA160" t="s">
        <v>282</v>
      </c>
      <c r="BB160" t="s">
        <v>1197</v>
      </c>
      <c r="BC160">
        <v>1</v>
      </c>
    </row>
    <row r="161" spans="1:55" x14ac:dyDescent="0.25">
      <c r="A161" t="s">
        <v>99</v>
      </c>
      <c r="B161">
        <v>17</v>
      </c>
      <c r="C161" t="s">
        <v>1088</v>
      </c>
      <c r="D161" s="158">
        <v>45199</v>
      </c>
      <c r="E161">
        <v>621652</v>
      </c>
      <c r="F161">
        <v>10366267</v>
      </c>
      <c r="G161">
        <v>54031166</v>
      </c>
      <c r="H161" t="b">
        <v>0</v>
      </c>
      <c r="I161">
        <v>9</v>
      </c>
      <c r="J161" t="s">
        <v>1187</v>
      </c>
      <c r="K161">
        <v>216</v>
      </c>
      <c r="L161">
        <v>216</v>
      </c>
      <c r="M161">
        <v>1</v>
      </c>
      <c r="N161">
        <v>0</v>
      </c>
      <c r="O161">
        <v>0</v>
      </c>
      <c r="P161">
        <v>0</v>
      </c>
      <c r="Q161">
        <v>0</v>
      </c>
      <c r="R161">
        <v>0</v>
      </c>
      <c r="T161">
        <v>216</v>
      </c>
      <c r="U161">
        <v>0</v>
      </c>
      <c r="V161">
        <v>0</v>
      </c>
      <c r="W161">
        <v>0</v>
      </c>
      <c r="X161">
        <v>0</v>
      </c>
      <c r="Y161">
        <v>0</v>
      </c>
      <c r="Z161">
        <v>0</v>
      </c>
      <c r="AA161">
        <v>0</v>
      </c>
      <c r="AB161">
        <v>0</v>
      </c>
      <c r="AC161">
        <v>0</v>
      </c>
      <c r="AD161">
        <v>0</v>
      </c>
      <c r="AE161">
        <v>0</v>
      </c>
      <c r="AF161">
        <v>0</v>
      </c>
      <c r="AG161">
        <v>0</v>
      </c>
      <c r="AH161">
        <v>0</v>
      </c>
      <c r="AI161">
        <v>0</v>
      </c>
      <c r="AJ161">
        <v>0</v>
      </c>
      <c r="AK161">
        <v>0</v>
      </c>
      <c r="AL161">
        <v>0</v>
      </c>
      <c r="AM161">
        <v>0</v>
      </c>
      <c r="AN161">
        <v>216</v>
      </c>
      <c r="AP161" t="s">
        <v>1091</v>
      </c>
      <c r="AS161" t="s">
        <v>1188</v>
      </c>
      <c r="AV161" t="s">
        <v>1091</v>
      </c>
      <c r="AW161" t="s">
        <v>1188</v>
      </c>
      <c r="AX161">
        <v>0</v>
      </c>
      <c r="AY161">
        <v>0</v>
      </c>
      <c r="AZ161" t="s">
        <v>282</v>
      </c>
      <c r="BA161" t="s">
        <v>282</v>
      </c>
      <c r="BB161" t="s">
        <v>1197</v>
      </c>
      <c r="BC161">
        <v>1</v>
      </c>
    </row>
    <row r="162" spans="1:55" x14ac:dyDescent="0.25">
      <c r="A162" t="s">
        <v>99</v>
      </c>
      <c r="B162">
        <v>17</v>
      </c>
      <c r="C162" t="s">
        <v>1088</v>
      </c>
      <c r="D162" s="158">
        <v>45199</v>
      </c>
      <c r="E162">
        <v>621652</v>
      </c>
      <c r="F162">
        <v>10366267</v>
      </c>
      <c r="G162">
        <v>54031168</v>
      </c>
      <c r="H162" t="b">
        <v>0</v>
      </c>
      <c r="I162">
        <v>9</v>
      </c>
      <c r="J162" t="s">
        <v>1187</v>
      </c>
      <c r="K162">
        <v>216</v>
      </c>
      <c r="L162">
        <v>216</v>
      </c>
      <c r="M162">
        <v>1</v>
      </c>
      <c r="N162">
        <v>0</v>
      </c>
      <c r="O162">
        <v>0</v>
      </c>
      <c r="P162">
        <v>0</v>
      </c>
      <c r="Q162">
        <v>0</v>
      </c>
      <c r="R162">
        <v>0</v>
      </c>
      <c r="T162">
        <v>216</v>
      </c>
      <c r="U162">
        <v>0</v>
      </c>
      <c r="V162">
        <v>0</v>
      </c>
      <c r="W162">
        <v>0</v>
      </c>
      <c r="X162">
        <v>0</v>
      </c>
      <c r="Y162">
        <v>0</v>
      </c>
      <c r="Z162">
        <v>0</v>
      </c>
      <c r="AA162">
        <v>0</v>
      </c>
      <c r="AB162">
        <v>0</v>
      </c>
      <c r="AC162">
        <v>0</v>
      </c>
      <c r="AD162">
        <v>0</v>
      </c>
      <c r="AE162">
        <v>0</v>
      </c>
      <c r="AF162">
        <v>0</v>
      </c>
      <c r="AG162">
        <v>0</v>
      </c>
      <c r="AH162">
        <v>0</v>
      </c>
      <c r="AI162">
        <v>0</v>
      </c>
      <c r="AJ162">
        <v>0</v>
      </c>
      <c r="AK162">
        <v>0</v>
      </c>
      <c r="AL162">
        <v>0</v>
      </c>
      <c r="AM162">
        <v>0</v>
      </c>
      <c r="AN162">
        <v>216</v>
      </c>
      <c r="AP162" t="s">
        <v>1091</v>
      </c>
      <c r="AS162" t="s">
        <v>1188</v>
      </c>
      <c r="AV162" t="s">
        <v>1091</v>
      </c>
      <c r="AW162" t="s">
        <v>1188</v>
      </c>
      <c r="AX162">
        <v>0</v>
      </c>
      <c r="AY162">
        <v>0</v>
      </c>
      <c r="AZ162" t="s">
        <v>282</v>
      </c>
      <c r="BA162" t="s">
        <v>282</v>
      </c>
      <c r="BB162" t="s">
        <v>1197</v>
      </c>
      <c r="BC162">
        <v>1</v>
      </c>
    </row>
    <row r="163" spans="1:55" x14ac:dyDescent="0.25">
      <c r="A163" t="s">
        <v>99</v>
      </c>
      <c r="B163">
        <v>17</v>
      </c>
      <c r="C163" t="s">
        <v>1088</v>
      </c>
      <c r="D163" s="158">
        <v>45199</v>
      </c>
      <c r="E163">
        <v>615283</v>
      </c>
      <c r="F163">
        <v>10244295</v>
      </c>
      <c r="G163">
        <v>53304784</v>
      </c>
      <c r="H163" t="b">
        <v>0</v>
      </c>
      <c r="I163">
        <v>44</v>
      </c>
      <c r="J163" t="s">
        <v>1192</v>
      </c>
      <c r="K163">
        <v>15</v>
      </c>
      <c r="L163">
        <v>15</v>
      </c>
      <c r="M163">
        <v>1</v>
      </c>
      <c r="N163">
        <v>0</v>
      </c>
      <c r="O163">
        <v>0</v>
      </c>
      <c r="P163">
        <v>0</v>
      </c>
      <c r="Q163">
        <v>0</v>
      </c>
      <c r="R163">
        <v>0</v>
      </c>
      <c r="T163">
        <v>15</v>
      </c>
      <c r="U163">
        <v>0</v>
      </c>
      <c r="V163">
        <v>0</v>
      </c>
      <c r="W163">
        <v>0</v>
      </c>
      <c r="X163">
        <v>0</v>
      </c>
      <c r="Y163">
        <v>0</v>
      </c>
      <c r="Z163">
        <v>0</v>
      </c>
      <c r="AA163">
        <v>0</v>
      </c>
      <c r="AB163">
        <v>0</v>
      </c>
      <c r="AC163">
        <v>0</v>
      </c>
      <c r="AD163">
        <v>0</v>
      </c>
      <c r="AE163">
        <v>0</v>
      </c>
      <c r="AF163">
        <v>0</v>
      </c>
      <c r="AG163">
        <v>0</v>
      </c>
      <c r="AH163">
        <v>0</v>
      </c>
      <c r="AI163">
        <v>0</v>
      </c>
      <c r="AJ163">
        <v>0</v>
      </c>
      <c r="AK163">
        <v>0</v>
      </c>
      <c r="AL163">
        <v>0</v>
      </c>
      <c r="AM163">
        <v>0</v>
      </c>
      <c r="AN163">
        <v>15</v>
      </c>
      <c r="AP163" t="s">
        <v>1031</v>
      </c>
      <c r="AS163" t="s">
        <v>1193</v>
      </c>
      <c r="AV163" t="s">
        <v>1031</v>
      </c>
      <c r="AW163" t="s">
        <v>1193</v>
      </c>
      <c r="AX163">
        <v>0</v>
      </c>
      <c r="AY163">
        <v>0</v>
      </c>
      <c r="AZ163" t="s">
        <v>282</v>
      </c>
      <c r="BA163" t="s">
        <v>282</v>
      </c>
      <c r="BB163" t="s">
        <v>1191</v>
      </c>
      <c r="BC163">
        <v>2</v>
      </c>
    </row>
    <row r="164" spans="1:55" x14ac:dyDescent="0.25">
      <c r="A164" t="s">
        <v>99</v>
      </c>
      <c r="B164">
        <v>17</v>
      </c>
      <c r="C164" t="s">
        <v>1088</v>
      </c>
      <c r="D164" s="158">
        <v>45199</v>
      </c>
      <c r="E164">
        <v>615291</v>
      </c>
      <c r="F164">
        <v>10244373</v>
      </c>
      <c r="G164">
        <v>53304809</v>
      </c>
      <c r="H164" t="b">
        <v>0</v>
      </c>
      <c r="I164">
        <v>44</v>
      </c>
      <c r="J164" t="s">
        <v>1187</v>
      </c>
      <c r="K164">
        <v>109.5</v>
      </c>
      <c r="L164">
        <v>109.5</v>
      </c>
      <c r="M164">
        <v>1</v>
      </c>
      <c r="N164">
        <v>0</v>
      </c>
      <c r="O164">
        <v>0</v>
      </c>
      <c r="P164">
        <v>0</v>
      </c>
      <c r="Q164">
        <v>0</v>
      </c>
      <c r="R164">
        <v>0</v>
      </c>
      <c r="T164">
        <v>109.5</v>
      </c>
      <c r="U164">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109.5</v>
      </c>
      <c r="AP164" t="s">
        <v>1031</v>
      </c>
      <c r="AS164" t="s">
        <v>1193</v>
      </c>
      <c r="AV164" t="s">
        <v>1031</v>
      </c>
      <c r="AW164" t="s">
        <v>1193</v>
      </c>
      <c r="AX164">
        <v>0</v>
      </c>
      <c r="AY164">
        <v>0</v>
      </c>
      <c r="AZ164" t="s">
        <v>282</v>
      </c>
      <c r="BA164" t="s">
        <v>282</v>
      </c>
      <c r="BB164" t="s">
        <v>1191</v>
      </c>
      <c r="BC164">
        <v>2</v>
      </c>
    </row>
    <row r="165" spans="1:55" x14ac:dyDescent="0.25">
      <c r="A165" t="s">
        <v>99</v>
      </c>
      <c r="B165">
        <v>17</v>
      </c>
      <c r="C165" t="s">
        <v>1088</v>
      </c>
      <c r="D165" s="158">
        <v>45199</v>
      </c>
      <c r="E165">
        <v>609933</v>
      </c>
      <c r="F165">
        <v>10138757</v>
      </c>
      <c r="G165">
        <v>52363062</v>
      </c>
      <c r="H165" t="b">
        <v>0</v>
      </c>
      <c r="I165">
        <v>61</v>
      </c>
      <c r="J165" t="s">
        <v>1187</v>
      </c>
      <c r="K165">
        <v>109.5</v>
      </c>
      <c r="L165">
        <v>109.5</v>
      </c>
      <c r="M165">
        <v>1</v>
      </c>
      <c r="N165">
        <v>0</v>
      </c>
      <c r="O165">
        <v>0</v>
      </c>
      <c r="P165">
        <v>0</v>
      </c>
      <c r="Q165">
        <v>0</v>
      </c>
      <c r="R165">
        <v>0</v>
      </c>
      <c r="T165">
        <v>109.5</v>
      </c>
      <c r="U165">
        <v>0</v>
      </c>
      <c r="V165">
        <v>0</v>
      </c>
      <c r="W165">
        <v>0</v>
      </c>
      <c r="X165">
        <v>0</v>
      </c>
      <c r="Y165">
        <v>0</v>
      </c>
      <c r="Z165">
        <v>0</v>
      </c>
      <c r="AA165">
        <v>0</v>
      </c>
      <c r="AB165">
        <v>0</v>
      </c>
      <c r="AC165">
        <v>0</v>
      </c>
      <c r="AD165">
        <v>0</v>
      </c>
      <c r="AE165">
        <v>0</v>
      </c>
      <c r="AF165">
        <v>0</v>
      </c>
      <c r="AG165">
        <v>0</v>
      </c>
      <c r="AH165">
        <v>0</v>
      </c>
      <c r="AI165">
        <v>0</v>
      </c>
      <c r="AJ165">
        <v>0</v>
      </c>
      <c r="AK165">
        <v>0</v>
      </c>
      <c r="AL165">
        <v>0</v>
      </c>
      <c r="AM165">
        <v>0</v>
      </c>
      <c r="AN165">
        <v>109.5</v>
      </c>
      <c r="AP165" t="s">
        <v>1031</v>
      </c>
      <c r="AS165" t="s">
        <v>1256</v>
      </c>
      <c r="AV165" t="s">
        <v>1031</v>
      </c>
      <c r="AW165" t="s">
        <v>1256</v>
      </c>
      <c r="AX165">
        <v>0</v>
      </c>
      <c r="AY165">
        <v>0</v>
      </c>
      <c r="AZ165" t="s">
        <v>282</v>
      </c>
      <c r="BA165" t="s">
        <v>282</v>
      </c>
      <c r="BB165" t="s">
        <v>1186</v>
      </c>
      <c r="BC165">
        <v>3</v>
      </c>
    </row>
    <row r="166" spans="1:55" x14ac:dyDescent="0.25">
      <c r="A166" t="s">
        <v>99</v>
      </c>
      <c r="B166">
        <v>17</v>
      </c>
      <c r="C166" t="s">
        <v>1088</v>
      </c>
      <c r="D166" s="158">
        <v>45199</v>
      </c>
      <c r="E166">
        <v>624425</v>
      </c>
      <c r="F166">
        <v>10417817</v>
      </c>
      <c r="G166">
        <v>54042125</v>
      </c>
      <c r="H166" t="b">
        <v>0</v>
      </c>
      <c r="I166">
        <v>8</v>
      </c>
      <c r="J166" t="s">
        <v>1198</v>
      </c>
      <c r="K166">
        <v>85</v>
      </c>
      <c r="L166">
        <v>85</v>
      </c>
      <c r="M166">
        <v>1</v>
      </c>
      <c r="N166">
        <v>0</v>
      </c>
      <c r="O166">
        <v>0</v>
      </c>
      <c r="P166">
        <v>0</v>
      </c>
      <c r="Q166">
        <v>0</v>
      </c>
      <c r="R166">
        <v>0</v>
      </c>
      <c r="T166">
        <v>85</v>
      </c>
      <c r="U166">
        <v>0</v>
      </c>
      <c r="V166">
        <v>0</v>
      </c>
      <c r="W166">
        <v>0</v>
      </c>
      <c r="X166">
        <v>0</v>
      </c>
      <c r="Y166">
        <v>0</v>
      </c>
      <c r="Z166">
        <v>0</v>
      </c>
      <c r="AA166">
        <v>0</v>
      </c>
      <c r="AB166">
        <v>0</v>
      </c>
      <c r="AC166">
        <v>0</v>
      </c>
      <c r="AD166">
        <v>0</v>
      </c>
      <c r="AE166">
        <v>0</v>
      </c>
      <c r="AF166">
        <v>0</v>
      </c>
      <c r="AG166">
        <v>0</v>
      </c>
      <c r="AH166">
        <v>0</v>
      </c>
      <c r="AI166">
        <v>0</v>
      </c>
      <c r="AJ166">
        <v>0</v>
      </c>
      <c r="AK166">
        <v>0</v>
      </c>
      <c r="AL166">
        <v>0</v>
      </c>
      <c r="AM166">
        <v>0</v>
      </c>
      <c r="AN166">
        <v>85</v>
      </c>
      <c r="AP166" t="s">
        <v>1031</v>
      </c>
      <c r="AS166" t="s">
        <v>1250</v>
      </c>
      <c r="AV166" t="s">
        <v>1031</v>
      </c>
      <c r="AW166" t="s">
        <v>1250</v>
      </c>
      <c r="AX166">
        <v>0</v>
      </c>
      <c r="AY166">
        <v>0</v>
      </c>
      <c r="AZ166" t="s">
        <v>282</v>
      </c>
      <c r="BA166" t="s">
        <v>282</v>
      </c>
      <c r="BB166" t="s">
        <v>1197</v>
      </c>
      <c r="BC166">
        <v>1</v>
      </c>
    </row>
    <row r="167" spans="1:55" x14ac:dyDescent="0.25">
      <c r="A167" t="s">
        <v>99</v>
      </c>
      <c r="B167">
        <v>17</v>
      </c>
      <c r="C167" t="s">
        <v>1088</v>
      </c>
      <c r="D167" s="158">
        <v>45199</v>
      </c>
      <c r="E167">
        <v>624425</v>
      </c>
      <c r="F167">
        <v>10417817</v>
      </c>
      <c r="G167">
        <v>54042129</v>
      </c>
      <c r="H167" t="b">
        <v>0</v>
      </c>
      <c r="I167">
        <v>8</v>
      </c>
      <c r="J167" t="s">
        <v>1249</v>
      </c>
      <c r="K167">
        <v>15</v>
      </c>
      <c r="L167">
        <v>7.5</v>
      </c>
      <c r="M167">
        <v>2</v>
      </c>
      <c r="N167">
        <v>0</v>
      </c>
      <c r="O167">
        <v>0</v>
      </c>
      <c r="P167">
        <v>0</v>
      </c>
      <c r="Q167">
        <v>0</v>
      </c>
      <c r="R167">
        <v>0</v>
      </c>
      <c r="T167">
        <v>15</v>
      </c>
      <c r="U167">
        <v>0</v>
      </c>
      <c r="V167">
        <v>0</v>
      </c>
      <c r="W167">
        <v>0</v>
      </c>
      <c r="X167">
        <v>0</v>
      </c>
      <c r="Y167">
        <v>0</v>
      </c>
      <c r="Z167">
        <v>0</v>
      </c>
      <c r="AA167">
        <v>0</v>
      </c>
      <c r="AB167">
        <v>0</v>
      </c>
      <c r="AC167">
        <v>0</v>
      </c>
      <c r="AD167">
        <v>0</v>
      </c>
      <c r="AE167">
        <v>0</v>
      </c>
      <c r="AF167">
        <v>0</v>
      </c>
      <c r="AG167">
        <v>0</v>
      </c>
      <c r="AH167">
        <v>0</v>
      </c>
      <c r="AI167">
        <v>0</v>
      </c>
      <c r="AJ167">
        <v>0</v>
      </c>
      <c r="AK167">
        <v>0</v>
      </c>
      <c r="AL167">
        <v>0</v>
      </c>
      <c r="AM167">
        <v>0</v>
      </c>
      <c r="AN167">
        <v>15</v>
      </c>
      <c r="AP167" t="s">
        <v>1031</v>
      </c>
      <c r="AS167" t="s">
        <v>1250</v>
      </c>
      <c r="AV167" t="s">
        <v>1031</v>
      </c>
      <c r="AW167" t="s">
        <v>1250</v>
      </c>
      <c r="AX167">
        <v>0</v>
      </c>
      <c r="AY167">
        <v>0</v>
      </c>
      <c r="AZ167" t="s">
        <v>282</v>
      </c>
      <c r="BA167" t="s">
        <v>282</v>
      </c>
      <c r="BB167" t="s">
        <v>1197</v>
      </c>
      <c r="BC167">
        <v>1</v>
      </c>
    </row>
    <row r="168" spans="1:55" x14ac:dyDescent="0.25">
      <c r="A168" t="s">
        <v>99</v>
      </c>
      <c r="B168">
        <v>17</v>
      </c>
      <c r="C168" t="s">
        <v>1088</v>
      </c>
      <c r="D168" s="158">
        <v>45199</v>
      </c>
      <c r="E168">
        <v>624116</v>
      </c>
      <c r="F168">
        <v>10411744</v>
      </c>
      <c r="G168">
        <v>54059364</v>
      </c>
      <c r="H168" t="b">
        <v>0</v>
      </c>
      <c r="I168">
        <v>8</v>
      </c>
      <c r="J168" t="s">
        <v>1187</v>
      </c>
      <c r="K168">
        <v>216</v>
      </c>
      <c r="L168">
        <v>216</v>
      </c>
      <c r="M168">
        <v>1</v>
      </c>
      <c r="N168">
        <v>0</v>
      </c>
      <c r="O168">
        <v>0</v>
      </c>
      <c r="P168">
        <v>0</v>
      </c>
      <c r="Q168">
        <v>0</v>
      </c>
      <c r="R168">
        <v>0</v>
      </c>
      <c r="T168">
        <v>216</v>
      </c>
      <c r="U168">
        <v>0</v>
      </c>
      <c r="V168">
        <v>0</v>
      </c>
      <c r="W168">
        <v>0</v>
      </c>
      <c r="X168">
        <v>0</v>
      </c>
      <c r="Y168">
        <v>0</v>
      </c>
      <c r="Z168">
        <v>0</v>
      </c>
      <c r="AA168">
        <v>0</v>
      </c>
      <c r="AB168">
        <v>0</v>
      </c>
      <c r="AC168">
        <v>0</v>
      </c>
      <c r="AD168">
        <v>0</v>
      </c>
      <c r="AE168">
        <v>0</v>
      </c>
      <c r="AF168">
        <v>0</v>
      </c>
      <c r="AG168">
        <v>0</v>
      </c>
      <c r="AH168">
        <v>0</v>
      </c>
      <c r="AI168">
        <v>0</v>
      </c>
      <c r="AJ168">
        <v>0</v>
      </c>
      <c r="AK168">
        <v>0</v>
      </c>
      <c r="AL168">
        <v>0</v>
      </c>
      <c r="AM168">
        <v>0</v>
      </c>
      <c r="AN168">
        <v>216</v>
      </c>
      <c r="AP168" t="s">
        <v>1091</v>
      </c>
      <c r="AS168" t="s">
        <v>1185</v>
      </c>
      <c r="AV168" t="s">
        <v>1091</v>
      </c>
      <c r="AW168" t="s">
        <v>1185</v>
      </c>
      <c r="AX168">
        <v>0</v>
      </c>
      <c r="AY168">
        <v>0</v>
      </c>
      <c r="AZ168" t="s">
        <v>282</v>
      </c>
      <c r="BA168" t="s">
        <v>282</v>
      </c>
      <c r="BB168" t="s">
        <v>1197</v>
      </c>
      <c r="BC168">
        <v>1</v>
      </c>
    </row>
    <row r="169" spans="1:55" x14ac:dyDescent="0.25">
      <c r="A169" t="s">
        <v>99</v>
      </c>
      <c r="B169">
        <v>17</v>
      </c>
      <c r="C169" t="s">
        <v>1088</v>
      </c>
      <c r="D169" s="158">
        <v>45199</v>
      </c>
      <c r="E169">
        <v>624116</v>
      </c>
      <c r="F169">
        <v>10411744</v>
      </c>
      <c r="G169">
        <v>54059365</v>
      </c>
      <c r="H169" t="b">
        <v>0</v>
      </c>
      <c r="I169">
        <v>8</v>
      </c>
      <c r="J169" t="s">
        <v>1187</v>
      </c>
      <c r="K169">
        <v>216</v>
      </c>
      <c r="L169">
        <v>216</v>
      </c>
      <c r="M169">
        <v>1</v>
      </c>
      <c r="N169">
        <v>0</v>
      </c>
      <c r="O169">
        <v>0</v>
      </c>
      <c r="P169">
        <v>0</v>
      </c>
      <c r="Q169">
        <v>0</v>
      </c>
      <c r="R169">
        <v>0</v>
      </c>
      <c r="T169">
        <v>216</v>
      </c>
      <c r="U169">
        <v>0</v>
      </c>
      <c r="V169">
        <v>0</v>
      </c>
      <c r="W169">
        <v>0</v>
      </c>
      <c r="X169">
        <v>0</v>
      </c>
      <c r="Y169">
        <v>0</v>
      </c>
      <c r="Z169">
        <v>0</v>
      </c>
      <c r="AA169">
        <v>0</v>
      </c>
      <c r="AB169">
        <v>0</v>
      </c>
      <c r="AC169">
        <v>0</v>
      </c>
      <c r="AD169">
        <v>0</v>
      </c>
      <c r="AE169">
        <v>0</v>
      </c>
      <c r="AF169">
        <v>0</v>
      </c>
      <c r="AG169">
        <v>0</v>
      </c>
      <c r="AH169">
        <v>0</v>
      </c>
      <c r="AI169">
        <v>0</v>
      </c>
      <c r="AJ169">
        <v>0</v>
      </c>
      <c r="AK169">
        <v>0</v>
      </c>
      <c r="AL169">
        <v>0</v>
      </c>
      <c r="AM169">
        <v>0</v>
      </c>
      <c r="AN169">
        <v>216</v>
      </c>
      <c r="AP169" t="s">
        <v>1091</v>
      </c>
      <c r="AS169" t="s">
        <v>1185</v>
      </c>
      <c r="AV169" t="s">
        <v>1091</v>
      </c>
      <c r="AW169" t="s">
        <v>1185</v>
      </c>
      <c r="AX169">
        <v>0</v>
      </c>
      <c r="AY169">
        <v>0</v>
      </c>
      <c r="AZ169" t="s">
        <v>282</v>
      </c>
      <c r="BA169" t="s">
        <v>282</v>
      </c>
      <c r="BB169" t="s">
        <v>1197</v>
      </c>
      <c r="BC169">
        <v>1</v>
      </c>
    </row>
    <row r="170" spans="1:55" x14ac:dyDescent="0.25">
      <c r="A170" t="s">
        <v>99</v>
      </c>
      <c r="B170">
        <v>17</v>
      </c>
      <c r="C170" t="s">
        <v>1088</v>
      </c>
      <c r="D170" s="158">
        <v>45199</v>
      </c>
      <c r="E170">
        <v>615291</v>
      </c>
      <c r="F170">
        <v>10244373</v>
      </c>
      <c r="G170">
        <v>53304812</v>
      </c>
      <c r="H170" t="b">
        <v>0</v>
      </c>
      <c r="I170">
        <v>44</v>
      </c>
      <c r="J170" t="s">
        <v>1192</v>
      </c>
      <c r="K170">
        <v>15</v>
      </c>
      <c r="L170">
        <v>15</v>
      </c>
      <c r="M170">
        <v>1</v>
      </c>
      <c r="N170">
        <v>0</v>
      </c>
      <c r="O170">
        <v>0</v>
      </c>
      <c r="P170">
        <v>0</v>
      </c>
      <c r="Q170">
        <v>0</v>
      </c>
      <c r="R170">
        <v>0</v>
      </c>
      <c r="T170">
        <v>15</v>
      </c>
      <c r="U170">
        <v>0</v>
      </c>
      <c r="V170">
        <v>0</v>
      </c>
      <c r="W170">
        <v>0</v>
      </c>
      <c r="X170">
        <v>0</v>
      </c>
      <c r="Y170">
        <v>0</v>
      </c>
      <c r="Z170">
        <v>0</v>
      </c>
      <c r="AA170">
        <v>0</v>
      </c>
      <c r="AB170">
        <v>0</v>
      </c>
      <c r="AC170">
        <v>0</v>
      </c>
      <c r="AD170">
        <v>0</v>
      </c>
      <c r="AE170">
        <v>0</v>
      </c>
      <c r="AF170">
        <v>0</v>
      </c>
      <c r="AG170">
        <v>0</v>
      </c>
      <c r="AH170">
        <v>0</v>
      </c>
      <c r="AI170">
        <v>0</v>
      </c>
      <c r="AJ170">
        <v>0</v>
      </c>
      <c r="AK170">
        <v>0</v>
      </c>
      <c r="AL170">
        <v>0</v>
      </c>
      <c r="AM170">
        <v>0</v>
      </c>
      <c r="AN170">
        <v>15</v>
      </c>
      <c r="AP170" t="s">
        <v>1031</v>
      </c>
      <c r="AS170" t="s">
        <v>1193</v>
      </c>
      <c r="AV170" t="s">
        <v>1031</v>
      </c>
      <c r="AW170" t="s">
        <v>1193</v>
      </c>
      <c r="AX170">
        <v>0</v>
      </c>
      <c r="AY170">
        <v>0</v>
      </c>
      <c r="AZ170" t="s">
        <v>282</v>
      </c>
      <c r="BA170" t="s">
        <v>282</v>
      </c>
      <c r="BB170" t="s">
        <v>1191</v>
      </c>
      <c r="BC170">
        <v>2</v>
      </c>
    </row>
    <row r="171" spans="1:55" x14ac:dyDescent="0.25">
      <c r="A171" t="s">
        <v>99</v>
      </c>
      <c r="B171">
        <v>17</v>
      </c>
      <c r="C171" t="s">
        <v>1088</v>
      </c>
      <c r="D171" s="158">
        <v>45199</v>
      </c>
      <c r="E171">
        <v>615283</v>
      </c>
      <c r="F171">
        <v>10244295</v>
      </c>
      <c r="G171">
        <v>53304065</v>
      </c>
      <c r="H171" t="b">
        <v>0</v>
      </c>
      <c r="I171">
        <v>44</v>
      </c>
      <c r="J171" t="s">
        <v>1187</v>
      </c>
      <c r="K171">
        <v>109.5</v>
      </c>
      <c r="L171">
        <v>109.5</v>
      </c>
      <c r="M171">
        <v>1</v>
      </c>
      <c r="N171">
        <v>0</v>
      </c>
      <c r="O171">
        <v>0</v>
      </c>
      <c r="P171">
        <v>0</v>
      </c>
      <c r="Q171">
        <v>0</v>
      </c>
      <c r="R171">
        <v>0</v>
      </c>
      <c r="T171">
        <v>109.5</v>
      </c>
      <c r="U171">
        <v>0</v>
      </c>
      <c r="V171">
        <v>0</v>
      </c>
      <c r="W171">
        <v>0</v>
      </c>
      <c r="X171">
        <v>0</v>
      </c>
      <c r="Y171">
        <v>0</v>
      </c>
      <c r="Z171">
        <v>0</v>
      </c>
      <c r="AA171">
        <v>0</v>
      </c>
      <c r="AB171">
        <v>0</v>
      </c>
      <c r="AC171">
        <v>0</v>
      </c>
      <c r="AD171">
        <v>0</v>
      </c>
      <c r="AE171">
        <v>0</v>
      </c>
      <c r="AF171">
        <v>0</v>
      </c>
      <c r="AG171">
        <v>0</v>
      </c>
      <c r="AH171">
        <v>0</v>
      </c>
      <c r="AI171">
        <v>0</v>
      </c>
      <c r="AJ171">
        <v>0</v>
      </c>
      <c r="AK171">
        <v>0</v>
      </c>
      <c r="AL171">
        <v>0</v>
      </c>
      <c r="AM171">
        <v>0</v>
      </c>
      <c r="AN171">
        <v>109.5</v>
      </c>
      <c r="AP171" t="s">
        <v>1031</v>
      </c>
      <c r="AS171" t="s">
        <v>1193</v>
      </c>
      <c r="AV171" t="s">
        <v>1031</v>
      </c>
      <c r="AW171" t="s">
        <v>1193</v>
      </c>
      <c r="AX171">
        <v>0</v>
      </c>
      <c r="AY171">
        <v>0</v>
      </c>
      <c r="AZ171" t="s">
        <v>282</v>
      </c>
      <c r="BA171" t="s">
        <v>282</v>
      </c>
      <c r="BB171" t="s">
        <v>1191</v>
      </c>
      <c r="BC171">
        <v>2</v>
      </c>
    </row>
    <row r="172" spans="1:55" x14ac:dyDescent="0.25">
      <c r="A172" t="s">
        <v>99</v>
      </c>
      <c r="B172">
        <v>17</v>
      </c>
      <c r="C172" t="s">
        <v>1088</v>
      </c>
      <c r="D172" s="158">
        <v>45199</v>
      </c>
      <c r="E172">
        <v>620378</v>
      </c>
      <c r="F172">
        <v>10339688</v>
      </c>
      <c r="G172">
        <v>53588927</v>
      </c>
      <c r="H172" t="b">
        <v>0</v>
      </c>
      <c r="I172">
        <v>23</v>
      </c>
      <c r="J172" t="s">
        <v>1249</v>
      </c>
      <c r="K172">
        <v>15</v>
      </c>
      <c r="L172">
        <v>7.5</v>
      </c>
      <c r="M172">
        <v>2</v>
      </c>
      <c r="N172">
        <v>0</v>
      </c>
      <c r="O172">
        <v>0</v>
      </c>
      <c r="P172">
        <v>0</v>
      </c>
      <c r="Q172">
        <v>0</v>
      </c>
      <c r="R172">
        <v>0</v>
      </c>
      <c r="T172">
        <v>15</v>
      </c>
      <c r="U172">
        <v>0</v>
      </c>
      <c r="V172">
        <v>0</v>
      </c>
      <c r="W172">
        <v>0</v>
      </c>
      <c r="X172">
        <v>0</v>
      </c>
      <c r="Y172">
        <v>0</v>
      </c>
      <c r="Z172">
        <v>0</v>
      </c>
      <c r="AA172">
        <v>0</v>
      </c>
      <c r="AB172">
        <v>0</v>
      </c>
      <c r="AC172">
        <v>0</v>
      </c>
      <c r="AD172">
        <v>0</v>
      </c>
      <c r="AE172">
        <v>0</v>
      </c>
      <c r="AF172">
        <v>0</v>
      </c>
      <c r="AG172">
        <v>0</v>
      </c>
      <c r="AH172">
        <v>0</v>
      </c>
      <c r="AI172">
        <v>0</v>
      </c>
      <c r="AJ172">
        <v>0</v>
      </c>
      <c r="AK172">
        <v>0</v>
      </c>
      <c r="AL172">
        <v>0</v>
      </c>
      <c r="AM172">
        <v>0</v>
      </c>
      <c r="AN172">
        <v>15</v>
      </c>
      <c r="AP172" t="s">
        <v>1031</v>
      </c>
      <c r="AS172" t="s">
        <v>1250</v>
      </c>
      <c r="AV172" t="s">
        <v>1031</v>
      </c>
      <c r="AW172" t="s">
        <v>1250</v>
      </c>
      <c r="AX172">
        <v>0</v>
      </c>
      <c r="AY172">
        <v>0</v>
      </c>
      <c r="AZ172" t="s">
        <v>282</v>
      </c>
      <c r="BA172" t="s">
        <v>282</v>
      </c>
      <c r="BB172" t="s">
        <v>1197</v>
      </c>
      <c r="BC172">
        <v>1</v>
      </c>
    </row>
    <row r="173" spans="1:55" x14ac:dyDescent="0.25">
      <c r="A173" t="s">
        <v>99</v>
      </c>
      <c r="B173">
        <v>17</v>
      </c>
      <c r="C173" t="s">
        <v>1088</v>
      </c>
      <c r="D173" s="158">
        <v>45199</v>
      </c>
      <c r="E173">
        <v>620378</v>
      </c>
      <c r="F173">
        <v>10339688</v>
      </c>
      <c r="G173">
        <v>53588961</v>
      </c>
      <c r="H173" t="b">
        <v>0</v>
      </c>
      <c r="I173">
        <v>23</v>
      </c>
      <c r="J173" t="s">
        <v>1255</v>
      </c>
      <c r="K173">
        <v>15</v>
      </c>
      <c r="L173">
        <v>7.5</v>
      </c>
      <c r="M173">
        <v>2</v>
      </c>
      <c r="N173">
        <v>0</v>
      </c>
      <c r="O173">
        <v>0</v>
      </c>
      <c r="P173">
        <v>0</v>
      </c>
      <c r="Q173">
        <v>0</v>
      </c>
      <c r="R173">
        <v>0</v>
      </c>
      <c r="T173">
        <v>15</v>
      </c>
      <c r="U173">
        <v>0</v>
      </c>
      <c r="V173">
        <v>0</v>
      </c>
      <c r="W173">
        <v>0</v>
      </c>
      <c r="X173">
        <v>0</v>
      </c>
      <c r="Y173">
        <v>0</v>
      </c>
      <c r="Z173">
        <v>0</v>
      </c>
      <c r="AA173">
        <v>0</v>
      </c>
      <c r="AB173">
        <v>0</v>
      </c>
      <c r="AC173">
        <v>0</v>
      </c>
      <c r="AD173">
        <v>0</v>
      </c>
      <c r="AE173">
        <v>0</v>
      </c>
      <c r="AF173">
        <v>0</v>
      </c>
      <c r="AG173">
        <v>0</v>
      </c>
      <c r="AH173">
        <v>0</v>
      </c>
      <c r="AI173">
        <v>0</v>
      </c>
      <c r="AJ173">
        <v>0</v>
      </c>
      <c r="AK173">
        <v>0</v>
      </c>
      <c r="AL173">
        <v>0</v>
      </c>
      <c r="AM173">
        <v>0</v>
      </c>
      <c r="AN173">
        <v>15</v>
      </c>
      <c r="AP173" t="s">
        <v>1031</v>
      </c>
      <c r="AS173" t="s">
        <v>1250</v>
      </c>
      <c r="AV173" t="s">
        <v>1031</v>
      </c>
      <c r="AW173" t="s">
        <v>1250</v>
      </c>
      <c r="AX173">
        <v>0</v>
      </c>
      <c r="AY173">
        <v>0</v>
      </c>
      <c r="AZ173" t="s">
        <v>282</v>
      </c>
      <c r="BA173" t="s">
        <v>282</v>
      </c>
      <c r="BB173" t="s">
        <v>1197</v>
      </c>
      <c r="BC173">
        <v>1</v>
      </c>
    </row>
    <row r="174" spans="1:55" x14ac:dyDescent="0.25">
      <c r="A174" t="s">
        <v>99</v>
      </c>
      <c r="B174">
        <v>17</v>
      </c>
      <c r="C174" t="s">
        <v>1088</v>
      </c>
      <c r="D174" s="158">
        <v>45199</v>
      </c>
      <c r="E174">
        <v>276017</v>
      </c>
      <c r="F174">
        <v>10322056</v>
      </c>
      <c r="G174">
        <v>53628024</v>
      </c>
      <c r="H174" t="b">
        <v>0</v>
      </c>
      <c r="I174">
        <v>23</v>
      </c>
      <c r="J174" t="s">
        <v>1268</v>
      </c>
      <c r="K174">
        <v>216</v>
      </c>
      <c r="L174">
        <v>216</v>
      </c>
      <c r="M174">
        <v>1</v>
      </c>
      <c r="N174">
        <v>0</v>
      </c>
      <c r="O174">
        <v>0</v>
      </c>
      <c r="P174">
        <v>0</v>
      </c>
      <c r="Q174">
        <v>0</v>
      </c>
      <c r="R174">
        <v>0</v>
      </c>
      <c r="T174">
        <v>216</v>
      </c>
      <c r="U174">
        <v>0</v>
      </c>
      <c r="V174">
        <v>0</v>
      </c>
      <c r="W174">
        <v>0</v>
      </c>
      <c r="X174">
        <v>0</v>
      </c>
      <c r="Y174">
        <v>0</v>
      </c>
      <c r="Z174">
        <v>0</v>
      </c>
      <c r="AA174">
        <v>0</v>
      </c>
      <c r="AB174">
        <v>0</v>
      </c>
      <c r="AC174">
        <v>0</v>
      </c>
      <c r="AD174">
        <v>0</v>
      </c>
      <c r="AE174">
        <v>0</v>
      </c>
      <c r="AF174">
        <v>0</v>
      </c>
      <c r="AG174">
        <v>0</v>
      </c>
      <c r="AH174">
        <v>0</v>
      </c>
      <c r="AI174">
        <v>0</v>
      </c>
      <c r="AJ174">
        <v>0</v>
      </c>
      <c r="AK174">
        <v>0</v>
      </c>
      <c r="AL174">
        <v>0</v>
      </c>
      <c r="AM174">
        <v>0</v>
      </c>
      <c r="AN174">
        <v>216</v>
      </c>
      <c r="AP174" t="s">
        <v>1269</v>
      </c>
      <c r="AS174" t="s">
        <v>1270</v>
      </c>
      <c r="AV174" t="s">
        <v>1269</v>
      </c>
      <c r="AW174" t="s">
        <v>1270</v>
      </c>
      <c r="AX174">
        <v>0</v>
      </c>
      <c r="AY174">
        <v>0</v>
      </c>
      <c r="AZ174" t="s">
        <v>282</v>
      </c>
      <c r="BA174" t="s">
        <v>282</v>
      </c>
      <c r="BB174" t="s">
        <v>1197</v>
      </c>
      <c r="BC174">
        <v>1</v>
      </c>
    </row>
    <row r="175" spans="1:55" x14ac:dyDescent="0.25">
      <c r="A175" t="s">
        <v>99</v>
      </c>
      <c r="B175">
        <v>17</v>
      </c>
      <c r="C175" t="s">
        <v>1088</v>
      </c>
      <c r="D175" s="158">
        <v>45199</v>
      </c>
      <c r="E175">
        <v>595991</v>
      </c>
      <c r="F175">
        <v>10349186</v>
      </c>
      <c r="G175">
        <v>53662877</v>
      </c>
      <c r="H175" t="b">
        <v>0</v>
      </c>
      <c r="I175">
        <v>19</v>
      </c>
      <c r="J175" t="s">
        <v>1187</v>
      </c>
      <c r="K175">
        <v>150</v>
      </c>
      <c r="L175">
        <v>150</v>
      </c>
      <c r="M175">
        <v>1</v>
      </c>
      <c r="N175">
        <v>0</v>
      </c>
      <c r="O175">
        <v>0</v>
      </c>
      <c r="P175">
        <v>0</v>
      </c>
      <c r="Q175">
        <v>0</v>
      </c>
      <c r="R175">
        <v>0</v>
      </c>
      <c r="T175">
        <v>150</v>
      </c>
      <c r="U175">
        <v>0</v>
      </c>
      <c r="V175">
        <v>0</v>
      </c>
      <c r="W175">
        <v>0</v>
      </c>
      <c r="X175">
        <v>0</v>
      </c>
      <c r="Y175">
        <v>0</v>
      </c>
      <c r="Z175">
        <v>0</v>
      </c>
      <c r="AA175">
        <v>0</v>
      </c>
      <c r="AB175">
        <v>0</v>
      </c>
      <c r="AC175">
        <v>0</v>
      </c>
      <c r="AD175">
        <v>0</v>
      </c>
      <c r="AE175">
        <v>0</v>
      </c>
      <c r="AF175">
        <v>0</v>
      </c>
      <c r="AG175">
        <v>0</v>
      </c>
      <c r="AH175">
        <v>0</v>
      </c>
      <c r="AI175">
        <v>0</v>
      </c>
      <c r="AJ175">
        <v>0</v>
      </c>
      <c r="AK175">
        <v>0</v>
      </c>
      <c r="AL175">
        <v>0</v>
      </c>
      <c r="AM175">
        <v>0</v>
      </c>
      <c r="AN175">
        <v>150</v>
      </c>
      <c r="AP175" t="s">
        <v>1089</v>
      </c>
      <c r="AS175" t="s">
        <v>1265</v>
      </c>
      <c r="AV175" t="s">
        <v>1089</v>
      </c>
      <c r="AW175" t="s">
        <v>1265</v>
      </c>
      <c r="AX175">
        <v>0</v>
      </c>
      <c r="AY175">
        <v>0</v>
      </c>
      <c r="AZ175" t="s">
        <v>282</v>
      </c>
      <c r="BA175" t="s">
        <v>282</v>
      </c>
      <c r="BB175" t="s">
        <v>1197</v>
      </c>
      <c r="BC175">
        <v>1</v>
      </c>
    </row>
    <row r="176" spans="1:55" x14ac:dyDescent="0.25">
      <c r="A176" t="s">
        <v>99</v>
      </c>
      <c r="B176">
        <v>17</v>
      </c>
      <c r="C176" t="s">
        <v>1088</v>
      </c>
      <c r="D176" s="158">
        <v>45199</v>
      </c>
      <c r="E176">
        <v>621449</v>
      </c>
      <c r="F176">
        <v>10362310</v>
      </c>
      <c r="G176">
        <v>53717674</v>
      </c>
      <c r="H176" t="b">
        <v>0</v>
      </c>
      <c r="I176">
        <v>18</v>
      </c>
      <c r="J176" t="s">
        <v>1241</v>
      </c>
      <c r="K176">
        <v>10</v>
      </c>
      <c r="L176">
        <v>5</v>
      </c>
      <c r="M176">
        <v>2</v>
      </c>
      <c r="N176">
        <v>0</v>
      </c>
      <c r="O176">
        <v>0</v>
      </c>
      <c r="P176">
        <v>0</v>
      </c>
      <c r="Q176">
        <v>0</v>
      </c>
      <c r="R176">
        <v>0</v>
      </c>
      <c r="T176">
        <v>10</v>
      </c>
      <c r="U176">
        <v>0</v>
      </c>
      <c r="V176">
        <v>0</v>
      </c>
      <c r="W176">
        <v>0</v>
      </c>
      <c r="X176">
        <v>0</v>
      </c>
      <c r="Y176">
        <v>0</v>
      </c>
      <c r="Z176">
        <v>0</v>
      </c>
      <c r="AA176">
        <v>0</v>
      </c>
      <c r="AB176">
        <v>0</v>
      </c>
      <c r="AC176">
        <v>0</v>
      </c>
      <c r="AD176">
        <v>0</v>
      </c>
      <c r="AE176">
        <v>0</v>
      </c>
      <c r="AF176">
        <v>0</v>
      </c>
      <c r="AG176">
        <v>0</v>
      </c>
      <c r="AH176">
        <v>0</v>
      </c>
      <c r="AI176">
        <v>0</v>
      </c>
      <c r="AJ176">
        <v>0</v>
      </c>
      <c r="AK176">
        <v>0</v>
      </c>
      <c r="AL176">
        <v>0</v>
      </c>
      <c r="AM176">
        <v>0</v>
      </c>
      <c r="AN176">
        <v>10</v>
      </c>
      <c r="AP176" t="s">
        <v>1031</v>
      </c>
      <c r="AS176" t="s">
        <v>1230</v>
      </c>
      <c r="AV176" t="s">
        <v>1031</v>
      </c>
      <c r="AW176" t="s">
        <v>1230</v>
      </c>
      <c r="AX176">
        <v>0</v>
      </c>
      <c r="AY176">
        <v>0</v>
      </c>
      <c r="AZ176" t="s">
        <v>282</v>
      </c>
      <c r="BA176" t="s">
        <v>282</v>
      </c>
      <c r="BB176" t="s">
        <v>1197</v>
      </c>
      <c r="BC176">
        <v>1</v>
      </c>
    </row>
    <row r="177" spans="1:55" x14ac:dyDescent="0.25">
      <c r="A177" t="s">
        <v>99</v>
      </c>
      <c r="B177">
        <v>17</v>
      </c>
      <c r="C177" t="s">
        <v>1088</v>
      </c>
      <c r="D177" s="158">
        <v>45199</v>
      </c>
      <c r="E177">
        <v>618218</v>
      </c>
      <c r="F177">
        <v>10315349</v>
      </c>
      <c r="G177">
        <v>53553796</v>
      </c>
      <c r="H177" t="b">
        <v>0</v>
      </c>
      <c r="I177">
        <v>23</v>
      </c>
      <c r="J177" t="s">
        <v>1187</v>
      </c>
      <c r="K177">
        <v>216</v>
      </c>
      <c r="L177">
        <v>216</v>
      </c>
      <c r="M177">
        <v>1</v>
      </c>
      <c r="N177">
        <v>0</v>
      </c>
      <c r="O177">
        <v>0</v>
      </c>
      <c r="P177">
        <v>0</v>
      </c>
      <c r="Q177">
        <v>0</v>
      </c>
      <c r="R177">
        <v>0</v>
      </c>
      <c r="T177">
        <v>0</v>
      </c>
      <c r="U177">
        <v>0</v>
      </c>
      <c r="V177">
        <v>0</v>
      </c>
      <c r="W177">
        <v>0</v>
      </c>
      <c r="X177">
        <v>0</v>
      </c>
      <c r="Y177">
        <v>0</v>
      </c>
      <c r="Z177">
        <v>0</v>
      </c>
      <c r="AA177">
        <v>0</v>
      </c>
      <c r="AB177">
        <v>0</v>
      </c>
      <c r="AC177">
        <v>0</v>
      </c>
      <c r="AD177">
        <v>0</v>
      </c>
      <c r="AE177">
        <v>0</v>
      </c>
      <c r="AF177">
        <v>0</v>
      </c>
      <c r="AG177">
        <v>0</v>
      </c>
      <c r="AH177">
        <v>0</v>
      </c>
      <c r="AI177">
        <v>216</v>
      </c>
      <c r="AJ177">
        <v>0</v>
      </c>
      <c r="AK177">
        <v>0</v>
      </c>
      <c r="AL177">
        <v>0</v>
      </c>
      <c r="AM177">
        <v>0</v>
      </c>
      <c r="AN177">
        <v>216</v>
      </c>
      <c r="AP177" t="s">
        <v>1091</v>
      </c>
      <c r="AS177" t="s">
        <v>1188</v>
      </c>
      <c r="AV177" t="s">
        <v>1091</v>
      </c>
      <c r="AW177" t="s">
        <v>1188</v>
      </c>
      <c r="AX177">
        <v>0</v>
      </c>
      <c r="AY177">
        <v>0</v>
      </c>
      <c r="AZ177" t="s">
        <v>282</v>
      </c>
      <c r="BA177" t="s">
        <v>282</v>
      </c>
      <c r="BB177" t="s">
        <v>1197</v>
      </c>
      <c r="BC177">
        <v>1</v>
      </c>
    </row>
    <row r="178" spans="1:55" x14ac:dyDescent="0.25">
      <c r="A178" t="s">
        <v>99</v>
      </c>
      <c r="B178">
        <v>17</v>
      </c>
      <c r="C178" t="s">
        <v>1088</v>
      </c>
      <c r="D178" s="158">
        <v>45199</v>
      </c>
      <c r="E178">
        <v>614580</v>
      </c>
      <c r="F178">
        <v>10230675</v>
      </c>
      <c r="G178">
        <v>52932482</v>
      </c>
      <c r="H178" t="b">
        <v>0</v>
      </c>
      <c r="I178">
        <v>44</v>
      </c>
      <c r="J178" t="s">
        <v>1187</v>
      </c>
      <c r="K178">
        <v>216</v>
      </c>
      <c r="L178">
        <v>216</v>
      </c>
      <c r="M178">
        <v>1</v>
      </c>
      <c r="N178">
        <v>0</v>
      </c>
      <c r="O178">
        <v>0</v>
      </c>
      <c r="P178">
        <v>0</v>
      </c>
      <c r="Q178">
        <v>0</v>
      </c>
      <c r="R178">
        <v>0</v>
      </c>
      <c r="T178">
        <v>216</v>
      </c>
      <c r="U178">
        <v>0</v>
      </c>
      <c r="V178">
        <v>0</v>
      </c>
      <c r="W178">
        <v>0</v>
      </c>
      <c r="X178">
        <v>0</v>
      </c>
      <c r="Y178">
        <v>0</v>
      </c>
      <c r="Z178">
        <v>0</v>
      </c>
      <c r="AA178">
        <v>0</v>
      </c>
      <c r="AB178">
        <v>0</v>
      </c>
      <c r="AC178">
        <v>0</v>
      </c>
      <c r="AD178">
        <v>0</v>
      </c>
      <c r="AE178">
        <v>0</v>
      </c>
      <c r="AF178">
        <v>0</v>
      </c>
      <c r="AG178">
        <v>0</v>
      </c>
      <c r="AH178">
        <v>0</v>
      </c>
      <c r="AI178">
        <v>0</v>
      </c>
      <c r="AJ178">
        <v>0</v>
      </c>
      <c r="AK178">
        <v>0</v>
      </c>
      <c r="AL178">
        <v>0</v>
      </c>
      <c r="AM178">
        <v>0</v>
      </c>
      <c r="AN178">
        <v>216</v>
      </c>
      <c r="AP178" t="s">
        <v>1091</v>
      </c>
      <c r="AS178" t="s">
        <v>1188</v>
      </c>
      <c r="AV178" t="s">
        <v>1091</v>
      </c>
      <c r="AW178" t="s">
        <v>1188</v>
      </c>
      <c r="AX178">
        <v>0</v>
      </c>
      <c r="AY178">
        <v>0</v>
      </c>
      <c r="AZ178" t="s">
        <v>282</v>
      </c>
      <c r="BA178" t="s">
        <v>282</v>
      </c>
      <c r="BB178" t="s">
        <v>1191</v>
      </c>
      <c r="BC178">
        <v>2</v>
      </c>
    </row>
    <row r="179" spans="1:55" x14ac:dyDescent="0.25">
      <c r="A179" t="s">
        <v>99</v>
      </c>
      <c r="B179">
        <v>17</v>
      </c>
      <c r="C179" t="s">
        <v>1088</v>
      </c>
      <c r="D179" s="158">
        <v>45199</v>
      </c>
      <c r="E179">
        <v>154892</v>
      </c>
      <c r="F179">
        <v>2105561</v>
      </c>
      <c r="G179">
        <v>10115492</v>
      </c>
      <c r="H179" t="b">
        <v>0</v>
      </c>
      <c r="I179">
        <v>2525</v>
      </c>
      <c r="J179" t="s">
        <v>1202</v>
      </c>
      <c r="K179">
        <v>104.5</v>
      </c>
      <c r="L179">
        <v>104.5</v>
      </c>
      <c r="M179">
        <v>1</v>
      </c>
      <c r="N179">
        <v>0</v>
      </c>
      <c r="O179">
        <v>0</v>
      </c>
      <c r="P179">
        <v>0</v>
      </c>
      <c r="Q179">
        <v>0</v>
      </c>
      <c r="R179">
        <v>0</v>
      </c>
      <c r="T179">
        <v>104.5</v>
      </c>
      <c r="U179">
        <v>0</v>
      </c>
      <c r="V179">
        <v>2</v>
      </c>
      <c r="W179">
        <v>209</v>
      </c>
      <c r="X179">
        <v>0</v>
      </c>
      <c r="Y179">
        <v>0</v>
      </c>
      <c r="Z179">
        <v>0</v>
      </c>
      <c r="AA179">
        <v>0</v>
      </c>
      <c r="AB179">
        <v>0</v>
      </c>
      <c r="AC179">
        <v>0</v>
      </c>
      <c r="AD179">
        <v>0</v>
      </c>
      <c r="AE179">
        <v>0</v>
      </c>
      <c r="AF179">
        <v>0</v>
      </c>
      <c r="AG179">
        <v>0</v>
      </c>
      <c r="AH179">
        <v>0</v>
      </c>
      <c r="AI179">
        <v>0</v>
      </c>
      <c r="AJ179">
        <v>0</v>
      </c>
      <c r="AK179">
        <v>0</v>
      </c>
      <c r="AL179">
        <v>0</v>
      </c>
      <c r="AM179">
        <v>0</v>
      </c>
      <c r="AN179">
        <v>-104.5</v>
      </c>
      <c r="AP179" t="s">
        <v>1031</v>
      </c>
      <c r="AS179" t="s">
        <v>1201</v>
      </c>
      <c r="AV179" t="s">
        <v>1031</v>
      </c>
      <c r="AW179" t="s">
        <v>1201</v>
      </c>
      <c r="AX179">
        <v>0</v>
      </c>
      <c r="AY179">
        <v>0</v>
      </c>
      <c r="AZ179" t="s">
        <v>282</v>
      </c>
      <c r="BA179" t="s">
        <v>282</v>
      </c>
      <c r="BB179" t="s">
        <v>1200</v>
      </c>
      <c r="BC179">
        <v>8</v>
      </c>
    </row>
    <row r="180" spans="1:55" x14ac:dyDescent="0.25">
      <c r="A180" t="s">
        <v>99</v>
      </c>
      <c r="B180">
        <v>17</v>
      </c>
      <c r="C180" t="s">
        <v>1088</v>
      </c>
      <c r="D180" s="158">
        <v>45199</v>
      </c>
      <c r="E180">
        <v>154892</v>
      </c>
      <c r="F180">
        <v>2105561</v>
      </c>
      <c r="G180">
        <v>10115493</v>
      </c>
      <c r="H180" t="b">
        <v>0</v>
      </c>
      <c r="I180">
        <v>2525</v>
      </c>
      <c r="J180" t="s">
        <v>1202</v>
      </c>
      <c r="K180">
        <v>104.5</v>
      </c>
      <c r="L180">
        <v>104.5</v>
      </c>
      <c r="M180">
        <v>1</v>
      </c>
      <c r="N180">
        <v>0</v>
      </c>
      <c r="O180">
        <v>0</v>
      </c>
      <c r="P180">
        <v>0</v>
      </c>
      <c r="Q180">
        <v>0</v>
      </c>
      <c r="R180">
        <v>0</v>
      </c>
      <c r="T180">
        <v>104.5</v>
      </c>
      <c r="U180">
        <v>0</v>
      </c>
      <c r="V180">
        <v>2</v>
      </c>
      <c r="W180">
        <v>209</v>
      </c>
      <c r="X180">
        <v>0</v>
      </c>
      <c r="Y180">
        <v>0</v>
      </c>
      <c r="Z180">
        <v>0</v>
      </c>
      <c r="AA180">
        <v>0</v>
      </c>
      <c r="AB180">
        <v>0</v>
      </c>
      <c r="AC180">
        <v>0</v>
      </c>
      <c r="AD180">
        <v>0</v>
      </c>
      <c r="AE180">
        <v>0</v>
      </c>
      <c r="AF180">
        <v>0</v>
      </c>
      <c r="AG180">
        <v>0</v>
      </c>
      <c r="AH180">
        <v>0</v>
      </c>
      <c r="AI180">
        <v>0</v>
      </c>
      <c r="AJ180">
        <v>0</v>
      </c>
      <c r="AK180">
        <v>0</v>
      </c>
      <c r="AL180">
        <v>0</v>
      </c>
      <c r="AM180">
        <v>0</v>
      </c>
      <c r="AN180">
        <v>-104.5</v>
      </c>
      <c r="AP180" t="s">
        <v>1031</v>
      </c>
      <c r="AS180" t="s">
        <v>1201</v>
      </c>
      <c r="AV180" t="s">
        <v>1031</v>
      </c>
      <c r="AW180" t="s">
        <v>1201</v>
      </c>
      <c r="AX180">
        <v>0</v>
      </c>
      <c r="AY180">
        <v>0</v>
      </c>
      <c r="AZ180" t="s">
        <v>282</v>
      </c>
      <c r="BA180" t="s">
        <v>282</v>
      </c>
      <c r="BB180" t="s">
        <v>1200</v>
      </c>
      <c r="BC180">
        <v>8</v>
      </c>
    </row>
    <row r="181" spans="1:55" x14ac:dyDescent="0.25">
      <c r="A181" t="s">
        <v>99</v>
      </c>
      <c r="B181">
        <v>17</v>
      </c>
      <c r="C181" t="s">
        <v>1088</v>
      </c>
      <c r="D181" s="158">
        <v>45199</v>
      </c>
      <c r="E181">
        <v>621828</v>
      </c>
      <c r="F181">
        <v>10369131</v>
      </c>
      <c r="G181">
        <v>53769449</v>
      </c>
      <c r="H181" t="b">
        <v>0</v>
      </c>
      <c r="I181">
        <v>19</v>
      </c>
      <c r="J181" t="s">
        <v>1196</v>
      </c>
      <c r="K181">
        <v>85</v>
      </c>
      <c r="L181">
        <v>85</v>
      </c>
      <c r="M181">
        <v>1</v>
      </c>
      <c r="N181">
        <v>0</v>
      </c>
      <c r="O181">
        <v>0</v>
      </c>
      <c r="P181">
        <v>0</v>
      </c>
      <c r="Q181">
        <v>0</v>
      </c>
      <c r="R181">
        <v>0</v>
      </c>
      <c r="T181">
        <v>85</v>
      </c>
      <c r="U181">
        <v>0</v>
      </c>
      <c r="V181">
        <v>0</v>
      </c>
      <c r="W181">
        <v>0</v>
      </c>
      <c r="X181">
        <v>0</v>
      </c>
      <c r="Y181">
        <v>0</v>
      </c>
      <c r="Z181">
        <v>0</v>
      </c>
      <c r="AA181">
        <v>0</v>
      </c>
      <c r="AB181">
        <v>0</v>
      </c>
      <c r="AC181">
        <v>0</v>
      </c>
      <c r="AD181">
        <v>0</v>
      </c>
      <c r="AE181">
        <v>0</v>
      </c>
      <c r="AF181">
        <v>0</v>
      </c>
      <c r="AG181">
        <v>0</v>
      </c>
      <c r="AH181">
        <v>0</v>
      </c>
      <c r="AI181">
        <v>0</v>
      </c>
      <c r="AJ181">
        <v>0</v>
      </c>
      <c r="AK181">
        <v>0</v>
      </c>
      <c r="AL181">
        <v>0</v>
      </c>
      <c r="AM181">
        <v>0</v>
      </c>
      <c r="AN181">
        <v>85</v>
      </c>
      <c r="AP181" t="s">
        <v>1031</v>
      </c>
      <c r="AS181" t="s">
        <v>1230</v>
      </c>
      <c r="AV181" t="s">
        <v>1031</v>
      </c>
      <c r="AW181" t="s">
        <v>1230</v>
      </c>
      <c r="AX181">
        <v>0</v>
      </c>
      <c r="AY181">
        <v>0</v>
      </c>
      <c r="AZ181" t="s">
        <v>282</v>
      </c>
      <c r="BA181" t="s">
        <v>282</v>
      </c>
      <c r="BB181" t="s">
        <v>1197</v>
      </c>
      <c r="BC181">
        <v>1</v>
      </c>
    </row>
    <row r="182" spans="1:55" x14ac:dyDescent="0.25">
      <c r="A182" t="s">
        <v>99</v>
      </c>
      <c r="B182">
        <v>17</v>
      </c>
      <c r="C182" t="s">
        <v>1088</v>
      </c>
      <c r="D182" s="158">
        <v>45199</v>
      </c>
      <c r="E182">
        <v>621828</v>
      </c>
      <c r="F182">
        <v>10369131</v>
      </c>
      <c r="G182">
        <v>53769460</v>
      </c>
      <c r="H182" t="b">
        <v>0</v>
      </c>
      <c r="I182">
        <v>19</v>
      </c>
      <c r="J182" t="s">
        <v>1231</v>
      </c>
      <c r="K182">
        <v>15</v>
      </c>
      <c r="L182">
        <v>7.5</v>
      </c>
      <c r="M182">
        <v>2</v>
      </c>
      <c r="N182">
        <v>0</v>
      </c>
      <c r="O182">
        <v>0</v>
      </c>
      <c r="P182">
        <v>0</v>
      </c>
      <c r="Q182">
        <v>0</v>
      </c>
      <c r="R182">
        <v>0</v>
      </c>
      <c r="T182">
        <v>15</v>
      </c>
      <c r="U182">
        <v>0</v>
      </c>
      <c r="V182">
        <v>0</v>
      </c>
      <c r="W182">
        <v>0</v>
      </c>
      <c r="X182">
        <v>0</v>
      </c>
      <c r="Y182">
        <v>0</v>
      </c>
      <c r="Z182">
        <v>0</v>
      </c>
      <c r="AA182">
        <v>0</v>
      </c>
      <c r="AB182">
        <v>0</v>
      </c>
      <c r="AC182">
        <v>0</v>
      </c>
      <c r="AD182">
        <v>0</v>
      </c>
      <c r="AE182">
        <v>0</v>
      </c>
      <c r="AF182">
        <v>0</v>
      </c>
      <c r="AG182">
        <v>0</v>
      </c>
      <c r="AH182">
        <v>0</v>
      </c>
      <c r="AI182">
        <v>0</v>
      </c>
      <c r="AJ182">
        <v>0</v>
      </c>
      <c r="AK182">
        <v>0</v>
      </c>
      <c r="AL182">
        <v>0</v>
      </c>
      <c r="AM182">
        <v>0</v>
      </c>
      <c r="AN182">
        <v>15</v>
      </c>
      <c r="AP182" t="s">
        <v>1031</v>
      </c>
      <c r="AS182" t="s">
        <v>1230</v>
      </c>
      <c r="AV182" t="s">
        <v>1031</v>
      </c>
      <c r="AW182" t="s">
        <v>1230</v>
      </c>
      <c r="AX182">
        <v>0</v>
      </c>
      <c r="AY182">
        <v>0</v>
      </c>
      <c r="AZ182" t="s">
        <v>282</v>
      </c>
      <c r="BA182" t="s">
        <v>282</v>
      </c>
      <c r="BB182" t="s">
        <v>1197</v>
      </c>
      <c r="BC182">
        <v>1</v>
      </c>
    </row>
    <row r="183" spans="1:55" x14ac:dyDescent="0.25">
      <c r="A183" t="s">
        <v>99</v>
      </c>
      <c r="B183">
        <v>17</v>
      </c>
      <c r="C183" t="s">
        <v>1088</v>
      </c>
      <c r="D183" s="158">
        <v>45199</v>
      </c>
      <c r="E183">
        <v>621828</v>
      </c>
      <c r="F183">
        <v>10369131</v>
      </c>
      <c r="G183">
        <v>53769464</v>
      </c>
      <c r="H183" t="b">
        <v>0</v>
      </c>
      <c r="I183">
        <v>19</v>
      </c>
      <c r="J183" t="s">
        <v>1192</v>
      </c>
      <c r="K183">
        <v>15</v>
      </c>
      <c r="L183">
        <v>15</v>
      </c>
      <c r="M183">
        <v>1</v>
      </c>
      <c r="N183">
        <v>0</v>
      </c>
      <c r="O183">
        <v>0</v>
      </c>
      <c r="P183">
        <v>0</v>
      </c>
      <c r="Q183">
        <v>0</v>
      </c>
      <c r="R183">
        <v>0</v>
      </c>
      <c r="T183">
        <v>15</v>
      </c>
      <c r="U183">
        <v>0</v>
      </c>
      <c r="V183">
        <v>0</v>
      </c>
      <c r="W183">
        <v>0</v>
      </c>
      <c r="X183">
        <v>0</v>
      </c>
      <c r="Y183">
        <v>0</v>
      </c>
      <c r="Z183">
        <v>0</v>
      </c>
      <c r="AA183">
        <v>0</v>
      </c>
      <c r="AB183">
        <v>0</v>
      </c>
      <c r="AC183">
        <v>0</v>
      </c>
      <c r="AD183">
        <v>0</v>
      </c>
      <c r="AE183">
        <v>0</v>
      </c>
      <c r="AF183">
        <v>0</v>
      </c>
      <c r="AG183">
        <v>0</v>
      </c>
      <c r="AH183">
        <v>0</v>
      </c>
      <c r="AI183">
        <v>0</v>
      </c>
      <c r="AJ183">
        <v>0</v>
      </c>
      <c r="AK183">
        <v>0</v>
      </c>
      <c r="AL183">
        <v>0</v>
      </c>
      <c r="AM183">
        <v>0</v>
      </c>
      <c r="AN183">
        <v>15</v>
      </c>
      <c r="AP183" t="s">
        <v>1031</v>
      </c>
      <c r="AS183" t="s">
        <v>1230</v>
      </c>
      <c r="AV183" t="s">
        <v>1031</v>
      </c>
      <c r="AW183" t="s">
        <v>1230</v>
      </c>
      <c r="AX183">
        <v>0</v>
      </c>
      <c r="AY183">
        <v>0</v>
      </c>
      <c r="AZ183" t="s">
        <v>282</v>
      </c>
      <c r="BA183" t="s">
        <v>282</v>
      </c>
      <c r="BB183" t="s">
        <v>1197</v>
      </c>
      <c r="BC183">
        <v>1</v>
      </c>
    </row>
    <row r="184" spans="1:55" x14ac:dyDescent="0.25">
      <c r="A184" t="s">
        <v>99</v>
      </c>
      <c r="B184">
        <v>17</v>
      </c>
      <c r="C184" t="s">
        <v>1088</v>
      </c>
      <c r="D184" s="158">
        <v>45199</v>
      </c>
      <c r="E184">
        <v>621831</v>
      </c>
      <c r="F184">
        <v>10369215</v>
      </c>
      <c r="G184">
        <v>53769584</v>
      </c>
      <c r="H184" t="b">
        <v>0</v>
      </c>
      <c r="I184">
        <v>19</v>
      </c>
      <c r="J184" t="s">
        <v>1196</v>
      </c>
      <c r="K184">
        <v>85</v>
      </c>
      <c r="L184">
        <v>85</v>
      </c>
      <c r="M184">
        <v>1</v>
      </c>
      <c r="N184">
        <v>0</v>
      </c>
      <c r="O184">
        <v>0</v>
      </c>
      <c r="P184">
        <v>0</v>
      </c>
      <c r="Q184">
        <v>0</v>
      </c>
      <c r="R184">
        <v>0</v>
      </c>
      <c r="T184">
        <v>85</v>
      </c>
      <c r="U184">
        <v>0</v>
      </c>
      <c r="V184">
        <v>0</v>
      </c>
      <c r="W184">
        <v>0</v>
      </c>
      <c r="X184">
        <v>0</v>
      </c>
      <c r="Y184">
        <v>0</v>
      </c>
      <c r="Z184">
        <v>0</v>
      </c>
      <c r="AA184">
        <v>0</v>
      </c>
      <c r="AB184">
        <v>0</v>
      </c>
      <c r="AC184">
        <v>0</v>
      </c>
      <c r="AD184">
        <v>0</v>
      </c>
      <c r="AE184">
        <v>0</v>
      </c>
      <c r="AF184">
        <v>0</v>
      </c>
      <c r="AG184">
        <v>0</v>
      </c>
      <c r="AH184">
        <v>0</v>
      </c>
      <c r="AI184">
        <v>0</v>
      </c>
      <c r="AJ184">
        <v>0</v>
      </c>
      <c r="AK184">
        <v>0</v>
      </c>
      <c r="AL184">
        <v>0</v>
      </c>
      <c r="AM184">
        <v>0</v>
      </c>
      <c r="AN184">
        <v>85</v>
      </c>
      <c r="AP184" t="s">
        <v>1031</v>
      </c>
      <c r="AS184" t="s">
        <v>1230</v>
      </c>
      <c r="AV184" t="s">
        <v>1031</v>
      </c>
      <c r="AW184" t="s">
        <v>1230</v>
      </c>
      <c r="AX184">
        <v>0</v>
      </c>
      <c r="AY184">
        <v>0</v>
      </c>
      <c r="AZ184" t="s">
        <v>282</v>
      </c>
      <c r="BA184" t="s">
        <v>282</v>
      </c>
      <c r="BB184" t="s">
        <v>1197</v>
      </c>
      <c r="BC184">
        <v>1</v>
      </c>
    </row>
    <row r="185" spans="1:55" x14ac:dyDescent="0.25">
      <c r="A185" t="s">
        <v>99</v>
      </c>
      <c r="B185">
        <v>17</v>
      </c>
      <c r="C185" t="s">
        <v>1088</v>
      </c>
      <c r="D185" s="158">
        <v>45199</v>
      </c>
      <c r="E185">
        <v>621831</v>
      </c>
      <c r="F185">
        <v>10369215</v>
      </c>
      <c r="G185">
        <v>53769585</v>
      </c>
      <c r="H185" t="b">
        <v>0</v>
      </c>
      <c r="I185">
        <v>19</v>
      </c>
      <c r="J185" t="s">
        <v>1241</v>
      </c>
      <c r="K185">
        <v>10</v>
      </c>
      <c r="L185">
        <v>5</v>
      </c>
      <c r="M185">
        <v>2</v>
      </c>
      <c r="N185">
        <v>0</v>
      </c>
      <c r="O185">
        <v>0</v>
      </c>
      <c r="P185">
        <v>0</v>
      </c>
      <c r="Q185">
        <v>0</v>
      </c>
      <c r="R185">
        <v>0</v>
      </c>
      <c r="T185">
        <v>10</v>
      </c>
      <c r="U185">
        <v>0</v>
      </c>
      <c r="V185">
        <v>0</v>
      </c>
      <c r="W185">
        <v>0</v>
      </c>
      <c r="X185">
        <v>0</v>
      </c>
      <c r="Y185">
        <v>0</v>
      </c>
      <c r="Z185">
        <v>0</v>
      </c>
      <c r="AA185">
        <v>0</v>
      </c>
      <c r="AB185">
        <v>0</v>
      </c>
      <c r="AC185">
        <v>0</v>
      </c>
      <c r="AD185">
        <v>0</v>
      </c>
      <c r="AE185">
        <v>0</v>
      </c>
      <c r="AF185">
        <v>0</v>
      </c>
      <c r="AG185">
        <v>0</v>
      </c>
      <c r="AH185">
        <v>0</v>
      </c>
      <c r="AI185">
        <v>0</v>
      </c>
      <c r="AJ185">
        <v>0</v>
      </c>
      <c r="AK185">
        <v>0</v>
      </c>
      <c r="AL185">
        <v>0</v>
      </c>
      <c r="AM185">
        <v>0</v>
      </c>
      <c r="AN185">
        <v>10</v>
      </c>
      <c r="AP185" t="s">
        <v>1031</v>
      </c>
      <c r="AS185" t="s">
        <v>1230</v>
      </c>
      <c r="AV185" t="s">
        <v>1031</v>
      </c>
      <c r="AW185" t="s">
        <v>1230</v>
      </c>
      <c r="AX185">
        <v>0</v>
      </c>
      <c r="AY185">
        <v>0</v>
      </c>
      <c r="AZ185" t="s">
        <v>282</v>
      </c>
      <c r="BA185" t="s">
        <v>282</v>
      </c>
      <c r="BB185" t="s">
        <v>1197</v>
      </c>
      <c r="BC185">
        <v>1</v>
      </c>
    </row>
    <row r="186" spans="1:55" x14ac:dyDescent="0.25">
      <c r="A186" t="s">
        <v>99</v>
      </c>
      <c r="B186">
        <v>17</v>
      </c>
      <c r="C186" t="s">
        <v>1088</v>
      </c>
      <c r="D186" s="158">
        <v>45199</v>
      </c>
      <c r="E186">
        <v>621688</v>
      </c>
      <c r="F186">
        <v>10367014</v>
      </c>
      <c r="G186">
        <v>53757761</v>
      </c>
      <c r="H186" t="b">
        <v>0</v>
      </c>
      <c r="I186">
        <v>17</v>
      </c>
      <c r="J186" t="s">
        <v>1234</v>
      </c>
      <c r="K186">
        <v>8</v>
      </c>
      <c r="L186">
        <v>4</v>
      </c>
      <c r="M186">
        <v>2</v>
      </c>
      <c r="N186">
        <v>0</v>
      </c>
      <c r="O186">
        <v>0</v>
      </c>
      <c r="P186">
        <v>0</v>
      </c>
      <c r="Q186">
        <v>0</v>
      </c>
      <c r="R186">
        <v>0</v>
      </c>
      <c r="T186">
        <v>8</v>
      </c>
      <c r="U186">
        <v>0</v>
      </c>
      <c r="V186">
        <v>0</v>
      </c>
      <c r="W186">
        <v>0</v>
      </c>
      <c r="X186">
        <v>0</v>
      </c>
      <c r="Y186">
        <v>0</v>
      </c>
      <c r="Z186">
        <v>0</v>
      </c>
      <c r="AA186">
        <v>0</v>
      </c>
      <c r="AB186">
        <v>0</v>
      </c>
      <c r="AC186">
        <v>0</v>
      </c>
      <c r="AD186">
        <v>0</v>
      </c>
      <c r="AE186">
        <v>0</v>
      </c>
      <c r="AF186">
        <v>0</v>
      </c>
      <c r="AG186">
        <v>0</v>
      </c>
      <c r="AH186">
        <v>0</v>
      </c>
      <c r="AI186">
        <v>0</v>
      </c>
      <c r="AJ186">
        <v>0</v>
      </c>
      <c r="AK186">
        <v>0</v>
      </c>
      <c r="AL186">
        <v>0</v>
      </c>
      <c r="AM186">
        <v>0</v>
      </c>
      <c r="AN186">
        <v>8</v>
      </c>
      <c r="AP186" t="s">
        <v>1031</v>
      </c>
      <c r="AS186" t="s">
        <v>1250</v>
      </c>
      <c r="AV186" t="s">
        <v>1031</v>
      </c>
      <c r="AW186" t="s">
        <v>1250</v>
      </c>
      <c r="AX186">
        <v>0</v>
      </c>
      <c r="AY186">
        <v>0</v>
      </c>
      <c r="AZ186" t="s">
        <v>282</v>
      </c>
      <c r="BA186" t="s">
        <v>282</v>
      </c>
      <c r="BB186" t="s">
        <v>1197</v>
      </c>
      <c r="BC186">
        <v>1</v>
      </c>
    </row>
    <row r="187" spans="1:55" x14ac:dyDescent="0.25">
      <c r="A187" t="s">
        <v>99</v>
      </c>
      <c r="B187">
        <v>17</v>
      </c>
      <c r="C187" t="s">
        <v>1088</v>
      </c>
      <c r="D187" s="158">
        <v>45199</v>
      </c>
      <c r="E187">
        <v>621883</v>
      </c>
      <c r="F187">
        <v>10370312</v>
      </c>
      <c r="G187">
        <v>53861796</v>
      </c>
      <c r="H187" t="b">
        <v>0</v>
      </c>
      <c r="I187">
        <v>15</v>
      </c>
      <c r="J187" t="s">
        <v>1187</v>
      </c>
      <c r="K187">
        <v>216</v>
      </c>
      <c r="L187">
        <v>216</v>
      </c>
      <c r="M187">
        <v>1</v>
      </c>
      <c r="N187">
        <v>0</v>
      </c>
      <c r="O187">
        <v>0</v>
      </c>
      <c r="P187">
        <v>0</v>
      </c>
      <c r="Q187">
        <v>0</v>
      </c>
      <c r="R187">
        <v>0</v>
      </c>
      <c r="T187">
        <v>216</v>
      </c>
      <c r="U187">
        <v>0</v>
      </c>
      <c r="V187">
        <v>0</v>
      </c>
      <c r="W187">
        <v>0</v>
      </c>
      <c r="X187">
        <v>0</v>
      </c>
      <c r="Y187">
        <v>0</v>
      </c>
      <c r="Z187">
        <v>0</v>
      </c>
      <c r="AA187">
        <v>0</v>
      </c>
      <c r="AB187">
        <v>0</v>
      </c>
      <c r="AC187">
        <v>0</v>
      </c>
      <c r="AD187">
        <v>0</v>
      </c>
      <c r="AE187">
        <v>0</v>
      </c>
      <c r="AF187">
        <v>0</v>
      </c>
      <c r="AG187">
        <v>0</v>
      </c>
      <c r="AH187">
        <v>0</v>
      </c>
      <c r="AI187">
        <v>0</v>
      </c>
      <c r="AJ187">
        <v>0</v>
      </c>
      <c r="AK187">
        <v>0</v>
      </c>
      <c r="AL187">
        <v>0</v>
      </c>
      <c r="AM187">
        <v>0</v>
      </c>
      <c r="AN187">
        <v>216</v>
      </c>
      <c r="AP187" t="s">
        <v>1180</v>
      </c>
      <c r="AS187" t="s">
        <v>1272</v>
      </c>
      <c r="AV187" t="s">
        <v>1180</v>
      </c>
      <c r="AW187" t="s">
        <v>1272</v>
      </c>
      <c r="AX187">
        <v>0</v>
      </c>
      <c r="AY187">
        <v>0</v>
      </c>
      <c r="AZ187" t="s">
        <v>282</v>
      </c>
      <c r="BA187" t="s">
        <v>282</v>
      </c>
      <c r="BB187" t="s">
        <v>1197</v>
      </c>
      <c r="BC187">
        <v>1</v>
      </c>
    </row>
    <row r="188" spans="1:55" x14ac:dyDescent="0.25">
      <c r="A188" t="s">
        <v>99</v>
      </c>
      <c r="B188">
        <v>17</v>
      </c>
      <c r="C188" t="s">
        <v>1088</v>
      </c>
      <c r="D188" s="158">
        <v>45199</v>
      </c>
      <c r="E188">
        <v>621883</v>
      </c>
      <c r="F188">
        <v>10370312</v>
      </c>
      <c r="G188">
        <v>53861797</v>
      </c>
      <c r="H188" t="b">
        <v>0</v>
      </c>
      <c r="I188">
        <v>15</v>
      </c>
      <c r="J188" t="s">
        <v>1187</v>
      </c>
      <c r="K188">
        <v>216</v>
      </c>
      <c r="L188">
        <v>216</v>
      </c>
      <c r="M188">
        <v>1</v>
      </c>
      <c r="N188">
        <v>0</v>
      </c>
      <c r="O188">
        <v>0</v>
      </c>
      <c r="P188">
        <v>0</v>
      </c>
      <c r="Q188">
        <v>0</v>
      </c>
      <c r="R188">
        <v>0</v>
      </c>
      <c r="T188">
        <v>216</v>
      </c>
      <c r="U188">
        <v>0</v>
      </c>
      <c r="V188">
        <v>0</v>
      </c>
      <c r="W188">
        <v>0</v>
      </c>
      <c r="X188">
        <v>0</v>
      </c>
      <c r="Y188">
        <v>0</v>
      </c>
      <c r="Z188">
        <v>0</v>
      </c>
      <c r="AA188">
        <v>0</v>
      </c>
      <c r="AB188">
        <v>0</v>
      </c>
      <c r="AC188">
        <v>0</v>
      </c>
      <c r="AD188">
        <v>0</v>
      </c>
      <c r="AE188">
        <v>0</v>
      </c>
      <c r="AF188">
        <v>0</v>
      </c>
      <c r="AG188">
        <v>0</v>
      </c>
      <c r="AH188">
        <v>0</v>
      </c>
      <c r="AI188">
        <v>0</v>
      </c>
      <c r="AJ188">
        <v>0</v>
      </c>
      <c r="AK188">
        <v>0</v>
      </c>
      <c r="AL188">
        <v>0</v>
      </c>
      <c r="AM188">
        <v>0</v>
      </c>
      <c r="AN188">
        <v>216</v>
      </c>
      <c r="AP188" t="s">
        <v>1180</v>
      </c>
      <c r="AS188" t="s">
        <v>1272</v>
      </c>
      <c r="AV188" t="s">
        <v>1180</v>
      </c>
      <c r="AW188" t="s">
        <v>1272</v>
      </c>
      <c r="AX188">
        <v>0</v>
      </c>
      <c r="AY188">
        <v>0</v>
      </c>
      <c r="AZ188" t="s">
        <v>282</v>
      </c>
      <c r="BA188" t="s">
        <v>282</v>
      </c>
      <c r="BB188" t="s">
        <v>1197</v>
      </c>
      <c r="BC188">
        <v>1</v>
      </c>
    </row>
    <row r="189" spans="1:55" x14ac:dyDescent="0.25">
      <c r="A189" t="s">
        <v>99</v>
      </c>
      <c r="B189">
        <v>17</v>
      </c>
      <c r="C189" t="s">
        <v>1088</v>
      </c>
      <c r="D189" s="158">
        <v>45199</v>
      </c>
      <c r="E189">
        <v>432044</v>
      </c>
      <c r="F189">
        <v>9076490</v>
      </c>
      <c r="G189">
        <v>46078018</v>
      </c>
      <c r="H189" t="b">
        <v>0</v>
      </c>
      <c r="I189">
        <v>270</v>
      </c>
      <c r="J189" t="s">
        <v>1199</v>
      </c>
      <c r="K189">
        <v>20</v>
      </c>
      <c r="L189">
        <v>10</v>
      </c>
      <c r="M189">
        <v>2</v>
      </c>
      <c r="N189">
        <v>0</v>
      </c>
      <c r="O189">
        <v>0</v>
      </c>
      <c r="P189">
        <v>0</v>
      </c>
      <c r="Q189">
        <v>0</v>
      </c>
      <c r="R189">
        <v>0</v>
      </c>
      <c r="T189">
        <v>20</v>
      </c>
      <c r="U189">
        <v>0</v>
      </c>
      <c r="V189">
        <v>2</v>
      </c>
      <c r="W189">
        <v>40</v>
      </c>
      <c r="X189">
        <v>0</v>
      </c>
      <c r="Y189">
        <v>0</v>
      </c>
      <c r="Z189">
        <v>0</v>
      </c>
      <c r="AA189">
        <v>0</v>
      </c>
      <c r="AB189">
        <v>0</v>
      </c>
      <c r="AC189">
        <v>0</v>
      </c>
      <c r="AD189">
        <v>0</v>
      </c>
      <c r="AE189">
        <v>0</v>
      </c>
      <c r="AF189">
        <v>0</v>
      </c>
      <c r="AG189">
        <v>0</v>
      </c>
      <c r="AH189">
        <v>0</v>
      </c>
      <c r="AI189">
        <v>0</v>
      </c>
      <c r="AJ189">
        <v>0</v>
      </c>
      <c r="AK189">
        <v>0</v>
      </c>
      <c r="AL189">
        <v>0</v>
      </c>
      <c r="AM189">
        <v>0</v>
      </c>
      <c r="AN189">
        <v>-20</v>
      </c>
      <c r="AP189" t="s">
        <v>1031</v>
      </c>
      <c r="AS189" t="s">
        <v>1190</v>
      </c>
      <c r="AV189" t="s">
        <v>1031</v>
      </c>
      <c r="AW189" t="s">
        <v>1190</v>
      </c>
      <c r="AX189">
        <v>0</v>
      </c>
      <c r="AY189">
        <v>0</v>
      </c>
      <c r="AZ189" t="s">
        <v>282</v>
      </c>
      <c r="BA189" t="s">
        <v>282</v>
      </c>
      <c r="BB189" t="s">
        <v>1204</v>
      </c>
      <c r="BC189">
        <v>7</v>
      </c>
    </row>
    <row r="190" spans="1:55" x14ac:dyDescent="0.25">
      <c r="A190" t="s">
        <v>99</v>
      </c>
      <c r="B190">
        <v>17</v>
      </c>
      <c r="C190" t="s">
        <v>1088</v>
      </c>
      <c r="D190" s="158">
        <v>45199</v>
      </c>
      <c r="E190">
        <v>432044</v>
      </c>
      <c r="F190">
        <v>9076490</v>
      </c>
      <c r="G190">
        <v>46078020</v>
      </c>
      <c r="H190" t="b">
        <v>0</v>
      </c>
      <c r="I190">
        <v>270</v>
      </c>
      <c r="J190" t="s">
        <v>1236</v>
      </c>
      <c r="K190">
        <v>10</v>
      </c>
      <c r="L190">
        <v>5</v>
      </c>
      <c r="M190">
        <v>2</v>
      </c>
      <c r="N190">
        <v>0</v>
      </c>
      <c r="O190">
        <v>0</v>
      </c>
      <c r="P190">
        <v>0</v>
      </c>
      <c r="Q190">
        <v>0</v>
      </c>
      <c r="R190">
        <v>0</v>
      </c>
      <c r="T190">
        <v>10</v>
      </c>
      <c r="U190">
        <v>0</v>
      </c>
      <c r="V190">
        <v>2</v>
      </c>
      <c r="W190">
        <v>20</v>
      </c>
      <c r="X190">
        <v>0</v>
      </c>
      <c r="Y190">
        <v>0</v>
      </c>
      <c r="Z190">
        <v>0</v>
      </c>
      <c r="AA190">
        <v>0</v>
      </c>
      <c r="AB190">
        <v>0</v>
      </c>
      <c r="AC190">
        <v>0</v>
      </c>
      <c r="AD190">
        <v>0</v>
      </c>
      <c r="AE190">
        <v>0</v>
      </c>
      <c r="AF190">
        <v>0</v>
      </c>
      <c r="AG190">
        <v>0</v>
      </c>
      <c r="AH190">
        <v>0</v>
      </c>
      <c r="AI190">
        <v>0</v>
      </c>
      <c r="AJ190">
        <v>0</v>
      </c>
      <c r="AK190">
        <v>0</v>
      </c>
      <c r="AL190">
        <v>0</v>
      </c>
      <c r="AM190">
        <v>0</v>
      </c>
      <c r="AN190">
        <v>-10</v>
      </c>
      <c r="AP190" t="s">
        <v>1031</v>
      </c>
      <c r="AS190" t="s">
        <v>1190</v>
      </c>
      <c r="AV190" t="s">
        <v>1031</v>
      </c>
      <c r="AW190" t="s">
        <v>1190</v>
      </c>
      <c r="AX190">
        <v>0</v>
      </c>
      <c r="AY190">
        <v>0</v>
      </c>
      <c r="AZ190" t="s">
        <v>282</v>
      </c>
      <c r="BA190" t="s">
        <v>282</v>
      </c>
      <c r="BB190" t="s">
        <v>1204</v>
      </c>
      <c r="BC190">
        <v>7</v>
      </c>
    </row>
    <row r="191" spans="1:55" x14ac:dyDescent="0.25">
      <c r="A191" t="s">
        <v>99</v>
      </c>
      <c r="B191">
        <v>17</v>
      </c>
      <c r="C191" t="s">
        <v>1088</v>
      </c>
      <c r="D191" s="158">
        <v>45199</v>
      </c>
      <c r="E191">
        <v>623681</v>
      </c>
      <c r="F191">
        <v>10403222</v>
      </c>
      <c r="G191">
        <v>53977424</v>
      </c>
      <c r="H191" t="b">
        <v>0</v>
      </c>
      <c r="I191">
        <v>10</v>
      </c>
      <c r="J191" t="s">
        <v>1229</v>
      </c>
      <c r="K191">
        <v>16</v>
      </c>
      <c r="L191">
        <v>8</v>
      </c>
      <c r="M191">
        <v>2</v>
      </c>
      <c r="N191">
        <v>0</v>
      </c>
      <c r="O191">
        <v>0</v>
      </c>
      <c r="P191">
        <v>0</v>
      </c>
      <c r="Q191">
        <v>0</v>
      </c>
      <c r="R191">
        <v>0</v>
      </c>
      <c r="T191">
        <v>16</v>
      </c>
      <c r="U191">
        <v>0</v>
      </c>
      <c r="V191">
        <v>0</v>
      </c>
      <c r="W191">
        <v>0</v>
      </c>
      <c r="X191">
        <v>0</v>
      </c>
      <c r="Y191">
        <v>0</v>
      </c>
      <c r="Z191">
        <v>0</v>
      </c>
      <c r="AA191">
        <v>0</v>
      </c>
      <c r="AB191">
        <v>0</v>
      </c>
      <c r="AC191">
        <v>0</v>
      </c>
      <c r="AD191">
        <v>0</v>
      </c>
      <c r="AE191">
        <v>0</v>
      </c>
      <c r="AF191">
        <v>0</v>
      </c>
      <c r="AG191">
        <v>0</v>
      </c>
      <c r="AH191">
        <v>0</v>
      </c>
      <c r="AI191">
        <v>0</v>
      </c>
      <c r="AJ191">
        <v>0</v>
      </c>
      <c r="AK191">
        <v>0</v>
      </c>
      <c r="AL191">
        <v>0</v>
      </c>
      <c r="AM191">
        <v>0</v>
      </c>
      <c r="AN191">
        <v>16</v>
      </c>
      <c r="AP191" t="s">
        <v>1031</v>
      </c>
      <c r="AS191" t="s">
        <v>1230</v>
      </c>
      <c r="AV191" t="s">
        <v>1031</v>
      </c>
      <c r="AW191" t="s">
        <v>1230</v>
      </c>
      <c r="AX191">
        <v>0</v>
      </c>
      <c r="AY191">
        <v>0</v>
      </c>
      <c r="AZ191" t="s">
        <v>282</v>
      </c>
      <c r="BA191" t="s">
        <v>282</v>
      </c>
      <c r="BB191" t="s">
        <v>1197</v>
      </c>
      <c r="BC191">
        <v>1</v>
      </c>
    </row>
    <row r="192" spans="1:55" x14ac:dyDescent="0.25">
      <c r="A192" t="s">
        <v>99</v>
      </c>
      <c r="B192">
        <v>17</v>
      </c>
      <c r="C192" t="s">
        <v>1088</v>
      </c>
      <c r="D192" s="158">
        <v>45199</v>
      </c>
      <c r="E192">
        <v>618926</v>
      </c>
      <c r="F192">
        <v>10315254</v>
      </c>
      <c r="G192">
        <v>54035671</v>
      </c>
      <c r="H192" t="b">
        <v>0</v>
      </c>
      <c r="I192">
        <v>12</v>
      </c>
      <c r="J192" t="s">
        <v>1187</v>
      </c>
      <c r="K192">
        <v>216</v>
      </c>
      <c r="L192">
        <v>216</v>
      </c>
      <c r="M192">
        <v>1</v>
      </c>
      <c r="N192">
        <v>0</v>
      </c>
      <c r="O192">
        <v>0</v>
      </c>
      <c r="P192">
        <v>0</v>
      </c>
      <c r="Q192">
        <v>0</v>
      </c>
      <c r="R192">
        <v>0</v>
      </c>
      <c r="T192">
        <v>216</v>
      </c>
      <c r="U192">
        <v>0</v>
      </c>
      <c r="V192">
        <v>0</v>
      </c>
      <c r="W192">
        <v>0</v>
      </c>
      <c r="X192">
        <v>0</v>
      </c>
      <c r="Y192">
        <v>0</v>
      </c>
      <c r="Z192">
        <v>0</v>
      </c>
      <c r="AA192">
        <v>0</v>
      </c>
      <c r="AB192">
        <v>0</v>
      </c>
      <c r="AC192">
        <v>0</v>
      </c>
      <c r="AD192">
        <v>0</v>
      </c>
      <c r="AE192">
        <v>0</v>
      </c>
      <c r="AF192">
        <v>0</v>
      </c>
      <c r="AG192">
        <v>0</v>
      </c>
      <c r="AH192">
        <v>0</v>
      </c>
      <c r="AI192">
        <v>0</v>
      </c>
      <c r="AJ192">
        <v>0</v>
      </c>
      <c r="AK192">
        <v>0</v>
      </c>
      <c r="AL192">
        <v>0</v>
      </c>
      <c r="AM192">
        <v>0</v>
      </c>
      <c r="AN192">
        <v>216</v>
      </c>
      <c r="AP192" t="s">
        <v>1091</v>
      </c>
      <c r="AS192" t="s">
        <v>1188</v>
      </c>
      <c r="AV192" t="s">
        <v>1091</v>
      </c>
      <c r="AW192" t="s">
        <v>1188</v>
      </c>
      <c r="AX192">
        <v>0</v>
      </c>
      <c r="AY192">
        <v>0</v>
      </c>
      <c r="AZ192" t="s">
        <v>282</v>
      </c>
      <c r="BA192" t="s">
        <v>282</v>
      </c>
      <c r="BB192" t="s">
        <v>1197</v>
      </c>
      <c r="BC192">
        <v>1</v>
      </c>
    </row>
    <row r="193" spans="1:55" x14ac:dyDescent="0.25">
      <c r="A193" t="s">
        <v>99</v>
      </c>
      <c r="B193">
        <v>17</v>
      </c>
      <c r="C193" t="s">
        <v>1088</v>
      </c>
      <c r="D193" s="158">
        <v>45199</v>
      </c>
      <c r="E193">
        <v>618926</v>
      </c>
      <c r="F193">
        <v>10315254</v>
      </c>
      <c r="G193">
        <v>54035675</v>
      </c>
      <c r="H193" t="b">
        <v>0</v>
      </c>
      <c r="I193">
        <v>12</v>
      </c>
      <c r="J193" t="s">
        <v>1187</v>
      </c>
      <c r="K193">
        <v>216</v>
      </c>
      <c r="L193">
        <v>216</v>
      </c>
      <c r="M193">
        <v>1</v>
      </c>
      <c r="N193">
        <v>0</v>
      </c>
      <c r="O193">
        <v>0</v>
      </c>
      <c r="P193">
        <v>0</v>
      </c>
      <c r="Q193">
        <v>0</v>
      </c>
      <c r="R193">
        <v>0</v>
      </c>
      <c r="T193">
        <v>216</v>
      </c>
      <c r="U193">
        <v>0</v>
      </c>
      <c r="V193">
        <v>0</v>
      </c>
      <c r="W193">
        <v>0</v>
      </c>
      <c r="X193">
        <v>0</v>
      </c>
      <c r="Y193">
        <v>0</v>
      </c>
      <c r="Z193">
        <v>0</v>
      </c>
      <c r="AA193">
        <v>0</v>
      </c>
      <c r="AB193">
        <v>0</v>
      </c>
      <c r="AC193">
        <v>0</v>
      </c>
      <c r="AD193">
        <v>0</v>
      </c>
      <c r="AE193">
        <v>0</v>
      </c>
      <c r="AF193">
        <v>0</v>
      </c>
      <c r="AG193">
        <v>0</v>
      </c>
      <c r="AH193">
        <v>0</v>
      </c>
      <c r="AI193">
        <v>0</v>
      </c>
      <c r="AJ193">
        <v>0</v>
      </c>
      <c r="AK193">
        <v>0</v>
      </c>
      <c r="AL193">
        <v>0</v>
      </c>
      <c r="AM193">
        <v>0</v>
      </c>
      <c r="AN193">
        <v>216</v>
      </c>
      <c r="AP193" t="s">
        <v>1091</v>
      </c>
      <c r="AS193" t="s">
        <v>1188</v>
      </c>
      <c r="AV193" t="s">
        <v>1091</v>
      </c>
      <c r="AW193" t="s">
        <v>1188</v>
      </c>
      <c r="AX193">
        <v>0</v>
      </c>
      <c r="AY193">
        <v>0</v>
      </c>
      <c r="AZ193" t="s">
        <v>282</v>
      </c>
      <c r="BA193" t="s">
        <v>282</v>
      </c>
      <c r="BB193" t="s">
        <v>1197</v>
      </c>
      <c r="BC193">
        <v>1</v>
      </c>
    </row>
    <row r="194" spans="1:55" x14ac:dyDescent="0.25">
      <c r="A194" t="s">
        <v>99</v>
      </c>
      <c r="B194">
        <v>17</v>
      </c>
      <c r="C194" t="s">
        <v>1088</v>
      </c>
      <c r="D194" s="158">
        <v>45199</v>
      </c>
      <c r="E194">
        <v>613877</v>
      </c>
      <c r="F194">
        <v>10220420</v>
      </c>
      <c r="G194">
        <v>53072302</v>
      </c>
      <c r="H194" t="b">
        <v>0</v>
      </c>
      <c r="I194">
        <v>39</v>
      </c>
      <c r="J194" t="s">
        <v>1187</v>
      </c>
      <c r="K194">
        <v>216</v>
      </c>
      <c r="L194">
        <v>216</v>
      </c>
      <c r="M194">
        <v>1</v>
      </c>
      <c r="N194">
        <v>0</v>
      </c>
      <c r="O194">
        <v>0</v>
      </c>
      <c r="P194">
        <v>0</v>
      </c>
      <c r="Q194">
        <v>0</v>
      </c>
      <c r="R194">
        <v>0</v>
      </c>
      <c r="T194">
        <v>216</v>
      </c>
      <c r="U194">
        <v>0</v>
      </c>
      <c r="V194">
        <v>0</v>
      </c>
      <c r="W194">
        <v>0</v>
      </c>
      <c r="X194">
        <v>0</v>
      </c>
      <c r="Y194">
        <v>0</v>
      </c>
      <c r="Z194">
        <v>0</v>
      </c>
      <c r="AA194">
        <v>0</v>
      </c>
      <c r="AB194">
        <v>0</v>
      </c>
      <c r="AC194">
        <v>0</v>
      </c>
      <c r="AD194">
        <v>0</v>
      </c>
      <c r="AE194">
        <v>0</v>
      </c>
      <c r="AF194">
        <v>0</v>
      </c>
      <c r="AG194">
        <v>0</v>
      </c>
      <c r="AH194">
        <v>0</v>
      </c>
      <c r="AI194">
        <v>0</v>
      </c>
      <c r="AJ194">
        <v>0</v>
      </c>
      <c r="AK194">
        <v>0</v>
      </c>
      <c r="AL194">
        <v>0</v>
      </c>
      <c r="AM194">
        <v>0</v>
      </c>
      <c r="AN194">
        <v>216</v>
      </c>
      <c r="AP194" t="s">
        <v>1091</v>
      </c>
      <c r="AS194" t="s">
        <v>1188</v>
      </c>
      <c r="AV194" t="s">
        <v>1091</v>
      </c>
      <c r="AW194" t="s">
        <v>1188</v>
      </c>
      <c r="AX194">
        <v>0</v>
      </c>
      <c r="AY194">
        <v>0</v>
      </c>
      <c r="AZ194" t="s">
        <v>282</v>
      </c>
      <c r="BA194" t="s">
        <v>282</v>
      </c>
      <c r="BB194" t="s">
        <v>1191</v>
      </c>
      <c r="BC194">
        <v>2</v>
      </c>
    </row>
    <row r="195" spans="1:55" x14ac:dyDescent="0.25">
      <c r="A195" t="s">
        <v>99</v>
      </c>
      <c r="B195">
        <v>17</v>
      </c>
      <c r="C195" t="s">
        <v>1088</v>
      </c>
      <c r="D195" s="158">
        <v>45199</v>
      </c>
      <c r="E195">
        <v>624679</v>
      </c>
      <c r="F195">
        <v>10423341</v>
      </c>
      <c r="G195">
        <v>54086575</v>
      </c>
      <c r="H195" t="b">
        <v>0</v>
      </c>
      <c r="I195">
        <v>8</v>
      </c>
      <c r="J195" t="s">
        <v>1229</v>
      </c>
      <c r="K195">
        <v>16</v>
      </c>
      <c r="L195">
        <v>8</v>
      </c>
      <c r="M195">
        <v>2</v>
      </c>
      <c r="N195">
        <v>0</v>
      </c>
      <c r="O195">
        <v>0</v>
      </c>
      <c r="P195">
        <v>0</v>
      </c>
      <c r="Q195">
        <v>0</v>
      </c>
      <c r="R195">
        <v>0</v>
      </c>
      <c r="T195">
        <v>16</v>
      </c>
      <c r="U195">
        <v>0</v>
      </c>
      <c r="V195">
        <v>0</v>
      </c>
      <c r="W195">
        <v>0</v>
      </c>
      <c r="X195">
        <v>0</v>
      </c>
      <c r="Y195">
        <v>0</v>
      </c>
      <c r="Z195">
        <v>0</v>
      </c>
      <c r="AA195">
        <v>0</v>
      </c>
      <c r="AB195">
        <v>0</v>
      </c>
      <c r="AC195">
        <v>0</v>
      </c>
      <c r="AD195">
        <v>0</v>
      </c>
      <c r="AE195">
        <v>0</v>
      </c>
      <c r="AF195">
        <v>0</v>
      </c>
      <c r="AG195">
        <v>0</v>
      </c>
      <c r="AH195">
        <v>0</v>
      </c>
      <c r="AI195">
        <v>0</v>
      </c>
      <c r="AJ195">
        <v>0</v>
      </c>
      <c r="AK195">
        <v>0</v>
      </c>
      <c r="AL195">
        <v>0</v>
      </c>
      <c r="AM195">
        <v>0</v>
      </c>
      <c r="AN195">
        <v>16</v>
      </c>
      <c r="AP195" t="s">
        <v>1031</v>
      </c>
      <c r="AS195" t="s">
        <v>1250</v>
      </c>
      <c r="AV195" t="s">
        <v>1031</v>
      </c>
      <c r="AW195" t="s">
        <v>1250</v>
      </c>
      <c r="AX195">
        <v>0</v>
      </c>
      <c r="AY195">
        <v>0</v>
      </c>
      <c r="AZ195" t="s">
        <v>282</v>
      </c>
      <c r="BA195" t="s">
        <v>282</v>
      </c>
      <c r="BB195" t="s">
        <v>1197</v>
      </c>
      <c r="BC195">
        <v>1</v>
      </c>
    </row>
    <row r="196" spans="1:55" x14ac:dyDescent="0.25">
      <c r="A196" t="s">
        <v>99</v>
      </c>
      <c r="B196">
        <v>17</v>
      </c>
      <c r="C196" t="s">
        <v>1088</v>
      </c>
      <c r="D196" s="158">
        <v>45199</v>
      </c>
      <c r="E196">
        <v>624679</v>
      </c>
      <c r="F196">
        <v>10423341</v>
      </c>
      <c r="G196">
        <v>54086581</v>
      </c>
      <c r="H196" t="b">
        <v>0</v>
      </c>
      <c r="I196">
        <v>8</v>
      </c>
      <c r="J196" t="s">
        <v>1234</v>
      </c>
      <c r="K196">
        <v>8</v>
      </c>
      <c r="L196">
        <v>4</v>
      </c>
      <c r="M196">
        <v>2</v>
      </c>
      <c r="N196">
        <v>0</v>
      </c>
      <c r="O196">
        <v>0</v>
      </c>
      <c r="P196">
        <v>0</v>
      </c>
      <c r="Q196">
        <v>0</v>
      </c>
      <c r="R196">
        <v>0</v>
      </c>
      <c r="T196">
        <v>8</v>
      </c>
      <c r="U196">
        <v>0</v>
      </c>
      <c r="V196">
        <v>0</v>
      </c>
      <c r="W196">
        <v>0</v>
      </c>
      <c r="X196">
        <v>0</v>
      </c>
      <c r="Y196">
        <v>0</v>
      </c>
      <c r="Z196">
        <v>0</v>
      </c>
      <c r="AA196">
        <v>0</v>
      </c>
      <c r="AB196">
        <v>0</v>
      </c>
      <c r="AC196">
        <v>0</v>
      </c>
      <c r="AD196">
        <v>0</v>
      </c>
      <c r="AE196">
        <v>0</v>
      </c>
      <c r="AF196">
        <v>0</v>
      </c>
      <c r="AG196">
        <v>0</v>
      </c>
      <c r="AH196">
        <v>0</v>
      </c>
      <c r="AI196">
        <v>0</v>
      </c>
      <c r="AJ196">
        <v>0</v>
      </c>
      <c r="AK196">
        <v>0</v>
      </c>
      <c r="AL196">
        <v>0</v>
      </c>
      <c r="AM196">
        <v>0</v>
      </c>
      <c r="AN196">
        <v>8</v>
      </c>
      <c r="AP196" t="s">
        <v>1031</v>
      </c>
      <c r="AS196" t="s">
        <v>1250</v>
      </c>
      <c r="AV196" t="s">
        <v>1031</v>
      </c>
      <c r="AW196" t="s">
        <v>1250</v>
      </c>
      <c r="AX196">
        <v>0</v>
      </c>
      <c r="AY196">
        <v>0</v>
      </c>
      <c r="AZ196" t="s">
        <v>282</v>
      </c>
      <c r="BA196" t="s">
        <v>282</v>
      </c>
      <c r="BB196" t="s">
        <v>1197</v>
      </c>
      <c r="BC196">
        <v>1</v>
      </c>
    </row>
    <row r="197" spans="1:55" x14ac:dyDescent="0.25">
      <c r="A197" t="s">
        <v>99</v>
      </c>
      <c r="B197">
        <v>17</v>
      </c>
      <c r="C197" t="s">
        <v>1088</v>
      </c>
      <c r="D197" s="158">
        <v>45199</v>
      </c>
      <c r="E197">
        <v>617337</v>
      </c>
      <c r="F197">
        <v>10405636</v>
      </c>
      <c r="G197">
        <v>54051630</v>
      </c>
      <c r="H197" t="b">
        <v>0</v>
      </c>
      <c r="I197">
        <v>8</v>
      </c>
      <c r="J197" t="s">
        <v>1187</v>
      </c>
      <c r="K197">
        <v>216</v>
      </c>
      <c r="L197">
        <v>216</v>
      </c>
      <c r="M197">
        <v>1</v>
      </c>
      <c r="N197">
        <v>0</v>
      </c>
      <c r="O197">
        <v>0</v>
      </c>
      <c r="P197">
        <v>0</v>
      </c>
      <c r="Q197">
        <v>0</v>
      </c>
      <c r="R197">
        <v>0</v>
      </c>
      <c r="T197">
        <v>216</v>
      </c>
      <c r="U197">
        <v>0</v>
      </c>
      <c r="V197">
        <v>0</v>
      </c>
      <c r="W197">
        <v>0</v>
      </c>
      <c r="X197">
        <v>0</v>
      </c>
      <c r="Y197">
        <v>0</v>
      </c>
      <c r="Z197">
        <v>0</v>
      </c>
      <c r="AA197">
        <v>0</v>
      </c>
      <c r="AB197">
        <v>0</v>
      </c>
      <c r="AC197">
        <v>0</v>
      </c>
      <c r="AD197">
        <v>0</v>
      </c>
      <c r="AE197">
        <v>0</v>
      </c>
      <c r="AF197">
        <v>0</v>
      </c>
      <c r="AG197">
        <v>0</v>
      </c>
      <c r="AH197">
        <v>0</v>
      </c>
      <c r="AI197">
        <v>0</v>
      </c>
      <c r="AJ197">
        <v>0</v>
      </c>
      <c r="AK197">
        <v>0</v>
      </c>
      <c r="AL197">
        <v>0</v>
      </c>
      <c r="AM197">
        <v>0</v>
      </c>
      <c r="AN197">
        <v>216</v>
      </c>
      <c r="AP197" t="s">
        <v>1091</v>
      </c>
      <c r="AS197" t="s">
        <v>1188</v>
      </c>
      <c r="AV197" t="s">
        <v>1091</v>
      </c>
      <c r="AW197" t="s">
        <v>1188</v>
      </c>
      <c r="AX197">
        <v>0</v>
      </c>
      <c r="AY197">
        <v>0</v>
      </c>
      <c r="AZ197" t="s">
        <v>282</v>
      </c>
      <c r="BA197" t="s">
        <v>282</v>
      </c>
      <c r="BB197" t="s">
        <v>1197</v>
      </c>
      <c r="BC197">
        <v>1</v>
      </c>
    </row>
    <row r="198" spans="1:55" x14ac:dyDescent="0.25">
      <c r="A198" t="s">
        <v>99</v>
      </c>
      <c r="B198">
        <v>17</v>
      </c>
      <c r="C198" t="s">
        <v>1088</v>
      </c>
      <c r="D198" s="158">
        <v>45199</v>
      </c>
      <c r="E198">
        <v>617621</v>
      </c>
      <c r="F198">
        <v>10371133</v>
      </c>
      <c r="G198">
        <v>54052973</v>
      </c>
      <c r="H198" t="b">
        <v>0</v>
      </c>
      <c r="I198">
        <v>8</v>
      </c>
      <c r="J198" t="s">
        <v>1184</v>
      </c>
      <c r="K198">
        <v>216</v>
      </c>
      <c r="L198">
        <v>216</v>
      </c>
      <c r="M198">
        <v>1</v>
      </c>
      <c r="N198">
        <v>0</v>
      </c>
      <c r="O198">
        <v>0</v>
      </c>
      <c r="P198">
        <v>0</v>
      </c>
      <c r="Q198">
        <v>0</v>
      </c>
      <c r="R198">
        <v>0</v>
      </c>
      <c r="T198">
        <v>216</v>
      </c>
      <c r="U198">
        <v>0</v>
      </c>
      <c r="V198">
        <v>0</v>
      </c>
      <c r="W198">
        <v>0</v>
      </c>
      <c r="X198">
        <v>0</v>
      </c>
      <c r="Y198">
        <v>0</v>
      </c>
      <c r="Z198">
        <v>0</v>
      </c>
      <c r="AA198">
        <v>0</v>
      </c>
      <c r="AB198">
        <v>0</v>
      </c>
      <c r="AC198">
        <v>0</v>
      </c>
      <c r="AD198">
        <v>0</v>
      </c>
      <c r="AE198">
        <v>0</v>
      </c>
      <c r="AF198">
        <v>0</v>
      </c>
      <c r="AG198">
        <v>0</v>
      </c>
      <c r="AH198">
        <v>0</v>
      </c>
      <c r="AI198">
        <v>0</v>
      </c>
      <c r="AJ198">
        <v>0</v>
      </c>
      <c r="AK198">
        <v>0</v>
      </c>
      <c r="AL198">
        <v>0</v>
      </c>
      <c r="AM198">
        <v>0</v>
      </c>
      <c r="AN198">
        <v>216</v>
      </c>
      <c r="AP198" t="s">
        <v>1090</v>
      </c>
      <c r="AS198" t="s">
        <v>1266</v>
      </c>
      <c r="AV198" t="s">
        <v>1090</v>
      </c>
      <c r="AW198" t="s">
        <v>1266</v>
      </c>
      <c r="AX198">
        <v>0</v>
      </c>
      <c r="AY198">
        <v>0</v>
      </c>
      <c r="AZ198" t="s">
        <v>282</v>
      </c>
      <c r="BA198" t="s">
        <v>282</v>
      </c>
      <c r="BB198" t="s">
        <v>1197</v>
      </c>
      <c r="BC198">
        <v>1</v>
      </c>
    </row>
    <row r="199" spans="1:55" x14ac:dyDescent="0.25">
      <c r="A199" t="s">
        <v>99</v>
      </c>
      <c r="B199">
        <v>17</v>
      </c>
      <c r="C199" t="s">
        <v>1088</v>
      </c>
      <c r="D199" s="158">
        <v>45199</v>
      </c>
      <c r="E199">
        <v>115568</v>
      </c>
      <c r="F199">
        <v>10366700</v>
      </c>
      <c r="G199">
        <v>53861377</v>
      </c>
      <c r="H199" t="b">
        <v>0</v>
      </c>
      <c r="I199">
        <v>15</v>
      </c>
      <c r="J199" t="s">
        <v>1184</v>
      </c>
      <c r="K199">
        <v>216</v>
      </c>
      <c r="L199">
        <v>216</v>
      </c>
      <c r="M199">
        <v>1</v>
      </c>
      <c r="N199">
        <v>0</v>
      </c>
      <c r="O199">
        <v>0</v>
      </c>
      <c r="P199">
        <v>0</v>
      </c>
      <c r="Q199">
        <v>0</v>
      </c>
      <c r="R199">
        <v>0</v>
      </c>
      <c r="T199">
        <v>216</v>
      </c>
      <c r="U199">
        <v>0</v>
      </c>
      <c r="V199">
        <v>0</v>
      </c>
      <c r="W199">
        <v>0</v>
      </c>
      <c r="X199">
        <v>0</v>
      </c>
      <c r="Y199">
        <v>0</v>
      </c>
      <c r="Z199">
        <v>0</v>
      </c>
      <c r="AA199">
        <v>0</v>
      </c>
      <c r="AB199">
        <v>0</v>
      </c>
      <c r="AC199">
        <v>0</v>
      </c>
      <c r="AD199">
        <v>0</v>
      </c>
      <c r="AE199">
        <v>0</v>
      </c>
      <c r="AF199">
        <v>0</v>
      </c>
      <c r="AG199">
        <v>0</v>
      </c>
      <c r="AH199">
        <v>0</v>
      </c>
      <c r="AI199">
        <v>0</v>
      </c>
      <c r="AJ199">
        <v>0</v>
      </c>
      <c r="AK199">
        <v>0</v>
      </c>
      <c r="AL199">
        <v>0</v>
      </c>
      <c r="AM199">
        <v>0</v>
      </c>
      <c r="AN199">
        <v>216</v>
      </c>
      <c r="AP199" t="s">
        <v>1091</v>
      </c>
      <c r="AS199" t="s">
        <v>1185</v>
      </c>
      <c r="AV199" t="s">
        <v>1091</v>
      </c>
      <c r="AW199" t="s">
        <v>1185</v>
      </c>
      <c r="AX199">
        <v>0</v>
      </c>
      <c r="AY199">
        <v>0</v>
      </c>
      <c r="AZ199" t="s">
        <v>282</v>
      </c>
      <c r="BA199" t="s">
        <v>282</v>
      </c>
      <c r="BB199" t="s">
        <v>1197</v>
      </c>
      <c r="BC199">
        <v>1</v>
      </c>
    </row>
    <row r="200" spans="1:55" x14ac:dyDescent="0.25">
      <c r="A200" t="s">
        <v>99</v>
      </c>
      <c r="B200">
        <v>17</v>
      </c>
      <c r="C200" t="s">
        <v>1088</v>
      </c>
      <c r="D200" s="158">
        <v>45199</v>
      </c>
      <c r="E200">
        <v>133659</v>
      </c>
      <c r="F200">
        <v>1781164</v>
      </c>
      <c r="G200">
        <v>13872657</v>
      </c>
      <c r="H200" t="b">
        <v>0</v>
      </c>
      <c r="I200">
        <v>2657</v>
      </c>
      <c r="J200" t="s">
        <v>1184</v>
      </c>
      <c r="K200">
        <v>109.5</v>
      </c>
      <c r="L200">
        <v>109.5</v>
      </c>
      <c r="M200">
        <v>1</v>
      </c>
      <c r="N200">
        <v>0</v>
      </c>
      <c r="O200">
        <v>0</v>
      </c>
      <c r="P200">
        <v>0</v>
      </c>
      <c r="Q200">
        <v>0</v>
      </c>
      <c r="R200">
        <v>0</v>
      </c>
      <c r="T200">
        <v>109.5</v>
      </c>
      <c r="U200">
        <v>0</v>
      </c>
      <c r="V200">
        <v>2</v>
      </c>
      <c r="W200">
        <v>219</v>
      </c>
      <c r="X200">
        <v>0</v>
      </c>
      <c r="Y200">
        <v>0</v>
      </c>
      <c r="Z200">
        <v>0</v>
      </c>
      <c r="AA200">
        <v>0</v>
      </c>
      <c r="AB200">
        <v>0</v>
      </c>
      <c r="AC200">
        <v>0</v>
      </c>
      <c r="AD200">
        <v>0</v>
      </c>
      <c r="AE200">
        <v>0</v>
      </c>
      <c r="AF200">
        <v>0</v>
      </c>
      <c r="AG200">
        <v>0</v>
      </c>
      <c r="AH200">
        <v>0</v>
      </c>
      <c r="AI200">
        <v>0</v>
      </c>
      <c r="AJ200">
        <v>0</v>
      </c>
      <c r="AK200">
        <v>0</v>
      </c>
      <c r="AL200">
        <v>0</v>
      </c>
      <c r="AM200">
        <v>0</v>
      </c>
      <c r="AN200">
        <v>-109.5</v>
      </c>
      <c r="AP200" t="s">
        <v>1031</v>
      </c>
      <c r="AS200" t="s">
        <v>1193</v>
      </c>
      <c r="AV200" t="s">
        <v>1031</v>
      </c>
      <c r="AW200" t="s">
        <v>1193</v>
      </c>
      <c r="AX200">
        <v>0</v>
      </c>
      <c r="AY200">
        <v>0</v>
      </c>
      <c r="AZ200" t="s">
        <v>282</v>
      </c>
      <c r="BA200" t="s">
        <v>282</v>
      </c>
      <c r="BB200" t="s">
        <v>1200</v>
      </c>
      <c r="BC200">
        <v>8</v>
      </c>
    </row>
    <row r="201" spans="1:55" x14ac:dyDescent="0.25">
      <c r="A201" t="s">
        <v>99</v>
      </c>
      <c r="B201">
        <v>17</v>
      </c>
      <c r="C201" t="s">
        <v>1088</v>
      </c>
      <c r="D201" s="158">
        <v>45199</v>
      </c>
      <c r="E201">
        <v>133659</v>
      </c>
      <c r="F201">
        <v>1781164</v>
      </c>
      <c r="G201">
        <v>13872658</v>
      </c>
      <c r="H201" t="b">
        <v>0</v>
      </c>
      <c r="I201">
        <v>2657</v>
      </c>
      <c r="J201" t="s">
        <v>1246</v>
      </c>
      <c r="K201">
        <v>25</v>
      </c>
      <c r="L201">
        <v>25</v>
      </c>
      <c r="M201">
        <v>1</v>
      </c>
      <c r="N201">
        <v>0</v>
      </c>
      <c r="O201">
        <v>0</v>
      </c>
      <c r="P201">
        <v>0</v>
      </c>
      <c r="Q201">
        <v>0</v>
      </c>
      <c r="R201">
        <v>0</v>
      </c>
      <c r="T201">
        <v>25</v>
      </c>
      <c r="U201">
        <v>0</v>
      </c>
      <c r="V201">
        <v>2</v>
      </c>
      <c r="W201">
        <v>50</v>
      </c>
      <c r="X201">
        <v>0</v>
      </c>
      <c r="Y201">
        <v>0</v>
      </c>
      <c r="Z201">
        <v>0</v>
      </c>
      <c r="AA201">
        <v>0</v>
      </c>
      <c r="AB201">
        <v>0</v>
      </c>
      <c r="AC201">
        <v>0</v>
      </c>
      <c r="AD201">
        <v>0</v>
      </c>
      <c r="AE201">
        <v>0</v>
      </c>
      <c r="AF201">
        <v>0</v>
      </c>
      <c r="AG201">
        <v>0</v>
      </c>
      <c r="AH201">
        <v>0</v>
      </c>
      <c r="AI201">
        <v>0</v>
      </c>
      <c r="AJ201">
        <v>0</v>
      </c>
      <c r="AK201">
        <v>0</v>
      </c>
      <c r="AL201">
        <v>0</v>
      </c>
      <c r="AM201">
        <v>0</v>
      </c>
      <c r="AN201">
        <v>-25</v>
      </c>
      <c r="AP201" t="s">
        <v>1031</v>
      </c>
      <c r="AS201" t="s">
        <v>1193</v>
      </c>
      <c r="AV201" t="s">
        <v>1031</v>
      </c>
      <c r="AW201" t="s">
        <v>1193</v>
      </c>
      <c r="AX201">
        <v>0</v>
      </c>
      <c r="AY201">
        <v>0</v>
      </c>
      <c r="AZ201" t="s">
        <v>282</v>
      </c>
      <c r="BA201" t="s">
        <v>282</v>
      </c>
      <c r="BB201" t="s">
        <v>1200</v>
      </c>
      <c r="BC201">
        <v>8</v>
      </c>
    </row>
    <row r="202" spans="1:55" x14ac:dyDescent="0.25">
      <c r="A202" t="s">
        <v>99</v>
      </c>
      <c r="B202">
        <v>17</v>
      </c>
      <c r="C202" t="s">
        <v>1088</v>
      </c>
      <c r="D202" s="158">
        <v>45199</v>
      </c>
      <c r="E202">
        <v>133659</v>
      </c>
      <c r="F202">
        <v>1781164</v>
      </c>
      <c r="G202">
        <v>13872653</v>
      </c>
      <c r="H202" t="b">
        <v>0</v>
      </c>
      <c r="I202">
        <v>2657</v>
      </c>
      <c r="J202" t="s">
        <v>1184</v>
      </c>
      <c r="K202">
        <v>109.5</v>
      </c>
      <c r="L202">
        <v>109.5</v>
      </c>
      <c r="M202">
        <v>1</v>
      </c>
      <c r="N202">
        <v>0</v>
      </c>
      <c r="O202">
        <v>0</v>
      </c>
      <c r="P202">
        <v>0</v>
      </c>
      <c r="Q202">
        <v>0</v>
      </c>
      <c r="R202">
        <v>0</v>
      </c>
      <c r="T202">
        <v>109.5</v>
      </c>
      <c r="U202">
        <v>0</v>
      </c>
      <c r="V202">
        <v>2</v>
      </c>
      <c r="W202">
        <v>219</v>
      </c>
      <c r="X202">
        <v>0</v>
      </c>
      <c r="Y202">
        <v>0</v>
      </c>
      <c r="Z202">
        <v>0</v>
      </c>
      <c r="AA202">
        <v>0</v>
      </c>
      <c r="AB202">
        <v>0</v>
      </c>
      <c r="AC202">
        <v>0</v>
      </c>
      <c r="AD202">
        <v>0</v>
      </c>
      <c r="AE202">
        <v>0</v>
      </c>
      <c r="AF202">
        <v>0</v>
      </c>
      <c r="AG202">
        <v>0</v>
      </c>
      <c r="AH202">
        <v>0</v>
      </c>
      <c r="AI202">
        <v>0</v>
      </c>
      <c r="AJ202">
        <v>0</v>
      </c>
      <c r="AK202">
        <v>0</v>
      </c>
      <c r="AL202">
        <v>0</v>
      </c>
      <c r="AM202">
        <v>0</v>
      </c>
      <c r="AN202">
        <v>-109.5</v>
      </c>
      <c r="AP202" t="s">
        <v>1031</v>
      </c>
      <c r="AS202" t="s">
        <v>1193</v>
      </c>
      <c r="AV202" t="s">
        <v>1031</v>
      </c>
      <c r="AW202" t="s">
        <v>1193</v>
      </c>
      <c r="AX202">
        <v>0</v>
      </c>
      <c r="AY202">
        <v>0</v>
      </c>
      <c r="AZ202" t="s">
        <v>282</v>
      </c>
      <c r="BA202" t="s">
        <v>282</v>
      </c>
      <c r="BB202" t="s">
        <v>1200</v>
      </c>
      <c r="BC202">
        <v>8</v>
      </c>
    </row>
    <row r="203" spans="1:55" x14ac:dyDescent="0.25">
      <c r="A203" t="s">
        <v>99</v>
      </c>
      <c r="B203">
        <v>17</v>
      </c>
      <c r="C203" t="s">
        <v>1088</v>
      </c>
      <c r="D203" s="158">
        <v>45199</v>
      </c>
      <c r="E203">
        <v>562091</v>
      </c>
      <c r="F203">
        <v>9221655</v>
      </c>
      <c r="G203">
        <v>46730464</v>
      </c>
      <c r="H203" t="b">
        <v>0</v>
      </c>
      <c r="I203">
        <v>243</v>
      </c>
      <c r="J203" t="s">
        <v>1196</v>
      </c>
      <c r="K203">
        <v>85</v>
      </c>
      <c r="L203">
        <v>85</v>
      </c>
      <c r="M203">
        <v>1</v>
      </c>
      <c r="N203">
        <v>0</v>
      </c>
      <c r="O203">
        <v>0</v>
      </c>
      <c r="P203">
        <v>0</v>
      </c>
      <c r="Q203">
        <v>0</v>
      </c>
      <c r="R203">
        <v>0</v>
      </c>
      <c r="T203">
        <v>85</v>
      </c>
      <c r="U203">
        <v>0</v>
      </c>
      <c r="V203">
        <v>0</v>
      </c>
      <c r="W203">
        <v>0</v>
      </c>
      <c r="X203">
        <v>0</v>
      </c>
      <c r="Y203">
        <v>0</v>
      </c>
      <c r="Z203">
        <v>0</v>
      </c>
      <c r="AA203">
        <v>0</v>
      </c>
      <c r="AB203">
        <v>0</v>
      </c>
      <c r="AC203">
        <v>0</v>
      </c>
      <c r="AD203">
        <v>0</v>
      </c>
      <c r="AE203">
        <v>0</v>
      </c>
      <c r="AF203">
        <v>0</v>
      </c>
      <c r="AG203">
        <v>0</v>
      </c>
      <c r="AH203">
        <v>0</v>
      </c>
      <c r="AI203">
        <v>0</v>
      </c>
      <c r="AJ203">
        <v>0</v>
      </c>
      <c r="AK203">
        <v>0</v>
      </c>
      <c r="AL203">
        <v>0</v>
      </c>
      <c r="AM203">
        <v>0</v>
      </c>
      <c r="AN203">
        <v>85</v>
      </c>
      <c r="AP203" t="s">
        <v>1031</v>
      </c>
      <c r="AS203" t="s">
        <v>1238</v>
      </c>
      <c r="AV203" t="s">
        <v>1031</v>
      </c>
      <c r="AW203" t="s">
        <v>1238</v>
      </c>
      <c r="AX203">
        <v>0</v>
      </c>
      <c r="AY203">
        <v>0</v>
      </c>
      <c r="AZ203" t="s">
        <v>282</v>
      </c>
      <c r="BA203" t="s">
        <v>282</v>
      </c>
      <c r="BB203" t="s">
        <v>1204</v>
      </c>
      <c r="BC203">
        <v>7</v>
      </c>
    </row>
    <row r="204" spans="1:55" x14ac:dyDescent="0.25">
      <c r="A204" t="s">
        <v>99</v>
      </c>
      <c r="B204">
        <v>17</v>
      </c>
      <c r="C204" t="s">
        <v>1088</v>
      </c>
      <c r="D204" s="158">
        <v>45199</v>
      </c>
      <c r="E204">
        <v>325681</v>
      </c>
      <c r="F204">
        <v>8803104</v>
      </c>
      <c r="G204">
        <v>44640539</v>
      </c>
      <c r="H204" t="b">
        <v>0</v>
      </c>
      <c r="I204">
        <v>331</v>
      </c>
      <c r="J204" t="s">
        <v>1187</v>
      </c>
      <c r="K204">
        <v>150</v>
      </c>
      <c r="L204">
        <v>150</v>
      </c>
      <c r="M204">
        <v>1</v>
      </c>
      <c r="N204">
        <v>0</v>
      </c>
      <c r="O204">
        <v>14.22</v>
      </c>
      <c r="P204">
        <v>0</v>
      </c>
      <c r="Q204">
        <v>14.22</v>
      </c>
      <c r="R204">
        <v>0</v>
      </c>
      <c r="T204">
        <v>150</v>
      </c>
      <c r="U204">
        <v>0</v>
      </c>
      <c r="V204">
        <v>2</v>
      </c>
      <c r="W204">
        <v>142.16</v>
      </c>
      <c r="X204">
        <v>7.84</v>
      </c>
      <c r="Y204">
        <v>0</v>
      </c>
      <c r="Z204">
        <v>0</v>
      </c>
      <c r="AA204">
        <v>0</v>
      </c>
      <c r="AB204">
        <v>0</v>
      </c>
      <c r="AC204">
        <v>0</v>
      </c>
      <c r="AD204">
        <v>0</v>
      </c>
      <c r="AE204">
        <v>0</v>
      </c>
      <c r="AF204">
        <v>0</v>
      </c>
      <c r="AG204">
        <v>0</v>
      </c>
      <c r="AH204">
        <v>0</v>
      </c>
      <c r="AI204">
        <v>0</v>
      </c>
      <c r="AJ204">
        <v>0</v>
      </c>
      <c r="AK204">
        <v>0</v>
      </c>
      <c r="AL204">
        <v>0</v>
      </c>
      <c r="AM204">
        <v>0</v>
      </c>
      <c r="AN204">
        <v>-14.22</v>
      </c>
      <c r="AP204" t="s">
        <v>1091</v>
      </c>
      <c r="AS204" t="s">
        <v>1185</v>
      </c>
      <c r="AV204" t="s">
        <v>1091</v>
      </c>
      <c r="AW204" t="s">
        <v>1185</v>
      </c>
      <c r="AX204">
        <v>0</v>
      </c>
      <c r="AY204">
        <v>0</v>
      </c>
      <c r="AZ204" t="s">
        <v>282</v>
      </c>
      <c r="BA204" t="s">
        <v>282</v>
      </c>
      <c r="BB204" t="s">
        <v>1204</v>
      </c>
      <c r="BC204">
        <v>7</v>
      </c>
    </row>
    <row r="205" spans="1:55" x14ac:dyDescent="0.25">
      <c r="A205" t="s">
        <v>99</v>
      </c>
      <c r="B205">
        <v>17</v>
      </c>
      <c r="C205" t="s">
        <v>1088</v>
      </c>
      <c r="D205" s="158">
        <v>45199</v>
      </c>
      <c r="E205">
        <v>456651</v>
      </c>
      <c r="F205">
        <v>10209824</v>
      </c>
      <c r="G205">
        <v>53289654</v>
      </c>
      <c r="H205" t="b">
        <v>0</v>
      </c>
      <c r="I205">
        <v>36</v>
      </c>
      <c r="J205" t="s">
        <v>1187</v>
      </c>
      <c r="K205">
        <v>216</v>
      </c>
      <c r="L205">
        <v>216</v>
      </c>
      <c r="M205">
        <v>1</v>
      </c>
      <c r="N205">
        <v>0</v>
      </c>
      <c r="O205">
        <v>0</v>
      </c>
      <c r="P205">
        <v>0</v>
      </c>
      <c r="Q205">
        <v>0</v>
      </c>
      <c r="R205">
        <v>0</v>
      </c>
      <c r="T205">
        <v>216</v>
      </c>
      <c r="U205">
        <v>0</v>
      </c>
      <c r="V205">
        <v>0</v>
      </c>
      <c r="W205">
        <v>0</v>
      </c>
      <c r="X205">
        <v>0</v>
      </c>
      <c r="Y205">
        <v>0</v>
      </c>
      <c r="Z205">
        <v>0</v>
      </c>
      <c r="AA205">
        <v>0</v>
      </c>
      <c r="AB205">
        <v>0</v>
      </c>
      <c r="AC205">
        <v>0</v>
      </c>
      <c r="AD205">
        <v>0</v>
      </c>
      <c r="AE205">
        <v>0</v>
      </c>
      <c r="AF205">
        <v>0</v>
      </c>
      <c r="AG205">
        <v>0</v>
      </c>
      <c r="AH205">
        <v>0</v>
      </c>
      <c r="AI205">
        <v>0</v>
      </c>
      <c r="AJ205">
        <v>0</v>
      </c>
      <c r="AK205">
        <v>0</v>
      </c>
      <c r="AL205">
        <v>0</v>
      </c>
      <c r="AM205">
        <v>0</v>
      </c>
      <c r="AN205">
        <v>216</v>
      </c>
      <c r="AP205" t="s">
        <v>1180</v>
      </c>
      <c r="AS205" t="s">
        <v>1243</v>
      </c>
      <c r="AV205" t="s">
        <v>1180</v>
      </c>
      <c r="AW205" t="s">
        <v>1243</v>
      </c>
      <c r="AX205">
        <v>0</v>
      </c>
      <c r="AY205">
        <v>0</v>
      </c>
      <c r="AZ205" t="s">
        <v>282</v>
      </c>
      <c r="BA205" t="s">
        <v>282</v>
      </c>
      <c r="BB205" t="s">
        <v>1191</v>
      </c>
      <c r="BC205">
        <v>2</v>
      </c>
    </row>
    <row r="206" spans="1:55" x14ac:dyDescent="0.25">
      <c r="A206" t="s">
        <v>99</v>
      </c>
      <c r="B206">
        <v>17</v>
      </c>
      <c r="C206" t="s">
        <v>1088</v>
      </c>
      <c r="D206" s="158">
        <v>45199</v>
      </c>
      <c r="E206">
        <v>624918</v>
      </c>
      <c r="F206">
        <v>10427374</v>
      </c>
      <c r="G206">
        <v>54108327</v>
      </c>
      <c r="H206" t="b">
        <v>0</v>
      </c>
      <c r="I206">
        <v>5</v>
      </c>
      <c r="J206" t="s">
        <v>1249</v>
      </c>
      <c r="K206">
        <v>15</v>
      </c>
      <c r="L206">
        <v>7.5</v>
      </c>
      <c r="M206">
        <v>2</v>
      </c>
      <c r="N206">
        <v>0</v>
      </c>
      <c r="O206">
        <v>0</v>
      </c>
      <c r="P206">
        <v>0</v>
      </c>
      <c r="Q206">
        <v>0</v>
      </c>
      <c r="R206">
        <v>0</v>
      </c>
      <c r="T206">
        <v>15</v>
      </c>
      <c r="U206">
        <v>0</v>
      </c>
      <c r="V206">
        <v>0</v>
      </c>
      <c r="W206">
        <v>0</v>
      </c>
      <c r="X206">
        <v>0</v>
      </c>
      <c r="Y206">
        <v>0</v>
      </c>
      <c r="Z206">
        <v>0</v>
      </c>
      <c r="AA206">
        <v>0</v>
      </c>
      <c r="AB206">
        <v>0</v>
      </c>
      <c r="AC206">
        <v>0</v>
      </c>
      <c r="AD206">
        <v>0</v>
      </c>
      <c r="AE206">
        <v>0</v>
      </c>
      <c r="AF206">
        <v>0</v>
      </c>
      <c r="AG206">
        <v>0</v>
      </c>
      <c r="AH206">
        <v>0</v>
      </c>
      <c r="AI206">
        <v>0</v>
      </c>
      <c r="AJ206">
        <v>0</v>
      </c>
      <c r="AK206">
        <v>0</v>
      </c>
      <c r="AL206">
        <v>0</v>
      </c>
      <c r="AM206">
        <v>0</v>
      </c>
      <c r="AN206">
        <v>15</v>
      </c>
      <c r="AP206" t="s">
        <v>1031</v>
      </c>
      <c r="AS206" t="s">
        <v>1250</v>
      </c>
      <c r="AV206" t="s">
        <v>1031</v>
      </c>
      <c r="AW206" t="s">
        <v>1250</v>
      </c>
      <c r="AX206">
        <v>0</v>
      </c>
      <c r="AY206">
        <v>0</v>
      </c>
      <c r="AZ206" t="s">
        <v>282</v>
      </c>
      <c r="BA206" t="s">
        <v>282</v>
      </c>
      <c r="BB206" t="s">
        <v>1197</v>
      </c>
      <c r="BC206">
        <v>1</v>
      </c>
    </row>
    <row r="207" spans="1:55" x14ac:dyDescent="0.25">
      <c r="A207" t="s">
        <v>99</v>
      </c>
      <c r="B207">
        <v>17</v>
      </c>
      <c r="C207" t="s">
        <v>1088</v>
      </c>
      <c r="D207" s="158">
        <v>45199</v>
      </c>
      <c r="E207">
        <v>624918</v>
      </c>
      <c r="F207">
        <v>10427374</v>
      </c>
      <c r="G207">
        <v>54108331</v>
      </c>
      <c r="H207" t="b">
        <v>0</v>
      </c>
      <c r="I207">
        <v>5</v>
      </c>
      <c r="J207" t="s">
        <v>1229</v>
      </c>
      <c r="K207">
        <v>16</v>
      </c>
      <c r="L207">
        <v>8</v>
      </c>
      <c r="M207">
        <v>2</v>
      </c>
      <c r="N207">
        <v>0</v>
      </c>
      <c r="O207">
        <v>0</v>
      </c>
      <c r="P207">
        <v>0</v>
      </c>
      <c r="Q207">
        <v>0</v>
      </c>
      <c r="R207">
        <v>0</v>
      </c>
      <c r="T207">
        <v>16</v>
      </c>
      <c r="U207">
        <v>0</v>
      </c>
      <c r="V207">
        <v>0</v>
      </c>
      <c r="W207">
        <v>0</v>
      </c>
      <c r="X207">
        <v>0</v>
      </c>
      <c r="Y207">
        <v>0</v>
      </c>
      <c r="Z207">
        <v>0</v>
      </c>
      <c r="AA207">
        <v>0</v>
      </c>
      <c r="AB207">
        <v>0</v>
      </c>
      <c r="AC207">
        <v>0</v>
      </c>
      <c r="AD207">
        <v>0</v>
      </c>
      <c r="AE207">
        <v>0</v>
      </c>
      <c r="AF207">
        <v>0</v>
      </c>
      <c r="AG207">
        <v>0</v>
      </c>
      <c r="AH207">
        <v>0</v>
      </c>
      <c r="AI207">
        <v>0</v>
      </c>
      <c r="AJ207">
        <v>0</v>
      </c>
      <c r="AK207">
        <v>0</v>
      </c>
      <c r="AL207">
        <v>0</v>
      </c>
      <c r="AM207">
        <v>0</v>
      </c>
      <c r="AN207">
        <v>16</v>
      </c>
      <c r="AP207" t="s">
        <v>1031</v>
      </c>
      <c r="AS207" t="s">
        <v>1250</v>
      </c>
      <c r="AV207" t="s">
        <v>1031</v>
      </c>
      <c r="AW207" t="s">
        <v>1250</v>
      </c>
      <c r="AX207">
        <v>0</v>
      </c>
      <c r="AY207">
        <v>0</v>
      </c>
      <c r="AZ207" t="s">
        <v>282</v>
      </c>
      <c r="BA207" t="s">
        <v>282</v>
      </c>
      <c r="BB207" t="s">
        <v>1197</v>
      </c>
      <c r="BC207">
        <v>1</v>
      </c>
    </row>
    <row r="208" spans="1:55" x14ac:dyDescent="0.25">
      <c r="A208" t="s">
        <v>99</v>
      </c>
      <c r="B208">
        <v>17</v>
      </c>
      <c r="C208" t="s">
        <v>1088</v>
      </c>
      <c r="D208" s="158">
        <v>45199</v>
      </c>
      <c r="E208">
        <v>567032</v>
      </c>
      <c r="F208">
        <v>9319024</v>
      </c>
      <c r="G208">
        <v>47264218</v>
      </c>
      <c r="H208" t="b">
        <v>0</v>
      </c>
      <c r="I208">
        <v>225</v>
      </c>
      <c r="J208" t="s">
        <v>1196</v>
      </c>
      <c r="K208">
        <v>85</v>
      </c>
      <c r="L208">
        <v>85</v>
      </c>
      <c r="M208">
        <v>1</v>
      </c>
      <c r="N208">
        <v>0</v>
      </c>
      <c r="O208">
        <v>0</v>
      </c>
      <c r="P208">
        <v>0</v>
      </c>
      <c r="Q208">
        <v>0</v>
      </c>
      <c r="R208">
        <v>0</v>
      </c>
      <c r="T208">
        <v>85</v>
      </c>
      <c r="U208">
        <v>0</v>
      </c>
      <c r="V208">
        <v>2</v>
      </c>
      <c r="W208">
        <v>170</v>
      </c>
      <c r="X208">
        <v>0</v>
      </c>
      <c r="Y208">
        <v>0</v>
      </c>
      <c r="Z208">
        <v>0</v>
      </c>
      <c r="AA208">
        <v>0</v>
      </c>
      <c r="AB208">
        <v>0</v>
      </c>
      <c r="AC208">
        <v>0</v>
      </c>
      <c r="AD208">
        <v>0</v>
      </c>
      <c r="AE208">
        <v>0</v>
      </c>
      <c r="AF208">
        <v>0</v>
      </c>
      <c r="AG208">
        <v>0</v>
      </c>
      <c r="AH208">
        <v>0</v>
      </c>
      <c r="AI208">
        <v>0</v>
      </c>
      <c r="AJ208">
        <v>0</v>
      </c>
      <c r="AK208">
        <v>0</v>
      </c>
      <c r="AL208">
        <v>0</v>
      </c>
      <c r="AM208">
        <v>0</v>
      </c>
      <c r="AN208">
        <v>-85</v>
      </c>
      <c r="AP208" t="s">
        <v>1031</v>
      </c>
      <c r="AS208" t="s">
        <v>1190</v>
      </c>
      <c r="AV208" t="s">
        <v>1031</v>
      </c>
      <c r="AW208" t="s">
        <v>1190</v>
      </c>
      <c r="AX208">
        <v>0</v>
      </c>
      <c r="AY208">
        <v>0</v>
      </c>
      <c r="AZ208" t="s">
        <v>282</v>
      </c>
      <c r="BA208" t="s">
        <v>282</v>
      </c>
      <c r="BB208" t="s">
        <v>1204</v>
      </c>
      <c r="BC208">
        <v>7</v>
      </c>
    </row>
    <row r="209" spans="1:55" x14ac:dyDescent="0.25">
      <c r="A209" t="s">
        <v>99</v>
      </c>
      <c r="B209">
        <v>17</v>
      </c>
      <c r="C209" t="s">
        <v>1088</v>
      </c>
      <c r="D209" s="158">
        <v>45199</v>
      </c>
      <c r="E209">
        <v>617511</v>
      </c>
      <c r="F209">
        <v>10286974</v>
      </c>
      <c r="G209">
        <v>53406527</v>
      </c>
      <c r="H209" t="b">
        <v>0</v>
      </c>
      <c r="I209">
        <v>30</v>
      </c>
      <c r="J209" t="s">
        <v>1187</v>
      </c>
      <c r="K209">
        <v>216</v>
      </c>
      <c r="L209">
        <v>216</v>
      </c>
      <c r="M209">
        <v>1</v>
      </c>
      <c r="N209">
        <v>0</v>
      </c>
      <c r="O209">
        <v>0</v>
      </c>
      <c r="P209">
        <v>0</v>
      </c>
      <c r="Q209">
        <v>0</v>
      </c>
      <c r="R209">
        <v>0</v>
      </c>
      <c r="T209">
        <v>0</v>
      </c>
      <c r="U209">
        <v>0</v>
      </c>
      <c r="V209">
        <v>0</v>
      </c>
      <c r="W209">
        <v>0</v>
      </c>
      <c r="X209">
        <v>0</v>
      </c>
      <c r="Y209">
        <v>0</v>
      </c>
      <c r="Z209">
        <v>0</v>
      </c>
      <c r="AA209">
        <v>0</v>
      </c>
      <c r="AB209">
        <v>0</v>
      </c>
      <c r="AC209">
        <v>0</v>
      </c>
      <c r="AD209">
        <v>0</v>
      </c>
      <c r="AE209">
        <v>0</v>
      </c>
      <c r="AF209">
        <v>0</v>
      </c>
      <c r="AG209">
        <v>0</v>
      </c>
      <c r="AH209">
        <v>0</v>
      </c>
      <c r="AI209">
        <v>216</v>
      </c>
      <c r="AJ209">
        <v>0</v>
      </c>
      <c r="AK209">
        <v>0</v>
      </c>
      <c r="AL209">
        <v>0</v>
      </c>
      <c r="AM209">
        <v>0</v>
      </c>
      <c r="AN209">
        <v>216</v>
      </c>
      <c r="AP209" t="s">
        <v>1091</v>
      </c>
      <c r="AS209" t="s">
        <v>1185</v>
      </c>
      <c r="AV209" t="s">
        <v>1091</v>
      </c>
      <c r="AW209" t="s">
        <v>1185</v>
      </c>
      <c r="AX209">
        <v>0</v>
      </c>
      <c r="AY209">
        <v>0</v>
      </c>
      <c r="AZ209" t="s">
        <v>282</v>
      </c>
      <c r="BA209" t="s">
        <v>282</v>
      </c>
      <c r="BB209" t="s">
        <v>1197</v>
      </c>
      <c r="BC209">
        <v>1</v>
      </c>
    </row>
    <row r="210" spans="1:55" x14ac:dyDescent="0.25">
      <c r="A210" t="s">
        <v>99</v>
      </c>
      <c r="B210">
        <v>17</v>
      </c>
      <c r="C210" t="s">
        <v>1088</v>
      </c>
      <c r="D210" s="158">
        <v>45199</v>
      </c>
      <c r="E210">
        <v>624463</v>
      </c>
      <c r="F210">
        <v>10418379</v>
      </c>
      <c r="G210">
        <v>54225382</v>
      </c>
      <c r="H210" t="b">
        <v>0</v>
      </c>
      <c r="I210">
        <v>2</v>
      </c>
      <c r="J210" t="s">
        <v>1187</v>
      </c>
      <c r="K210">
        <v>216</v>
      </c>
      <c r="L210">
        <v>216</v>
      </c>
      <c r="M210">
        <v>1</v>
      </c>
      <c r="N210">
        <v>0</v>
      </c>
      <c r="O210">
        <v>0</v>
      </c>
      <c r="P210">
        <v>0</v>
      </c>
      <c r="Q210">
        <v>0</v>
      </c>
      <c r="R210">
        <v>0</v>
      </c>
      <c r="T210">
        <v>0</v>
      </c>
      <c r="U210">
        <v>0</v>
      </c>
      <c r="V210">
        <v>0</v>
      </c>
      <c r="W210">
        <v>0</v>
      </c>
      <c r="X210">
        <v>0</v>
      </c>
      <c r="Y210">
        <v>0</v>
      </c>
      <c r="Z210">
        <v>0</v>
      </c>
      <c r="AA210">
        <v>0</v>
      </c>
      <c r="AB210">
        <v>0</v>
      </c>
      <c r="AC210">
        <v>0</v>
      </c>
      <c r="AD210">
        <v>0</v>
      </c>
      <c r="AE210">
        <v>0</v>
      </c>
      <c r="AF210">
        <v>0</v>
      </c>
      <c r="AG210">
        <v>0</v>
      </c>
      <c r="AH210">
        <v>0</v>
      </c>
      <c r="AI210">
        <v>216</v>
      </c>
      <c r="AJ210">
        <v>0</v>
      </c>
      <c r="AK210">
        <v>0</v>
      </c>
      <c r="AL210">
        <v>0</v>
      </c>
      <c r="AM210">
        <v>0</v>
      </c>
      <c r="AN210">
        <v>216</v>
      </c>
      <c r="AP210" t="s">
        <v>1091</v>
      </c>
      <c r="AS210" t="s">
        <v>1185</v>
      </c>
      <c r="AV210" t="s">
        <v>1091</v>
      </c>
      <c r="AW210" t="s">
        <v>1185</v>
      </c>
      <c r="AX210">
        <v>0</v>
      </c>
      <c r="AY210">
        <v>0</v>
      </c>
      <c r="AZ210" t="s">
        <v>282</v>
      </c>
      <c r="BA210" t="s">
        <v>282</v>
      </c>
      <c r="BB210" t="s">
        <v>1197</v>
      </c>
      <c r="BC210">
        <v>1</v>
      </c>
    </row>
    <row r="211" spans="1:55" x14ac:dyDescent="0.25">
      <c r="A211" t="s">
        <v>99</v>
      </c>
      <c r="B211">
        <v>17</v>
      </c>
      <c r="C211" t="s">
        <v>1088</v>
      </c>
      <c r="D211" s="158">
        <v>45199</v>
      </c>
      <c r="E211">
        <v>625458</v>
      </c>
      <c r="F211">
        <v>10437250</v>
      </c>
      <c r="G211">
        <v>54178749</v>
      </c>
      <c r="H211" t="b">
        <v>0</v>
      </c>
      <c r="I211">
        <v>3</v>
      </c>
      <c r="J211" t="s">
        <v>1249</v>
      </c>
      <c r="K211">
        <v>15</v>
      </c>
      <c r="L211">
        <v>7.5</v>
      </c>
      <c r="M211">
        <v>2</v>
      </c>
      <c r="N211">
        <v>0</v>
      </c>
      <c r="O211">
        <v>0</v>
      </c>
      <c r="P211">
        <v>0</v>
      </c>
      <c r="Q211">
        <v>0</v>
      </c>
      <c r="R211">
        <v>0</v>
      </c>
      <c r="T211">
        <v>15</v>
      </c>
      <c r="U211">
        <v>0</v>
      </c>
      <c r="V211">
        <v>0</v>
      </c>
      <c r="W211">
        <v>0</v>
      </c>
      <c r="X211">
        <v>0</v>
      </c>
      <c r="Y211">
        <v>0</v>
      </c>
      <c r="Z211">
        <v>0</v>
      </c>
      <c r="AA211">
        <v>0</v>
      </c>
      <c r="AB211">
        <v>0</v>
      </c>
      <c r="AC211">
        <v>0</v>
      </c>
      <c r="AD211">
        <v>0</v>
      </c>
      <c r="AE211">
        <v>0</v>
      </c>
      <c r="AF211">
        <v>0</v>
      </c>
      <c r="AG211">
        <v>0</v>
      </c>
      <c r="AH211">
        <v>0</v>
      </c>
      <c r="AI211">
        <v>0</v>
      </c>
      <c r="AJ211">
        <v>0</v>
      </c>
      <c r="AK211">
        <v>0</v>
      </c>
      <c r="AL211">
        <v>0</v>
      </c>
      <c r="AM211">
        <v>0</v>
      </c>
      <c r="AN211">
        <v>15</v>
      </c>
      <c r="AP211" t="s">
        <v>1031</v>
      </c>
      <c r="AS211" t="s">
        <v>1250</v>
      </c>
      <c r="AV211" t="s">
        <v>1031</v>
      </c>
      <c r="AW211" t="s">
        <v>1250</v>
      </c>
      <c r="AX211">
        <v>0</v>
      </c>
      <c r="AY211">
        <v>0</v>
      </c>
      <c r="AZ211" t="s">
        <v>282</v>
      </c>
      <c r="BA211" t="s">
        <v>282</v>
      </c>
      <c r="BB211" t="s">
        <v>1197</v>
      </c>
      <c r="BC211">
        <v>1</v>
      </c>
    </row>
    <row r="212" spans="1:55" x14ac:dyDescent="0.25">
      <c r="A212" t="s">
        <v>99</v>
      </c>
      <c r="B212">
        <v>17</v>
      </c>
      <c r="C212" t="s">
        <v>1088</v>
      </c>
      <c r="D212" s="158">
        <v>45199</v>
      </c>
      <c r="E212">
        <v>625458</v>
      </c>
      <c r="F212">
        <v>10437250</v>
      </c>
      <c r="G212">
        <v>54178758</v>
      </c>
      <c r="H212" t="b">
        <v>0</v>
      </c>
      <c r="I212">
        <v>3</v>
      </c>
      <c r="J212" t="s">
        <v>1229</v>
      </c>
      <c r="K212">
        <v>16</v>
      </c>
      <c r="L212">
        <v>8</v>
      </c>
      <c r="M212">
        <v>2</v>
      </c>
      <c r="N212">
        <v>0</v>
      </c>
      <c r="O212">
        <v>0</v>
      </c>
      <c r="P212">
        <v>0</v>
      </c>
      <c r="Q212">
        <v>0</v>
      </c>
      <c r="R212">
        <v>0</v>
      </c>
      <c r="T212">
        <v>16</v>
      </c>
      <c r="U212">
        <v>0</v>
      </c>
      <c r="V212">
        <v>0</v>
      </c>
      <c r="W212">
        <v>0</v>
      </c>
      <c r="X212">
        <v>0</v>
      </c>
      <c r="Y212">
        <v>0</v>
      </c>
      <c r="Z212">
        <v>0</v>
      </c>
      <c r="AA212">
        <v>0</v>
      </c>
      <c r="AB212">
        <v>0</v>
      </c>
      <c r="AC212">
        <v>0</v>
      </c>
      <c r="AD212">
        <v>0</v>
      </c>
      <c r="AE212">
        <v>0</v>
      </c>
      <c r="AF212">
        <v>0</v>
      </c>
      <c r="AG212">
        <v>0</v>
      </c>
      <c r="AH212">
        <v>0</v>
      </c>
      <c r="AI212">
        <v>0</v>
      </c>
      <c r="AJ212">
        <v>0</v>
      </c>
      <c r="AK212">
        <v>0</v>
      </c>
      <c r="AL212">
        <v>0</v>
      </c>
      <c r="AM212">
        <v>0</v>
      </c>
      <c r="AN212">
        <v>16</v>
      </c>
      <c r="AP212" t="s">
        <v>1031</v>
      </c>
      <c r="AS212" t="s">
        <v>1250</v>
      </c>
      <c r="AV212" t="s">
        <v>1031</v>
      </c>
      <c r="AW212" t="s">
        <v>1250</v>
      </c>
      <c r="AX212">
        <v>0</v>
      </c>
      <c r="AY212">
        <v>0</v>
      </c>
      <c r="AZ212" t="s">
        <v>282</v>
      </c>
      <c r="BA212" t="s">
        <v>282</v>
      </c>
      <c r="BB212" t="s">
        <v>1197</v>
      </c>
      <c r="BC212">
        <v>1</v>
      </c>
    </row>
    <row r="213" spans="1:55" x14ac:dyDescent="0.25">
      <c r="A213" t="s">
        <v>99</v>
      </c>
      <c r="B213">
        <v>17</v>
      </c>
      <c r="C213" t="s">
        <v>1088</v>
      </c>
      <c r="D213" s="158">
        <v>45199</v>
      </c>
      <c r="E213">
        <v>554815</v>
      </c>
      <c r="F213">
        <v>9056904</v>
      </c>
      <c r="G213">
        <v>46153436</v>
      </c>
      <c r="H213" t="b">
        <v>0</v>
      </c>
      <c r="I213">
        <v>268</v>
      </c>
      <c r="J213" t="s">
        <v>1184</v>
      </c>
      <c r="K213">
        <v>216</v>
      </c>
      <c r="L213">
        <v>216</v>
      </c>
      <c r="M213">
        <v>1</v>
      </c>
      <c r="N213">
        <v>0</v>
      </c>
      <c r="O213">
        <v>0</v>
      </c>
      <c r="P213">
        <v>0</v>
      </c>
      <c r="Q213">
        <v>0</v>
      </c>
      <c r="R213">
        <v>0</v>
      </c>
      <c r="T213">
        <v>216</v>
      </c>
      <c r="U213">
        <v>0</v>
      </c>
      <c r="V213">
        <v>1</v>
      </c>
      <c r="W213">
        <v>119.5</v>
      </c>
      <c r="X213">
        <v>96.5</v>
      </c>
      <c r="Y213">
        <v>0</v>
      </c>
      <c r="Z213">
        <v>0</v>
      </c>
      <c r="AA213">
        <v>0</v>
      </c>
      <c r="AB213">
        <v>0</v>
      </c>
      <c r="AC213">
        <v>0</v>
      </c>
      <c r="AD213">
        <v>0</v>
      </c>
      <c r="AE213">
        <v>0</v>
      </c>
      <c r="AF213">
        <v>0</v>
      </c>
      <c r="AG213">
        <v>0</v>
      </c>
      <c r="AH213">
        <v>0</v>
      </c>
      <c r="AI213">
        <v>0</v>
      </c>
      <c r="AJ213">
        <v>0</v>
      </c>
      <c r="AK213">
        <v>0</v>
      </c>
      <c r="AL213">
        <v>0</v>
      </c>
      <c r="AM213">
        <v>71</v>
      </c>
      <c r="AN213">
        <v>-71</v>
      </c>
      <c r="AP213" t="s">
        <v>1089</v>
      </c>
      <c r="AS213" t="s">
        <v>1242</v>
      </c>
      <c r="AV213" t="s">
        <v>1089</v>
      </c>
      <c r="AW213" t="s">
        <v>1242</v>
      </c>
      <c r="AX213">
        <v>0</v>
      </c>
      <c r="AY213">
        <v>0</v>
      </c>
      <c r="AZ213" t="s">
        <v>282</v>
      </c>
      <c r="BA213" t="s">
        <v>282</v>
      </c>
      <c r="BB213" t="s">
        <v>1204</v>
      </c>
      <c r="BC213">
        <v>7</v>
      </c>
    </row>
    <row r="214" spans="1:55" x14ac:dyDescent="0.25">
      <c r="A214" t="s">
        <v>99</v>
      </c>
      <c r="B214">
        <v>17</v>
      </c>
      <c r="C214" t="s">
        <v>1088</v>
      </c>
      <c r="D214" s="158">
        <v>45199</v>
      </c>
      <c r="E214">
        <v>567032</v>
      </c>
      <c r="F214">
        <v>9319024</v>
      </c>
      <c r="G214">
        <v>47264225</v>
      </c>
      <c r="H214" t="b">
        <v>0</v>
      </c>
      <c r="I214">
        <v>225</v>
      </c>
      <c r="J214" t="s">
        <v>1199</v>
      </c>
      <c r="K214">
        <v>20</v>
      </c>
      <c r="L214">
        <v>10</v>
      </c>
      <c r="M214">
        <v>2</v>
      </c>
      <c r="N214">
        <v>0</v>
      </c>
      <c r="O214">
        <v>0</v>
      </c>
      <c r="P214">
        <v>0</v>
      </c>
      <c r="Q214">
        <v>0</v>
      </c>
      <c r="R214">
        <v>0</v>
      </c>
      <c r="T214">
        <v>20</v>
      </c>
      <c r="U214">
        <v>0</v>
      </c>
      <c r="V214">
        <v>2</v>
      </c>
      <c r="W214">
        <v>40</v>
      </c>
      <c r="X214">
        <v>0</v>
      </c>
      <c r="Y214">
        <v>0</v>
      </c>
      <c r="Z214">
        <v>0</v>
      </c>
      <c r="AA214">
        <v>0</v>
      </c>
      <c r="AB214">
        <v>0</v>
      </c>
      <c r="AC214">
        <v>0</v>
      </c>
      <c r="AD214">
        <v>0</v>
      </c>
      <c r="AE214">
        <v>0</v>
      </c>
      <c r="AF214">
        <v>0</v>
      </c>
      <c r="AG214">
        <v>0</v>
      </c>
      <c r="AH214">
        <v>0</v>
      </c>
      <c r="AI214">
        <v>0</v>
      </c>
      <c r="AJ214">
        <v>0</v>
      </c>
      <c r="AK214">
        <v>0</v>
      </c>
      <c r="AL214">
        <v>0</v>
      </c>
      <c r="AM214">
        <v>0</v>
      </c>
      <c r="AN214">
        <v>-20</v>
      </c>
      <c r="AP214" t="s">
        <v>1031</v>
      </c>
      <c r="AS214" t="s">
        <v>1190</v>
      </c>
      <c r="AV214" t="s">
        <v>1031</v>
      </c>
      <c r="AW214" t="s">
        <v>1190</v>
      </c>
      <c r="AX214">
        <v>0</v>
      </c>
      <c r="AY214">
        <v>0</v>
      </c>
      <c r="AZ214" t="s">
        <v>282</v>
      </c>
      <c r="BA214" t="s">
        <v>282</v>
      </c>
      <c r="BB214" t="s">
        <v>1204</v>
      </c>
      <c r="BC214">
        <v>7</v>
      </c>
    </row>
    <row r="215" spans="1:55" x14ac:dyDescent="0.25">
      <c r="A215" t="s">
        <v>99</v>
      </c>
      <c r="B215">
        <v>17</v>
      </c>
      <c r="C215" t="s">
        <v>1088</v>
      </c>
      <c r="D215" s="158">
        <v>45199</v>
      </c>
      <c r="E215">
        <v>611625</v>
      </c>
      <c r="F215">
        <v>10167647</v>
      </c>
      <c r="G215">
        <v>52761567</v>
      </c>
      <c r="H215" t="b">
        <v>0</v>
      </c>
      <c r="I215">
        <v>50</v>
      </c>
      <c r="J215" t="s">
        <v>1187</v>
      </c>
      <c r="K215">
        <v>216</v>
      </c>
      <c r="L215">
        <v>216</v>
      </c>
      <c r="M215">
        <v>1</v>
      </c>
      <c r="N215">
        <v>0</v>
      </c>
      <c r="O215">
        <v>0</v>
      </c>
      <c r="P215">
        <v>0</v>
      </c>
      <c r="Q215">
        <v>0</v>
      </c>
      <c r="R215">
        <v>0</v>
      </c>
      <c r="T215">
        <v>216</v>
      </c>
      <c r="U215">
        <v>0</v>
      </c>
      <c r="V215">
        <v>0</v>
      </c>
      <c r="W215">
        <v>0</v>
      </c>
      <c r="X215">
        <v>0</v>
      </c>
      <c r="Y215">
        <v>0</v>
      </c>
      <c r="Z215">
        <v>0</v>
      </c>
      <c r="AA215">
        <v>0</v>
      </c>
      <c r="AB215">
        <v>0</v>
      </c>
      <c r="AC215">
        <v>0</v>
      </c>
      <c r="AD215">
        <v>0</v>
      </c>
      <c r="AE215">
        <v>0</v>
      </c>
      <c r="AF215">
        <v>0</v>
      </c>
      <c r="AG215">
        <v>0</v>
      </c>
      <c r="AH215">
        <v>0</v>
      </c>
      <c r="AI215">
        <v>0</v>
      </c>
      <c r="AJ215">
        <v>0</v>
      </c>
      <c r="AK215">
        <v>0</v>
      </c>
      <c r="AL215">
        <v>0</v>
      </c>
      <c r="AM215">
        <v>0</v>
      </c>
      <c r="AN215">
        <v>216</v>
      </c>
      <c r="AP215" t="s">
        <v>1180</v>
      </c>
      <c r="AS215" t="s">
        <v>1259</v>
      </c>
      <c r="AV215" t="s">
        <v>1180</v>
      </c>
      <c r="AW215" t="s">
        <v>1259</v>
      </c>
      <c r="AX215">
        <v>0</v>
      </c>
      <c r="AY215">
        <v>0</v>
      </c>
      <c r="AZ215" t="s">
        <v>282</v>
      </c>
      <c r="BA215" t="s">
        <v>282</v>
      </c>
      <c r="BB215" t="s">
        <v>1191</v>
      </c>
      <c r="BC215">
        <v>2</v>
      </c>
    </row>
    <row r="216" spans="1:55" x14ac:dyDescent="0.25">
      <c r="A216" t="s">
        <v>99</v>
      </c>
      <c r="B216">
        <v>17</v>
      </c>
      <c r="C216" t="s">
        <v>1088</v>
      </c>
      <c r="D216" s="158">
        <v>45199</v>
      </c>
      <c r="E216">
        <v>282257</v>
      </c>
      <c r="F216">
        <v>9350831</v>
      </c>
      <c r="G216">
        <v>47439985</v>
      </c>
      <c r="H216" t="b">
        <v>0</v>
      </c>
      <c r="I216">
        <v>219</v>
      </c>
      <c r="J216" t="s">
        <v>1198</v>
      </c>
      <c r="K216">
        <v>85</v>
      </c>
      <c r="L216">
        <v>85</v>
      </c>
      <c r="M216">
        <v>1</v>
      </c>
      <c r="N216">
        <v>0</v>
      </c>
      <c r="O216">
        <v>0</v>
      </c>
      <c r="P216">
        <v>0</v>
      </c>
      <c r="Q216">
        <v>0</v>
      </c>
      <c r="R216">
        <v>0</v>
      </c>
      <c r="T216">
        <v>85</v>
      </c>
      <c r="U216">
        <v>0</v>
      </c>
      <c r="V216">
        <v>2</v>
      </c>
      <c r="W216">
        <v>170</v>
      </c>
      <c r="X216">
        <v>0</v>
      </c>
      <c r="Y216">
        <v>0</v>
      </c>
      <c r="Z216">
        <v>0</v>
      </c>
      <c r="AA216">
        <v>0</v>
      </c>
      <c r="AB216">
        <v>0</v>
      </c>
      <c r="AC216">
        <v>0</v>
      </c>
      <c r="AD216">
        <v>0</v>
      </c>
      <c r="AE216">
        <v>0</v>
      </c>
      <c r="AF216">
        <v>0</v>
      </c>
      <c r="AG216">
        <v>0</v>
      </c>
      <c r="AH216">
        <v>0</v>
      </c>
      <c r="AI216">
        <v>0</v>
      </c>
      <c r="AJ216">
        <v>0</v>
      </c>
      <c r="AK216">
        <v>0</v>
      </c>
      <c r="AL216">
        <v>0</v>
      </c>
      <c r="AM216">
        <v>0</v>
      </c>
      <c r="AN216">
        <v>-85</v>
      </c>
      <c r="AP216" t="s">
        <v>1031</v>
      </c>
      <c r="AS216" t="s">
        <v>1190</v>
      </c>
      <c r="AV216" t="s">
        <v>1031</v>
      </c>
      <c r="AW216" t="s">
        <v>1190</v>
      </c>
      <c r="AX216">
        <v>0</v>
      </c>
      <c r="AY216">
        <v>0</v>
      </c>
      <c r="AZ216" t="s">
        <v>282</v>
      </c>
      <c r="BA216" t="s">
        <v>282</v>
      </c>
      <c r="BB216" t="s">
        <v>1204</v>
      </c>
      <c r="BC216">
        <v>7</v>
      </c>
    </row>
    <row r="217" spans="1:55" x14ac:dyDescent="0.25">
      <c r="A217" t="s">
        <v>99</v>
      </c>
      <c r="B217">
        <v>17</v>
      </c>
      <c r="C217" t="s">
        <v>1088</v>
      </c>
      <c r="D217" s="158">
        <v>45199</v>
      </c>
      <c r="E217">
        <v>568529</v>
      </c>
      <c r="F217">
        <v>9350807</v>
      </c>
      <c r="G217">
        <v>47439913</v>
      </c>
      <c r="H217" t="b">
        <v>0</v>
      </c>
      <c r="I217">
        <v>219</v>
      </c>
      <c r="J217" t="s">
        <v>1199</v>
      </c>
      <c r="K217">
        <v>20</v>
      </c>
      <c r="L217">
        <v>10</v>
      </c>
      <c r="M217">
        <v>2</v>
      </c>
      <c r="N217">
        <v>0</v>
      </c>
      <c r="O217">
        <v>0</v>
      </c>
      <c r="P217">
        <v>0</v>
      </c>
      <c r="Q217">
        <v>0</v>
      </c>
      <c r="R217">
        <v>0</v>
      </c>
      <c r="T217">
        <v>20</v>
      </c>
      <c r="U217">
        <v>0</v>
      </c>
      <c r="V217">
        <v>2</v>
      </c>
      <c r="W217">
        <v>40</v>
      </c>
      <c r="X217">
        <v>0</v>
      </c>
      <c r="Y217">
        <v>0</v>
      </c>
      <c r="Z217">
        <v>0</v>
      </c>
      <c r="AA217">
        <v>0</v>
      </c>
      <c r="AB217">
        <v>0</v>
      </c>
      <c r="AC217">
        <v>0</v>
      </c>
      <c r="AD217">
        <v>0</v>
      </c>
      <c r="AE217">
        <v>0</v>
      </c>
      <c r="AF217">
        <v>0</v>
      </c>
      <c r="AG217">
        <v>0</v>
      </c>
      <c r="AH217">
        <v>0</v>
      </c>
      <c r="AI217">
        <v>0</v>
      </c>
      <c r="AJ217">
        <v>0</v>
      </c>
      <c r="AK217">
        <v>0</v>
      </c>
      <c r="AL217">
        <v>0</v>
      </c>
      <c r="AM217">
        <v>0</v>
      </c>
      <c r="AN217">
        <v>-20</v>
      </c>
      <c r="AP217" t="s">
        <v>1031</v>
      </c>
      <c r="AS217" t="s">
        <v>1190</v>
      </c>
      <c r="AV217" t="s">
        <v>1031</v>
      </c>
      <c r="AW217" t="s">
        <v>1190</v>
      </c>
      <c r="AX217">
        <v>0</v>
      </c>
      <c r="AY217">
        <v>0</v>
      </c>
      <c r="AZ217" t="s">
        <v>282</v>
      </c>
      <c r="BA217" t="s">
        <v>282</v>
      </c>
      <c r="BB217" t="s">
        <v>1204</v>
      </c>
      <c r="BC217">
        <v>7</v>
      </c>
    </row>
    <row r="218" spans="1:55" x14ac:dyDescent="0.25">
      <c r="A218" t="s">
        <v>99</v>
      </c>
      <c r="B218">
        <v>17</v>
      </c>
      <c r="C218" t="s">
        <v>1088</v>
      </c>
      <c r="D218" s="158">
        <v>45199</v>
      </c>
      <c r="E218">
        <v>568529</v>
      </c>
      <c r="F218">
        <v>9350807</v>
      </c>
      <c r="G218">
        <v>47439917</v>
      </c>
      <c r="H218" t="b">
        <v>0</v>
      </c>
      <c r="I218">
        <v>219</v>
      </c>
      <c r="J218" t="s">
        <v>1189</v>
      </c>
      <c r="K218">
        <v>15</v>
      </c>
      <c r="L218">
        <v>7.5</v>
      </c>
      <c r="M218">
        <v>2</v>
      </c>
      <c r="N218">
        <v>0</v>
      </c>
      <c r="O218">
        <v>0</v>
      </c>
      <c r="P218">
        <v>0</v>
      </c>
      <c r="Q218">
        <v>0</v>
      </c>
      <c r="R218">
        <v>0</v>
      </c>
      <c r="T218">
        <v>15</v>
      </c>
      <c r="U218">
        <v>0</v>
      </c>
      <c r="V218">
        <v>2</v>
      </c>
      <c r="W218">
        <v>30</v>
      </c>
      <c r="X218">
        <v>0</v>
      </c>
      <c r="Y218">
        <v>0</v>
      </c>
      <c r="Z218">
        <v>0</v>
      </c>
      <c r="AA218">
        <v>0</v>
      </c>
      <c r="AB218">
        <v>0</v>
      </c>
      <c r="AC218">
        <v>0</v>
      </c>
      <c r="AD218">
        <v>0</v>
      </c>
      <c r="AE218">
        <v>0</v>
      </c>
      <c r="AF218">
        <v>0</v>
      </c>
      <c r="AG218">
        <v>0</v>
      </c>
      <c r="AH218">
        <v>0</v>
      </c>
      <c r="AI218">
        <v>0</v>
      </c>
      <c r="AJ218">
        <v>0</v>
      </c>
      <c r="AK218">
        <v>0</v>
      </c>
      <c r="AL218">
        <v>0</v>
      </c>
      <c r="AM218">
        <v>0</v>
      </c>
      <c r="AN218">
        <v>-15</v>
      </c>
      <c r="AP218" t="s">
        <v>1031</v>
      </c>
      <c r="AS218" t="s">
        <v>1190</v>
      </c>
      <c r="AV218" t="s">
        <v>1031</v>
      </c>
      <c r="AW218" t="s">
        <v>1190</v>
      </c>
      <c r="AX218">
        <v>0</v>
      </c>
      <c r="AY218">
        <v>0</v>
      </c>
      <c r="AZ218" t="s">
        <v>282</v>
      </c>
      <c r="BA218" t="s">
        <v>282</v>
      </c>
      <c r="BB218" t="s">
        <v>1204</v>
      </c>
      <c r="BC218">
        <v>7</v>
      </c>
    </row>
    <row r="219" spans="1:55" x14ac:dyDescent="0.25">
      <c r="A219" t="s">
        <v>99</v>
      </c>
      <c r="B219">
        <v>17</v>
      </c>
      <c r="C219" t="s">
        <v>1088</v>
      </c>
      <c r="D219" s="158">
        <v>45199</v>
      </c>
      <c r="E219">
        <v>568529</v>
      </c>
      <c r="F219">
        <v>9350807</v>
      </c>
      <c r="G219">
        <v>47439944</v>
      </c>
      <c r="H219" t="b">
        <v>0</v>
      </c>
      <c r="I219">
        <v>219</v>
      </c>
      <c r="J219" t="s">
        <v>1192</v>
      </c>
      <c r="K219">
        <v>15</v>
      </c>
      <c r="L219">
        <v>15</v>
      </c>
      <c r="M219">
        <v>1</v>
      </c>
      <c r="N219">
        <v>0</v>
      </c>
      <c r="O219">
        <v>0</v>
      </c>
      <c r="P219">
        <v>0</v>
      </c>
      <c r="Q219">
        <v>0</v>
      </c>
      <c r="R219">
        <v>0</v>
      </c>
      <c r="T219">
        <v>15</v>
      </c>
      <c r="U219">
        <v>0</v>
      </c>
      <c r="V219">
        <v>2</v>
      </c>
      <c r="W219">
        <v>30</v>
      </c>
      <c r="X219">
        <v>0</v>
      </c>
      <c r="Y219">
        <v>0</v>
      </c>
      <c r="Z219">
        <v>0</v>
      </c>
      <c r="AA219">
        <v>0</v>
      </c>
      <c r="AB219">
        <v>0</v>
      </c>
      <c r="AC219">
        <v>0</v>
      </c>
      <c r="AD219">
        <v>0</v>
      </c>
      <c r="AE219">
        <v>0</v>
      </c>
      <c r="AF219">
        <v>0</v>
      </c>
      <c r="AG219">
        <v>0</v>
      </c>
      <c r="AH219">
        <v>0</v>
      </c>
      <c r="AI219">
        <v>0</v>
      </c>
      <c r="AJ219">
        <v>0</v>
      </c>
      <c r="AK219">
        <v>0</v>
      </c>
      <c r="AL219">
        <v>0</v>
      </c>
      <c r="AM219">
        <v>0</v>
      </c>
      <c r="AN219">
        <v>-15</v>
      </c>
      <c r="AP219" t="s">
        <v>1031</v>
      </c>
      <c r="AS219" t="s">
        <v>1190</v>
      </c>
      <c r="AV219" t="s">
        <v>1031</v>
      </c>
      <c r="AW219" t="s">
        <v>1190</v>
      </c>
      <c r="AX219">
        <v>0</v>
      </c>
      <c r="AY219">
        <v>0</v>
      </c>
      <c r="AZ219" t="s">
        <v>282</v>
      </c>
      <c r="BA219" t="s">
        <v>282</v>
      </c>
      <c r="BB219" t="s">
        <v>1204</v>
      </c>
      <c r="BC219">
        <v>7</v>
      </c>
    </row>
    <row r="220" spans="1:55" x14ac:dyDescent="0.25">
      <c r="A220" t="s">
        <v>99</v>
      </c>
      <c r="B220">
        <v>17</v>
      </c>
      <c r="C220" t="s">
        <v>1088</v>
      </c>
      <c r="D220" s="158">
        <v>45199</v>
      </c>
      <c r="E220">
        <v>282257</v>
      </c>
      <c r="F220">
        <v>9350831</v>
      </c>
      <c r="G220">
        <v>47440338</v>
      </c>
      <c r="H220" t="b">
        <v>0</v>
      </c>
      <c r="I220">
        <v>219</v>
      </c>
      <c r="J220" t="s">
        <v>1199</v>
      </c>
      <c r="K220">
        <v>20</v>
      </c>
      <c r="L220">
        <v>10</v>
      </c>
      <c r="M220">
        <v>2</v>
      </c>
      <c r="N220">
        <v>0</v>
      </c>
      <c r="O220">
        <v>0</v>
      </c>
      <c r="P220">
        <v>0</v>
      </c>
      <c r="Q220">
        <v>0</v>
      </c>
      <c r="R220">
        <v>0</v>
      </c>
      <c r="T220">
        <v>20</v>
      </c>
      <c r="U220">
        <v>0</v>
      </c>
      <c r="V220">
        <v>2</v>
      </c>
      <c r="W220">
        <v>40</v>
      </c>
      <c r="X220">
        <v>0</v>
      </c>
      <c r="Y220">
        <v>0</v>
      </c>
      <c r="Z220">
        <v>0</v>
      </c>
      <c r="AA220">
        <v>0</v>
      </c>
      <c r="AB220">
        <v>0</v>
      </c>
      <c r="AC220">
        <v>0</v>
      </c>
      <c r="AD220">
        <v>0</v>
      </c>
      <c r="AE220">
        <v>0</v>
      </c>
      <c r="AF220">
        <v>0</v>
      </c>
      <c r="AG220">
        <v>0</v>
      </c>
      <c r="AH220">
        <v>0</v>
      </c>
      <c r="AI220">
        <v>0</v>
      </c>
      <c r="AJ220">
        <v>0</v>
      </c>
      <c r="AK220">
        <v>0</v>
      </c>
      <c r="AL220">
        <v>0</v>
      </c>
      <c r="AM220">
        <v>0</v>
      </c>
      <c r="AN220">
        <v>-20</v>
      </c>
      <c r="AP220" t="s">
        <v>1031</v>
      </c>
      <c r="AS220" t="s">
        <v>1190</v>
      </c>
      <c r="AV220" t="s">
        <v>1031</v>
      </c>
      <c r="AW220" t="s">
        <v>1190</v>
      </c>
      <c r="AX220">
        <v>0</v>
      </c>
      <c r="AY220">
        <v>0</v>
      </c>
      <c r="AZ220" t="s">
        <v>282</v>
      </c>
      <c r="BA220" t="s">
        <v>282</v>
      </c>
      <c r="BB220" t="s">
        <v>1204</v>
      </c>
      <c r="BC220">
        <v>7</v>
      </c>
    </row>
    <row r="221" spans="1:55" x14ac:dyDescent="0.25">
      <c r="A221" t="s">
        <v>99</v>
      </c>
      <c r="B221">
        <v>17</v>
      </c>
      <c r="C221" t="s">
        <v>1088</v>
      </c>
      <c r="D221" s="158">
        <v>45199</v>
      </c>
      <c r="E221">
        <v>554815</v>
      </c>
      <c r="F221">
        <v>9056904</v>
      </c>
      <c r="G221">
        <v>46153440</v>
      </c>
      <c r="H221" t="b">
        <v>0</v>
      </c>
      <c r="I221">
        <v>268</v>
      </c>
      <c r="J221" t="s">
        <v>1184</v>
      </c>
      <c r="K221">
        <v>216</v>
      </c>
      <c r="L221">
        <v>216</v>
      </c>
      <c r="M221">
        <v>1</v>
      </c>
      <c r="N221">
        <v>0</v>
      </c>
      <c r="O221">
        <v>0</v>
      </c>
      <c r="P221">
        <v>0</v>
      </c>
      <c r="Q221">
        <v>0</v>
      </c>
      <c r="R221">
        <v>0</v>
      </c>
      <c r="T221">
        <v>216</v>
      </c>
      <c r="U221">
        <v>0</v>
      </c>
      <c r="V221">
        <v>1</v>
      </c>
      <c r="W221">
        <v>119.5</v>
      </c>
      <c r="X221">
        <v>96.5</v>
      </c>
      <c r="Y221">
        <v>0</v>
      </c>
      <c r="Z221">
        <v>0</v>
      </c>
      <c r="AA221">
        <v>0</v>
      </c>
      <c r="AB221">
        <v>0</v>
      </c>
      <c r="AC221">
        <v>0</v>
      </c>
      <c r="AD221">
        <v>0</v>
      </c>
      <c r="AE221">
        <v>0</v>
      </c>
      <c r="AF221">
        <v>0</v>
      </c>
      <c r="AG221">
        <v>0</v>
      </c>
      <c r="AH221">
        <v>0</v>
      </c>
      <c r="AI221">
        <v>0</v>
      </c>
      <c r="AJ221">
        <v>0</v>
      </c>
      <c r="AK221">
        <v>0</v>
      </c>
      <c r="AL221">
        <v>0</v>
      </c>
      <c r="AM221">
        <v>71</v>
      </c>
      <c r="AN221">
        <v>-71</v>
      </c>
      <c r="AP221" t="s">
        <v>1089</v>
      </c>
      <c r="AS221" t="s">
        <v>1242</v>
      </c>
      <c r="AV221" t="s">
        <v>1089</v>
      </c>
      <c r="AW221" t="s">
        <v>1242</v>
      </c>
      <c r="AX221">
        <v>0</v>
      </c>
      <c r="AY221">
        <v>0</v>
      </c>
      <c r="AZ221" t="s">
        <v>282</v>
      </c>
      <c r="BA221" t="s">
        <v>282</v>
      </c>
      <c r="BB221" t="s">
        <v>1204</v>
      </c>
      <c r="BC221">
        <v>7</v>
      </c>
    </row>
    <row r="222" spans="1:55" x14ac:dyDescent="0.25">
      <c r="A222" t="s">
        <v>99</v>
      </c>
      <c r="B222">
        <v>17</v>
      </c>
      <c r="C222" t="s">
        <v>1088</v>
      </c>
      <c r="D222" s="158">
        <v>45199</v>
      </c>
      <c r="E222">
        <v>623018</v>
      </c>
      <c r="F222">
        <v>10389922</v>
      </c>
      <c r="G222">
        <v>53908295</v>
      </c>
      <c r="H222" t="b">
        <v>0</v>
      </c>
      <c r="I222">
        <v>12</v>
      </c>
      <c r="J222" t="s">
        <v>1241</v>
      </c>
      <c r="K222">
        <v>10</v>
      </c>
      <c r="L222">
        <v>5</v>
      </c>
      <c r="M222">
        <v>2</v>
      </c>
      <c r="N222">
        <v>0</v>
      </c>
      <c r="O222">
        <v>0</v>
      </c>
      <c r="P222">
        <v>0</v>
      </c>
      <c r="Q222">
        <v>0</v>
      </c>
      <c r="R222">
        <v>0</v>
      </c>
      <c r="T222">
        <v>10</v>
      </c>
      <c r="U222">
        <v>0</v>
      </c>
      <c r="V222">
        <v>0</v>
      </c>
      <c r="W222">
        <v>0</v>
      </c>
      <c r="X222">
        <v>0</v>
      </c>
      <c r="Y222">
        <v>0</v>
      </c>
      <c r="Z222">
        <v>0</v>
      </c>
      <c r="AA222">
        <v>0</v>
      </c>
      <c r="AB222">
        <v>0</v>
      </c>
      <c r="AC222">
        <v>0</v>
      </c>
      <c r="AD222">
        <v>0</v>
      </c>
      <c r="AE222">
        <v>0</v>
      </c>
      <c r="AF222">
        <v>0</v>
      </c>
      <c r="AG222">
        <v>0</v>
      </c>
      <c r="AH222">
        <v>0</v>
      </c>
      <c r="AI222">
        <v>0</v>
      </c>
      <c r="AJ222">
        <v>0</v>
      </c>
      <c r="AK222">
        <v>0</v>
      </c>
      <c r="AL222">
        <v>0</v>
      </c>
      <c r="AM222">
        <v>0</v>
      </c>
      <c r="AN222">
        <v>10</v>
      </c>
      <c r="AP222" t="s">
        <v>1031</v>
      </c>
      <c r="AS222" t="s">
        <v>1230</v>
      </c>
      <c r="AV222" t="s">
        <v>1031</v>
      </c>
      <c r="AW222" t="s">
        <v>1230</v>
      </c>
      <c r="AX222">
        <v>0</v>
      </c>
      <c r="AY222">
        <v>0</v>
      </c>
      <c r="AZ222" t="s">
        <v>282</v>
      </c>
      <c r="BA222" t="s">
        <v>282</v>
      </c>
      <c r="BB222" t="s">
        <v>1197</v>
      </c>
      <c r="BC222">
        <v>1</v>
      </c>
    </row>
    <row r="223" spans="1:55" x14ac:dyDescent="0.25">
      <c r="A223" t="s">
        <v>99</v>
      </c>
      <c r="B223">
        <v>17</v>
      </c>
      <c r="C223" t="s">
        <v>1088</v>
      </c>
      <c r="D223" s="158">
        <v>45199</v>
      </c>
      <c r="E223">
        <v>623018</v>
      </c>
      <c r="F223">
        <v>10389922</v>
      </c>
      <c r="G223">
        <v>53908309</v>
      </c>
      <c r="H223" t="b">
        <v>0</v>
      </c>
      <c r="I223">
        <v>12</v>
      </c>
      <c r="J223" t="s">
        <v>1192</v>
      </c>
      <c r="K223">
        <v>15</v>
      </c>
      <c r="L223">
        <v>15</v>
      </c>
      <c r="M223">
        <v>1</v>
      </c>
      <c r="N223">
        <v>0</v>
      </c>
      <c r="O223">
        <v>0</v>
      </c>
      <c r="P223">
        <v>0</v>
      </c>
      <c r="Q223">
        <v>0</v>
      </c>
      <c r="R223">
        <v>0</v>
      </c>
      <c r="T223">
        <v>15</v>
      </c>
      <c r="U223">
        <v>0</v>
      </c>
      <c r="V223">
        <v>0</v>
      </c>
      <c r="W223">
        <v>0</v>
      </c>
      <c r="X223">
        <v>0</v>
      </c>
      <c r="Y223">
        <v>0</v>
      </c>
      <c r="Z223">
        <v>0</v>
      </c>
      <c r="AA223">
        <v>0</v>
      </c>
      <c r="AB223">
        <v>0</v>
      </c>
      <c r="AC223">
        <v>0</v>
      </c>
      <c r="AD223">
        <v>0</v>
      </c>
      <c r="AE223">
        <v>0</v>
      </c>
      <c r="AF223">
        <v>0</v>
      </c>
      <c r="AG223">
        <v>0</v>
      </c>
      <c r="AH223">
        <v>0</v>
      </c>
      <c r="AI223">
        <v>0</v>
      </c>
      <c r="AJ223">
        <v>0</v>
      </c>
      <c r="AK223">
        <v>0</v>
      </c>
      <c r="AL223">
        <v>0</v>
      </c>
      <c r="AM223">
        <v>0</v>
      </c>
      <c r="AN223">
        <v>15</v>
      </c>
      <c r="AP223" t="s">
        <v>1031</v>
      </c>
      <c r="AS223" t="s">
        <v>1230</v>
      </c>
      <c r="AV223" t="s">
        <v>1031</v>
      </c>
      <c r="AW223" t="s">
        <v>1230</v>
      </c>
      <c r="AX223">
        <v>0</v>
      </c>
      <c r="AY223">
        <v>0</v>
      </c>
      <c r="AZ223" t="s">
        <v>282</v>
      </c>
      <c r="BA223" t="s">
        <v>282</v>
      </c>
      <c r="BB223" t="s">
        <v>1197</v>
      </c>
      <c r="BC223">
        <v>1</v>
      </c>
    </row>
    <row r="224" spans="1:55" x14ac:dyDescent="0.25">
      <c r="A224" t="s">
        <v>99</v>
      </c>
      <c r="B224">
        <v>17</v>
      </c>
      <c r="C224" t="s">
        <v>1088</v>
      </c>
      <c r="D224" s="158">
        <v>45199</v>
      </c>
      <c r="E224">
        <v>624642</v>
      </c>
      <c r="F224">
        <v>10422498</v>
      </c>
      <c r="G224">
        <v>54081853</v>
      </c>
      <c r="H224" t="b">
        <v>0</v>
      </c>
      <c r="I224">
        <v>5</v>
      </c>
      <c r="J224" t="s">
        <v>1187</v>
      </c>
      <c r="K224">
        <v>109.5</v>
      </c>
      <c r="L224">
        <v>109.5</v>
      </c>
      <c r="M224">
        <v>1</v>
      </c>
      <c r="N224">
        <v>0</v>
      </c>
      <c r="O224">
        <v>0</v>
      </c>
      <c r="P224">
        <v>0</v>
      </c>
      <c r="Q224">
        <v>0</v>
      </c>
      <c r="R224">
        <v>0</v>
      </c>
      <c r="T224">
        <v>109.5</v>
      </c>
      <c r="U224">
        <v>0</v>
      </c>
      <c r="V224">
        <v>0</v>
      </c>
      <c r="W224">
        <v>0</v>
      </c>
      <c r="X224">
        <v>0</v>
      </c>
      <c r="Y224">
        <v>0</v>
      </c>
      <c r="Z224">
        <v>0</v>
      </c>
      <c r="AA224">
        <v>0</v>
      </c>
      <c r="AB224">
        <v>0</v>
      </c>
      <c r="AC224">
        <v>0</v>
      </c>
      <c r="AD224">
        <v>0</v>
      </c>
      <c r="AE224">
        <v>0</v>
      </c>
      <c r="AF224">
        <v>0</v>
      </c>
      <c r="AG224">
        <v>0</v>
      </c>
      <c r="AH224">
        <v>0</v>
      </c>
      <c r="AI224">
        <v>0</v>
      </c>
      <c r="AJ224">
        <v>0</v>
      </c>
      <c r="AK224">
        <v>0</v>
      </c>
      <c r="AL224">
        <v>0</v>
      </c>
      <c r="AM224">
        <v>0</v>
      </c>
      <c r="AN224">
        <v>109.5</v>
      </c>
      <c r="AP224" t="s">
        <v>1031</v>
      </c>
      <c r="AS224" t="s">
        <v>1193</v>
      </c>
      <c r="AV224" t="s">
        <v>1031</v>
      </c>
      <c r="AW224" t="s">
        <v>1193</v>
      </c>
      <c r="AX224">
        <v>0</v>
      </c>
      <c r="AY224">
        <v>0</v>
      </c>
      <c r="AZ224" t="s">
        <v>282</v>
      </c>
      <c r="BA224" t="s">
        <v>282</v>
      </c>
      <c r="BB224" t="s">
        <v>1197</v>
      </c>
      <c r="BC224">
        <v>1</v>
      </c>
    </row>
    <row r="225" spans="1:55" x14ac:dyDescent="0.25">
      <c r="A225" t="s">
        <v>99</v>
      </c>
      <c r="B225">
        <v>17</v>
      </c>
      <c r="C225" t="s">
        <v>1088</v>
      </c>
      <c r="D225" s="158">
        <v>45199</v>
      </c>
      <c r="E225">
        <v>624642</v>
      </c>
      <c r="F225">
        <v>10422498</v>
      </c>
      <c r="G225">
        <v>54081854</v>
      </c>
      <c r="H225" t="b">
        <v>0</v>
      </c>
      <c r="I225">
        <v>5</v>
      </c>
      <c r="J225" t="s">
        <v>1187</v>
      </c>
      <c r="K225">
        <v>109.5</v>
      </c>
      <c r="L225">
        <v>109.5</v>
      </c>
      <c r="M225">
        <v>1</v>
      </c>
      <c r="N225">
        <v>0</v>
      </c>
      <c r="O225">
        <v>0</v>
      </c>
      <c r="P225">
        <v>0</v>
      </c>
      <c r="Q225">
        <v>0</v>
      </c>
      <c r="R225">
        <v>0</v>
      </c>
      <c r="T225">
        <v>109.5</v>
      </c>
      <c r="U225">
        <v>0</v>
      </c>
      <c r="V225">
        <v>0</v>
      </c>
      <c r="W225">
        <v>0</v>
      </c>
      <c r="X225">
        <v>0</v>
      </c>
      <c r="Y225">
        <v>0</v>
      </c>
      <c r="Z225">
        <v>0</v>
      </c>
      <c r="AA225">
        <v>0</v>
      </c>
      <c r="AB225">
        <v>0</v>
      </c>
      <c r="AC225">
        <v>0</v>
      </c>
      <c r="AD225">
        <v>0</v>
      </c>
      <c r="AE225">
        <v>0</v>
      </c>
      <c r="AF225">
        <v>0</v>
      </c>
      <c r="AG225">
        <v>0</v>
      </c>
      <c r="AH225">
        <v>0</v>
      </c>
      <c r="AI225">
        <v>0</v>
      </c>
      <c r="AJ225">
        <v>0</v>
      </c>
      <c r="AK225">
        <v>0</v>
      </c>
      <c r="AL225">
        <v>0</v>
      </c>
      <c r="AM225">
        <v>0</v>
      </c>
      <c r="AN225">
        <v>109.5</v>
      </c>
      <c r="AP225" t="s">
        <v>1031</v>
      </c>
      <c r="AS225" t="s">
        <v>1193</v>
      </c>
      <c r="AV225" t="s">
        <v>1031</v>
      </c>
      <c r="AW225" t="s">
        <v>1193</v>
      </c>
      <c r="AX225">
        <v>0</v>
      </c>
      <c r="AY225">
        <v>0</v>
      </c>
      <c r="AZ225" t="s">
        <v>282</v>
      </c>
      <c r="BA225" t="s">
        <v>282</v>
      </c>
      <c r="BB225" t="s">
        <v>1197</v>
      </c>
      <c r="BC225">
        <v>1</v>
      </c>
    </row>
    <row r="226" spans="1:55" x14ac:dyDescent="0.25">
      <c r="A226" t="s">
        <v>99</v>
      </c>
      <c r="B226">
        <v>17</v>
      </c>
      <c r="C226" t="s">
        <v>1088</v>
      </c>
      <c r="D226" s="158">
        <v>45199</v>
      </c>
      <c r="E226">
        <v>622670</v>
      </c>
      <c r="F226">
        <v>10384138</v>
      </c>
      <c r="G226">
        <v>53862452</v>
      </c>
      <c r="H226" t="b">
        <v>0</v>
      </c>
      <c r="I226">
        <v>15</v>
      </c>
      <c r="J226" t="s">
        <v>1249</v>
      </c>
      <c r="K226">
        <v>15</v>
      </c>
      <c r="L226">
        <v>7.5</v>
      </c>
      <c r="M226">
        <v>2</v>
      </c>
      <c r="N226">
        <v>0</v>
      </c>
      <c r="O226">
        <v>0</v>
      </c>
      <c r="P226">
        <v>0</v>
      </c>
      <c r="Q226">
        <v>0</v>
      </c>
      <c r="R226">
        <v>0</v>
      </c>
      <c r="T226">
        <v>15</v>
      </c>
      <c r="U226">
        <v>0</v>
      </c>
      <c r="V226">
        <v>0</v>
      </c>
      <c r="W226">
        <v>0</v>
      </c>
      <c r="X226">
        <v>0</v>
      </c>
      <c r="Y226">
        <v>0</v>
      </c>
      <c r="Z226">
        <v>0</v>
      </c>
      <c r="AA226">
        <v>0</v>
      </c>
      <c r="AB226">
        <v>0</v>
      </c>
      <c r="AC226">
        <v>0</v>
      </c>
      <c r="AD226">
        <v>0</v>
      </c>
      <c r="AE226">
        <v>0</v>
      </c>
      <c r="AF226">
        <v>0</v>
      </c>
      <c r="AG226">
        <v>0</v>
      </c>
      <c r="AH226">
        <v>0</v>
      </c>
      <c r="AI226">
        <v>0</v>
      </c>
      <c r="AJ226">
        <v>0</v>
      </c>
      <c r="AK226">
        <v>0</v>
      </c>
      <c r="AL226">
        <v>0</v>
      </c>
      <c r="AM226">
        <v>0</v>
      </c>
      <c r="AN226">
        <v>15</v>
      </c>
      <c r="AP226" t="s">
        <v>1031</v>
      </c>
      <c r="AS226" t="s">
        <v>1250</v>
      </c>
      <c r="AV226" t="s">
        <v>1031</v>
      </c>
      <c r="AW226" t="s">
        <v>1250</v>
      </c>
      <c r="AX226">
        <v>0</v>
      </c>
      <c r="AY226">
        <v>0</v>
      </c>
      <c r="AZ226" t="s">
        <v>282</v>
      </c>
      <c r="BA226" t="s">
        <v>282</v>
      </c>
      <c r="BB226" t="s">
        <v>1197</v>
      </c>
      <c r="BC226">
        <v>1</v>
      </c>
    </row>
    <row r="227" spans="1:55" x14ac:dyDescent="0.25">
      <c r="A227" t="s">
        <v>99</v>
      </c>
      <c r="B227">
        <v>17</v>
      </c>
      <c r="C227" t="s">
        <v>1088</v>
      </c>
      <c r="D227" s="158">
        <v>45199</v>
      </c>
      <c r="E227">
        <v>623676</v>
      </c>
      <c r="F227">
        <v>10403072</v>
      </c>
      <c r="G227">
        <v>54304520</v>
      </c>
      <c r="H227" t="b">
        <v>0</v>
      </c>
      <c r="I227">
        <v>10</v>
      </c>
      <c r="J227" t="s">
        <v>1192</v>
      </c>
      <c r="K227">
        <v>15</v>
      </c>
      <c r="L227">
        <v>15</v>
      </c>
      <c r="M227">
        <v>1</v>
      </c>
      <c r="N227">
        <v>0</v>
      </c>
      <c r="O227">
        <v>0</v>
      </c>
      <c r="P227">
        <v>0</v>
      </c>
      <c r="Q227">
        <v>0</v>
      </c>
      <c r="R227">
        <v>0</v>
      </c>
      <c r="T227">
        <v>15</v>
      </c>
      <c r="U227">
        <v>0</v>
      </c>
      <c r="V227">
        <v>0</v>
      </c>
      <c r="W227">
        <v>0</v>
      </c>
      <c r="X227">
        <v>0</v>
      </c>
      <c r="Y227">
        <v>0</v>
      </c>
      <c r="Z227">
        <v>0</v>
      </c>
      <c r="AA227">
        <v>0</v>
      </c>
      <c r="AB227">
        <v>0</v>
      </c>
      <c r="AC227">
        <v>0</v>
      </c>
      <c r="AD227">
        <v>0</v>
      </c>
      <c r="AE227">
        <v>0</v>
      </c>
      <c r="AF227">
        <v>0</v>
      </c>
      <c r="AG227">
        <v>0</v>
      </c>
      <c r="AH227">
        <v>0</v>
      </c>
      <c r="AI227">
        <v>0</v>
      </c>
      <c r="AJ227">
        <v>0</v>
      </c>
      <c r="AK227">
        <v>0</v>
      </c>
      <c r="AL227">
        <v>0</v>
      </c>
      <c r="AM227">
        <v>0</v>
      </c>
      <c r="AN227">
        <v>15</v>
      </c>
      <c r="AP227" t="s">
        <v>1031</v>
      </c>
      <c r="AS227" t="s">
        <v>1230</v>
      </c>
      <c r="AV227" t="s">
        <v>1031</v>
      </c>
      <c r="AW227" t="s">
        <v>1230</v>
      </c>
      <c r="AX227">
        <v>0</v>
      </c>
      <c r="AY227">
        <v>0</v>
      </c>
      <c r="AZ227" t="s">
        <v>282</v>
      </c>
      <c r="BA227" t="s">
        <v>282</v>
      </c>
      <c r="BB227" t="s">
        <v>1197</v>
      </c>
      <c r="BC227">
        <v>1</v>
      </c>
    </row>
    <row r="228" spans="1:55" x14ac:dyDescent="0.25">
      <c r="A228" t="s">
        <v>99</v>
      </c>
      <c r="B228">
        <v>17</v>
      </c>
      <c r="C228" t="s">
        <v>1088</v>
      </c>
      <c r="D228" s="158">
        <v>45199</v>
      </c>
      <c r="E228">
        <v>623681</v>
      </c>
      <c r="F228">
        <v>10403222</v>
      </c>
      <c r="G228">
        <v>54304547</v>
      </c>
      <c r="H228" t="b">
        <v>0</v>
      </c>
      <c r="I228">
        <v>10</v>
      </c>
      <c r="J228" t="s">
        <v>1249</v>
      </c>
      <c r="K228">
        <v>15</v>
      </c>
      <c r="L228">
        <v>7.5</v>
      </c>
      <c r="M228">
        <v>2</v>
      </c>
      <c r="N228">
        <v>0</v>
      </c>
      <c r="O228">
        <v>0</v>
      </c>
      <c r="P228">
        <v>0</v>
      </c>
      <c r="Q228">
        <v>0</v>
      </c>
      <c r="R228">
        <v>0</v>
      </c>
      <c r="T228">
        <v>15</v>
      </c>
      <c r="U228">
        <v>0</v>
      </c>
      <c r="V228">
        <v>0</v>
      </c>
      <c r="W228">
        <v>0</v>
      </c>
      <c r="X228">
        <v>0</v>
      </c>
      <c r="Y228">
        <v>0</v>
      </c>
      <c r="Z228">
        <v>0</v>
      </c>
      <c r="AA228">
        <v>0</v>
      </c>
      <c r="AB228">
        <v>0</v>
      </c>
      <c r="AC228">
        <v>0</v>
      </c>
      <c r="AD228">
        <v>0</v>
      </c>
      <c r="AE228">
        <v>0</v>
      </c>
      <c r="AF228">
        <v>0</v>
      </c>
      <c r="AG228">
        <v>0</v>
      </c>
      <c r="AH228">
        <v>0</v>
      </c>
      <c r="AI228">
        <v>0</v>
      </c>
      <c r="AJ228">
        <v>0</v>
      </c>
      <c r="AK228">
        <v>0</v>
      </c>
      <c r="AL228">
        <v>0</v>
      </c>
      <c r="AM228">
        <v>0</v>
      </c>
      <c r="AN228">
        <v>15</v>
      </c>
      <c r="AP228" t="s">
        <v>1031</v>
      </c>
      <c r="AS228" t="s">
        <v>1230</v>
      </c>
      <c r="AV228" t="s">
        <v>1031</v>
      </c>
      <c r="AW228" t="s">
        <v>1230</v>
      </c>
      <c r="AX228">
        <v>0</v>
      </c>
      <c r="AY228">
        <v>0</v>
      </c>
      <c r="AZ228" t="s">
        <v>282</v>
      </c>
      <c r="BA228" t="s">
        <v>282</v>
      </c>
      <c r="BB228" t="s">
        <v>1197</v>
      </c>
      <c r="BC228">
        <v>1</v>
      </c>
    </row>
    <row r="229" spans="1:55" x14ac:dyDescent="0.25">
      <c r="A229" t="s">
        <v>99</v>
      </c>
      <c r="B229">
        <v>17</v>
      </c>
      <c r="C229" t="s">
        <v>1088</v>
      </c>
      <c r="D229" s="158">
        <v>45199</v>
      </c>
      <c r="E229">
        <v>623681</v>
      </c>
      <c r="F229">
        <v>10403222</v>
      </c>
      <c r="G229">
        <v>54304554</v>
      </c>
      <c r="H229" t="b">
        <v>0</v>
      </c>
      <c r="I229">
        <v>10</v>
      </c>
      <c r="J229" t="s">
        <v>1192</v>
      </c>
      <c r="K229">
        <v>15</v>
      </c>
      <c r="L229">
        <v>15</v>
      </c>
      <c r="M229">
        <v>1</v>
      </c>
      <c r="N229">
        <v>0</v>
      </c>
      <c r="O229">
        <v>0</v>
      </c>
      <c r="P229">
        <v>0</v>
      </c>
      <c r="Q229">
        <v>0</v>
      </c>
      <c r="R229">
        <v>0</v>
      </c>
      <c r="T229">
        <v>15</v>
      </c>
      <c r="U229">
        <v>0</v>
      </c>
      <c r="V229">
        <v>0</v>
      </c>
      <c r="W229">
        <v>0</v>
      </c>
      <c r="X229">
        <v>0</v>
      </c>
      <c r="Y229">
        <v>0</v>
      </c>
      <c r="Z229">
        <v>0</v>
      </c>
      <c r="AA229">
        <v>0</v>
      </c>
      <c r="AB229">
        <v>0</v>
      </c>
      <c r="AC229">
        <v>0</v>
      </c>
      <c r="AD229">
        <v>0</v>
      </c>
      <c r="AE229">
        <v>0</v>
      </c>
      <c r="AF229">
        <v>0</v>
      </c>
      <c r="AG229">
        <v>0</v>
      </c>
      <c r="AH229">
        <v>0</v>
      </c>
      <c r="AI229">
        <v>0</v>
      </c>
      <c r="AJ229">
        <v>0</v>
      </c>
      <c r="AK229">
        <v>0</v>
      </c>
      <c r="AL229">
        <v>0</v>
      </c>
      <c r="AM229">
        <v>0</v>
      </c>
      <c r="AN229">
        <v>15</v>
      </c>
      <c r="AP229" t="s">
        <v>1031</v>
      </c>
      <c r="AS229" t="s">
        <v>1230</v>
      </c>
      <c r="AV229" t="s">
        <v>1031</v>
      </c>
      <c r="AW229" t="s">
        <v>1230</v>
      </c>
      <c r="AX229">
        <v>0</v>
      </c>
      <c r="AY229">
        <v>0</v>
      </c>
      <c r="AZ229" t="s">
        <v>282</v>
      </c>
      <c r="BA229" t="s">
        <v>282</v>
      </c>
      <c r="BB229" t="s">
        <v>1197</v>
      </c>
      <c r="BC229">
        <v>1</v>
      </c>
    </row>
    <row r="230" spans="1:55" x14ac:dyDescent="0.25">
      <c r="A230" t="s">
        <v>99</v>
      </c>
      <c r="B230">
        <v>17</v>
      </c>
      <c r="C230" t="s">
        <v>1088</v>
      </c>
      <c r="D230" s="158">
        <v>45199</v>
      </c>
      <c r="E230">
        <v>615001</v>
      </c>
      <c r="F230">
        <v>10239264</v>
      </c>
      <c r="G230">
        <v>53011840</v>
      </c>
      <c r="H230" t="b">
        <v>0</v>
      </c>
      <c r="I230">
        <v>40</v>
      </c>
      <c r="J230" t="s">
        <v>1187</v>
      </c>
      <c r="K230">
        <v>216</v>
      </c>
      <c r="L230">
        <v>216</v>
      </c>
      <c r="M230">
        <v>1</v>
      </c>
      <c r="N230">
        <v>0</v>
      </c>
      <c r="O230">
        <v>165.43</v>
      </c>
      <c r="P230">
        <v>0</v>
      </c>
      <c r="Q230">
        <v>0</v>
      </c>
      <c r="R230">
        <v>0</v>
      </c>
      <c r="T230">
        <v>216</v>
      </c>
      <c r="U230">
        <v>0</v>
      </c>
      <c r="V230">
        <v>0</v>
      </c>
      <c r="W230">
        <v>0</v>
      </c>
      <c r="X230">
        <v>50.57</v>
      </c>
      <c r="Y230">
        <v>0</v>
      </c>
      <c r="Z230">
        <v>0</v>
      </c>
      <c r="AA230">
        <v>0</v>
      </c>
      <c r="AB230">
        <v>0</v>
      </c>
      <c r="AC230">
        <v>0</v>
      </c>
      <c r="AD230">
        <v>0</v>
      </c>
      <c r="AE230">
        <v>0</v>
      </c>
      <c r="AF230">
        <v>0</v>
      </c>
      <c r="AG230">
        <v>0</v>
      </c>
      <c r="AH230">
        <v>0</v>
      </c>
      <c r="AI230">
        <v>0</v>
      </c>
      <c r="AJ230">
        <v>0</v>
      </c>
      <c r="AK230">
        <v>0</v>
      </c>
      <c r="AL230">
        <v>0</v>
      </c>
      <c r="AM230">
        <v>0</v>
      </c>
      <c r="AN230">
        <v>165.43</v>
      </c>
      <c r="AP230" t="s">
        <v>1091</v>
      </c>
      <c r="AS230" t="s">
        <v>1185</v>
      </c>
      <c r="AV230" t="s">
        <v>1092</v>
      </c>
      <c r="AW230" t="s">
        <v>1092</v>
      </c>
      <c r="AX230">
        <v>0</v>
      </c>
      <c r="AY230">
        <v>0</v>
      </c>
      <c r="AZ230" t="s">
        <v>282</v>
      </c>
      <c r="BA230" t="s">
        <v>282</v>
      </c>
      <c r="BB230" t="s">
        <v>1191</v>
      </c>
      <c r="BC230">
        <v>2</v>
      </c>
    </row>
    <row r="231" spans="1:55" x14ac:dyDescent="0.25">
      <c r="A231" t="s">
        <v>99</v>
      </c>
      <c r="B231">
        <v>17</v>
      </c>
      <c r="C231" t="s">
        <v>1088</v>
      </c>
      <c r="D231" s="158">
        <v>45199</v>
      </c>
      <c r="E231">
        <v>120152</v>
      </c>
      <c r="F231">
        <v>5731341</v>
      </c>
      <c r="G231">
        <v>28791397</v>
      </c>
      <c r="H231" t="b">
        <v>0</v>
      </c>
      <c r="I231">
        <v>1151</v>
      </c>
      <c r="J231" t="s">
        <v>1184</v>
      </c>
      <c r="K231">
        <v>216</v>
      </c>
      <c r="L231">
        <v>216</v>
      </c>
      <c r="M231">
        <v>1</v>
      </c>
      <c r="N231">
        <v>0</v>
      </c>
      <c r="O231">
        <v>216</v>
      </c>
      <c r="P231">
        <v>166</v>
      </c>
      <c r="Q231">
        <v>16</v>
      </c>
      <c r="R231">
        <v>0</v>
      </c>
      <c r="T231">
        <v>216</v>
      </c>
      <c r="U231">
        <v>0</v>
      </c>
      <c r="V231">
        <v>0</v>
      </c>
      <c r="W231">
        <v>0</v>
      </c>
      <c r="X231">
        <v>0</v>
      </c>
      <c r="Y231">
        <v>0</v>
      </c>
      <c r="Z231">
        <v>0</v>
      </c>
      <c r="AA231">
        <v>0</v>
      </c>
      <c r="AB231">
        <v>0</v>
      </c>
      <c r="AC231">
        <v>0</v>
      </c>
      <c r="AD231">
        <v>0</v>
      </c>
      <c r="AE231">
        <v>0</v>
      </c>
      <c r="AF231">
        <v>0</v>
      </c>
      <c r="AG231">
        <v>0</v>
      </c>
      <c r="AH231">
        <v>0</v>
      </c>
      <c r="AI231">
        <v>0</v>
      </c>
      <c r="AJ231">
        <v>0</v>
      </c>
      <c r="AK231">
        <v>0</v>
      </c>
      <c r="AL231">
        <v>0</v>
      </c>
      <c r="AM231">
        <v>0</v>
      </c>
      <c r="AN231">
        <v>34</v>
      </c>
      <c r="AP231" t="s">
        <v>1090</v>
      </c>
      <c r="AS231" t="s">
        <v>1209</v>
      </c>
      <c r="AV231" t="s">
        <v>1092</v>
      </c>
      <c r="AW231" t="s">
        <v>1092</v>
      </c>
      <c r="AX231">
        <v>0</v>
      </c>
      <c r="AY231">
        <v>0</v>
      </c>
      <c r="AZ231" t="s">
        <v>282</v>
      </c>
      <c r="BA231" t="s">
        <v>282</v>
      </c>
      <c r="BB231" t="s">
        <v>1200</v>
      </c>
      <c r="BC231">
        <v>8</v>
      </c>
    </row>
    <row r="232" spans="1:55" x14ac:dyDescent="0.25">
      <c r="A232" t="s">
        <v>99</v>
      </c>
      <c r="B232">
        <v>17</v>
      </c>
      <c r="C232" t="s">
        <v>1088</v>
      </c>
      <c r="D232" s="158">
        <v>45199</v>
      </c>
      <c r="E232">
        <v>163699</v>
      </c>
      <c r="F232">
        <v>10416468</v>
      </c>
      <c r="G232">
        <v>54107253</v>
      </c>
      <c r="H232" t="b">
        <v>0</v>
      </c>
      <c r="I232">
        <v>5</v>
      </c>
      <c r="J232" t="s">
        <v>1187</v>
      </c>
      <c r="K232">
        <v>150</v>
      </c>
      <c r="L232">
        <v>150</v>
      </c>
      <c r="M232">
        <v>1</v>
      </c>
      <c r="N232">
        <v>150</v>
      </c>
      <c r="O232">
        <v>0</v>
      </c>
      <c r="P232">
        <v>0</v>
      </c>
      <c r="Q232">
        <v>0</v>
      </c>
      <c r="R232">
        <v>0</v>
      </c>
      <c r="T232">
        <v>0</v>
      </c>
      <c r="U232">
        <v>0</v>
      </c>
      <c r="V232">
        <v>0</v>
      </c>
      <c r="W232">
        <v>0</v>
      </c>
      <c r="X232">
        <v>0</v>
      </c>
      <c r="Y232">
        <v>0</v>
      </c>
      <c r="Z232">
        <v>0</v>
      </c>
      <c r="AA232">
        <v>0</v>
      </c>
      <c r="AB232">
        <v>0</v>
      </c>
      <c r="AC232">
        <v>0</v>
      </c>
      <c r="AD232">
        <v>0</v>
      </c>
      <c r="AE232">
        <v>0</v>
      </c>
      <c r="AF232">
        <v>0</v>
      </c>
      <c r="AG232">
        <v>0</v>
      </c>
      <c r="AH232">
        <v>0</v>
      </c>
      <c r="AI232">
        <v>0</v>
      </c>
      <c r="AJ232">
        <v>0</v>
      </c>
      <c r="AK232">
        <v>0</v>
      </c>
      <c r="AL232">
        <v>0</v>
      </c>
      <c r="AM232">
        <v>0</v>
      </c>
      <c r="AN232">
        <v>150</v>
      </c>
      <c r="AV232" t="s">
        <v>1092</v>
      </c>
      <c r="AW232" t="s">
        <v>1092</v>
      </c>
      <c r="AX232">
        <v>0</v>
      </c>
      <c r="AY232">
        <v>0</v>
      </c>
      <c r="AZ232" t="s">
        <v>282</v>
      </c>
      <c r="BA232" t="s">
        <v>282</v>
      </c>
      <c r="BB232" t="s">
        <v>1197</v>
      </c>
      <c r="BC232">
        <v>1</v>
      </c>
    </row>
    <row r="233" spans="1:55" x14ac:dyDescent="0.25">
      <c r="A233" t="s">
        <v>99</v>
      </c>
      <c r="B233">
        <v>17</v>
      </c>
      <c r="C233" t="s">
        <v>1088</v>
      </c>
      <c r="D233" s="158">
        <v>45199</v>
      </c>
      <c r="E233">
        <v>618272</v>
      </c>
      <c r="F233">
        <v>10301540</v>
      </c>
      <c r="G233">
        <v>53432756</v>
      </c>
      <c r="H233" t="b">
        <v>0</v>
      </c>
      <c r="I233">
        <v>29</v>
      </c>
      <c r="J233" t="s">
        <v>1187</v>
      </c>
      <c r="K233">
        <v>216</v>
      </c>
      <c r="L233">
        <v>216</v>
      </c>
      <c r="M233">
        <v>1</v>
      </c>
      <c r="N233">
        <v>0</v>
      </c>
      <c r="O233">
        <v>49.62</v>
      </c>
      <c r="P233">
        <v>0</v>
      </c>
      <c r="Q233">
        <v>99.24</v>
      </c>
      <c r="R233">
        <v>0</v>
      </c>
      <c r="T233">
        <v>216</v>
      </c>
      <c r="U233">
        <v>0</v>
      </c>
      <c r="V233">
        <v>1</v>
      </c>
      <c r="W233">
        <v>115.81</v>
      </c>
      <c r="X233">
        <v>50.57</v>
      </c>
      <c r="Y233">
        <v>0</v>
      </c>
      <c r="Z233">
        <v>0</v>
      </c>
      <c r="AA233">
        <v>0</v>
      </c>
      <c r="AB233">
        <v>0</v>
      </c>
      <c r="AC233">
        <v>0</v>
      </c>
      <c r="AD233">
        <v>0</v>
      </c>
      <c r="AE233">
        <v>0</v>
      </c>
      <c r="AF233">
        <v>0</v>
      </c>
      <c r="AG233">
        <v>0</v>
      </c>
      <c r="AH233">
        <v>0</v>
      </c>
      <c r="AI233">
        <v>0</v>
      </c>
      <c r="AJ233">
        <v>0</v>
      </c>
      <c r="AK233">
        <v>0</v>
      </c>
      <c r="AL233">
        <v>0</v>
      </c>
      <c r="AM233">
        <v>0</v>
      </c>
      <c r="AN233">
        <v>-49.62</v>
      </c>
      <c r="AP233" t="s">
        <v>1179</v>
      </c>
      <c r="AS233" t="s">
        <v>1232</v>
      </c>
      <c r="AV233" t="s">
        <v>1092</v>
      </c>
      <c r="AW233" t="s">
        <v>1092</v>
      </c>
      <c r="AX233">
        <v>0</v>
      </c>
      <c r="AY233">
        <v>0</v>
      </c>
      <c r="AZ233" t="s">
        <v>282</v>
      </c>
      <c r="BA233" t="s">
        <v>282</v>
      </c>
      <c r="BB233" t="s">
        <v>1197</v>
      </c>
      <c r="BC233">
        <v>1</v>
      </c>
    </row>
    <row r="234" spans="1:55" x14ac:dyDescent="0.25">
      <c r="A234" t="s">
        <v>99</v>
      </c>
      <c r="B234">
        <v>17</v>
      </c>
      <c r="C234" t="s">
        <v>1088</v>
      </c>
      <c r="D234" s="158">
        <v>45199</v>
      </c>
      <c r="E234">
        <v>618272</v>
      </c>
      <c r="F234">
        <v>10301540</v>
      </c>
      <c r="G234">
        <v>53432766</v>
      </c>
      <c r="H234" t="b">
        <v>0</v>
      </c>
      <c r="I234">
        <v>29</v>
      </c>
      <c r="J234" t="s">
        <v>1187</v>
      </c>
      <c r="K234">
        <v>216</v>
      </c>
      <c r="L234">
        <v>216</v>
      </c>
      <c r="M234">
        <v>1</v>
      </c>
      <c r="N234">
        <v>0</v>
      </c>
      <c r="O234">
        <v>49.62</v>
      </c>
      <c r="P234">
        <v>0</v>
      </c>
      <c r="Q234">
        <v>0</v>
      </c>
      <c r="R234">
        <v>0</v>
      </c>
      <c r="T234">
        <v>216</v>
      </c>
      <c r="U234">
        <v>0</v>
      </c>
      <c r="V234">
        <v>1</v>
      </c>
      <c r="W234">
        <v>115.81</v>
      </c>
      <c r="X234">
        <v>50.57</v>
      </c>
      <c r="Y234">
        <v>0</v>
      </c>
      <c r="Z234">
        <v>0</v>
      </c>
      <c r="AA234">
        <v>0</v>
      </c>
      <c r="AB234">
        <v>0</v>
      </c>
      <c r="AC234">
        <v>0</v>
      </c>
      <c r="AD234">
        <v>0</v>
      </c>
      <c r="AE234">
        <v>0</v>
      </c>
      <c r="AF234">
        <v>0</v>
      </c>
      <c r="AG234">
        <v>0</v>
      </c>
      <c r="AH234">
        <v>0</v>
      </c>
      <c r="AI234">
        <v>0</v>
      </c>
      <c r="AJ234">
        <v>0</v>
      </c>
      <c r="AK234">
        <v>0</v>
      </c>
      <c r="AL234">
        <v>0</v>
      </c>
      <c r="AM234">
        <v>0</v>
      </c>
      <c r="AN234">
        <v>49.62</v>
      </c>
      <c r="AP234" t="s">
        <v>1179</v>
      </c>
      <c r="AS234" t="s">
        <v>1232</v>
      </c>
      <c r="AV234" t="s">
        <v>1092</v>
      </c>
      <c r="AW234" t="s">
        <v>1092</v>
      </c>
      <c r="AX234">
        <v>0</v>
      </c>
      <c r="AY234">
        <v>0</v>
      </c>
      <c r="AZ234" t="s">
        <v>282</v>
      </c>
      <c r="BA234" t="s">
        <v>282</v>
      </c>
      <c r="BB234" t="s">
        <v>1197</v>
      </c>
      <c r="BC234">
        <v>1</v>
      </c>
    </row>
    <row r="235" spans="1:55" x14ac:dyDescent="0.25">
      <c r="A235" t="s">
        <v>102</v>
      </c>
      <c r="B235">
        <v>17</v>
      </c>
      <c r="C235" t="s">
        <v>1088</v>
      </c>
      <c r="D235" s="158">
        <v>45199</v>
      </c>
      <c r="E235">
        <v>128407</v>
      </c>
      <c r="H235" t="b">
        <v>0</v>
      </c>
      <c r="I235">
        <v>1</v>
      </c>
      <c r="J235" t="s">
        <v>1212</v>
      </c>
      <c r="AN235">
        <v>-0.03</v>
      </c>
      <c r="AV235" t="s">
        <v>1092</v>
      </c>
      <c r="AW235" t="s">
        <v>1092</v>
      </c>
      <c r="BA235" t="s">
        <v>282</v>
      </c>
      <c r="BB235" t="s">
        <v>1197</v>
      </c>
      <c r="BC235">
        <v>1</v>
      </c>
    </row>
    <row r="236" spans="1:55" x14ac:dyDescent="0.25">
      <c r="A236" t="s">
        <v>99</v>
      </c>
      <c r="B236">
        <v>17</v>
      </c>
      <c r="C236" t="s">
        <v>1088</v>
      </c>
      <c r="D236" s="158">
        <v>45199</v>
      </c>
      <c r="E236">
        <v>155558</v>
      </c>
      <c r="F236">
        <v>10213979</v>
      </c>
      <c r="G236">
        <v>53605357</v>
      </c>
      <c r="H236" t="b">
        <v>0</v>
      </c>
      <c r="I236">
        <v>36</v>
      </c>
      <c r="J236" t="s">
        <v>1184</v>
      </c>
      <c r="K236">
        <v>150</v>
      </c>
      <c r="L236">
        <v>150</v>
      </c>
      <c r="M236">
        <v>1</v>
      </c>
      <c r="N236">
        <v>150</v>
      </c>
      <c r="O236">
        <v>0</v>
      </c>
      <c r="P236">
        <v>0</v>
      </c>
      <c r="Q236">
        <v>0</v>
      </c>
      <c r="R236">
        <v>0</v>
      </c>
      <c r="T236">
        <v>0</v>
      </c>
      <c r="U236">
        <v>0</v>
      </c>
      <c r="V236">
        <v>0</v>
      </c>
      <c r="W236">
        <v>0</v>
      </c>
      <c r="X236">
        <v>0</v>
      </c>
      <c r="Y236">
        <v>0</v>
      </c>
      <c r="Z236">
        <v>0</v>
      </c>
      <c r="AA236">
        <v>0</v>
      </c>
      <c r="AB236">
        <v>0</v>
      </c>
      <c r="AC236">
        <v>0</v>
      </c>
      <c r="AD236">
        <v>0</v>
      </c>
      <c r="AE236">
        <v>0</v>
      </c>
      <c r="AF236">
        <v>0</v>
      </c>
      <c r="AG236">
        <v>0</v>
      </c>
      <c r="AH236">
        <v>0</v>
      </c>
      <c r="AI236">
        <v>0</v>
      </c>
      <c r="AJ236">
        <v>0</v>
      </c>
      <c r="AK236">
        <v>0</v>
      </c>
      <c r="AL236">
        <v>0</v>
      </c>
      <c r="AM236">
        <v>0</v>
      </c>
      <c r="AN236">
        <v>150</v>
      </c>
      <c r="AV236" t="s">
        <v>1092</v>
      </c>
      <c r="AW236" t="s">
        <v>1092</v>
      </c>
      <c r="AX236">
        <v>0</v>
      </c>
      <c r="AY236">
        <v>0</v>
      </c>
      <c r="AZ236" t="s">
        <v>282</v>
      </c>
      <c r="BA236" t="s">
        <v>282</v>
      </c>
      <c r="BB236" t="s">
        <v>1191</v>
      </c>
      <c r="BC236">
        <v>2</v>
      </c>
    </row>
    <row r="237" spans="1:55" x14ac:dyDescent="0.25">
      <c r="A237" t="s">
        <v>102</v>
      </c>
      <c r="B237">
        <v>17</v>
      </c>
      <c r="C237" t="s">
        <v>1088</v>
      </c>
      <c r="D237" s="158">
        <v>45199</v>
      </c>
      <c r="E237">
        <v>56191</v>
      </c>
      <c r="H237" t="b">
        <v>0</v>
      </c>
      <c r="I237">
        <v>1</v>
      </c>
      <c r="J237" t="s">
        <v>1212</v>
      </c>
      <c r="AN237">
        <v>-26.28</v>
      </c>
      <c r="AV237" t="s">
        <v>1092</v>
      </c>
      <c r="AW237" t="s">
        <v>1092</v>
      </c>
      <c r="BA237" t="s">
        <v>282</v>
      </c>
      <c r="BB237" t="s">
        <v>1197</v>
      </c>
      <c r="BC237">
        <v>1</v>
      </c>
    </row>
    <row r="238" spans="1:55" x14ac:dyDescent="0.25">
      <c r="A238" t="s">
        <v>102</v>
      </c>
      <c r="B238">
        <v>17</v>
      </c>
      <c r="C238" t="s">
        <v>1088</v>
      </c>
      <c r="D238" s="158">
        <v>45199</v>
      </c>
      <c r="E238">
        <v>249239</v>
      </c>
      <c r="H238" t="b">
        <v>0</v>
      </c>
      <c r="I238">
        <v>1</v>
      </c>
      <c r="J238" t="s">
        <v>1212</v>
      </c>
      <c r="AN238">
        <v>-18</v>
      </c>
      <c r="AV238" t="s">
        <v>1092</v>
      </c>
      <c r="AW238" t="s">
        <v>1092</v>
      </c>
      <c r="BA238" t="s">
        <v>282</v>
      </c>
      <c r="BB238" t="s">
        <v>1197</v>
      </c>
      <c r="BC238">
        <v>1</v>
      </c>
    </row>
    <row r="239" spans="1:55" x14ac:dyDescent="0.25">
      <c r="A239" t="s">
        <v>99</v>
      </c>
      <c r="B239">
        <v>17</v>
      </c>
      <c r="C239" t="s">
        <v>1088</v>
      </c>
      <c r="D239" s="158">
        <v>45199</v>
      </c>
      <c r="E239">
        <v>110445</v>
      </c>
      <c r="F239">
        <v>4479457</v>
      </c>
      <c r="G239">
        <v>20533800</v>
      </c>
      <c r="H239" t="b">
        <v>0</v>
      </c>
      <c r="I239">
        <v>1647</v>
      </c>
      <c r="J239" t="s">
        <v>1184</v>
      </c>
      <c r="K239">
        <v>0.01</v>
      </c>
      <c r="L239">
        <v>0.01</v>
      </c>
      <c r="M239">
        <v>1</v>
      </c>
      <c r="N239">
        <v>0.01</v>
      </c>
      <c r="O239">
        <v>0</v>
      </c>
      <c r="P239">
        <v>0</v>
      </c>
      <c r="Q239">
        <v>0</v>
      </c>
      <c r="R239">
        <v>0.02</v>
      </c>
      <c r="T239">
        <v>0</v>
      </c>
      <c r="U239">
        <v>0</v>
      </c>
      <c r="V239">
        <v>0</v>
      </c>
      <c r="W239">
        <v>0</v>
      </c>
      <c r="X239">
        <v>0</v>
      </c>
      <c r="Y239">
        <v>0</v>
      </c>
      <c r="Z239">
        <v>0</v>
      </c>
      <c r="AA239">
        <v>0</v>
      </c>
      <c r="AB239">
        <v>0</v>
      </c>
      <c r="AC239">
        <v>0</v>
      </c>
      <c r="AD239">
        <v>0</v>
      </c>
      <c r="AE239">
        <v>0</v>
      </c>
      <c r="AF239">
        <v>0</v>
      </c>
      <c r="AG239">
        <v>0</v>
      </c>
      <c r="AH239">
        <v>0</v>
      </c>
      <c r="AI239">
        <v>0</v>
      </c>
      <c r="AJ239">
        <v>0</v>
      </c>
      <c r="AK239">
        <v>0</v>
      </c>
      <c r="AL239">
        <v>0</v>
      </c>
      <c r="AM239">
        <v>0</v>
      </c>
      <c r="AN239">
        <v>-0.01</v>
      </c>
      <c r="AV239" t="s">
        <v>1092</v>
      </c>
      <c r="AW239" t="s">
        <v>1092</v>
      </c>
      <c r="AX239">
        <v>0</v>
      </c>
      <c r="AY239">
        <v>0</v>
      </c>
      <c r="AZ239" t="s">
        <v>282</v>
      </c>
      <c r="BA239" t="s">
        <v>282</v>
      </c>
      <c r="BB239" t="s">
        <v>1200</v>
      </c>
      <c r="BC239">
        <v>8</v>
      </c>
    </row>
    <row r="240" spans="1:55" x14ac:dyDescent="0.25">
      <c r="A240" t="s">
        <v>99</v>
      </c>
      <c r="B240">
        <v>17</v>
      </c>
      <c r="C240" t="s">
        <v>1088</v>
      </c>
      <c r="D240" s="158">
        <v>45199</v>
      </c>
      <c r="E240">
        <v>390261</v>
      </c>
      <c r="F240">
        <v>10332505</v>
      </c>
      <c r="G240">
        <v>53671748</v>
      </c>
      <c r="H240" t="b">
        <v>0</v>
      </c>
      <c r="I240">
        <v>19</v>
      </c>
      <c r="J240" t="s">
        <v>1187</v>
      </c>
      <c r="K240">
        <v>216</v>
      </c>
      <c r="L240">
        <v>216</v>
      </c>
      <c r="M240">
        <v>1</v>
      </c>
      <c r="N240">
        <v>216</v>
      </c>
      <c r="O240">
        <v>0</v>
      </c>
      <c r="P240">
        <v>0</v>
      </c>
      <c r="Q240">
        <v>441</v>
      </c>
      <c r="R240">
        <v>0</v>
      </c>
      <c r="T240">
        <v>0</v>
      </c>
      <c r="U240">
        <v>0</v>
      </c>
      <c r="V240">
        <v>0</v>
      </c>
      <c r="W240">
        <v>0</v>
      </c>
      <c r="X240">
        <v>0</v>
      </c>
      <c r="Y240">
        <v>0</v>
      </c>
      <c r="Z240">
        <v>0</v>
      </c>
      <c r="AA240">
        <v>0</v>
      </c>
      <c r="AB240">
        <v>0</v>
      </c>
      <c r="AC240">
        <v>0</v>
      </c>
      <c r="AD240">
        <v>0</v>
      </c>
      <c r="AE240">
        <v>0</v>
      </c>
      <c r="AF240">
        <v>0</v>
      </c>
      <c r="AG240">
        <v>0</v>
      </c>
      <c r="AH240">
        <v>0</v>
      </c>
      <c r="AI240">
        <v>0</v>
      </c>
      <c r="AJ240">
        <v>0</v>
      </c>
      <c r="AK240">
        <v>0</v>
      </c>
      <c r="AL240">
        <v>0</v>
      </c>
      <c r="AM240">
        <v>0</v>
      </c>
      <c r="AN240">
        <v>-225</v>
      </c>
      <c r="AV240" t="s">
        <v>1092</v>
      </c>
      <c r="AW240" t="s">
        <v>1092</v>
      </c>
      <c r="AX240">
        <v>0</v>
      </c>
      <c r="AY240">
        <v>0</v>
      </c>
      <c r="AZ240" t="s">
        <v>282</v>
      </c>
      <c r="BA240" t="s">
        <v>282</v>
      </c>
      <c r="BB240" t="s">
        <v>1197</v>
      </c>
      <c r="BC240">
        <v>1</v>
      </c>
    </row>
    <row r="241" spans="1:55" x14ac:dyDescent="0.25">
      <c r="A241" t="s">
        <v>99</v>
      </c>
      <c r="B241">
        <v>17</v>
      </c>
      <c r="C241" t="s">
        <v>1088</v>
      </c>
      <c r="D241" s="158">
        <v>45199</v>
      </c>
      <c r="E241">
        <v>390261</v>
      </c>
      <c r="F241">
        <v>10332505</v>
      </c>
      <c r="G241">
        <v>53671751</v>
      </c>
      <c r="H241" t="b">
        <v>0</v>
      </c>
      <c r="I241">
        <v>19</v>
      </c>
      <c r="J241" t="s">
        <v>1247</v>
      </c>
      <c r="K241">
        <v>18</v>
      </c>
      <c r="L241">
        <v>18</v>
      </c>
      <c r="M241">
        <v>1</v>
      </c>
      <c r="N241">
        <v>18</v>
      </c>
      <c r="O241">
        <v>0</v>
      </c>
      <c r="P241">
        <v>0</v>
      </c>
      <c r="Q241">
        <v>0</v>
      </c>
      <c r="R241">
        <v>0</v>
      </c>
      <c r="T241">
        <v>0</v>
      </c>
      <c r="U241">
        <v>0</v>
      </c>
      <c r="V241">
        <v>0</v>
      </c>
      <c r="W241">
        <v>0</v>
      </c>
      <c r="X241">
        <v>0</v>
      </c>
      <c r="Y241">
        <v>0</v>
      </c>
      <c r="Z241">
        <v>0</v>
      </c>
      <c r="AA241">
        <v>0</v>
      </c>
      <c r="AB241">
        <v>0</v>
      </c>
      <c r="AC241">
        <v>0</v>
      </c>
      <c r="AD241">
        <v>0</v>
      </c>
      <c r="AE241">
        <v>0</v>
      </c>
      <c r="AF241">
        <v>0</v>
      </c>
      <c r="AG241">
        <v>0</v>
      </c>
      <c r="AH241">
        <v>0</v>
      </c>
      <c r="AI241">
        <v>0</v>
      </c>
      <c r="AJ241">
        <v>0</v>
      </c>
      <c r="AK241">
        <v>0</v>
      </c>
      <c r="AL241">
        <v>0</v>
      </c>
      <c r="AM241">
        <v>0</v>
      </c>
      <c r="AN241">
        <v>18</v>
      </c>
      <c r="AV241" t="s">
        <v>1092</v>
      </c>
      <c r="AW241" t="s">
        <v>1092</v>
      </c>
      <c r="AX241">
        <v>0</v>
      </c>
      <c r="AY241">
        <v>0</v>
      </c>
      <c r="AZ241" t="s">
        <v>282</v>
      </c>
      <c r="BA241" t="s">
        <v>282</v>
      </c>
      <c r="BB241" t="s">
        <v>1197</v>
      </c>
      <c r="BC241">
        <v>1</v>
      </c>
    </row>
    <row r="242" spans="1:55" x14ac:dyDescent="0.25">
      <c r="A242" t="s">
        <v>102</v>
      </c>
      <c r="B242">
        <v>17</v>
      </c>
      <c r="C242" t="s">
        <v>1088</v>
      </c>
      <c r="D242" s="158">
        <v>45199</v>
      </c>
      <c r="E242">
        <v>561617</v>
      </c>
      <c r="H242" t="b">
        <v>0</v>
      </c>
      <c r="I242">
        <v>1</v>
      </c>
      <c r="J242" t="s">
        <v>1212</v>
      </c>
      <c r="AN242">
        <v>-290</v>
      </c>
      <c r="AP242" t="s">
        <v>1091</v>
      </c>
      <c r="AV242" t="s">
        <v>1092</v>
      </c>
      <c r="AW242" t="s">
        <v>1092</v>
      </c>
      <c r="BA242" t="s">
        <v>282</v>
      </c>
      <c r="BB242" t="s">
        <v>1197</v>
      </c>
      <c r="BC242">
        <v>1</v>
      </c>
    </row>
    <row r="243" spans="1:55" x14ac:dyDescent="0.25">
      <c r="A243" t="s">
        <v>102</v>
      </c>
      <c r="B243">
        <v>17</v>
      </c>
      <c r="C243" t="s">
        <v>1088</v>
      </c>
      <c r="D243" s="158">
        <v>45199</v>
      </c>
      <c r="E243">
        <v>582282</v>
      </c>
      <c r="H243" t="b">
        <v>0</v>
      </c>
      <c r="I243">
        <v>1</v>
      </c>
      <c r="J243" t="s">
        <v>1212</v>
      </c>
      <c r="AN243">
        <v>-0.09</v>
      </c>
      <c r="AP243" t="s">
        <v>1091</v>
      </c>
      <c r="AV243" t="s">
        <v>1092</v>
      </c>
      <c r="AW243" t="s">
        <v>1092</v>
      </c>
      <c r="BA243" t="s">
        <v>282</v>
      </c>
      <c r="BB243" t="s">
        <v>1197</v>
      </c>
      <c r="BC243">
        <v>1</v>
      </c>
    </row>
    <row r="244" spans="1:55" x14ac:dyDescent="0.25">
      <c r="A244" t="s">
        <v>102</v>
      </c>
      <c r="B244">
        <v>17</v>
      </c>
      <c r="C244" t="s">
        <v>1088</v>
      </c>
      <c r="D244" s="158">
        <v>45199</v>
      </c>
      <c r="E244">
        <v>371654</v>
      </c>
      <c r="H244" t="b">
        <v>0</v>
      </c>
      <c r="I244">
        <v>1</v>
      </c>
      <c r="J244" t="s">
        <v>1212</v>
      </c>
      <c r="AN244">
        <v>-66</v>
      </c>
      <c r="AP244" t="s">
        <v>1091</v>
      </c>
      <c r="AV244" t="s">
        <v>1092</v>
      </c>
      <c r="AW244" t="s">
        <v>1092</v>
      </c>
      <c r="BA244" t="s">
        <v>282</v>
      </c>
      <c r="BB244" t="s">
        <v>1197</v>
      </c>
      <c r="BC244">
        <v>1</v>
      </c>
    </row>
    <row r="245" spans="1:55" x14ac:dyDescent="0.25">
      <c r="A245" t="s">
        <v>102</v>
      </c>
      <c r="B245">
        <v>17</v>
      </c>
      <c r="C245" t="s">
        <v>1088</v>
      </c>
      <c r="D245" s="158">
        <v>45199</v>
      </c>
      <c r="E245">
        <v>336410</v>
      </c>
      <c r="H245" t="b">
        <v>0</v>
      </c>
      <c r="I245">
        <v>1</v>
      </c>
      <c r="J245" t="s">
        <v>1212</v>
      </c>
      <c r="AN245">
        <v>-32</v>
      </c>
      <c r="AV245" t="s">
        <v>1092</v>
      </c>
      <c r="AW245" t="s">
        <v>1092</v>
      </c>
      <c r="BA245" t="s">
        <v>282</v>
      </c>
      <c r="BB245" t="s">
        <v>1197</v>
      </c>
      <c r="BC245">
        <v>1</v>
      </c>
    </row>
    <row r="246" spans="1:55" x14ac:dyDescent="0.25">
      <c r="A246" t="s">
        <v>102</v>
      </c>
      <c r="B246">
        <v>17</v>
      </c>
      <c r="C246" t="s">
        <v>1088</v>
      </c>
      <c r="D246" s="158">
        <v>45199</v>
      </c>
      <c r="E246">
        <v>168399</v>
      </c>
      <c r="H246" t="b">
        <v>0</v>
      </c>
      <c r="I246">
        <v>1</v>
      </c>
      <c r="J246" t="s">
        <v>1212</v>
      </c>
      <c r="AN246">
        <v>-18</v>
      </c>
      <c r="AV246" t="s">
        <v>1092</v>
      </c>
      <c r="AW246" t="s">
        <v>1092</v>
      </c>
      <c r="BA246" t="s">
        <v>282</v>
      </c>
      <c r="BB246" t="s">
        <v>1197</v>
      </c>
      <c r="BC246">
        <v>1</v>
      </c>
    </row>
    <row r="247" spans="1:55" x14ac:dyDescent="0.25">
      <c r="A247" t="s">
        <v>99</v>
      </c>
      <c r="B247">
        <v>17</v>
      </c>
      <c r="C247" t="s">
        <v>1088</v>
      </c>
      <c r="D247" s="158">
        <v>45199</v>
      </c>
      <c r="E247">
        <v>328477</v>
      </c>
      <c r="F247">
        <v>10003725</v>
      </c>
      <c r="G247">
        <v>51590408</v>
      </c>
      <c r="H247" t="b">
        <v>0</v>
      </c>
      <c r="I247">
        <v>86</v>
      </c>
      <c r="J247" t="s">
        <v>1187</v>
      </c>
      <c r="K247">
        <v>216</v>
      </c>
      <c r="L247">
        <v>216</v>
      </c>
      <c r="M247">
        <v>1</v>
      </c>
      <c r="N247">
        <v>0</v>
      </c>
      <c r="O247">
        <v>165.43</v>
      </c>
      <c r="P247">
        <v>0</v>
      </c>
      <c r="Q247">
        <v>0</v>
      </c>
      <c r="R247">
        <v>0</v>
      </c>
      <c r="T247">
        <v>216</v>
      </c>
      <c r="U247">
        <v>0</v>
      </c>
      <c r="V247">
        <v>0</v>
      </c>
      <c r="W247">
        <v>0</v>
      </c>
      <c r="X247">
        <v>50.57</v>
      </c>
      <c r="Y247">
        <v>0</v>
      </c>
      <c r="Z247">
        <v>0</v>
      </c>
      <c r="AA247">
        <v>0</v>
      </c>
      <c r="AB247">
        <v>0</v>
      </c>
      <c r="AC247">
        <v>0</v>
      </c>
      <c r="AD247">
        <v>0</v>
      </c>
      <c r="AE247">
        <v>0</v>
      </c>
      <c r="AF247">
        <v>0</v>
      </c>
      <c r="AG247">
        <v>0</v>
      </c>
      <c r="AH247">
        <v>0</v>
      </c>
      <c r="AI247">
        <v>0</v>
      </c>
      <c r="AJ247">
        <v>0</v>
      </c>
      <c r="AK247">
        <v>0</v>
      </c>
      <c r="AL247">
        <v>0</v>
      </c>
      <c r="AM247">
        <v>0</v>
      </c>
      <c r="AN247">
        <v>165.43</v>
      </c>
      <c r="AP247" t="s">
        <v>1091</v>
      </c>
      <c r="AS247" t="s">
        <v>1185</v>
      </c>
      <c r="AV247" t="s">
        <v>1092</v>
      </c>
      <c r="AW247" t="s">
        <v>1092</v>
      </c>
      <c r="AX247">
        <v>0</v>
      </c>
      <c r="AY247">
        <v>0</v>
      </c>
      <c r="AZ247" t="s">
        <v>282</v>
      </c>
      <c r="BA247" t="s">
        <v>282</v>
      </c>
      <c r="BB247" t="s">
        <v>1186</v>
      </c>
      <c r="BC247">
        <v>3</v>
      </c>
    </row>
    <row r="248" spans="1:55" x14ac:dyDescent="0.25">
      <c r="A248" t="s">
        <v>99</v>
      </c>
      <c r="B248">
        <v>17</v>
      </c>
      <c r="C248" t="s">
        <v>1088</v>
      </c>
      <c r="D248" s="158">
        <v>45199</v>
      </c>
      <c r="E248">
        <v>390261</v>
      </c>
      <c r="F248">
        <v>10332505</v>
      </c>
      <c r="G248">
        <v>53671750</v>
      </c>
      <c r="H248" t="b">
        <v>0</v>
      </c>
      <c r="I248">
        <v>19</v>
      </c>
      <c r="J248" t="s">
        <v>1187</v>
      </c>
      <c r="K248">
        <v>216</v>
      </c>
      <c r="L248">
        <v>216</v>
      </c>
      <c r="M248">
        <v>1</v>
      </c>
      <c r="N248">
        <v>216</v>
      </c>
      <c r="O248">
        <v>0</v>
      </c>
      <c r="P248">
        <v>0</v>
      </c>
      <c r="Q248">
        <v>9</v>
      </c>
      <c r="R248">
        <v>0</v>
      </c>
      <c r="T248">
        <v>0</v>
      </c>
      <c r="U248">
        <v>0</v>
      </c>
      <c r="V248">
        <v>0</v>
      </c>
      <c r="W248">
        <v>0</v>
      </c>
      <c r="X248">
        <v>0</v>
      </c>
      <c r="Y248">
        <v>0</v>
      </c>
      <c r="Z248">
        <v>0</v>
      </c>
      <c r="AA248">
        <v>0</v>
      </c>
      <c r="AB248">
        <v>0</v>
      </c>
      <c r="AC248">
        <v>0</v>
      </c>
      <c r="AD248">
        <v>0</v>
      </c>
      <c r="AE248">
        <v>0</v>
      </c>
      <c r="AF248">
        <v>0</v>
      </c>
      <c r="AG248">
        <v>0</v>
      </c>
      <c r="AH248">
        <v>0</v>
      </c>
      <c r="AI248">
        <v>0</v>
      </c>
      <c r="AJ248">
        <v>0</v>
      </c>
      <c r="AK248">
        <v>0</v>
      </c>
      <c r="AL248">
        <v>0</v>
      </c>
      <c r="AM248">
        <v>0</v>
      </c>
      <c r="AN248">
        <v>207</v>
      </c>
      <c r="AV248" t="s">
        <v>1092</v>
      </c>
      <c r="AW248" t="s">
        <v>1092</v>
      </c>
      <c r="AX248">
        <v>0</v>
      </c>
      <c r="AY248">
        <v>0</v>
      </c>
      <c r="AZ248" t="s">
        <v>282</v>
      </c>
      <c r="BA248" t="s">
        <v>282</v>
      </c>
      <c r="BB248" t="s">
        <v>1197</v>
      </c>
      <c r="BC248">
        <v>1</v>
      </c>
    </row>
    <row r="249" spans="1:55" x14ac:dyDescent="0.25">
      <c r="A249" t="s">
        <v>99</v>
      </c>
      <c r="B249">
        <v>17</v>
      </c>
      <c r="C249" t="s">
        <v>1088</v>
      </c>
      <c r="D249" s="158">
        <v>45199</v>
      </c>
      <c r="E249">
        <v>570282</v>
      </c>
      <c r="F249">
        <v>9388004</v>
      </c>
      <c r="G249">
        <v>47847013</v>
      </c>
      <c r="H249" t="b">
        <v>0</v>
      </c>
      <c r="I249">
        <v>205</v>
      </c>
      <c r="J249" t="s">
        <v>1187</v>
      </c>
      <c r="K249">
        <v>216</v>
      </c>
      <c r="L249">
        <v>216</v>
      </c>
      <c r="M249">
        <v>1</v>
      </c>
      <c r="N249">
        <v>0</v>
      </c>
      <c r="O249">
        <v>165.43</v>
      </c>
      <c r="P249">
        <v>165.25</v>
      </c>
      <c r="Q249">
        <v>0</v>
      </c>
      <c r="R249">
        <v>0</v>
      </c>
      <c r="T249">
        <v>216</v>
      </c>
      <c r="U249">
        <v>0</v>
      </c>
      <c r="V249">
        <v>0</v>
      </c>
      <c r="W249">
        <v>0</v>
      </c>
      <c r="X249">
        <v>50.57</v>
      </c>
      <c r="Y249">
        <v>0</v>
      </c>
      <c r="Z249">
        <v>0</v>
      </c>
      <c r="AA249">
        <v>0</v>
      </c>
      <c r="AB249">
        <v>0</v>
      </c>
      <c r="AC249">
        <v>0</v>
      </c>
      <c r="AD249">
        <v>0</v>
      </c>
      <c r="AE249">
        <v>0</v>
      </c>
      <c r="AF249">
        <v>0</v>
      </c>
      <c r="AG249">
        <v>0</v>
      </c>
      <c r="AH249">
        <v>0</v>
      </c>
      <c r="AI249">
        <v>0</v>
      </c>
      <c r="AJ249">
        <v>0</v>
      </c>
      <c r="AK249">
        <v>0</v>
      </c>
      <c r="AL249">
        <v>0</v>
      </c>
      <c r="AM249">
        <v>0</v>
      </c>
      <c r="AN249">
        <v>0.18</v>
      </c>
      <c r="AP249" t="s">
        <v>1091</v>
      </c>
      <c r="AS249" t="s">
        <v>1185</v>
      </c>
      <c r="AV249" t="s">
        <v>1092</v>
      </c>
      <c r="AW249" t="s">
        <v>1092</v>
      </c>
      <c r="AX249">
        <v>0</v>
      </c>
      <c r="AY249">
        <v>0</v>
      </c>
      <c r="AZ249" t="s">
        <v>282</v>
      </c>
      <c r="BA249" t="s">
        <v>282</v>
      </c>
      <c r="BB249" t="s">
        <v>1204</v>
      </c>
      <c r="BC249">
        <v>7</v>
      </c>
    </row>
    <row r="250" spans="1:55" x14ac:dyDescent="0.25">
      <c r="A250" t="s">
        <v>99</v>
      </c>
      <c r="B250">
        <v>17</v>
      </c>
      <c r="C250" t="s">
        <v>1088</v>
      </c>
      <c r="D250" s="158">
        <v>45199</v>
      </c>
      <c r="E250">
        <v>580115</v>
      </c>
      <c r="F250">
        <v>9583109</v>
      </c>
      <c r="G250">
        <v>49180573</v>
      </c>
      <c r="H250" t="b">
        <v>0</v>
      </c>
      <c r="I250">
        <v>163</v>
      </c>
      <c r="J250" t="s">
        <v>1187</v>
      </c>
      <c r="K250">
        <v>216</v>
      </c>
      <c r="L250">
        <v>216</v>
      </c>
      <c r="M250">
        <v>1</v>
      </c>
      <c r="N250">
        <v>0</v>
      </c>
      <c r="O250">
        <v>49.63</v>
      </c>
      <c r="P250">
        <v>0</v>
      </c>
      <c r="Q250">
        <v>0</v>
      </c>
      <c r="R250">
        <v>0</v>
      </c>
      <c r="T250">
        <v>216</v>
      </c>
      <c r="U250">
        <v>0</v>
      </c>
      <c r="V250">
        <v>1</v>
      </c>
      <c r="W250">
        <v>115.8</v>
      </c>
      <c r="X250">
        <v>50.57</v>
      </c>
      <c r="Y250">
        <v>0</v>
      </c>
      <c r="Z250">
        <v>0</v>
      </c>
      <c r="AA250">
        <v>0</v>
      </c>
      <c r="AB250">
        <v>0</v>
      </c>
      <c r="AC250">
        <v>0</v>
      </c>
      <c r="AD250">
        <v>0</v>
      </c>
      <c r="AE250">
        <v>0</v>
      </c>
      <c r="AF250">
        <v>0</v>
      </c>
      <c r="AG250">
        <v>0</v>
      </c>
      <c r="AH250">
        <v>0</v>
      </c>
      <c r="AI250">
        <v>0</v>
      </c>
      <c r="AJ250">
        <v>0</v>
      </c>
      <c r="AK250">
        <v>0</v>
      </c>
      <c r="AL250">
        <v>0</v>
      </c>
      <c r="AM250">
        <v>0</v>
      </c>
      <c r="AN250">
        <v>49.63</v>
      </c>
      <c r="AP250" t="s">
        <v>1091</v>
      </c>
      <c r="AS250" t="s">
        <v>1188</v>
      </c>
      <c r="AV250" t="s">
        <v>1092</v>
      </c>
      <c r="AW250" t="s">
        <v>1092</v>
      </c>
      <c r="AX250">
        <v>0</v>
      </c>
      <c r="AY250">
        <v>0</v>
      </c>
      <c r="AZ250" t="s">
        <v>282</v>
      </c>
      <c r="BA250" t="s">
        <v>282</v>
      </c>
      <c r="BB250" t="s">
        <v>1206</v>
      </c>
      <c r="BC250">
        <v>6</v>
      </c>
    </row>
    <row r="251" spans="1:55" x14ac:dyDescent="0.25">
      <c r="A251" t="s">
        <v>99</v>
      </c>
      <c r="B251">
        <v>17</v>
      </c>
      <c r="C251" t="s">
        <v>1088</v>
      </c>
      <c r="D251" s="158">
        <v>45199</v>
      </c>
      <c r="E251">
        <v>622658</v>
      </c>
      <c r="F251">
        <v>10383978</v>
      </c>
      <c r="G251">
        <v>54063652</v>
      </c>
      <c r="H251" t="b">
        <v>0</v>
      </c>
      <c r="I251">
        <v>8</v>
      </c>
      <c r="J251" t="s">
        <v>1187</v>
      </c>
      <c r="K251">
        <v>216</v>
      </c>
      <c r="L251">
        <v>216</v>
      </c>
      <c r="M251">
        <v>1</v>
      </c>
      <c r="N251">
        <v>216</v>
      </c>
      <c r="O251">
        <v>0</v>
      </c>
      <c r="P251">
        <v>0</v>
      </c>
      <c r="Q251">
        <v>9</v>
      </c>
      <c r="R251">
        <v>0</v>
      </c>
      <c r="T251">
        <v>0</v>
      </c>
      <c r="U251">
        <v>0</v>
      </c>
      <c r="V251">
        <v>0</v>
      </c>
      <c r="W251">
        <v>0</v>
      </c>
      <c r="X251">
        <v>0</v>
      </c>
      <c r="Y251">
        <v>0</v>
      </c>
      <c r="Z251">
        <v>0</v>
      </c>
      <c r="AA251">
        <v>0</v>
      </c>
      <c r="AB251">
        <v>0</v>
      </c>
      <c r="AC251">
        <v>0</v>
      </c>
      <c r="AD251">
        <v>0</v>
      </c>
      <c r="AE251">
        <v>0</v>
      </c>
      <c r="AF251">
        <v>0</v>
      </c>
      <c r="AG251">
        <v>0</v>
      </c>
      <c r="AH251">
        <v>0</v>
      </c>
      <c r="AI251">
        <v>0</v>
      </c>
      <c r="AJ251">
        <v>0</v>
      </c>
      <c r="AK251">
        <v>0</v>
      </c>
      <c r="AL251">
        <v>0</v>
      </c>
      <c r="AM251">
        <v>0</v>
      </c>
      <c r="AN251">
        <v>207</v>
      </c>
      <c r="AV251" t="s">
        <v>1092</v>
      </c>
      <c r="AW251" t="s">
        <v>1092</v>
      </c>
      <c r="AX251">
        <v>0</v>
      </c>
      <c r="AY251">
        <v>0</v>
      </c>
      <c r="AZ251" t="s">
        <v>282</v>
      </c>
      <c r="BA251" t="s">
        <v>282</v>
      </c>
      <c r="BB251" t="s">
        <v>1197</v>
      </c>
      <c r="BC251">
        <v>1</v>
      </c>
    </row>
    <row r="252" spans="1:55" x14ac:dyDescent="0.25">
      <c r="A252" t="s">
        <v>99</v>
      </c>
      <c r="B252">
        <v>17</v>
      </c>
      <c r="C252" t="s">
        <v>1088</v>
      </c>
      <c r="D252" s="158">
        <v>45199</v>
      </c>
      <c r="E252">
        <v>622658</v>
      </c>
      <c r="F252">
        <v>10383978</v>
      </c>
      <c r="G252">
        <v>54063657</v>
      </c>
      <c r="H252" t="b">
        <v>0</v>
      </c>
      <c r="I252">
        <v>8</v>
      </c>
      <c r="J252" t="s">
        <v>1247</v>
      </c>
      <c r="K252">
        <v>18</v>
      </c>
      <c r="L252">
        <v>18</v>
      </c>
      <c r="M252">
        <v>1</v>
      </c>
      <c r="N252">
        <v>18</v>
      </c>
      <c r="O252">
        <v>0</v>
      </c>
      <c r="P252">
        <v>0</v>
      </c>
      <c r="Q252">
        <v>0</v>
      </c>
      <c r="R252">
        <v>0</v>
      </c>
      <c r="T252">
        <v>0</v>
      </c>
      <c r="U252">
        <v>0</v>
      </c>
      <c r="V252">
        <v>0</v>
      </c>
      <c r="W252">
        <v>0</v>
      </c>
      <c r="X252">
        <v>0</v>
      </c>
      <c r="Y252">
        <v>0</v>
      </c>
      <c r="Z252">
        <v>0</v>
      </c>
      <c r="AA252">
        <v>0</v>
      </c>
      <c r="AB252">
        <v>0</v>
      </c>
      <c r="AC252">
        <v>0</v>
      </c>
      <c r="AD252">
        <v>0</v>
      </c>
      <c r="AE252">
        <v>0</v>
      </c>
      <c r="AF252">
        <v>0</v>
      </c>
      <c r="AG252">
        <v>0</v>
      </c>
      <c r="AH252">
        <v>0</v>
      </c>
      <c r="AI252">
        <v>0</v>
      </c>
      <c r="AJ252">
        <v>0</v>
      </c>
      <c r="AK252">
        <v>0</v>
      </c>
      <c r="AL252">
        <v>0</v>
      </c>
      <c r="AM252">
        <v>0</v>
      </c>
      <c r="AN252">
        <v>18</v>
      </c>
      <c r="AV252" t="s">
        <v>1092</v>
      </c>
      <c r="AW252" t="s">
        <v>1092</v>
      </c>
      <c r="AX252">
        <v>0</v>
      </c>
      <c r="AY252">
        <v>0</v>
      </c>
      <c r="AZ252" t="s">
        <v>282</v>
      </c>
      <c r="BA252" t="s">
        <v>282</v>
      </c>
      <c r="BB252" t="s">
        <v>1197</v>
      </c>
      <c r="BC252">
        <v>1</v>
      </c>
    </row>
    <row r="253" spans="1:55" x14ac:dyDescent="0.25">
      <c r="A253" t="s">
        <v>99</v>
      </c>
      <c r="B253">
        <v>17</v>
      </c>
      <c r="C253" t="s">
        <v>1088</v>
      </c>
      <c r="D253" s="158">
        <v>45199</v>
      </c>
      <c r="E253">
        <v>91890</v>
      </c>
      <c r="F253">
        <v>10289038</v>
      </c>
      <c r="G253">
        <v>53259727</v>
      </c>
      <c r="H253" t="b">
        <v>0</v>
      </c>
      <c r="I253">
        <v>33</v>
      </c>
      <c r="J253" t="s">
        <v>1247</v>
      </c>
      <c r="K253">
        <v>18</v>
      </c>
      <c r="L253">
        <v>18</v>
      </c>
      <c r="M253">
        <v>1</v>
      </c>
      <c r="N253">
        <v>18</v>
      </c>
      <c r="O253">
        <v>0</v>
      </c>
      <c r="P253">
        <v>0</v>
      </c>
      <c r="Q253">
        <v>0</v>
      </c>
      <c r="R253">
        <v>0</v>
      </c>
      <c r="T253">
        <v>0</v>
      </c>
      <c r="U253">
        <v>0</v>
      </c>
      <c r="V253">
        <v>0</v>
      </c>
      <c r="W253">
        <v>0</v>
      </c>
      <c r="X253">
        <v>0</v>
      </c>
      <c r="Y253">
        <v>0</v>
      </c>
      <c r="Z253">
        <v>0</v>
      </c>
      <c r="AA253">
        <v>0</v>
      </c>
      <c r="AB253">
        <v>0</v>
      </c>
      <c r="AC253">
        <v>0</v>
      </c>
      <c r="AD253">
        <v>0</v>
      </c>
      <c r="AE253">
        <v>0</v>
      </c>
      <c r="AF253">
        <v>0</v>
      </c>
      <c r="AG253">
        <v>0</v>
      </c>
      <c r="AH253">
        <v>0</v>
      </c>
      <c r="AI253">
        <v>0</v>
      </c>
      <c r="AJ253">
        <v>0</v>
      </c>
      <c r="AK253">
        <v>0</v>
      </c>
      <c r="AL253">
        <v>0</v>
      </c>
      <c r="AM253">
        <v>0</v>
      </c>
      <c r="AN253">
        <v>18</v>
      </c>
      <c r="AV253" t="s">
        <v>1092</v>
      </c>
      <c r="AW253" t="s">
        <v>1092</v>
      </c>
      <c r="AX253">
        <v>0</v>
      </c>
      <c r="AY253">
        <v>0</v>
      </c>
      <c r="AZ253" t="s">
        <v>282</v>
      </c>
      <c r="BA253" t="s">
        <v>282</v>
      </c>
      <c r="BB253" t="s">
        <v>1191</v>
      </c>
      <c r="BC253">
        <v>2</v>
      </c>
    </row>
    <row r="254" spans="1:55" x14ac:dyDescent="0.25">
      <c r="A254" t="s">
        <v>99</v>
      </c>
      <c r="B254">
        <v>17</v>
      </c>
      <c r="C254" t="s">
        <v>1088</v>
      </c>
      <c r="D254" s="158">
        <v>45199</v>
      </c>
      <c r="E254">
        <v>617865</v>
      </c>
      <c r="F254">
        <v>10293954</v>
      </c>
      <c r="G254">
        <v>53305401</v>
      </c>
      <c r="H254" t="b">
        <v>0</v>
      </c>
      <c r="I254">
        <v>32</v>
      </c>
      <c r="J254" t="s">
        <v>1187</v>
      </c>
      <c r="K254">
        <v>216</v>
      </c>
      <c r="L254">
        <v>216</v>
      </c>
      <c r="M254">
        <v>1</v>
      </c>
      <c r="N254">
        <v>0</v>
      </c>
      <c r="O254">
        <v>216</v>
      </c>
      <c r="P254">
        <v>0</v>
      </c>
      <c r="Q254">
        <v>0</v>
      </c>
      <c r="R254">
        <v>0</v>
      </c>
      <c r="T254">
        <v>216</v>
      </c>
      <c r="U254">
        <v>0</v>
      </c>
      <c r="V254">
        <v>0</v>
      </c>
      <c r="W254">
        <v>0</v>
      </c>
      <c r="X254">
        <v>0</v>
      </c>
      <c r="Y254">
        <v>0</v>
      </c>
      <c r="Z254">
        <v>0</v>
      </c>
      <c r="AA254">
        <v>0</v>
      </c>
      <c r="AB254">
        <v>0</v>
      </c>
      <c r="AC254">
        <v>0</v>
      </c>
      <c r="AD254">
        <v>0</v>
      </c>
      <c r="AE254">
        <v>0</v>
      </c>
      <c r="AF254">
        <v>0</v>
      </c>
      <c r="AG254">
        <v>0</v>
      </c>
      <c r="AH254">
        <v>0</v>
      </c>
      <c r="AI254">
        <v>0</v>
      </c>
      <c r="AJ254">
        <v>0</v>
      </c>
      <c r="AK254">
        <v>0</v>
      </c>
      <c r="AL254">
        <v>0</v>
      </c>
      <c r="AM254">
        <v>0</v>
      </c>
      <c r="AN254">
        <v>216</v>
      </c>
      <c r="AP254" t="s">
        <v>1091</v>
      </c>
      <c r="AS254" t="s">
        <v>1188</v>
      </c>
      <c r="AV254" t="s">
        <v>1092</v>
      </c>
      <c r="AW254" t="s">
        <v>1092</v>
      </c>
      <c r="AX254">
        <v>0</v>
      </c>
      <c r="AY254">
        <v>0</v>
      </c>
      <c r="AZ254" t="s">
        <v>282</v>
      </c>
      <c r="BA254" t="s">
        <v>282</v>
      </c>
      <c r="BB254" t="s">
        <v>1191</v>
      </c>
      <c r="BC254">
        <v>2</v>
      </c>
    </row>
    <row r="255" spans="1:55" x14ac:dyDescent="0.25">
      <c r="A255" t="s">
        <v>99</v>
      </c>
      <c r="B255">
        <v>17</v>
      </c>
      <c r="C255" t="s">
        <v>1088</v>
      </c>
      <c r="D255" s="158">
        <v>45199</v>
      </c>
      <c r="E255">
        <v>90263</v>
      </c>
      <c r="F255">
        <v>5643401</v>
      </c>
      <c r="G255">
        <v>28173903</v>
      </c>
      <c r="H255" t="b">
        <v>0</v>
      </c>
      <c r="I255">
        <v>1201</v>
      </c>
      <c r="J255" t="s">
        <v>1248</v>
      </c>
      <c r="K255">
        <v>1.5</v>
      </c>
      <c r="L255">
        <v>1.5</v>
      </c>
      <c r="M255">
        <v>1</v>
      </c>
      <c r="N255">
        <v>1.5</v>
      </c>
      <c r="O255">
        <v>0</v>
      </c>
      <c r="P255">
        <v>0</v>
      </c>
      <c r="Q255">
        <v>3</v>
      </c>
      <c r="R255">
        <v>0</v>
      </c>
      <c r="T255">
        <v>0</v>
      </c>
      <c r="U255">
        <v>0</v>
      </c>
      <c r="V255">
        <v>0</v>
      </c>
      <c r="W255">
        <v>0</v>
      </c>
      <c r="X255">
        <v>0</v>
      </c>
      <c r="Y255">
        <v>0</v>
      </c>
      <c r="Z255">
        <v>0</v>
      </c>
      <c r="AA255">
        <v>0</v>
      </c>
      <c r="AB255">
        <v>0</v>
      </c>
      <c r="AC255">
        <v>0</v>
      </c>
      <c r="AD255">
        <v>0</v>
      </c>
      <c r="AE255">
        <v>0</v>
      </c>
      <c r="AF255">
        <v>0</v>
      </c>
      <c r="AG255">
        <v>0</v>
      </c>
      <c r="AH255">
        <v>0</v>
      </c>
      <c r="AI255">
        <v>0</v>
      </c>
      <c r="AJ255">
        <v>0</v>
      </c>
      <c r="AK255">
        <v>0</v>
      </c>
      <c r="AL255">
        <v>0</v>
      </c>
      <c r="AM255">
        <v>0</v>
      </c>
      <c r="AN255">
        <v>-1.5</v>
      </c>
      <c r="AV255" t="s">
        <v>1092</v>
      </c>
      <c r="AW255" t="s">
        <v>1092</v>
      </c>
      <c r="AX255">
        <v>0</v>
      </c>
      <c r="AY255">
        <v>0</v>
      </c>
      <c r="AZ255" t="s">
        <v>282</v>
      </c>
      <c r="BA255" t="s">
        <v>282</v>
      </c>
      <c r="BB255" t="s">
        <v>1200</v>
      </c>
      <c r="BC255">
        <v>8</v>
      </c>
    </row>
    <row r="256" spans="1:55" x14ac:dyDescent="0.25">
      <c r="A256" t="s">
        <v>99</v>
      </c>
      <c r="B256">
        <v>17</v>
      </c>
      <c r="C256" t="s">
        <v>1088</v>
      </c>
      <c r="D256" s="158">
        <v>45199</v>
      </c>
      <c r="E256">
        <v>374342</v>
      </c>
      <c r="F256">
        <v>5608579</v>
      </c>
      <c r="G256">
        <v>27967306</v>
      </c>
      <c r="H256" t="b">
        <v>0</v>
      </c>
      <c r="I256">
        <v>1221</v>
      </c>
      <c r="J256" t="s">
        <v>1184</v>
      </c>
      <c r="K256">
        <v>216</v>
      </c>
      <c r="L256">
        <v>216</v>
      </c>
      <c r="M256">
        <v>1</v>
      </c>
      <c r="N256">
        <v>216</v>
      </c>
      <c r="O256">
        <v>0</v>
      </c>
      <c r="P256">
        <v>0</v>
      </c>
      <c r="Q256">
        <v>432</v>
      </c>
      <c r="R256">
        <v>0</v>
      </c>
      <c r="T256">
        <v>0</v>
      </c>
      <c r="U256">
        <v>0</v>
      </c>
      <c r="V256">
        <v>0</v>
      </c>
      <c r="W256">
        <v>0</v>
      </c>
      <c r="X256">
        <v>0</v>
      </c>
      <c r="Y256">
        <v>0</v>
      </c>
      <c r="Z256">
        <v>0</v>
      </c>
      <c r="AA256">
        <v>0</v>
      </c>
      <c r="AB256">
        <v>0</v>
      </c>
      <c r="AC256">
        <v>0</v>
      </c>
      <c r="AD256">
        <v>0</v>
      </c>
      <c r="AE256">
        <v>0</v>
      </c>
      <c r="AF256">
        <v>0</v>
      </c>
      <c r="AG256">
        <v>0</v>
      </c>
      <c r="AH256">
        <v>0</v>
      </c>
      <c r="AI256">
        <v>0</v>
      </c>
      <c r="AJ256">
        <v>0</v>
      </c>
      <c r="AK256">
        <v>0</v>
      </c>
      <c r="AL256">
        <v>0</v>
      </c>
      <c r="AM256">
        <v>0</v>
      </c>
      <c r="AN256">
        <v>-216</v>
      </c>
      <c r="AV256" t="s">
        <v>1092</v>
      </c>
      <c r="AW256" t="s">
        <v>1092</v>
      </c>
      <c r="AX256">
        <v>0</v>
      </c>
      <c r="AY256">
        <v>0</v>
      </c>
      <c r="AZ256" t="s">
        <v>282</v>
      </c>
      <c r="BA256" t="s">
        <v>282</v>
      </c>
      <c r="BB256" t="s">
        <v>1200</v>
      </c>
      <c r="BC256">
        <v>8</v>
      </c>
    </row>
    <row r="257" spans="1:55" x14ac:dyDescent="0.25">
      <c r="A257" t="s">
        <v>99</v>
      </c>
      <c r="B257">
        <v>17</v>
      </c>
      <c r="C257" t="s">
        <v>1088</v>
      </c>
      <c r="D257" s="158">
        <v>45199</v>
      </c>
      <c r="E257">
        <v>374342</v>
      </c>
      <c r="F257">
        <v>5608579</v>
      </c>
      <c r="G257">
        <v>27967308</v>
      </c>
      <c r="H257" t="b">
        <v>0</v>
      </c>
      <c r="I257">
        <v>1221</v>
      </c>
      <c r="J257" t="s">
        <v>1247</v>
      </c>
      <c r="K257">
        <v>18</v>
      </c>
      <c r="L257">
        <v>18</v>
      </c>
      <c r="M257">
        <v>1</v>
      </c>
      <c r="N257">
        <v>18</v>
      </c>
      <c r="O257">
        <v>0</v>
      </c>
      <c r="P257">
        <v>0</v>
      </c>
      <c r="Q257">
        <v>0</v>
      </c>
      <c r="R257">
        <v>0</v>
      </c>
      <c r="T257">
        <v>0</v>
      </c>
      <c r="U257">
        <v>0</v>
      </c>
      <c r="V257">
        <v>0</v>
      </c>
      <c r="W257">
        <v>0</v>
      </c>
      <c r="X257">
        <v>0</v>
      </c>
      <c r="Y257">
        <v>0</v>
      </c>
      <c r="Z257">
        <v>0</v>
      </c>
      <c r="AA257">
        <v>0</v>
      </c>
      <c r="AB257">
        <v>0</v>
      </c>
      <c r="AC257">
        <v>0</v>
      </c>
      <c r="AD257">
        <v>0</v>
      </c>
      <c r="AE257">
        <v>0</v>
      </c>
      <c r="AF257">
        <v>0</v>
      </c>
      <c r="AG257">
        <v>0</v>
      </c>
      <c r="AH257">
        <v>0</v>
      </c>
      <c r="AI257">
        <v>0</v>
      </c>
      <c r="AJ257">
        <v>0</v>
      </c>
      <c r="AK257">
        <v>0</v>
      </c>
      <c r="AL257">
        <v>0</v>
      </c>
      <c r="AM257">
        <v>0</v>
      </c>
      <c r="AN257">
        <v>18</v>
      </c>
      <c r="AV257" t="s">
        <v>1092</v>
      </c>
      <c r="AW257" t="s">
        <v>1092</v>
      </c>
      <c r="AX257">
        <v>0</v>
      </c>
      <c r="AY257">
        <v>0</v>
      </c>
      <c r="AZ257" t="s">
        <v>282</v>
      </c>
      <c r="BA257" t="s">
        <v>282</v>
      </c>
      <c r="BB257" t="s">
        <v>1200</v>
      </c>
      <c r="BC257">
        <v>8</v>
      </c>
    </row>
    <row r="258" spans="1:55" x14ac:dyDescent="0.25">
      <c r="A258" t="s">
        <v>99</v>
      </c>
      <c r="B258">
        <v>17</v>
      </c>
      <c r="C258" t="s">
        <v>1088</v>
      </c>
      <c r="D258" s="158">
        <v>45199</v>
      </c>
      <c r="E258">
        <v>574021</v>
      </c>
      <c r="F258">
        <v>9459800</v>
      </c>
      <c r="G258">
        <v>48258546</v>
      </c>
      <c r="H258" t="b">
        <v>0</v>
      </c>
      <c r="I258">
        <v>192</v>
      </c>
      <c r="J258" t="s">
        <v>1247</v>
      </c>
      <c r="K258">
        <v>16.2</v>
      </c>
      <c r="L258">
        <v>16.2</v>
      </c>
      <c r="M258">
        <v>1</v>
      </c>
      <c r="N258">
        <v>16.2</v>
      </c>
      <c r="O258">
        <v>0</v>
      </c>
      <c r="P258">
        <v>0</v>
      </c>
      <c r="Q258">
        <v>1.2</v>
      </c>
      <c r="R258">
        <v>0</v>
      </c>
      <c r="T258">
        <v>0</v>
      </c>
      <c r="U258">
        <v>0</v>
      </c>
      <c r="V258">
        <v>0</v>
      </c>
      <c r="W258">
        <v>0</v>
      </c>
      <c r="X258">
        <v>0</v>
      </c>
      <c r="Y258">
        <v>0</v>
      </c>
      <c r="Z258">
        <v>0</v>
      </c>
      <c r="AA258">
        <v>0</v>
      </c>
      <c r="AB258">
        <v>0</v>
      </c>
      <c r="AC258">
        <v>0</v>
      </c>
      <c r="AD258">
        <v>0</v>
      </c>
      <c r="AE258">
        <v>0</v>
      </c>
      <c r="AF258">
        <v>0</v>
      </c>
      <c r="AG258">
        <v>0</v>
      </c>
      <c r="AH258">
        <v>0</v>
      </c>
      <c r="AI258">
        <v>0</v>
      </c>
      <c r="AJ258">
        <v>0</v>
      </c>
      <c r="AK258">
        <v>0</v>
      </c>
      <c r="AL258">
        <v>0</v>
      </c>
      <c r="AM258">
        <v>0</v>
      </c>
      <c r="AN258">
        <v>15</v>
      </c>
      <c r="AV258" t="s">
        <v>1092</v>
      </c>
      <c r="AW258" t="s">
        <v>1092</v>
      </c>
      <c r="AX258">
        <v>0</v>
      </c>
      <c r="AY258">
        <v>0</v>
      </c>
      <c r="AZ258" t="s">
        <v>282</v>
      </c>
      <c r="BA258" t="s">
        <v>282</v>
      </c>
      <c r="BB258" t="s">
        <v>1204</v>
      </c>
      <c r="BC258">
        <v>7</v>
      </c>
    </row>
    <row r="259" spans="1:55" x14ac:dyDescent="0.25">
      <c r="A259" t="s">
        <v>99</v>
      </c>
      <c r="B259">
        <v>17</v>
      </c>
      <c r="C259" t="s">
        <v>1088</v>
      </c>
      <c r="D259" s="158">
        <v>45199</v>
      </c>
      <c r="E259">
        <v>574021</v>
      </c>
      <c r="F259">
        <v>9459800</v>
      </c>
      <c r="G259">
        <v>48258544</v>
      </c>
      <c r="H259" t="b">
        <v>0</v>
      </c>
      <c r="I259">
        <v>192</v>
      </c>
      <c r="J259" t="s">
        <v>1187</v>
      </c>
      <c r="K259">
        <v>201</v>
      </c>
      <c r="L259">
        <v>201</v>
      </c>
      <c r="M259">
        <v>1</v>
      </c>
      <c r="N259">
        <v>201</v>
      </c>
      <c r="O259">
        <v>0</v>
      </c>
      <c r="P259">
        <v>0</v>
      </c>
      <c r="Q259">
        <v>216</v>
      </c>
      <c r="R259">
        <v>0</v>
      </c>
      <c r="T259">
        <v>0</v>
      </c>
      <c r="U259">
        <v>0</v>
      </c>
      <c r="V259">
        <v>0</v>
      </c>
      <c r="W259">
        <v>0</v>
      </c>
      <c r="X259">
        <v>0</v>
      </c>
      <c r="Y259">
        <v>0</v>
      </c>
      <c r="Z259">
        <v>0</v>
      </c>
      <c r="AA259">
        <v>0</v>
      </c>
      <c r="AB259">
        <v>0</v>
      </c>
      <c r="AC259">
        <v>0</v>
      </c>
      <c r="AD259">
        <v>0</v>
      </c>
      <c r="AE259">
        <v>0</v>
      </c>
      <c r="AF259">
        <v>0</v>
      </c>
      <c r="AG259">
        <v>0</v>
      </c>
      <c r="AH259">
        <v>0</v>
      </c>
      <c r="AI259">
        <v>0</v>
      </c>
      <c r="AJ259">
        <v>0</v>
      </c>
      <c r="AK259">
        <v>0</v>
      </c>
      <c r="AL259">
        <v>0</v>
      </c>
      <c r="AM259">
        <v>0</v>
      </c>
      <c r="AN259">
        <v>-15</v>
      </c>
      <c r="AV259" t="s">
        <v>1092</v>
      </c>
      <c r="AW259" t="s">
        <v>1092</v>
      </c>
      <c r="AX259">
        <v>0</v>
      </c>
      <c r="AY259">
        <v>0</v>
      </c>
      <c r="AZ259" t="s">
        <v>282</v>
      </c>
      <c r="BA259" t="s">
        <v>282</v>
      </c>
      <c r="BB259" t="s">
        <v>1204</v>
      </c>
      <c r="BC259">
        <v>7</v>
      </c>
    </row>
    <row r="260" spans="1:55" x14ac:dyDescent="0.25">
      <c r="A260" t="s">
        <v>99</v>
      </c>
      <c r="B260">
        <v>17</v>
      </c>
      <c r="C260" t="s">
        <v>1088</v>
      </c>
      <c r="D260" s="158">
        <v>45199</v>
      </c>
      <c r="E260">
        <v>254568</v>
      </c>
      <c r="F260">
        <v>9549994</v>
      </c>
      <c r="G260">
        <v>49560051</v>
      </c>
      <c r="H260" t="b">
        <v>0</v>
      </c>
      <c r="I260">
        <v>151</v>
      </c>
      <c r="J260" t="s">
        <v>1184</v>
      </c>
      <c r="K260">
        <v>186</v>
      </c>
      <c r="L260">
        <v>186</v>
      </c>
      <c r="M260">
        <v>1</v>
      </c>
      <c r="N260">
        <v>186</v>
      </c>
      <c r="O260">
        <v>0</v>
      </c>
      <c r="P260">
        <v>0</v>
      </c>
      <c r="Q260">
        <v>170.4</v>
      </c>
      <c r="R260">
        <v>0</v>
      </c>
      <c r="T260">
        <v>0</v>
      </c>
      <c r="U260">
        <v>0</v>
      </c>
      <c r="V260">
        <v>0</v>
      </c>
      <c r="W260">
        <v>0</v>
      </c>
      <c r="X260">
        <v>0</v>
      </c>
      <c r="Y260">
        <v>0</v>
      </c>
      <c r="Z260">
        <v>0</v>
      </c>
      <c r="AA260">
        <v>0</v>
      </c>
      <c r="AB260">
        <v>0</v>
      </c>
      <c r="AC260">
        <v>0</v>
      </c>
      <c r="AD260">
        <v>0</v>
      </c>
      <c r="AE260">
        <v>0</v>
      </c>
      <c r="AF260">
        <v>0</v>
      </c>
      <c r="AG260">
        <v>0</v>
      </c>
      <c r="AH260">
        <v>0</v>
      </c>
      <c r="AI260">
        <v>0</v>
      </c>
      <c r="AJ260">
        <v>0</v>
      </c>
      <c r="AK260">
        <v>0</v>
      </c>
      <c r="AL260">
        <v>0</v>
      </c>
      <c r="AM260">
        <v>0</v>
      </c>
      <c r="AN260">
        <v>15.6</v>
      </c>
      <c r="AV260" t="s">
        <v>1092</v>
      </c>
      <c r="AW260" t="s">
        <v>1092</v>
      </c>
      <c r="AX260">
        <v>0</v>
      </c>
      <c r="AY260">
        <v>0</v>
      </c>
      <c r="AZ260" t="s">
        <v>282</v>
      </c>
      <c r="BA260" t="s">
        <v>282</v>
      </c>
      <c r="BB260" t="s">
        <v>1206</v>
      </c>
      <c r="BC260">
        <v>6</v>
      </c>
    </row>
    <row r="261" spans="1:55" x14ac:dyDescent="0.25">
      <c r="A261" t="s">
        <v>99</v>
      </c>
      <c r="B261">
        <v>17</v>
      </c>
      <c r="C261" t="s">
        <v>1088</v>
      </c>
      <c r="D261" s="158">
        <v>45199</v>
      </c>
      <c r="E261">
        <v>254568</v>
      </c>
      <c r="F261">
        <v>9549994</v>
      </c>
      <c r="G261">
        <v>49560042</v>
      </c>
      <c r="H261" t="b">
        <v>0</v>
      </c>
      <c r="I261">
        <v>151</v>
      </c>
      <c r="J261" t="s">
        <v>1184</v>
      </c>
      <c r="K261">
        <v>186</v>
      </c>
      <c r="L261">
        <v>186</v>
      </c>
      <c r="M261">
        <v>1</v>
      </c>
      <c r="N261">
        <v>186</v>
      </c>
      <c r="O261">
        <v>0</v>
      </c>
      <c r="P261">
        <v>0</v>
      </c>
      <c r="Q261">
        <v>216</v>
      </c>
      <c r="R261">
        <v>0</v>
      </c>
      <c r="T261">
        <v>0</v>
      </c>
      <c r="U261">
        <v>0</v>
      </c>
      <c r="V261">
        <v>0</v>
      </c>
      <c r="W261">
        <v>0</v>
      </c>
      <c r="X261">
        <v>0</v>
      </c>
      <c r="Y261">
        <v>0</v>
      </c>
      <c r="Z261">
        <v>0</v>
      </c>
      <c r="AA261">
        <v>0</v>
      </c>
      <c r="AB261">
        <v>0</v>
      </c>
      <c r="AC261">
        <v>0</v>
      </c>
      <c r="AD261">
        <v>0</v>
      </c>
      <c r="AE261">
        <v>0</v>
      </c>
      <c r="AF261">
        <v>0</v>
      </c>
      <c r="AG261">
        <v>0</v>
      </c>
      <c r="AH261">
        <v>0</v>
      </c>
      <c r="AI261">
        <v>0</v>
      </c>
      <c r="AJ261">
        <v>0</v>
      </c>
      <c r="AK261">
        <v>0</v>
      </c>
      <c r="AL261">
        <v>0</v>
      </c>
      <c r="AM261">
        <v>0</v>
      </c>
      <c r="AN261">
        <v>-30</v>
      </c>
      <c r="AV261" t="s">
        <v>1092</v>
      </c>
      <c r="AW261" t="s">
        <v>1092</v>
      </c>
      <c r="AX261">
        <v>0</v>
      </c>
      <c r="AY261">
        <v>0</v>
      </c>
      <c r="AZ261" t="s">
        <v>282</v>
      </c>
      <c r="BA261" t="s">
        <v>282</v>
      </c>
      <c r="BB261" t="s">
        <v>1206</v>
      </c>
      <c r="BC261">
        <v>6</v>
      </c>
    </row>
    <row r="262" spans="1:55" x14ac:dyDescent="0.25">
      <c r="A262" t="s">
        <v>99</v>
      </c>
      <c r="B262">
        <v>17</v>
      </c>
      <c r="C262" t="s">
        <v>1088</v>
      </c>
      <c r="D262" s="158">
        <v>45199</v>
      </c>
      <c r="E262">
        <v>254568</v>
      </c>
      <c r="F262">
        <v>9549994</v>
      </c>
      <c r="G262">
        <v>49560052</v>
      </c>
      <c r="H262" t="b">
        <v>0</v>
      </c>
      <c r="I262">
        <v>151</v>
      </c>
      <c r="J262" t="s">
        <v>1247</v>
      </c>
      <c r="K262">
        <v>14.4</v>
      </c>
      <c r="L262">
        <v>14.4</v>
      </c>
      <c r="M262">
        <v>1</v>
      </c>
      <c r="N262">
        <v>14.4</v>
      </c>
      <c r="O262">
        <v>0</v>
      </c>
      <c r="P262">
        <v>0</v>
      </c>
      <c r="Q262">
        <v>0</v>
      </c>
      <c r="R262">
        <v>0</v>
      </c>
      <c r="T262">
        <v>0</v>
      </c>
      <c r="U262">
        <v>0</v>
      </c>
      <c r="V262">
        <v>0</v>
      </c>
      <c r="W262">
        <v>0</v>
      </c>
      <c r="X262">
        <v>0</v>
      </c>
      <c r="Y262">
        <v>0</v>
      </c>
      <c r="Z262">
        <v>0</v>
      </c>
      <c r="AA262">
        <v>0</v>
      </c>
      <c r="AB262">
        <v>0</v>
      </c>
      <c r="AC262">
        <v>0</v>
      </c>
      <c r="AD262">
        <v>0</v>
      </c>
      <c r="AE262">
        <v>0</v>
      </c>
      <c r="AF262">
        <v>0</v>
      </c>
      <c r="AG262">
        <v>0</v>
      </c>
      <c r="AH262">
        <v>0</v>
      </c>
      <c r="AI262">
        <v>0</v>
      </c>
      <c r="AJ262">
        <v>0</v>
      </c>
      <c r="AK262">
        <v>0</v>
      </c>
      <c r="AL262">
        <v>0</v>
      </c>
      <c r="AM262">
        <v>0</v>
      </c>
      <c r="AN262">
        <v>14.4</v>
      </c>
      <c r="AV262" t="s">
        <v>1092</v>
      </c>
      <c r="AW262" t="s">
        <v>1092</v>
      </c>
      <c r="AX262">
        <v>0</v>
      </c>
      <c r="AY262">
        <v>0</v>
      </c>
      <c r="AZ262" t="s">
        <v>282</v>
      </c>
      <c r="BA262" t="s">
        <v>282</v>
      </c>
      <c r="BB262" t="s">
        <v>1206</v>
      </c>
      <c r="BC262">
        <v>6</v>
      </c>
    </row>
    <row r="263" spans="1:55" x14ac:dyDescent="0.25">
      <c r="A263" t="s">
        <v>99</v>
      </c>
      <c r="B263">
        <v>17</v>
      </c>
      <c r="C263" t="s">
        <v>1088</v>
      </c>
      <c r="D263" s="158">
        <v>45199</v>
      </c>
      <c r="E263">
        <v>614708</v>
      </c>
      <c r="F263">
        <v>10232768</v>
      </c>
      <c r="G263">
        <v>53137657</v>
      </c>
      <c r="H263" t="b">
        <v>0</v>
      </c>
      <c r="I263">
        <v>37</v>
      </c>
      <c r="J263" t="s">
        <v>1184</v>
      </c>
      <c r="K263">
        <v>216</v>
      </c>
      <c r="L263">
        <v>216</v>
      </c>
      <c r="M263">
        <v>1</v>
      </c>
      <c r="N263">
        <v>216</v>
      </c>
      <c r="O263">
        <v>0</v>
      </c>
      <c r="P263">
        <v>0</v>
      </c>
      <c r="Q263">
        <v>0</v>
      </c>
      <c r="R263">
        <v>0</v>
      </c>
      <c r="T263">
        <v>0</v>
      </c>
      <c r="U263">
        <v>0</v>
      </c>
      <c r="V263">
        <v>0</v>
      </c>
      <c r="W263">
        <v>0</v>
      </c>
      <c r="X263">
        <v>0</v>
      </c>
      <c r="Y263">
        <v>0</v>
      </c>
      <c r="Z263">
        <v>0</v>
      </c>
      <c r="AA263">
        <v>0</v>
      </c>
      <c r="AB263">
        <v>0</v>
      </c>
      <c r="AC263">
        <v>0</v>
      </c>
      <c r="AD263">
        <v>0</v>
      </c>
      <c r="AE263">
        <v>0</v>
      </c>
      <c r="AF263">
        <v>0</v>
      </c>
      <c r="AG263">
        <v>0</v>
      </c>
      <c r="AH263">
        <v>0</v>
      </c>
      <c r="AI263">
        <v>0</v>
      </c>
      <c r="AJ263">
        <v>0</v>
      </c>
      <c r="AK263">
        <v>0</v>
      </c>
      <c r="AL263">
        <v>0</v>
      </c>
      <c r="AM263">
        <v>0</v>
      </c>
      <c r="AN263">
        <v>216</v>
      </c>
      <c r="AV263" t="s">
        <v>1092</v>
      </c>
      <c r="AW263" t="s">
        <v>1092</v>
      </c>
      <c r="AX263">
        <v>0</v>
      </c>
      <c r="AY263">
        <v>0</v>
      </c>
      <c r="AZ263" t="s">
        <v>282</v>
      </c>
      <c r="BA263" t="s">
        <v>282</v>
      </c>
      <c r="BB263" t="s">
        <v>1191</v>
      </c>
      <c r="BC263">
        <v>2</v>
      </c>
    </row>
    <row r="264" spans="1:55" x14ac:dyDescent="0.25">
      <c r="A264" t="s">
        <v>99</v>
      </c>
      <c r="B264">
        <v>17</v>
      </c>
      <c r="C264" t="s">
        <v>1088</v>
      </c>
      <c r="D264" s="158">
        <v>45199</v>
      </c>
      <c r="E264">
        <v>618069</v>
      </c>
      <c r="F264">
        <v>10297269</v>
      </c>
      <c r="G264">
        <v>53386005</v>
      </c>
      <c r="H264" t="b">
        <v>0</v>
      </c>
      <c r="I264">
        <v>30</v>
      </c>
      <c r="J264" t="s">
        <v>1187</v>
      </c>
      <c r="K264">
        <v>216</v>
      </c>
      <c r="L264">
        <v>216</v>
      </c>
      <c r="M264">
        <v>1</v>
      </c>
      <c r="N264">
        <v>216</v>
      </c>
      <c r="O264">
        <v>0</v>
      </c>
      <c r="P264">
        <v>0</v>
      </c>
      <c r="Q264">
        <v>9</v>
      </c>
      <c r="R264">
        <v>0</v>
      </c>
      <c r="T264">
        <v>0</v>
      </c>
      <c r="U264">
        <v>0</v>
      </c>
      <c r="V264">
        <v>0</v>
      </c>
      <c r="W264">
        <v>0</v>
      </c>
      <c r="X264">
        <v>0</v>
      </c>
      <c r="Y264">
        <v>0</v>
      </c>
      <c r="Z264">
        <v>0</v>
      </c>
      <c r="AA264">
        <v>0</v>
      </c>
      <c r="AB264">
        <v>0</v>
      </c>
      <c r="AC264">
        <v>0</v>
      </c>
      <c r="AD264">
        <v>0</v>
      </c>
      <c r="AE264">
        <v>0</v>
      </c>
      <c r="AF264">
        <v>0</v>
      </c>
      <c r="AG264">
        <v>0</v>
      </c>
      <c r="AH264">
        <v>0</v>
      </c>
      <c r="AI264">
        <v>0</v>
      </c>
      <c r="AJ264">
        <v>0</v>
      </c>
      <c r="AK264">
        <v>0</v>
      </c>
      <c r="AL264">
        <v>0</v>
      </c>
      <c r="AM264">
        <v>0</v>
      </c>
      <c r="AN264">
        <v>207</v>
      </c>
      <c r="AV264" t="s">
        <v>1092</v>
      </c>
      <c r="AW264" t="s">
        <v>1092</v>
      </c>
      <c r="AX264">
        <v>0</v>
      </c>
      <c r="AY264">
        <v>0</v>
      </c>
      <c r="AZ264" t="s">
        <v>282</v>
      </c>
      <c r="BA264" t="s">
        <v>282</v>
      </c>
      <c r="BB264" t="s">
        <v>1197</v>
      </c>
      <c r="BC264">
        <v>1</v>
      </c>
    </row>
    <row r="265" spans="1:55" x14ac:dyDescent="0.25">
      <c r="A265" t="s">
        <v>99</v>
      </c>
      <c r="B265">
        <v>17</v>
      </c>
      <c r="C265" t="s">
        <v>1088</v>
      </c>
      <c r="D265" s="158">
        <v>45199</v>
      </c>
      <c r="E265">
        <v>618069</v>
      </c>
      <c r="F265">
        <v>10297269</v>
      </c>
      <c r="G265">
        <v>53386014</v>
      </c>
      <c r="H265" t="b">
        <v>0</v>
      </c>
      <c r="I265">
        <v>30</v>
      </c>
      <c r="J265" t="s">
        <v>1247</v>
      </c>
      <c r="K265">
        <v>18</v>
      </c>
      <c r="L265">
        <v>18</v>
      </c>
      <c r="M265">
        <v>1</v>
      </c>
      <c r="N265">
        <v>18</v>
      </c>
      <c r="O265">
        <v>0</v>
      </c>
      <c r="P265">
        <v>0</v>
      </c>
      <c r="Q265">
        <v>0</v>
      </c>
      <c r="R265">
        <v>0</v>
      </c>
      <c r="T265">
        <v>0</v>
      </c>
      <c r="U265">
        <v>0</v>
      </c>
      <c r="V265">
        <v>0</v>
      </c>
      <c r="W265">
        <v>0</v>
      </c>
      <c r="X265">
        <v>0</v>
      </c>
      <c r="Y265">
        <v>0</v>
      </c>
      <c r="Z265">
        <v>0</v>
      </c>
      <c r="AA265">
        <v>0</v>
      </c>
      <c r="AB265">
        <v>0</v>
      </c>
      <c r="AC265">
        <v>0</v>
      </c>
      <c r="AD265">
        <v>0</v>
      </c>
      <c r="AE265">
        <v>0</v>
      </c>
      <c r="AF265">
        <v>0</v>
      </c>
      <c r="AG265">
        <v>0</v>
      </c>
      <c r="AH265">
        <v>0</v>
      </c>
      <c r="AI265">
        <v>0</v>
      </c>
      <c r="AJ265">
        <v>0</v>
      </c>
      <c r="AK265">
        <v>0</v>
      </c>
      <c r="AL265">
        <v>0</v>
      </c>
      <c r="AM265">
        <v>0</v>
      </c>
      <c r="AN265">
        <v>18</v>
      </c>
      <c r="AV265" t="s">
        <v>1092</v>
      </c>
      <c r="AW265" t="s">
        <v>1092</v>
      </c>
      <c r="AX265">
        <v>0</v>
      </c>
      <c r="AY265">
        <v>0</v>
      </c>
      <c r="AZ265" t="s">
        <v>282</v>
      </c>
      <c r="BA265" t="s">
        <v>282</v>
      </c>
      <c r="BB265" t="s">
        <v>1197</v>
      </c>
      <c r="BC265">
        <v>1</v>
      </c>
    </row>
    <row r="266" spans="1:55" x14ac:dyDescent="0.25">
      <c r="A266" t="s">
        <v>99</v>
      </c>
      <c r="B266">
        <v>17</v>
      </c>
      <c r="C266" t="s">
        <v>1088</v>
      </c>
      <c r="D266" s="158">
        <v>45199</v>
      </c>
      <c r="E266">
        <v>577973</v>
      </c>
      <c r="F266">
        <v>9540066</v>
      </c>
      <c r="G266">
        <v>48716395</v>
      </c>
      <c r="H266" t="b">
        <v>0</v>
      </c>
      <c r="I266">
        <v>177</v>
      </c>
      <c r="J266" t="s">
        <v>1184</v>
      </c>
      <c r="K266">
        <v>216</v>
      </c>
      <c r="L266">
        <v>216</v>
      </c>
      <c r="M266">
        <v>1</v>
      </c>
      <c r="N266">
        <v>0</v>
      </c>
      <c r="O266">
        <v>204.78</v>
      </c>
      <c r="P266">
        <v>0</v>
      </c>
      <c r="Q266">
        <v>0</v>
      </c>
      <c r="R266">
        <v>0</v>
      </c>
      <c r="T266">
        <v>216</v>
      </c>
      <c r="U266">
        <v>0</v>
      </c>
      <c r="V266">
        <v>0</v>
      </c>
      <c r="W266">
        <v>0</v>
      </c>
      <c r="X266">
        <v>11.22</v>
      </c>
      <c r="Y266">
        <v>0</v>
      </c>
      <c r="Z266">
        <v>0</v>
      </c>
      <c r="AA266">
        <v>0</v>
      </c>
      <c r="AB266">
        <v>0</v>
      </c>
      <c r="AC266">
        <v>0</v>
      </c>
      <c r="AD266">
        <v>0</v>
      </c>
      <c r="AE266">
        <v>0</v>
      </c>
      <c r="AF266">
        <v>0</v>
      </c>
      <c r="AG266">
        <v>0</v>
      </c>
      <c r="AH266">
        <v>0</v>
      </c>
      <c r="AI266">
        <v>0</v>
      </c>
      <c r="AJ266">
        <v>0</v>
      </c>
      <c r="AK266">
        <v>0</v>
      </c>
      <c r="AL266">
        <v>0</v>
      </c>
      <c r="AM266">
        <v>0</v>
      </c>
      <c r="AN266">
        <v>204.78</v>
      </c>
      <c r="AP266" t="s">
        <v>1091</v>
      </c>
      <c r="AS266" t="s">
        <v>1185</v>
      </c>
      <c r="AV266" t="s">
        <v>1092</v>
      </c>
      <c r="AW266" t="s">
        <v>1092</v>
      </c>
      <c r="AX266">
        <v>0</v>
      </c>
      <c r="AY266">
        <v>0</v>
      </c>
      <c r="AZ266" t="s">
        <v>282</v>
      </c>
      <c r="BA266" t="s">
        <v>282</v>
      </c>
      <c r="BB266" t="s">
        <v>1206</v>
      </c>
      <c r="BC266">
        <v>6</v>
      </c>
    </row>
    <row r="267" spans="1:55" x14ac:dyDescent="0.25">
      <c r="A267" t="s">
        <v>99</v>
      </c>
      <c r="B267">
        <v>17</v>
      </c>
      <c r="C267" t="s">
        <v>1088</v>
      </c>
      <c r="D267" s="158">
        <v>45199</v>
      </c>
      <c r="E267">
        <v>577973</v>
      </c>
      <c r="F267">
        <v>9540066</v>
      </c>
      <c r="G267">
        <v>48716404</v>
      </c>
      <c r="H267" t="b">
        <v>0</v>
      </c>
      <c r="I267">
        <v>177</v>
      </c>
      <c r="J267" t="s">
        <v>1184</v>
      </c>
      <c r="K267">
        <v>216</v>
      </c>
      <c r="L267">
        <v>216</v>
      </c>
      <c r="M267">
        <v>1</v>
      </c>
      <c r="N267">
        <v>0</v>
      </c>
      <c r="O267">
        <v>105.6</v>
      </c>
      <c r="P267">
        <v>0</v>
      </c>
      <c r="Q267">
        <v>0</v>
      </c>
      <c r="R267">
        <v>0</v>
      </c>
      <c r="T267">
        <v>216</v>
      </c>
      <c r="U267">
        <v>0</v>
      </c>
      <c r="V267">
        <v>1</v>
      </c>
      <c r="W267">
        <v>99.18</v>
      </c>
      <c r="X267">
        <v>11.22</v>
      </c>
      <c r="Y267">
        <v>0</v>
      </c>
      <c r="Z267">
        <v>0</v>
      </c>
      <c r="AA267">
        <v>0</v>
      </c>
      <c r="AB267">
        <v>0</v>
      </c>
      <c r="AC267">
        <v>0</v>
      </c>
      <c r="AD267">
        <v>0</v>
      </c>
      <c r="AE267">
        <v>0</v>
      </c>
      <c r="AF267">
        <v>0</v>
      </c>
      <c r="AG267">
        <v>0</v>
      </c>
      <c r="AH267">
        <v>0</v>
      </c>
      <c r="AI267">
        <v>0</v>
      </c>
      <c r="AJ267">
        <v>0</v>
      </c>
      <c r="AK267">
        <v>0</v>
      </c>
      <c r="AL267">
        <v>0</v>
      </c>
      <c r="AM267">
        <v>0</v>
      </c>
      <c r="AN267">
        <v>105.6</v>
      </c>
      <c r="AP267" t="s">
        <v>1091</v>
      </c>
      <c r="AS267" t="s">
        <v>1185</v>
      </c>
      <c r="AV267" t="s">
        <v>1092</v>
      </c>
      <c r="AW267" t="s">
        <v>1092</v>
      </c>
      <c r="AX267">
        <v>0</v>
      </c>
      <c r="AY267">
        <v>0</v>
      </c>
      <c r="AZ267" t="s">
        <v>282</v>
      </c>
      <c r="BA267" t="s">
        <v>282</v>
      </c>
      <c r="BB267" t="s">
        <v>1206</v>
      </c>
      <c r="BC267">
        <v>6</v>
      </c>
    </row>
    <row r="268" spans="1:55" x14ac:dyDescent="0.25">
      <c r="A268" t="s">
        <v>99</v>
      </c>
      <c r="B268">
        <v>17</v>
      </c>
      <c r="C268" t="s">
        <v>1088</v>
      </c>
      <c r="D268" s="158">
        <v>45199</v>
      </c>
      <c r="E268">
        <v>585635</v>
      </c>
      <c r="F268">
        <v>9700531</v>
      </c>
      <c r="G268">
        <v>49941502</v>
      </c>
      <c r="H268" t="b">
        <v>0</v>
      </c>
      <c r="I268">
        <v>138</v>
      </c>
      <c r="J268" t="s">
        <v>1187</v>
      </c>
      <c r="K268">
        <v>216</v>
      </c>
      <c r="L268">
        <v>216</v>
      </c>
      <c r="M268">
        <v>1</v>
      </c>
      <c r="N268">
        <v>0</v>
      </c>
      <c r="O268">
        <v>165.43</v>
      </c>
      <c r="P268">
        <v>0</v>
      </c>
      <c r="Q268">
        <v>0</v>
      </c>
      <c r="R268">
        <v>0</v>
      </c>
      <c r="T268">
        <v>216</v>
      </c>
      <c r="U268">
        <v>0</v>
      </c>
      <c r="V268">
        <v>0</v>
      </c>
      <c r="W268">
        <v>0</v>
      </c>
      <c r="X268">
        <v>50.57</v>
      </c>
      <c r="Y268">
        <v>0</v>
      </c>
      <c r="Z268">
        <v>0</v>
      </c>
      <c r="AA268">
        <v>0</v>
      </c>
      <c r="AB268">
        <v>0</v>
      </c>
      <c r="AC268">
        <v>0</v>
      </c>
      <c r="AD268">
        <v>0</v>
      </c>
      <c r="AE268">
        <v>0</v>
      </c>
      <c r="AF268">
        <v>0</v>
      </c>
      <c r="AG268">
        <v>0</v>
      </c>
      <c r="AH268">
        <v>0</v>
      </c>
      <c r="AI268">
        <v>0</v>
      </c>
      <c r="AJ268">
        <v>0</v>
      </c>
      <c r="AK268">
        <v>0</v>
      </c>
      <c r="AL268">
        <v>0</v>
      </c>
      <c r="AM268">
        <v>0</v>
      </c>
      <c r="AN268">
        <v>165.43</v>
      </c>
      <c r="AP268" t="s">
        <v>1091</v>
      </c>
      <c r="AS268" t="s">
        <v>1185</v>
      </c>
      <c r="AV268" t="s">
        <v>1092</v>
      </c>
      <c r="AW268" t="s">
        <v>1092</v>
      </c>
      <c r="AX268">
        <v>0</v>
      </c>
      <c r="AY268">
        <v>0</v>
      </c>
      <c r="AZ268" t="s">
        <v>282</v>
      </c>
      <c r="BA268" t="s">
        <v>282</v>
      </c>
      <c r="BB268" t="s">
        <v>1205</v>
      </c>
      <c r="BC268">
        <v>5</v>
      </c>
    </row>
    <row r="269" spans="1:55" x14ac:dyDescent="0.25">
      <c r="A269" t="s">
        <v>99</v>
      </c>
      <c r="B269">
        <v>17</v>
      </c>
      <c r="C269" t="s">
        <v>1088</v>
      </c>
      <c r="D269" s="158">
        <v>45199</v>
      </c>
      <c r="E269">
        <v>449074</v>
      </c>
      <c r="F269">
        <v>9985326</v>
      </c>
      <c r="G269">
        <v>51726545</v>
      </c>
      <c r="H269" t="b">
        <v>0</v>
      </c>
      <c r="I269">
        <v>82</v>
      </c>
      <c r="J269" t="s">
        <v>1247</v>
      </c>
      <c r="K269">
        <v>18</v>
      </c>
      <c r="L269">
        <v>18</v>
      </c>
      <c r="M269">
        <v>1</v>
      </c>
      <c r="N269">
        <v>18</v>
      </c>
      <c r="O269">
        <v>0</v>
      </c>
      <c r="P269">
        <v>0</v>
      </c>
      <c r="Q269">
        <v>0</v>
      </c>
      <c r="R269">
        <v>0</v>
      </c>
      <c r="T269">
        <v>0</v>
      </c>
      <c r="U269">
        <v>0</v>
      </c>
      <c r="V269">
        <v>0</v>
      </c>
      <c r="W269">
        <v>0</v>
      </c>
      <c r="X269">
        <v>0</v>
      </c>
      <c r="Y269">
        <v>0</v>
      </c>
      <c r="Z269">
        <v>0</v>
      </c>
      <c r="AA269">
        <v>0</v>
      </c>
      <c r="AB269">
        <v>0</v>
      </c>
      <c r="AC269">
        <v>0</v>
      </c>
      <c r="AD269">
        <v>0</v>
      </c>
      <c r="AE269">
        <v>0</v>
      </c>
      <c r="AF269">
        <v>0</v>
      </c>
      <c r="AG269">
        <v>0</v>
      </c>
      <c r="AH269">
        <v>0</v>
      </c>
      <c r="AI269">
        <v>0</v>
      </c>
      <c r="AJ269">
        <v>0</v>
      </c>
      <c r="AK269">
        <v>0</v>
      </c>
      <c r="AL269">
        <v>0</v>
      </c>
      <c r="AM269">
        <v>0</v>
      </c>
      <c r="AN269">
        <v>18</v>
      </c>
      <c r="AV269" t="s">
        <v>1092</v>
      </c>
      <c r="AW269" t="s">
        <v>1092</v>
      </c>
      <c r="AX269">
        <v>0</v>
      </c>
      <c r="AY269">
        <v>0</v>
      </c>
      <c r="AZ269" t="s">
        <v>282</v>
      </c>
      <c r="BA269" t="s">
        <v>282</v>
      </c>
      <c r="BB269" t="s">
        <v>1186</v>
      </c>
      <c r="BC269">
        <v>3</v>
      </c>
    </row>
    <row r="270" spans="1:55" x14ac:dyDescent="0.25">
      <c r="A270" t="s">
        <v>99</v>
      </c>
      <c r="B270">
        <v>17</v>
      </c>
      <c r="C270" t="s">
        <v>1088</v>
      </c>
      <c r="D270" s="158">
        <v>45199</v>
      </c>
      <c r="E270">
        <v>411885</v>
      </c>
      <c r="F270">
        <v>6299067</v>
      </c>
      <c r="G270">
        <v>31555368</v>
      </c>
      <c r="H270" t="b">
        <v>0</v>
      </c>
      <c r="I270">
        <v>975</v>
      </c>
      <c r="J270" t="s">
        <v>1184</v>
      </c>
      <c r="K270">
        <v>216</v>
      </c>
      <c r="L270">
        <v>216</v>
      </c>
      <c r="M270">
        <v>1</v>
      </c>
      <c r="N270">
        <v>0</v>
      </c>
      <c r="O270">
        <v>216</v>
      </c>
      <c r="P270">
        <v>0</v>
      </c>
      <c r="Q270">
        <v>0</v>
      </c>
      <c r="R270">
        <v>0</v>
      </c>
      <c r="T270">
        <v>216</v>
      </c>
      <c r="U270">
        <v>0</v>
      </c>
      <c r="V270">
        <v>3</v>
      </c>
      <c r="W270">
        <v>159.33000000000001</v>
      </c>
      <c r="X270">
        <v>0</v>
      </c>
      <c r="Y270">
        <v>0</v>
      </c>
      <c r="Z270">
        <v>0</v>
      </c>
      <c r="AA270">
        <v>0</v>
      </c>
      <c r="AB270">
        <v>0</v>
      </c>
      <c r="AC270">
        <v>0</v>
      </c>
      <c r="AD270">
        <v>0</v>
      </c>
      <c r="AE270">
        <v>0</v>
      </c>
      <c r="AF270">
        <v>0</v>
      </c>
      <c r="AG270">
        <v>0</v>
      </c>
      <c r="AH270">
        <v>0</v>
      </c>
      <c r="AI270">
        <v>0</v>
      </c>
      <c r="AJ270">
        <v>0</v>
      </c>
      <c r="AK270">
        <v>-159.33000000000001</v>
      </c>
      <c r="AL270">
        <v>1</v>
      </c>
      <c r="AM270">
        <v>0</v>
      </c>
      <c r="AN270">
        <v>216</v>
      </c>
      <c r="AP270" t="s">
        <v>1032</v>
      </c>
      <c r="AS270" t="s">
        <v>1226</v>
      </c>
      <c r="AV270" t="s">
        <v>1092</v>
      </c>
      <c r="AW270" t="s">
        <v>1092</v>
      </c>
      <c r="AX270">
        <v>0</v>
      </c>
      <c r="AY270">
        <v>0</v>
      </c>
      <c r="AZ270" t="s">
        <v>282</v>
      </c>
      <c r="BA270" t="s">
        <v>282</v>
      </c>
      <c r="BB270" t="s">
        <v>1200</v>
      </c>
      <c r="BC270">
        <v>8</v>
      </c>
    </row>
    <row r="271" spans="1:55" x14ac:dyDescent="0.25">
      <c r="A271" t="s">
        <v>102</v>
      </c>
      <c r="B271">
        <v>17</v>
      </c>
      <c r="C271" t="s">
        <v>1088</v>
      </c>
      <c r="D271" s="158">
        <v>45199</v>
      </c>
      <c r="E271">
        <v>159356</v>
      </c>
      <c r="H271" t="b">
        <v>0</v>
      </c>
      <c r="I271">
        <v>1</v>
      </c>
      <c r="J271" t="s">
        <v>1212</v>
      </c>
      <c r="AN271">
        <v>-20.5</v>
      </c>
      <c r="AV271" t="s">
        <v>1092</v>
      </c>
      <c r="AW271" t="s">
        <v>1092</v>
      </c>
      <c r="BA271" t="s">
        <v>282</v>
      </c>
      <c r="BB271" t="s">
        <v>1197</v>
      </c>
      <c r="BC271">
        <v>1</v>
      </c>
    </row>
    <row r="272" spans="1:55" x14ac:dyDescent="0.25">
      <c r="A272" t="s">
        <v>99</v>
      </c>
      <c r="B272">
        <v>17</v>
      </c>
      <c r="C272" t="s">
        <v>1088</v>
      </c>
      <c r="D272" s="158">
        <v>45199</v>
      </c>
      <c r="E272">
        <v>612057</v>
      </c>
      <c r="F272">
        <v>10175203</v>
      </c>
      <c r="G272">
        <v>52612035</v>
      </c>
      <c r="H272" t="b">
        <v>0</v>
      </c>
      <c r="I272">
        <v>53</v>
      </c>
      <c r="J272" t="s">
        <v>1187</v>
      </c>
      <c r="K272">
        <v>216</v>
      </c>
      <c r="L272">
        <v>216</v>
      </c>
      <c r="M272">
        <v>1</v>
      </c>
      <c r="N272">
        <v>0</v>
      </c>
      <c r="O272">
        <v>16.54</v>
      </c>
      <c r="P272">
        <v>0</v>
      </c>
      <c r="Q272">
        <v>0</v>
      </c>
      <c r="R272">
        <v>0</v>
      </c>
      <c r="T272">
        <v>216</v>
      </c>
      <c r="U272">
        <v>0</v>
      </c>
      <c r="V272">
        <v>1</v>
      </c>
      <c r="W272">
        <v>148.88999999999999</v>
      </c>
      <c r="X272">
        <v>50.57</v>
      </c>
      <c r="Y272">
        <v>0</v>
      </c>
      <c r="Z272">
        <v>0</v>
      </c>
      <c r="AA272">
        <v>0</v>
      </c>
      <c r="AB272">
        <v>0</v>
      </c>
      <c r="AC272">
        <v>0</v>
      </c>
      <c r="AD272">
        <v>0</v>
      </c>
      <c r="AE272">
        <v>0</v>
      </c>
      <c r="AF272">
        <v>0</v>
      </c>
      <c r="AG272">
        <v>0</v>
      </c>
      <c r="AH272">
        <v>0</v>
      </c>
      <c r="AI272">
        <v>0</v>
      </c>
      <c r="AJ272">
        <v>0</v>
      </c>
      <c r="AK272">
        <v>0</v>
      </c>
      <c r="AL272">
        <v>0</v>
      </c>
      <c r="AM272">
        <v>0</v>
      </c>
      <c r="AN272">
        <v>16.54</v>
      </c>
      <c r="AP272" t="s">
        <v>1091</v>
      </c>
      <c r="AS272" t="s">
        <v>1185</v>
      </c>
      <c r="AV272" t="s">
        <v>1092</v>
      </c>
      <c r="AW272" t="s">
        <v>1092</v>
      </c>
      <c r="AX272">
        <v>0</v>
      </c>
      <c r="AY272">
        <v>0</v>
      </c>
      <c r="AZ272" t="s">
        <v>282</v>
      </c>
      <c r="BA272" t="s">
        <v>282</v>
      </c>
      <c r="BB272" t="s">
        <v>1191</v>
      </c>
      <c r="BC272">
        <v>2</v>
      </c>
    </row>
    <row r="273" spans="1:55" x14ac:dyDescent="0.25">
      <c r="A273" t="s">
        <v>102</v>
      </c>
      <c r="B273">
        <v>17</v>
      </c>
      <c r="C273" t="s">
        <v>1088</v>
      </c>
      <c r="D273" s="158">
        <v>45199</v>
      </c>
      <c r="E273">
        <v>521124</v>
      </c>
      <c r="H273" t="b">
        <v>0</v>
      </c>
      <c r="I273">
        <v>1</v>
      </c>
      <c r="J273" t="s">
        <v>1212</v>
      </c>
      <c r="AN273">
        <v>-84</v>
      </c>
      <c r="AV273" t="s">
        <v>1092</v>
      </c>
      <c r="AW273" t="s">
        <v>1092</v>
      </c>
      <c r="BA273" t="s">
        <v>282</v>
      </c>
      <c r="BB273" t="s">
        <v>1197</v>
      </c>
      <c r="BC273">
        <v>1</v>
      </c>
    </row>
    <row r="274" spans="1:55" x14ac:dyDescent="0.25">
      <c r="A274" t="s">
        <v>102</v>
      </c>
      <c r="B274">
        <v>17</v>
      </c>
      <c r="C274" t="s">
        <v>1088</v>
      </c>
      <c r="D274" s="158">
        <v>45199</v>
      </c>
      <c r="E274">
        <v>287010</v>
      </c>
      <c r="H274" t="b">
        <v>0</v>
      </c>
      <c r="I274">
        <v>1</v>
      </c>
      <c r="J274" t="s">
        <v>1212</v>
      </c>
      <c r="AN274">
        <v>-5.68</v>
      </c>
      <c r="AV274" t="s">
        <v>1092</v>
      </c>
      <c r="AW274" t="s">
        <v>1092</v>
      </c>
      <c r="BA274" t="s">
        <v>282</v>
      </c>
      <c r="BB274" t="s">
        <v>1197</v>
      </c>
      <c r="BC274">
        <v>1</v>
      </c>
    </row>
    <row r="275" spans="1:55" x14ac:dyDescent="0.25">
      <c r="A275" t="s">
        <v>102</v>
      </c>
      <c r="B275">
        <v>17</v>
      </c>
      <c r="C275" t="s">
        <v>1088</v>
      </c>
      <c r="D275" s="158">
        <v>45199</v>
      </c>
      <c r="E275">
        <v>126994</v>
      </c>
      <c r="H275" t="b">
        <v>0</v>
      </c>
      <c r="I275">
        <v>1</v>
      </c>
      <c r="J275" t="s">
        <v>1212</v>
      </c>
      <c r="AN275">
        <v>-43.5</v>
      </c>
      <c r="AV275" t="s">
        <v>1092</v>
      </c>
      <c r="AW275" t="s">
        <v>1092</v>
      </c>
      <c r="BA275" t="s">
        <v>282</v>
      </c>
      <c r="BB275" t="s">
        <v>1197</v>
      </c>
      <c r="BC275">
        <v>1</v>
      </c>
    </row>
    <row r="276" spans="1:55" x14ac:dyDescent="0.25">
      <c r="A276" t="s">
        <v>102</v>
      </c>
      <c r="B276">
        <v>17</v>
      </c>
      <c r="C276" t="s">
        <v>1088</v>
      </c>
      <c r="D276" s="158">
        <v>45199</v>
      </c>
      <c r="E276">
        <v>221743</v>
      </c>
      <c r="H276" t="b">
        <v>0</v>
      </c>
      <c r="I276">
        <v>1</v>
      </c>
      <c r="J276" t="s">
        <v>1212</v>
      </c>
      <c r="AN276">
        <v>-222.56</v>
      </c>
      <c r="AV276" t="s">
        <v>1092</v>
      </c>
      <c r="AW276" t="s">
        <v>1092</v>
      </c>
      <c r="BA276" t="s">
        <v>282</v>
      </c>
      <c r="BB276" t="s">
        <v>1197</v>
      </c>
      <c r="BC276">
        <v>1</v>
      </c>
    </row>
    <row r="277" spans="1:55" x14ac:dyDescent="0.25">
      <c r="A277" t="s">
        <v>102</v>
      </c>
      <c r="B277">
        <v>17</v>
      </c>
      <c r="C277" t="s">
        <v>1088</v>
      </c>
      <c r="D277" s="158">
        <v>45199</v>
      </c>
      <c r="E277">
        <v>167377</v>
      </c>
      <c r="H277" t="b">
        <v>0</v>
      </c>
      <c r="I277">
        <v>1</v>
      </c>
      <c r="J277" t="s">
        <v>1212</v>
      </c>
      <c r="AN277">
        <v>-5.68</v>
      </c>
      <c r="AV277" t="s">
        <v>1092</v>
      </c>
      <c r="AW277" t="s">
        <v>1092</v>
      </c>
      <c r="BA277" t="s">
        <v>282</v>
      </c>
      <c r="BB277" t="s">
        <v>1197</v>
      </c>
      <c r="BC277">
        <v>1</v>
      </c>
    </row>
    <row r="278" spans="1:55" x14ac:dyDescent="0.25">
      <c r="A278" t="s">
        <v>102</v>
      </c>
      <c r="B278">
        <v>17</v>
      </c>
      <c r="C278" t="s">
        <v>1088</v>
      </c>
      <c r="D278" s="158">
        <v>45199</v>
      </c>
      <c r="E278">
        <v>132103</v>
      </c>
      <c r="H278" t="b">
        <v>0</v>
      </c>
      <c r="I278">
        <v>1</v>
      </c>
      <c r="J278" t="s">
        <v>1212</v>
      </c>
      <c r="AN278">
        <v>-390</v>
      </c>
      <c r="AV278" t="s">
        <v>1092</v>
      </c>
      <c r="AW278" t="s">
        <v>1092</v>
      </c>
      <c r="BA278" t="s">
        <v>282</v>
      </c>
      <c r="BB278" t="s">
        <v>1197</v>
      </c>
      <c r="BC278">
        <v>1</v>
      </c>
    </row>
    <row r="279" spans="1:55" x14ac:dyDescent="0.25">
      <c r="A279" t="s">
        <v>102</v>
      </c>
      <c r="B279">
        <v>17</v>
      </c>
      <c r="C279" t="s">
        <v>1088</v>
      </c>
      <c r="D279" s="158">
        <v>45199</v>
      </c>
      <c r="E279">
        <v>126693</v>
      </c>
      <c r="H279" t="b">
        <v>0</v>
      </c>
      <c r="I279">
        <v>1</v>
      </c>
      <c r="J279" t="s">
        <v>1212</v>
      </c>
      <c r="AN279">
        <v>-14.4</v>
      </c>
      <c r="AV279" t="s">
        <v>1092</v>
      </c>
      <c r="AW279" t="s">
        <v>1092</v>
      </c>
      <c r="BA279" t="s">
        <v>282</v>
      </c>
      <c r="BB279" t="s">
        <v>1197</v>
      </c>
      <c r="BC279">
        <v>1</v>
      </c>
    </row>
    <row r="280" spans="1:55" x14ac:dyDescent="0.25">
      <c r="A280" t="s">
        <v>102</v>
      </c>
      <c r="B280">
        <v>17</v>
      </c>
      <c r="C280" t="s">
        <v>1088</v>
      </c>
      <c r="D280" s="158">
        <v>45199</v>
      </c>
      <c r="E280">
        <v>424766</v>
      </c>
      <c r="H280" t="b">
        <v>0</v>
      </c>
      <c r="I280">
        <v>1</v>
      </c>
      <c r="J280" t="s">
        <v>1212</v>
      </c>
      <c r="AN280">
        <v>-2</v>
      </c>
      <c r="AV280" t="s">
        <v>1092</v>
      </c>
      <c r="AW280" t="s">
        <v>1092</v>
      </c>
      <c r="BA280" t="s">
        <v>282</v>
      </c>
      <c r="BB280" t="s">
        <v>1197</v>
      </c>
      <c r="BC280">
        <v>1</v>
      </c>
    </row>
    <row r="281" spans="1:55" x14ac:dyDescent="0.25">
      <c r="A281" t="s">
        <v>102</v>
      </c>
      <c r="B281">
        <v>17</v>
      </c>
      <c r="C281" t="s">
        <v>1088</v>
      </c>
      <c r="D281" s="158">
        <v>45199</v>
      </c>
      <c r="E281">
        <v>324623</v>
      </c>
      <c r="H281" t="b">
        <v>0</v>
      </c>
      <c r="I281">
        <v>1</v>
      </c>
      <c r="J281" t="s">
        <v>1212</v>
      </c>
      <c r="AN281">
        <v>-313.8</v>
      </c>
      <c r="AV281" t="s">
        <v>1092</v>
      </c>
      <c r="AW281" t="s">
        <v>1092</v>
      </c>
      <c r="BA281" t="s">
        <v>282</v>
      </c>
      <c r="BB281" t="s">
        <v>1197</v>
      </c>
      <c r="BC281">
        <v>1</v>
      </c>
    </row>
    <row r="282" spans="1:55" x14ac:dyDescent="0.25">
      <c r="A282" t="s">
        <v>102</v>
      </c>
      <c r="B282">
        <v>17</v>
      </c>
      <c r="C282" t="s">
        <v>1088</v>
      </c>
      <c r="D282" s="158">
        <v>45199</v>
      </c>
      <c r="E282">
        <v>94832</v>
      </c>
      <c r="H282" t="b">
        <v>0</v>
      </c>
      <c r="I282">
        <v>1</v>
      </c>
      <c r="J282" t="s">
        <v>1212</v>
      </c>
      <c r="AN282">
        <v>-3.6</v>
      </c>
      <c r="AV282" t="s">
        <v>1092</v>
      </c>
      <c r="AW282" t="s">
        <v>1092</v>
      </c>
      <c r="BA282" t="s">
        <v>282</v>
      </c>
      <c r="BB282" t="s">
        <v>1197</v>
      </c>
      <c r="BC282">
        <v>1</v>
      </c>
    </row>
    <row r="283" spans="1:55" x14ac:dyDescent="0.25">
      <c r="A283" t="s">
        <v>102</v>
      </c>
      <c r="B283">
        <v>17</v>
      </c>
      <c r="C283" t="s">
        <v>1088</v>
      </c>
      <c r="D283" s="158">
        <v>45199</v>
      </c>
      <c r="E283">
        <v>466081</v>
      </c>
      <c r="H283" t="b">
        <v>0</v>
      </c>
      <c r="I283">
        <v>1</v>
      </c>
      <c r="J283" t="s">
        <v>1212</v>
      </c>
      <c r="AN283">
        <v>-36</v>
      </c>
      <c r="AV283" t="s">
        <v>1092</v>
      </c>
      <c r="AW283" t="s">
        <v>1092</v>
      </c>
      <c r="BA283" t="s">
        <v>282</v>
      </c>
      <c r="BB283" t="s">
        <v>1197</v>
      </c>
      <c r="BC283">
        <v>1</v>
      </c>
    </row>
    <row r="284" spans="1:55" x14ac:dyDescent="0.25">
      <c r="A284" t="s">
        <v>102</v>
      </c>
      <c r="B284">
        <v>17</v>
      </c>
      <c r="C284" t="s">
        <v>1088</v>
      </c>
      <c r="D284" s="158">
        <v>45199</v>
      </c>
      <c r="E284">
        <v>140200</v>
      </c>
      <c r="H284" t="b">
        <v>0</v>
      </c>
      <c r="I284">
        <v>1</v>
      </c>
      <c r="J284" t="s">
        <v>1212</v>
      </c>
      <c r="AN284">
        <v>-142</v>
      </c>
      <c r="AV284" t="s">
        <v>1092</v>
      </c>
      <c r="AW284" t="s">
        <v>1092</v>
      </c>
      <c r="BA284" t="s">
        <v>282</v>
      </c>
      <c r="BB284" t="s">
        <v>1197</v>
      </c>
      <c r="BC284">
        <v>1</v>
      </c>
    </row>
    <row r="285" spans="1:55" x14ac:dyDescent="0.25">
      <c r="A285" t="s">
        <v>99</v>
      </c>
      <c r="B285">
        <v>17</v>
      </c>
      <c r="C285" t="s">
        <v>1088</v>
      </c>
      <c r="D285" s="158">
        <v>45199</v>
      </c>
      <c r="E285">
        <v>411885</v>
      </c>
      <c r="F285">
        <v>6299067</v>
      </c>
      <c r="G285">
        <v>31555363</v>
      </c>
      <c r="H285" t="b">
        <v>0</v>
      </c>
      <c r="I285">
        <v>975</v>
      </c>
      <c r="J285" t="s">
        <v>1184</v>
      </c>
      <c r="K285">
        <v>216</v>
      </c>
      <c r="L285">
        <v>216</v>
      </c>
      <c r="M285">
        <v>1</v>
      </c>
      <c r="N285">
        <v>0</v>
      </c>
      <c r="O285">
        <v>216</v>
      </c>
      <c r="P285">
        <v>-352.34</v>
      </c>
      <c r="Q285">
        <v>432</v>
      </c>
      <c r="R285">
        <v>0</v>
      </c>
      <c r="T285">
        <v>216</v>
      </c>
      <c r="U285">
        <v>0</v>
      </c>
      <c r="V285">
        <v>3</v>
      </c>
      <c r="W285">
        <v>159.33000000000001</v>
      </c>
      <c r="X285">
        <v>0</v>
      </c>
      <c r="Y285">
        <v>0</v>
      </c>
      <c r="Z285">
        <v>0</v>
      </c>
      <c r="AA285">
        <v>0</v>
      </c>
      <c r="AB285">
        <v>0</v>
      </c>
      <c r="AC285">
        <v>0</v>
      </c>
      <c r="AD285">
        <v>0</v>
      </c>
      <c r="AE285">
        <v>0</v>
      </c>
      <c r="AF285">
        <v>0</v>
      </c>
      <c r="AG285">
        <v>0</v>
      </c>
      <c r="AH285">
        <v>0</v>
      </c>
      <c r="AI285">
        <v>0</v>
      </c>
      <c r="AJ285">
        <v>0</v>
      </c>
      <c r="AK285">
        <v>-159.33000000000001</v>
      </c>
      <c r="AL285">
        <v>1</v>
      </c>
      <c r="AM285">
        <v>0</v>
      </c>
      <c r="AN285">
        <v>136.34</v>
      </c>
      <c r="AP285" t="s">
        <v>1032</v>
      </c>
      <c r="AS285" t="s">
        <v>1226</v>
      </c>
      <c r="AV285" t="s">
        <v>1092</v>
      </c>
      <c r="AW285" t="s">
        <v>1092</v>
      </c>
      <c r="AX285">
        <v>0</v>
      </c>
      <c r="AY285">
        <v>0</v>
      </c>
      <c r="AZ285" t="s">
        <v>282</v>
      </c>
      <c r="BA285" t="s">
        <v>282</v>
      </c>
      <c r="BB285" t="s">
        <v>1200</v>
      </c>
      <c r="BC285">
        <v>8</v>
      </c>
    </row>
    <row r="286" spans="1:55" x14ac:dyDescent="0.25">
      <c r="A286" t="s">
        <v>102</v>
      </c>
      <c r="B286">
        <v>17</v>
      </c>
      <c r="C286" t="s">
        <v>1088</v>
      </c>
      <c r="D286" s="158">
        <v>45199</v>
      </c>
      <c r="E286">
        <v>65879</v>
      </c>
      <c r="H286" t="b">
        <v>0</v>
      </c>
      <c r="I286">
        <v>1</v>
      </c>
      <c r="J286" t="s">
        <v>1212</v>
      </c>
      <c r="AN286">
        <v>-0.06</v>
      </c>
      <c r="AV286" t="s">
        <v>1092</v>
      </c>
      <c r="AW286" t="s">
        <v>1092</v>
      </c>
      <c r="BA286" t="s">
        <v>282</v>
      </c>
      <c r="BB286" t="s">
        <v>1197</v>
      </c>
      <c r="BC286">
        <v>1</v>
      </c>
    </row>
    <row r="287" spans="1:55" x14ac:dyDescent="0.25">
      <c r="A287" t="s">
        <v>102</v>
      </c>
      <c r="B287">
        <v>17</v>
      </c>
      <c r="C287" t="s">
        <v>1088</v>
      </c>
      <c r="D287" s="158">
        <v>45199</v>
      </c>
      <c r="E287">
        <v>126681</v>
      </c>
      <c r="H287" t="b">
        <v>0</v>
      </c>
      <c r="I287">
        <v>1</v>
      </c>
      <c r="J287" t="s">
        <v>1212</v>
      </c>
      <c r="AN287">
        <v>-1.84</v>
      </c>
      <c r="AV287" t="s">
        <v>1092</v>
      </c>
      <c r="AW287" t="s">
        <v>1092</v>
      </c>
      <c r="BA287" t="s">
        <v>282</v>
      </c>
      <c r="BB287" t="s">
        <v>1197</v>
      </c>
      <c r="BC287">
        <v>1</v>
      </c>
    </row>
    <row r="288" spans="1:55" x14ac:dyDescent="0.25">
      <c r="A288" t="s">
        <v>102</v>
      </c>
      <c r="B288">
        <v>17</v>
      </c>
      <c r="C288" t="s">
        <v>1088</v>
      </c>
      <c r="D288" s="158">
        <v>45199</v>
      </c>
      <c r="E288">
        <v>115609</v>
      </c>
      <c r="H288" t="b">
        <v>0</v>
      </c>
      <c r="I288">
        <v>1</v>
      </c>
      <c r="J288" t="s">
        <v>1212</v>
      </c>
      <c r="AN288">
        <v>-10</v>
      </c>
      <c r="AV288" t="s">
        <v>1092</v>
      </c>
      <c r="AW288" t="s">
        <v>1092</v>
      </c>
      <c r="BA288" t="s">
        <v>282</v>
      </c>
      <c r="BB288" t="s">
        <v>1197</v>
      </c>
      <c r="BC288">
        <v>1</v>
      </c>
    </row>
    <row r="289" spans="1:55" x14ac:dyDescent="0.25">
      <c r="A289" t="s">
        <v>102</v>
      </c>
      <c r="B289">
        <v>17</v>
      </c>
      <c r="C289" t="s">
        <v>1088</v>
      </c>
      <c r="D289" s="158">
        <v>45199</v>
      </c>
      <c r="E289">
        <v>499939</v>
      </c>
      <c r="H289" t="b">
        <v>0</v>
      </c>
      <c r="I289">
        <v>1</v>
      </c>
      <c r="J289" t="s">
        <v>1212</v>
      </c>
      <c r="AN289">
        <v>-5.68</v>
      </c>
      <c r="AV289" t="s">
        <v>1092</v>
      </c>
      <c r="AW289" t="s">
        <v>1092</v>
      </c>
      <c r="BA289" t="s">
        <v>282</v>
      </c>
      <c r="BB289" t="s">
        <v>1197</v>
      </c>
      <c r="BC289">
        <v>1</v>
      </c>
    </row>
    <row r="290" spans="1:55" x14ac:dyDescent="0.25">
      <c r="A290" t="s">
        <v>102</v>
      </c>
      <c r="B290">
        <v>17</v>
      </c>
      <c r="C290" t="s">
        <v>1088</v>
      </c>
      <c r="D290" s="158">
        <v>45199</v>
      </c>
      <c r="E290">
        <v>230253</v>
      </c>
      <c r="H290" t="b">
        <v>0</v>
      </c>
      <c r="I290">
        <v>1</v>
      </c>
      <c r="J290" t="s">
        <v>1212</v>
      </c>
      <c r="AN290">
        <v>-66</v>
      </c>
      <c r="AV290" t="s">
        <v>1092</v>
      </c>
      <c r="AW290" t="s">
        <v>1092</v>
      </c>
      <c r="BA290" t="s">
        <v>282</v>
      </c>
      <c r="BB290" t="s">
        <v>1197</v>
      </c>
      <c r="BC290">
        <v>1</v>
      </c>
    </row>
    <row r="291" spans="1:55" x14ac:dyDescent="0.25">
      <c r="A291" t="s">
        <v>99</v>
      </c>
      <c r="B291">
        <v>17</v>
      </c>
      <c r="C291" t="s">
        <v>1088</v>
      </c>
      <c r="D291" s="158">
        <v>45199</v>
      </c>
      <c r="E291">
        <v>619493</v>
      </c>
      <c r="F291">
        <v>10324633</v>
      </c>
      <c r="G291">
        <v>53666186</v>
      </c>
      <c r="H291" t="b">
        <v>0</v>
      </c>
      <c r="I291">
        <v>19</v>
      </c>
      <c r="J291" t="s">
        <v>1187</v>
      </c>
      <c r="K291">
        <v>216</v>
      </c>
      <c r="L291">
        <v>216</v>
      </c>
      <c r="M291">
        <v>1</v>
      </c>
      <c r="N291">
        <v>0</v>
      </c>
      <c r="O291">
        <v>16.54</v>
      </c>
      <c r="P291">
        <v>0</v>
      </c>
      <c r="Q291">
        <v>0</v>
      </c>
      <c r="R291">
        <v>0</v>
      </c>
      <c r="T291">
        <v>216</v>
      </c>
      <c r="U291">
        <v>0</v>
      </c>
      <c r="V291">
        <v>1</v>
      </c>
      <c r="W291">
        <v>148.88999999999999</v>
      </c>
      <c r="X291">
        <v>50.57</v>
      </c>
      <c r="Y291">
        <v>0</v>
      </c>
      <c r="Z291">
        <v>0</v>
      </c>
      <c r="AA291">
        <v>0</v>
      </c>
      <c r="AB291">
        <v>0</v>
      </c>
      <c r="AC291">
        <v>0</v>
      </c>
      <c r="AD291">
        <v>0</v>
      </c>
      <c r="AE291">
        <v>0</v>
      </c>
      <c r="AF291">
        <v>0</v>
      </c>
      <c r="AG291">
        <v>0</v>
      </c>
      <c r="AH291">
        <v>0</v>
      </c>
      <c r="AI291">
        <v>0</v>
      </c>
      <c r="AJ291">
        <v>0</v>
      </c>
      <c r="AK291">
        <v>0</v>
      </c>
      <c r="AL291">
        <v>0</v>
      </c>
      <c r="AM291">
        <v>0</v>
      </c>
      <c r="AN291">
        <v>16.54</v>
      </c>
      <c r="AP291" t="s">
        <v>1091</v>
      </c>
      <c r="AS291" t="s">
        <v>1185</v>
      </c>
      <c r="AV291" t="s">
        <v>1092</v>
      </c>
      <c r="AW291" t="s">
        <v>1092</v>
      </c>
      <c r="AX291">
        <v>0</v>
      </c>
      <c r="AY291">
        <v>0</v>
      </c>
      <c r="AZ291" t="s">
        <v>282</v>
      </c>
      <c r="BA291" t="s">
        <v>282</v>
      </c>
      <c r="BB291" t="s">
        <v>1197</v>
      </c>
      <c r="BC291">
        <v>1</v>
      </c>
    </row>
    <row r="292" spans="1:55" x14ac:dyDescent="0.25">
      <c r="A292" t="s">
        <v>99</v>
      </c>
      <c r="B292">
        <v>17</v>
      </c>
      <c r="C292" t="s">
        <v>1088</v>
      </c>
      <c r="D292" s="158">
        <v>45199</v>
      </c>
      <c r="E292">
        <v>595729</v>
      </c>
      <c r="F292">
        <v>9907440</v>
      </c>
      <c r="G292">
        <v>51053362</v>
      </c>
      <c r="H292" t="b">
        <v>0</v>
      </c>
      <c r="I292">
        <v>103</v>
      </c>
      <c r="J292" t="s">
        <v>1187</v>
      </c>
      <c r="K292">
        <v>216</v>
      </c>
      <c r="L292">
        <v>216</v>
      </c>
      <c r="M292">
        <v>1</v>
      </c>
      <c r="N292">
        <v>216</v>
      </c>
      <c r="O292">
        <v>0</v>
      </c>
      <c r="P292">
        <v>0</v>
      </c>
      <c r="Q292">
        <v>1</v>
      </c>
      <c r="R292">
        <v>0</v>
      </c>
      <c r="T292">
        <v>0</v>
      </c>
      <c r="U292">
        <v>0</v>
      </c>
      <c r="V292">
        <v>0</v>
      </c>
      <c r="W292">
        <v>0</v>
      </c>
      <c r="X292">
        <v>0</v>
      </c>
      <c r="Y292">
        <v>0</v>
      </c>
      <c r="Z292">
        <v>0</v>
      </c>
      <c r="AA292">
        <v>0</v>
      </c>
      <c r="AB292">
        <v>0</v>
      </c>
      <c r="AC292">
        <v>0</v>
      </c>
      <c r="AD292">
        <v>0</v>
      </c>
      <c r="AE292">
        <v>0</v>
      </c>
      <c r="AF292">
        <v>0</v>
      </c>
      <c r="AG292">
        <v>0</v>
      </c>
      <c r="AH292">
        <v>0</v>
      </c>
      <c r="AI292">
        <v>0</v>
      </c>
      <c r="AJ292">
        <v>0</v>
      </c>
      <c r="AK292">
        <v>0</v>
      </c>
      <c r="AL292">
        <v>0</v>
      </c>
      <c r="AM292">
        <v>0</v>
      </c>
      <c r="AN292">
        <v>215</v>
      </c>
      <c r="AV292" t="s">
        <v>1092</v>
      </c>
      <c r="AW292" t="s">
        <v>1092</v>
      </c>
      <c r="AX292">
        <v>0</v>
      </c>
      <c r="AY292">
        <v>0</v>
      </c>
      <c r="AZ292" t="s">
        <v>282</v>
      </c>
      <c r="BA292" t="s">
        <v>282</v>
      </c>
      <c r="BB292" t="s">
        <v>1207</v>
      </c>
      <c r="BC292">
        <v>4</v>
      </c>
    </row>
    <row r="293" spans="1:55" x14ac:dyDescent="0.25">
      <c r="A293" t="s">
        <v>99</v>
      </c>
      <c r="B293">
        <v>17</v>
      </c>
      <c r="C293" t="s">
        <v>1088</v>
      </c>
      <c r="D293" s="158">
        <v>45199</v>
      </c>
      <c r="E293">
        <v>619013</v>
      </c>
      <c r="F293">
        <v>10316468</v>
      </c>
      <c r="G293">
        <v>53626758</v>
      </c>
      <c r="H293" t="b">
        <v>0</v>
      </c>
      <c r="I293">
        <v>22</v>
      </c>
      <c r="J293" t="s">
        <v>1184</v>
      </c>
      <c r="K293">
        <v>216</v>
      </c>
      <c r="L293">
        <v>216</v>
      </c>
      <c r="M293">
        <v>1</v>
      </c>
      <c r="N293">
        <v>216</v>
      </c>
      <c r="O293">
        <v>0</v>
      </c>
      <c r="P293">
        <v>0</v>
      </c>
      <c r="Q293">
        <v>175</v>
      </c>
      <c r="R293">
        <v>0</v>
      </c>
      <c r="T293">
        <v>0</v>
      </c>
      <c r="U293">
        <v>0</v>
      </c>
      <c r="V293">
        <v>0</v>
      </c>
      <c r="W293">
        <v>0</v>
      </c>
      <c r="X293">
        <v>0</v>
      </c>
      <c r="Y293">
        <v>0</v>
      </c>
      <c r="Z293">
        <v>0</v>
      </c>
      <c r="AA293">
        <v>0</v>
      </c>
      <c r="AB293">
        <v>0</v>
      </c>
      <c r="AC293">
        <v>0</v>
      </c>
      <c r="AD293">
        <v>0</v>
      </c>
      <c r="AE293">
        <v>0</v>
      </c>
      <c r="AF293">
        <v>0</v>
      </c>
      <c r="AG293">
        <v>0</v>
      </c>
      <c r="AH293">
        <v>0</v>
      </c>
      <c r="AI293">
        <v>0</v>
      </c>
      <c r="AJ293">
        <v>0</v>
      </c>
      <c r="AK293">
        <v>0</v>
      </c>
      <c r="AL293">
        <v>0</v>
      </c>
      <c r="AM293">
        <v>0</v>
      </c>
      <c r="AN293">
        <v>41</v>
      </c>
      <c r="AV293" t="s">
        <v>1092</v>
      </c>
      <c r="AW293" t="s">
        <v>1092</v>
      </c>
      <c r="AX293">
        <v>0</v>
      </c>
      <c r="AY293">
        <v>0</v>
      </c>
      <c r="AZ293" t="s">
        <v>282</v>
      </c>
      <c r="BA293" t="s">
        <v>282</v>
      </c>
      <c r="BB293" t="s">
        <v>1197</v>
      </c>
      <c r="BC293">
        <v>1</v>
      </c>
    </row>
    <row r="294" spans="1:55" x14ac:dyDescent="0.25">
      <c r="A294" t="s">
        <v>99</v>
      </c>
      <c r="B294">
        <v>17</v>
      </c>
      <c r="C294" t="s">
        <v>1088</v>
      </c>
      <c r="D294" s="158">
        <v>45199</v>
      </c>
      <c r="E294">
        <v>620528</v>
      </c>
      <c r="F294">
        <v>10343235</v>
      </c>
      <c r="G294">
        <v>53707464</v>
      </c>
      <c r="H294" t="b">
        <v>0</v>
      </c>
      <c r="I294">
        <v>18</v>
      </c>
      <c r="J294" t="s">
        <v>1184</v>
      </c>
      <c r="K294">
        <v>216</v>
      </c>
      <c r="L294">
        <v>216</v>
      </c>
      <c r="M294">
        <v>1</v>
      </c>
      <c r="N294">
        <v>216</v>
      </c>
      <c r="O294">
        <v>0</v>
      </c>
      <c r="P294">
        <v>0</v>
      </c>
      <c r="Q294">
        <v>9</v>
      </c>
      <c r="R294">
        <v>0</v>
      </c>
      <c r="T294">
        <v>0</v>
      </c>
      <c r="U294">
        <v>0</v>
      </c>
      <c r="V294">
        <v>0</v>
      </c>
      <c r="W294">
        <v>0</v>
      </c>
      <c r="X294">
        <v>0</v>
      </c>
      <c r="Y294">
        <v>0</v>
      </c>
      <c r="Z294">
        <v>0</v>
      </c>
      <c r="AA294">
        <v>0</v>
      </c>
      <c r="AB294">
        <v>0</v>
      </c>
      <c r="AC294">
        <v>0</v>
      </c>
      <c r="AD294">
        <v>0</v>
      </c>
      <c r="AE294">
        <v>0</v>
      </c>
      <c r="AF294">
        <v>0</v>
      </c>
      <c r="AG294">
        <v>0</v>
      </c>
      <c r="AH294">
        <v>0</v>
      </c>
      <c r="AI294">
        <v>0</v>
      </c>
      <c r="AJ294">
        <v>0</v>
      </c>
      <c r="AK294">
        <v>0</v>
      </c>
      <c r="AL294">
        <v>0</v>
      </c>
      <c r="AM294">
        <v>0</v>
      </c>
      <c r="AN294">
        <v>207</v>
      </c>
      <c r="AV294" t="s">
        <v>1092</v>
      </c>
      <c r="AW294" t="s">
        <v>1092</v>
      </c>
      <c r="AX294">
        <v>0</v>
      </c>
      <c r="AY294">
        <v>0</v>
      </c>
      <c r="AZ294" t="s">
        <v>282</v>
      </c>
      <c r="BA294" t="s">
        <v>282</v>
      </c>
      <c r="BB294" t="s">
        <v>1197</v>
      </c>
      <c r="BC294">
        <v>1</v>
      </c>
    </row>
    <row r="295" spans="1:55" x14ac:dyDescent="0.25">
      <c r="A295" t="s">
        <v>99</v>
      </c>
      <c r="B295">
        <v>17</v>
      </c>
      <c r="C295" t="s">
        <v>1088</v>
      </c>
      <c r="D295" s="158">
        <v>45199</v>
      </c>
      <c r="E295">
        <v>102362</v>
      </c>
      <c r="F295">
        <v>10380877</v>
      </c>
      <c r="G295">
        <v>53996749</v>
      </c>
      <c r="H295" t="b">
        <v>0</v>
      </c>
      <c r="I295">
        <v>9</v>
      </c>
      <c r="J295" t="s">
        <v>1247</v>
      </c>
      <c r="K295">
        <v>18</v>
      </c>
      <c r="L295">
        <v>18</v>
      </c>
      <c r="M295">
        <v>1</v>
      </c>
      <c r="N295">
        <v>18</v>
      </c>
      <c r="O295">
        <v>0</v>
      </c>
      <c r="P295">
        <v>0</v>
      </c>
      <c r="Q295">
        <v>0</v>
      </c>
      <c r="R295">
        <v>0</v>
      </c>
      <c r="T295">
        <v>0</v>
      </c>
      <c r="U295">
        <v>0</v>
      </c>
      <c r="V295">
        <v>0</v>
      </c>
      <c r="W295">
        <v>0</v>
      </c>
      <c r="X295">
        <v>0</v>
      </c>
      <c r="Y295">
        <v>0</v>
      </c>
      <c r="Z295">
        <v>0</v>
      </c>
      <c r="AA295">
        <v>0</v>
      </c>
      <c r="AB295">
        <v>0</v>
      </c>
      <c r="AC295">
        <v>0</v>
      </c>
      <c r="AD295">
        <v>0</v>
      </c>
      <c r="AE295">
        <v>0</v>
      </c>
      <c r="AF295">
        <v>0</v>
      </c>
      <c r="AG295">
        <v>0</v>
      </c>
      <c r="AH295">
        <v>0</v>
      </c>
      <c r="AI295">
        <v>0</v>
      </c>
      <c r="AJ295">
        <v>0</v>
      </c>
      <c r="AK295">
        <v>0</v>
      </c>
      <c r="AL295">
        <v>0</v>
      </c>
      <c r="AM295">
        <v>0</v>
      </c>
      <c r="AN295">
        <v>18</v>
      </c>
      <c r="AV295" t="s">
        <v>1092</v>
      </c>
      <c r="AW295" t="s">
        <v>1092</v>
      </c>
      <c r="AX295">
        <v>0</v>
      </c>
      <c r="AY295">
        <v>0</v>
      </c>
      <c r="AZ295" t="s">
        <v>282</v>
      </c>
      <c r="BA295" t="s">
        <v>282</v>
      </c>
      <c r="BB295" t="s">
        <v>1197</v>
      </c>
      <c r="BC295">
        <v>1</v>
      </c>
    </row>
    <row r="296" spans="1:55" x14ac:dyDescent="0.25">
      <c r="A296" t="s">
        <v>99</v>
      </c>
      <c r="B296">
        <v>17</v>
      </c>
      <c r="C296" t="s">
        <v>1088</v>
      </c>
      <c r="D296" s="158">
        <v>45199</v>
      </c>
      <c r="E296">
        <v>102362</v>
      </c>
      <c r="F296">
        <v>10380877</v>
      </c>
      <c r="G296">
        <v>53996745</v>
      </c>
      <c r="H296" t="b">
        <v>0</v>
      </c>
      <c r="I296">
        <v>9</v>
      </c>
      <c r="J296" t="s">
        <v>1184</v>
      </c>
      <c r="K296">
        <v>216</v>
      </c>
      <c r="L296">
        <v>216</v>
      </c>
      <c r="M296">
        <v>1</v>
      </c>
      <c r="N296">
        <v>216</v>
      </c>
      <c r="O296">
        <v>0</v>
      </c>
      <c r="P296">
        <v>0</v>
      </c>
      <c r="Q296">
        <v>0</v>
      </c>
      <c r="R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0</v>
      </c>
      <c r="AN296">
        <v>216</v>
      </c>
      <c r="AV296" t="s">
        <v>1092</v>
      </c>
      <c r="AW296" t="s">
        <v>1092</v>
      </c>
      <c r="AX296">
        <v>0</v>
      </c>
      <c r="AY296">
        <v>0</v>
      </c>
      <c r="AZ296" t="s">
        <v>282</v>
      </c>
      <c r="BA296" t="s">
        <v>282</v>
      </c>
      <c r="BB296" t="s">
        <v>1197</v>
      </c>
      <c r="BC296">
        <v>1</v>
      </c>
    </row>
    <row r="297" spans="1:55" x14ac:dyDescent="0.25">
      <c r="A297" t="s">
        <v>99</v>
      </c>
      <c r="B297">
        <v>17</v>
      </c>
      <c r="C297" t="s">
        <v>1088</v>
      </c>
      <c r="D297" s="158">
        <v>45199</v>
      </c>
      <c r="E297">
        <v>624276</v>
      </c>
      <c r="F297">
        <v>10414410</v>
      </c>
      <c r="G297">
        <v>54106378</v>
      </c>
      <c r="H297" t="b">
        <v>0</v>
      </c>
      <c r="I297">
        <v>5</v>
      </c>
      <c r="J297" t="s">
        <v>1187</v>
      </c>
      <c r="K297">
        <v>216</v>
      </c>
      <c r="L297">
        <v>216</v>
      </c>
      <c r="M297">
        <v>1</v>
      </c>
      <c r="N297">
        <v>216</v>
      </c>
      <c r="O297">
        <v>0</v>
      </c>
      <c r="P297">
        <v>0</v>
      </c>
      <c r="Q297">
        <v>0</v>
      </c>
      <c r="R297">
        <v>0</v>
      </c>
      <c r="T297">
        <v>0</v>
      </c>
      <c r="U297">
        <v>0</v>
      </c>
      <c r="V297">
        <v>0</v>
      </c>
      <c r="W297">
        <v>0</v>
      </c>
      <c r="X297">
        <v>0</v>
      </c>
      <c r="Y297">
        <v>0</v>
      </c>
      <c r="Z297">
        <v>0</v>
      </c>
      <c r="AA297">
        <v>0</v>
      </c>
      <c r="AB297">
        <v>0</v>
      </c>
      <c r="AC297">
        <v>0</v>
      </c>
      <c r="AD297">
        <v>0</v>
      </c>
      <c r="AE297">
        <v>0</v>
      </c>
      <c r="AF297">
        <v>0</v>
      </c>
      <c r="AG297">
        <v>0</v>
      </c>
      <c r="AH297">
        <v>0</v>
      </c>
      <c r="AI297">
        <v>0</v>
      </c>
      <c r="AJ297">
        <v>0</v>
      </c>
      <c r="AK297">
        <v>0</v>
      </c>
      <c r="AL297">
        <v>0</v>
      </c>
      <c r="AM297">
        <v>0</v>
      </c>
      <c r="AN297">
        <v>216</v>
      </c>
      <c r="AV297" t="s">
        <v>1092</v>
      </c>
      <c r="AW297" t="s">
        <v>1092</v>
      </c>
      <c r="AX297">
        <v>0</v>
      </c>
      <c r="AY297">
        <v>0</v>
      </c>
      <c r="AZ297" t="s">
        <v>282</v>
      </c>
      <c r="BA297" t="s">
        <v>282</v>
      </c>
      <c r="BB297" t="s">
        <v>1197</v>
      </c>
      <c r="BC297">
        <v>1</v>
      </c>
    </row>
    <row r="298" spans="1:55" x14ac:dyDescent="0.25">
      <c r="A298" t="s">
        <v>99</v>
      </c>
      <c r="B298">
        <v>17</v>
      </c>
      <c r="C298" t="s">
        <v>1088</v>
      </c>
      <c r="D298" s="158">
        <v>45199</v>
      </c>
      <c r="E298">
        <v>624276</v>
      </c>
      <c r="F298">
        <v>10414410</v>
      </c>
      <c r="G298">
        <v>54106385</v>
      </c>
      <c r="H298" t="b">
        <v>0</v>
      </c>
      <c r="I298">
        <v>5</v>
      </c>
      <c r="J298" t="s">
        <v>1187</v>
      </c>
      <c r="K298">
        <v>216</v>
      </c>
      <c r="L298">
        <v>216</v>
      </c>
      <c r="M298">
        <v>1</v>
      </c>
      <c r="N298">
        <v>216</v>
      </c>
      <c r="O298">
        <v>0</v>
      </c>
      <c r="P298">
        <v>0</v>
      </c>
      <c r="Q298">
        <v>0</v>
      </c>
      <c r="R298">
        <v>0</v>
      </c>
      <c r="T298">
        <v>0</v>
      </c>
      <c r="U298">
        <v>0</v>
      </c>
      <c r="V298">
        <v>0</v>
      </c>
      <c r="W298">
        <v>0</v>
      </c>
      <c r="X298">
        <v>0</v>
      </c>
      <c r="Y298">
        <v>0</v>
      </c>
      <c r="Z298">
        <v>0</v>
      </c>
      <c r="AA298">
        <v>0</v>
      </c>
      <c r="AB298">
        <v>0</v>
      </c>
      <c r="AC298">
        <v>0</v>
      </c>
      <c r="AD298">
        <v>0</v>
      </c>
      <c r="AE298">
        <v>0</v>
      </c>
      <c r="AF298">
        <v>0</v>
      </c>
      <c r="AG298">
        <v>0</v>
      </c>
      <c r="AH298">
        <v>0</v>
      </c>
      <c r="AI298">
        <v>0</v>
      </c>
      <c r="AJ298">
        <v>0</v>
      </c>
      <c r="AK298">
        <v>0</v>
      </c>
      <c r="AL298">
        <v>0</v>
      </c>
      <c r="AM298">
        <v>0</v>
      </c>
      <c r="AN298">
        <v>216</v>
      </c>
      <c r="AV298" t="s">
        <v>1092</v>
      </c>
      <c r="AW298" t="s">
        <v>1092</v>
      </c>
      <c r="AX298">
        <v>0</v>
      </c>
      <c r="AY298">
        <v>0</v>
      </c>
      <c r="AZ298" t="s">
        <v>282</v>
      </c>
      <c r="BA298" t="s">
        <v>282</v>
      </c>
      <c r="BB298" t="s">
        <v>1197</v>
      </c>
      <c r="BC298">
        <v>1</v>
      </c>
    </row>
    <row r="299" spans="1:55" x14ac:dyDescent="0.25">
      <c r="A299" t="s">
        <v>99</v>
      </c>
      <c r="B299">
        <v>17</v>
      </c>
      <c r="C299" t="s">
        <v>1088</v>
      </c>
      <c r="D299" s="158">
        <v>45199</v>
      </c>
      <c r="E299">
        <v>613182</v>
      </c>
      <c r="F299">
        <v>10202379</v>
      </c>
      <c r="G299">
        <v>53927978</v>
      </c>
      <c r="H299" t="b">
        <v>0</v>
      </c>
      <c r="I299">
        <v>50</v>
      </c>
      <c r="J299" t="s">
        <v>1187</v>
      </c>
      <c r="K299">
        <v>216</v>
      </c>
      <c r="L299">
        <v>216</v>
      </c>
      <c r="M299">
        <v>1</v>
      </c>
      <c r="N299">
        <v>216</v>
      </c>
      <c r="O299">
        <v>0</v>
      </c>
      <c r="P299">
        <v>0</v>
      </c>
      <c r="Q299">
        <v>0</v>
      </c>
      <c r="R299">
        <v>0</v>
      </c>
      <c r="T299">
        <v>0</v>
      </c>
      <c r="U299">
        <v>0</v>
      </c>
      <c r="V299">
        <v>0</v>
      </c>
      <c r="W299">
        <v>0</v>
      </c>
      <c r="X299">
        <v>0</v>
      </c>
      <c r="Y299">
        <v>0</v>
      </c>
      <c r="Z299">
        <v>0</v>
      </c>
      <c r="AA299">
        <v>0</v>
      </c>
      <c r="AB299">
        <v>0</v>
      </c>
      <c r="AC299">
        <v>0</v>
      </c>
      <c r="AD299">
        <v>0</v>
      </c>
      <c r="AE299">
        <v>0</v>
      </c>
      <c r="AF299">
        <v>0</v>
      </c>
      <c r="AG299">
        <v>0</v>
      </c>
      <c r="AH299">
        <v>0</v>
      </c>
      <c r="AI299">
        <v>0</v>
      </c>
      <c r="AJ299">
        <v>0</v>
      </c>
      <c r="AK299">
        <v>0</v>
      </c>
      <c r="AL299">
        <v>0</v>
      </c>
      <c r="AM299">
        <v>0</v>
      </c>
      <c r="AN299">
        <v>216</v>
      </c>
      <c r="AV299" t="s">
        <v>1092</v>
      </c>
      <c r="AW299" t="s">
        <v>1092</v>
      </c>
      <c r="AX299">
        <v>0</v>
      </c>
      <c r="AY299">
        <v>0</v>
      </c>
      <c r="AZ299" t="s">
        <v>282</v>
      </c>
      <c r="BA299" t="s">
        <v>282</v>
      </c>
      <c r="BB299" t="s">
        <v>1191</v>
      </c>
      <c r="BC299">
        <v>2</v>
      </c>
    </row>
    <row r="300" spans="1:55" x14ac:dyDescent="0.25">
      <c r="A300" t="s">
        <v>99</v>
      </c>
      <c r="B300">
        <v>17</v>
      </c>
      <c r="C300" t="s">
        <v>1088</v>
      </c>
      <c r="D300" s="158">
        <v>45199</v>
      </c>
      <c r="E300">
        <v>120152</v>
      </c>
      <c r="F300">
        <v>9446019</v>
      </c>
      <c r="G300">
        <v>48060932</v>
      </c>
      <c r="H300" t="b">
        <v>0</v>
      </c>
      <c r="I300">
        <v>198</v>
      </c>
      <c r="J300" t="s">
        <v>1211</v>
      </c>
      <c r="K300">
        <v>66</v>
      </c>
      <c r="L300">
        <v>66</v>
      </c>
      <c r="M300">
        <v>1</v>
      </c>
      <c r="N300">
        <v>66</v>
      </c>
      <c r="O300">
        <v>0</v>
      </c>
      <c r="P300">
        <v>0</v>
      </c>
      <c r="Q300">
        <v>0</v>
      </c>
      <c r="R300">
        <v>0</v>
      </c>
      <c r="T300">
        <v>0</v>
      </c>
      <c r="U300">
        <v>0</v>
      </c>
      <c r="V300">
        <v>0</v>
      </c>
      <c r="W300">
        <v>0</v>
      </c>
      <c r="X300">
        <v>0</v>
      </c>
      <c r="Y300">
        <v>0</v>
      </c>
      <c r="Z300">
        <v>0</v>
      </c>
      <c r="AA300">
        <v>0</v>
      </c>
      <c r="AB300">
        <v>0</v>
      </c>
      <c r="AC300">
        <v>0</v>
      </c>
      <c r="AD300">
        <v>0</v>
      </c>
      <c r="AE300">
        <v>0</v>
      </c>
      <c r="AF300">
        <v>0</v>
      </c>
      <c r="AG300">
        <v>0</v>
      </c>
      <c r="AH300">
        <v>0</v>
      </c>
      <c r="AI300">
        <v>0</v>
      </c>
      <c r="AJ300">
        <v>0</v>
      </c>
      <c r="AK300">
        <v>0</v>
      </c>
      <c r="AL300">
        <v>0</v>
      </c>
      <c r="AM300">
        <v>0</v>
      </c>
      <c r="AN300">
        <v>66</v>
      </c>
      <c r="AV300" t="s">
        <v>1092</v>
      </c>
      <c r="AW300" t="s">
        <v>1092</v>
      </c>
      <c r="AX300">
        <v>0</v>
      </c>
      <c r="AY300">
        <v>0</v>
      </c>
      <c r="AZ300" t="s">
        <v>282</v>
      </c>
      <c r="BA300" t="s">
        <v>282</v>
      </c>
      <c r="BB300" t="s">
        <v>1204</v>
      </c>
      <c r="BC300">
        <v>7</v>
      </c>
    </row>
    <row r="301" spans="1:55" x14ac:dyDescent="0.25">
      <c r="A301" t="s">
        <v>99</v>
      </c>
      <c r="B301">
        <v>17</v>
      </c>
      <c r="C301" t="s">
        <v>1088</v>
      </c>
      <c r="D301" s="158">
        <v>45199</v>
      </c>
      <c r="E301">
        <v>607542</v>
      </c>
      <c r="F301">
        <v>10092566</v>
      </c>
      <c r="G301">
        <v>52322462</v>
      </c>
      <c r="H301" t="b">
        <v>0</v>
      </c>
      <c r="I301">
        <v>64</v>
      </c>
      <c r="J301" t="s">
        <v>1187</v>
      </c>
      <c r="K301">
        <v>216</v>
      </c>
      <c r="L301">
        <v>216</v>
      </c>
      <c r="M301">
        <v>1</v>
      </c>
      <c r="N301">
        <v>216</v>
      </c>
      <c r="O301">
        <v>0</v>
      </c>
      <c r="P301">
        <v>0</v>
      </c>
      <c r="Q301">
        <v>450</v>
      </c>
      <c r="R301">
        <v>0</v>
      </c>
      <c r="T301">
        <v>0</v>
      </c>
      <c r="U301">
        <v>0</v>
      </c>
      <c r="V301">
        <v>0</v>
      </c>
      <c r="W301">
        <v>0</v>
      </c>
      <c r="X301">
        <v>0</v>
      </c>
      <c r="Y301">
        <v>0</v>
      </c>
      <c r="Z301">
        <v>0</v>
      </c>
      <c r="AA301">
        <v>0</v>
      </c>
      <c r="AB301">
        <v>0</v>
      </c>
      <c r="AC301">
        <v>0</v>
      </c>
      <c r="AD301">
        <v>0</v>
      </c>
      <c r="AE301">
        <v>0</v>
      </c>
      <c r="AF301">
        <v>0</v>
      </c>
      <c r="AG301">
        <v>0</v>
      </c>
      <c r="AH301">
        <v>0</v>
      </c>
      <c r="AI301">
        <v>0</v>
      </c>
      <c r="AJ301">
        <v>0</v>
      </c>
      <c r="AK301">
        <v>0</v>
      </c>
      <c r="AL301">
        <v>0</v>
      </c>
      <c r="AM301">
        <v>0</v>
      </c>
      <c r="AN301">
        <v>-234</v>
      </c>
      <c r="AV301" t="s">
        <v>1092</v>
      </c>
      <c r="AW301" t="s">
        <v>1092</v>
      </c>
      <c r="AX301">
        <v>0</v>
      </c>
      <c r="AY301">
        <v>0</v>
      </c>
      <c r="AZ301" t="s">
        <v>282</v>
      </c>
      <c r="BA301" t="s">
        <v>282</v>
      </c>
      <c r="BB301" t="s">
        <v>1186</v>
      </c>
      <c r="BC301">
        <v>3</v>
      </c>
    </row>
    <row r="302" spans="1:55" x14ac:dyDescent="0.25">
      <c r="A302" t="s">
        <v>99</v>
      </c>
      <c r="B302">
        <v>17</v>
      </c>
      <c r="C302" t="s">
        <v>1088</v>
      </c>
      <c r="D302" s="158">
        <v>45199</v>
      </c>
      <c r="E302">
        <v>625508</v>
      </c>
      <c r="F302">
        <v>10438192</v>
      </c>
      <c r="G302">
        <v>54286088</v>
      </c>
      <c r="H302" t="b">
        <v>0</v>
      </c>
      <c r="I302">
        <v>1</v>
      </c>
      <c r="J302" t="s">
        <v>1187</v>
      </c>
      <c r="K302">
        <v>216</v>
      </c>
      <c r="L302">
        <v>216</v>
      </c>
      <c r="M302">
        <v>1</v>
      </c>
      <c r="N302">
        <v>216</v>
      </c>
      <c r="O302">
        <v>0</v>
      </c>
      <c r="P302">
        <v>0</v>
      </c>
      <c r="Q302">
        <v>0</v>
      </c>
      <c r="R302">
        <v>0</v>
      </c>
      <c r="T302">
        <v>0</v>
      </c>
      <c r="U302">
        <v>0</v>
      </c>
      <c r="V302">
        <v>0</v>
      </c>
      <c r="W302">
        <v>0</v>
      </c>
      <c r="X302">
        <v>0</v>
      </c>
      <c r="Y302">
        <v>0</v>
      </c>
      <c r="Z302">
        <v>0</v>
      </c>
      <c r="AA302">
        <v>0</v>
      </c>
      <c r="AB302">
        <v>0</v>
      </c>
      <c r="AC302">
        <v>0</v>
      </c>
      <c r="AD302">
        <v>0</v>
      </c>
      <c r="AE302">
        <v>0</v>
      </c>
      <c r="AF302">
        <v>0</v>
      </c>
      <c r="AG302">
        <v>0</v>
      </c>
      <c r="AH302">
        <v>0</v>
      </c>
      <c r="AI302">
        <v>0</v>
      </c>
      <c r="AJ302">
        <v>0</v>
      </c>
      <c r="AK302">
        <v>0</v>
      </c>
      <c r="AL302">
        <v>0</v>
      </c>
      <c r="AM302">
        <v>0</v>
      </c>
      <c r="AN302">
        <v>216</v>
      </c>
      <c r="AV302" t="s">
        <v>1092</v>
      </c>
      <c r="AW302" t="s">
        <v>1092</v>
      </c>
      <c r="AX302">
        <v>0</v>
      </c>
      <c r="AY302">
        <v>0</v>
      </c>
      <c r="AZ302" t="s">
        <v>282</v>
      </c>
      <c r="BA302" t="s">
        <v>282</v>
      </c>
      <c r="BB302" t="s">
        <v>1197</v>
      </c>
      <c r="BC302">
        <v>1</v>
      </c>
    </row>
    <row r="303" spans="1:55" x14ac:dyDescent="0.25">
      <c r="A303" t="s">
        <v>99</v>
      </c>
      <c r="B303">
        <v>17</v>
      </c>
      <c r="C303" t="s">
        <v>1088</v>
      </c>
      <c r="D303" s="158">
        <v>45199</v>
      </c>
      <c r="E303">
        <v>375220</v>
      </c>
      <c r="F303">
        <v>5624683</v>
      </c>
      <c r="G303">
        <v>28006724</v>
      </c>
      <c r="H303" t="b">
        <v>0</v>
      </c>
      <c r="I303">
        <v>1219</v>
      </c>
      <c r="J303" t="s">
        <v>1184</v>
      </c>
      <c r="K303">
        <v>216</v>
      </c>
      <c r="L303">
        <v>216</v>
      </c>
      <c r="M303">
        <v>1</v>
      </c>
      <c r="N303">
        <v>216</v>
      </c>
      <c r="O303">
        <v>0</v>
      </c>
      <c r="P303">
        <v>0</v>
      </c>
      <c r="Q303">
        <v>16</v>
      </c>
      <c r="R303">
        <v>0</v>
      </c>
      <c r="T303">
        <v>0</v>
      </c>
      <c r="U303">
        <v>0</v>
      </c>
      <c r="V303">
        <v>0</v>
      </c>
      <c r="W303">
        <v>0</v>
      </c>
      <c r="X303">
        <v>0</v>
      </c>
      <c r="Y303">
        <v>0</v>
      </c>
      <c r="Z303">
        <v>0</v>
      </c>
      <c r="AA303">
        <v>0</v>
      </c>
      <c r="AB303">
        <v>0</v>
      </c>
      <c r="AC303">
        <v>0</v>
      </c>
      <c r="AD303">
        <v>0</v>
      </c>
      <c r="AE303">
        <v>0</v>
      </c>
      <c r="AF303">
        <v>0</v>
      </c>
      <c r="AG303">
        <v>0</v>
      </c>
      <c r="AH303">
        <v>0</v>
      </c>
      <c r="AI303">
        <v>0</v>
      </c>
      <c r="AJ303">
        <v>0</v>
      </c>
      <c r="AK303">
        <v>0</v>
      </c>
      <c r="AL303">
        <v>0</v>
      </c>
      <c r="AM303">
        <v>0</v>
      </c>
      <c r="AN303">
        <v>200</v>
      </c>
      <c r="AV303" t="s">
        <v>1092</v>
      </c>
      <c r="AW303" t="s">
        <v>1092</v>
      </c>
      <c r="AX303">
        <v>0</v>
      </c>
      <c r="AY303">
        <v>0</v>
      </c>
      <c r="AZ303" t="s">
        <v>282</v>
      </c>
      <c r="BA303" t="s">
        <v>282</v>
      </c>
      <c r="BB303" t="s">
        <v>1200</v>
      </c>
      <c r="BC303">
        <v>8</v>
      </c>
    </row>
    <row r="304" spans="1:55" x14ac:dyDescent="0.25">
      <c r="A304" t="s">
        <v>99</v>
      </c>
      <c r="B304">
        <v>17</v>
      </c>
      <c r="C304" t="s">
        <v>1088</v>
      </c>
      <c r="D304" s="158">
        <v>45199</v>
      </c>
      <c r="E304">
        <v>290994</v>
      </c>
      <c r="F304">
        <v>5628463</v>
      </c>
      <c r="G304">
        <v>27988362</v>
      </c>
      <c r="H304" t="b">
        <v>0</v>
      </c>
      <c r="I304">
        <v>1220</v>
      </c>
      <c r="J304" t="s">
        <v>1187</v>
      </c>
      <c r="K304">
        <v>150</v>
      </c>
      <c r="L304">
        <v>150</v>
      </c>
      <c r="M304">
        <v>1</v>
      </c>
      <c r="N304">
        <v>150</v>
      </c>
      <c r="O304">
        <v>0</v>
      </c>
      <c r="P304">
        <v>0</v>
      </c>
      <c r="Q304">
        <v>150.4</v>
      </c>
      <c r="R304">
        <v>0</v>
      </c>
      <c r="T304">
        <v>0</v>
      </c>
      <c r="U304">
        <v>0</v>
      </c>
      <c r="V304">
        <v>0</v>
      </c>
      <c r="W304">
        <v>0</v>
      </c>
      <c r="X304">
        <v>0</v>
      </c>
      <c r="Y304">
        <v>0</v>
      </c>
      <c r="Z304">
        <v>0</v>
      </c>
      <c r="AA304">
        <v>0</v>
      </c>
      <c r="AB304">
        <v>0</v>
      </c>
      <c r="AC304">
        <v>0</v>
      </c>
      <c r="AD304">
        <v>0</v>
      </c>
      <c r="AE304">
        <v>0</v>
      </c>
      <c r="AF304">
        <v>0</v>
      </c>
      <c r="AG304">
        <v>0</v>
      </c>
      <c r="AH304">
        <v>0</v>
      </c>
      <c r="AI304">
        <v>0</v>
      </c>
      <c r="AJ304">
        <v>0</v>
      </c>
      <c r="AK304">
        <v>0</v>
      </c>
      <c r="AL304">
        <v>0</v>
      </c>
      <c r="AM304">
        <v>0</v>
      </c>
      <c r="AN304">
        <v>-0.4</v>
      </c>
      <c r="AV304" t="s">
        <v>1092</v>
      </c>
      <c r="AW304" t="s">
        <v>1092</v>
      </c>
      <c r="AX304">
        <v>0</v>
      </c>
      <c r="AY304">
        <v>0</v>
      </c>
      <c r="AZ304" t="s">
        <v>282</v>
      </c>
      <c r="BA304" t="s">
        <v>282</v>
      </c>
      <c r="BB304" t="s">
        <v>1200</v>
      </c>
      <c r="BC304">
        <v>8</v>
      </c>
    </row>
    <row r="305" spans="1:55" x14ac:dyDescent="0.25">
      <c r="A305" t="s">
        <v>99</v>
      </c>
      <c r="B305">
        <v>17</v>
      </c>
      <c r="C305" t="s">
        <v>1088</v>
      </c>
      <c r="D305" s="158">
        <v>45199</v>
      </c>
      <c r="E305">
        <v>375220</v>
      </c>
      <c r="F305">
        <v>5624683</v>
      </c>
      <c r="G305">
        <v>28006719</v>
      </c>
      <c r="H305" t="b">
        <v>0</v>
      </c>
      <c r="I305">
        <v>1219</v>
      </c>
      <c r="J305" t="s">
        <v>1184</v>
      </c>
      <c r="K305">
        <v>216</v>
      </c>
      <c r="L305">
        <v>216</v>
      </c>
      <c r="M305">
        <v>1</v>
      </c>
      <c r="N305">
        <v>216</v>
      </c>
      <c r="O305">
        <v>0</v>
      </c>
      <c r="P305">
        <v>0</v>
      </c>
      <c r="Q305">
        <v>416</v>
      </c>
      <c r="R305">
        <v>0</v>
      </c>
      <c r="T305">
        <v>0</v>
      </c>
      <c r="U305">
        <v>0</v>
      </c>
      <c r="V305">
        <v>0</v>
      </c>
      <c r="W305">
        <v>0</v>
      </c>
      <c r="X305">
        <v>0</v>
      </c>
      <c r="Y305">
        <v>0</v>
      </c>
      <c r="Z305">
        <v>0</v>
      </c>
      <c r="AA305">
        <v>0</v>
      </c>
      <c r="AB305">
        <v>0</v>
      </c>
      <c r="AC305">
        <v>0</v>
      </c>
      <c r="AD305">
        <v>0</v>
      </c>
      <c r="AE305">
        <v>0</v>
      </c>
      <c r="AF305">
        <v>0</v>
      </c>
      <c r="AG305">
        <v>0</v>
      </c>
      <c r="AH305">
        <v>0</v>
      </c>
      <c r="AI305">
        <v>0</v>
      </c>
      <c r="AJ305">
        <v>0</v>
      </c>
      <c r="AK305">
        <v>0</v>
      </c>
      <c r="AL305">
        <v>0</v>
      </c>
      <c r="AM305">
        <v>0</v>
      </c>
      <c r="AN305">
        <v>-200</v>
      </c>
      <c r="AV305" t="s">
        <v>1092</v>
      </c>
      <c r="AW305" t="s">
        <v>1092</v>
      </c>
      <c r="AX305">
        <v>0</v>
      </c>
      <c r="AY305">
        <v>0</v>
      </c>
      <c r="AZ305" t="s">
        <v>282</v>
      </c>
      <c r="BA305" t="s">
        <v>282</v>
      </c>
      <c r="BB305" t="s">
        <v>1200</v>
      </c>
      <c r="BC305">
        <v>8</v>
      </c>
    </row>
    <row r="306" spans="1:55" x14ac:dyDescent="0.25">
      <c r="A306" t="s">
        <v>99</v>
      </c>
      <c r="B306">
        <v>17</v>
      </c>
      <c r="C306" t="s">
        <v>1088</v>
      </c>
      <c r="D306" s="158">
        <v>45199</v>
      </c>
      <c r="E306">
        <v>155558</v>
      </c>
      <c r="F306">
        <v>10213979</v>
      </c>
      <c r="G306">
        <v>53293967</v>
      </c>
      <c r="H306" t="b">
        <v>0</v>
      </c>
      <c r="I306">
        <v>36</v>
      </c>
      <c r="J306" t="s">
        <v>1247</v>
      </c>
      <c r="K306">
        <v>18</v>
      </c>
      <c r="L306">
        <v>18</v>
      </c>
      <c r="M306">
        <v>1</v>
      </c>
      <c r="N306">
        <v>18</v>
      </c>
      <c r="O306">
        <v>0</v>
      </c>
      <c r="P306">
        <v>0</v>
      </c>
      <c r="Q306">
        <v>0</v>
      </c>
      <c r="R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0</v>
      </c>
      <c r="AN306">
        <v>18</v>
      </c>
      <c r="AV306" t="s">
        <v>1092</v>
      </c>
      <c r="AW306" t="s">
        <v>1092</v>
      </c>
      <c r="AX306">
        <v>0</v>
      </c>
      <c r="AY306">
        <v>0</v>
      </c>
      <c r="AZ306" t="s">
        <v>282</v>
      </c>
      <c r="BA306" t="s">
        <v>282</v>
      </c>
      <c r="BB306" t="s">
        <v>1191</v>
      </c>
      <c r="BC306">
        <v>2</v>
      </c>
    </row>
    <row r="307" spans="1:55" x14ac:dyDescent="0.25">
      <c r="A307" t="s">
        <v>99</v>
      </c>
      <c r="B307">
        <v>17</v>
      </c>
      <c r="C307" t="s">
        <v>1088</v>
      </c>
      <c r="D307" s="158">
        <v>45199</v>
      </c>
      <c r="E307">
        <v>155558</v>
      </c>
      <c r="F307">
        <v>10213979</v>
      </c>
      <c r="G307">
        <v>53293962</v>
      </c>
      <c r="H307" t="b">
        <v>0</v>
      </c>
      <c r="I307">
        <v>36</v>
      </c>
      <c r="J307" t="s">
        <v>1184</v>
      </c>
      <c r="K307">
        <v>216</v>
      </c>
      <c r="L307">
        <v>216</v>
      </c>
      <c r="M307">
        <v>1</v>
      </c>
      <c r="N307">
        <v>216</v>
      </c>
      <c r="O307">
        <v>0</v>
      </c>
      <c r="P307">
        <v>0</v>
      </c>
      <c r="Q307">
        <v>768</v>
      </c>
      <c r="R307">
        <v>0</v>
      </c>
      <c r="T307">
        <v>0</v>
      </c>
      <c r="U307">
        <v>0</v>
      </c>
      <c r="V307">
        <v>0</v>
      </c>
      <c r="W307">
        <v>0</v>
      </c>
      <c r="X307">
        <v>0</v>
      </c>
      <c r="Y307">
        <v>0</v>
      </c>
      <c r="Z307">
        <v>0</v>
      </c>
      <c r="AA307">
        <v>0</v>
      </c>
      <c r="AB307">
        <v>0</v>
      </c>
      <c r="AC307">
        <v>0</v>
      </c>
      <c r="AD307">
        <v>0</v>
      </c>
      <c r="AE307">
        <v>0</v>
      </c>
      <c r="AF307">
        <v>0</v>
      </c>
      <c r="AG307">
        <v>0</v>
      </c>
      <c r="AH307">
        <v>0</v>
      </c>
      <c r="AI307">
        <v>0</v>
      </c>
      <c r="AJ307">
        <v>0</v>
      </c>
      <c r="AK307">
        <v>0</v>
      </c>
      <c r="AL307">
        <v>0</v>
      </c>
      <c r="AM307">
        <v>0</v>
      </c>
      <c r="AN307">
        <v>-552</v>
      </c>
      <c r="AV307" t="s">
        <v>1092</v>
      </c>
      <c r="AW307" t="s">
        <v>1092</v>
      </c>
      <c r="AX307">
        <v>0</v>
      </c>
      <c r="AY307">
        <v>0</v>
      </c>
      <c r="AZ307" t="s">
        <v>282</v>
      </c>
      <c r="BA307" t="s">
        <v>282</v>
      </c>
      <c r="BB307" t="s">
        <v>1191</v>
      </c>
      <c r="BC307">
        <v>2</v>
      </c>
    </row>
    <row r="308" spans="1:55" x14ac:dyDescent="0.25">
      <c r="A308" t="s">
        <v>99</v>
      </c>
      <c r="B308">
        <v>17</v>
      </c>
      <c r="C308" t="s">
        <v>1088</v>
      </c>
      <c r="D308" s="158">
        <v>45199</v>
      </c>
      <c r="E308">
        <v>323672</v>
      </c>
      <c r="F308">
        <v>4836795</v>
      </c>
      <c r="G308">
        <v>22933096</v>
      </c>
      <c r="H308" t="b">
        <v>0</v>
      </c>
      <c r="I308">
        <v>1510</v>
      </c>
      <c r="J308" t="s">
        <v>1184</v>
      </c>
      <c r="K308">
        <v>216</v>
      </c>
      <c r="L308">
        <v>216</v>
      </c>
      <c r="M308">
        <v>1</v>
      </c>
      <c r="N308">
        <v>0</v>
      </c>
      <c r="O308">
        <v>216</v>
      </c>
      <c r="P308">
        <v>0</v>
      </c>
      <c r="Q308">
        <v>0</v>
      </c>
      <c r="R308">
        <v>0</v>
      </c>
      <c r="T308">
        <v>216</v>
      </c>
      <c r="U308">
        <v>0</v>
      </c>
      <c r="V308">
        <v>0</v>
      </c>
      <c r="W308">
        <v>0</v>
      </c>
      <c r="X308">
        <v>0</v>
      </c>
      <c r="Y308">
        <v>0</v>
      </c>
      <c r="Z308">
        <v>0</v>
      </c>
      <c r="AA308">
        <v>0</v>
      </c>
      <c r="AB308">
        <v>0</v>
      </c>
      <c r="AC308">
        <v>0</v>
      </c>
      <c r="AD308">
        <v>0</v>
      </c>
      <c r="AE308">
        <v>0</v>
      </c>
      <c r="AF308">
        <v>0</v>
      </c>
      <c r="AG308">
        <v>0</v>
      </c>
      <c r="AH308">
        <v>0</v>
      </c>
      <c r="AI308">
        <v>0</v>
      </c>
      <c r="AJ308">
        <v>0</v>
      </c>
      <c r="AK308">
        <v>0</v>
      </c>
      <c r="AL308">
        <v>0</v>
      </c>
      <c r="AM308">
        <v>0</v>
      </c>
      <c r="AN308">
        <v>216</v>
      </c>
      <c r="AP308" t="s">
        <v>1090</v>
      </c>
      <c r="AS308" t="s">
        <v>1209</v>
      </c>
      <c r="AV308" t="s">
        <v>1092</v>
      </c>
      <c r="AW308" t="s">
        <v>1092</v>
      </c>
      <c r="AX308">
        <v>0</v>
      </c>
      <c r="AY308">
        <v>0</v>
      </c>
      <c r="AZ308" t="s">
        <v>282</v>
      </c>
      <c r="BA308" t="s">
        <v>282</v>
      </c>
      <c r="BB308" t="s">
        <v>1200</v>
      </c>
      <c r="BC308">
        <v>8</v>
      </c>
    </row>
    <row r="309" spans="1:55" x14ac:dyDescent="0.25">
      <c r="A309" t="s">
        <v>99</v>
      </c>
      <c r="B309">
        <v>17</v>
      </c>
      <c r="C309" t="s">
        <v>1088</v>
      </c>
      <c r="D309" s="158">
        <v>45199</v>
      </c>
      <c r="E309">
        <v>323672</v>
      </c>
      <c r="F309">
        <v>4836795</v>
      </c>
      <c r="G309">
        <v>22933095</v>
      </c>
      <c r="H309" t="b">
        <v>0</v>
      </c>
      <c r="I309">
        <v>1510</v>
      </c>
      <c r="J309" t="s">
        <v>1184</v>
      </c>
      <c r="K309">
        <v>216</v>
      </c>
      <c r="L309">
        <v>216</v>
      </c>
      <c r="M309">
        <v>1</v>
      </c>
      <c r="N309">
        <v>0</v>
      </c>
      <c r="O309">
        <v>216</v>
      </c>
      <c r="P309">
        <v>0</v>
      </c>
      <c r="Q309">
        <v>432</v>
      </c>
      <c r="R309">
        <v>0</v>
      </c>
      <c r="T309">
        <v>216</v>
      </c>
      <c r="U309">
        <v>0</v>
      </c>
      <c r="V309">
        <v>0</v>
      </c>
      <c r="W309">
        <v>0</v>
      </c>
      <c r="X309">
        <v>0</v>
      </c>
      <c r="Y309">
        <v>0</v>
      </c>
      <c r="Z309">
        <v>0</v>
      </c>
      <c r="AA309">
        <v>0</v>
      </c>
      <c r="AB309">
        <v>0</v>
      </c>
      <c r="AC309">
        <v>0</v>
      </c>
      <c r="AD309">
        <v>0</v>
      </c>
      <c r="AE309">
        <v>0</v>
      </c>
      <c r="AF309">
        <v>0</v>
      </c>
      <c r="AG309">
        <v>0</v>
      </c>
      <c r="AH309">
        <v>0</v>
      </c>
      <c r="AI309">
        <v>0</v>
      </c>
      <c r="AJ309">
        <v>0</v>
      </c>
      <c r="AK309">
        <v>0</v>
      </c>
      <c r="AL309">
        <v>0</v>
      </c>
      <c r="AM309">
        <v>0</v>
      </c>
      <c r="AN309">
        <v>-216</v>
      </c>
      <c r="AP309" t="s">
        <v>1090</v>
      </c>
      <c r="AS309" t="s">
        <v>1209</v>
      </c>
      <c r="AV309" t="s">
        <v>1092</v>
      </c>
      <c r="AW309" t="s">
        <v>1092</v>
      </c>
      <c r="AX309">
        <v>0</v>
      </c>
      <c r="AY309">
        <v>0</v>
      </c>
      <c r="AZ309" t="s">
        <v>282</v>
      </c>
      <c r="BA309" t="s">
        <v>282</v>
      </c>
      <c r="BB309" t="s">
        <v>1200</v>
      </c>
      <c r="BC309">
        <v>8</v>
      </c>
    </row>
    <row r="310" spans="1:55" x14ac:dyDescent="0.25">
      <c r="A310" t="s">
        <v>99</v>
      </c>
      <c r="B310">
        <v>17</v>
      </c>
      <c r="C310" t="s">
        <v>1088</v>
      </c>
      <c r="D310" s="158">
        <v>45199</v>
      </c>
      <c r="E310">
        <v>91890</v>
      </c>
      <c r="F310">
        <v>10289038</v>
      </c>
      <c r="G310">
        <v>53259721</v>
      </c>
      <c r="H310" t="b">
        <v>0</v>
      </c>
      <c r="I310">
        <v>33</v>
      </c>
      <c r="J310" t="s">
        <v>1184</v>
      </c>
      <c r="K310">
        <v>150</v>
      </c>
      <c r="L310">
        <v>150</v>
      </c>
      <c r="M310">
        <v>1</v>
      </c>
      <c r="N310">
        <v>150</v>
      </c>
      <c r="O310">
        <v>0</v>
      </c>
      <c r="P310">
        <v>0</v>
      </c>
      <c r="Q310">
        <v>0</v>
      </c>
      <c r="R310">
        <v>0</v>
      </c>
      <c r="T310">
        <v>0</v>
      </c>
      <c r="U310">
        <v>0</v>
      </c>
      <c r="V310">
        <v>0</v>
      </c>
      <c r="W310">
        <v>0</v>
      </c>
      <c r="X310">
        <v>0</v>
      </c>
      <c r="Y310">
        <v>0</v>
      </c>
      <c r="Z310">
        <v>0</v>
      </c>
      <c r="AA310">
        <v>0</v>
      </c>
      <c r="AB310">
        <v>0</v>
      </c>
      <c r="AC310">
        <v>0</v>
      </c>
      <c r="AD310">
        <v>0</v>
      </c>
      <c r="AE310">
        <v>0</v>
      </c>
      <c r="AF310">
        <v>0</v>
      </c>
      <c r="AG310">
        <v>0</v>
      </c>
      <c r="AH310">
        <v>0</v>
      </c>
      <c r="AI310">
        <v>0</v>
      </c>
      <c r="AJ310">
        <v>0</v>
      </c>
      <c r="AK310">
        <v>0</v>
      </c>
      <c r="AL310">
        <v>0</v>
      </c>
      <c r="AM310">
        <v>0</v>
      </c>
      <c r="AN310">
        <v>150</v>
      </c>
      <c r="AV310" t="s">
        <v>1092</v>
      </c>
      <c r="AW310" t="s">
        <v>1092</v>
      </c>
      <c r="AX310">
        <v>0</v>
      </c>
      <c r="AY310">
        <v>0</v>
      </c>
      <c r="AZ310" t="s">
        <v>282</v>
      </c>
      <c r="BA310" t="s">
        <v>282</v>
      </c>
      <c r="BB310" t="s">
        <v>1191</v>
      </c>
      <c r="BC310">
        <v>2</v>
      </c>
    </row>
    <row r="311" spans="1:55" x14ac:dyDescent="0.25">
      <c r="A311" t="s">
        <v>99</v>
      </c>
      <c r="B311">
        <v>17</v>
      </c>
      <c r="C311" t="s">
        <v>1088</v>
      </c>
      <c r="D311" s="158">
        <v>45199</v>
      </c>
      <c r="E311">
        <v>328477</v>
      </c>
      <c r="F311">
        <v>10003725</v>
      </c>
      <c r="G311">
        <v>51590407</v>
      </c>
      <c r="H311" t="b">
        <v>0</v>
      </c>
      <c r="I311">
        <v>86</v>
      </c>
      <c r="J311" t="s">
        <v>1187</v>
      </c>
      <c r="K311">
        <v>216</v>
      </c>
      <c r="L311">
        <v>216</v>
      </c>
      <c r="M311">
        <v>1</v>
      </c>
      <c r="N311">
        <v>0</v>
      </c>
      <c r="O311">
        <v>165.43</v>
      </c>
      <c r="P311">
        <v>0</v>
      </c>
      <c r="Q311">
        <v>0</v>
      </c>
      <c r="R311">
        <v>0</v>
      </c>
      <c r="T311">
        <v>216</v>
      </c>
      <c r="U311">
        <v>0</v>
      </c>
      <c r="V311">
        <v>0</v>
      </c>
      <c r="W311">
        <v>0</v>
      </c>
      <c r="X311">
        <v>50.57</v>
      </c>
      <c r="Y311">
        <v>0</v>
      </c>
      <c r="Z311">
        <v>0</v>
      </c>
      <c r="AA311">
        <v>0</v>
      </c>
      <c r="AB311">
        <v>0</v>
      </c>
      <c r="AC311">
        <v>0</v>
      </c>
      <c r="AD311">
        <v>0</v>
      </c>
      <c r="AE311">
        <v>0</v>
      </c>
      <c r="AF311">
        <v>0</v>
      </c>
      <c r="AG311">
        <v>0</v>
      </c>
      <c r="AH311">
        <v>0</v>
      </c>
      <c r="AI311">
        <v>0</v>
      </c>
      <c r="AJ311">
        <v>0</v>
      </c>
      <c r="AK311">
        <v>0</v>
      </c>
      <c r="AL311">
        <v>0</v>
      </c>
      <c r="AM311">
        <v>0</v>
      </c>
      <c r="AN311">
        <v>165.43</v>
      </c>
      <c r="AP311" t="s">
        <v>1091</v>
      </c>
      <c r="AS311" t="s">
        <v>1185</v>
      </c>
      <c r="AV311" t="s">
        <v>1092</v>
      </c>
      <c r="AW311" t="s">
        <v>1092</v>
      </c>
      <c r="AX311">
        <v>0</v>
      </c>
      <c r="AY311">
        <v>0</v>
      </c>
      <c r="AZ311" t="s">
        <v>282</v>
      </c>
      <c r="BA311" t="s">
        <v>282</v>
      </c>
      <c r="BB311" t="s">
        <v>1186</v>
      </c>
      <c r="BC311">
        <v>3</v>
      </c>
    </row>
    <row r="312" spans="1:55" x14ac:dyDescent="0.25">
      <c r="A312" t="s">
        <v>99</v>
      </c>
      <c r="B312">
        <v>17</v>
      </c>
      <c r="C312" t="s">
        <v>1088</v>
      </c>
      <c r="D312" s="158">
        <v>45199</v>
      </c>
      <c r="E312">
        <v>185309</v>
      </c>
      <c r="F312">
        <v>7826913</v>
      </c>
      <c r="G312">
        <v>39333264</v>
      </c>
      <c r="H312" t="b">
        <v>0</v>
      </c>
      <c r="I312">
        <v>550</v>
      </c>
      <c r="J312" t="s">
        <v>1184</v>
      </c>
      <c r="K312">
        <v>186</v>
      </c>
      <c r="L312">
        <v>186</v>
      </c>
      <c r="M312">
        <v>1</v>
      </c>
      <c r="N312">
        <v>186</v>
      </c>
      <c r="O312">
        <v>0</v>
      </c>
      <c r="P312">
        <v>0</v>
      </c>
      <c r="Q312">
        <v>156</v>
      </c>
      <c r="R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0</v>
      </c>
      <c r="AN312">
        <v>30</v>
      </c>
      <c r="AV312" t="s">
        <v>1092</v>
      </c>
      <c r="AW312" t="s">
        <v>1092</v>
      </c>
      <c r="AX312">
        <v>0</v>
      </c>
      <c r="AY312">
        <v>0</v>
      </c>
      <c r="AZ312" t="s">
        <v>282</v>
      </c>
      <c r="BA312" t="s">
        <v>282</v>
      </c>
      <c r="BB312" t="s">
        <v>1200</v>
      </c>
      <c r="BC312">
        <v>8</v>
      </c>
    </row>
    <row r="313" spans="1:55" x14ac:dyDescent="0.25">
      <c r="A313" t="s">
        <v>102</v>
      </c>
      <c r="B313">
        <v>17</v>
      </c>
      <c r="C313" t="s">
        <v>1088</v>
      </c>
      <c r="D313" s="158">
        <v>45199</v>
      </c>
      <c r="E313">
        <v>507005</v>
      </c>
      <c r="H313" t="b">
        <v>0</v>
      </c>
      <c r="I313">
        <v>1</v>
      </c>
      <c r="J313" t="s">
        <v>1212</v>
      </c>
      <c r="AN313">
        <v>-331</v>
      </c>
      <c r="AV313" t="s">
        <v>1092</v>
      </c>
      <c r="AW313" t="s">
        <v>1092</v>
      </c>
      <c r="BA313" t="s">
        <v>282</v>
      </c>
      <c r="BB313" t="s">
        <v>1197</v>
      </c>
      <c r="BC313">
        <v>1</v>
      </c>
    </row>
    <row r="314" spans="1:55" x14ac:dyDescent="0.25">
      <c r="A314" t="s">
        <v>102</v>
      </c>
      <c r="B314">
        <v>17</v>
      </c>
      <c r="C314" t="s">
        <v>1088</v>
      </c>
      <c r="D314" s="158">
        <v>45199</v>
      </c>
      <c r="E314">
        <v>133308</v>
      </c>
      <c r="H314" t="b">
        <v>0</v>
      </c>
      <c r="I314">
        <v>1</v>
      </c>
      <c r="J314" t="s">
        <v>1212</v>
      </c>
      <c r="AN314">
        <v>-142</v>
      </c>
      <c r="AV314" t="s">
        <v>1092</v>
      </c>
      <c r="AW314" t="s">
        <v>1092</v>
      </c>
      <c r="BA314" t="s">
        <v>282</v>
      </c>
      <c r="BB314" t="s">
        <v>1197</v>
      </c>
      <c r="BC314">
        <v>1</v>
      </c>
    </row>
    <row r="315" spans="1:55" x14ac:dyDescent="0.25">
      <c r="A315" t="s">
        <v>102</v>
      </c>
      <c r="B315">
        <v>17</v>
      </c>
      <c r="C315" t="s">
        <v>1088</v>
      </c>
      <c r="D315" s="158">
        <v>45199</v>
      </c>
      <c r="E315">
        <v>278174</v>
      </c>
      <c r="H315" t="b">
        <v>0</v>
      </c>
      <c r="I315">
        <v>1</v>
      </c>
      <c r="J315" t="s">
        <v>1212</v>
      </c>
      <c r="AN315">
        <v>-3.9</v>
      </c>
      <c r="AV315" t="s">
        <v>1092</v>
      </c>
      <c r="AW315" t="s">
        <v>1092</v>
      </c>
      <c r="BA315" t="s">
        <v>282</v>
      </c>
      <c r="BB315" t="s">
        <v>1197</v>
      </c>
      <c r="BC315">
        <v>1</v>
      </c>
    </row>
    <row r="316" spans="1:55" x14ac:dyDescent="0.25">
      <c r="A316" t="s">
        <v>102</v>
      </c>
      <c r="B316">
        <v>17</v>
      </c>
      <c r="C316" t="s">
        <v>1088</v>
      </c>
      <c r="D316" s="158">
        <v>45199</v>
      </c>
      <c r="E316">
        <v>134768</v>
      </c>
      <c r="H316" t="b">
        <v>0</v>
      </c>
      <c r="I316">
        <v>1</v>
      </c>
      <c r="J316" t="s">
        <v>1212</v>
      </c>
      <c r="AN316">
        <v>-2</v>
      </c>
      <c r="AV316" t="s">
        <v>1092</v>
      </c>
      <c r="AW316" t="s">
        <v>1092</v>
      </c>
      <c r="BA316" t="s">
        <v>282</v>
      </c>
      <c r="BB316" t="s">
        <v>1197</v>
      </c>
      <c r="BC316">
        <v>1</v>
      </c>
    </row>
    <row r="317" spans="1:55" x14ac:dyDescent="0.25">
      <c r="A317" t="s">
        <v>102</v>
      </c>
      <c r="B317">
        <v>17</v>
      </c>
      <c r="C317" t="s">
        <v>1088</v>
      </c>
      <c r="D317" s="158">
        <v>45199</v>
      </c>
      <c r="E317">
        <v>63041</v>
      </c>
      <c r="H317" t="b">
        <v>0</v>
      </c>
      <c r="I317">
        <v>1</v>
      </c>
      <c r="J317" t="s">
        <v>1212</v>
      </c>
      <c r="AN317">
        <v>-18</v>
      </c>
      <c r="AV317" t="s">
        <v>1092</v>
      </c>
      <c r="AW317" t="s">
        <v>1092</v>
      </c>
      <c r="BA317" t="s">
        <v>282</v>
      </c>
      <c r="BB317" t="s">
        <v>1197</v>
      </c>
      <c r="BC317">
        <v>1</v>
      </c>
    </row>
    <row r="318" spans="1:55" x14ac:dyDescent="0.25">
      <c r="A318" t="s">
        <v>99</v>
      </c>
      <c r="B318">
        <v>17</v>
      </c>
      <c r="C318" t="s">
        <v>1088</v>
      </c>
      <c r="D318" s="158">
        <v>45199</v>
      </c>
      <c r="E318">
        <v>587958</v>
      </c>
      <c r="F318">
        <v>9740941</v>
      </c>
      <c r="G318">
        <v>50240735</v>
      </c>
      <c r="H318" t="b">
        <v>0</v>
      </c>
      <c r="I318">
        <v>131</v>
      </c>
      <c r="J318" t="s">
        <v>1187</v>
      </c>
      <c r="K318">
        <v>216</v>
      </c>
      <c r="L318">
        <v>216</v>
      </c>
      <c r="M318">
        <v>1</v>
      </c>
      <c r="N318">
        <v>0</v>
      </c>
      <c r="O318">
        <v>33.090000000000003</v>
      </c>
      <c r="P318">
        <v>0</v>
      </c>
      <c r="Q318">
        <v>0</v>
      </c>
      <c r="R318">
        <v>0</v>
      </c>
      <c r="T318">
        <v>216</v>
      </c>
      <c r="U318">
        <v>0</v>
      </c>
      <c r="V318">
        <v>1</v>
      </c>
      <c r="W318">
        <v>132.34</v>
      </c>
      <c r="X318">
        <v>50.57</v>
      </c>
      <c r="Y318">
        <v>0</v>
      </c>
      <c r="Z318">
        <v>0</v>
      </c>
      <c r="AA318">
        <v>0</v>
      </c>
      <c r="AB318">
        <v>0</v>
      </c>
      <c r="AC318">
        <v>0</v>
      </c>
      <c r="AD318">
        <v>0</v>
      </c>
      <c r="AE318">
        <v>0</v>
      </c>
      <c r="AF318">
        <v>0</v>
      </c>
      <c r="AG318">
        <v>0</v>
      </c>
      <c r="AH318">
        <v>0</v>
      </c>
      <c r="AI318">
        <v>0</v>
      </c>
      <c r="AJ318">
        <v>0</v>
      </c>
      <c r="AK318">
        <v>0</v>
      </c>
      <c r="AL318">
        <v>0</v>
      </c>
      <c r="AM318">
        <v>0</v>
      </c>
      <c r="AN318">
        <v>33.090000000000003</v>
      </c>
      <c r="AP318" t="s">
        <v>1091</v>
      </c>
      <c r="AS318" t="s">
        <v>1185</v>
      </c>
      <c r="AV318" t="s">
        <v>1092</v>
      </c>
      <c r="AW318" t="s">
        <v>1092</v>
      </c>
      <c r="AX318">
        <v>0</v>
      </c>
      <c r="AY318">
        <v>0</v>
      </c>
      <c r="AZ318" t="s">
        <v>282</v>
      </c>
      <c r="BA318" t="s">
        <v>282</v>
      </c>
      <c r="BB318" t="s">
        <v>1205</v>
      </c>
      <c r="BC318">
        <v>5</v>
      </c>
    </row>
    <row r="319" spans="1:55" x14ac:dyDescent="0.25">
      <c r="A319" t="s">
        <v>102</v>
      </c>
      <c r="B319">
        <v>17</v>
      </c>
      <c r="C319" t="s">
        <v>1088</v>
      </c>
      <c r="D319" s="158">
        <v>45199</v>
      </c>
      <c r="E319">
        <v>182025</v>
      </c>
      <c r="H319" t="b">
        <v>0</v>
      </c>
      <c r="I319">
        <v>1</v>
      </c>
      <c r="J319" t="s">
        <v>1212</v>
      </c>
      <c r="AN319">
        <v>-317.72000000000003</v>
      </c>
      <c r="AV319" t="s">
        <v>1092</v>
      </c>
      <c r="AW319" t="s">
        <v>1092</v>
      </c>
      <c r="BA319" t="s">
        <v>282</v>
      </c>
      <c r="BB319" t="s">
        <v>1197</v>
      </c>
      <c r="BC319">
        <v>1</v>
      </c>
    </row>
    <row r="320" spans="1:55" x14ac:dyDescent="0.25">
      <c r="A320" t="s">
        <v>99</v>
      </c>
      <c r="B320">
        <v>17</v>
      </c>
      <c r="C320" t="s">
        <v>1088</v>
      </c>
      <c r="D320" s="158">
        <v>45199</v>
      </c>
      <c r="E320">
        <v>296073</v>
      </c>
      <c r="F320">
        <v>4265765</v>
      </c>
      <c r="G320">
        <v>19352710</v>
      </c>
      <c r="H320" t="b">
        <v>0</v>
      </c>
      <c r="I320">
        <v>1730</v>
      </c>
      <c r="J320" t="s">
        <v>1184</v>
      </c>
      <c r="K320">
        <v>216</v>
      </c>
      <c r="L320">
        <v>216</v>
      </c>
      <c r="M320">
        <v>1</v>
      </c>
      <c r="N320">
        <v>0</v>
      </c>
      <c r="O320">
        <v>216</v>
      </c>
      <c r="P320">
        <v>0</v>
      </c>
      <c r="Q320">
        <v>432</v>
      </c>
      <c r="R320">
        <v>0</v>
      </c>
      <c r="T320">
        <v>216</v>
      </c>
      <c r="U320">
        <v>0</v>
      </c>
      <c r="V320">
        <v>0</v>
      </c>
      <c r="W320">
        <v>0</v>
      </c>
      <c r="X320">
        <v>0</v>
      </c>
      <c r="Y320">
        <v>0</v>
      </c>
      <c r="Z320">
        <v>0</v>
      </c>
      <c r="AA320">
        <v>0</v>
      </c>
      <c r="AB320">
        <v>0</v>
      </c>
      <c r="AC320">
        <v>0</v>
      </c>
      <c r="AD320">
        <v>0</v>
      </c>
      <c r="AE320">
        <v>0</v>
      </c>
      <c r="AF320">
        <v>0</v>
      </c>
      <c r="AG320">
        <v>0</v>
      </c>
      <c r="AH320">
        <v>0</v>
      </c>
      <c r="AI320">
        <v>0</v>
      </c>
      <c r="AJ320">
        <v>0</v>
      </c>
      <c r="AK320">
        <v>0</v>
      </c>
      <c r="AL320">
        <v>0</v>
      </c>
      <c r="AM320">
        <v>0</v>
      </c>
      <c r="AN320">
        <v>-216</v>
      </c>
      <c r="AP320" t="s">
        <v>1091</v>
      </c>
      <c r="AS320" t="s">
        <v>1185</v>
      </c>
      <c r="AV320" t="s">
        <v>1092</v>
      </c>
      <c r="AW320" t="s">
        <v>1092</v>
      </c>
      <c r="AX320">
        <v>0</v>
      </c>
      <c r="AY320">
        <v>0</v>
      </c>
      <c r="AZ320" t="s">
        <v>282</v>
      </c>
      <c r="BA320" t="s">
        <v>282</v>
      </c>
      <c r="BB320" t="s">
        <v>1200</v>
      </c>
      <c r="BC320">
        <v>8</v>
      </c>
    </row>
    <row r="321" spans="1:55" x14ac:dyDescent="0.25">
      <c r="A321" t="s">
        <v>102</v>
      </c>
      <c r="B321">
        <v>17</v>
      </c>
      <c r="C321" t="s">
        <v>1088</v>
      </c>
      <c r="D321" s="158">
        <v>45199</v>
      </c>
      <c r="E321">
        <v>494577</v>
      </c>
      <c r="H321" t="b">
        <v>0</v>
      </c>
      <c r="I321">
        <v>1</v>
      </c>
      <c r="J321" t="s">
        <v>1212</v>
      </c>
      <c r="AN321">
        <v>-1.5</v>
      </c>
      <c r="AV321" t="s">
        <v>1092</v>
      </c>
      <c r="AW321" t="s">
        <v>1092</v>
      </c>
      <c r="BA321" t="s">
        <v>282</v>
      </c>
      <c r="BB321" t="s">
        <v>1197</v>
      </c>
      <c r="BC321">
        <v>1</v>
      </c>
    </row>
    <row r="322" spans="1:55" x14ac:dyDescent="0.25">
      <c r="A322" t="s">
        <v>99</v>
      </c>
      <c r="B322">
        <v>17</v>
      </c>
      <c r="C322" t="s">
        <v>1088</v>
      </c>
      <c r="D322" s="158">
        <v>45199</v>
      </c>
      <c r="E322">
        <v>547805</v>
      </c>
      <c r="F322">
        <v>8875102</v>
      </c>
      <c r="G322">
        <v>45337512</v>
      </c>
      <c r="H322" t="b">
        <v>0</v>
      </c>
      <c r="I322">
        <v>299</v>
      </c>
      <c r="J322" t="s">
        <v>1187</v>
      </c>
      <c r="K322">
        <v>216</v>
      </c>
      <c r="L322">
        <v>216</v>
      </c>
      <c r="M322">
        <v>1</v>
      </c>
      <c r="N322">
        <v>216</v>
      </c>
      <c r="O322">
        <v>0</v>
      </c>
      <c r="P322">
        <v>0</v>
      </c>
      <c r="Q322">
        <v>174</v>
      </c>
      <c r="R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0</v>
      </c>
      <c r="AN322">
        <v>42</v>
      </c>
      <c r="AV322" t="s">
        <v>1092</v>
      </c>
      <c r="AW322" t="s">
        <v>1092</v>
      </c>
      <c r="AX322">
        <v>0</v>
      </c>
      <c r="AY322">
        <v>0</v>
      </c>
      <c r="AZ322" t="s">
        <v>282</v>
      </c>
      <c r="BA322" t="s">
        <v>282</v>
      </c>
      <c r="BB322" t="s">
        <v>1204</v>
      </c>
      <c r="BC322">
        <v>7</v>
      </c>
    </row>
    <row r="323" spans="1:55" x14ac:dyDescent="0.25">
      <c r="A323" t="s">
        <v>102</v>
      </c>
      <c r="B323">
        <v>17</v>
      </c>
      <c r="C323" t="s">
        <v>1088</v>
      </c>
      <c r="D323" s="158">
        <v>45199</v>
      </c>
      <c r="E323">
        <v>214375</v>
      </c>
      <c r="H323" t="b">
        <v>0</v>
      </c>
      <c r="I323">
        <v>1</v>
      </c>
      <c r="J323" t="s">
        <v>1212</v>
      </c>
      <c r="AN323">
        <v>-3.6</v>
      </c>
      <c r="AP323" t="s">
        <v>1091</v>
      </c>
      <c r="AV323" t="s">
        <v>1092</v>
      </c>
      <c r="AW323" t="s">
        <v>1092</v>
      </c>
      <c r="BA323" t="s">
        <v>282</v>
      </c>
      <c r="BB323" t="s">
        <v>1197</v>
      </c>
      <c r="BC323">
        <v>1</v>
      </c>
    </row>
    <row r="324" spans="1:55" x14ac:dyDescent="0.25">
      <c r="A324" t="s">
        <v>99</v>
      </c>
      <c r="B324">
        <v>17</v>
      </c>
      <c r="C324" t="s">
        <v>1088</v>
      </c>
      <c r="D324" s="158">
        <v>45199</v>
      </c>
      <c r="E324">
        <v>156769</v>
      </c>
      <c r="F324">
        <v>9284186</v>
      </c>
      <c r="G324">
        <v>47178197</v>
      </c>
      <c r="H324" t="b">
        <v>0</v>
      </c>
      <c r="I324">
        <v>228</v>
      </c>
      <c r="J324" t="s">
        <v>1184</v>
      </c>
      <c r="K324">
        <v>216</v>
      </c>
      <c r="L324">
        <v>216</v>
      </c>
      <c r="M324">
        <v>1</v>
      </c>
      <c r="N324">
        <v>0</v>
      </c>
      <c r="O324">
        <v>91.06</v>
      </c>
      <c r="P324">
        <v>0</v>
      </c>
      <c r="Q324">
        <v>0</v>
      </c>
      <c r="R324">
        <v>0</v>
      </c>
      <c r="T324">
        <v>216</v>
      </c>
      <c r="U324">
        <v>0</v>
      </c>
      <c r="V324">
        <v>2</v>
      </c>
      <c r="W324">
        <v>53.94</v>
      </c>
      <c r="X324">
        <v>71</v>
      </c>
      <c r="Y324">
        <v>0</v>
      </c>
      <c r="Z324">
        <v>0</v>
      </c>
      <c r="AA324">
        <v>0</v>
      </c>
      <c r="AB324">
        <v>0</v>
      </c>
      <c r="AC324">
        <v>0</v>
      </c>
      <c r="AD324">
        <v>0</v>
      </c>
      <c r="AE324">
        <v>0</v>
      </c>
      <c r="AF324">
        <v>0</v>
      </c>
      <c r="AG324">
        <v>0</v>
      </c>
      <c r="AH324">
        <v>0</v>
      </c>
      <c r="AI324">
        <v>0</v>
      </c>
      <c r="AJ324">
        <v>0</v>
      </c>
      <c r="AK324">
        <v>0</v>
      </c>
      <c r="AL324">
        <v>0</v>
      </c>
      <c r="AM324">
        <v>0</v>
      </c>
      <c r="AN324">
        <v>91.06</v>
      </c>
      <c r="AP324" t="s">
        <v>1091</v>
      </c>
      <c r="AS324" t="s">
        <v>1185</v>
      </c>
      <c r="AV324" t="s">
        <v>1092</v>
      </c>
      <c r="AW324" t="s">
        <v>1092</v>
      </c>
      <c r="AX324">
        <v>0</v>
      </c>
      <c r="AY324">
        <v>0</v>
      </c>
      <c r="AZ324" t="s">
        <v>282</v>
      </c>
      <c r="BA324" t="s">
        <v>282</v>
      </c>
      <c r="BB324" t="s">
        <v>1204</v>
      </c>
      <c r="BC324">
        <v>7</v>
      </c>
    </row>
    <row r="325" spans="1:55" x14ac:dyDescent="0.25">
      <c r="A325" t="s">
        <v>102</v>
      </c>
      <c r="B325">
        <v>17</v>
      </c>
      <c r="C325" t="s">
        <v>1088</v>
      </c>
      <c r="D325" s="158">
        <v>45199</v>
      </c>
      <c r="E325">
        <v>57683</v>
      </c>
      <c r="H325" t="b">
        <v>0</v>
      </c>
      <c r="I325">
        <v>1</v>
      </c>
      <c r="J325" t="s">
        <v>1212</v>
      </c>
      <c r="AN325">
        <v>-191.34</v>
      </c>
      <c r="AV325" t="s">
        <v>1092</v>
      </c>
      <c r="AW325" t="s">
        <v>1092</v>
      </c>
      <c r="BA325" t="s">
        <v>282</v>
      </c>
      <c r="BB325" t="s">
        <v>1197</v>
      </c>
      <c r="BC325">
        <v>1</v>
      </c>
    </row>
    <row r="326" spans="1:55" x14ac:dyDescent="0.25">
      <c r="A326" t="s">
        <v>102</v>
      </c>
      <c r="B326">
        <v>17</v>
      </c>
      <c r="C326" t="s">
        <v>1088</v>
      </c>
      <c r="D326" s="158">
        <v>45199</v>
      </c>
      <c r="E326">
        <v>334531</v>
      </c>
      <c r="H326" t="b">
        <v>0</v>
      </c>
      <c r="I326">
        <v>1</v>
      </c>
      <c r="J326" t="s">
        <v>1212</v>
      </c>
      <c r="AN326">
        <v>-5.68</v>
      </c>
      <c r="AV326" t="s">
        <v>1092</v>
      </c>
      <c r="AW326" t="s">
        <v>1092</v>
      </c>
      <c r="BA326" t="s">
        <v>282</v>
      </c>
      <c r="BB326" t="s">
        <v>1197</v>
      </c>
      <c r="BC326">
        <v>1</v>
      </c>
    </row>
    <row r="327" spans="1:55" x14ac:dyDescent="0.25">
      <c r="A327" t="s">
        <v>99</v>
      </c>
      <c r="B327">
        <v>17</v>
      </c>
      <c r="C327" t="s">
        <v>1088</v>
      </c>
      <c r="D327" s="158">
        <v>45199</v>
      </c>
      <c r="E327">
        <v>552336</v>
      </c>
      <c r="F327">
        <v>8989589</v>
      </c>
      <c r="G327">
        <v>45657146</v>
      </c>
      <c r="H327" t="b">
        <v>0</v>
      </c>
      <c r="I327">
        <v>288</v>
      </c>
      <c r="J327" t="s">
        <v>1224</v>
      </c>
      <c r="K327">
        <v>69</v>
      </c>
      <c r="L327">
        <v>69</v>
      </c>
      <c r="M327">
        <v>1</v>
      </c>
      <c r="N327">
        <v>69</v>
      </c>
      <c r="O327">
        <v>0</v>
      </c>
      <c r="P327">
        <v>0</v>
      </c>
      <c r="Q327">
        <v>0</v>
      </c>
      <c r="R327">
        <v>0</v>
      </c>
      <c r="T327">
        <v>0</v>
      </c>
      <c r="U327">
        <v>0</v>
      </c>
      <c r="V327">
        <v>0</v>
      </c>
      <c r="W327">
        <v>0</v>
      </c>
      <c r="X327">
        <v>0</v>
      </c>
      <c r="Y327">
        <v>0</v>
      </c>
      <c r="Z327">
        <v>0</v>
      </c>
      <c r="AA327">
        <v>0</v>
      </c>
      <c r="AB327">
        <v>0</v>
      </c>
      <c r="AC327">
        <v>0</v>
      </c>
      <c r="AD327">
        <v>0</v>
      </c>
      <c r="AE327">
        <v>0</v>
      </c>
      <c r="AF327">
        <v>0</v>
      </c>
      <c r="AG327">
        <v>0</v>
      </c>
      <c r="AH327">
        <v>0</v>
      </c>
      <c r="AI327">
        <v>0</v>
      </c>
      <c r="AJ327">
        <v>0</v>
      </c>
      <c r="AK327">
        <v>0</v>
      </c>
      <c r="AL327">
        <v>0</v>
      </c>
      <c r="AM327">
        <v>0</v>
      </c>
      <c r="AN327">
        <v>69</v>
      </c>
      <c r="AV327" t="s">
        <v>1092</v>
      </c>
      <c r="AW327" t="s">
        <v>1092</v>
      </c>
      <c r="AX327">
        <v>0</v>
      </c>
      <c r="AY327">
        <v>0</v>
      </c>
      <c r="AZ327" t="s">
        <v>282</v>
      </c>
      <c r="BA327" t="s">
        <v>282</v>
      </c>
      <c r="BB327" t="s">
        <v>1204</v>
      </c>
      <c r="BC327">
        <v>7</v>
      </c>
    </row>
    <row r="328" spans="1:55" x14ac:dyDescent="0.25">
      <c r="A328" t="s">
        <v>99</v>
      </c>
      <c r="B328">
        <v>17</v>
      </c>
      <c r="C328" t="s">
        <v>1088</v>
      </c>
      <c r="D328" s="158">
        <v>45199</v>
      </c>
      <c r="E328">
        <v>612222</v>
      </c>
      <c r="F328">
        <v>10178481</v>
      </c>
      <c r="G328">
        <v>52695065</v>
      </c>
      <c r="H328" t="b">
        <v>0</v>
      </c>
      <c r="I328">
        <v>51</v>
      </c>
      <c r="J328" t="s">
        <v>1187</v>
      </c>
      <c r="K328">
        <v>216</v>
      </c>
      <c r="L328">
        <v>216</v>
      </c>
      <c r="M328">
        <v>1</v>
      </c>
      <c r="N328">
        <v>0</v>
      </c>
      <c r="O328">
        <v>165.43</v>
      </c>
      <c r="P328">
        <v>0</v>
      </c>
      <c r="Q328">
        <v>0</v>
      </c>
      <c r="R328">
        <v>0</v>
      </c>
      <c r="T328">
        <v>216</v>
      </c>
      <c r="U328">
        <v>0</v>
      </c>
      <c r="V328">
        <v>0</v>
      </c>
      <c r="W328">
        <v>0</v>
      </c>
      <c r="X328">
        <v>50.57</v>
      </c>
      <c r="Y328">
        <v>0</v>
      </c>
      <c r="Z328">
        <v>0</v>
      </c>
      <c r="AA328">
        <v>0</v>
      </c>
      <c r="AB328">
        <v>0</v>
      </c>
      <c r="AC328">
        <v>0</v>
      </c>
      <c r="AD328">
        <v>0</v>
      </c>
      <c r="AE328">
        <v>0</v>
      </c>
      <c r="AF328">
        <v>0</v>
      </c>
      <c r="AG328">
        <v>0</v>
      </c>
      <c r="AH328">
        <v>0</v>
      </c>
      <c r="AI328">
        <v>0</v>
      </c>
      <c r="AJ328">
        <v>0</v>
      </c>
      <c r="AK328">
        <v>0</v>
      </c>
      <c r="AL328">
        <v>0</v>
      </c>
      <c r="AM328">
        <v>0</v>
      </c>
      <c r="AN328">
        <v>165.43</v>
      </c>
      <c r="AP328" t="s">
        <v>1091</v>
      </c>
      <c r="AS328" t="s">
        <v>1185</v>
      </c>
      <c r="AV328" t="s">
        <v>1092</v>
      </c>
      <c r="AW328" t="s">
        <v>1092</v>
      </c>
      <c r="AX328">
        <v>0</v>
      </c>
      <c r="AY328">
        <v>0</v>
      </c>
      <c r="AZ328" t="s">
        <v>282</v>
      </c>
      <c r="BA328" t="s">
        <v>282</v>
      </c>
      <c r="BB328" t="s">
        <v>1191</v>
      </c>
      <c r="BC328">
        <v>2</v>
      </c>
    </row>
    <row r="329" spans="1:55" x14ac:dyDescent="0.25">
      <c r="A329" t="s">
        <v>99</v>
      </c>
      <c r="B329">
        <v>17</v>
      </c>
      <c r="C329" t="s">
        <v>1088</v>
      </c>
      <c r="D329" s="158">
        <v>45199</v>
      </c>
      <c r="E329">
        <v>587958</v>
      </c>
      <c r="F329">
        <v>9740941</v>
      </c>
      <c r="G329">
        <v>50240730</v>
      </c>
      <c r="H329" t="b">
        <v>0</v>
      </c>
      <c r="I329">
        <v>131</v>
      </c>
      <c r="J329" t="s">
        <v>1187</v>
      </c>
      <c r="K329">
        <v>216</v>
      </c>
      <c r="L329">
        <v>216</v>
      </c>
      <c r="M329">
        <v>1</v>
      </c>
      <c r="N329">
        <v>0</v>
      </c>
      <c r="O329">
        <v>33.090000000000003</v>
      </c>
      <c r="P329">
        <v>0</v>
      </c>
      <c r="Q329">
        <v>0</v>
      </c>
      <c r="R329">
        <v>0</v>
      </c>
      <c r="T329">
        <v>216</v>
      </c>
      <c r="U329">
        <v>0</v>
      </c>
      <c r="V329">
        <v>1</v>
      </c>
      <c r="W329">
        <v>132.34</v>
      </c>
      <c r="X329">
        <v>50.57</v>
      </c>
      <c r="Y329">
        <v>0</v>
      </c>
      <c r="Z329">
        <v>0</v>
      </c>
      <c r="AA329">
        <v>0</v>
      </c>
      <c r="AB329">
        <v>0</v>
      </c>
      <c r="AC329">
        <v>0</v>
      </c>
      <c r="AD329">
        <v>0</v>
      </c>
      <c r="AE329">
        <v>0</v>
      </c>
      <c r="AF329">
        <v>0</v>
      </c>
      <c r="AG329">
        <v>0</v>
      </c>
      <c r="AH329">
        <v>0</v>
      </c>
      <c r="AI329">
        <v>0</v>
      </c>
      <c r="AJ329">
        <v>0</v>
      </c>
      <c r="AK329">
        <v>0</v>
      </c>
      <c r="AL329">
        <v>0</v>
      </c>
      <c r="AM329">
        <v>0</v>
      </c>
      <c r="AN329">
        <v>33.090000000000003</v>
      </c>
      <c r="AP329" t="s">
        <v>1091</v>
      </c>
      <c r="AS329" t="s">
        <v>1185</v>
      </c>
      <c r="AV329" t="s">
        <v>1092</v>
      </c>
      <c r="AW329" t="s">
        <v>1092</v>
      </c>
      <c r="AX329">
        <v>0</v>
      </c>
      <c r="AY329">
        <v>0</v>
      </c>
      <c r="AZ329" t="s">
        <v>282</v>
      </c>
      <c r="BA329" t="s">
        <v>282</v>
      </c>
      <c r="BB329" t="s">
        <v>1205</v>
      </c>
      <c r="BC329">
        <v>5</v>
      </c>
    </row>
    <row r="330" spans="1:55" x14ac:dyDescent="0.25">
      <c r="A330" t="s">
        <v>99</v>
      </c>
      <c r="B330">
        <v>17</v>
      </c>
      <c r="C330" t="s">
        <v>1088</v>
      </c>
      <c r="D330" s="158">
        <v>45199</v>
      </c>
      <c r="E330">
        <v>603316</v>
      </c>
      <c r="F330">
        <v>10033747</v>
      </c>
      <c r="G330">
        <v>51922557</v>
      </c>
      <c r="H330" t="b">
        <v>0</v>
      </c>
      <c r="I330">
        <v>75</v>
      </c>
      <c r="J330" t="s">
        <v>1187</v>
      </c>
      <c r="K330">
        <v>216</v>
      </c>
      <c r="L330">
        <v>216</v>
      </c>
      <c r="M330">
        <v>1</v>
      </c>
      <c r="N330">
        <v>216</v>
      </c>
      <c r="O330">
        <v>0</v>
      </c>
      <c r="P330">
        <v>0</v>
      </c>
      <c r="Q330">
        <v>0</v>
      </c>
      <c r="R330">
        <v>0</v>
      </c>
      <c r="T330">
        <v>0</v>
      </c>
      <c r="U330">
        <v>0</v>
      </c>
      <c r="V330">
        <v>0</v>
      </c>
      <c r="W330">
        <v>0</v>
      </c>
      <c r="X330">
        <v>0</v>
      </c>
      <c r="Y330">
        <v>0</v>
      </c>
      <c r="Z330">
        <v>0</v>
      </c>
      <c r="AA330">
        <v>0</v>
      </c>
      <c r="AB330">
        <v>0</v>
      </c>
      <c r="AC330">
        <v>0</v>
      </c>
      <c r="AD330">
        <v>0</v>
      </c>
      <c r="AE330">
        <v>0</v>
      </c>
      <c r="AF330">
        <v>0</v>
      </c>
      <c r="AG330">
        <v>0</v>
      </c>
      <c r="AH330">
        <v>0</v>
      </c>
      <c r="AI330">
        <v>0</v>
      </c>
      <c r="AJ330">
        <v>0</v>
      </c>
      <c r="AK330">
        <v>0</v>
      </c>
      <c r="AL330">
        <v>0</v>
      </c>
      <c r="AM330">
        <v>0</v>
      </c>
      <c r="AN330">
        <v>216</v>
      </c>
      <c r="AV330" t="s">
        <v>1092</v>
      </c>
      <c r="AW330" t="s">
        <v>1092</v>
      </c>
      <c r="AX330">
        <v>0</v>
      </c>
      <c r="AY330">
        <v>0</v>
      </c>
      <c r="AZ330" t="s">
        <v>282</v>
      </c>
      <c r="BA330" t="s">
        <v>282</v>
      </c>
      <c r="BB330" t="s">
        <v>1186</v>
      </c>
      <c r="BC330">
        <v>3</v>
      </c>
    </row>
    <row r="331" spans="1:55" x14ac:dyDescent="0.25">
      <c r="A331" t="s">
        <v>99</v>
      </c>
      <c r="B331">
        <v>17</v>
      </c>
      <c r="C331" t="s">
        <v>1088</v>
      </c>
      <c r="D331" s="158">
        <v>45199</v>
      </c>
      <c r="E331">
        <v>371938</v>
      </c>
      <c r="F331">
        <v>10216669</v>
      </c>
      <c r="G331">
        <v>52966151</v>
      </c>
      <c r="H331" t="b">
        <v>0</v>
      </c>
      <c r="I331">
        <v>43</v>
      </c>
      <c r="J331" t="s">
        <v>1184</v>
      </c>
      <c r="K331">
        <v>216</v>
      </c>
      <c r="L331">
        <v>216</v>
      </c>
      <c r="M331">
        <v>1</v>
      </c>
      <c r="N331">
        <v>0</v>
      </c>
      <c r="O331">
        <v>204.78</v>
      </c>
      <c r="P331">
        <v>0</v>
      </c>
      <c r="Q331">
        <v>0</v>
      </c>
      <c r="R331">
        <v>0</v>
      </c>
      <c r="T331">
        <v>216</v>
      </c>
      <c r="U331">
        <v>0</v>
      </c>
      <c r="V331">
        <v>0</v>
      </c>
      <c r="W331">
        <v>0</v>
      </c>
      <c r="X331">
        <v>11.22</v>
      </c>
      <c r="Y331">
        <v>0</v>
      </c>
      <c r="Z331">
        <v>0</v>
      </c>
      <c r="AA331">
        <v>0</v>
      </c>
      <c r="AB331">
        <v>0</v>
      </c>
      <c r="AC331">
        <v>0</v>
      </c>
      <c r="AD331">
        <v>0</v>
      </c>
      <c r="AE331">
        <v>0</v>
      </c>
      <c r="AF331">
        <v>0</v>
      </c>
      <c r="AG331">
        <v>0</v>
      </c>
      <c r="AH331">
        <v>0</v>
      </c>
      <c r="AI331">
        <v>0</v>
      </c>
      <c r="AJ331">
        <v>0</v>
      </c>
      <c r="AK331">
        <v>0</v>
      </c>
      <c r="AL331">
        <v>0</v>
      </c>
      <c r="AM331">
        <v>0</v>
      </c>
      <c r="AN331">
        <v>204.78</v>
      </c>
      <c r="AP331" t="s">
        <v>1091</v>
      </c>
      <c r="AS331" t="s">
        <v>1185</v>
      </c>
      <c r="AV331" t="s">
        <v>1092</v>
      </c>
      <c r="AW331" t="s">
        <v>1092</v>
      </c>
      <c r="AX331">
        <v>0</v>
      </c>
      <c r="AY331">
        <v>0</v>
      </c>
      <c r="AZ331" t="s">
        <v>282</v>
      </c>
      <c r="BA331" t="s">
        <v>282</v>
      </c>
      <c r="BB331" t="s">
        <v>1191</v>
      </c>
      <c r="BC331">
        <v>2</v>
      </c>
    </row>
    <row r="332" spans="1:55" x14ac:dyDescent="0.25">
      <c r="A332" t="s">
        <v>99</v>
      </c>
      <c r="B332">
        <v>17</v>
      </c>
      <c r="C332" t="s">
        <v>1088</v>
      </c>
      <c r="D332" s="158">
        <v>45199</v>
      </c>
      <c r="E332">
        <v>346034</v>
      </c>
      <c r="F332">
        <v>10088941</v>
      </c>
      <c r="G332">
        <v>52067351</v>
      </c>
      <c r="H332" t="b">
        <v>0</v>
      </c>
      <c r="I332">
        <v>71</v>
      </c>
      <c r="J332" t="s">
        <v>1184</v>
      </c>
      <c r="K332">
        <v>150</v>
      </c>
      <c r="L332">
        <v>150</v>
      </c>
      <c r="M332">
        <v>1</v>
      </c>
      <c r="N332">
        <v>150</v>
      </c>
      <c r="O332">
        <v>0</v>
      </c>
      <c r="P332">
        <v>0</v>
      </c>
      <c r="Q332">
        <v>330.5</v>
      </c>
      <c r="R332">
        <v>0</v>
      </c>
      <c r="T332">
        <v>0</v>
      </c>
      <c r="U332">
        <v>0</v>
      </c>
      <c r="V332">
        <v>0</v>
      </c>
      <c r="W332">
        <v>0</v>
      </c>
      <c r="X332">
        <v>0</v>
      </c>
      <c r="Y332">
        <v>0</v>
      </c>
      <c r="Z332">
        <v>0</v>
      </c>
      <c r="AA332">
        <v>0</v>
      </c>
      <c r="AB332">
        <v>0</v>
      </c>
      <c r="AC332">
        <v>0</v>
      </c>
      <c r="AD332">
        <v>0</v>
      </c>
      <c r="AE332">
        <v>0</v>
      </c>
      <c r="AF332">
        <v>0</v>
      </c>
      <c r="AG332">
        <v>0</v>
      </c>
      <c r="AH332">
        <v>0</v>
      </c>
      <c r="AI332">
        <v>0</v>
      </c>
      <c r="AJ332">
        <v>0</v>
      </c>
      <c r="AK332">
        <v>0</v>
      </c>
      <c r="AL332">
        <v>0</v>
      </c>
      <c r="AM332">
        <v>0</v>
      </c>
      <c r="AN332">
        <v>-180.5</v>
      </c>
      <c r="AV332" t="s">
        <v>1092</v>
      </c>
      <c r="AW332" t="s">
        <v>1092</v>
      </c>
      <c r="AX332">
        <v>0</v>
      </c>
      <c r="AY332">
        <v>0</v>
      </c>
      <c r="AZ332" t="s">
        <v>282</v>
      </c>
      <c r="BA332" t="s">
        <v>282</v>
      </c>
      <c r="BB332" t="s">
        <v>1186</v>
      </c>
      <c r="BC332">
        <v>3</v>
      </c>
    </row>
    <row r="333" spans="1:55" x14ac:dyDescent="0.25">
      <c r="A333" t="s">
        <v>99</v>
      </c>
      <c r="B333">
        <v>17</v>
      </c>
      <c r="C333" t="s">
        <v>1088</v>
      </c>
      <c r="D333" s="158">
        <v>45199</v>
      </c>
      <c r="E333">
        <v>346034</v>
      </c>
      <c r="F333">
        <v>10088941</v>
      </c>
      <c r="G333">
        <v>52067428</v>
      </c>
      <c r="H333" t="b">
        <v>0</v>
      </c>
      <c r="I333">
        <v>71</v>
      </c>
      <c r="J333" t="s">
        <v>1192</v>
      </c>
      <c r="K333">
        <v>12.5</v>
      </c>
      <c r="L333">
        <v>12.5</v>
      </c>
      <c r="M333">
        <v>1</v>
      </c>
      <c r="N333">
        <v>12.5</v>
      </c>
      <c r="O333">
        <v>0</v>
      </c>
      <c r="P333">
        <v>0</v>
      </c>
      <c r="Q333">
        <v>0</v>
      </c>
      <c r="R333">
        <v>0</v>
      </c>
      <c r="T333">
        <v>0</v>
      </c>
      <c r="U333">
        <v>0</v>
      </c>
      <c r="V333">
        <v>0</v>
      </c>
      <c r="W333">
        <v>0</v>
      </c>
      <c r="X333">
        <v>0</v>
      </c>
      <c r="Y333">
        <v>0</v>
      </c>
      <c r="Z333">
        <v>0</v>
      </c>
      <c r="AA333">
        <v>0</v>
      </c>
      <c r="AB333">
        <v>0</v>
      </c>
      <c r="AC333">
        <v>0</v>
      </c>
      <c r="AD333">
        <v>0</v>
      </c>
      <c r="AE333">
        <v>0</v>
      </c>
      <c r="AF333">
        <v>0</v>
      </c>
      <c r="AG333">
        <v>0</v>
      </c>
      <c r="AH333">
        <v>0</v>
      </c>
      <c r="AI333">
        <v>0</v>
      </c>
      <c r="AJ333">
        <v>0</v>
      </c>
      <c r="AK333">
        <v>0</v>
      </c>
      <c r="AL333">
        <v>0</v>
      </c>
      <c r="AM333">
        <v>0</v>
      </c>
      <c r="AN333">
        <v>12.5</v>
      </c>
      <c r="AV333" t="s">
        <v>1092</v>
      </c>
      <c r="AW333" t="s">
        <v>1092</v>
      </c>
      <c r="AX333">
        <v>0</v>
      </c>
      <c r="AY333">
        <v>0</v>
      </c>
      <c r="AZ333" t="s">
        <v>282</v>
      </c>
      <c r="BA333" t="s">
        <v>282</v>
      </c>
      <c r="BB333" t="s">
        <v>1186</v>
      </c>
      <c r="BC333">
        <v>3</v>
      </c>
    </row>
    <row r="334" spans="1:55" x14ac:dyDescent="0.25">
      <c r="A334" t="s">
        <v>99</v>
      </c>
      <c r="B334">
        <v>17</v>
      </c>
      <c r="C334" t="s">
        <v>1088</v>
      </c>
      <c r="D334" s="158">
        <v>45199</v>
      </c>
      <c r="E334">
        <v>605813</v>
      </c>
      <c r="F334">
        <v>10077725</v>
      </c>
      <c r="G334">
        <v>52085600</v>
      </c>
      <c r="H334" t="b">
        <v>0</v>
      </c>
      <c r="I334">
        <v>71</v>
      </c>
      <c r="J334" t="s">
        <v>1187</v>
      </c>
      <c r="K334">
        <v>216</v>
      </c>
      <c r="L334">
        <v>216</v>
      </c>
      <c r="M334">
        <v>1</v>
      </c>
      <c r="N334">
        <v>0</v>
      </c>
      <c r="O334">
        <v>216</v>
      </c>
      <c r="P334">
        <v>0</v>
      </c>
      <c r="Q334">
        <v>100</v>
      </c>
      <c r="R334">
        <v>0</v>
      </c>
      <c r="T334">
        <v>216</v>
      </c>
      <c r="U334">
        <v>0</v>
      </c>
      <c r="V334">
        <v>0</v>
      </c>
      <c r="W334">
        <v>0</v>
      </c>
      <c r="X334">
        <v>0</v>
      </c>
      <c r="Y334">
        <v>0</v>
      </c>
      <c r="Z334">
        <v>0</v>
      </c>
      <c r="AA334">
        <v>0</v>
      </c>
      <c r="AB334">
        <v>0</v>
      </c>
      <c r="AC334">
        <v>0</v>
      </c>
      <c r="AD334">
        <v>0</v>
      </c>
      <c r="AE334">
        <v>0</v>
      </c>
      <c r="AF334">
        <v>0</v>
      </c>
      <c r="AG334">
        <v>0</v>
      </c>
      <c r="AH334">
        <v>0</v>
      </c>
      <c r="AI334">
        <v>0</v>
      </c>
      <c r="AJ334">
        <v>0</v>
      </c>
      <c r="AK334">
        <v>0</v>
      </c>
      <c r="AL334">
        <v>0</v>
      </c>
      <c r="AM334">
        <v>0</v>
      </c>
      <c r="AN334">
        <v>116</v>
      </c>
      <c r="AP334" t="s">
        <v>1091</v>
      </c>
      <c r="AS334" t="s">
        <v>1185</v>
      </c>
      <c r="AV334" t="s">
        <v>1092</v>
      </c>
      <c r="AW334" t="s">
        <v>1092</v>
      </c>
      <c r="AX334">
        <v>0</v>
      </c>
      <c r="AY334">
        <v>0</v>
      </c>
      <c r="AZ334" t="s">
        <v>282</v>
      </c>
      <c r="BA334" t="s">
        <v>282</v>
      </c>
      <c r="BB334" t="s">
        <v>1186</v>
      </c>
      <c r="BC334">
        <v>3</v>
      </c>
    </row>
    <row r="335" spans="1:55" x14ac:dyDescent="0.25">
      <c r="A335" t="s">
        <v>99</v>
      </c>
      <c r="B335">
        <v>17</v>
      </c>
      <c r="C335" t="s">
        <v>1088</v>
      </c>
      <c r="D335" s="158">
        <v>45199</v>
      </c>
      <c r="E335">
        <v>163699</v>
      </c>
      <c r="F335">
        <v>10416468</v>
      </c>
      <c r="G335">
        <v>54107245</v>
      </c>
      <c r="H335" t="b">
        <v>0</v>
      </c>
      <c r="I335">
        <v>5</v>
      </c>
      <c r="J335" t="s">
        <v>1187</v>
      </c>
      <c r="K335">
        <v>216</v>
      </c>
      <c r="L335">
        <v>216</v>
      </c>
      <c r="M335">
        <v>1</v>
      </c>
      <c r="N335">
        <v>216</v>
      </c>
      <c r="O335">
        <v>0</v>
      </c>
      <c r="P335">
        <v>0</v>
      </c>
      <c r="Q335">
        <v>200</v>
      </c>
      <c r="R335">
        <v>0</v>
      </c>
      <c r="T335">
        <v>0</v>
      </c>
      <c r="U335">
        <v>0</v>
      </c>
      <c r="V335">
        <v>0</v>
      </c>
      <c r="W335">
        <v>0</v>
      </c>
      <c r="X335">
        <v>0</v>
      </c>
      <c r="Y335">
        <v>0</v>
      </c>
      <c r="Z335">
        <v>0</v>
      </c>
      <c r="AA335">
        <v>0</v>
      </c>
      <c r="AB335">
        <v>0</v>
      </c>
      <c r="AC335">
        <v>0</v>
      </c>
      <c r="AD335">
        <v>0</v>
      </c>
      <c r="AE335">
        <v>0</v>
      </c>
      <c r="AF335">
        <v>0</v>
      </c>
      <c r="AG335">
        <v>0</v>
      </c>
      <c r="AH335">
        <v>0</v>
      </c>
      <c r="AI335">
        <v>0</v>
      </c>
      <c r="AJ335">
        <v>0</v>
      </c>
      <c r="AK335">
        <v>0</v>
      </c>
      <c r="AL335">
        <v>0</v>
      </c>
      <c r="AM335">
        <v>0</v>
      </c>
      <c r="AN335">
        <v>16</v>
      </c>
      <c r="AV335" t="s">
        <v>1092</v>
      </c>
      <c r="AW335" t="s">
        <v>1092</v>
      </c>
      <c r="AX335">
        <v>0</v>
      </c>
      <c r="AY335">
        <v>0</v>
      </c>
      <c r="AZ335" t="s">
        <v>282</v>
      </c>
      <c r="BA335" t="s">
        <v>282</v>
      </c>
      <c r="BB335" t="s">
        <v>1197</v>
      </c>
      <c r="BC335">
        <v>1</v>
      </c>
    </row>
    <row r="336" spans="1:55" x14ac:dyDescent="0.25">
      <c r="A336" t="s">
        <v>99</v>
      </c>
      <c r="B336">
        <v>17</v>
      </c>
      <c r="C336" t="s">
        <v>1088</v>
      </c>
      <c r="D336" s="158">
        <v>45199</v>
      </c>
      <c r="E336">
        <v>163699</v>
      </c>
      <c r="F336">
        <v>10416468</v>
      </c>
      <c r="G336">
        <v>54107247</v>
      </c>
      <c r="H336" t="b">
        <v>0</v>
      </c>
      <c r="I336">
        <v>5</v>
      </c>
      <c r="J336" t="s">
        <v>1187</v>
      </c>
      <c r="K336">
        <v>216</v>
      </c>
      <c r="L336">
        <v>216</v>
      </c>
      <c r="M336">
        <v>1</v>
      </c>
      <c r="N336">
        <v>216</v>
      </c>
      <c r="O336">
        <v>0</v>
      </c>
      <c r="P336">
        <v>0</v>
      </c>
      <c r="Q336">
        <v>0</v>
      </c>
      <c r="R336">
        <v>0</v>
      </c>
      <c r="T336">
        <v>0</v>
      </c>
      <c r="U336">
        <v>0</v>
      </c>
      <c r="V336">
        <v>0</v>
      </c>
      <c r="W336">
        <v>0</v>
      </c>
      <c r="X336">
        <v>0</v>
      </c>
      <c r="Y336">
        <v>0</v>
      </c>
      <c r="Z336">
        <v>0</v>
      </c>
      <c r="AA336">
        <v>0</v>
      </c>
      <c r="AB336">
        <v>0</v>
      </c>
      <c r="AC336">
        <v>0</v>
      </c>
      <c r="AD336">
        <v>0</v>
      </c>
      <c r="AE336">
        <v>0</v>
      </c>
      <c r="AF336">
        <v>0</v>
      </c>
      <c r="AG336">
        <v>0</v>
      </c>
      <c r="AH336">
        <v>0</v>
      </c>
      <c r="AI336">
        <v>0</v>
      </c>
      <c r="AJ336">
        <v>0</v>
      </c>
      <c r="AK336">
        <v>0</v>
      </c>
      <c r="AL336">
        <v>0</v>
      </c>
      <c r="AM336">
        <v>0</v>
      </c>
      <c r="AN336">
        <v>216</v>
      </c>
      <c r="AV336" t="s">
        <v>1092</v>
      </c>
      <c r="AW336" t="s">
        <v>1092</v>
      </c>
      <c r="AX336">
        <v>0</v>
      </c>
      <c r="AY336">
        <v>0</v>
      </c>
      <c r="AZ336" t="s">
        <v>282</v>
      </c>
      <c r="BA336" t="s">
        <v>282</v>
      </c>
      <c r="BB336" t="s">
        <v>1197</v>
      </c>
      <c r="BC336">
        <v>1</v>
      </c>
    </row>
    <row r="337" spans="1:55" x14ac:dyDescent="0.25">
      <c r="A337" t="s">
        <v>99</v>
      </c>
      <c r="B337">
        <v>17</v>
      </c>
      <c r="C337" t="s">
        <v>1088</v>
      </c>
      <c r="D337" s="158">
        <v>45199</v>
      </c>
      <c r="E337">
        <v>508903</v>
      </c>
      <c r="F337">
        <v>8130451</v>
      </c>
      <c r="G337">
        <v>41264803</v>
      </c>
      <c r="H337" t="b">
        <v>0</v>
      </c>
      <c r="I337">
        <v>467</v>
      </c>
      <c r="J337" t="s">
        <v>1187</v>
      </c>
      <c r="K337">
        <v>216</v>
      </c>
      <c r="L337">
        <v>216</v>
      </c>
      <c r="M337">
        <v>1</v>
      </c>
      <c r="N337">
        <v>0</v>
      </c>
      <c r="O337">
        <v>142.16</v>
      </c>
      <c r="P337">
        <v>40</v>
      </c>
      <c r="Q337">
        <v>100</v>
      </c>
      <c r="R337">
        <v>0</v>
      </c>
      <c r="T337">
        <v>216</v>
      </c>
      <c r="U337">
        <v>0</v>
      </c>
      <c r="V337">
        <v>0</v>
      </c>
      <c r="W337">
        <v>0</v>
      </c>
      <c r="X337">
        <v>73.84</v>
      </c>
      <c r="Y337">
        <v>0</v>
      </c>
      <c r="Z337">
        <v>0</v>
      </c>
      <c r="AA337">
        <v>0</v>
      </c>
      <c r="AB337">
        <v>0</v>
      </c>
      <c r="AC337">
        <v>0</v>
      </c>
      <c r="AD337">
        <v>0</v>
      </c>
      <c r="AE337">
        <v>0</v>
      </c>
      <c r="AF337">
        <v>0</v>
      </c>
      <c r="AG337">
        <v>0</v>
      </c>
      <c r="AH337">
        <v>0</v>
      </c>
      <c r="AI337">
        <v>0</v>
      </c>
      <c r="AJ337">
        <v>0</v>
      </c>
      <c r="AK337">
        <v>0</v>
      </c>
      <c r="AL337">
        <v>0</v>
      </c>
      <c r="AM337">
        <v>0</v>
      </c>
      <c r="AN337">
        <v>2.16</v>
      </c>
      <c r="AP337" t="s">
        <v>1091</v>
      </c>
      <c r="AS337" t="s">
        <v>1185</v>
      </c>
      <c r="AV337" t="s">
        <v>1092</v>
      </c>
      <c r="AW337" t="s">
        <v>1092</v>
      </c>
      <c r="AX337">
        <v>0</v>
      </c>
      <c r="AY337">
        <v>0</v>
      </c>
      <c r="AZ337" t="s">
        <v>282</v>
      </c>
      <c r="BA337" t="s">
        <v>282</v>
      </c>
      <c r="BB337" t="s">
        <v>1200</v>
      </c>
      <c r="BC337">
        <v>8</v>
      </c>
    </row>
    <row r="338" spans="1:55" x14ac:dyDescent="0.25">
      <c r="A338" t="s">
        <v>99</v>
      </c>
      <c r="B338">
        <v>17</v>
      </c>
      <c r="C338" t="s">
        <v>1088</v>
      </c>
      <c r="D338" s="158">
        <v>45199</v>
      </c>
      <c r="E338">
        <v>508903</v>
      </c>
      <c r="F338">
        <v>8130451</v>
      </c>
      <c r="G338">
        <v>41264806</v>
      </c>
      <c r="H338" t="b">
        <v>0</v>
      </c>
      <c r="I338">
        <v>467</v>
      </c>
      <c r="J338" t="s">
        <v>1187</v>
      </c>
      <c r="K338">
        <v>216</v>
      </c>
      <c r="L338">
        <v>216</v>
      </c>
      <c r="M338">
        <v>1</v>
      </c>
      <c r="N338">
        <v>0</v>
      </c>
      <c r="O338">
        <v>142.16</v>
      </c>
      <c r="P338">
        <v>0</v>
      </c>
      <c r="Q338">
        <v>0</v>
      </c>
      <c r="R338">
        <v>0</v>
      </c>
      <c r="T338">
        <v>216</v>
      </c>
      <c r="U338">
        <v>0</v>
      </c>
      <c r="V338">
        <v>0</v>
      </c>
      <c r="W338">
        <v>0</v>
      </c>
      <c r="X338">
        <v>73.84</v>
      </c>
      <c r="Y338">
        <v>0</v>
      </c>
      <c r="Z338">
        <v>0</v>
      </c>
      <c r="AA338">
        <v>0</v>
      </c>
      <c r="AB338">
        <v>0</v>
      </c>
      <c r="AC338">
        <v>0</v>
      </c>
      <c r="AD338">
        <v>0</v>
      </c>
      <c r="AE338">
        <v>0</v>
      </c>
      <c r="AF338">
        <v>0</v>
      </c>
      <c r="AG338">
        <v>0</v>
      </c>
      <c r="AH338">
        <v>0</v>
      </c>
      <c r="AI338">
        <v>0</v>
      </c>
      <c r="AJ338">
        <v>0</v>
      </c>
      <c r="AK338">
        <v>0</v>
      </c>
      <c r="AL338">
        <v>0</v>
      </c>
      <c r="AM338">
        <v>0</v>
      </c>
      <c r="AN338">
        <v>142.16</v>
      </c>
      <c r="AP338" t="s">
        <v>1091</v>
      </c>
      <c r="AS338" t="s">
        <v>1185</v>
      </c>
      <c r="AV338" t="s">
        <v>1092</v>
      </c>
      <c r="AW338" t="s">
        <v>1092</v>
      </c>
      <c r="AX338">
        <v>0</v>
      </c>
      <c r="AY338">
        <v>0</v>
      </c>
      <c r="AZ338" t="s">
        <v>282</v>
      </c>
      <c r="BA338" t="s">
        <v>282</v>
      </c>
      <c r="BB338" t="s">
        <v>1200</v>
      </c>
      <c r="BC338">
        <v>8</v>
      </c>
    </row>
    <row r="339" spans="1:55" x14ac:dyDescent="0.25">
      <c r="A339" t="s">
        <v>99</v>
      </c>
      <c r="B339">
        <v>17</v>
      </c>
      <c r="C339" t="s">
        <v>1088</v>
      </c>
      <c r="D339" s="158">
        <v>45199</v>
      </c>
      <c r="E339">
        <v>417969</v>
      </c>
      <c r="F339">
        <v>10368582</v>
      </c>
      <c r="G339">
        <v>53861855</v>
      </c>
      <c r="H339" t="b">
        <v>0</v>
      </c>
      <c r="I339">
        <v>15</v>
      </c>
      <c r="J339" t="s">
        <v>1184</v>
      </c>
      <c r="K339">
        <v>216</v>
      </c>
      <c r="L339">
        <v>216</v>
      </c>
      <c r="M339">
        <v>1</v>
      </c>
      <c r="N339">
        <v>216</v>
      </c>
      <c r="O339">
        <v>0</v>
      </c>
      <c r="P339">
        <v>0</v>
      </c>
      <c r="Q339">
        <v>450</v>
      </c>
      <c r="R339">
        <v>0</v>
      </c>
      <c r="T339">
        <v>0</v>
      </c>
      <c r="U339">
        <v>0</v>
      </c>
      <c r="V339">
        <v>0</v>
      </c>
      <c r="W339">
        <v>0</v>
      </c>
      <c r="X339">
        <v>0</v>
      </c>
      <c r="Y339">
        <v>0</v>
      </c>
      <c r="Z339">
        <v>0</v>
      </c>
      <c r="AA339">
        <v>0</v>
      </c>
      <c r="AB339">
        <v>0</v>
      </c>
      <c r="AC339">
        <v>0</v>
      </c>
      <c r="AD339">
        <v>0</v>
      </c>
      <c r="AE339">
        <v>0</v>
      </c>
      <c r="AF339">
        <v>0</v>
      </c>
      <c r="AG339">
        <v>0</v>
      </c>
      <c r="AH339">
        <v>0</v>
      </c>
      <c r="AI339">
        <v>0</v>
      </c>
      <c r="AJ339">
        <v>0</v>
      </c>
      <c r="AK339">
        <v>0</v>
      </c>
      <c r="AL339">
        <v>0</v>
      </c>
      <c r="AM339">
        <v>0</v>
      </c>
      <c r="AN339">
        <v>-234</v>
      </c>
      <c r="AV339" t="s">
        <v>1092</v>
      </c>
      <c r="AW339" t="s">
        <v>1092</v>
      </c>
      <c r="AX339">
        <v>0</v>
      </c>
      <c r="AY339">
        <v>0</v>
      </c>
      <c r="AZ339" t="s">
        <v>282</v>
      </c>
      <c r="BA339" t="s">
        <v>282</v>
      </c>
      <c r="BB339" t="s">
        <v>1197</v>
      </c>
      <c r="BC339">
        <v>1</v>
      </c>
    </row>
    <row r="340" spans="1:55" x14ac:dyDescent="0.25">
      <c r="A340" t="s">
        <v>99</v>
      </c>
      <c r="B340">
        <v>17</v>
      </c>
      <c r="C340" t="s">
        <v>1088</v>
      </c>
      <c r="D340" s="158">
        <v>45199</v>
      </c>
      <c r="E340">
        <v>417969</v>
      </c>
      <c r="F340">
        <v>10368582</v>
      </c>
      <c r="G340">
        <v>53861856</v>
      </c>
      <c r="H340" t="b">
        <v>0</v>
      </c>
      <c r="I340">
        <v>15</v>
      </c>
      <c r="J340" t="s">
        <v>1184</v>
      </c>
      <c r="K340">
        <v>216</v>
      </c>
      <c r="L340">
        <v>216</v>
      </c>
      <c r="M340">
        <v>1</v>
      </c>
      <c r="N340">
        <v>216</v>
      </c>
      <c r="O340">
        <v>0</v>
      </c>
      <c r="P340">
        <v>0</v>
      </c>
      <c r="Q340">
        <v>0</v>
      </c>
      <c r="R340">
        <v>0</v>
      </c>
      <c r="T340">
        <v>0</v>
      </c>
      <c r="U340">
        <v>0</v>
      </c>
      <c r="V340">
        <v>0</v>
      </c>
      <c r="W340">
        <v>0</v>
      </c>
      <c r="X340">
        <v>0</v>
      </c>
      <c r="Y340">
        <v>0</v>
      </c>
      <c r="Z340">
        <v>0</v>
      </c>
      <c r="AA340">
        <v>0</v>
      </c>
      <c r="AB340">
        <v>0</v>
      </c>
      <c r="AC340">
        <v>0</v>
      </c>
      <c r="AD340">
        <v>0</v>
      </c>
      <c r="AE340">
        <v>0</v>
      </c>
      <c r="AF340">
        <v>0</v>
      </c>
      <c r="AG340">
        <v>0</v>
      </c>
      <c r="AH340">
        <v>0</v>
      </c>
      <c r="AI340">
        <v>0</v>
      </c>
      <c r="AJ340">
        <v>0</v>
      </c>
      <c r="AK340">
        <v>0</v>
      </c>
      <c r="AL340">
        <v>0</v>
      </c>
      <c r="AM340">
        <v>0</v>
      </c>
      <c r="AN340">
        <v>216</v>
      </c>
      <c r="AV340" t="s">
        <v>1092</v>
      </c>
      <c r="AW340" t="s">
        <v>1092</v>
      </c>
      <c r="AX340">
        <v>0</v>
      </c>
      <c r="AY340">
        <v>0</v>
      </c>
      <c r="AZ340" t="s">
        <v>282</v>
      </c>
      <c r="BA340" t="s">
        <v>282</v>
      </c>
      <c r="BB340" t="s">
        <v>1197</v>
      </c>
      <c r="BC340">
        <v>1</v>
      </c>
    </row>
    <row r="341" spans="1:55" x14ac:dyDescent="0.25">
      <c r="A341" t="s">
        <v>99</v>
      </c>
      <c r="B341">
        <v>17</v>
      </c>
      <c r="C341" t="s">
        <v>1088</v>
      </c>
      <c r="D341" s="158">
        <v>45199</v>
      </c>
      <c r="E341">
        <v>214976</v>
      </c>
      <c r="F341">
        <v>10264737</v>
      </c>
      <c r="G341">
        <v>53105385</v>
      </c>
      <c r="H341" t="b">
        <v>0</v>
      </c>
      <c r="I341">
        <v>38</v>
      </c>
      <c r="J341" t="s">
        <v>1184</v>
      </c>
      <c r="K341">
        <v>150</v>
      </c>
      <c r="L341">
        <v>150</v>
      </c>
      <c r="M341">
        <v>1</v>
      </c>
      <c r="N341">
        <v>150</v>
      </c>
      <c r="O341">
        <v>0</v>
      </c>
      <c r="P341">
        <v>0</v>
      </c>
      <c r="Q341">
        <v>200</v>
      </c>
      <c r="R341">
        <v>0</v>
      </c>
      <c r="T341">
        <v>0</v>
      </c>
      <c r="U341">
        <v>0</v>
      </c>
      <c r="V341">
        <v>0</v>
      </c>
      <c r="W341">
        <v>0</v>
      </c>
      <c r="X341">
        <v>0</v>
      </c>
      <c r="Y341">
        <v>0</v>
      </c>
      <c r="Z341">
        <v>0</v>
      </c>
      <c r="AA341">
        <v>0</v>
      </c>
      <c r="AB341">
        <v>0</v>
      </c>
      <c r="AC341">
        <v>0</v>
      </c>
      <c r="AD341">
        <v>0</v>
      </c>
      <c r="AE341">
        <v>0</v>
      </c>
      <c r="AF341">
        <v>0</v>
      </c>
      <c r="AG341">
        <v>0</v>
      </c>
      <c r="AH341">
        <v>0</v>
      </c>
      <c r="AI341">
        <v>0</v>
      </c>
      <c r="AJ341">
        <v>0</v>
      </c>
      <c r="AK341">
        <v>0</v>
      </c>
      <c r="AL341">
        <v>0</v>
      </c>
      <c r="AM341">
        <v>0</v>
      </c>
      <c r="AN341">
        <v>-50</v>
      </c>
      <c r="AV341" t="s">
        <v>1092</v>
      </c>
      <c r="AW341" t="s">
        <v>1092</v>
      </c>
      <c r="AX341">
        <v>0</v>
      </c>
      <c r="AY341">
        <v>0</v>
      </c>
      <c r="AZ341" t="s">
        <v>282</v>
      </c>
      <c r="BA341" t="s">
        <v>282</v>
      </c>
      <c r="BB341" t="s">
        <v>1191</v>
      </c>
      <c r="BC341">
        <v>2</v>
      </c>
    </row>
    <row r="342" spans="1:55" x14ac:dyDescent="0.25">
      <c r="A342" t="s">
        <v>99</v>
      </c>
      <c r="B342">
        <v>17</v>
      </c>
      <c r="C342" t="s">
        <v>1088</v>
      </c>
      <c r="D342" s="158">
        <v>45199</v>
      </c>
      <c r="E342">
        <v>214976</v>
      </c>
      <c r="F342">
        <v>10264737</v>
      </c>
      <c r="G342">
        <v>53105390</v>
      </c>
      <c r="H342" t="b">
        <v>0</v>
      </c>
      <c r="I342">
        <v>38</v>
      </c>
      <c r="J342" t="s">
        <v>1247</v>
      </c>
      <c r="K342">
        <v>18</v>
      </c>
      <c r="L342">
        <v>18</v>
      </c>
      <c r="M342">
        <v>1</v>
      </c>
      <c r="N342">
        <v>18</v>
      </c>
      <c r="O342">
        <v>0</v>
      </c>
      <c r="P342">
        <v>0</v>
      </c>
      <c r="Q342">
        <v>0</v>
      </c>
      <c r="R342">
        <v>0</v>
      </c>
      <c r="T342">
        <v>0</v>
      </c>
      <c r="U342">
        <v>0</v>
      </c>
      <c r="V342">
        <v>0</v>
      </c>
      <c r="W342">
        <v>0</v>
      </c>
      <c r="X342">
        <v>0</v>
      </c>
      <c r="Y342">
        <v>0</v>
      </c>
      <c r="Z342">
        <v>0</v>
      </c>
      <c r="AA342">
        <v>0</v>
      </c>
      <c r="AB342">
        <v>0</v>
      </c>
      <c r="AC342">
        <v>0</v>
      </c>
      <c r="AD342">
        <v>0</v>
      </c>
      <c r="AE342">
        <v>0</v>
      </c>
      <c r="AF342">
        <v>0</v>
      </c>
      <c r="AG342">
        <v>0</v>
      </c>
      <c r="AH342">
        <v>0</v>
      </c>
      <c r="AI342">
        <v>0</v>
      </c>
      <c r="AJ342">
        <v>0</v>
      </c>
      <c r="AK342">
        <v>0</v>
      </c>
      <c r="AL342">
        <v>0</v>
      </c>
      <c r="AM342">
        <v>0</v>
      </c>
      <c r="AN342">
        <v>18</v>
      </c>
      <c r="AV342" t="s">
        <v>1092</v>
      </c>
      <c r="AW342" t="s">
        <v>1092</v>
      </c>
      <c r="AX342">
        <v>0</v>
      </c>
      <c r="AY342">
        <v>0</v>
      </c>
      <c r="AZ342" t="s">
        <v>282</v>
      </c>
      <c r="BA342" t="s">
        <v>282</v>
      </c>
      <c r="BB342" t="s">
        <v>1191</v>
      </c>
      <c r="BC342">
        <v>2</v>
      </c>
    </row>
    <row r="343" spans="1:55" x14ac:dyDescent="0.25">
      <c r="A343" t="s">
        <v>99</v>
      </c>
      <c r="B343">
        <v>17</v>
      </c>
      <c r="C343" t="s">
        <v>1088</v>
      </c>
      <c r="D343" s="158">
        <v>45199</v>
      </c>
      <c r="E343">
        <v>505080</v>
      </c>
      <c r="F343">
        <v>8054253</v>
      </c>
      <c r="G343">
        <v>41209543</v>
      </c>
      <c r="H343" t="b">
        <v>0</v>
      </c>
      <c r="I343">
        <v>467</v>
      </c>
      <c r="J343" t="s">
        <v>1187</v>
      </c>
      <c r="K343">
        <v>216</v>
      </c>
      <c r="L343">
        <v>216</v>
      </c>
      <c r="M343">
        <v>1</v>
      </c>
      <c r="N343">
        <v>216</v>
      </c>
      <c r="O343">
        <v>0</v>
      </c>
      <c r="P343">
        <v>0</v>
      </c>
      <c r="Q343">
        <v>432</v>
      </c>
      <c r="R343">
        <v>0</v>
      </c>
      <c r="T343">
        <v>0</v>
      </c>
      <c r="U343">
        <v>0</v>
      </c>
      <c r="V343">
        <v>0</v>
      </c>
      <c r="W343">
        <v>0</v>
      </c>
      <c r="X343">
        <v>0</v>
      </c>
      <c r="Y343">
        <v>0</v>
      </c>
      <c r="Z343">
        <v>0</v>
      </c>
      <c r="AA343">
        <v>0</v>
      </c>
      <c r="AB343">
        <v>0</v>
      </c>
      <c r="AC343">
        <v>0</v>
      </c>
      <c r="AD343">
        <v>0</v>
      </c>
      <c r="AE343">
        <v>0</v>
      </c>
      <c r="AF343">
        <v>0</v>
      </c>
      <c r="AG343">
        <v>0</v>
      </c>
      <c r="AH343">
        <v>0</v>
      </c>
      <c r="AI343">
        <v>0</v>
      </c>
      <c r="AJ343">
        <v>0</v>
      </c>
      <c r="AK343">
        <v>0</v>
      </c>
      <c r="AL343">
        <v>0</v>
      </c>
      <c r="AM343">
        <v>0</v>
      </c>
      <c r="AN343">
        <v>-216</v>
      </c>
      <c r="AV343" t="s">
        <v>1092</v>
      </c>
      <c r="AW343" t="s">
        <v>1092</v>
      </c>
      <c r="AX343">
        <v>0</v>
      </c>
      <c r="AY343">
        <v>0</v>
      </c>
      <c r="AZ343" t="s">
        <v>282</v>
      </c>
      <c r="BA343" t="s">
        <v>282</v>
      </c>
      <c r="BB343" t="s">
        <v>1200</v>
      </c>
      <c r="BC343">
        <v>8</v>
      </c>
    </row>
    <row r="344" spans="1:55" x14ac:dyDescent="0.25">
      <c r="A344" t="s">
        <v>99</v>
      </c>
      <c r="B344">
        <v>17</v>
      </c>
      <c r="C344" t="s">
        <v>1088</v>
      </c>
      <c r="D344" s="158">
        <v>45199</v>
      </c>
      <c r="E344">
        <v>613182</v>
      </c>
      <c r="F344">
        <v>10202379</v>
      </c>
      <c r="G344">
        <v>53927974</v>
      </c>
      <c r="H344" t="b">
        <v>0</v>
      </c>
      <c r="I344">
        <v>50</v>
      </c>
      <c r="J344" t="s">
        <v>1187</v>
      </c>
      <c r="K344">
        <v>216</v>
      </c>
      <c r="L344">
        <v>216</v>
      </c>
      <c r="M344">
        <v>1</v>
      </c>
      <c r="N344">
        <v>216</v>
      </c>
      <c r="O344">
        <v>0</v>
      </c>
      <c r="P344">
        <v>0</v>
      </c>
      <c r="Q344">
        <v>0</v>
      </c>
      <c r="R344">
        <v>0</v>
      </c>
      <c r="T344">
        <v>0</v>
      </c>
      <c r="U344">
        <v>0</v>
      </c>
      <c r="V344">
        <v>0</v>
      </c>
      <c r="W344">
        <v>0</v>
      </c>
      <c r="X344">
        <v>0</v>
      </c>
      <c r="Y344">
        <v>0</v>
      </c>
      <c r="Z344">
        <v>0</v>
      </c>
      <c r="AA344">
        <v>0</v>
      </c>
      <c r="AB344">
        <v>0</v>
      </c>
      <c r="AC344">
        <v>0</v>
      </c>
      <c r="AD344">
        <v>0</v>
      </c>
      <c r="AE344">
        <v>0</v>
      </c>
      <c r="AF344">
        <v>0</v>
      </c>
      <c r="AG344">
        <v>0</v>
      </c>
      <c r="AH344">
        <v>0</v>
      </c>
      <c r="AI344">
        <v>0</v>
      </c>
      <c r="AJ344">
        <v>0</v>
      </c>
      <c r="AK344">
        <v>0</v>
      </c>
      <c r="AL344">
        <v>0</v>
      </c>
      <c r="AM344">
        <v>0</v>
      </c>
      <c r="AN344">
        <v>216</v>
      </c>
      <c r="AV344" t="s">
        <v>1092</v>
      </c>
      <c r="AW344" t="s">
        <v>1092</v>
      </c>
      <c r="AX344">
        <v>0</v>
      </c>
      <c r="AY344">
        <v>0</v>
      </c>
      <c r="AZ344" t="s">
        <v>282</v>
      </c>
      <c r="BA344" t="s">
        <v>282</v>
      </c>
      <c r="BB344" t="s">
        <v>1191</v>
      </c>
      <c r="BC344">
        <v>2</v>
      </c>
    </row>
    <row r="345" spans="1:55" x14ac:dyDescent="0.25">
      <c r="A345" t="s">
        <v>99</v>
      </c>
      <c r="B345">
        <v>17</v>
      </c>
      <c r="C345" t="s">
        <v>1088</v>
      </c>
      <c r="D345" s="158">
        <v>45199</v>
      </c>
      <c r="E345">
        <v>622657</v>
      </c>
      <c r="F345">
        <v>10383975</v>
      </c>
      <c r="G345">
        <v>54063594</v>
      </c>
      <c r="H345" t="b">
        <v>0</v>
      </c>
      <c r="I345">
        <v>8</v>
      </c>
      <c r="J345" t="s">
        <v>1184</v>
      </c>
      <c r="K345">
        <v>216</v>
      </c>
      <c r="L345">
        <v>216</v>
      </c>
      <c r="M345">
        <v>1</v>
      </c>
      <c r="N345">
        <v>216</v>
      </c>
      <c r="O345">
        <v>0</v>
      </c>
      <c r="P345">
        <v>0</v>
      </c>
      <c r="Q345">
        <v>9</v>
      </c>
      <c r="R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207</v>
      </c>
      <c r="AV345" t="s">
        <v>1092</v>
      </c>
      <c r="AW345" t="s">
        <v>1092</v>
      </c>
      <c r="AX345">
        <v>0</v>
      </c>
      <c r="AY345">
        <v>0</v>
      </c>
      <c r="AZ345" t="s">
        <v>282</v>
      </c>
      <c r="BA345" t="s">
        <v>282</v>
      </c>
      <c r="BB345" t="s">
        <v>1197</v>
      </c>
      <c r="BC345">
        <v>1</v>
      </c>
    </row>
    <row r="346" spans="1:55" x14ac:dyDescent="0.25">
      <c r="A346" t="s">
        <v>99</v>
      </c>
      <c r="B346">
        <v>17</v>
      </c>
      <c r="C346" t="s">
        <v>1088</v>
      </c>
      <c r="D346" s="158">
        <v>45199</v>
      </c>
      <c r="E346">
        <v>622657</v>
      </c>
      <c r="F346">
        <v>10383975</v>
      </c>
      <c r="G346">
        <v>54063595</v>
      </c>
      <c r="H346" t="b">
        <v>0</v>
      </c>
      <c r="I346">
        <v>8</v>
      </c>
      <c r="J346" t="s">
        <v>1247</v>
      </c>
      <c r="K346">
        <v>18</v>
      </c>
      <c r="L346">
        <v>18</v>
      </c>
      <c r="M346">
        <v>1</v>
      </c>
      <c r="N346">
        <v>18</v>
      </c>
      <c r="O346">
        <v>0</v>
      </c>
      <c r="P346">
        <v>0</v>
      </c>
      <c r="Q346">
        <v>0</v>
      </c>
      <c r="R346">
        <v>0</v>
      </c>
      <c r="T346">
        <v>0</v>
      </c>
      <c r="U346">
        <v>0</v>
      </c>
      <c r="V346">
        <v>0</v>
      </c>
      <c r="W346">
        <v>0</v>
      </c>
      <c r="X346">
        <v>0</v>
      </c>
      <c r="Y346">
        <v>0</v>
      </c>
      <c r="Z346">
        <v>0</v>
      </c>
      <c r="AA346">
        <v>0</v>
      </c>
      <c r="AB346">
        <v>0</v>
      </c>
      <c r="AC346">
        <v>0</v>
      </c>
      <c r="AD346">
        <v>0</v>
      </c>
      <c r="AE346">
        <v>0</v>
      </c>
      <c r="AF346">
        <v>0</v>
      </c>
      <c r="AG346">
        <v>0</v>
      </c>
      <c r="AH346">
        <v>0</v>
      </c>
      <c r="AI346">
        <v>0</v>
      </c>
      <c r="AJ346">
        <v>0</v>
      </c>
      <c r="AK346">
        <v>0</v>
      </c>
      <c r="AL346">
        <v>0</v>
      </c>
      <c r="AM346">
        <v>0</v>
      </c>
      <c r="AN346">
        <v>18</v>
      </c>
      <c r="AV346" t="s">
        <v>1092</v>
      </c>
      <c r="AW346" t="s">
        <v>1092</v>
      </c>
      <c r="AX346">
        <v>0</v>
      </c>
      <c r="AY346">
        <v>0</v>
      </c>
      <c r="AZ346" t="s">
        <v>282</v>
      </c>
      <c r="BA346" t="s">
        <v>282</v>
      </c>
      <c r="BB346" t="s">
        <v>1197</v>
      </c>
      <c r="BC346">
        <v>1</v>
      </c>
    </row>
    <row r="347" spans="1:55" x14ac:dyDescent="0.25">
      <c r="A347" t="s">
        <v>99</v>
      </c>
      <c r="B347">
        <v>17</v>
      </c>
      <c r="C347" t="s">
        <v>1088</v>
      </c>
      <c r="D347" s="158">
        <v>45199</v>
      </c>
      <c r="E347">
        <v>607929</v>
      </c>
      <c r="F347">
        <v>10433684</v>
      </c>
      <c r="G347">
        <v>54144160</v>
      </c>
      <c r="H347" t="b">
        <v>0</v>
      </c>
      <c r="I347">
        <v>4</v>
      </c>
      <c r="J347" t="s">
        <v>1187</v>
      </c>
      <c r="K347">
        <v>150</v>
      </c>
      <c r="L347">
        <v>150</v>
      </c>
      <c r="M347">
        <v>1</v>
      </c>
      <c r="N347">
        <v>150</v>
      </c>
      <c r="O347">
        <v>0</v>
      </c>
      <c r="P347">
        <v>0</v>
      </c>
      <c r="Q347">
        <v>0</v>
      </c>
      <c r="R347">
        <v>0</v>
      </c>
      <c r="T347">
        <v>0</v>
      </c>
      <c r="U347">
        <v>0</v>
      </c>
      <c r="V347">
        <v>0</v>
      </c>
      <c r="W347">
        <v>0</v>
      </c>
      <c r="X347">
        <v>0</v>
      </c>
      <c r="Y347">
        <v>0</v>
      </c>
      <c r="Z347">
        <v>0</v>
      </c>
      <c r="AA347">
        <v>0</v>
      </c>
      <c r="AB347">
        <v>0</v>
      </c>
      <c r="AC347">
        <v>0</v>
      </c>
      <c r="AD347">
        <v>0</v>
      </c>
      <c r="AE347">
        <v>0</v>
      </c>
      <c r="AF347">
        <v>0</v>
      </c>
      <c r="AG347">
        <v>0</v>
      </c>
      <c r="AH347">
        <v>0</v>
      </c>
      <c r="AI347">
        <v>0</v>
      </c>
      <c r="AJ347">
        <v>0</v>
      </c>
      <c r="AK347">
        <v>0</v>
      </c>
      <c r="AL347">
        <v>0</v>
      </c>
      <c r="AM347">
        <v>0</v>
      </c>
      <c r="AN347">
        <v>150</v>
      </c>
      <c r="AV347" t="s">
        <v>1092</v>
      </c>
      <c r="AW347" t="s">
        <v>1092</v>
      </c>
      <c r="AX347">
        <v>0</v>
      </c>
      <c r="AY347">
        <v>0</v>
      </c>
      <c r="AZ347" t="s">
        <v>282</v>
      </c>
      <c r="BA347" t="s">
        <v>282</v>
      </c>
      <c r="BB347" t="s">
        <v>1197</v>
      </c>
      <c r="BC347">
        <v>1</v>
      </c>
    </row>
    <row r="348" spans="1:55" x14ac:dyDescent="0.25">
      <c r="A348" t="s">
        <v>99</v>
      </c>
      <c r="B348">
        <v>17</v>
      </c>
      <c r="C348" t="s">
        <v>1088</v>
      </c>
      <c r="D348" s="158">
        <v>45199</v>
      </c>
      <c r="E348">
        <v>205253</v>
      </c>
      <c r="F348">
        <v>3967063</v>
      </c>
      <c r="G348">
        <v>17697615</v>
      </c>
      <c r="H348" t="b">
        <v>0</v>
      </c>
      <c r="I348">
        <v>1837</v>
      </c>
      <c r="J348" t="s">
        <v>1184</v>
      </c>
      <c r="K348">
        <v>150</v>
      </c>
      <c r="L348">
        <v>150</v>
      </c>
      <c r="M348">
        <v>1</v>
      </c>
      <c r="N348">
        <v>150</v>
      </c>
      <c r="O348">
        <v>0</v>
      </c>
      <c r="P348">
        <v>0</v>
      </c>
      <c r="Q348">
        <v>0</v>
      </c>
      <c r="R348">
        <v>30</v>
      </c>
      <c r="T348">
        <v>0</v>
      </c>
      <c r="U348">
        <v>0</v>
      </c>
      <c r="V348">
        <v>0</v>
      </c>
      <c r="W348">
        <v>0</v>
      </c>
      <c r="X348">
        <v>0</v>
      </c>
      <c r="Y348">
        <v>0</v>
      </c>
      <c r="Z348">
        <v>0</v>
      </c>
      <c r="AA348">
        <v>0</v>
      </c>
      <c r="AB348">
        <v>0</v>
      </c>
      <c r="AC348">
        <v>0</v>
      </c>
      <c r="AD348">
        <v>0</v>
      </c>
      <c r="AE348">
        <v>0</v>
      </c>
      <c r="AF348">
        <v>0</v>
      </c>
      <c r="AG348">
        <v>0</v>
      </c>
      <c r="AH348">
        <v>0</v>
      </c>
      <c r="AI348">
        <v>0</v>
      </c>
      <c r="AJ348">
        <v>0</v>
      </c>
      <c r="AK348">
        <v>0</v>
      </c>
      <c r="AL348">
        <v>0</v>
      </c>
      <c r="AM348">
        <v>0</v>
      </c>
      <c r="AN348">
        <v>-30</v>
      </c>
      <c r="AV348" t="s">
        <v>1092</v>
      </c>
      <c r="AW348" t="s">
        <v>1092</v>
      </c>
      <c r="AX348">
        <v>0</v>
      </c>
      <c r="AY348">
        <v>150</v>
      </c>
      <c r="AZ348" t="s">
        <v>282</v>
      </c>
      <c r="BA348" t="s">
        <v>282</v>
      </c>
      <c r="BB348" t="s">
        <v>1200</v>
      </c>
      <c r="BC348">
        <v>8</v>
      </c>
    </row>
    <row r="349" spans="1:55" x14ac:dyDescent="0.25">
      <c r="A349" t="s">
        <v>99</v>
      </c>
      <c r="B349">
        <v>17</v>
      </c>
      <c r="C349" t="s">
        <v>1088</v>
      </c>
      <c r="D349" s="158">
        <v>45199</v>
      </c>
      <c r="E349">
        <v>208037</v>
      </c>
      <c r="F349">
        <v>10245853</v>
      </c>
      <c r="G349">
        <v>53400522</v>
      </c>
      <c r="H349" t="b">
        <v>0</v>
      </c>
      <c r="I349">
        <v>30</v>
      </c>
      <c r="J349" t="s">
        <v>1247</v>
      </c>
      <c r="K349">
        <v>36</v>
      </c>
      <c r="L349">
        <v>36</v>
      </c>
      <c r="M349">
        <v>1</v>
      </c>
      <c r="N349">
        <v>36</v>
      </c>
      <c r="O349">
        <v>0</v>
      </c>
      <c r="P349">
        <v>0</v>
      </c>
      <c r="Q349">
        <v>0</v>
      </c>
      <c r="R349">
        <v>0</v>
      </c>
      <c r="T349">
        <v>0</v>
      </c>
      <c r="U349">
        <v>0</v>
      </c>
      <c r="V349">
        <v>0</v>
      </c>
      <c r="W349">
        <v>0</v>
      </c>
      <c r="X349">
        <v>0</v>
      </c>
      <c r="Y349">
        <v>0</v>
      </c>
      <c r="Z349">
        <v>0</v>
      </c>
      <c r="AA349">
        <v>0</v>
      </c>
      <c r="AB349">
        <v>0</v>
      </c>
      <c r="AC349">
        <v>0</v>
      </c>
      <c r="AD349">
        <v>0</v>
      </c>
      <c r="AE349">
        <v>0</v>
      </c>
      <c r="AF349">
        <v>0</v>
      </c>
      <c r="AG349">
        <v>0</v>
      </c>
      <c r="AH349">
        <v>0</v>
      </c>
      <c r="AI349">
        <v>0</v>
      </c>
      <c r="AJ349">
        <v>0</v>
      </c>
      <c r="AK349">
        <v>0</v>
      </c>
      <c r="AL349">
        <v>0</v>
      </c>
      <c r="AM349">
        <v>0</v>
      </c>
      <c r="AN349">
        <v>36</v>
      </c>
      <c r="AV349" t="s">
        <v>1092</v>
      </c>
      <c r="AW349" t="s">
        <v>1092</v>
      </c>
      <c r="AX349">
        <v>0</v>
      </c>
      <c r="AY349">
        <v>0</v>
      </c>
      <c r="AZ349" t="s">
        <v>282</v>
      </c>
      <c r="BA349" t="s">
        <v>282</v>
      </c>
      <c r="BB349" t="s">
        <v>1197</v>
      </c>
      <c r="BC349">
        <v>1</v>
      </c>
    </row>
    <row r="350" spans="1:55" x14ac:dyDescent="0.25">
      <c r="A350" t="s">
        <v>102</v>
      </c>
      <c r="B350">
        <v>17</v>
      </c>
      <c r="C350" t="s">
        <v>1088</v>
      </c>
      <c r="D350" s="158">
        <v>45199</v>
      </c>
      <c r="E350">
        <v>559449</v>
      </c>
      <c r="H350" t="b">
        <v>0</v>
      </c>
      <c r="I350">
        <v>1</v>
      </c>
      <c r="J350" t="s">
        <v>1212</v>
      </c>
      <c r="AN350">
        <v>-145</v>
      </c>
      <c r="AP350" t="s">
        <v>1091</v>
      </c>
      <c r="AV350" t="s">
        <v>1092</v>
      </c>
      <c r="AW350" t="s">
        <v>1092</v>
      </c>
      <c r="BA350" t="s">
        <v>282</v>
      </c>
      <c r="BB350" t="s">
        <v>1197</v>
      </c>
      <c r="BC350">
        <v>1</v>
      </c>
    </row>
    <row r="351" spans="1:55" x14ac:dyDescent="0.25">
      <c r="A351" t="s">
        <v>102</v>
      </c>
      <c r="B351">
        <v>17</v>
      </c>
      <c r="C351" t="s">
        <v>1088</v>
      </c>
      <c r="D351" s="158">
        <v>45199</v>
      </c>
      <c r="E351">
        <v>545705</v>
      </c>
      <c r="H351" t="b">
        <v>0</v>
      </c>
      <c r="I351">
        <v>1</v>
      </c>
      <c r="J351" t="s">
        <v>1212</v>
      </c>
      <c r="AN351">
        <v>-167</v>
      </c>
      <c r="AP351" t="s">
        <v>1091</v>
      </c>
      <c r="AV351" t="s">
        <v>1092</v>
      </c>
      <c r="AW351" t="s">
        <v>1092</v>
      </c>
      <c r="BA351" t="s">
        <v>282</v>
      </c>
      <c r="BB351" t="s">
        <v>1197</v>
      </c>
      <c r="BC351">
        <v>1</v>
      </c>
    </row>
    <row r="352" spans="1:55" x14ac:dyDescent="0.25">
      <c r="A352" t="s">
        <v>99</v>
      </c>
      <c r="B352">
        <v>17</v>
      </c>
      <c r="C352" t="s">
        <v>1088</v>
      </c>
      <c r="D352" s="158">
        <v>45199</v>
      </c>
      <c r="E352">
        <v>339208</v>
      </c>
      <c r="F352">
        <v>4962288</v>
      </c>
      <c r="G352">
        <v>24109257</v>
      </c>
      <c r="H352" t="b">
        <v>0</v>
      </c>
      <c r="I352">
        <v>1452</v>
      </c>
      <c r="J352" t="s">
        <v>1211</v>
      </c>
      <c r="K352">
        <v>25</v>
      </c>
      <c r="L352">
        <v>25</v>
      </c>
      <c r="M352">
        <v>1</v>
      </c>
      <c r="N352">
        <v>25</v>
      </c>
      <c r="O352">
        <v>0</v>
      </c>
      <c r="P352">
        <v>0</v>
      </c>
      <c r="Q352">
        <v>21.4</v>
      </c>
      <c r="R352">
        <v>0</v>
      </c>
      <c r="T352">
        <v>0</v>
      </c>
      <c r="U352">
        <v>0</v>
      </c>
      <c r="V352">
        <v>0</v>
      </c>
      <c r="W352">
        <v>0</v>
      </c>
      <c r="X352">
        <v>0</v>
      </c>
      <c r="Y352">
        <v>0</v>
      </c>
      <c r="Z352">
        <v>0</v>
      </c>
      <c r="AA352">
        <v>0</v>
      </c>
      <c r="AB352">
        <v>0</v>
      </c>
      <c r="AC352">
        <v>0</v>
      </c>
      <c r="AD352">
        <v>0</v>
      </c>
      <c r="AE352">
        <v>0</v>
      </c>
      <c r="AF352">
        <v>0</v>
      </c>
      <c r="AG352">
        <v>0</v>
      </c>
      <c r="AH352">
        <v>0</v>
      </c>
      <c r="AI352">
        <v>0</v>
      </c>
      <c r="AJ352">
        <v>0</v>
      </c>
      <c r="AK352">
        <v>0</v>
      </c>
      <c r="AL352">
        <v>0</v>
      </c>
      <c r="AM352">
        <v>0</v>
      </c>
      <c r="AN352">
        <v>3.6</v>
      </c>
      <c r="AV352" t="s">
        <v>1092</v>
      </c>
      <c r="AW352" t="s">
        <v>1092</v>
      </c>
      <c r="AX352">
        <v>0</v>
      </c>
      <c r="AY352">
        <v>0</v>
      </c>
      <c r="AZ352" t="s">
        <v>282</v>
      </c>
      <c r="BA352" t="s">
        <v>282</v>
      </c>
      <c r="BB352" t="s">
        <v>1200</v>
      </c>
      <c r="BC352">
        <v>8</v>
      </c>
    </row>
    <row r="353" spans="1:55" x14ac:dyDescent="0.25">
      <c r="A353" t="s">
        <v>102</v>
      </c>
      <c r="B353">
        <v>17</v>
      </c>
      <c r="C353" t="s">
        <v>1088</v>
      </c>
      <c r="D353" s="158">
        <v>45199</v>
      </c>
      <c r="E353">
        <v>330403</v>
      </c>
      <c r="H353" t="b">
        <v>0</v>
      </c>
      <c r="I353">
        <v>1</v>
      </c>
      <c r="J353" t="s">
        <v>1212</v>
      </c>
      <c r="AN353">
        <v>-10.6</v>
      </c>
      <c r="AV353" t="s">
        <v>1092</v>
      </c>
      <c r="AW353" t="s">
        <v>1092</v>
      </c>
      <c r="BA353" t="s">
        <v>282</v>
      </c>
      <c r="BB353" t="s">
        <v>1197</v>
      </c>
      <c r="BC353">
        <v>1</v>
      </c>
    </row>
    <row r="354" spans="1:55" x14ac:dyDescent="0.25">
      <c r="A354" t="s">
        <v>102</v>
      </c>
      <c r="B354">
        <v>17</v>
      </c>
      <c r="C354" t="s">
        <v>1088</v>
      </c>
      <c r="D354" s="158">
        <v>45199</v>
      </c>
      <c r="E354">
        <v>131589</v>
      </c>
      <c r="H354" t="b">
        <v>0</v>
      </c>
      <c r="I354">
        <v>1</v>
      </c>
      <c r="J354" t="s">
        <v>1212</v>
      </c>
      <c r="AN354">
        <v>-749.14</v>
      </c>
      <c r="AV354" t="s">
        <v>1092</v>
      </c>
      <c r="AW354" t="s">
        <v>1092</v>
      </c>
      <c r="BA354" t="s">
        <v>282</v>
      </c>
      <c r="BB354" t="s">
        <v>1197</v>
      </c>
      <c r="BC354">
        <v>1</v>
      </c>
    </row>
    <row r="355" spans="1:55" x14ac:dyDescent="0.25">
      <c r="A355" t="s">
        <v>102</v>
      </c>
      <c r="B355">
        <v>17</v>
      </c>
      <c r="C355" t="s">
        <v>1088</v>
      </c>
      <c r="D355" s="158">
        <v>45199</v>
      </c>
      <c r="E355">
        <v>130633</v>
      </c>
      <c r="H355" t="b">
        <v>0</v>
      </c>
      <c r="I355">
        <v>1</v>
      </c>
      <c r="J355" t="s">
        <v>1212</v>
      </c>
      <c r="AN355">
        <v>-270</v>
      </c>
      <c r="AV355" t="s">
        <v>1092</v>
      </c>
      <c r="AW355" t="s">
        <v>1092</v>
      </c>
      <c r="BA355" t="s">
        <v>282</v>
      </c>
      <c r="BB355" t="s">
        <v>1197</v>
      </c>
      <c r="BC355">
        <v>1</v>
      </c>
    </row>
    <row r="356" spans="1:55" x14ac:dyDescent="0.25">
      <c r="A356" t="s">
        <v>102</v>
      </c>
      <c r="B356">
        <v>17</v>
      </c>
      <c r="C356" t="s">
        <v>1088</v>
      </c>
      <c r="D356" s="158">
        <v>45199</v>
      </c>
      <c r="E356">
        <v>371318</v>
      </c>
      <c r="H356" t="b">
        <v>0</v>
      </c>
      <c r="I356">
        <v>1</v>
      </c>
      <c r="J356" t="s">
        <v>1212</v>
      </c>
      <c r="AN356">
        <v>-278.5</v>
      </c>
      <c r="AP356" t="s">
        <v>1091</v>
      </c>
      <c r="AV356" t="s">
        <v>1092</v>
      </c>
      <c r="AW356" t="s">
        <v>1092</v>
      </c>
      <c r="BA356" t="s">
        <v>282</v>
      </c>
      <c r="BB356" t="s">
        <v>1197</v>
      </c>
      <c r="BC356">
        <v>1</v>
      </c>
    </row>
    <row r="357" spans="1:55" x14ac:dyDescent="0.25">
      <c r="A357" t="s">
        <v>99</v>
      </c>
      <c r="B357">
        <v>17</v>
      </c>
      <c r="C357" t="s">
        <v>1088</v>
      </c>
      <c r="D357" s="158">
        <v>45199</v>
      </c>
      <c r="E357">
        <v>619013</v>
      </c>
      <c r="F357">
        <v>10316468</v>
      </c>
      <c r="G357">
        <v>53626759</v>
      </c>
      <c r="H357" t="b">
        <v>0</v>
      </c>
      <c r="I357">
        <v>22</v>
      </c>
      <c r="J357" t="s">
        <v>1184</v>
      </c>
      <c r="K357">
        <v>216</v>
      </c>
      <c r="L357">
        <v>216</v>
      </c>
      <c r="M357">
        <v>1</v>
      </c>
      <c r="N357">
        <v>216</v>
      </c>
      <c r="O357">
        <v>0</v>
      </c>
      <c r="P357">
        <v>0</v>
      </c>
      <c r="Q357">
        <v>0</v>
      </c>
      <c r="R357">
        <v>0</v>
      </c>
      <c r="T357">
        <v>0</v>
      </c>
      <c r="U357">
        <v>0</v>
      </c>
      <c r="V357">
        <v>0</v>
      </c>
      <c r="W357">
        <v>0</v>
      </c>
      <c r="X357">
        <v>0</v>
      </c>
      <c r="Y357">
        <v>0</v>
      </c>
      <c r="Z357">
        <v>0</v>
      </c>
      <c r="AA357">
        <v>0</v>
      </c>
      <c r="AB357">
        <v>0</v>
      </c>
      <c r="AC357">
        <v>0</v>
      </c>
      <c r="AD357">
        <v>0</v>
      </c>
      <c r="AE357">
        <v>0</v>
      </c>
      <c r="AF357">
        <v>0</v>
      </c>
      <c r="AG357">
        <v>0</v>
      </c>
      <c r="AH357">
        <v>0</v>
      </c>
      <c r="AI357">
        <v>0</v>
      </c>
      <c r="AJ357">
        <v>0</v>
      </c>
      <c r="AK357">
        <v>0</v>
      </c>
      <c r="AL357">
        <v>0</v>
      </c>
      <c r="AM357">
        <v>0</v>
      </c>
      <c r="AN357">
        <v>216</v>
      </c>
      <c r="AV357" t="s">
        <v>1092</v>
      </c>
      <c r="AW357" t="s">
        <v>1092</v>
      </c>
      <c r="AX357">
        <v>0</v>
      </c>
      <c r="AY357">
        <v>0</v>
      </c>
      <c r="AZ357" t="s">
        <v>282</v>
      </c>
      <c r="BA357" t="s">
        <v>282</v>
      </c>
      <c r="BB357" t="s">
        <v>1197</v>
      </c>
      <c r="BC357">
        <v>1</v>
      </c>
    </row>
    <row r="358" spans="1:55" x14ac:dyDescent="0.25">
      <c r="A358" t="s">
        <v>102</v>
      </c>
      <c r="B358">
        <v>17</v>
      </c>
      <c r="C358" t="s">
        <v>1088</v>
      </c>
      <c r="D358" s="158">
        <v>45199</v>
      </c>
      <c r="E358">
        <v>336513</v>
      </c>
      <c r="H358" t="b">
        <v>0</v>
      </c>
      <c r="I358">
        <v>1</v>
      </c>
      <c r="J358" t="s">
        <v>1212</v>
      </c>
      <c r="AN358">
        <v>-315</v>
      </c>
      <c r="AV358" t="s">
        <v>1092</v>
      </c>
      <c r="AW358" t="s">
        <v>1092</v>
      </c>
      <c r="BA358" t="s">
        <v>282</v>
      </c>
      <c r="BB358" t="s">
        <v>1197</v>
      </c>
      <c r="BC358">
        <v>1</v>
      </c>
    </row>
    <row r="359" spans="1:55" x14ac:dyDescent="0.25">
      <c r="A359" t="s">
        <v>102</v>
      </c>
      <c r="B359">
        <v>17</v>
      </c>
      <c r="C359" t="s">
        <v>1088</v>
      </c>
      <c r="D359" s="158">
        <v>45199</v>
      </c>
      <c r="E359">
        <v>315892</v>
      </c>
      <c r="H359" t="b">
        <v>0</v>
      </c>
      <c r="I359">
        <v>1</v>
      </c>
      <c r="J359" t="s">
        <v>1212</v>
      </c>
      <c r="AN359">
        <v>-10</v>
      </c>
      <c r="AV359" t="s">
        <v>1092</v>
      </c>
      <c r="AW359" t="s">
        <v>1092</v>
      </c>
      <c r="BA359" t="s">
        <v>282</v>
      </c>
      <c r="BB359" t="s">
        <v>1197</v>
      </c>
      <c r="BC359">
        <v>1</v>
      </c>
    </row>
    <row r="360" spans="1:55" x14ac:dyDescent="0.25">
      <c r="A360" t="s">
        <v>99</v>
      </c>
      <c r="B360">
        <v>17</v>
      </c>
      <c r="C360" t="s">
        <v>1088</v>
      </c>
      <c r="D360" s="158">
        <v>45199</v>
      </c>
      <c r="E360">
        <v>156769</v>
      </c>
      <c r="F360">
        <v>9284186</v>
      </c>
      <c r="G360">
        <v>47178198</v>
      </c>
      <c r="H360" t="b">
        <v>0</v>
      </c>
      <c r="I360">
        <v>228</v>
      </c>
      <c r="J360" t="s">
        <v>1184</v>
      </c>
      <c r="K360">
        <v>216</v>
      </c>
      <c r="L360">
        <v>216</v>
      </c>
      <c r="M360">
        <v>1</v>
      </c>
      <c r="N360">
        <v>0</v>
      </c>
      <c r="O360">
        <v>14.5</v>
      </c>
      <c r="P360">
        <v>0</v>
      </c>
      <c r="Q360">
        <v>0</v>
      </c>
      <c r="R360">
        <v>0</v>
      </c>
      <c r="T360">
        <v>216</v>
      </c>
      <c r="U360">
        <v>0</v>
      </c>
      <c r="V360">
        <v>2</v>
      </c>
      <c r="W360">
        <v>130.5</v>
      </c>
      <c r="X360">
        <v>71</v>
      </c>
      <c r="Y360">
        <v>0</v>
      </c>
      <c r="Z360">
        <v>0</v>
      </c>
      <c r="AA360">
        <v>0</v>
      </c>
      <c r="AB360">
        <v>0</v>
      </c>
      <c r="AC360">
        <v>0</v>
      </c>
      <c r="AD360">
        <v>0</v>
      </c>
      <c r="AE360">
        <v>0</v>
      </c>
      <c r="AF360">
        <v>0</v>
      </c>
      <c r="AG360">
        <v>0</v>
      </c>
      <c r="AH360">
        <v>0</v>
      </c>
      <c r="AI360">
        <v>0</v>
      </c>
      <c r="AJ360">
        <v>0</v>
      </c>
      <c r="AK360">
        <v>0</v>
      </c>
      <c r="AL360">
        <v>0</v>
      </c>
      <c r="AM360">
        <v>0</v>
      </c>
      <c r="AN360">
        <v>14.5</v>
      </c>
      <c r="AP360" t="s">
        <v>1091</v>
      </c>
      <c r="AS360" t="s">
        <v>1185</v>
      </c>
      <c r="AV360" t="s">
        <v>1092</v>
      </c>
      <c r="AW360" t="s">
        <v>1092</v>
      </c>
      <c r="AX360">
        <v>0</v>
      </c>
      <c r="AY360">
        <v>0</v>
      </c>
      <c r="AZ360" t="s">
        <v>282</v>
      </c>
      <c r="BA360" t="s">
        <v>282</v>
      </c>
      <c r="BB360" t="s">
        <v>1204</v>
      </c>
      <c r="BC360">
        <v>7</v>
      </c>
    </row>
    <row r="361" spans="1:55" x14ac:dyDescent="0.25">
      <c r="A361" t="s">
        <v>99</v>
      </c>
      <c r="B361">
        <v>17</v>
      </c>
      <c r="C361" t="s">
        <v>1088</v>
      </c>
      <c r="D361" s="158">
        <v>45199</v>
      </c>
      <c r="E361">
        <v>552336</v>
      </c>
      <c r="F361">
        <v>8989589</v>
      </c>
      <c r="G361">
        <v>45657142</v>
      </c>
      <c r="H361" t="b">
        <v>0</v>
      </c>
      <c r="I361">
        <v>288</v>
      </c>
      <c r="J361" t="s">
        <v>1224</v>
      </c>
      <c r="K361">
        <v>69</v>
      </c>
      <c r="L361">
        <v>69</v>
      </c>
      <c r="M361">
        <v>1</v>
      </c>
      <c r="N361">
        <v>69</v>
      </c>
      <c r="O361">
        <v>0</v>
      </c>
      <c r="P361">
        <v>0</v>
      </c>
      <c r="Q361">
        <v>0</v>
      </c>
      <c r="R361">
        <v>0</v>
      </c>
      <c r="T361">
        <v>0</v>
      </c>
      <c r="U361">
        <v>0</v>
      </c>
      <c r="V361">
        <v>0</v>
      </c>
      <c r="W361">
        <v>0</v>
      </c>
      <c r="X361">
        <v>0</v>
      </c>
      <c r="Y361">
        <v>0</v>
      </c>
      <c r="Z361">
        <v>0</v>
      </c>
      <c r="AA361">
        <v>0</v>
      </c>
      <c r="AB361">
        <v>0</v>
      </c>
      <c r="AC361">
        <v>0</v>
      </c>
      <c r="AD361">
        <v>0</v>
      </c>
      <c r="AE361">
        <v>0</v>
      </c>
      <c r="AF361">
        <v>0</v>
      </c>
      <c r="AG361">
        <v>0</v>
      </c>
      <c r="AH361">
        <v>0</v>
      </c>
      <c r="AI361">
        <v>0</v>
      </c>
      <c r="AJ361">
        <v>0</v>
      </c>
      <c r="AK361">
        <v>0</v>
      </c>
      <c r="AL361">
        <v>0</v>
      </c>
      <c r="AM361">
        <v>0</v>
      </c>
      <c r="AN361">
        <v>69</v>
      </c>
      <c r="AV361" t="s">
        <v>1092</v>
      </c>
      <c r="AW361" t="s">
        <v>1092</v>
      </c>
      <c r="AX361">
        <v>0</v>
      </c>
      <c r="AY361">
        <v>0</v>
      </c>
      <c r="AZ361" t="s">
        <v>282</v>
      </c>
      <c r="BA361" t="s">
        <v>282</v>
      </c>
      <c r="BB361" t="s">
        <v>1204</v>
      </c>
      <c r="BC361">
        <v>7</v>
      </c>
    </row>
    <row r="362" spans="1:55" x14ac:dyDescent="0.25">
      <c r="A362" t="s">
        <v>99</v>
      </c>
      <c r="B362">
        <v>17</v>
      </c>
      <c r="C362" t="s">
        <v>1088</v>
      </c>
      <c r="D362" s="158">
        <v>45199</v>
      </c>
      <c r="E362">
        <v>155558</v>
      </c>
      <c r="F362">
        <v>10213979</v>
      </c>
      <c r="G362">
        <v>53605329</v>
      </c>
      <c r="H362" t="b">
        <v>0</v>
      </c>
      <c r="I362">
        <v>36</v>
      </c>
      <c r="J362" t="s">
        <v>1184</v>
      </c>
      <c r="K362">
        <v>150</v>
      </c>
      <c r="L362">
        <v>150</v>
      </c>
      <c r="M362">
        <v>1</v>
      </c>
      <c r="N362">
        <v>150</v>
      </c>
      <c r="O362">
        <v>0</v>
      </c>
      <c r="P362">
        <v>0</v>
      </c>
      <c r="Q362">
        <v>0</v>
      </c>
      <c r="R362">
        <v>0</v>
      </c>
      <c r="T362">
        <v>0</v>
      </c>
      <c r="U362">
        <v>0</v>
      </c>
      <c r="V362">
        <v>0</v>
      </c>
      <c r="W362">
        <v>0</v>
      </c>
      <c r="X362">
        <v>0</v>
      </c>
      <c r="Y362">
        <v>0</v>
      </c>
      <c r="Z362">
        <v>0</v>
      </c>
      <c r="AA362">
        <v>0</v>
      </c>
      <c r="AB362">
        <v>0</v>
      </c>
      <c r="AC362">
        <v>0</v>
      </c>
      <c r="AD362">
        <v>0</v>
      </c>
      <c r="AE362">
        <v>0</v>
      </c>
      <c r="AF362">
        <v>0</v>
      </c>
      <c r="AG362">
        <v>0</v>
      </c>
      <c r="AH362">
        <v>0</v>
      </c>
      <c r="AI362">
        <v>0</v>
      </c>
      <c r="AJ362">
        <v>0</v>
      </c>
      <c r="AK362">
        <v>0</v>
      </c>
      <c r="AL362">
        <v>0</v>
      </c>
      <c r="AM362">
        <v>0</v>
      </c>
      <c r="AN362">
        <v>150</v>
      </c>
      <c r="AV362" t="s">
        <v>1092</v>
      </c>
      <c r="AW362" t="s">
        <v>1092</v>
      </c>
      <c r="AX362">
        <v>0</v>
      </c>
      <c r="AY362">
        <v>0</v>
      </c>
      <c r="AZ362" t="s">
        <v>282</v>
      </c>
      <c r="BA362" t="s">
        <v>282</v>
      </c>
      <c r="BB362" t="s">
        <v>1191</v>
      </c>
      <c r="BC362">
        <v>2</v>
      </c>
    </row>
    <row r="363" spans="1:55" x14ac:dyDescent="0.25">
      <c r="A363" t="s">
        <v>99</v>
      </c>
      <c r="B363">
        <v>17</v>
      </c>
      <c r="C363" t="s">
        <v>1088</v>
      </c>
      <c r="D363" s="158">
        <v>45199</v>
      </c>
      <c r="E363">
        <v>155558</v>
      </c>
      <c r="F363">
        <v>10213979</v>
      </c>
      <c r="G363">
        <v>53605358</v>
      </c>
      <c r="H363" t="b">
        <v>0</v>
      </c>
      <c r="I363">
        <v>36</v>
      </c>
      <c r="J363" t="s">
        <v>1247</v>
      </c>
      <c r="K363">
        <v>18</v>
      </c>
      <c r="L363">
        <v>18</v>
      </c>
      <c r="M363">
        <v>1</v>
      </c>
      <c r="N363">
        <v>18</v>
      </c>
      <c r="O363">
        <v>0</v>
      </c>
      <c r="P363">
        <v>0</v>
      </c>
      <c r="Q363">
        <v>0</v>
      </c>
      <c r="R363">
        <v>0</v>
      </c>
      <c r="T363">
        <v>0</v>
      </c>
      <c r="U363">
        <v>0</v>
      </c>
      <c r="V363">
        <v>0</v>
      </c>
      <c r="W363">
        <v>0</v>
      </c>
      <c r="X363">
        <v>0</v>
      </c>
      <c r="Y363">
        <v>0</v>
      </c>
      <c r="Z363">
        <v>0</v>
      </c>
      <c r="AA363">
        <v>0</v>
      </c>
      <c r="AB363">
        <v>0</v>
      </c>
      <c r="AC363">
        <v>0</v>
      </c>
      <c r="AD363">
        <v>0</v>
      </c>
      <c r="AE363">
        <v>0</v>
      </c>
      <c r="AF363">
        <v>0</v>
      </c>
      <c r="AG363">
        <v>0</v>
      </c>
      <c r="AH363">
        <v>0</v>
      </c>
      <c r="AI363">
        <v>0</v>
      </c>
      <c r="AJ363">
        <v>0</v>
      </c>
      <c r="AK363">
        <v>0</v>
      </c>
      <c r="AL363">
        <v>0</v>
      </c>
      <c r="AM363">
        <v>0</v>
      </c>
      <c r="AN363">
        <v>18</v>
      </c>
      <c r="AV363" t="s">
        <v>1092</v>
      </c>
      <c r="AW363" t="s">
        <v>1092</v>
      </c>
      <c r="AX363">
        <v>0</v>
      </c>
      <c r="AY363">
        <v>0</v>
      </c>
      <c r="AZ363" t="s">
        <v>282</v>
      </c>
      <c r="BA363" t="s">
        <v>282</v>
      </c>
      <c r="BB363" t="s">
        <v>1191</v>
      </c>
      <c r="BC363">
        <v>2</v>
      </c>
    </row>
    <row r="364" spans="1:55" x14ac:dyDescent="0.25">
      <c r="A364" t="s">
        <v>99</v>
      </c>
      <c r="B364">
        <v>17</v>
      </c>
      <c r="C364" t="s">
        <v>1088</v>
      </c>
      <c r="D364" s="158">
        <v>45199</v>
      </c>
      <c r="E364">
        <v>620528</v>
      </c>
      <c r="F364">
        <v>10343235</v>
      </c>
      <c r="G364">
        <v>53707462</v>
      </c>
      <c r="H364" t="b">
        <v>0</v>
      </c>
      <c r="I364">
        <v>18</v>
      </c>
      <c r="J364" t="s">
        <v>1184</v>
      </c>
      <c r="K364">
        <v>216</v>
      </c>
      <c r="L364">
        <v>216</v>
      </c>
      <c r="M364">
        <v>1</v>
      </c>
      <c r="N364">
        <v>216</v>
      </c>
      <c r="O364">
        <v>0</v>
      </c>
      <c r="P364">
        <v>0</v>
      </c>
      <c r="Q364">
        <v>441</v>
      </c>
      <c r="R364">
        <v>0</v>
      </c>
      <c r="T364">
        <v>0</v>
      </c>
      <c r="U364">
        <v>0</v>
      </c>
      <c r="V364">
        <v>0</v>
      </c>
      <c r="W364">
        <v>0</v>
      </c>
      <c r="X364">
        <v>0</v>
      </c>
      <c r="Y364">
        <v>0</v>
      </c>
      <c r="Z364">
        <v>0</v>
      </c>
      <c r="AA364">
        <v>0</v>
      </c>
      <c r="AB364">
        <v>0</v>
      </c>
      <c r="AC364">
        <v>0</v>
      </c>
      <c r="AD364">
        <v>0</v>
      </c>
      <c r="AE364">
        <v>0</v>
      </c>
      <c r="AF364">
        <v>0</v>
      </c>
      <c r="AG364">
        <v>0</v>
      </c>
      <c r="AH364">
        <v>0</v>
      </c>
      <c r="AI364">
        <v>0</v>
      </c>
      <c r="AJ364">
        <v>0</v>
      </c>
      <c r="AK364">
        <v>0</v>
      </c>
      <c r="AL364">
        <v>0</v>
      </c>
      <c r="AM364">
        <v>0</v>
      </c>
      <c r="AN364">
        <v>-225</v>
      </c>
      <c r="AV364" t="s">
        <v>1092</v>
      </c>
      <c r="AW364" t="s">
        <v>1092</v>
      </c>
      <c r="AX364">
        <v>0</v>
      </c>
      <c r="AY364">
        <v>0</v>
      </c>
      <c r="AZ364" t="s">
        <v>282</v>
      </c>
      <c r="BA364" t="s">
        <v>282</v>
      </c>
      <c r="BB364" t="s">
        <v>1197</v>
      </c>
      <c r="BC364">
        <v>1</v>
      </c>
    </row>
    <row r="365" spans="1:55" x14ac:dyDescent="0.25">
      <c r="A365" t="s">
        <v>99</v>
      </c>
      <c r="B365">
        <v>17</v>
      </c>
      <c r="C365" t="s">
        <v>1088</v>
      </c>
      <c r="D365" s="158">
        <v>45199</v>
      </c>
      <c r="E365">
        <v>620528</v>
      </c>
      <c r="F365">
        <v>10343235</v>
      </c>
      <c r="G365">
        <v>53707473</v>
      </c>
      <c r="H365" t="b">
        <v>0</v>
      </c>
      <c r="I365">
        <v>18</v>
      </c>
      <c r="J365" t="s">
        <v>1192</v>
      </c>
      <c r="K365">
        <v>18</v>
      </c>
      <c r="L365">
        <v>18</v>
      </c>
      <c r="M365">
        <v>1</v>
      </c>
      <c r="N365">
        <v>18</v>
      </c>
      <c r="O365">
        <v>0</v>
      </c>
      <c r="P365">
        <v>0</v>
      </c>
      <c r="Q365">
        <v>0</v>
      </c>
      <c r="R365">
        <v>0</v>
      </c>
      <c r="T365">
        <v>0</v>
      </c>
      <c r="U365">
        <v>0</v>
      </c>
      <c r="V365">
        <v>0</v>
      </c>
      <c r="W365">
        <v>0</v>
      </c>
      <c r="X365">
        <v>0</v>
      </c>
      <c r="Y365">
        <v>0</v>
      </c>
      <c r="Z365">
        <v>0</v>
      </c>
      <c r="AA365">
        <v>0</v>
      </c>
      <c r="AB365">
        <v>0</v>
      </c>
      <c r="AC365">
        <v>0</v>
      </c>
      <c r="AD365">
        <v>0</v>
      </c>
      <c r="AE365">
        <v>0</v>
      </c>
      <c r="AF365">
        <v>0</v>
      </c>
      <c r="AG365">
        <v>0</v>
      </c>
      <c r="AH365">
        <v>0</v>
      </c>
      <c r="AI365">
        <v>0</v>
      </c>
      <c r="AJ365">
        <v>0</v>
      </c>
      <c r="AK365">
        <v>0</v>
      </c>
      <c r="AL365">
        <v>0</v>
      </c>
      <c r="AM365">
        <v>0</v>
      </c>
      <c r="AN365">
        <v>18</v>
      </c>
      <c r="AV365" t="s">
        <v>1092</v>
      </c>
      <c r="AW365" t="s">
        <v>1092</v>
      </c>
      <c r="AX365">
        <v>0</v>
      </c>
      <c r="AY365">
        <v>0</v>
      </c>
      <c r="AZ365" t="s">
        <v>282</v>
      </c>
      <c r="BA365" t="s">
        <v>282</v>
      </c>
      <c r="BB365" t="s">
        <v>1197</v>
      </c>
      <c r="BC365">
        <v>1</v>
      </c>
    </row>
    <row r="366" spans="1:55" x14ac:dyDescent="0.25">
      <c r="A366" t="s">
        <v>102</v>
      </c>
      <c r="B366">
        <v>17</v>
      </c>
      <c r="C366" t="s">
        <v>1088</v>
      </c>
      <c r="D366" s="158">
        <v>45199</v>
      </c>
      <c r="E366">
        <v>135933</v>
      </c>
      <c r="H366" t="b">
        <v>0</v>
      </c>
      <c r="I366">
        <v>1</v>
      </c>
      <c r="J366" t="s">
        <v>1212</v>
      </c>
      <c r="AN366">
        <v>-374</v>
      </c>
      <c r="AV366" t="s">
        <v>1092</v>
      </c>
      <c r="AW366" t="s">
        <v>1092</v>
      </c>
      <c r="BA366" t="s">
        <v>282</v>
      </c>
      <c r="BB366" t="s">
        <v>1197</v>
      </c>
      <c r="BC366">
        <v>1</v>
      </c>
    </row>
    <row r="367" spans="1:55" x14ac:dyDescent="0.25">
      <c r="A367" t="s">
        <v>102</v>
      </c>
      <c r="B367">
        <v>17</v>
      </c>
      <c r="C367" t="s">
        <v>1088</v>
      </c>
      <c r="D367" s="158">
        <v>45199</v>
      </c>
      <c r="E367">
        <v>74076</v>
      </c>
      <c r="H367" t="b">
        <v>0</v>
      </c>
      <c r="I367">
        <v>1</v>
      </c>
      <c r="J367" t="s">
        <v>1212</v>
      </c>
      <c r="AN367">
        <v>-66</v>
      </c>
      <c r="AV367" t="s">
        <v>1092</v>
      </c>
      <c r="AW367" t="s">
        <v>1092</v>
      </c>
      <c r="BA367" t="s">
        <v>282</v>
      </c>
      <c r="BB367" t="s">
        <v>1197</v>
      </c>
      <c r="BC367">
        <v>1</v>
      </c>
    </row>
    <row r="368" spans="1:55" x14ac:dyDescent="0.25">
      <c r="A368" t="s">
        <v>99</v>
      </c>
      <c r="B368">
        <v>17</v>
      </c>
      <c r="C368" t="s">
        <v>1088</v>
      </c>
      <c r="D368" s="158">
        <v>45199</v>
      </c>
      <c r="E368">
        <v>593729</v>
      </c>
      <c r="F368">
        <v>9855905</v>
      </c>
      <c r="G368">
        <v>50787715</v>
      </c>
      <c r="H368" t="b">
        <v>0</v>
      </c>
      <c r="I368">
        <v>113</v>
      </c>
      <c r="J368" t="s">
        <v>1187</v>
      </c>
      <c r="K368">
        <v>216</v>
      </c>
      <c r="L368">
        <v>216</v>
      </c>
      <c r="M368">
        <v>1</v>
      </c>
      <c r="N368">
        <v>0</v>
      </c>
      <c r="O368">
        <v>49.62</v>
      </c>
      <c r="P368">
        <v>0</v>
      </c>
      <c r="Q368">
        <v>0</v>
      </c>
      <c r="R368">
        <v>0</v>
      </c>
      <c r="T368">
        <v>216</v>
      </c>
      <c r="U368">
        <v>0</v>
      </c>
      <c r="V368">
        <v>1</v>
      </c>
      <c r="W368">
        <v>115.81</v>
      </c>
      <c r="X368">
        <v>50.57</v>
      </c>
      <c r="Y368">
        <v>0</v>
      </c>
      <c r="Z368">
        <v>0</v>
      </c>
      <c r="AA368">
        <v>0</v>
      </c>
      <c r="AB368">
        <v>0</v>
      </c>
      <c r="AC368">
        <v>0</v>
      </c>
      <c r="AD368">
        <v>0</v>
      </c>
      <c r="AE368">
        <v>0</v>
      </c>
      <c r="AF368">
        <v>0</v>
      </c>
      <c r="AG368">
        <v>0</v>
      </c>
      <c r="AH368">
        <v>0</v>
      </c>
      <c r="AI368">
        <v>0</v>
      </c>
      <c r="AJ368">
        <v>0</v>
      </c>
      <c r="AK368">
        <v>0</v>
      </c>
      <c r="AL368">
        <v>0</v>
      </c>
      <c r="AM368">
        <v>0</v>
      </c>
      <c r="AN368">
        <v>49.62</v>
      </c>
      <c r="AP368" t="s">
        <v>1179</v>
      </c>
      <c r="AS368" t="s">
        <v>1232</v>
      </c>
      <c r="AV368" t="s">
        <v>1092</v>
      </c>
      <c r="AW368" t="s">
        <v>1092</v>
      </c>
      <c r="AX368">
        <v>0</v>
      </c>
      <c r="AY368">
        <v>0</v>
      </c>
      <c r="AZ368" t="s">
        <v>282</v>
      </c>
      <c r="BA368" t="s">
        <v>282</v>
      </c>
      <c r="BB368" t="s">
        <v>1207</v>
      </c>
      <c r="BC368">
        <v>4</v>
      </c>
    </row>
    <row r="369" spans="1:55" x14ac:dyDescent="0.25">
      <c r="A369" t="s">
        <v>99</v>
      </c>
      <c r="B369">
        <v>17</v>
      </c>
      <c r="C369" t="s">
        <v>1088</v>
      </c>
      <c r="D369" s="158">
        <v>45199</v>
      </c>
      <c r="E369">
        <v>593729</v>
      </c>
      <c r="F369">
        <v>9855905</v>
      </c>
      <c r="G369">
        <v>50787716</v>
      </c>
      <c r="H369" t="b">
        <v>0</v>
      </c>
      <c r="I369">
        <v>113</v>
      </c>
      <c r="J369" t="s">
        <v>1187</v>
      </c>
      <c r="K369">
        <v>216</v>
      </c>
      <c r="L369">
        <v>216</v>
      </c>
      <c r="M369">
        <v>1</v>
      </c>
      <c r="N369">
        <v>0</v>
      </c>
      <c r="O369">
        <v>49.62</v>
      </c>
      <c r="P369">
        <v>0</v>
      </c>
      <c r="Q369">
        <v>0</v>
      </c>
      <c r="R369">
        <v>0</v>
      </c>
      <c r="T369">
        <v>216</v>
      </c>
      <c r="U369">
        <v>0</v>
      </c>
      <c r="V369">
        <v>1</v>
      </c>
      <c r="W369">
        <v>115.81</v>
      </c>
      <c r="X369">
        <v>50.57</v>
      </c>
      <c r="Y369">
        <v>0</v>
      </c>
      <c r="Z369">
        <v>0</v>
      </c>
      <c r="AA369">
        <v>0</v>
      </c>
      <c r="AB369">
        <v>0</v>
      </c>
      <c r="AC369">
        <v>0</v>
      </c>
      <c r="AD369">
        <v>0</v>
      </c>
      <c r="AE369">
        <v>0</v>
      </c>
      <c r="AF369">
        <v>0</v>
      </c>
      <c r="AG369">
        <v>0</v>
      </c>
      <c r="AH369">
        <v>0</v>
      </c>
      <c r="AI369">
        <v>0</v>
      </c>
      <c r="AJ369">
        <v>0</v>
      </c>
      <c r="AK369">
        <v>0</v>
      </c>
      <c r="AL369">
        <v>0</v>
      </c>
      <c r="AM369">
        <v>0</v>
      </c>
      <c r="AN369">
        <v>49.62</v>
      </c>
      <c r="AP369" t="s">
        <v>1179</v>
      </c>
      <c r="AS369" t="s">
        <v>1232</v>
      </c>
      <c r="AV369" t="s">
        <v>1092</v>
      </c>
      <c r="AW369" t="s">
        <v>1092</v>
      </c>
      <c r="AX369">
        <v>0</v>
      </c>
      <c r="AY369">
        <v>0</v>
      </c>
      <c r="AZ369" t="s">
        <v>282</v>
      </c>
      <c r="BA369" t="s">
        <v>282</v>
      </c>
      <c r="BB369" t="s">
        <v>1207</v>
      </c>
      <c r="BC369">
        <v>4</v>
      </c>
    </row>
    <row r="370" spans="1:55" x14ac:dyDescent="0.25">
      <c r="A370" t="s">
        <v>99</v>
      </c>
      <c r="B370">
        <v>17</v>
      </c>
      <c r="C370" t="s">
        <v>1088</v>
      </c>
      <c r="D370" s="158">
        <v>45199</v>
      </c>
      <c r="E370">
        <v>588288</v>
      </c>
      <c r="F370">
        <v>10243619</v>
      </c>
      <c r="G370">
        <v>52957428</v>
      </c>
      <c r="H370" t="b">
        <v>0</v>
      </c>
      <c r="I370">
        <v>43</v>
      </c>
      <c r="J370" t="s">
        <v>1187</v>
      </c>
      <c r="K370">
        <v>120</v>
      </c>
      <c r="L370">
        <v>120</v>
      </c>
      <c r="M370">
        <v>1</v>
      </c>
      <c r="N370">
        <v>120</v>
      </c>
      <c r="O370">
        <v>0</v>
      </c>
      <c r="P370">
        <v>0</v>
      </c>
      <c r="Q370">
        <v>254.4</v>
      </c>
      <c r="R370">
        <v>0</v>
      </c>
      <c r="T370">
        <v>0</v>
      </c>
      <c r="U370">
        <v>0</v>
      </c>
      <c r="V370">
        <v>0</v>
      </c>
      <c r="W370">
        <v>0</v>
      </c>
      <c r="X370">
        <v>0</v>
      </c>
      <c r="Y370">
        <v>0</v>
      </c>
      <c r="Z370">
        <v>0</v>
      </c>
      <c r="AA370">
        <v>0</v>
      </c>
      <c r="AB370">
        <v>0</v>
      </c>
      <c r="AC370">
        <v>0</v>
      </c>
      <c r="AD370">
        <v>0</v>
      </c>
      <c r="AE370">
        <v>0</v>
      </c>
      <c r="AF370">
        <v>0</v>
      </c>
      <c r="AG370">
        <v>0</v>
      </c>
      <c r="AH370">
        <v>0</v>
      </c>
      <c r="AI370">
        <v>0</v>
      </c>
      <c r="AJ370">
        <v>0</v>
      </c>
      <c r="AK370">
        <v>0</v>
      </c>
      <c r="AL370">
        <v>0</v>
      </c>
      <c r="AM370">
        <v>0</v>
      </c>
      <c r="AN370">
        <v>-134.4</v>
      </c>
      <c r="AV370" t="s">
        <v>1092</v>
      </c>
      <c r="AW370" t="s">
        <v>1092</v>
      </c>
      <c r="AX370">
        <v>0</v>
      </c>
      <c r="AY370">
        <v>0</v>
      </c>
      <c r="AZ370" t="s">
        <v>282</v>
      </c>
      <c r="BA370" t="s">
        <v>282</v>
      </c>
      <c r="BB370" t="s">
        <v>1191</v>
      </c>
      <c r="BC370">
        <v>2</v>
      </c>
    </row>
    <row r="371" spans="1:55" x14ac:dyDescent="0.25">
      <c r="A371" t="s">
        <v>99</v>
      </c>
      <c r="B371">
        <v>17</v>
      </c>
      <c r="C371" t="s">
        <v>1088</v>
      </c>
      <c r="D371" s="158">
        <v>45199</v>
      </c>
      <c r="E371">
        <v>408351</v>
      </c>
      <c r="F371">
        <v>6249956</v>
      </c>
      <c r="G371">
        <v>31749475</v>
      </c>
      <c r="H371" t="b">
        <v>0</v>
      </c>
      <c r="I371">
        <v>991</v>
      </c>
      <c r="J371" t="s">
        <v>1187</v>
      </c>
      <c r="K371">
        <v>216</v>
      </c>
      <c r="L371">
        <v>216</v>
      </c>
      <c r="M371">
        <v>1</v>
      </c>
      <c r="N371">
        <v>0</v>
      </c>
      <c r="O371">
        <v>34.700000000000003</v>
      </c>
      <c r="P371">
        <v>0</v>
      </c>
      <c r="Q371">
        <v>33.700000000000003</v>
      </c>
      <c r="R371">
        <v>0</v>
      </c>
      <c r="T371">
        <v>216</v>
      </c>
      <c r="U371">
        <v>0</v>
      </c>
      <c r="V371">
        <v>1</v>
      </c>
      <c r="W371">
        <v>107.46</v>
      </c>
      <c r="X371">
        <v>73.84</v>
      </c>
      <c r="Y371">
        <v>0</v>
      </c>
      <c r="Z371">
        <v>0</v>
      </c>
      <c r="AA371">
        <v>0</v>
      </c>
      <c r="AB371">
        <v>0</v>
      </c>
      <c r="AC371">
        <v>0</v>
      </c>
      <c r="AD371">
        <v>0</v>
      </c>
      <c r="AE371">
        <v>0</v>
      </c>
      <c r="AF371">
        <v>0</v>
      </c>
      <c r="AG371">
        <v>0</v>
      </c>
      <c r="AH371">
        <v>0</v>
      </c>
      <c r="AI371">
        <v>0</v>
      </c>
      <c r="AJ371">
        <v>0</v>
      </c>
      <c r="AK371">
        <v>0</v>
      </c>
      <c r="AL371">
        <v>0</v>
      </c>
      <c r="AM371">
        <v>0</v>
      </c>
      <c r="AN371">
        <v>1</v>
      </c>
      <c r="AP371" t="s">
        <v>1091</v>
      </c>
      <c r="AS371" t="s">
        <v>1185</v>
      </c>
      <c r="AV371" t="s">
        <v>1092</v>
      </c>
      <c r="AW371" t="s">
        <v>1092</v>
      </c>
      <c r="AX371">
        <v>0</v>
      </c>
      <c r="AY371">
        <v>0</v>
      </c>
      <c r="AZ371" t="s">
        <v>282</v>
      </c>
      <c r="BA371" t="s">
        <v>282</v>
      </c>
      <c r="BB371" t="s">
        <v>1200</v>
      </c>
      <c r="BC371">
        <v>8</v>
      </c>
    </row>
    <row r="372" spans="1:55" x14ac:dyDescent="0.25">
      <c r="A372" t="s">
        <v>99</v>
      </c>
      <c r="B372">
        <v>17</v>
      </c>
      <c r="C372" t="s">
        <v>1088</v>
      </c>
      <c r="D372" s="158">
        <v>45199</v>
      </c>
      <c r="E372">
        <v>76450</v>
      </c>
      <c r="F372">
        <v>7971213</v>
      </c>
      <c r="G372">
        <v>40395421</v>
      </c>
      <c r="H372" t="b">
        <v>0</v>
      </c>
      <c r="I372">
        <v>502</v>
      </c>
      <c r="J372" t="s">
        <v>1184</v>
      </c>
      <c r="K372">
        <v>216</v>
      </c>
      <c r="L372">
        <v>216</v>
      </c>
      <c r="M372">
        <v>1</v>
      </c>
      <c r="N372">
        <v>216</v>
      </c>
      <c r="O372">
        <v>0</v>
      </c>
      <c r="P372">
        <v>0</v>
      </c>
      <c r="Q372">
        <v>0</v>
      </c>
      <c r="R372">
        <v>0</v>
      </c>
      <c r="T372">
        <v>0</v>
      </c>
      <c r="U372">
        <v>0</v>
      </c>
      <c r="V372">
        <v>0</v>
      </c>
      <c r="W372">
        <v>0</v>
      </c>
      <c r="X372">
        <v>0</v>
      </c>
      <c r="Y372">
        <v>0</v>
      </c>
      <c r="Z372">
        <v>0</v>
      </c>
      <c r="AA372">
        <v>0</v>
      </c>
      <c r="AB372">
        <v>0</v>
      </c>
      <c r="AC372">
        <v>0</v>
      </c>
      <c r="AD372">
        <v>0</v>
      </c>
      <c r="AE372">
        <v>0</v>
      </c>
      <c r="AF372">
        <v>0</v>
      </c>
      <c r="AG372">
        <v>0</v>
      </c>
      <c r="AH372">
        <v>0</v>
      </c>
      <c r="AI372">
        <v>0</v>
      </c>
      <c r="AJ372">
        <v>0</v>
      </c>
      <c r="AK372">
        <v>0</v>
      </c>
      <c r="AL372">
        <v>0</v>
      </c>
      <c r="AM372">
        <v>0</v>
      </c>
      <c r="AN372">
        <v>216</v>
      </c>
      <c r="AV372" t="s">
        <v>1092</v>
      </c>
      <c r="AW372" t="s">
        <v>1092</v>
      </c>
      <c r="AX372">
        <v>0</v>
      </c>
      <c r="AY372">
        <v>0</v>
      </c>
      <c r="AZ372" t="s">
        <v>282</v>
      </c>
      <c r="BA372" t="s">
        <v>282</v>
      </c>
      <c r="BB372" t="s">
        <v>1200</v>
      </c>
      <c r="BC372">
        <v>8</v>
      </c>
    </row>
    <row r="373" spans="1:55" x14ac:dyDescent="0.25">
      <c r="A373" t="s">
        <v>99</v>
      </c>
      <c r="B373">
        <v>17</v>
      </c>
      <c r="C373" t="s">
        <v>1088</v>
      </c>
      <c r="D373" s="158">
        <v>45199</v>
      </c>
      <c r="E373">
        <v>346034</v>
      </c>
      <c r="F373">
        <v>10088941</v>
      </c>
      <c r="G373">
        <v>52067352</v>
      </c>
      <c r="H373" t="b">
        <v>0</v>
      </c>
      <c r="I373">
        <v>71</v>
      </c>
      <c r="J373" t="s">
        <v>1184</v>
      </c>
      <c r="K373">
        <v>150</v>
      </c>
      <c r="L373">
        <v>150</v>
      </c>
      <c r="M373">
        <v>1</v>
      </c>
      <c r="N373">
        <v>150</v>
      </c>
      <c r="O373">
        <v>0</v>
      </c>
      <c r="P373">
        <v>0</v>
      </c>
      <c r="Q373">
        <v>0</v>
      </c>
      <c r="R373">
        <v>0</v>
      </c>
      <c r="T373">
        <v>0</v>
      </c>
      <c r="U373">
        <v>0</v>
      </c>
      <c r="V373">
        <v>0</v>
      </c>
      <c r="W373">
        <v>0</v>
      </c>
      <c r="X373">
        <v>0</v>
      </c>
      <c r="Y373">
        <v>0</v>
      </c>
      <c r="Z373">
        <v>0</v>
      </c>
      <c r="AA373">
        <v>0</v>
      </c>
      <c r="AB373">
        <v>0</v>
      </c>
      <c r="AC373">
        <v>0</v>
      </c>
      <c r="AD373">
        <v>0</v>
      </c>
      <c r="AE373">
        <v>0</v>
      </c>
      <c r="AF373">
        <v>0</v>
      </c>
      <c r="AG373">
        <v>0</v>
      </c>
      <c r="AH373">
        <v>0</v>
      </c>
      <c r="AI373">
        <v>0</v>
      </c>
      <c r="AJ373">
        <v>0</v>
      </c>
      <c r="AK373">
        <v>0</v>
      </c>
      <c r="AL373">
        <v>0</v>
      </c>
      <c r="AM373">
        <v>0</v>
      </c>
      <c r="AN373">
        <v>150</v>
      </c>
      <c r="AV373" t="s">
        <v>1092</v>
      </c>
      <c r="AW373" t="s">
        <v>1092</v>
      </c>
      <c r="AX373">
        <v>0</v>
      </c>
      <c r="AY373">
        <v>0</v>
      </c>
      <c r="AZ373" t="s">
        <v>282</v>
      </c>
      <c r="BA373" t="s">
        <v>282</v>
      </c>
      <c r="BB373" t="s">
        <v>1186</v>
      </c>
      <c r="BC373">
        <v>3</v>
      </c>
    </row>
    <row r="374" spans="1:55" x14ac:dyDescent="0.25">
      <c r="A374" t="s">
        <v>99</v>
      </c>
      <c r="B374">
        <v>17</v>
      </c>
      <c r="C374" t="s">
        <v>1088</v>
      </c>
      <c r="D374" s="158">
        <v>45199</v>
      </c>
      <c r="E374">
        <v>605813</v>
      </c>
      <c r="F374">
        <v>10077725</v>
      </c>
      <c r="G374">
        <v>52085601</v>
      </c>
      <c r="H374" t="b">
        <v>0</v>
      </c>
      <c r="I374">
        <v>71</v>
      </c>
      <c r="J374" t="s">
        <v>1187</v>
      </c>
      <c r="K374">
        <v>216</v>
      </c>
      <c r="L374">
        <v>216</v>
      </c>
      <c r="M374">
        <v>1</v>
      </c>
      <c r="N374">
        <v>0</v>
      </c>
      <c r="O374">
        <v>216</v>
      </c>
      <c r="P374">
        <v>0</v>
      </c>
      <c r="Q374">
        <v>0</v>
      </c>
      <c r="R374">
        <v>0</v>
      </c>
      <c r="T374">
        <v>216</v>
      </c>
      <c r="U374">
        <v>0</v>
      </c>
      <c r="V374">
        <v>0</v>
      </c>
      <c r="W374">
        <v>0</v>
      </c>
      <c r="X374">
        <v>0</v>
      </c>
      <c r="Y374">
        <v>0</v>
      </c>
      <c r="Z374">
        <v>0</v>
      </c>
      <c r="AA374">
        <v>0</v>
      </c>
      <c r="AB374">
        <v>0</v>
      </c>
      <c r="AC374">
        <v>0</v>
      </c>
      <c r="AD374">
        <v>0</v>
      </c>
      <c r="AE374">
        <v>0</v>
      </c>
      <c r="AF374">
        <v>0</v>
      </c>
      <c r="AG374">
        <v>0</v>
      </c>
      <c r="AH374">
        <v>0</v>
      </c>
      <c r="AI374">
        <v>0</v>
      </c>
      <c r="AJ374">
        <v>0</v>
      </c>
      <c r="AK374">
        <v>0</v>
      </c>
      <c r="AL374">
        <v>0</v>
      </c>
      <c r="AM374">
        <v>0</v>
      </c>
      <c r="AN374">
        <v>216</v>
      </c>
      <c r="AP374" t="s">
        <v>1091</v>
      </c>
      <c r="AS374" t="s">
        <v>1185</v>
      </c>
      <c r="AV374" t="s">
        <v>1092</v>
      </c>
      <c r="AW374" t="s">
        <v>1092</v>
      </c>
      <c r="AX374">
        <v>0</v>
      </c>
      <c r="AY374">
        <v>0</v>
      </c>
      <c r="AZ374" t="s">
        <v>282</v>
      </c>
      <c r="BA374" t="s">
        <v>282</v>
      </c>
      <c r="BB374" t="s">
        <v>1186</v>
      </c>
      <c r="BC374">
        <v>3</v>
      </c>
    </row>
    <row r="375" spans="1:55" x14ac:dyDescent="0.25">
      <c r="A375" t="s">
        <v>99</v>
      </c>
      <c r="B375">
        <v>17</v>
      </c>
      <c r="C375" t="s">
        <v>1088</v>
      </c>
      <c r="D375" s="158">
        <v>45199</v>
      </c>
      <c r="E375">
        <v>346034</v>
      </c>
      <c r="F375">
        <v>10088941</v>
      </c>
      <c r="G375">
        <v>52067356</v>
      </c>
      <c r="H375" t="b">
        <v>0</v>
      </c>
      <c r="I375">
        <v>71</v>
      </c>
      <c r="J375" t="s">
        <v>1247</v>
      </c>
      <c r="K375">
        <v>18</v>
      </c>
      <c r="L375">
        <v>18</v>
      </c>
      <c r="M375">
        <v>1</v>
      </c>
      <c r="N375">
        <v>18</v>
      </c>
      <c r="O375">
        <v>0</v>
      </c>
      <c r="P375">
        <v>0</v>
      </c>
      <c r="Q375">
        <v>0</v>
      </c>
      <c r="R375">
        <v>0</v>
      </c>
      <c r="T375">
        <v>0</v>
      </c>
      <c r="U375">
        <v>0</v>
      </c>
      <c r="V375">
        <v>0</v>
      </c>
      <c r="W375">
        <v>0</v>
      </c>
      <c r="X375">
        <v>0</v>
      </c>
      <c r="Y375">
        <v>0</v>
      </c>
      <c r="Z375">
        <v>0</v>
      </c>
      <c r="AA375">
        <v>0</v>
      </c>
      <c r="AB375">
        <v>0</v>
      </c>
      <c r="AC375">
        <v>0</v>
      </c>
      <c r="AD375">
        <v>0</v>
      </c>
      <c r="AE375">
        <v>0</v>
      </c>
      <c r="AF375">
        <v>0</v>
      </c>
      <c r="AG375">
        <v>0</v>
      </c>
      <c r="AH375">
        <v>0</v>
      </c>
      <c r="AI375">
        <v>0</v>
      </c>
      <c r="AJ375">
        <v>0</v>
      </c>
      <c r="AK375">
        <v>0</v>
      </c>
      <c r="AL375">
        <v>0</v>
      </c>
      <c r="AM375">
        <v>0</v>
      </c>
      <c r="AN375">
        <v>18</v>
      </c>
      <c r="AV375" t="s">
        <v>1092</v>
      </c>
      <c r="AW375" t="s">
        <v>1092</v>
      </c>
      <c r="AX375">
        <v>0</v>
      </c>
      <c r="AY375">
        <v>0</v>
      </c>
      <c r="AZ375" t="s">
        <v>282</v>
      </c>
      <c r="BA375" t="s">
        <v>282</v>
      </c>
      <c r="BB375" t="s">
        <v>1186</v>
      </c>
      <c r="BC375">
        <v>3</v>
      </c>
    </row>
    <row r="376" spans="1:55" x14ac:dyDescent="0.25">
      <c r="A376" t="s">
        <v>99</v>
      </c>
      <c r="B376">
        <v>17</v>
      </c>
      <c r="C376" t="s">
        <v>1088</v>
      </c>
      <c r="D376" s="158">
        <v>45199</v>
      </c>
      <c r="E376">
        <v>214976</v>
      </c>
      <c r="F376">
        <v>10264737</v>
      </c>
      <c r="G376">
        <v>53105389</v>
      </c>
      <c r="H376" t="b">
        <v>0</v>
      </c>
      <c r="I376">
        <v>38</v>
      </c>
      <c r="J376" t="s">
        <v>1184</v>
      </c>
      <c r="K376">
        <v>150</v>
      </c>
      <c r="L376">
        <v>150</v>
      </c>
      <c r="M376">
        <v>1</v>
      </c>
      <c r="N376">
        <v>150</v>
      </c>
      <c r="O376">
        <v>0</v>
      </c>
      <c r="P376">
        <v>0</v>
      </c>
      <c r="Q376">
        <v>118</v>
      </c>
      <c r="R376">
        <v>0</v>
      </c>
      <c r="T376">
        <v>0</v>
      </c>
      <c r="U376">
        <v>0</v>
      </c>
      <c r="V376">
        <v>0</v>
      </c>
      <c r="W376">
        <v>0</v>
      </c>
      <c r="X376">
        <v>0</v>
      </c>
      <c r="Y376">
        <v>0</v>
      </c>
      <c r="Z376">
        <v>0</v>
      </c>
      <c r="AA376">
        <v>0</v>
      </c>
      <c r="AB376">
        <v>0</v>
      </c>
      <c r="AC376">
        <v>0</v>
      </c>
      <c r="AD376">
        <v>0</v>
      </c>
      <c r="AE376">
        <v>0</v>
      </c>
      <c r="AF376">
        <v>0</v>
      </c>
      <c r="AG376">
        <v>0</v>
      </c>
      <c r="AH376">
        <v>0</v>
      </c>
      <c r="AI376">
        <v>0</v>
      </c>
      <c r="AJ376">
        <v>0</v>
      </c>
      <c r="AK376">
        <v>0</v>
      </c>
      <c r="AL376">
        <v>0</v>
      </c>
      <c r="AM376">
        <v>0</v>
      </c>
      <c r="AN376">
        <v>32</v>
      </c>
      <c r="AV376" t="s">
        <v>1092</v>
      </c>
      <c r="AW376" t="s">
        <v>1092</v>
      </c>
      <c r="AX376">
        <v>0</v>
      </c>
      <c r="AY376">
        <v>0</v>
      </c>
      <c r="AZ376" t="s">
        <v>282</v>
      </c>
      <c r="BA376" t="s">
        <v>282</v>
      </c>
      <c r="BB376" t="s">
        <v>1191</v>
      </c>
      <c r="BC376">
        <v>2</v>
      </c>
    </row>
    <row r="377" spans="1:55" x14ac:dyDescent="0.25">
      <c r="A377" t="s">
        <v>99</v>
      </c>
      <c r="B377">
        <v>17</v>
      </c>
      <c r="C377" t="s">
        <v>1088</v>
      </c>
      <c r="D377" s="158">
        <v>45199</v>
      </c>
      <c r="E377">
        <v>623638</v>
      </c>
      <c r="F377">
        <v>10402670</v>
      </c>
      <c r="G377">
        <v>54103804</v>
      </c>
      <c r="H377" t="b">
        <v>0</v>
      </c>
      <c r="I377">
        <v>5</v>
      </c>
      <c r="J377" t="s">
        <v>1187</v>
      </c>
      <c r="K377">
        <v>216</v>
      </c>
      <c r="L377">
        <v>216</v>
      </c>
      <c r="M377">
        <v>1</v>
      </c>
      <c r="N377">
        <v>216</v>
      </c>
      <c r="O377">
        <v>0</v>
      </c>
      <c r="P377">
        <v>0</v>
      </c>
      <c r="Q377">
        <v>200</v>
      </c>
      <c r="R377">
        <v>0</v>
      </c>
      <c r="T377">
        <v>0</v>
      </c>
      <c r="U377">
        <v>0</v>
      </c>
      <c r="V377">
        <v>0</v>
      </c>
      <c r="W377">
        <v>0</v>
      </c>
      <c r="X377">
        <v>0</v>
      </c>
      <c r="Y377">
        <v>0</v>
      </c>
      <c r="Z377">
        <v>0</v>
      </c>
      <c r="AA377">
        <v>0</v>
      </c>
      <c r="AB377">
        <v>0</v>
      </c>
      <c r="AC377">
        <v>0</v>
      </c>
      <c r="AD377">
        <v>0</v>
      </c>
      <c r="AE377">
        <v>0</v>
      </c>
      <c r="AF377">
        <v>0</v>
      </c>
      <c r="AG377">
        <v>0</v>
      </c>
      <c r="AH377">
        <v>0</v>
      </c>
      <c r="AI377">
        <v>0</v>
      </c>
      <c r="AJ377">
        <v>0</v>
      </c>
      <c r="AK377">
        <v>0</v>
      </c>
      <c r="AL377">
        <v>0</v>
      </c>
      <c r="AM377">
        <v>0</v>
      </c>
      <c r="AN377">
        <v>16</v>
      </c>
      <c r="AV377" t="s">
        <v>1092</v>
      </c>
      <c r="AW377" t="s">
        <v>1092</v>
      </c>
      <c r="AX377">
        <v>0</v>
      </c>
      <c r="AY377">
        <v>0</v>
      </c>
      <c r="AZ377" t="s">
        <v>282</v>
      </c>
      <c r="BA377" t="s">
        <v>282</v>
      </c>
      <c r="BB377" t="s">
        <v>1197</v>
      </c>
      <c r="BC377">
        <v>1</v>
      </c>
    </row>
    <row r="378" spans="1:55" x14ac:dyDescent="0.25">
      <c r="A378" t="s">
        <v>99</v>
      </c>
      <c r="B378">
        <v>17</v>
      </c>
      <c r="C378" t="s">
        <v>1088</v>
      </c>
      <c r="D378" s="158">
        <v>45199</v>
      </c>
      <c r="E378">
        <v>583228</v>
      </c>
      <c r="F378">
        <v>9669052</v>
      </c>
      <c r="G378">
        <v>49512372</v>
      </c>
      <c r="H378" t="b">
        <v>0</v>
      </c>
      <c r="I378">
        <v>152</v>
      </c>
      <c r="J378" t="s">
        <v>1184</v>
      </c>
      <c r="K378">
        <v>216</v>
      </c>
      <c r="L378">
        <v>216</v>
      </c>
      <c r="M378">
        <v>1</v>
      </c>
      <c r="N378">
        <v>0</v>
      </c>
      <c r="O378">
        <v>204.78</v>
      </c>
      <c r="P378">
        <v>0</v>
      </c>
      <c r="Q378">
        <v>0</v>
      </c>
      <c r="R378">
        <v>0</v>
      </c>
      <c r="T378">
        <v>216</v>
      </c>
      <c r="U378">
        <v>0</v>
      </c>
      <c r="V378">
        <v>0</v>
      </c>
      <c r="W378">
        <v>0</v>
      </c>
      <c r="X378">
        <v>11.22</v>
      </c>
      <c r="Y378">
        <v>0</v>
      </c>
      <c r="Z378">
        <v>0</v>
      </c>
      <c r="AA378">
        <v>0</v>
      </c>
      <c r="AB378">
        <v>0</v>
      </c>
      <c r="AC378">
        <v>0</v>
      </c>
      <c r="AD378">
        <v>0</v>
      </c>
      <c r="AE378">
        <v>0</v>
      </c>
      <c r="AF378">
        <v>0</v>
      </c>
      <c r="AG378">
        <v>0</v>
      </c>
      <c r="AH378">
        <v>0</v>
      </c>
      <c r="AI378">
        <v>0</v>
      </c>
      <c r="AJ378">
        <v>0</v>
      </c>
      <c r="AK378">
        <v>0</v>
      </c>
      <c r="AL378">
        <v>0</v>
      </c>
      <c r="AM378">
        <v>0</v>
      </c>
      <c r="AN378">
        <v>204.78</v>
      </c>
      <c r="AP378" t="s">
        <v>1091</v>
      </c>
      <c r="AS378" t="s">
        <v>1185</v>
      </c>
      <c r="AV378" t="s">
        <v>1092</v>
      </c>
      <c r="AW378" t="s">
        <v>1092</v>
      </c>
      <c r="AX378">
        <v>0</v>
      </c>
      <c r="AY378">
        <v>0</v>
      </c>
      <c r="AZ378" t="s">
        <v>282</v>
      </c>
      <c r="BA378" t="s">
        <v>282</v>
      </c>
      <c r="BB378" t="s">
        <v>1206</v>
      </c>
      <c r="BC378">
        <v>6</v>
      </c>
    </row>
    <row r="379" spans="1:55" x14ac:dyDescent="0.25">
      <c r="A379" t="s">
        <v>99</v>
      </c>
      <c r="B379">
        <v>17</v>
      </c>
      <c r="C379" t="s">
        <v>1088</v>
      </c>
      <c r="D379" s="158">
        <v>45199</v>
      </c>
      <c r="E379">
        <v>583228</v>
      </c>
      <c r="F379">
        <v>9669052</v>
      </c>
      <c r="G379">
        <v>49512371</v>
      </c>
      <c r="H379" t="b">
        <v>0</v>
      </c>
      <c r="I379">
        <v>152</v>
      </c>
      <c r="J379" t="s">
        <v>1184</v>
      </c>
      <c r="K379">
        <v>216</v>
      </c>
      <c r="L379">
        <v>216</v>
      </c>
      <c r="M379">
        <v>1</v>
      </c>
      <c r="N379">
        <v>0</v>
      </c>
      <c r="O379">
        <v>204.78</v>
      </c>
      <c r="P379">
        <v>0</v>
      </c>
      <c r="Q379">
        <v>0</v>
      </c>
      <c r="R379">
        <v>0</v>
      </c>
      <c r="T379">
        <v>216</v>
      </c>
      <c r="U379">
        <v>0</v>
      </c>
      <c r="V379">
        <v>0</v>
      </c>
      <c r="W379">
        <v>0</v>
      </c>
      <c r="X379">
        <v>11.22</v>
      </c>
      <c r="Y379">
        <v>0</v>
      </c>
      <c r="Z379">
        <v>0</v>
      </c>
      <c r="AA379">
        <v>0</v>
      </c>
      <c r="AB379">
        <v>0</v>
      </c>
      <c r="AC379">
        <v>0</v>
      </c>
      <c r="AD379">
        <v>0</v>
      </c>
      <c r="AE379">
        <v>0</v>
      </c>
      <c r="AF379">
        <v>0</v>
      </c>
      <c r="AG379">
        <v>0</v>
      </c>
      <c r="AH379">
        <v>0</v>
      </c>
      <c r="AI379">
        <v>0</v>
      </c>
      <c r="AJ379">
        <v>0</v>
      </c>
      <c r="AK379">
        <v>0</v>
      </c>
      <c r="AL379">
        <v>0</v>
      </c>
      <c r="AM379">
        <v>0</v>
      </c>
      <c r="AN379">
        <v>204.78</v>
      </c>
      <c r="AP379" t="s">
        <v>1091</v>
      </c>
      <c r="AS379" t="s">
        <v>1185</v>
      </c>
      <c r="AV379" t="s">
        <v>1092</v>
      </c>
      <c r="AW379" t="s">
        <v>1092</v>
      </c>
      <c r="AX379">
        <v>0</v>
      </c>
      <c r="AY379">
        <v>0</v>
      </c>
      <c r="AZ379" t="s">
        <v>282</v>
      </c>
      <c r="BA379" t="s">
        <v>282</v>
      </c>
      <c r="BB379" t="s">
        <v>1206</v>
      </c>
      <c r="BC379">
        <v>6</v>
      </c>
    </row>
    <row r="380" spans="1:55" x14ac:dyDescent="0.25">
      <c r="A380" t="s">
        <v>99</v>
      </c>
      <c r="B380">
        <v>17</v>
      </c>
      <c r="C380" t="s">
        <v>1088</v>
      </c>
      <c r="D380" s="158">
        <v>45199</v>
      </c>
      <c r="E380">
        <v>613528</v>
      </c>
      <c r="F380">
        <v>10302722</v>
      </c>
      <c r="G380">
        <v>53977203</v>
      </c>
      <c r="H380" t="b">
        <v>0</v>
      </c>
      <c r="I380">
        <v>12</v>
      </c>
      <c r="J380" t="s">
        <v>1187</v>
      </c>
      <c r="K380">
        <v>216</v>
      </c>
      <c r="L380">
        <v>216</v>
      </c>
      <c r="M380">
        <v>1</v>
      </c>
      <c r="N380">
        <v>216</v>
      </c>
      <c r="O380">
        <v>0</v>
      </c>
      <c r="P380">
        <v>0</v>
      </c>
      <c r="Q380">
        <v>0</v>
      </c>
      <c r="R380">
        <v>0</v>
      </c>
      <c r="T380">
        <v>0</v>
      </c>
      <c r="U380">
        <v>0</v>
      </c>
      <c r="V380">
        <v>0</v>
      </c>
      <c r="W380">
        <v>0</v>
      </c>
      <c r="X380">
        <v>0</v>
      </c>
      <c r="Y380">
        <v>0</v>
      </c>
      <c r="Z380">
        <v>0</v>
      </c>
      <c r="AA380">
        <v>0</v>
      </c>
      <c r="AB380">
        <v>0</v>
      </c>
      <c r="AC380">
        <v>0</v>
      </c>
      <c r="AD380">
        <v>0</v>
      </c>
      <c r="AE380">
        <v>0</v>
      </c>
      <c r="AF380">
        <v>0</v>
      </c>
      <c r="AG380">
        <v>0</v>
      </c>
      <c r="AH380">
        <v>0</v>
      </c>
      <c r="AI380">
        <v>0</v>
      </c>
      <c r="AJ380">
        <v>0</v>
      </c>
      <c r="AK380">
        <v>0</v>
      </c>
      <c r="AL380">
        <v>0</v>
      </c>
      <c r="AM380">
        <v>0</v>
      </c>
      <c r="AN380">
        <v>216</v>
      </c>
      <c r="AV380" t="s">
        <v>1092</v>
      </c>
      <c r="AW380" t="s">
        <v>1092</v>
      </c>
      <c r="AX380">
        <v>0</v>
      </c>
      <c r="AY380">
        <v>0</v>
      </c>
      <c r="AZ380" t="s">
        <v>282</v>
      </c>
      <c r="BA380" t="s">
        <v>282</v>
      </c>
      <c r="BB380" t="s">
        <v>1197</v>
      </c>
      <c r="BC380">
        <v>1</v>
      </c>
    </row>
    <row r="381" spans="1:55" x14ac:dyDescent="0.25">
      <c r="A381" t="s">
        <v>99</v>
      </c>
      <c r="B381">
        <v>17</v>
      </c>
      <c r="C381" t="s">
        <v>1088</v>
      </c>
      <c r="D381" s="158">
        <v>45199</v>
      </c>
      <c r="E381">
        <v>505080</v>
      </c>
      <c r="F381">
        <v>8054253</v>
      </c>
      <c r="G381">
        <v>41209544</v>
      </c>
      <c r="H381" t="b">
        <v>0</v>
      </c>
      <c r="I381">
        <v>467</v>
      </c>
      <c r="J381" t="s">
        <v>1187</v>
      </c>
      <c r="K381">
        <v>216</v>
      </c>
      <c r="L381">
        <v>216</v>
      </c>
      <c r="M381">
        <v>1</v>
      </c>
      <c r="N381">
        <v>216</v>
      </c>
      <c r="O381">
        <v>0</v>
      </c>
      <c r="P381">
        <v>0</v>
      </c>
      <c r="Q381">
        <v>0</v>
      </c>
      <c r="R381">
        <v>0</v>
      </c>
      <c r="T381">
        <v>0</v>
      </c>
      <c r="U381">
        <v>0</v>
      </c>
      <c r="V381">
        <v>0</v>
      </c>
      <c r="W381">
        <v>0</v>
      </c>
      <c r="X381">
        <v>0</v>
      </c>
      <c r="Y381">
        <v>0</v>
      </c>
      <c r="Z381">
        <v>0</v>
      </c>
      <c r="AA381">
        <v>0</v>
      </c>
      <c r="AB381">
        <v>0</v>
      </c>
      <c r="AC381">
        <v>0</v>
      </c>
      <c r="AD381">
        <v>0</v>
      </c>
      <c r="AE381">
        <v>0</v>
      </c>
      <c r="AF381">
        <v>0</v>
      </c>
      <c r="AG381">
        <v>0</v>
      </c>
      <c r="AH381">
        <v>0</v>
      </c>
      <c r="AI381">
        <v>0</v>
      </c>
      <c r="AJ381">
        <v>0</v>
      </c>
      <c r="AK381">
        <v>0</v>
      </c>
      <c r="AL381">
        <v>0</v>
      </c>
      <c r="AM381">
        <v>0</v>
      </c>
      <c r="AN381">
        <v>216</v>
      </c>
      <c r="AV381" t="s">
        <v>1092</v>
      </c>
      <c r="AW381" t="s">
        <v>1092</v>
      </c>
      <c r="AX381">
        <v>0</v>
      </c>
      <c r="AY381">
        <v>0</v>
      </c>
      <c r="AZ381" t="s">
        <v>282</v>
      </c>
      <c r="BA381" t="s">
        <v>282</v>
      </c>
      <c r="BB381" t="s">
        <v>1200</v>
      </c>
      <c r="BC381">
        <v>8</v>
      </c>
    </row>
    <row r="382" spans="1:55" x14ac:dyDescent="0.25">
      <c r="A382" t="s">
        <v>99</v>
      </c>
      <c r="B382">
        <v>17</v>
      </c>
      <c r="C382" t="s">
        <v>1088</v>
      </c>
      <c r="D382" s="158">
        <v>45199</v>
      </c>
      <c r="E382">
        <v>416663</v>
      </c>
      <c r="F382">
        <v>8254203</v>
      </c>
      <c r="G382">
        <v>42489759</v>
      </c>
      <c r="H382" t="b">
        <v>0</v>
      </c>
      <c r="I382">
        <v>432</v>
      </c>
      <c r="J382" t="s">
        <v>1184</v>
      </c>
      <c r="K382">
        <v>216</v>
      </c>
      <c r="L382">
        <v>216</v>
      </c>
      <c r="M382">
        <v>1</v>
      </c>
      <c r="N382">
        <v>216</v>
      </c>
      <c r="O382">
        <v>0</v>
      </c>
      <c r="P382">
        <v>22</v>
      </c>
      <c r="Q382">
        <v>10</v>
      </c>
      <c r="R382">
        <v>0</v>
      </c>
      <c r="T382">
        <v>0</v>
      </c>
      <c r="U382">
        <v>0</v>
      </c>
      <c r="V382">
        <v>0</v>
      </c>
      <c r="W382">
        <v>0</v>
      </c>
      <c r="X382">
        <v>0</v>
      </c>
      <c r="Y382">
        <v>0</v>
      </c>
      <c r="Z382">
        <v>0</v>
      </c>
      <c r="AA382">
        <v>0</v>
      </c>
      <c r="AB382">
        <v>0</v>
      </c>
      <c r="AC382">
        <v>0</v>
      </c>
      <c r="AD382">
        <v>0</v>
      </c>
      <c r="AE382">
        <v>0</v>
      </c>
      <c r="AF382">
        <v>0</v>
      </c>
      <c r="AG382">
        <v>0</v>
      </c>
      <c r="AH382">
        <v>0</v>
      </c>
      <c r="AI382">
        <v>0</v>
      </c>
      <c r="AJ382">
        <v>0</v>
      </c>
      <c r="AK382">
        <v>0</v>
      </c>
      <c r="AL382">
        <v>0</v>
      </c>
      <c r="AM382">
        <v>0</v>
      </c>
      <c r="AN382">
        <v>184</v>
      </c>
      <c r="AV382" t="s">
        <v>1092</v>
      </c>
      <c r="AW382" t="s">
        <v>1092</v>
      </c>
      <c r="AX382">
        <v>0</v>
      </c>
      <c r="AY382">
        <v>0</v>
      </c>
      <c r="AZ382" t="s">
        <v>282</v>
      </c>
      <c r="BA382" t="s">
        <v>282</v>
      </c>
      <c r="BB382" t="s">
        <v>1200</v>
      </c>
      <c r="BC382">
        <v>8</v>
      </c>
    </row>
    <row r="383" spans="1:55" x14ac:dyDescent="0.25">
      <c r="A383" t="s">
        <v>99</v>
      </c>
      <c r="B383">
        <v>17</v>
      </c>
      <c r="C383" t="s">
        <v>1088</v>
      </c>
      <c r="D383" s="158">
        <v>45199</v>
      </c>
      <c r="E383">
        <v>416663</v>
      </c>
      <c r="F383">
        <v>8254203</v>
      </c>
      <c r="G383">
        <v>42489761</v>
      </c>
      <c r="H383" t="b">
        <v>0</v>
      </c>
      <c r="I383">
        <v>432</v>
      </c>
      <c r="J383" t="s">
        <v>1184</v>
      </c>
      <c r="K383">
        <v>216</v>
      </c>
      <c r="L383">
        <v>216</v>
      </c>
      <c r="M383">
        <v>1</v>
      </c>
      <c r="N383">
        <v>216</v>
      </c>
      <c r="O383">
        <v>0</v>
      </c>
      <c r="P383">
        <v>0</v>
      </c>
      <c r="Q383">
        <v>0</v>
      </c>
      <c r="R383">
        <v>0</v>
      </c>
      <c r="T383">
        <v>0</v>
      </c>
      <c r="U383">
        <v>0</v>
      </c>
      <c r="V383">
        <v>0</v>
      </c>
      <c r="W383">
        <v>0</v>
      </c>
      <c r="X383">
        <v>0</v>
      </c>
      <c r="Y383">
        <v>0</v>
      </c>
      <c r="Z383">
        <v>0</v>
      </c>
      <c r="AA383">
        <v>0</v>
      </c>
      <c r="AB383">
        <v>0</v>
      </c>
      <c r="AC383">
        <v>0</v>
      </c>
      <c r="AD383">
        <v>0</v>
      </c>
      <c r="AE383">
        <v>0</v>
      </c>
      <c r="AF383">
        <v>0</v>
      </c>
      <c r="AG383">
        <v>0</v>
      </c>
      <c r="AH383">
        <v>0</v>
      </c>
      <c r="AI383">
        <v>0</v>
      </c>
      <c r="AJ383">
        <v>0</v>
      </c>
      <c r="AK383">
        <v>0</v>
      </c>
      <c r="AL383">
        <v>0</v>
      </c>
      <c r="AM383">
        <v>0</v>
      </c>
      <c r="AN383">
        <v>216</v>
      </c>
      <c r="AV383" t="s">
        <v>1092</v>
      </c>
      <c r="AW383" t="s">
        <v>1092</v>
      </c>
      <c r="AX383">
        <v>0</v>
      </c>
      <c r="AY383">
        <v>0</v>
      </c>
      <c r="AZ383" t="s">
        <v>282</v>
      </c>
      <c r="BA383" t="s">
        <v>282</v>
      </c>
      <c r="BB383" t="s">
        <v>1200</v>
      </c>
      <c r="BC383">
        <v>8</v>
      </c>
    </row>
    <row r="384" spans="1:55" x14ac:dyDescent="0.25">
      <c r="A384" t="s">
        <v>99</v>
      </c>
      <c r="B384">
        <v>17</v>
      </c>
      <c r="C384" t="s">
        <v>1088</v>
      </c>
      <c r="D384" s="158">
        <v>45199</v>
      </c>
      <c r="E384">
        <v>578323</v>
      </c>
      <c r="F384">
        <v>9546708</v>
      </c>
      <c r="G384">
        <v>48632469</v>
      </c>
      <c r="H384" t="b">
        <v>0</v>
      </c>
      <c r="I384">
        <v>179</v>
      </c>
      <c r="J384" t="s">
        <v>1187</v>
      </c>
      <c r="K384">
        <v>150</v>
      </c>
      <c r="L384">
        <v>150</v>
      </c>
      <c r="M384">
        <v>1</v>
      </c>
      <c r="N384">
        <v>150</v>
      </c>
      <c r="O384">
        <v>0</v>
      </c>
      <c r="P384">
        <v>0</v>
      </c>
      <c r="Q384">
        <v>300</v>
      </c>
      <c r="R384">
        <v>0</v>
      </c>
      <c r="T384">
        <v>0</v>
      </c>
      <c r="U384">
        <v>0</v>
      </c>
      <c r="V384">
        <v>0</v>
      </c>
      <c r="W384">
        <v>0</v>
      </c>
      <c r="X384">
        <v>0</v>
      </c>
      <c r="Y384">
        <v>0</v>
      </c>
      <c r="Z384">
        <v>0</v>
      </c>
      <c r="AA384">
        <v>0</v>
      </c>
      <c r="AB384">
        <v>0</v>
      </c>
      <c r="AC384">
        <v>0</v>
      </c>
      <c r="AD384">
        <v>0</v>
      </c>
      <c r="AE384">
        <v>0</v>
      </c>
      <c r="AF384">
        <v>0</v>
      </c>
      <c r="AG384">
        <v>0</v>
      </c>
      <c r="AH384">
        <v>0</v>
      </c>
      <c r="AI384">
        <v>0</v>
      </c>
      <c r="AJ384">
        <v>0</v>
      </c>
      <c r="AK384">
        <v>0</v>
      </c>
      <c r="AL384">
        <v>0</v>
      </c>
      <c r="AM384">
        <v>0</v>
      </c>
      <c r="AN384">
        <v>-150</v>
      </c>
      <c r="AV384" t="s">
        <v>1092</v>
      </c>
      <c r="AW384" t="s">
        <v>1092</v>
      </c>
      <c r="AX384">
        <v>0</v>
      </c>
      <c r="AY384">
        <v>0</v>
      </c>
      <c r="AZ384" t="s">
        <v>282</v>
      </c>
      <c r="BA384" t="s">
        <v>282</v>
      </c>
      <c r="BB384" t="s">
        <v>1206</v>
      </c>
      <c r="BC384">
        <v>6</v>
      </c>
    </row>
    <row r="385" spans="1:55" x14ac:dyDescent="0.25">
      <c r="A385" t="s">
        <v>99</v>
      </c>
      <c r="B385">
        <v>17</v>
      </c>
      <c r="C385" t="s">
        <v>1088</v>
      </c>
      <c r="D385" s="158">
        <v>45199</v>
      </c>
      <c r="E385">
        <v>578323</v>
      </c>
      <c r="F385">
        <v>9546708</v>
      </c>
      <c r="G385">
        <v>48632474</v>
      </c>
      <c r="H385" t="b">
        <v>0</v>
      </c>
      <c r="I385">
        <v>179</v>
      </c>
      <c r="J385" t="s">
        <v>1187</v>
      </c>
      <c r="K385">
        <v>150</v>
      </c>
      <c r="L385">
        <v>150</v>
      </c>
      <c r="M385">
        <v>1</v>
      </c>
      <c r="N385">
        <v>150</v>
      </c>
      <c r="O385">
        <v>0</v>
      </c>
      <c r="P385">
        <v>0</v>
      </c>
      <c r="Q385">
        <v>0</v>
      </c>
      <c r="R385">
        <v>0</v>
      </c>
      <c r="T385">
        <v>0</v>
      </c>
      <c r="U385">
        <v>0</v>
      </c>
      <c r="V385">
        <v>0</v>
      </c>
      <c r="W385">
        <v>0</v>
      </c>
      <c r="X385">
        <v>0</v>
      </c>
      <c r="Y385">
        <v>0</v>
      </c>
      <c r="Z385">
        <v>0</v>
      </c>
      <c r="AA385">
        <v>0</v>
      </c>
      <c r="AB385">
        <v>0</v>
      </c>
      <c r="AC385">
        <v>0</v>
      </c>
      <c r="AD385">
        <v>0</v>
      </c>
      <c r="AE385">
        <v>0</v>
      </c>
      <c r="AF385">
        <v>0</v>
      </c>
      <c r="AG385">
        <v>0</v>
      </c>
      <c r="AH385">
        <v>0</v>
      </c>
      <c r="AI385">
        <v>0</v>
      </c>
      <c r="AJ385">
        <v>0</v>
      </c>
      <c r="AK385">
        <v>0</v>
      </c>
      <c r="AL385">
        <v>0</v>
      </c>
      <c r="AM385">
        <v>0</v>
      </c>
      <c r="AN385">
        <v>150</v>
      </c>
      <c r="AV385" t="s">
        <v>1092</v>
      </c>
      <c r="AW385" t="s">
        <v>1092</v>
      </c>
      <c r="AX385">
        <v>0</v>
      </c>
      <c r="AY385">
        <v>0</v>
      </c>
      <c r="AZ385" t="s">
        <v>282</v>
      </c>
      <c r="BA385" t="s">
        <v>282</v>
      </c>
      <c r="BB385" t="s">
        <v>1206</v>
      </c>
      <c r="BC385">
        <v>6</v>
      </c>
    </row>
    <row r="386" spans="1:55" x14ac:dyDescent="0.25">
      <c r="A386" t="s">
        <v>99</v>
      </c>
      <c r="B386">
        <v>17</v>
      </c>
      <c r="C386" t="s">
        <v>1088</v>
      </c>
      <c r="D386" s="158">
        <v>45199</v>
      </c>
      <c r="E386">
        <v>618069</v>
      </c>
      <c r="F386">
        <v>10297269</v>
      </c>
      <c r="G386">
        <v>53385989</v>
      </c>
      <c r="H386" t="b">
        <v>0</v>
      </c>
      <c r="I386">
        <v>30</v>
      </c>
      <c r="J386" t="s">
        <v>1187</v>
      </c>
      <c r="K386">
        <v>216</v>
      </c>
      <c r="L386">
        <v>216</v>
      </c>
      <c r="M386">
        <v>1</v>
      </c>
      <c r="N386">
        <v>216</v>
      </c>
      <c r="O386">
        <v>0</v>
      </c>
      <c r="P386">
        <v>0</v>
      </c>
      <c r="Q386">
        <v>441</v>
      </c>
      <c r="R386">
        <v>0</v>
      </c>
      <c r="T386">
        <v>0</v>
      </c>
      <c r="U386">
        <v>0</v>
      </c>
      <c r="V386">
        <v>0</v>
      </c>
      <c r="W386">
        <v>0</v>
      </c>
      <c r="X386">
        <v>0</v>
      </c>
      <c r="Y386">
        <v>0</v>
      </c>
      <c r="Z386">
        <v>0</v>
      </c>
      <c r="AA386">
        <v>0</v>
      </c>
      <c r="AB386">
        <v>0</v>
      </c>
      <c r="AC386">
        <v>0</v>
      </c>
      <c r="AD386">
        <v>0</v>
      </c>
      <c r="AE386">
        <v>0</v>
      </c>
      <c r="AF386">
        <v>0</v>
      </c>
      <c r="AG386">
        <v>0</v>
      </c>
      <c r="AH386">
        <v>0</v>
      </c>
      <c r="AI386">
        <v>0</v>
      </c>
      <c r="AJ386">
        <v>0</v>
      </c>
      <c r="AK386">
        <v>0</v>
      </c>
      <c r="AL386">
        <v>0</v>
      </c>
      <c r="AM386">
        <v>0</v>
      </c>
      <c r="AN386">
        <v>-225</v>
      </c>
      <c r="AV386" t="s">
        <v>1092</v>
      </c>
      <c r="AW386" t="s">
        <v>1092</v>
      </c>
      <c r="AX386">
        <v>0</v>
      </c>
      <c r="AY386">
        <v>0</v>
      </c>
      <c r="AZ386" t="s">
        <v>282</v>
      </c>
      <c r="BA386" t="s">
        <v>282</v>
      </c>
      <c r="BB386" t="s">
        <v>1197</v>
      </c>
      <c r="BC386">
        <v>1</v>
      </c>
    </row>
    <row r="387" spans="1:55" x14ac:dyDescent="0.25">
      <c r="A387" t="s">
        <v>102</v>
      </c>
      <c r="B387">
        <v>17</v>
      </c>
      <c r="C387" t="s">
        <v>1088</v>
      </c>
      <c r="D387" s="158">
        <v>45199</v>
      </c>
      <c r="E387">
        <v>423730</v>
      </c>
      <c r="H387" t="b">
        <v>0</v>
      </c>
      <c r="I387">
        <v>1</v>
      </c>
      <c r="J387" t="s">
        <v>1212</v>
      </c>
      <c r="AN387">
        <v>-2</v>
      </c>
      <c r="AV387" t="s">
        <v>1092</v>
      </c>
      <c r="AW387" t="s">
        <v>1092</v>
      </c>
      <c r="BA387" t="s">
        <v>282</v>
      </c>
      <c r="BB387" t="s">
        <v>1197</v>
      </c>
      <c r="BC387">
        <v>1</v>
      </c>
    </row>
    <row r="388" spans="1:55" x14ac:dyDescent="0.25">
      <c r="A388" t="s">
        <v>102</v>
      </c>
      <c r="B388">
        <v>17</v>
      </c>
      <c r="C388" t="s">
        <v>1088</v>
      </c>
      <c r="D388" s="158">
        <v>45199</v>
      </c>
      <c r="E388">
        <v>513373</v>
      </c>
      <c r="H388" t="b">
        <v>0</v>
      </c>
      <c r="I388">
        <v>1</v>
      </c>
      <c r="J388" t="s">
        <v>1212</v>
      </c>
      <c r="AN388">
        <v>-25</v>
      </c>
      <c r="AV388" t="s">
        <v>1092</v>
      </c>
      <c r="AW388" t="s">
        <v>1092</v>
      </c>
      <c r="BA388" t="s">
        <v>282</v>
      </c>
      <c r="BB388" t="s">
        <v>1197</v>
      </c>
      <c r="BC388">
        <v>1</v>
      </c>
    </row>
    <row r="389" spans="1:55" x14ac:dyDescent="0.25">
      <c r="A389" t="s">
        <v>99</v>
      </c>
      <c r="B389">
        <v>17</v>
      </c>
      <c r="C389" t="s">
        <v>1088</v>
      </c>
      <c r="D389" s="158">
        <v>45199</v>
      </c>
      <c r="E389">
        <v>435463</v>
      </c>
      <c r="F389">
        <v>10034322</v>
      </c>
      <c r="G389">
        <v>51836414</v>
      </c>
      <c r="H389" t="b">
        <v>0</v>
      </c>
      <c r="I389">
        <v>79</v>
      </c>
      <c r="J389" t="s">
        <v>1184</v>
      </c>
      <c r="K389">
        <v>216</v>
      </c>
      <c r="L389">
        <v>216</v>
      </c>
      <c r="M389">
        <v>1</v>
      </c>
      <c r="N389">
        <v>0</v>
      </c>
      <c r="O389">
        <v>216</v>
      </c>
      <c r="P389">
        <v>0</v>
      </c>
      <c r="Q389">
        <v>0</v>
      </c>
      <c r="R389">
        <v>0</v>
      </c>
      <c r="T389">
        <v>216</v>
      </c>
      <c r="U389">
        <v>0</v>
      </c>
      <c r="V389">
        <v>0</v>
      </c>
      <c r="W389">
        <v>0</v>
      </c>
      <c r="X389">
        <v>0</v>
      </c>
      <c r="Y389">
        <v>0</v>
      </c>
      <c r="Z389">
        <v>0</v>
      </c>
      <c r="AA389">
        <v>0</v>
      </c>
      <c r="AB389">
        <v>0</v>
      </c>
      <c r="AC389">
        <v>0</v>
      </c>
      <c r="AD389">
        <v>0</v>
      </c>
      <c r="AE389">
        <v>0</v>
      </c>
      <c r="AF389">
        <v>0</v>
      </c>
      <c r="AG389">
        <v>0</v>
      </c>
      <c r="AH389">
        <v>0</v>
      </c>
      <c r="AI389">
        <v>0</v>
      </c>
      <c r="AJ389">
        <v>0</v>
      </c>
      <c r="AK389">
        <v>0</v>
      </c>
      <c r="AL389">
        <v>0</v>
      </c>
      <c r="AM389">
        <v>0</v>
      </c>
      <c r="AN389">
        <v>216</v>
      </c>
      <c r="AP389" t="s">
        <v>1091</v>
      </c>
      <c r="AS389" t="s">
        <v>1188</v>
      </c>
      <c r="AV389" t="s">
        <v>1092</v>
      </c>
      <c r="AW389" t="s">
        <v>1092</v>
      </c>
      <c r="AX389">
        <v>0</v>
      </c>
      <c r="AY389">
        <v>0</v>
      </c>
      <c r="AZ389" t="s">
        <v>282</v>
      </c>
      <c r="BA389" t="s">
        <v>282</v>
      </c>
      <c r="BB389" t="s">
        <v>1186</v>
      </c>
      <c r="BC389">
        <v>3</v>
      </c>
    </row>
    <row r="390" spans="1:55" x14ac:dyDescent="0.25">
      <c r="A390" t="s">
        <v>99</v>
      </c>
      <c r="B390">
        <v>17</v>
      </c>
      <c r="C390" t="s">
        <v>1088</v>
      </c>
      <c r="D390" s="158">
        <v>45199</v>
      </c>
      <c r="E390">
        <v>435463</v>
      </c>
      <c r="F390">
        <v>10034322</v>
      </c>
      <c r="G390">
        <v>51836420</v>
      </c>
      <c r="H390" t="b">
        <v>0</v>
      </c>
      <c r="I390">
        <v>79</v>
      </c>
      <c r="J390" t="s">
        <v>1184</v>
      </c>
      <c r="K390">
        <v>216</v>
      </c>
      <c r="L390">
        <v>216</v>
      </c>
      <c r="M390">
        <v>1</v>
      </c>
      <c r="N390">
        <v>0</v>
      </c>
      <c r="O390">
        <v>216</v>
      </c>
      <c r="P390">
        <v>0</v>
      </c>
      <c r="Q390">
        <v>0</v>
      </c>
      <c r="R390">
        <v>0</v>
      </c>
      <c r="T390">
        <v>216</v>
      </c>
      <c r="U390">
        <v>0</v>
      </c>
      <c r="V390">
        <v>0</v>
      </c>
      <c r="W390">
        <v>0</v>
      </c>
      <c r="X390">
        <v>0</v>
      </c>
      <c r="Y390">
        <v>0</v>
      </c>
      <c r="Z390">
        <v>0</v>
      </c>
      <c r="AA390">
        <v>0</v>
      </c>
      <c r="AB390">
        <v>0</v>
      </c>
      <c r="AC390">
        <v>0</v>
      </c>
      <c r="AD390">
        <v>0</v>
      </c>
      <c r="AE390">
        <v>0</v>
      </c>
      <c r="AF390">
        <v>0</v>
      </c>
      <c r="AG390">
        <v>0</v>
      </c>
      <c r="AH390">
        <v>0</v>
      </c>
      <c r="AI390">
        <v>0</v>
      </c>
      <c r="AJ390">
        <v>0</v>
      </c>
      <c r="AK390">
        <v>0</v>
      </c>
      <c r="AL390">
        <v>0</v>
      </c>
      <c r="AM390">
        <v>0</v>
      </c>
      <c r="AN390">
        <v>216</v>
      </c>
      <c r="AP390" t="s">
        <v>1091</v>
      </c>
      <c r="AS390" t="s">
        <v>1188</v>
      </c>
      <c r="AV390" t="s">
        <v>1092</v>
      </c>
      <c r="AW390" t="s">
        <v>1092</v>
      </c>
      <c r="AX390">
        <v>0</v>
      </c>
      <c r="AY390">
        <v>0</v>
      </c>
      <c r="AZ390" t="s">
        <v>282</v>
      </c>
      <c r="BA390" t="s">
        <v>282</v>
      </c>
      <c r="BB390" t="s">
        <v>1186</v>
      </c>
      <c r="BC390">
        <v>3</v>
      </c>
    </row>
    <row r="391" spans="1:55" x14ac:dyDescent="0.25">
      <c r="A391" t="s">
        <v>99</v>
      </c>
      <c r="B391">
        <v>17</v>
      </c>
      <c r="C391" t="s">
        <v>1088</v>
      </c>
      <c r="D391" s="158">
        <v>45199</v>
      </c>
      <c r="E391">
        <v>185309</v>
      </c>
      <c r="F391">
        <v>7826913</v>
      </c>
      <c r="G391">
        <v>39333234</v>
      </c>
      <c r="H391" t="b">
        <v>0</v>
      </c>
      <c r="I391">
        <v>550</v>
      </c>
      <c r="J391" t="s">
        <v>1184</v>
      </c>
      <c r="K391">
        <v>186</v>
      </c>
      <c r="L391">
        <v>186</v>
      </c>
      <c r="M391">
        <v>1</v>
      </c>
      <c r="N391">
        <v>186</v>
      </c>
      <c r="O391">
        <v>0</v>
      </c>
      <c r="P391">
        <v>0</v>
      </c>
      <c r="Q391">
        <v>216</v>
      </c>
      <c r="R391">
        <v>0</v>
      </c>
      <c r="T391">
        <v>0</v>
      </c>
      <c r="U391">
        <v>0</v>
      </c>
      <c r="V391">
        <v>0</v>
      </c>
      <c r="W391">
        <v>0</v>
      </c>
      <c r="X391">
        <v>0</v>
      </c>
      <c r="Y391">
        <v>0</v>
      </c>
      <c r="Z391">
        <v>0</v>
      </c>
      <c r="AA391">
        <v>0</v>
      </c>
      <c r="AB391">
        <v>0</v>
      </c>
      <c r="AC391">
        <v>0</v>
      </c>
      <c r="AD391">
        <v>0</v>
      </c>
      <c r="AE391">
        <v>0</v>
      </c>
      <c r="AF391">
        <v>0</v>
      </c>
      <c r="AG391">
        <v>0</v>
      </c>
      <c r="AH391">
        <v>0</v>
      </c>
      <c r="AI391">
        <v>0</v>
      </c>
      <c r="AJ391">
        <v>0</v>
      </c>
      <c r="AK391">
        <v>0</v>
      </c>
      <c r="AL391">
        <v>0</v>
      </c>
      <c r="AM391">
        <v>0</v>
      </c>
      <c r="AN391">
        <v>-30</v>
      </c>
      <c r="AV391" t="s">
        <v>1092</v>
      </c>
      <c r="AW391" t="s">
        <v>1092</v>
      </c>
      <c r="AX391">
        <v>0</v>
      </c>
      <c r="AY391">
        <v>0</v>
      </c>
      <c r="AZ391" t="s">
        <v>282</v>
      </c>
      <c r="BA391" t="s">
        <v>282</v>
      </c>
      <c r="BB391" t="s">
        <v>1200</v>
      </c>
      <c r="BC391">
        <v>8</v>
      </c>
    </row>
    <row r="392" spans="1:55" x14ac:dyDescent="0.25">
      <c r="A392" t="s">
        <v>102</v>
      </c>
      <c r="B392">
        <v>17</v>
      </c>
      <c r="C392" t="s">
        <v>1088</v>
      </c>
      <c r="D392" s="158">
        <v>45199</v>
      </c>
      <c r="E392">
        <v>152566</v>
      </c>
      <c r="H392" t="b">
        <v>0</v>
      </c>
      <c r="I392">
        <v>1</v>
      </c>
      <c r="J392" t="s">
        <v>1212</v>
      </c>
      <c r="AN392">
        <v>-147.68</v>
      </c>
      <c r="AV392" t="s">
        <v>1092</v>
      </c>
      <c r="AW392" t="s">
        <v>1092</v>
      </c>
      <c r="BA392" t="s">
        <v>282</v>
      </c>
      <c r="BB392" t="s">
        <v>1197</v>
      </c>
      <c r="BC392">
        <v>1</v>
      </c>
    </row>
    <row r="393" spans="1:55" x14ac:dyDescent="0.25">
      <c r="A393" t="s">
        <v>102</v>
      </c>
      <c r="B393">
        <v>17</v>
      </c>
      <c r="C393" t="s">
        <v>1088</v>
      </c>
      <c r="D393" s="158">
        <v>45199</v>
      </c>
      <c r="E393">
        <v>615836</v>
      </c>
      <c r="H393" t="b">
        <v>0</v>
      </c>
      <c r="I393">
        <v>1</v>
      </c>
      <c r="J393" t="s">
        <v>1212</v>
      </c>
      <c r="AN393">
        <v>-50.76</v>
      </c>
      <c r="AP393" t="s">
        <v>1179</v>
      </c>
      <c r="AV393" t="s">
        <v>1092</v>
      </c>
      <c r="AW393" t="s">
        <v>1092</v>
      </c>
      <c r="BA393" t="s">
        <v>282</v>
      </c>
      <c r="BB393" t="s">
        <v>1197</v>
      </c>
      <c r="BC393">
        <v>1</v>
      </c>
    </row>
    <row r="394" spans="1:55" x14ac:dyDescent="0.25">
      <c r="A394" t="s">
        <v>102</v>
      </c>
      <c r="B394">
        <v>17</v>
      </c>
      <c r="C394" t="s">
        <v>1088</v>
      </c>
      <c r="D394" s="158">
        <v>45199</v>
      </c>
      <c r="E394">
        <v>569583</v>
      </c>
      <c r="H394" t="b">
        <v>0</v>
      </c>
      <c r="I394">
        <v>1</v>
      </c>
      <c r="J394" t="s">
        <v>1212</v>
      </c>
      <c r="AN394">
        <v>-22.44</v>
      </c>
      <c r="AP394" t="s">
        <v>1091</v>
      </c>
      <c r="AV394" t="s">
        <v>1092</v>
      </c>
      <c r="AW394" t="s">
        <v>1092</v>
      </c>
      <c r="BA394" t="s">
        <v>282</v>
      </c>
      <c r="BB394" t="s">
        <v>1197</v>
      </c>
      <c r="BC394">
        <v>1</v>
      </c>
    </row>
    <row r="395" spans="1:55" x14ac:dyDescent="0.25">
      <c r="A395" t="s">
        <v>102</v>
      </c>
      <c r="B395">
        <v>17</v>
      </c>
      <c r="C395" t="s">
        <v>1088</v>
      </c>
      <c r="D395" s="158">
        <v>45199</v>
      </c>
      <c r="E395">
        <v>612096</v>
      </c>
      <c r="H395" t="b">
        <v>0</v>
      </c>
      <c r="I395">
        <v>1</v>
      </c>
      <c r="J395" t="s">
        <v>1212</v>
      </c>
      <c r="AN395">
        <v>-370.56</v>
      </c>
      <c r="AP395" t="s">
        <v>1091</v>
      </c>
      <c r="AV395" t="s">
        <v>1092</v>
      </c>
      <c r="AW395" t="s">
        <v>1092</v>
      </c>
      <c r="BA395" t="s">
        <v>282</v>
      </c>
      <c r="BB395" t="s">
        <v>1197</v>
      </c>
      <c r="BC395">
        <v>1</v>
      </c>
    </row>
    <row r="396" spans="1:55" x14ac:dyDescent="0.25">
      <c r="A396" t="s">
        <v>102</v>
      </c>
      <c r="B396">
        <v>17</v>
      </c>
      <c r="C396" t="s">
        <v>1088</v>
      </c>
      <c r="D396" s="158">
        <v>45199</v>
      </c>
      <c r="E396">
        <v>113604</v>
      </c>
      <c r="H396" t="b">
        <v>0</v>
      </c>
      <c r="I396">
        <v>1</v>
      </c>
      <c r="J396" t="s">
        <v>1212</v>
      </c>
      <c r="AN396">
        <v>-7</v>
      </c>
      <c r="AV396" t="s">
        <v>1092</v>
      </c>
      <c r="AW396" t="s">
        <v>1092</v>
      </c>
      <c r="BA396" t="s">
        <v>282</v>
      </c>
      <c r="BB396" t="s">
        <v>1197</v>
      </c>
      <c r="BC396">
        <v>1</v>
      </c>
    </row>
    <row r="397" spans="1:55" x14ac:dyDescent="0.25">
      <c r="A397" t="s">
        <v>99</v>
      </c>
      <c r="B397">
        <v>17</v>
      </c>
      <c r="C397" t="s">
        <v>1088</v>
      </c>
      <c r="D397" s="158">
        <v>45199</v>
      </c>
      <c r="E397">
        <v>425731</v>
      </c>
      <c r="F397">
        <v>9938282</v>
      </c>
      <c r="G397">
        <v>51067986</v>
      </c>
      <c r="H397" t="b">
        <v>0</v>
      </c>
      <c r="I397">
        <v>102</v>
      </c>
      <c r="J397" t="s">
        <v>1228</v>
      </c>
      <c r="K397">
        <v>100</v>
      </c>
      <c r="L397">
        <v>50</v>
      </c>
      <c r="M397">
        <v>2</v>
      </c>
      <c r="N397">
        <v>100</v>
      </c>
      <c r="O397">
        <v>0</v>
      </c>
      <c r="P397">
        <v>200</v>
      </c>
      <c r="Q397">
        <v>0</v>
      </c>
      <c r="R397">
        <v>0</v>
      </c>
      <c r="T397">
        <v>0</v>
      </c>
      <c r="U397">
        <v>0</v>
      </c>
      <c r="V397">
        <v>0</v>
      </c>
      <c r="W397">
        <v>0</v>
      </c>
      <c r="X397">
        <v>0</v>
      </c>
      <c r="Y397">
        <v>0</v>
      </c>
      <c r="Z397">
        <v>0</v>
      </c>
      <c r="AA397">
        <v>0</v>
      </c>
      <c r="AB397">
        <v>0</v>
      </c>
      <c r="AC397">
        <v>0</v>
      </c>
      <c r="AD397">
        <v>0</v>
      </c>
      <c r="AE397">
        <v>0</v>
      </c>
      <c r="AF397">
        <v>0</v>
      </c>
      <c r="AG397">
        <v>0</v>
      </c>
      <c r="AH397">
        <v>0</v>
      </c>
      <c r="AI397">
        <v>0</v>
      </c>
      <c r="AJ397">
        <v>0</v>
      </c>
      <c r="AK397">
        <v>0</v>
      </c>
      <c r="AL397">
        <v>0</v>
      </c>
      <c r="AM397">
        <v>0</v>
      </c>
      <c r="AN397">
        <v>-100</v>
      </c>
      <c r="AV397" t="s">
        <v>1092</v>
      </c>
      <c r="AW397" t="s">
        <v>1092</v>
      </c>
      <c r="AX397">
        <v>0</v>
      </c>
      <c r="AY397">
        <v>0</v>
      </c>
      <c r="AZ397" t="s">
        <v>282</v>
      </c>
      <c r="BA397" t="s">
        <v>282</v>
      </c>
      <c r="BB397" t="s">
        <v>1207</v>
      </c>
      <c r="BC397">
        <v>4</v>
      </c>
    </row>
    <row r="398" spans="1:55" x14ac:dyDescent="0.25">
      <c r="A398" t="s">
        <v>99</v>
      </c>
      <c r="B398">
        <v>17</v>
      </c>
      <c r="C398" t="s">
        <v>1088</v>
      </c>
      <c r="D398" s="158">
        <v>45199</v>
      </c>
      <c r="E398">
        <v>570692</v>
      </c>
      <c r="F398">
        <v>9542719</v>
      </c>
      <c r="G398">
        <v>49258633</v>
      </c>
      <c r="H398" t="b">
        <v>0</v>
      </c>
      <c r="I398">
        <v>159</v>
      </c>
      <c r="J398" t="s">
        <v>1187</v>
      </c>
      <c r="K398">
        <v>216</v>
      </c>
      <c r="L398">
        <v>216</v>
      </c>
      <c r="M398">
        <v>1</v>
      </c>
      <c r="N398">
        <v>216</v>
      </c>
      <c r="O398">
        <v>0</v>
      </c>
      <c r="P398">
        <v>0</v>
      </c>
      <c r="Q398">
        <v>150</v>
      </c>
      <c r="R398">
        <v>0</v>
      </c>
      <c r="T398">
        <v>0</v>
      </c>
      <c r="U398">
        <v>0</v>
      </c>
      <c r="V398">
        <v>0</v>
      </c>
      <c r="W398">
        <v>0</v>
      </c>
      <c r="X398">
        <v>0</v>
      </c>
      <c r="Y398">
        <v>0</v>
      </c>
      <c r="Z398">
        <v>0</v>
      </c>
      <c r="AA398">
        <v>0</v>
      </c>
      <c r="AB398">
        <v>0</v>
      </c>
      <c r="AC398">
        <v>0</v>
      </c>
      <c r="AD398">
        <v>0</v>
      </c>
      <c r="AE398">
        <v>0</v>
      </c>
      <c r="AF398">
        <v>0</v>
      </c>
      <c r="AG398">
        <v>0</v>
      </c>
      <c r="AH398">
        <v>0</v>
      </c>
      <c r="AI398">
        <v>0</v>
      </c>
      <c r="AJ398">
        <v>0</v>
      </c>
      <c r="AK398">
        <v>0</v>
      </c>
      <c r="AL398">
        <v>0</v>
      </c>
      <c r="AM398">
        <v>0</v>
      </c>
      <c r="AN398">
        <v>66</v>
      </c>
      <c r="AV398" t="s">
        <v>1092</v>
      </c>
      <c r="AW398" t="s">
        <v>1092</v>
      </c>
      <c r="AX398">
        <v>0</v>
      </c>
      <c r="AY398">
        <v>0</v>
      </c>
      <c r="AZ398" t="s">
        <v>282</v>
      </c>
      <c r="BA398" t="s">
        <v>282</v>
      </c>
      <c r="BB398" t="s">
        <v>1206</v>
      </c>
      <c r="BC398">
        <v>6</v>
      </c>
    </row>
    <row r="399" spans="1:55" x14ac:dyDescent="0.25">
      <c r="A399" t="s">
        <v>99</v>
      </c>
      <c r="B399">
        <v>17</v>
      </c>
      <c r="C399" t="s">
        <v>1088</v>
      </c>
      <c r="D399" s="158">
        <v>45199</v>
      </c>
      <c r="E399">
        <v>570692</v>
      </c>
      <c r="F399">
        <v>9542719</v>
      </c>
      <c r="G399">
        <v>49258637</v>
      </c>
      <c r="H399" t="b">
        <v>0</v>
      </c>
      <c r="I399">
        <v>159</v>
      </c>
      <c r="J399" t="s">
        <v>1187</v>
      </c>
      <c r="K399">
        <v>216</v>
      </c>
      <c r="L399">
        <v>216</v>
      </c>
      <c r="M399">
        <v>1</v>
      </c>
      <c r="N399">
        <v>216</v>
      </c>
      <c r="O399">
        <v>0</v>
      </c>
      <c r="P399">
        <v>0</v>
      </c>
      <c r="Q399">
        <v>0</v>
      </c>
      <c r="R399">
        <v>0</v>
      </c>
      <c r="T399">
        <v>0</v>
      </c>
      <c r="U399">
        <v>0</v>
      </c>
      <c r="V399">
        <v>0</v>
      </c>
      <c r="W399">
        <v>0</v>
      </c>
      <c r="X399">
        <v>0</v>
      </c>
      <c r="Y399">
        <v>0</v>
      </c>
      <c r="Z399">
        <v>0</v>
      </c>
      <c r="AA399">
        <v>0</v>
      </c>
      <c r="AB399">
        <v>0</v>
      </c>
      <c r="AC399">
        <v>0</v>
      </c>
      <c r="AD399">
        <v>0</v>
      </c>
      <c r="AE399">
        <v>0</v>
      </c>
      <c r="AF399">
        <v>0</v>
      </c>
      <c r="AG399">
        <v>0</v>
      </c>
      <c r="AH399">
        <v>0</v>
      </c>
      <c r="AI399">
        <v>0</v>
      </c>
      <c r="AJ399">
        <v>0</v>
      </c>
      <c r="AK399">
        <v>0</v>
      </c>
      <c r="AL399">
        <v>0</v>
      </c>
      <c r="AM399">
        <v>0</v>
      </c>
      <c r="AN399">
        <v>216</v>
      </c>
      <c r="AV399" t="s">
        <v>1092</v>
      </c>
      <c r="AW399" t="s">
        <v>1092</v>
      </c>
      <c r="AX399">
        <v>0</v>
      </c>
      <c r="AY399">
        <v>0</v>
      </c>
      <c r="AZ399" t="s">
        <v>282</v>
      </c>
      <c r="BA399" t="s">
        <v>282</v>
      </c>
      <c r="BB399" t="s">
        <v>1206</v>
      </c>
      <c r="BC399">
        <v>6</v>
      </c>
    </row>
    <row r="400" spans="1:55" x14ac:dyDescent="0.25">
      <c r="A400" t="s">
        <v>99</v>
      </c>
      <c r="B400">
        <v>17</v>
      </c>
      <c r="C400" t="s">
        <v>1088</v>
      </c>
      <c r="D400" s="158">
        <v>45199</v>
      </c>
      <c r="E400">
        <v>587360</v>
      </c>
      <c r="F400">
        <v>9764741</v>
      </c>
      <c r="G400">
        <v>50226248</v>
      </c>
      <c r="H400" t="b">
        <v>0</v>
      </c>
      <c r="I400">
        <v>130</v>
      </c>
      <c r="J400" t="s">
        <v>1184</v>
      </c>
      <c r="K400">
        <v>216</v>
      </c>
      <c r="L400">
        <v>216</v>
      </c>
      <c r="M400">
        <v>1</v>
      </c>
      <c r="N400">
        <v>0</v>
      </c>
      <c r="O400">
        <v>155.41</v>
      </c>
      <c r="P400">
        <v>0</v>
      </c>
      <c r="Q400">
        <v>5.22</v>
      </c>
      <c r="R400">
        <v>0</v>
      </c>
      <c r="T400">
        <v>216</v>
      </c>
      <c r="U400">
        <v>0</v>
      </c>
      <c r="V400">
        <v>1</v>
      </c>
      <c r="W400">
        <v>49.37</v>
      </c>
      <c r="X400">
        <v>11.22</v>
      </c>
      <c r="Y400">
        <v>0</v>
      </c>
      <c r="Z400">
        <v>0</v>
      </c>
      <c r="AA400">
        <v>0</v>
      </c>
      <c r="AB400">
        <v>0</v>
      </c>
      <c r="AC400">
        <v>0</v>
      </c>
      <c r="AD400">
        <v>0</v>
      </c>
      <c r="AE400">
        <v>0</v>
      </c>
      <c r="AF400">
        <v>0</v>
      </c>
      <c r="AG400">
        <v>0</v>
      </c>
      <c r="AH400">
        <v>0</v>
      </c>
      <c r="AI400">
        <v>0</v>
      </c>
      <c r="AJ400">
        <v>0</v>
      </c>
      <c r="AK400">
        <v>0</v>
      </c>
      <c r="AL400">
        <v>0</v>
      </c>
      <c r="AM400">
        <v>0</v>
      </c>
      <c r="AN400">
        <v>150.19</v>
      </c>
      <c r="AP400" t="s">
        <v>1179</v>
      </c>
      <c r="AS400" t="s">
        <v>1232</v>
      </c>
      <c r="AV400" t="s">
        <v>1092</v>
      </c>
      <c r="AW400" t="s">
        <v>1092</v>
      </c>
      <c r="AX400">
        <v>0</v>
      </c>
      <c r="AY400">
        <v>0</v>
      </c>
      <c r="AZ400" t="s">
        <v>282</v>
      </c>
      <c r="BA400" t="s">
        <v>282</v>
      </c>
      <c r="BB400" t="s">
        <v>1205</v>
      </c>
      <c r="BC400">
        <v>5</v>
      </c>
    </row>
    <row r="401" spans="1:55" x14ac:dyDescent="0.25">
      <c r="A401" t="s">
        <v>99</v>
      </c>
      <c r="B401">
        <v>17</v>
      </c>
      <c r="C401" t="s">
        <v>1088</v>
      </c>
      <c r="D401" s="158">
        <v>45199</v>
      </c>
      <c r="E401">
        <v>619684</v>
      </c>
      <c r="F401">
        <v>10328331</v>
      </c>
      <c r="G401">
        <v>53720107</v>
      </c>
      <c r="H401" t="b">
        <v>0</v>
      </c>
      <c r="I401">
        <v>18</v>
      </c>
      <c r="J401" t="s">
        <v>1184</v>
      </c>
      <c r="K401">
        <v>216</v>
      </c>
      <c r="L401">
        <v>216</v>
      </c>
      <c r="M401">
        <v>1</v>
      </c>
      <c r="N401">
        <v>0</v>
      </c>
      <c r="O401">
        <v>20.48</v>
      </c>
      <c r="P401">
        <v>0</v>
      </c>
      <c r="Q401">
        <v>0</v>
      </c>
      <c r="R401">
        <v>0</v>
      </c>
      <c r="T401">
        <v>216</v>
      </c>
      <c r="U401">
        <v>0</v>
      </c>
      <c r="V401">
        <v>1</v>
      </c>
      <c r="W401">
        <v>184.3</v>
      </c>
      <c r="X401">
        <v>11.22</v>
      </c>
      <c r="Y401">
        <v>0</v>
      </c>
      <c r="Z401">
        <v>0</v>
      </c>
      <c r="AA401">
        <v>0</v>
      </c>
      <c r="AB401">
        <v>0</v>
      </c>
      <c r="AC401">
        <v>0</v>
      </c>
      <c r="AD401">
        <v>0</v>
      </c>
      <c r="AE401">
        <v>0</v>
      </c>
      <c r="AF401">
        <v>0</v>
      </c>
      <c r="AG401">
        <v>0</v>
      </c>
      <c r="AH401">
        <v>0</v>
      </c>
      <c r="AI401">
        <v>0</v>
      </c>
      <c r="AJ401">
        <v>0</v>
      </c>
      <c r="AK401">
        <v>0</v>
      </c>
      <c r="AL401">
        <v>0</v>
      </c>
      <c r="AM401">
        <v>0</v>
      </c>
      <c r="AN401">
        <v>20.48</v>
      </c>
      <c r="AP401" t="s">
        <v>1091</v>
      </c>
      <c r="AS401" t="s">
        <v>1185</v>
      </c>
      <c r="AV401" t="s">
        <v>1092</v>
      </c>
      <c r="AW401" t="s">
        <v>1092</v>
      </c>
      <c r="AX401">
        <v>0</v>
      </c>
      <c r="AY401">
        <v>0</v>
      </c>
      <c r="AZ401" t="s">
        <v>282</v>
      </c>
      <c r="BA401" t="s">
        <v>282</v>
      </c>
      <c r="BB401" t="s">
        <v>1197</v>
      </c>
      <c r="BC401">
        <v>1</v>
      </c>
    </row>
    <row r="402" spans="1:55" x14ac:dyDescent="0.25">
      <c r="A402" t="s">
        <v>99</v>
      </c>
      <c r="B402">
        <v>17</v>
      </c>
      <c r="C402" t="s">
        <v>1088</v>
      </c>
      <c r="D402" s="158">
        <v>45199</v>
      </c>
      <c r="E402">
        <v>294165</v>
      </c>
      <c r="F402">
        <v>4227839</v>
      </c>
      <c r="G402">
        <v>19024987</v>
      </c>
      <c r="H402" t="b">
        <v>0</v>
      </c>
      <c r="I402">
        <v>1747</v>
      </c>
      <c r="J402" t="s">
        <v>1184</v>
      </c>
      <c r="K402">
        <v>216</v>
      </c>
      <c r="L402">
        <v>216</v>
      </c>
      <c r="M402">
        <v>1</v>
      </c>
      <c r="N402">
        <v>0</v>
      </c>
      <c r="O402">
        <v>216</v>
      </c>
      <c r="P402">
        <v>0</v>
      </c>
      <c r="Q402">
        <v>298</v>
      </c>
      <c r="R402">
        <v>0</v>
      </c>
      <c r="T402">
        <v>216</v>
      </c>
      <c r="U402">
        <v>0</v>
      </c>
      <c r="V402">
        <v>0</v>
      </c>
      <c r="W402">
        <v>0</v>
      </c>
      <c r="X402">
        <v>0</v>
      </c>
      <c r="Y402">
        <v>0</v>
      </c>
      <c r="Z402">
        <v>0</v>
      </c>
      <c r="AA402">
        <v>0</v>
      </c>
      <c r="AB402">
        <v>0</v>
      </c>
      <c r="AC402">
        <v>0</v>
      </c>
      <c r="AD402">
        <v>0</v>
      </c>
      <c r="AE402">
        <v>0</v>
      </c>
      <c r="AF402">
        <v>0</v>
      </c>
      <c r="AG402">
        <v>0</v>
      </c>
      <c r="AH402">
        <v>0</v>
      </c>
      <c r="AI402">
        <v>0</v>
      </c>
      <c r="AJ402">
        <v>0</v>
      </c>
      <c r="AK402">
        <v>0</v>
      </c>
      <c r="AL402">
        <v>0</v>
      </c>
      <c r="AM402">
        <v>0</v>
      </c>
      <c r="AN402">
        <v>-82</v>
      </c>
      <c r="AP402" t="s">
        <v>1091</v>
      </c>
      <c r="AS402" t="s">
        <v>1185</v>
      </c>
      <c r="AV402" t="s">
        <v>1092</v>
      </c>
      <c r="AW402" t="s">
        <v>1092</v>
      </c>
      <c r="AX402">
        <v>0</v>
      </c>
      <c r="AY402">
        <v>0</v>
      </c>
      <c r="AZ402" t="s">
        <v>282</v>
      </c>
      <c r="BA402" t="s">
        <v>282</v>
      </c>
      <c r="BB402" t="s">
        <v>1200</v>
      </c>
      <c r="BC402">
        <v>8</v>
      </c>
    </row>
    <row r="403" spans="1:55" x14ac:dyDescent="0.25">
      <c r="A403" t="s">
        <v>99</v>
      </c>
      <c r="B403">
        <v>17</v>
      </c>
      <c r="C403" t="s">
        <v>1088</v>
      </c>
      <c r="D403" s="158">
        <v>45199</v>
      </c>
      <c r="E403">
        <v>294165</v>
      </c>
      <c r="F403">
        <v>4227839</v>
      </c>
      <c r="G403">
        <v>19024998</v>
      </c>
      <c r="H403" t="b">
        <v>0</v>
      </c>
      <c r="I403">
        <v>1747</v>
      </c>
      <c r="J403" t="s">
        <v>1184</v>
      </c>
      <c r="K403">
        <v>216</v>
      </c>
      <c r="L403">
        <v>216</v>
      </c>
      <c r="M403">
        <v>1</v>
      </c>
      <c r="N403">
        <v>0</v>
      </c>
      <c r="O403">
        <v>216</v>
      </c>
      <c r="P403">
        <v>0</v>
      </c>
      <c r="Q403">
        <v>134</v>
      </c>
      <c r="R403">
        <v>0</v>
      </c>
      <c r="T403">
        <v>216</v>
      </c>
      <c r="U403">
        <v>0</v>
      </c>
      <c r="V403">
        <v>0</v>
      </c>
      <c r="W403">
        <v>0</v>
      </c>
      <c r="X403">
        <v>0</v>
      </c>
      <c r="Y403">
        <v>0</v>
      </c>
      <c r="Z403">
        <v>0</v>
      </c>
      <c r="AA403">
        <v>0</v>
      </c>
      <c r="AB403">
        <v>0</v>
      </c>
      <c r="AC403">
        <v>0</v>
      </c>
      <c r="AD403">
        <v>0</v>
      </c>
      <c r="AE403">
        <v>0</v>
      </c>
      <c r="AF403">
        <v>0</v>
      </c>
      <c r="AG403">
        <v>0</v>
      </c>
      <c r="AH403">
        <v>0</v>
      </c>
      <c r="AI403">
        <v>0</v>
      </c>
      <c r="AJ403">
        <v>0</v>
      </c>
      <c r="AK403">
        <v>0</v>
      </c>
      <c r="AL403">
        <v>0</v>
      </c>
      <c r="AM403">
        <v>0</v>
      </c>
      <c r="AN403">
        <v>82</v>
      </c>
      <c r="AP403" t="s">
        <v>1091</v>
      </c>
      <c r="AS403" t="s">
        <v>1185</v>
      </c>
      <c r="AV403" t="s">
        <v>1092</v>
      </c>
      <c r="AW403" t="s">
        <v>1092</v>
      </c>
      <c r="AX403">
        <v>0</v>
      </c>
      <c r="AY403">
        <v>0</v>
      </c>
      <c r="AZ403" t="s">
        <v>282</v>
      </c>
      <c r="BA403" t="s">
        <v>282</v>
      </c>
      <c r="BB403" t="s">
        <v>1200</v>
      </c>
      <c r="BC403">
        <v>8</v>
      </c>
    </row>
    <row r="404" spans="1:55" x14ac:dyDescent="0.25">
      <c r="A404" t="s">
        <v>99</v>
      </c>
      <c r="B404">
        <v>17</v>
      </c>
      <c r="C404" t="s">
        <v>1088</v>
      </c>
      <c r="D404" s="158">
        <v>45199</v>
      </c>
      <c r="E404">
        <v>619920</v>
      </c>
      <c r="F404">
        <v>10331628</v>
      </c>
      <c r="G404">
        <v>53671593</v>
      </c>
      <c r="H404" t="b">
        <v>0</v>
      </c>
      <c r="I404">
        <v>19</v>
      </c>
      <c r="J404" t="s">
        <v>1247</v>
      </c>
      <c r="K404">
        <v>18</v>
      </c>
      <c r="L404">
        <v>18</v>
      </c>
      <c r="M404">
        <v>1</v>
      </c>
      <c r="N404">
        <v>18</v>
      </c>
      <c r="O404">
        <v>0</v>
      </c>
      <c r="P404">
        <v>0</v>
      </c>
      <c r="Q404">
        <v>0</v>
      </c>
      <c r="R404">
        <v>0</v>
      </c>
      <c r="T404">
        <v>0</v>
      </c>
      <c r="U404">
        <v>0</v>
      </c>
      <c r="V404">
        <v>0</v>
      </c>
      <c r="W404">
        <v>0</v>
      </c>
      <c r="X404">
        <v>0</v>
      </c>
      <c r="Y404">
        <v>0</v>
      </c>
      <c r="Z404">
        <v>0</v>
      </c>
      <c r="AA404">
        <v>0</v>
      </c>
      <c r="AB404">
        <v>0</v>
      </c>
      <c r="AC404">
        <v>0</v>
      </c>
      <c r="AD404">
        <v>0</v>
      </c>
      <c r="AE404">
        <v>0</v>
      </c>
      <c r="AF404">
        <v>0</v>
      </c>
      <c r="AG404">
        <v>0</v>
      </c>
      <c r="AH404">
        <v>0</v>
      </c>
      <c r="AI404">
        <v>0</v>
      </c>
      <c r="AJ404">
        <v>0</v>
      </c>
      <c r="AK404">
        <v>0</v>
      </c>
      <c r="AL404">
        <v>0</v>
      </c>
      <c r="AM404">
        <v>0</v>
      </c>
      <c r="AN404">
        <v>18</v>
      </c>
      <c r="AV404" t="s">
        <v>1092</v>
      </c>
      <c r="AW404" t="s">
        <v>1092</v>
      </c>
      <c r="AX404">
        <v>0</v>
      </c>
      <c r="AY404">
        <v>0</v>
      </c>
      <c r="AZ404" t="s">
        <v>282</v>
      </c>
      <c r="BA404" t="s">
        <v>282</v>
      </c>
      <c r="BB404" t="s">
        <v>1197</v>
      </c>
      <c r="BC404">
        <v>1</v>
      </c>
    </row>
    <row r="405" spans="1:55" x14ac:dyDescent="0.25">
      <c r="A405" t="s">
        <v>99</v>
      </c>
      <c r="B405">
        <v>17</v>
      </c>
      <c r="C405" t="s">
        <v>1088</v>
      </c>
      <c r="D405" s="158">
        <v>45199</v>
      </c>
      <c r="E405">
        <v>612057</v>
      </c>
      <c r="F405">
        <v>10175203</v>
      </c>
      <c r="G405">
        <v>52611773</v>
      </c>
      <c r="H405" t="b">
        <v>0</v>
      </c>
      <c r="I405">
        <v>53</v>
      </c>
      <c r="J405" t="s">
        <v>1187</v>
      </c>
      <c r="K405">
        <v>216</v>
      </c>
      <c r="L405">
        <v>216</v>
      </c>
      <c r="M405">
        <v>1</v>
      </c>
      <c r="N405">
        <v>0</v>
      </c>
      <c r="O405">
        <v>16.54</v>
      </c>
      <c r="P405">
        <v>0</v>
      </c>
      <c r="Q405">
        <v>0</v>
      </c>
      <c r="R405">
        <v>0</v>
      </c>
      <c r="T405">
        <v>216</v>
      </c>
      <c r="U405">
        <v>0</v>
      </c>
      <c r="V405">
        <v>1</v>
      </c>
      <c r="W405">
        <v>148.88999999999999</v>
      </c>
      <c r="X405">
        <v>50.57</v>
      </c>
      <c r="Y405">
        <v>0</v>
      </c>
      <c r="Z405">
        <v>0</v>
      </c>
      <c r="AA405">
        <v>0</v>
      </c>
      <c r="AB405">
        <v>0</v>
      </c>
      <c r="AC405">
        <v>0</v>
      </c>
      <c r="AD405">
        <v>0</v>
      </c>
      <c r="AE405">
        <v>0</v>
      </c>
      <c r="AF405">
        <v>0</v>
      </c>
      <c r="AG405">
        <v>0</v>
      </c>
      <c r="AH405">
        <v>0</v>
      </c>
      <c r="AI405">
        <v>0</v>
      </c>
      <c r="AJ405">
        <v>0</v>
      </c>
      <c r="AK405">
        <v>0</v>
      </c>
      <c r="AL405">
        <v>0</v>
      </c>
      <c r="AM405">
        <v>0</v>
      </c>
      <c r="AN405">
        <v>16.54</v>
      </c>
      <c r="AP405" t="s">
        <v>1091</v>
      </c>
      <c r="AS405" t="s">
        <v>1185</v>
      </c>
      <c r="AV405" t="s">
        <v>1092</v>
      </c>
      <c r="AW405" t="s">
        <v>1092</v>
      </c>
      <c r="AX405">
        <v>0</v>
      </c>
      <c r="AY405">
        <v>0</v>
      </c>
      <c r="AZ405" t="s">
        <v>282</v>
      </c>
      <c r="BA405" t="s">
        <v>282</v>
      </c>
      <c r="BB405" t="s">
        <v>1191</v>
      </c>
      <c r="BC405">
        <v>2</v>
      </c>
    </row>
    <row r="406" spans="1:55" x14ac:dyDescent="0.25">
      <c r="A406" t="s">
        <v>99</v>
      </c>
      <c r="B406">
        <v>17</v>
      </c>
      <c r="C406" t="s">
        <v>1088</v>
      </c>
      <c r="D406" s="158">
        <v>45199</v>
      </c>
      <c r="E406">
        <v>588288</v>
      </c>
      <c r="F406">
        <v>10243619</v>
      </c>
      <c r="G406">
        <v>52957432</v>
      </c>
      <c r="H406" t="b">
        <v>0</v>
      </c>
      <c r="I406">
        <v>43</v>
      </c>
      <c r="J406" t="s">
        <v>1187</v>
      </c>
      <c r="K406">
        <v>120</v>
      </c>
      <c r="L406">
        <v>120</v>
      </c>
      <c r="M406">
        <v>1</v>
      </c>
      <c r="N406">
        <v>120</v>
      </c>
      <c r="O406">
        <v>0</v>
      </c>
      <c r="P406">
        <v>0</v>
      </c>
      <c r="Q406">
        <v>0</v>
      </c>
      <c r="R406">
        <v>0</v>
      </c>
      <c r="T406">
        <v>0</v>
      </c>
      <c r="U406">
        <v>0</v>
      </c>
      <c r="V406">
        <v>0</v>
      </c>
      <c r="W406">
        <v>0</v>
      </c>
      <c r="X406">
        <v>0</v>
      </c>
      <c r="Y406">
        <v>0</v>
      </c>
      <c r="Z406">
        <v>0</v>
      </c>
      <c r="AA406">
        <v>0</v>
      </c>
      <c r="AB406">
        <v>0</v>
      </c>
      <c r="AC406">
        <v>0</v>
      </c>
      <c r="AD406">
        <v>0</v>
      </c>
      <c r="AE406">
        <v>0</v>
      </c>
      <c r="AF406">
        <v>0</v>
      </c>
      <c r="AG406">
        <v>0</v>
      </c>
      <c r="AH406">
        <v>0</v>
      </c>
      <c r="AI406">
        <v>0</v>
      </c>
      <c r="AJ406">
        <v>0</v>
      </c>
      <c r="AK406">
        <v>0</v>
      </c>
      <c r="AL406">
        <v>0</v>
      </c>
      <c r="AM406">
        <v>0</v>
      </c>
      <c r="AN406">
        <v>120</v>
      </c>
      <c r="AV406" t="s">
        <v>1092</v>
      </c>
      <c r="AW406" t="s">
        <v>1092</v>
      </c>
      <c r="AX406">
        <v>0</v>
      </c>
      <c r="AY406">
        <v>0</v>
      </c>
      <c r="AZ406" t="s">
        <v>282</v>
      </c>
      <c r="BA406" t="s">
        <v>282</v>
      </c>
      <c r="BB406" t="s">
        <v>1191</v>
      </c>
      <c r="BC406">
        <v>2</v>
      </c>
    </row>
    <row r="407" spans="1:55" x14ac:dyDescent="0.25">
      <c r="A407" t="s">
        <v>99</v>
      </c>
      <c r="B407">
        <v>17</v>
      </c>
      <c r="C407" t="s">
        <v>1088</v>
      </c>
      <c r="D407" s="158">
        <v>45199</v>
      </c>
      <c r="E407">
        <v>622663</v>
      </c>
      <c r="F407">
        <v>10384111</v>
      </c>
      <c r="G407">
        <v>53943138</v>
      </c>
      <c r="H407" t="b">
        <v>0</v>
      </c>
      <c r="I407">
        <v>11</v>
      </c>
      <c r="J407" t="s">
        <v>1187</v>
      </c>
      <c r="K407">
        <v>216</v>
      </c>
      <c r="L407">
        <v>216</v>
      </c>
      <c r="M407">
        <v>1</v>
      </c>
      <c r="N407">
        <v>216</v>
      </c>
      <c r="O407">
        <v>0</v>
      </c>
      <c r="P407">
        <v>0</v>
      </c>
      <c r="Q407">
        <v>0</v>
      </c>
      <c r="R407">
        <v>0</v>
      </c>
      <c r="T407">
        <v>0</v>
      </c>
      <c r="U407">
        <v>0</v>
      </c>
      <c r="V407">
        <v>0</v>
      </c>
      <c r="W407">
        <v>0</v>
      </c>
      <c r="X407">
        <v>0</v>
      </c>
      <c r="Y407">
        <v>0</v>
      </c>
      <c r="Z407">
        <v>0</v>
      </c>
      <c r="AA407">
        <v>0</v>
      </c>
      <c r="AB407">
        <v>0</v>
      </c>
      <c r="AC407">
        <v>0</v>
      </c>
      <c r="AD407">
        <v>0</v>
      </c>
      <c r="AE407">
        <v>0</v>
      </c>
      <c r="AF407">
        <v>0</v>
      </c>
      <c r="AG407">
        <v>0</v>
      </c>
      <c r="AH407">
        <v>0</v>
      </c>
      <c r="AI407">
        <v>0</v>
      </c>
      <c r="AJ407">
        <v>0</v>
      </c>
      <c r="AK407">
        <v>0</v>
      </c>
      <c r="AL407">
        <v>0</v>
      </c>
      <c r="AM407">
        <v>0</v>
      </c>
      <c r="AN407">
        <v>216</v>
      </c>
      <c r="AV407" t="s">
        <v>1092</v>
      </c>
      <c r="AW407" t="s">
        <v>1092</v>
      </c>
      <c r="AX407">
        <v>0</v>
      </c>
      <c r="AY407">
        <v>0</v>
      </c>
      <c r="AZ407" t="s">
        <v>282</v>
      </c>
      <c r="BA407" t="s">
        <v>282</v>
      </c>
      <c r="BB407" t="s">
        <v>1197</v>
      </c>
      <c r="BC407">
        <v>1</v>
      </c>
    </row>
    <row r="408" spans="1:55" x14ac:dyDescent="0.25">
      <c r="A408" t="s">
        <v>99</v>
      </c>
      <c r="B408">
        <v>17</v>
      </c>
      <c r="C408" t="s">
        <v>1088</v>
      </c>
      <c r="D408" s="158">
        <v>45199</v>
      </c>
      <c r="E408">
        <v>425731</v>
      </c>
      <c r="F408">
        <v>9938282</v>
      </c>
      <c r="G408">
        <v>51067993</v>
      </c>
      <c r="H408" t="b">
        <v>0</v>
      </c>
      <c r="I408">
        <v>102</v>
      </c>
      <c r="J408" t="s">
        <v>1228</v>
      </c>
      <c r="K408">
        <v>100</v>
      </c>
      <c r="L408">
        <v>50</v>
      </c>
      <c r="M408">
        <v>2</v>
      </c>
      <c r="N408">
        <v>100</v>
      </c>
      <c r="O408">
        <v>0</v>
      </c>
      <c r="P408">
        <v>15</v>
      </c>
      <c r="Q408">
        <v>0</v>
      </c>
      <c r="R408">
        <v>0</v>
      </c>
      <c r="T408">
        <v>0</v>
      </c>
      <c r="U408">
        <v>0</v>
      </c>
      <c r="V408">
        <v>0</v>
      </c>
      <c r="W408">
        <v>0</v>
      </c>
      <c r="X408">
        <v>0</v>
      </c>
      <c r="Y408">
        <v>0</v>
      </c>
      <c r="Z408">
        <v>0</v>
      </c>
      <c r="AA408">
        <v>0</v>
      </c>
      <c r="AB408">
        <v>0</v>
      </c>
      <c r="AC408">
        <v>0</v>
      </c>
      <c r="AD408">
        <v>0</v>
      </c>
      <c r="AE408">
        <v>0</v>
      </c>
      <c r="AF408">
        <v>0</v>
      </c>
      <c r="AG408">
        <v>0</v>
      </c>
      <c r="AH408">
        <v>0</v>
      </c>
      <c r="AI408">
        <v>0</v>
      </c>
      <c r="AJ408">
        <v>0</v>
      </c>
      <c r="AK408">
        <v>0</v>
      </c>
      <c r="AL408">
        <v>0</v>
      </c>
      <c r="AM408">
        <v>0</v>
      </c>
      <c r="AN408">
        <v>85</v>
      </c>
      <c r="AV408" t="s">
        <v>1092</v>
      </c>
      <c r="AW408" t="s">
        <v>1092</v>
      </c>
      <c r="AX408">
        <v>0</v>
      </c>
      <c r="AY408">
        <v>0</v>
      </c>
      <c r="AZ408" t="s">
        <v>282</v>
      </c>
      <c r="BA408" t="s">
        <v>282</v>
      </c>
      <c r="BB408" t="s">
        <v>1207</v>
      </c>
      <c r="BC408">
        <v>4</v>
      </c>
    </row>
    <row r="409" spans="1:55" x14ac:dyDescent="0.25">
      <c r="A409" t="s">
        <v>99</v>
      </c>
      <c r="B409">
        <v>17</v>
      </c>
      <c r="C409" t="s">
        <v>1088</v>
      </c>
      <c r="D409" s="158">
        <v>45199</v>
      </c>
      <c r="E409">
        <v>244163</v>
      </c>
      <c r="F409">
        <v>5462435</v>
      </c>
      <c r="G409">
        <v>26814112</v>
      </c>
      <c r="H409" t="b">
        <v>0</v>
      </c>
      <c r="I409">
        <v>1310</v>
      </c>
      <c r="J409" t="s">
        <v>1184</v>
      </c>
      <c r="K409">
        <v>216</v>
      </c>
      <c r="L409">
        <v>216</v>
      </c>
      <c r="M409">
        <v>1</v>
      </c>
      <c r="N409">
        <v>216</v>
      </c>
      <c r="O409">
        <v>0</v>
      </c>
      <c r="P409">
        <v>0</v>
      </c>
      <c r="Q409">
        <v>30.2</v>
      </c>
      <c r="R409">
        <v>0</v>
      </c>
      <c r="T409">
        <v>0</v>
      </c>
      <c r="U409">
        <v>0</v>
      </c>
      <c r="V409">
        <v>0</v>
      </c>
      <c r="W409">
        <v>0</v>
      </c>
      <c r="X409">
        <v>0</v>
      </c>
      <c r="Y409">
        <v>0</v>
      </c>
      <c r="Z409">
        <v>0</v>
      </c>
      <c r="AA409">
        <v>0</v>
      </c>
      <c r="AB409">
        <v>0</v>
      </c>
      <c r="AC409">
        <v>0</v>
      </c>
      <c r="AD409">
        <v>0</v>
      </c>
      <c r="AE409">
        <v>0</v>
      </c>
      <c r="AF409">
        <v>0</v>
      </c>
      <c r="AG409">
        <v>0</v>
      </c>
      <c r="AH409">
        <v>0</v>
      </c>
      <c r="AI409">
        <v>0</v>
      </c>
      <c r="AJ409">
        <v>0</v>
      </c>
      <c r="AK409">
        <v>0</v>
      </c>
      <c r="AL409">
        <v>0</v>
      </c>
      <c r="AM409">
        <v>0</v>
      </c>
      <c r="AN409">
        <v>185.8</v>
      </c>
      <c r="AV409" t="s">
        <v>1092</v>
      </c>
      <c r="AW409" t="s">
        <v>1092</v>
      </c>
      <c r="AX409">
        <v>0</v>
      </c>
      <c r="AY409">
        <v>0</v>
      </c>
      <c r="AZ409" t="s">
        <v>282</v>
      </c>
      <c r="BA409" t="s">
        <v>282</v>
      </c>
      <c r="BB409" t="s">
        <v>1200</v>
      </c>
      <c r="BC409">
        <v>8</v>
      </c>
    </row>
    <row r="410" spans="1:55" x14ac:dyDescent="0.25">
      <c r="A410" t="s">
        <v>99</v>
      </c>
      <c r="B410">
        <v>17</v>
      </c>
      <c r="C410" t="s">
        <v>1088</v>
      </c>
      <c r="D410" s="158">
        <v>45199</v>
      </c>
      <c r="E410">
        <v>244163</v>
      </c>
      <c r="F410">
        <v>5462435</v>
      </c>
      <c r="G410">
        <v>26814111</v>
      </c>
      <c r="H410" t="b">
        <v>0</v>
      </c>
      <c r="I410">
        <v>1310</v>
      </c>
      <c r="J410" t="s">
        <v>1184</v>
      </c>
      <c r="K410">
        <v>216</v>
      </c>
      <c r="L410">
        <v>216</v>
      </c>
      <c r="M410">
        <v>1</v>
      </c>
      <c r="N410">
        <v>216</v>
      </c>
      <c r="O410">
        <v>0</v>
      </c>
      <c r="P410">
        <v>0</v>
      </c>
      <c r="Q410">
        <v>419.8</v>
      </c>
      <c r="R410">
        <v>0</v>
      </c>
      <c r="T410">
        <v>0</v>
      </c>
      <c r="U410">
        <v>0</v>
      </c>
      <c r="V410">
        <v>0</v>
      </c>
      <c r="W410">
        <v>0</v>
      </c>
      <c r="X410">
        <v>0</v>
      </c>
      <c r="Y410">
        <v>0</v>
      </c>
      <c r="Z410">
        <v>0</v>
      </c>
      <c r="AA410">
        <v>0</v>
      </c>
      <c r="AB410">
        <v>0</v>
      </c>
      <c r="AC410">
        <v>0</v>
      </c>
      <c r="AD410">
        <v>0</v>
      </c>
      <c r="AE410">
        <v>0</v>
      </c>
      <c r="AF410">
        <v>0</v>
      </c>
      <c r="AG410">
        <v>0</v>
      </c>
      <c r="AH410">
        <v>0</v>
      </c>
      <c r="AI410">
        <v>0</v>
      </c>
      <c r="AJ410">
        <v>0</v>
      </c>
      <c r="AK410">
        <v>0</v>
      </c>
      <c r="AL410">
        <v>0</v>
      </c>
      <c r="AM410">
        <v>0</v>
      </c>
      <c r="AN410">
        <v>-203.8</v>
      </c>
      <c r="AV410" t="s">
        <v>1092</v>
      </c>
      <c r="AW410" t="s">
        <v>1092</v>
      </c>
      <c r="AX410">
        <v>0</v>
      </c>
      <c r="AY410">
        <v>0</v>
      </c>
      <c r="AZ410" t="s">
        <v>282</v>
      </c>
      <c r="BA410" t="s">
        <v>282</v>
      </c>
      <c r="BB410" t="s">
        <v>1200</v>
      </c>
      <c r="BC410">
        <v>8</v>
      </c>
    </row>
    <row r="411" spans="1:55" x14ac:dyDescent="0.25">
      <c r="A411" t="s">
        <v>99</v>
      </c>
      <c r="B411">
        <v>17</v>
      </c>
      <c r="C411" t="s">
        <v>1088</v>
      </c>
      <c r="D411" s="158">
        <v>45199</v>
      </c>
      <c r="E411">
        <v>290994</v>
      </c>
      <c r="F411">
        <v>9910736</v>
      </c>
      <c r="G411">
        <v>51237200</v>
      </c>
      <c r="H411" t="b">
        <v>0</v>
      </c>
      <c r="I411">
        <v>99</v>
      </c>
      <c r="J411" t="s">
        <v>1247</v>
      </c>
      <c r="K411">
        <v>36</v>
      </c>
      <c r="L411">
        <v>36</v>
      </c>
      <c r="M411">
        <v>1</v>
      </c>
      <c r="N411">
        <v>36</v>
      </c>
      <c r="O411">
        <v>0</v>
      </c>
      <c r="P411">
        <v>0</v>
      </c>
      <c r="Q411">
        <v>35.6</v>
      </c>
      <c r="R411">
        <v>0</v>
      </c>
      <c r="T411">
        <v>0</v>
      </c>
      <c r="U411">
        <v>0</v>
      </c>
      <c r="V411">
        <v>0</v>
      </c>
      <c r="W411">
        <v>0</v>
      </c>
      <c r="X411">
        <v>0</v>
      </c>
      <c r="Y411">
        <v>0</v>
      </c>
      <c r="Z411">
        <v>0</v>
      </c>
      <c r="AA411">
        <v>0</v>
      </c>
      <c r="AB411">
        <v>0</v>
      </c>
      <c r="AC411">
        <v>0</v>
      </c>
      <c r="AD411">
        <v>0</v>
      </c>
      <c r="AE411">
        <v>0</v>
      </c>
      <c r="AF411">
        <v>0</v>
      </c>
      <c r="AG411">
        <v>0</v>
      </c>
      <c r="AH411">
        <v>0</v>
      </c>
      <c r="AI411">
        <v>0</v>
      </c>
      <c r="AJ411">
        <v>0</v>
      </c>
      <c r="AK411">
        <v>0</v>
      </c>
      <c r="AL411">
        <v>0</v>
      </c>
      <c r="AM411">
        <v>0</v>
      </c>
      <c r="AN411">
        <v>0.4</v>
      </c>
      <c r="AV411" t="s">
        <v>1092</v>
      </c>
      <c r="AW411" t="s">
        <v>1092</v>
      </c>
      <c r="AX411">
        <v>0</v>
      </c>
      <c r="AY411">
        <v>0</v>
      </c>
      <c r="AZ411" t="s">
        <v>282</v>
      </c>
      <c r="BA411" t="s">
        <v>282</v>
      </c>
      <c r="BB411" t="s">
        <v>1207</v>
      </c>
      <c r="BC411">
        <v>4</v>
      </c>
    </row>
    <row r="412" spans="1:55" x14ac:dyDescent="0.25">
      <c r="A412" t="s">
        <v>99</v>
      </c>
      <c r="B412">
        <v>17</v>
      </c>
      <c r="C412" t="s">
        <v>1088</v>
      </c>
      <c r="D412" s="158">
        <v>45199</v>
      </c>
      <c r="E412">
        <v>599622</v>
      </c>
      <c r="F412">
        <v>9964814</v>
      </c>
      <c r="G412">
        <v>51272796</v>
      </c>
      <c r="H412" t="b">
        <v>0</v>
      </c>
      <c r="I412">
        <v>100</v>
      </c>
      <c r="J412" t="s">
        <v>1187</v>
      </c>
      <c r="K412">
        <v>109.5</v>
      </c>
      <c r="L412">
        <v>109.5</v>
      </c>
      <c r="M412">
        <v>1</v>
      </c>
      <c r="N412">
        <v>109.5</v>
      </c>
      <c r="O412">
        <v>0</v>
      </c>
      <c r="P412">
        <v>0</v>
      </c>
      <c r="Q412">
        <v>0</v>
      </c>
      <c r="R412">
        <v>0</v>
      </c>
      <c r="T412">
        <v>0</v>
      </c>
      <c r="U412">
        <v>0</v>
      </c>
      <c r="V412">
        <v>0</v>
      </c>
      <c r="W412">
        <v>0</v>
      </c>
      <c r="X412">
        <v>0</v>
      </c>
      <c r="Y412">
        <v>0</v>
      </c>
      <c r="Z412">
        <v>0</v>
      </c>
      <c r="AA412">
        <v>0</v>
      </c>
      <c r="AB412">
        <v>0</v>
      </c>
      <c r="AC412">
        <v>0</v>
      </c>
      <c r="AD412">
        <v>0</v>
      </c>
      <c r="AE412">
        <v>0</v>
      </c>
      <c r="AF412">
        <v>0</v>
      </c>
      <c r="AG412">
        <v>0</v>
      </c>
      <c r="AH412">
        <v>0</v>
      </c>
      <c r="AI412">
        <v>0</v>
      </c>
      <c r="AJ412">
        <v>0</v>
      </c>
      <c r="AK412">
        <v>0</v>
      </c>
      <c r="AL412">
        <v>0</v>
      </c>
      <c r="AM412">
        <v>0</v>
      </c>
      <c r="AN412">
        <v>109.5</v>
      </c>
      <c r="AV412" t="s">
        <v>1092</v>
      </c>
      <c r="AW412" t="s">
        <v>1092</v>
      </c>
      <c r="AX412">
        <v>0</v>
      </c>
      <c r="AY412">
        <v>0</v>
      </c>
      <c r="AZ412" t="s">
        <v>282</v>
      </c>
      <c r="BA412" t="s">
        <v>282</v>
      </c>
      <c r="BB412" t="s">
        <v>1207</v>
      </c>
      <c r="BC412">
        <v>4</v>
      </c>
    </row>
    <row r="413" spans="1:55" x14ac:dyDescent="0.25">
      <c r="A413" t="s">
        <v>99</v>
      </c>
      <c r="B413">
        <v>17</v>
      </c>
      <c r="C413" t="s">
        <v>1088</v>
      </c>
      <c r="D413" s="158">
        <v>45199</v>
      </c>
      <c r="E413">
        <v>599622</v>
      </c>
      <c r="F413">
        <v>9964814</v>
      </c>
      <c r="G413">
        <v>51272797</v>
      </c>
      <c r="H413" t="b">
        <v>0</v>
      </c>
      <c r="I413">
        <v>100</v>
      </c>
      <c r="J413" t="s">
        <v>1187</v>
      </c>
      <c r="K413">
        <v>109.5</v>
      </c>
      <c r="L413">
        <v>109.5</v>
      </c>
      <c r="M413">
        <v>1</v>
      </c>
      <c r="N413">
        <v>109.5</v>
      </c>
      <c r="O413">
        <v>0</v>
      </c>
      <c r="P413">
        <v>0</v>
      </c>
      <c r="Q413">
        <v>0</v>
      </c>
      <c r="R413">
        <v>0</v>
      </c>
      <c r="T413">
        <v>0</v>
      </c>
      <c r="U413">
        <v>0</v>
      </c>
      <c r="V413">
        <v>0</v>
      </c>
      <c r="W413">
        <v>0</v>
      </c>
      <c r="X413">
        <v>0</v>
      </c>
      <c r="Y413">
        <v>0</v>
      </c>
      <c r="Z413">
        <v>0</v>
      </c>
      <c r="AA413">
        <v>0</v>
      </c>
      <c r="AB413">
        <v>0</v>
      </c>
      <c r="AC413">
        <v>0</v>
      </c>
      <c r="AD413">
        <v>0</v>
      </c>
      <c r="AE413">
        <v>0</v>
      </c>
      <c r="AF413">
        <v>0</v>
      </c>
      <c r="AG413">
        <v>0</v>
      </c>
      <c r="AH413">
        <v>0</v>
      </c>
      <c r="AI413">
        <v>0</v>
      </c>
      <c r="AJ413">
        <v>0</v>
      </c>
      <c r="AK413">
        <v>0</v>
      </c>
      <c r="AL413">
        <v>0</v>
      </c>
      <c r="AM413">
        <v>0</v>
      </c>
      <c r="AN413">
        <v>109.5</v>
      </c>
      <c r="AV413" t="s">
        <v>1092</v>
      </c>
      <c r="AW413" t="s">
        <v>1092</v>
      </c>
      <c r="AX413">
        <v>0</v>
      </c>
      <c r="AY413">
        <v>0</v>
      </c>
      <c r="AZ413" t="s">
        <v>282</v>
      </c>
      <c r="BA413" t="s">
        <v>282</v>
      </c>
      <c r="BB413" t="s">
        <v>1207</v>
      </c>
      <c r="BC413">
        <v>4</v>
      </c>
    </row>
    <row r="414" spans="1:55" x14ac:dyDescent="0.25">
      <c r="A414" t="s">
        <v>99</v>
      </c>
      <c r="B414">
        <v>17</v>
      </c>
      <c r="C414" t="s">
        <v>1088</v>
      </c>
      <c r="D414" s="158">
        <v>45199</v>
      </c>
      <c r="E414">
        <v>375007</v>
      </c>
      <c r="F414">
        <v>5620984</v>
      </c>
      <c r="G414">
        <v>28074699</v>
      </c>
      <c r="H414" t="b">
        <v>0</v>
      </c>
      <c r="I414">
        <v>1212</v>
      </c>
      <c r="J414" t="s">
        <v>1184</v>
      </c>
      <c r="K414">
        <v>216</v>
      </c>
      <c r="L414">
        <v>216</v>
      </c>
      <c r="M414">
        <v>1</v>
      </c>
      <c r="N414">
        <v>216</v>
      </c>
      <c r="O414">
        <v>0</v>
      </c>
      <c r="P414">
        <v>0</v>
      </c>
      <c r="Q414">
        <v>200</v>
      </c>
      <c r="R414">
        <v>30</v>
      </c>
      <c r="T414">
        <v>0</v>
      </c>
      <c r="U414">
        <v>0</v>
      </c>
      <c r="V414">
        <v>0</v>
      </c>
      <c r="W414">
        <v>0</v>
      </c>
      <c r="X414">
        <v>0</v>
      </c>
      <c r="Y414">
        <v>0</v>
      </c>
      <c r="Z414">
        <v>0</v>
      </c>
      <c r="AA414">
        <v>0</v>
      </c>
      <c r="AB414">
        <v>0</v>
      </c>
      <c r="AC414">
        <v>0</v>
      </c>
      <c r="AD414">
        <v>0</v>
      </c>
      <c r="AE414">
        <v>0</v>
      </c>
      <c r="AF414">
        <v>0</v>
      </c>
      <c r="AG414">
        <v>0</v>
      </c>
      <c r="AH414">
        <v>0</v>
      </c>
      <c r="AI414">
        <v>0</v>
      </c>
      <c r="AJ414">
        <v>0</v>
      </c>
      <c r="AK414">
        <v>0</v>
      </c>
      <c r="AL414">
        <v>0</v>
      </c>
      <c r="AM414">
        <v>0</v>
      </c>
      <c r="AN414">
        <v>-14</v>
      </c>
      <c r="AV414" t="s">
        <v>1092</v>
      </c>
      <c r="AW414" t="s">
        <v>1092</v>
      </c>
      <c r="AX414">
        <v>0</v>
      </c>
      <c r="AY414">
        <v>0</v>
      </c>
      <c r="AZ414" t="s">
        <v>282</v>
      </c>
      <c r="BA414" t="s">
        <v>282</v>
      </c>
      <c r="BB414" t="s">
        <v>1200</v>
      </c>
      <c r="BC414">
        <v>8</v>
      </c>
    </row>
    <row r="415" spans="1:55" x14ac:dyDescent="0.25">
      <c r="A415" t="s">
        <v>99</v>
      </c>
      <c r="B415">
        <v>17</v>
      </c>
      <c r="C415" t="s">
        <v>1088</v>
      </c>
      <c r="D415" s="158">
        <v>45199</v>
      </c>
      <c r="E415">
        <v>375007</v>
      </c>
      <c r="F415">
        <v>5620984</v>
      </c>
      <c r="G415">
        <v>28074700</v>
      </c>
      <c r="H415" t="b">
        <v>0</v>
      </c>
      <c r="I415">
        <v>1212</v>
      </c>
      <c r="J415" t="s">
        <v>1184</v>
      </c>
      <c r="K415">
        <v>216</v>
      </c>
      <c r="L415">
        <v>216</v>
      </c>
      <c r="M415">
        <v>1</v>
      </c>
      <c r="N415">
        <v>216</v>
      </c>
      <c r="O415">
        <v>0</v>
      </c>
      <c r="P415">
        <v>0</v>
      </c>
      <c r="Q415">
        <v>172</v>
      </c>
      <c r="R415">
        <v>30</v>
      </c>
      <c r="T415">
        <v>0</v>
      </c>
      <c r="U415">
        <v>0</v>
      </c>
      <c r="V415">
        <v>0</v>
      </c>
      <c r="W415">
        <v>0</v>
      </c>
      <c r="X415">
        <v>0</v>
      </c>
      <c r="Y415">
        <v>0</v>
      </c>
      <c r="Z415">
        <v>0</v>
      </c>
      <c r="AA415">
        <v>0</v>
      </c>
      <c r="AB415">
        <v>0</v>
      </c>
      <c r="AC415">
        <v>0</v>
      </c>
      <c r="AD415">
        <v>0</v>
      </c>
      <c r="AE415">
        <v>0</v>
      </c>
      <c r="AF415">
        <v>0</v>
      </c>
      <c r="AG415">
        <v>0</v>
      </c>
      <c r="AH415">
        <v>0</v>
      </c>
      <c r="AI415">
        <v>0</v>
      </c>
      <c r="AJ415">
        <v>0</v>
      </c>
      <c r="AK415">
        <v>0</v>
      </c>
      <c r="AL415">
        <v>0</v>
      </c>
      <c r="AM415">
        <v>0</v>
      </c>
      <c r="AN415">
        <v>14</v>
      </c>
      <c r="AV415" t="s">
        <v>1092</v>
      </c>
      <c r="AW415" t="s">
        <v>1092</v>
      </c>
      <c r="AX415">
        <v>0</v>
      </c>
      <c r="AY415">
        <v>0</v>
      </c>
      <c r="AZ415" t="s">
        <v>282</v>
      </c>
      <c r="BA415" t="s">
        <v>282</v>
      </c>
      <c r="BB415" t="s">
        <v>1200</v>
      </c>
      <c r="BC415">
        <v>8</v>
      </c>
    </row>
    <row r="416" spans="1:55" x14ac:dyDescent="0.25">
      <c r="A416" t="s">
        <v>99</v>
      </c>
      <c r="B416">
        <v>17</v>
      </c>
      <c r="C416" t="s">
        <v>1088</v>
      </c>
      <c r="D416" s="158">
        <v>45199</v>
      </c>
      <c r="E416">
        <v>622093</v>
      </c>
      <c r="F416">
        <v>10374602</v>
      </c>
      <c r="G416">
        <v>53942206</v>
      </c>
      <c r="H416" t="b">
        <v>0</v>
      </c>
      <c r="I416">
        <v>11</v>
      </c>
      <c r="J416" t="s">
        <v>1187</v>
      </c>
      <c r="K416">
        <v>216</v>
      </c>
      <c r="L416">
        <v>216</v>
      </c>
      <c r="M416">
        <v>1</v>
      </c>
      <c r="N416">
        <v>216</v>
      </c>
      <c r="O416">
        <v>0</v>
      </c>
      <c r="P416">
        <v>0</v>
      </c>
      <c r="Q416">
        <v>9</v>
      </c>
      <c r="R416">
        <v>0</v>
      </c>
      <c r="T416">
        <v>0</v>
      </c>
      <c r="U416">
        <v>0</v>
      </c>
      <c r="V416">
        <v>0</v>
      </c>
      <c r="W416">
        <v>0</v>
      </c>
      <c r="X416">
        <v>0</v>
      </c>
      <c r="Y416">
        <v>0</v>
      </c>
      <c r="Z416">
        <v>0</v>
      </c>
      <c r="AA416">
        <v>0</v>
      </c>
      <c r="AB416">
        <v>0</v>
      </c>
      <c r="AC416">
        <v>0</v>
      </c>
      <c r="AD416">
        <v>0</v>
      </c>
      <c r="AE416">
        <v>0</v>
      </c>
      <c r="AF416">
        <v>0</v>
      </c>
      <c r="AG416">
        <v>0</v>
      </c>
      <c r="AH416">
        <v>0</v>
      </c>
      <c r="AI416">
        <v>0</v>
      </c>
      <c r="AJ416">
        <v>0</v>
      </c>
      <c r="AK416">
        <v>0</v>
      </c>
      <c r="AL416">
        <v>0</v>
      </c>
      <c r="AM416">
        <v>0</v>
      </c>
      <c r="AN416">
        <v>207</v>
      </c>
      <c r="AV416" t="s">
        <v>1092</v>
      </c>
      <c r="AW416" t="s">
        <v>1092</v>
      </c>
      <c r="AX416">
        <v>0</v>
      </c>
      <c r="AY416">
        <v>0</v>
      </c>
      <c r="AZ416" t="s">
        <v>282</v>
      </c>
      <c r="BA416" t="s">
        <v>282</v>
      </c>
      <c r="BB416" t="s">
        <v>1197</v>
      </c>
      <c r="BC416">
        <v>1</v>
      </c>
    </row>
    <row r="417" spans="1:55" x14ac:dyDescent="0.25">
      <c r="A417" t="s">
        <v>99</v>
      </c>
      <c r="B417">
        <v>17</v>
      </c>
      <c r="C417" t="s">
        <v>1088</v>
      </c>
      <c r="D417" s="158">
        <v>45199</v>
      </c>
      <c r="E417">
        <v>622093</v>
      </c>
      <c r="F417">
        <v>10374602</v>
      </c>
      <c r="G417">
        <v>53942210</v>
      </c>
      <c r="H417" t="b">
        <v>0</v>
      </c>
      <c r="I417">
        <v>11</v>
      </c>
      <c r="J417" t="s">
        <v>1247</v>
      </c>
      <c r="K417">
        <v>18</v>
      </c>
      <c r="L417">
        <v>18</v>
      </c>
      <c r="M417">
        <v>1</v>
      </c>
      <c r="N417">
        <v>18</v>
      </c>
      <c r="O417">
        <v>0</v>
      </c>
      <c r="P417">
        <v>0</v>
      </c>
      <c r="Q417">
        <v>0</v>
      </c>
      <c r="R417">
        <v>0</v>
      </c>
      <c r="T417">
        <v>0</v>
      </c>
      <c r="U417">
        <v>0</v>
      </c>
      <c r="V417">
        <v>0</v>
      </c>
      <c r="W417">
        <v>0</v>
      </c>
      <c r="X417">
        <v>0</v>
      </c>
      <c r="Y417">
        <v>0</v>
      </c>
      <c r="Z417">
        <v>0</v>
      </c>
      <c r="AA417">
        <v>0</v>
      </c>
      <c r="AB417">
        <v>0</v>
      </c>
      <c r="AC417">
        <v>0</v>
      </c>
      <c r="AD417">
        <v>0</v>
      </c>
      <c r="AE417">
        <v>0</v>
      </c>
      <c r="AF417">
        <v>0</v>
      </c>
      <c r="AG417">
        <v>0</v>
      </c>
      <c r="AH417">
        <v>0</v>
      </c>
      <c r="AI417">
        <v>0</v>
      </c>
      <c r="AJ417">
        <v>0</v>
      </c>
      <c r="AK417">
        <v>0</v>
      </c>
      <c r="AL417">
        <v>0</v>
      </c>
      <c r="AM417">
        <v>0</v>
      </c>
      <c r="AN417">
        <v>18</v>
      </c>
      <c r="AV417" t="s">
        <v>1092</v>
      </c>
      <c r="AW417" t="s">
        <v>1092</v>
      </c>
      <c r="AX417">
        <v>0</v>
      </c>
      <c r="AY417">
        <v>0</v>
      </c>
      <c r="AZ417" t="s">
        <v>282</v>
      </c>
      <c r="BA417" t="s">
        <v>282</v>
      </c>
      <c r="BB417" t="s">
        <v>1197</v>
      </c>
      <c r="BC417">
        <v>1</v>
      </c>
    </row>
    <row r="418" spans="1:55" x14ac:dyDescent="0.25">
      <c r="A418" t="s">
        <v>99</v>
      </c>
      <c r="B418">
        <v>17</v>
      </c>
      <c r="C418" t="s">
        <v>1088</v>
      </c>
      <c r="D418" s="158">
        <v>45199</v>
      </c>
      <c r="E418">
        <v>87066</v>
      </c>
      <c r="F418">
        <v>9978398</v>
      </c>
      <c r="G418">
        <v>51468910</v>
      </c>
      <c r="H418" t="b">
        <v>0</v>
      </c>
      <c r="I418">
        <v>92</v>
      </c>
      <c r="J418" t="s">
        <v>1184</v>
      </c>
      <c r="K418">
        <v>216</v>
      </c>
      <c r="L418">
        <v>216</v>
      </c>
      <c r="M418">
        <v>1</v>
      </c>
      <c r="N418">
        <v>216</v>
      </c>
      <c r="O418">
        <v>0</v>
      </c>
      <c r="P418">
        <v>0</v>
      </c>
      <c r="Q418">
        <v>84</v>
      </c>
      <c r="R418">
        <v>0</v>
      </c>
      <c r="T418">
        <v>0</v>
      </c>
      <c r="U418">
        <v>0</v>
      </c>
      <c r="V418">
        <v>0</v>
      </c>
      <c r="W418">
        <v>0</v>
      </c>
      <c r="X418">
        <v>0</v>
      </c>
      <c r="Y418">
        <v>0</v>
      </c>
      <c r="Z418">
        <v>0</v>
      </c>
      <c r="AA418">
        <v>0</v>
      </c>
      <c r="AB418">
        <v>0</v>
      </c>
      <c r="AC418">
        <v>0</v>
      </c>
      <c r="AD418">
        <v>0</v>
      </c>
      <c r="AE418">
        <v>0</v>
      </c>
      <c r="AF418">
        <v>0</v>
      </c>
      <c r="AG418">
        <v>0</v>
      </c>
      <c r="AH418">
        <v>0</v>
      </c>
      <c r="AI418">
        <v>0</v>
      </c>
      <c r="AJ418">
        <v>0</v>
      </c>
      <c r="AK418">
        <v>0</v>
      </c>
      <c r="AL418">
        <v>0</v>
      </c>
      <c r="AM418">
        <v>0</v>
      </c>
      <c r="AN418">
        <v>132</v>
      </c>
      <c r="AV418" t="s">
        <v>1092</v>
      </c>
      <c r="AW418" t="s">
        <v>1092</v>
      </c>
      <c r="AX418">
        <v>0</v>
      </c>
      <c r="AY418">
        <v>0</v>
      </c>
      <c r="AZ418" t="s">
        <v>282</v>
      </c>
      <c r="BA418" t="s">
        <v>282</v>
      </c>
      <c r="BB418" t="s">
        <v>1207</v>
      </c>
      <c r="BC418">
        <v>4</v>
      </c>
    </row>
    <row r="419" spans="1:55" x14ac:dyDescent="0.25">
      <c r="A419" t="s">
        <v>99</v>
      </c>
      <c r="B419">
        <v>17</v>
      </c>
      <c r="C419" t="s">
        <v>1088</v>
      </c>
      <c r="D419" s="158">
        <v>45199</v>
      </c>
      <c r="E419">
        <v>574345</v>
      </c>
      <c r="F419">
        <v>9465859</v>
      </c>
      <c r="G419">
        <v>48374422</v>
      </c>
      <c r="H419" t="b">
        <v>0</v>
      </c>
      <c r="I419">
        <v>187</v>
      </c>
      <c r="J419" t="s">
        <v>1184</v>
      </c>
      <c r="K419">
        <v>216</v>
      </c>
      <c r="L419">
        <v>216</v>
      </c>
      <c r="M419">
        <v>1</v>
      </c>
      <c r="N419">
        <v>0</v>
      </c>
      <c r="O419">
        <v>204.78</v>
      </c>
      <c r="P419">
        <v>0</v>
      </c>
      <c r="Q419">
        <v>0</v>
      </c>
      <c r="R419">
        <v>0</v>
      </c>
      <c r="T419">
        <v>216</v>
      </c>
      <c r="U419">
        <v>0</v>
      </c>
      <c r="V419">
        <v>0</v>
      </c>
      <c r="W419">
        <v>0</v>
      </c>
      <c r="X419">
        <v>11.22</v>
      </c>
      <c r="Y419">
        <v>0</v>
      </c>
      <c r="Z419">
        <v>0</v>
      </c>
      <c r="AA419">
        <v>0</v>
      </c>
      <c r="AB419">
        <v>0</v>
      </c>
      <c r="AC419">
        <v>0</v>
      </c>
      <c r="AD419">
        <v>0</v>
      </c>
      <c r="AE419">
        <v>0</v>
      </c>
      <c r="AF419">
        <v>0</v>
      </c>
      <c r="AG419">
        <v>0</v>
      </c>
      <c r="AH419">
        <v>0</v>
      </c>
      <c r="AI419">
        <v>0</v>
      </c>
      <c r="AJ419">
        <v>0</v>
      </c>
      <c r="AK419">
        <v>0</v>
      </c>
      <c r="AL419">
        <v>0</v>
      </c>
      <c r="AM419">
        <v>0</v>
      </c>
      <c r="AN419">
        <v>204.78</v>
      </c>
      <c r="AP419" t="s">
        <v>1091</v>
      </c>
      <c r="AS419" t="s">
        <v>1188</v>
      </c>
      <c r="AV419" t="s">
        <v>1092</v>
      </c>
      <c r="AW419" t="s">
        <v>1092</v>
      </c>
      <c r="AX419">
        <v>0</v>
      </c>
      <c r="AY419">
        <v>0</v>
      </c>
      <c r="AZ419" t="s">
        <v>282</v>
      </c>
      <c r="BA419" t="s">
        <v>282</v>
      </c>
      <c r="BB419" t="s">
        <v>1204</v>
      </c>
      <c r="BC419">
        <v>7</v>
      </c>
    </row>
    <row r="420" spans="1:55" x14ac:dyDescent="0.25">
      <c r="A420" t="s">
        <v>99</v>
      </c>
      <c r="B420">
        <v>17</v>
      </c>
      <c r="C420" t="s">
        <v>1088</v>
      </c>
      <c r="D420" s="158">
        <v>45199</v>
      </c>
      <c r="E420">
        <v>376543</v>
      </c>
      <c r="F420">
        <v>6866663</v>
      </c>
      <c r="G420">
        <v>34525811</v>
      </c>
      <c r="H420" t="b">
        <v>0</v>
      </c>
      <c r="I420">
        <v>809</v>
      </c>
      <c r="J420" t="s">
        <v>1192</v>
      </c>
      <c r="K420">
        <v>8.5</v>
      </c>
      <c r="L420">
        <v>8.5</v>
      </c>
      <c r="M420">
        <v>1</v>
      </c>
      <c r="N420">
        <v>8.5</v>
      </c>
      <c r="O420">
        <v>0</v>
      </c>
      <c r="P420">
        <v>0</v>
      </c>
      <c r="Q420">
        <v>0</v>
      </c>
      <c r="R420">
        <v>0</v>
      </c>
      <c r="T420">
        <v>0</v>
      </c>
      <c r="U420">
        <v>0</v>
      </c>
      <c r="V420">
        <v>0</v>
      </c>
      <c r="W420">
        <v>0</v>
      </c>
      <c r="X420">
        <v>0</v>
      </c>
      <c r="Y420">
        <v>0</v>
      </c>
      <c r="Z420">
        <v>0</v>
      </c>
      <c r="AA420">
        <v>0</v>
      </c>
      <c r="AB420">
        <v>0</v>
      </c>
      <c r="AC420">
        <v>0</v>
      </c>
      <c r="AD420">
        <v>0</v>
      </c>
      <c r="AE420">
        <v>0</v>
      </c>
      <c r="AF420">
        <v>0</v>
      </c>
      <c r="AG420">
        <v>0</v>
      </c>
      <c r="AH420">
        <v>0</v>
      </c>
      <c r="AI420">
        <v>0</v>
      </c>
      <c r="AJ420">
        <v>0</v>
      </c>
      <c r="AK420">
        <v>0</v>
      </c>
      <c r="AL420">
        <v>0</v>
      </c>
      <c r="AM420">
        <v>0</v>
      </c>
      <c r="AN420">
        <v>8.5</v>
      </c>
      <c r="AV420" t="s">
        <v>1092</v>
      </c>
      <c r="AW420" t="s">
        <v>1092</v>
      </c>
      <c r="AX420">
        <v>0</v>
      </c>
      <c r="AY420">
        <v>0</v>
      </c>
      <c r="AZ420" t="s">
        <v>282</v>
      </c>
      <c r="BA420" t="s">
        <v>282</v>
      </c>
      <c r="BB420" t="s">
        <v>1200</v>
      </c>
      <c r="BC420">
        <v>8</v>
      </c>
    </row>
    <row r="421" spans="1:55" x14ac:dyDescent="0.25">
      <c r="A421" t="s">
        <v>99</v>
      </c>
      <c r="B421">
        <v>17</v>
      </c>
      <c r="C421" t="s">
        <v>1088</v>
      </c>
      <c r="D421" s="158">
        <v>45199</v>
      </c>
      <c r="E421">
        <v>270048</v>
      </c>
      <c r="F421">
        <v>3865699</v>
      </c>
      <c r="G421">
        <v>17347279</v>
      </c>
      <c r="H421" t="b">
        <v>0</v>
      </c>
      <c r="I421">
        <v>1864</v>
      </c>
      <c r="J421" t="s">
        <v>1210</v>
      </c>
      <c r="K421">
        <v>0.6</v>
      </c>
      <c r="L421">
        <v>0.6</v>
      </c>
      <c r="M421">
        <v>1</v>
      </c>
      <c r="N421">
        <v>0.6</v>
      </c>
      <c r="O421">
        <v>0</v>
      </c>
      <c r="P421">
        <v>0</v>
      </c>
      <c r="Q421">
        <v>0</v>
      </c>
      <c r="R421">
        <v>0</v>
      </c>
      <c r="T421">
        <v>0</v>
      </c>
      <c r="U421">
        <v>0</v>
      </c>
      <c r="V421">
        <v>0</v>
      </c>
      <c r="W421">
        <v>0</v>
      </c>
      <c r="X421">
        <v>0</v>
      </c>
      <c r="Y421">
        <v>0</v>
      </c>
      <c r="Z421">
        <v>0</v>
      </c>
      <c r="AA421">
        <v>0</v>
      </c>
      <c r="AB421">
        <v>0</v>
      </c>
      <c r="AC421">
        <v>0</v>
      </c>
      <c r="AD421">
        <v>0</v>
      </c>
      <c r="AE421">
        <v>0</v>
      </c>
      <c r="AF421">
        <v>0</v>
      </c>
      <c r="AG421">
        <v>0</v>
      </c>
      <c r="AH421">
        <v>0</v>
      </c>
      <c r="AI421">
        <v>0</v>
      </c>
      <c r="AJ421">
        <v>0</v>
      </c>
      <c r="AK421">
        <v>0</v>
      </c>
      <c r="AL421">
        <v>0</v>
      </c>
      <c r="AM421">
        <v>0</v>
      </c>
      <c r="AN421">
        <v>0.6</v>
      </c>
      <c r="AV421" t="s">
        <v>1092</v>
      </c>
      <c r="AW421" t="s">
        <v>1092</v>
      </c>
      <c r="AX421">
        <v>0</v>
      </c>
      <c r="AY421">
        <v>0</v>
      </c>
      <c r="AZ421" t="s">
        <v>282</v>
      </c>
      <c r="BA421" t="s">
        <v>282</v>
      </c>
      <c r="BB421" t="s">
        <v>1200</v>
      </c>
      <c r="BC421">
        <v>8</v>
      </c>
    </row>
    <row r="422" spans="1:55" x14ac:dyDescent="0.25">
      <c r="A422" t="s">
        <v>99</v>
      </c>
      <c r="B422">
        <v>17</v>
      </c>
      <c r="C422" t="s">
        <v>1088</v>
      </c>
      <c r="D422" s="158">
        <v>45199</v>
      </c>
      <c r="E422">
        <v>624386</v>
      </c>
      <c r="F422">
        <v>10417183</v>
      </c>
      <c r="G422">
        <v>54242768</v>
      </c>
      <c r="H422" t="b">
        <v>0</v>
      </c>
      <c r="I422">
        <v>2</v>
      </c>
      <c r="J422" t="s">
        <v>1187</v>
      </c>
      <c r="K422">
        <v>216</v>
      </c>
      <c r="L422">
        <v>216</v>
      </c>
      <c r="M422">
        <v>1</v>
      </c>
      <c r="N422">
        <v>216</v>
      </c>
      <c r="O422">
        <v>0</v>
      </c>
      <c r="P422">
        <v>0</v>
      </c>
      <c r="Q422">
        <v>9</v>
      </c>
      <c r="R422">
        <v>0</v>
      </c>
      <c r="T422">
        <v>0</v>
      </c>
      <c r="U422">
        <v>0</v>
      </c>
      <c r="V422">
        <v>0</v>
      </c>
      <c r="W422">
        <v>0</v>
      </c>
      <c r="X422">
        <v>0</v>
      </c>
      <c r="Y422">
        <v>0</v>
      </c>
      <c r="Z422">
        <v>0</v>
      </c>
      <c r="AA422">
        <v>0</v>
      </c>
      <c r="AB422">
        <v>0</v>
      </c>
      <c r="AC422">
        <v>0</v>
      </c>
      <c r="AD422">
        <v>0</v>
      </c>
      <c r="AE422">
        <v>0</v>
      </c>
      <c r="AF422">
        <v>0</v>
      </c>
      <c r="AG422">
        <v>0</v>
      </c>
      <c r="AH422">
        <v>0</v>
      </c>
      <c r="AI422">
        <v>0</v>
      </c>
      <c r="AJ422">
        <v>0</v>
      </c>
      <c r="AK422">
        <v>0</v>
      </c>
      <c r="AL422">
        <v>0</v>
      </c>
      <c r="AM422">
        <v>0</v>
      </c>
      <c r="AN422">
        <v>207</v>
      </c>
      <c r="AV422" t="s">
        <v>1092</v>
      </c>
      <c r="AW422" t="s">
        <v>1092</v>
      </c>
      <c r="AX422">
        <v>0</v>
      </c>
      <c r="AY422">
        <v>0</v>
      </c>
      <c r="AZ422" t="s">
        <v>282</v>
      </c>
      <c r="BA422" t="s">
        <v>282</v>
      </c>
      <c r="BB422" t="s">
        <v>1197</v>
      </c>
      <c r="BC422">
        <v>1</v>
      </c>
    </row>
    <row r="423" spans="1:55" x14ac:dyDescent="0.25">
      <c r="A423" t="s">
        <v>99</v>
      </c>
      <c r="B423">
        <v>17</v>
      </c>
      <c r="C423" t="s">
        <v>1088</v>
      </c>
      <c r="D423" s="158">
        <v>45199</v>
      </c>
      <c r="E423">
        <v>110445</v>
      </c>
      <c r="F423">
        <v>7754332</v>
      </c>
      <c r="G423">
        <v>39158283</v>
      </c>
      <c r="H423" t="b">
        <v>0</v>
      </c>
      <c r="I423">
        <v>558</v>
      </c>
      <c r="J423" t="s">
        <v>1247</v>
      </c>
      <c r="K423">
        <v>14.4</v>
      </c>
      <c r="L423">
        <v>14.4</v>
      </c>
      <c r="M423">
        <v>1</v>
      </c>
      <c r="N423">
        <v>14.4</v>
      </c>
      <c r="O423">
        <v>0</v>
      </c>
      <c r="P423">
        <v>0</v>
      </c>
      <c r="Q423">
        <v>14.39</v>
      </c>
      <c r="R423">
        <v>0</v>
      </c>
      <c r="T423">
        <v>0</v>
      </c>
      <c r="U423">
        <v>0</v>
      </c>
      <c r="V423">
        <v>0</v>
      </c>
      <c r="W423">
        <v>0</v>
      </c>
      <c r="X423">
        <v>0</v>
      </c>
      <c r="Y423">
        <v>0</v>
      </c>
      <c r="Z423">
        <v>0</v>
      </c>
      <c r="AA423">
        <v>0</v>
      </c>
      <c r="AB423">
        <v>0</v>
      </c>
      <c r="AC423">
        <v>0</v>
      </c>
      <c r="AD423">
        <v>0</v>
      </c>
      <c r="AE423">
        <v>0</v>
      </c>
      <c r="AF423">
        <v>0</v>
      </c>
      <c r="AG423">
        <v>0</v>
      </c>
      <c r="AH423">
        <v>0</v>
      </c>
      <c r="AI423">
        <v>0</v>
      </c>
      <c r="AJ423">
        <v>0</v>
      </c>
      <c r="AK423">
        <v>0</v>
      </c>
      <c r="AL423">
        <v>0</v>
      </c>
      <c r="AM423">
        <v>0</v>
      </c>
      <c r="AN423">
        <v>0.01</v>
      </c>
      <c r="AV423" t="s">
        <v>1092</v>
      </c>
      <c r="AW423" t="s">
        <v>1092</v>
      </c>
      <c r="AX423">
        <v>0</v>
      </c>
      <c r="AY423">
        <v>0</v>
      </c>
      <c r="AZ423" t="s">
        <v>282</v>
      </c>
      <c r="BA423" t="s">
        <v>282</v>
      </c>
      <c r="BB423" t="s">
        <v>1200</v>
      </c>
      <c r="BC423">
        <v>8</v>
      </c>
    </row>
    <row r="424" spans="1:55" x14ac:dyDescent="0.25">
      <c r="A424" t="s">
        <v>102</v>
      </c>
      <c r="B424">
        <v>17</v>
      </c>
      <c r="C424" t="s">
        <v>1088</v>
      </c>
      <c r="D424" s="158">
        <v>45199</v>
      </c>
      <c r="E424">
        <v>315270</v>
      </c>
      <c r="H424" t="b">
        <v>0</v>
      </c>
      <c r="I424">
        <v>1</v>
      </c>
      <c r="J424" t="s">
        <v>1212</v>
      </c>
      <c r="AN424">
        <v>-450</v>
      </c>
      <c r="AV424" t="s">
        <v>1092</v>
      </c>
      <c r="AW424" t="s">
        <v>1092</v>
      </c>
      <c r="BA424" t="s">
        <v>282</v>
      </c>
      <c r="BB424" t="s">
        <v>1197</v>
      </c>
      <c r="BC424">
        <v>1</v>
      </c>
    </row>
    <row r="425" spans="1:55" x14ac:dyDescent="0.25">
      <c r="A425" t="s">
        <v>102</v>
      </c>
      <c r="B425">
        <v>17</v>
      </c>
      <c r="C425" t="s">
        <v>1088</v>
      </c>
      <c r="D425" s="158">
        <v>45199</v>
      </c>
      <c r="E425">
        <v>129417</v>
      </c>
      <c r="H425" t="b">
        <v>0</v>
      </c>
      <c r="I425">
        <v>1</v>
      </c>
      <c r="J425" t="s">
        <v>1212</v>
      </c>
      <c r="AN425">
        <v>-10</v>
      </c>
      <c r="AV425" t="s">
        <v>1092</v>
      </c>
      <c r="AW425" t="s">
        <v>1092</v>
      </c>
      <c r="BA425" t="s">
        <v>282</v>
      </c>
      <c r="BB425" t="s">
        <v>1197</v>
      </c>
      <c r="BC425">
        <v>1</v>
      </c>
    </row>
    <row r="426" spans="1:55" x14ac:dyDescent="0.25">
      <c r="A426" t="s">
        <v>102</v>
      </c>
      <c r="B426">
        <v>17</v>
      </c>
      <c r="C426" t="s">
        <v>1088</v>
      </c>
      <c r="D426" s="158">
        <v>45199</v>
      </c>
      <c r="E426">
        <v>128020</v>
      </c>
      <c r="H426" t="b">
        <v>0</v>
      </c>
      <c r="I426">
        <v>1</v>
      </c>
      <c r="J426" t="s">
        <v>1212</v>
      </c>
      <c r="AN426">
        <v>-62.4</v>
      </c>
      <c r="AV426" t="s">
        <v>1092</v>
      </c>
      <c r="AW426" t="s">
        <v>1092</v>
      </c>
      <c r="BA426" t="s">
        <v>282</v>
      </c>
      <c r="BB426" t="s">
        <v>1197</v>
      </c>
      <c r="BC426">
        <v>1</v>
      </c>
    </row>
    <row r="427" spans="1:55" x14ac:dyDescent="0.25">
      <c r="A427" t="s">
        <v>99</v>
      </c>
      <c r="B427">
        <v>17</v>
      </c>
      <c r="C427" t="s">
        <v>1088</v>
      </c>
      <c r="D427" s="158">
        <v>45199</v>
      </c>
      <c r="E427">
        <v>559418</v>
      </c>
      <c r="F427">
        <v>9168018</v>
      </c>
      <c r="G427">
        <v>47292680</v>
      </c>
      <c r="H427" t="b">
        <v>0</v>
      </c>
      <c r="I427">
        <v>250</v>
      </c>
      <c r="J427" t="s">
        <v>1187</v>
      </c>
      <c r="K427">
        <v>216</v>
      </c>
      <c r="L427">
        <v>216</v>
      </c>
      <c r="M427">
        <v>1</v>
      </c>
      <c r="N427">
        <v>0</v>
      </c>
      <c r="O427">
        <v>142.16</v>
      </c>
      <c r="P427">
        <v>0</v>
      </c>
      <c r="Q427">
        <v>37.840000000000003</v>
      </c>
      <c r="R427">
        <v>0</v>
      </c>
      <c r="T427">
        <v>216</v>
      </c>
      <c r="U427">
        <v>0</v>
      </c>
      <c r="V427">
        <v>0</v>
      </c>
      <c r="W427">
        <v>0</v>
      </c>
      <c r="X427">
        <v>73.84</v>
      </c>
      <c r="Y427">
        <v>0</v>
      </c>
      <c r="Z427">
        <v>0</v>
      </c>
      <c r="AA427">
        <v>0</v>
      </c>
      <c r="AB427">
        <v>0</v>
      </c>
      <c r="AC427">
        <v>0</v>
      </c>
      <c r="AD427">
        <v>0</v>
      </c>
      <c r="AE427">
        <v>0</v>
      </c>
      <c r="AF427">
        <v>0</v>
      </c>
      <c r="AG427">
        <v>0</v>
      </c>
      <c r="AH427">
        <v>0</v>
      </c>
      <c r="AI427">
        <v>0</v>
      </c>
      <c r="AJ427">
        <v>0</v>
      </c>
      <c r="AK427">
        <v>0</v>
      </c>
      <c r="AL427">
        <v>0</v>
      </c>
      <c r="AM427">
        <v>0</v>
      </c>
      <c r="AN427">
        <v>104.32</v>
      </c>
      <c r="AP427" t="s">
        <v>1091</v>
      </c>
      <c r="AS427" t="s">
        <v>1237</v>
      </c>
      <c r="AV427" t="s">
        <v>1092</v>
      </c>
      <c r="AW427" t="s">
        <v>1092</v>
      </c>
      <c r="AX427">
        <v>0</v>
      </c>
      <c r="AY427">
        <v>0</v>
      </c>
      <c r="AZ427" t="s">
        <v>282</v>
      </c>
      <c r="BA427" t="s">
        <v>282</v>
      </c>
      <c r="BB427" t="s">
        <v>1204</v>
      </c>
      <c r="BC427">
        <v>7</v>
      </c>
    </row>
    <row r="428" spans="1:55" x14ac:dyDescent="0.25">
      <c r="A428" t="s">
        <v>99</v>
      </c>
      <c r="B428">
        <v>17</v>
      </c>
      <c r="C428" t="s">
        <v>1088</v>
      </c>
      <c r="D428" s="158">
        <v>45199</v>
      </c>
      <c r="E428">
        <v>580115</v>
      </c>
      <c r="F428">
        <v>9583109</v>
      </c>
      <c r="G428">
        <v>49180569</v>
      </c>
      <c r="H428" t="b">
        <v>0</v>
      </c>
      <c r="I428">
        <v>163</v>
      </c>
      <c r="J428" t="s">
        <v>1187</v>
      </c>
      <c r="K428">
        <v>216</v>
      </c>
      <c r="L428">
        <v>216</v>
      </c>
      <c r="M428">
        <v>1</v>
      </c>
      <c r="N428">
        <v>0</v>
      </c>
      <c r="O428">
        <v>49.63</v>
      </c>
      <c r="P428">
        <v>0</v>
      </c>
      <c r="Q428">
        <v>0</v>
      </c>
      <c r="R428">
        <v>0</v>
      </c>
      <c r="T428">
        <v>216</v>
      </c>
      <c r="U428">
        <v>0</v>
      </c>
      <c r="V428">
        <v>1</v>
      </c>
      <c r="W428">
        <v>115.8</v>
      </c>
      <c r="X428">
        <v>50.57</v>
      </c>
      <c r="Y428">
        <v>0</v>
      </c>
      <c r="Z428">
        <v>0</v>
      </c>
      <c r="AA428">
        <v>0</v>
      </c>
      <c r="AB428">
        <v>0</v>
      </c>
      <c r="AC428">
        <v>0</v>
      </c>
      <c r="AD428">
        <v>0</v>
      </c>
      <c r="AE428">
        <v>0</v>
      </c>
      <c r="AF428">
        <v>0</v>
      </c>
      <c r="AG428">
        <v>0</v>
      </c>
      <c r="AH428">
        <v>0</v>
      </c>
      <c r="AI428">
        <v>0</v>
      </c>
      <c r="AJ428">
        <v>0</v>
      </c>
      <c r="AK428">
        <v>0</v>
      </c>
      <c r="AL428">
        <v>0</v>
      </c>
      <c r="AM428">
        <v>0</v>
      </c>
      <c r="AN428">
        <v>49.63</v>
      </c>
      <c r="AP428" t="s">
        <v>1091</v>
      </c>
      <c r="AS428" t="s">
        <v>1188</v>
      </c>
      <c r="AV428" t="s">
        <v>1092</v>
      </c>
      <c r="AW428" t="s">
        <v>1092</v>
      </c>
      <c r="AX428">
        <v>0</v>
      </c>
      <c r="AY428">
        <v>0</v>
      </c>
      <c r="AZ428" t="s">
        <v>282</v>
      </c>
      <c r="BA428" t="s">
        <v>282</v>
      </c>
      <c r="BB428" t="s">
        <v>1206</v>
      </c>
      <c r="BC428">
        <v>6</v>
      </c>
    </row>
    <row r="429" spans="1:55" x14ac:dyDescent="0.25">
      <c r="A429" t="s">
        <v>102</v>
      </c>
      <c r="B429">
        <v>17</v>
      </c>
      <c r="C429" t="s">
        <v>1088</v>
      </c>
      <c r="D429" s="158">
        <v>45199</v>
      </c>
      <c r="E429">
        <v>357172</v>
      </c>
      <c r="H429" t="b">
        <v>0</v>
      </c>
      <c r="I429">
        <v>1</v>
      </c>
      <c r="J429" t="s">
        <v>1212</v>
      </c>
      <c r="AN429">
        <v>-8.26</v>
      </c>
      <c r="AV429" t="s">
        <v>1092</v>
      </c>
      <c r="AW429" t="s">
        <v>1092</v>
      </c>
      <c r="BA429" t="s">
        <v>282</v>
      </c>
      <c r="BB429" t="s">
        <v>1197</v>
      </c>
      <c r="BC429">
        <v>1</v>
      </c>
    </row>
    <row r="430" spans="1:55" x14ac:dyDescent="0.25">
      <c r="A430" t="s">
        <v>102</v>
      </c>
      <c r="B430">
        <v>17</v>
      </c>
      <c r="C430" t="s">
        <v>1088</v>
      </c>
      <c r="D430" s="158">
        <v>45199</v>
      </c>
      <c r="E430">
        <v>78428</v>
      </c>
      <c r="H430" t="b">
        <v>0</v>
      </c>
      <c r="I430">
        <v>1</v>
      </c>
      <c r="J430" t="s">
        <v>1212</v>
      </c>
      <c r="AN430">
        <v>-10</v>
      </c>
      <c r="AV430" t="s">
        <v>1092</v>
      </c>
      <c r="AW430" t="s">
        <v>1092</v>
      </c>
      <c r="BA430" t="s">
        <v>282</v>
      </c>
      <c r="BB430" t="s">
        <v>1197</v>
      </c>
      <c r="BC430">
        <v>1</v>
      </c>
    </row>
    <row r="431" spans="1:55" x14ac:dyDescent="0.25">
      <c r="A431" t="s">
        <v>102</v>
      </c>
      <c r="B431">
        <v>17</v>
      </c>
      <c r="C431" t="s">
        <v>1088</v>
      </c>
      <c r="D431" s="158">
        <v>45199</v>
      </c>
      <c r="E431">
        <v>498757</v>
      </c>
      <c r="H431" t="b">
        <v>0</v>
      </c>
      <c r="I431">
        <v>1</v>
      </c>
      <c r="J431" t="s">
        <v>1212</v>
      </c>
      <c r="AN431">
        <v>-11.59</v>
      </c>
      <c r="AV431" t="s">
        <v>1092</v>
      </c>
      <c r="AW431" t="s">
        <v>1092</v>
      </c>
      <c r="BA431" t="s">
        <v>282</v>
      </c>
      <c r="BB431" t="s">
        <v>1197</v>
      </c>
      <c r="BC431">
        <v>1</v>
      </c>
    </row>
    <row r="432" spans="1:55" x14ac:dyDescent="0.25">
      <c r="A432" t="s">
        <v>102</v>
      </c>
      <c r="B432">
        <v>17</v>
      </c>
      <c r="C432" t="s">
        <v>1088</v>
      </c>
      <c r="D432" s="158">
        <v>45199</v>
      </c>
      <c r="E432">
        <v>66777</v>
      </c>
      <c r="H432" t="b">
        <v>0</v>
      </c>
      <c r="I432">
        <v>1</v>
      </c>
      <c r="J432" t="s">
        <v>1212</v>
      </c>
      <c r="AN432">
        <v>-113.61</v>
      </c>
      <c r="AV432" t="s">
        <v>1092</v>
      </c>
      <c r="AW432" t="s">
        <v>1092</v>
      </c>
      <c r="BA432" t="s">
        <v>282</v>
      </c>
      <c r="BB432" t="s">
        <v>1197</v>
      </c>
      <c r="BC432">
        <v>1</v>
      </c>
    </row>
    <row r="433" spans="1:55" x14ac:dyDescent="0.25">
      <c r="A433" t="s">
        <v>99</v>
      </c>
      <c r="B433">
        <v>17</v>
      </c>
      <c r="C433" t="s">
        <v>1088</v>
      </c>
      <c r="D433" s="158">
        <v>45199</v>
      </c>
      <c r="E433">
        <v>599233</v>
      </c>
      <c r="F433">
        <v>9958381</v>
      </c>
      <c r="G433">
        <v>51715366</v>
      </c>
      <c r="H433" t="b">
        <v>0</v>
      </c>
      <c r="I433">
        <v>82</v>
      </c>
      <c r="J433" t="s">
        <v>1184</v>
      </c>
      <c r="K433">
        <v>216</v>
      </c>
      <c r="L433">
        <v>216</v>
      </c>
      <c r="M433">
        <v>1</v>
      </c>
      <c r="N433">
        <v>0</v>
      </c>
      <c r="O433">
        <v>216</v>
      </c>
      <c r="P433">
        <v>0</v>
      </c>
      <c r="Q433">
        <v>0</v>
      </c>
      <c r="R433">
        <v>0</v>
      </c>
      <c r="T433">
        <v>216</v>
      </c>
      <c r="U433">
        <v>0</v>
      </c>
      <c r="V433">
        <v>0</v>
      </c>
      <c r="W433">
        <v>0</v>
      </c>
      <c r="X433">
        <v>0</v>
      </c>
      <c r="Y433">
        <v>0</v>
      </c>
      <c r="Z433">
        <v>0</v>
      </c>
      <c r="AA433">
        <v>0</v>
      </c>
      <c r="AB433">
        <v>0</v>
      </c>
      <c r="AC433">
        <v>0</v>
      </c>
      <c r="AD433">
        <v>0</v>
      </c>
      <c r="AE433">
        <v>0</v>
      </c>
      <c r="AF433">
        <v>0</v>
      </c>
      <c r="AG433">
        <v>0</v>
      </c>
      <c r="AH433">
        <v>0</v>
      </c>
      <c r="AI433">
        <v>0</v>
      </c>
      <c r="AJ433">
        <v>0</v>
      </c>
      <c r="AK433">
        <v>0</v>
      </c>
      <c r="AL433">
        <v>0</v>
      </c>
      <c r="AM433">
        <v>0</v>
      </c>
      <c r="AN433">
        <v>216</v>
      </c>
      <c r="AP433" t="s">
        <v>1091</v>
      </c>
      <c r="AS433" t="s">
        <v>1185</v>
      </c>
      <c r="AV433" t="s">
        <v>1092</v>
      </c>
      <c r="AW433" t="s">
        <v>1092</v>
      </c>
      <c r="AX433">
        <v>0</v>
      </c>
      <c r="AY433">
        <v>0</v>
      </c>
      <c r="AZ433" t="s">
        <v>282</v>
      </c>
      <c r="BA433" t="s">
        <v>282</v>
      </c>
      <c r="BB433" t="s">
        <v>1186</v>
      </c>
      <c r="BC433">
        <v>3</v>
      </c>
    </row>
    <row r="434" spans="1:55" x14ac:dyDescent="0.25">
      <c r="A434" t="s">
        <v>99</v>
      </c>
      <c r="B434">
        <v>17</v>
      </c>
      <c r="C434" t="s">
        <v>1088</v>
      </c>
      <c r="D434" s="158">
        <v>45199</v>
      </c>
      <c r="E434">
        <v>599233</v>
      </c>
      <c r="F434">
        <v>9958381</v>
      </c>
      <c r="G434">
        <v>51715365</v>
      </c>
      <c r="H434" t="b">
        <v>0</v>
      </c>
      <c r="I434">
        <v>82</v>
      </c>
      <c r="J434" t="s">
        <v>1184</v>
      </c>
      <c r="K434">
        <v>216</v>
      </c>
      <c r="L434">
        <v>216</v>
      </c>
      <c r="M434">
        <v>1</v>
      </c>
      <c r="N434">
        <v>0</v>
      </c>
      <c r="O434">
        <v>216</v>
      </c>
      <c r="P434">
        <v>0</v>
      </c>
      <c r="Q434">
        <v>0</v>
      </c>
      <c r="R434">
        <v>0</v>
      </c>
      <c r="T434">
        <v>216</v>
      </c>
      <c r="U434">
        <v>0</v>
      </c>
      <c r="V434">
        <v>0</v>
      </c>
      <c r="W434">
        <v>0</v>
      </c>
      <c r="X434">
        <v>0</v>
      </c>
      <c r="Y434">
        <v>0</v>
      </c>
      <c r="Z434">
        <v>0</v>
      </c>
      <c r="AA434">
        <v>0</v>
      </c>
      <c r="AB434">
        <v>0</v>
      </c>
      <c r="AC434">
        <v>0</v>
      </c>
      <c r="AD434">
        <v>0</v>
      </c>
      <c r="AE434">
        <v>0</v>
      </c>
      <c r="AF434">
        <v>0</v>
      </c>
      <c r="AG434">
        <v>0</v>
      </c>
      <c r="AH434">
        <v>0</v>
      </c>
      <c r="AI434">
        <v>0</v>
      </c>
      <c r="AJ434">
        <v>0</v>
      </c>
      <c r="AK434">
        <v>0</v>
      </c>
      <c r="AL434">
        <v>0</v>
      </c>
      <c r="AM434">
        <v>0</v>
      </c>
      <c r="AN434">
        <v>216</v>
      </c>
      <c r="AP434" t="s">
        <v>1091</v>
      </c>
      <c r="AS434" t="s">
        <v>1185</v>
      </c>
      <c r="AV434" t="s">
        <v>1092</v>
      </c>
      <c r="AW434" t="s">
        <v>1092</v>
      </c>
      <c r="AX434">
        <v>0</v>
      </c>
      <c r="AY434">
        <v>0</v>
      </c>
      <c r="AZ434" t="s">
        <v>282</v>
      </c>
      <c r="BA434" t="s">
        <v>282</v>
      </c>
      <c r="BB434" t="s">
        <v>1186</v>
      </c>
      <c r="BC434">
        <v>3</v>
      </c>
    </row>
    <row r="435" spans="1:55" x14ac:dyDescent="0.25">
      <c r="A435" t="s">
        <v>99</v>
      </c>
      <c r="B435">
        <v>17</v>
      </c>
      <c r="C435" t="s">
        <v>1088</v>
      </c>
      <c r="D435" s="158">
        <v>45199</v>
      </c>
      <c r="E435">
        <v>619493</v>
      </c>
      <c r="F435">
        <v>10324633</v>
      </c>
      <c r="G435">
        <v>53666185</v>
      </c>
      <c r="H435" t="b">
        <v>0</v>
      </c>
      <c r="I435">
        <v>19</v>
      </c>
      <c r="J435" t="s">
        <v>1187</v>
      </c>
      <c r="K435">
        <v>216</v>
      </c>
      <c r="L435">
        <v>216</v>
      </c>
      <c r="M435">
        <v>1</v>
      </c>
      <c r="N435">
        <v>0</v>
      </c>
      <c r="O435">
        <v>16.54</v>
      </c>
      <c r="P435">
        <v>0</v>
      </c>
      <c r="Q435">
        <v>0</v>
      </c>
      <c r="R435">
        <v>0</v>
      </c>
      <c r="T435">
        <v>216</v>
      </c>
      <c r="U435">
        <v>0</v>
      </c>
      <c r="V435">
        <v>1</v>
      </c>
      <c r="W435">
        <v>148.88999999999999</v>
      </c>
      <c r="X435">
        <v>50.57</v>
      </c>
      <c r="Y435">
        <v>0</v>
      </c>
      <c r="Z435">
        <v>0</v>
      </c>
      <c r="AA435">
        <v>0</v>
      </c>
      <c r="AB435">
        <v>0</v>
      </c>
      <c r="AC435">
        <v>0</v>
      </c>
      <c r="AD435">
        <v>0</v>
      </c>
      <c r="AE435">
        <v>0</v>
      </c>
      <c r="AF435">
        <v>0</v>
      </c>
      <c r="AG435">
        <v>0</v>
      </c>
      <c r="AH435">
        <v>0</v>
      </c>
      <c r="AI435">
        <v>0</v>
      </c>
      <c r="AJ435">
        <v>0</v>
      </c>
      <c r="AK435">
        <v>0</v>
      </c>
      <c r="AL435">
        <v>0</v>
      </c>
      <c r="AM435">
        <v>0</v>
      </c>
      <c r="AN435">
        <v>16.54</v>
      </c>
      <c r="AP435" t="s">
        <v>1091</v>
      </c>
      <c r="AS435" t="s">
        <v>1185</v>
      </c>
      <c r="AV435" t="s">
        <v>1092</v>
      </c>
      <c r="AW435" t="s">
        <v>1092</v>
      </c>
      <c r="AX435">
        <v>0</v>
      </c>
      <c r="AY435">
        <v>0</v>
      </c>
      <c r="AZ435" t="s">
        <v>282</v>
      </c>
      <c r="BA435" t="s">
        <v>282</v>
      </c>
      <c r="BB435" t="s">
        <v>1197</v>
      </c>
      <c r="BC435">
        <v>1</v>
      </c>
    </row>
    <row r="436" spans="1:55" x14ac:dyDescent="0.25">
      <c r="A436" t="s">
        <v>99</v>
      </c>
      <c r="B436">
        <v>17</v>
      </c>
      <c r="C436" t="s">
        <v>1088</v>
      </c>
      <c r="D436" s="158">
        <v>45199</v>
      </c>
      <c r="E436">
        <v>425731</v>
      </c>
      <c r="F436">
        <v>9938282</v>
      </c>
      <c r="G436">
        <v>51067998</v>
      </c>
      <c r="H436" t="b">
        <v>0</v>
      </c>
      <c r="I436">
        <v>102</v>
      </c>
      <c r="J436" t="s">
        <v>1192</v>
      </c>
      <c r="K436">
        <v>15</v>
      </c>
      <c r="L436">
        <v>15</v>
      </c>
      <c r="M436">
        <v>1</v>
      </c>
      <c r="N436">
        <v>15</v>
      </c>
      <c r="O436">
        <v>0</v>
      </c>
      <c r="P436">
        <v>0</v>
      </c>
      <c r="Q436">
        <v>0</v>
      </c>
      <c r="R436">
        <v>0</v>
      </c>
      <c r="T436">
        <v>0</v>
      </c>
      <c r="U436">
        <v>0</v>
      </c>
      <c r="V436">
        <v>0</v>
      </c>
      <c r="W436">
        <v>0</v>
      </c>
      <c r="X436">
        <v>0</v>
      </c>
      <c r="Y436">
        <v>0</v>
      </c>
      <c r="Z436">
        <v>0</v>
      </c>
      <c r="AA436">
        <v>0</v>
      </c>
      <c r="AB436">
        <v>0</v>
      </c>
      <c r="AC436">
        <v>0</v>
      </c>
      <c r="AD436">
        <v>0</v>
      </c>
      <c r="AE436">
        <v>0</v>
      </c>
      <c r="AF436">
        <v>0</v>
      </c>
      <c r="AG436">
        <v>0</v>
      </c>
      <c r="AH436">
        <v>0</v>
      </c>
      <c r="AI436">
        <v>0</v>
      </c>
      <c r="AJ436">
        <v>0</v>
      </c>
      <c r="AK436">
        <v>0</v>
      </c>
      <c r="AL436">
        <v>0</v>
      </c>
      <c r="AM436">
        <v>0</v>
      </c>
      <c r="AN436">
        <v>15</v>
      </c>
      <c r="AV436" t="s">
        <v>1092</v>
      </c>
      <c r="AW436" t="s">
        <v>1092</v>
      </c>
      <c r="AX436">
        <v>0</v>
      </c>
      <c r="AY436">
        <v>0</v>
      </c>
      <c r="AZ436" t="s">
        <v>282</v>
      </c>
      <c r="BA436" t="s">
        <v>282</v>
      </c>
      <c r="BB436" t="s">
        <v>1207</v>
      </c>
      <c r="BC436">
        <v>4</v>
      </c>
    </row>
    <row r="437" spans="1:55" x14ac:dyDescent="0.25">
      <c r="A437" t="s">
        <v>99</v>
      </c>
      <c r="B437">
        <v>17</v>
      </c>
      <c r="C437" t="s">
        <v>1088</v>
      </c>
      <c r="D437" s="158">
        <v>45199</v>
      </c>
      <c r="E437">
        <v>120152</v>
      </c>
      <c r="F437">
        <v>10417211</v>
      </c>
      <c r="G437">
        <v>54097925</v>
      </c>
      <c r="H437" t="b">
        <v>0</v>
      </c>
      <c r="I437">
        <v>5</v>
      </c>
      <c r="J437" t="s">
        <v>1184</v>
      </c>
      <c r="K437">
        <v>216</v>
      </c>
      <c r="L437">
        <v>216</v>
      </c>
      <c r="M437">
        <v>1</v>
      </c>
      <c r="N437">
        <v>216</v>
      </c>
      <c r="O437">
        <v>0</v>
      </c>
      <c r="P437">
        <v>0</v>
      </c>
      <c r="Q437">
        <v>0</v>
      </c>
      <c r="R437">
        <v>0</v>
      </c>
      <c r="T437">
        <v>0</v>
      </c>
      <c r="U437">
        <v>0</v>
      </c>
      <c r="V437">
        <v>0</v>
      </c>
      <c r="W437">
        <v>0</v>
      </c>
      <c r="X437">
        <v>0</v>
      </c>
      <c r="Y437">
        <v>0</v>
      </c>
      <c r="Z437">
        <v>0</v>
      </c>
      <c r="AA437">
        <v>0</v>
      </c>
      <c r="AB437">
        <v>0</v>
      </c>
      <c r="AC437">
        <v>0</v>
      </c>
      <c r="AD437">
        <v>0</v>
      </c>
      <c r="AE437">
        <v>0</v>
      </c>
      <c r="AF437">
        <v>0</v>
      </c>
      <c r="AG437">
        <v>0</v>
      </c>
      <c r="AH437">
        <v>0</v>
      </c>
      <c r="AI437">
        <v>0</v>
      </c>
      <c r="AJ437">
        <v>0</v>
      </c>
      <c r="AK437">
        <v>0</v>
      </c>
      <c r="AL437">
        <v>0</v>
      </c>
      <c r="AM437">
        <v>0</v>
      </c>
      <c r="AN437">
        <v>216</v>
      </c>
      <c r="AV437" t="s">
        <v>1092</v>
      </c>
      <c r="AW437" t="s">
        <v>1092</v>
      </c>
      <c r="AX437">
        <v>0</v>
      </c>
      <c r="AY437">
        <v>0</v>
      </c>
      <c r="AZ437" t="s">
        <v>282</v>
      </c>
      <c r="BA437" t="s">
        <v>282</v>
      </c>
      <c r="BB437" t="s">
        <v>1197</v>
      </c>
      <c r="BC437">
        <v>1</v>
      </c>
    </row>
    <row r="438" spans="1:55" x14ac:dyDescent="0.25">
      <c r="A438" t="s">
        <v>99</v>
      </c>
      <c r="B438">
        <v>17</v>
      </c>
      <c r="C438" t="s">
        <v>1088</v>
      </c>
      <c r="D438" s="158">
        <v>45199</v>
      </c>
      <c r="E438">
        <v>371938</v>
      </c>
      <c r="F438">
        <v>10216669</v>
      </c>
      <c r="G438">
        <v>52966156</v>
      </c>
      <c r="H438" t="b">
        <v>0</v>
      </c>
      <c r="I438">
        <v>43</v>
      </c>
      <c r="J438" t="s">
        <v>1184</v>
      </c>
      <c r="K438">
        <v>216</v>
      </c>
      <c r="L438">
        <v>216</v>
      </c>
      <c r="M438">
        <v>1</v>
      </c>
      <c r="N438">
        <v>0</v>
      </c>
      <c r="O438">
        <v>204.78</v>
      </c>
      <c r="P438">
        <v>0</v>
      </c>
      <c r="Q438">
        <v>0</v>
      </c>
      <c r="R438">
        <v>0</v>
      </c>
      <c r="T438">
        <v>216</v>
      </c>
      <c r="U438">
        <v>0</v>
      </c>
      <c r="V438">
        <v>0</v>
      </c>
      <c r="W438">
        <v>0</v>
      </c>
      <c r="X438">
        <v>11.22</v>
      </c>
      <c r="Y438">
        <v>0</v>
      </c>
      <c r="Z438">
        <v>0</v>
      </c>
      <c r="AA438">
        <v>0</v>
      </c>
      <c r="AB438">
        <v>0</v>
      </c>
      <c r="AC438">
        <v>0</v>
      </c>
      <c r="AD438">
        <v>0</v>
      </c>
      <c r="AE438">
        <v>0</v>
      </c>
      <c r="AF438">
        <v>0</v>
      </c>
      <c r="AG438">
        <v>0</v>
      </c>
      <c r="AH438">
        <v>0</v>
      </c>
      <c r="AI438">
        <v>0</v>
      </c>
      <c r="AJ438">
        <v>0</v>
      </c>
      <c r="AK438">
        <v>0</v>
      </c>
      <c r="AL438">
        <v>0</v>
      </c>
      <c r="AM438">
        <v>0</v>
      </c>
      <c r="AN438">
        <v>204.78</v>
      </c>
      <c r="AP438" t="s">
        <v>1091</v>
      </c>
      <c r="AS438" t="s">
        <v>1185</v>
      </c>
      <c r="AV438" t="s">
        <v>1092</v>
      </c>
      <c r="AW438" t="s">
        <v>1092</v>
      </c>
      <c r="AX438">
        <v>0</v>
      </c>
      <c r="AY438">
        <v>0</v>
      </c>
      <c r="AZ438" t="s">
        <v>282</v>
      </c>
      <c r="BA438" t="s">
        <v>282</v>
      </c>
      <c r="BB438" t="s">
        <v>1191</v>
      </c>
      <c r="BC438">
        <v>2</v>
      </c>
    </row>
    <row r="439" spans="1:55" x14ac:dyDescent="0.25">
      <c r="A439" t="s">
        <v>99</v>
      </c>
      <c r="B439">
        <v>17</v>
      </c>
      <c r="C439" t="s">
        <v>1088</v>
      </c>
      <c r="D439" s="158">
        <v>45199</v>
      </c>
      <c r="E439">
        <v>208037</v>
      </c>
      <c r="F439">
        <v>10245853</v>
      </c>
      <c r="G439">
        <v>53400516</v>
      </c>
      <c r="H439" t="b">
        <v>0</v>
      </c>
      <c r="I439">
        <v>30</v>
      </c>
      <c r="J439" t="s">
        <v>1187</v>
      </c>
      <c r="K439">
        <v>300</v>
      </c>
      <c r="L439">
        <v>150</v>
      </c>
      <c r="M439">
        <v>2</v>
      </c>
      <c r="N439">
        <v>300</v>
      </c>
      <c r="O439">
        <v>0</v>
      </c>
      <c r="P439">
        <v>0</v>
      </c>
      <c r="Q439">
        <v>225</v>
      </c>
      <c r="R439">
        <v>0</v>
      </c>
      <c r="T439">
        <v>0</v>
      </c>
      <c r="U439">
        <v>0</v>
      </c>
      <c r="V439">
        <v>0</v>
      </c>
      <c r="W439">
        <v>0</v>
      </c>
      <c r="X439">
        <v>0</v>
      </c>
      <c r="Y439">
        <v>0</v>
      </c>
      <c r="Z439">
        <v>0</v>
      </c>
      <c r="AA439">
        <v>0</v>
      </c>
      <c r="AB439">
        <v>0</v>
      </c>
      <c r="AC439">
        <v>0</v>
      </c>
      <c r="AD439">
        <v>0</v>
      </c>
      <c r="AE439">
        <v>0</v>
      </c>
      <c r="AF439">
        <v>0</v>
      </c>
      <c r="AG439">
        <v>0</v>
      </c>
      <c r="AH439">
        <v>0</v>
      </c>
      <c r="AI439">
        <v>0</v>
      </c>
      <c r="AJ439">
        <v>0</v>
      </c>
      <c r="AK439">
        <v>0</v>
      </c>
      <c r="AL439">
        <v>0</v>
      </c>
      <c r="AM439">
        <v>0</v>
      </c>
      <c r="AN439">
        <v>75</v>
      </c>
      <c r="AV439" t="s">
        <v>1092</v>
      </c>
      <c r="AW439" t="s">
        <v>1092</v>
      </c>
      <c r="AX439">
        <v>0</v>
      </c>
      <c r="AY439">
        <v>0</v>
      </c>
      <c r="AZ439" t="s">
        <v>282</v>
      </c>
      <c r="BA439" t="s">
        <v>282</v>
      </c>
      <c r="BB439" t="s">
        <v>1197</v>
      </c>
      <c r="BC439">
        <v>1</v>
      </c>
    </row>
    <row r="440" spans="1:55" x14ac:dyDescent="0.25">
      <c r="A440" t="s">
        <v>99</v>
      </c>
      <c r="B440">
        <v>17</v>
      </c>
      <c r="C440" t="s">
        <v>1088</v>
      </c>
      <c r="D440" s="158">
        <v>45199</v>
      </c>
      <c r="E440">
        <v>376317</v>
      </c>
      <c r="F440">
        <v>5642043</v>
      </c>
      <c r="G440">
        <v>28141254</v>
      </c>
      <c r="H440" t="b">
        <v>0</v>
      </c>
      <c r="I440">
        <v>1205</v>
      </c>
      <c r="J440" t="s">
        <v>1187</v>
      </c>
      <c r="K440">
        <v>216</v>
      </c>
      <c r="L440">
        <v>216</v>
      </c>
      <c r="M440">
        <v>1</v>
      </c>
      <c r="N440">
        <v>216</v>
      </c>
      <c r="O440">
        <v>0</v>
      </c>
      <c r="P440">
        <v>0</v>
      </c>
      <c r="Q440">
        <v>432</v>
      </c>
      <c r="R440">
        <v>0</v>
      </c>
      <c r="T440">
        <v>0</v>
      </c>
      <c r="U440">
        <v>0</v>
      </c>
      <c r="V440">
        <v>0</v>
      </c>
      <c r="W440">
        <v>0</v>
      </c>
      <c r="X440">
        <v>0</v>
      </c>
      <c r="Y440">
        <v>0</v>
      </c>
      <c r="Z440">
        <v>0</v>
      </c>
      <c r="AA440">
        <v>0</v>
      </c>
      <c r="AB440">
        <v>0</v>
      </c>
      <c r="AC440">
        <v>0</v>
      </c>
      <c r="AD440">
        <v>0</v>
      </c>
      <c r="AE440">
        <v>0</v>
      </c>
      <c r="AF440">
        <v>0</v>
      </c>
      <c r="AG440">
        <v>0</v>
      </c>
      <c r="AH440">
        <v>0</v>
      </c>
      <c r="AI440">
        <v>0</v>
      </c>
      <c r="AJ440">
        <v>0</v>
      </c>
      <c r="AK440">
        <v>0</v>
      </c>
      <c r="AL440">
        <v>0</v>
      </c>
      <c r="AM440">
        <v>0</v>
      </c>
      <c r="AN440">
        <v>-216</v>
      </c>
      <c r="AV440" t="s">
        <v>1092</v>
      </c>
      <c r="AW440" t="s">
        <v>1092</v>
      </c>
      <c r="AX440">
        <v>0</v>
      </c>
      <c r="AY440">
        <v>0</v>
      </c>
      <c r="AZ440" t="s">
        <v>282</v>
      </c>
      <c r="BA440" t="s">
        <v>282</v>
      </c>
      <c r="BB440" t="s">
        <v>1200</v>
      </c>
      <c r="BC440">
        <v>8</v>
      </c>
    </row>
    <row r="441" spans="1:55" x14ac:dyDescent="0.25">
      <c r="A441" t="s">
        <v>99</v>
      </c>
      <c r="B441">
        <v>17</v>
      </c>
      <c r="C441" t="s">
        <v>1088</v>
      </c>
      <c r="D441" s="158">
        <v>45199</v>
      </c>
      <c r="E441">
        <v>118518</v>
      </c>
      <c r="F441">
        <v>3319496</v>
      </c>
      <c r="G441">
        <v>14904714</v>
      </c>
      <c r="H441" t="b">
        <v>0</v>
      </c>
      <c r="I441">
        <v>2068</v>
      </c>
      <c r="J441" t="s">
        <v>1214</v>
      </c>
      <c r="K441">
        <v>3</v>
      </c>
      <c r="L441">
        <v>3</v>
      </c>
      <c r="M441">
        <v>1</v>
      </c>
      <c r="N441">
        <v>3</v>
      </c>
      <c r="O441">
        <v>0</v>
      </c>
      <c r="P441">
        <v>0</v>
      </c>
      <c r="Q441">
        <v>0</v>
      </c>
      <c r="R441">
        <v>0</v>
      </c>
      <c r="T441">
        <v>0</v>
      </c>
      <c r="U441">
        <v>0</v>
      </c>
      <c r="V441">
        <v>0</v>
      </c>
      <c r="W441">
        <v>0</v>
      </c>
      <c r="X441">
        <v>0</v>
      </c>
      <c r="Y441">
        <v>0</v>
      </c>
      <c r="Z441">
        <v>0</v>
      </c>
      <c r="AA441">
        <v>0</v>
      </c>
      <c r="AB441">
        <v>0</v>
      </c>
      <c r="AC441">
        <v>0</v>
      </c>
      <c r="AD441">
        <v>0</v>
      </c>
      <c r="AE441">
        <v>0</v>
      </c>
      <c r="AF441">
        <v>0</v>
      </c>
      <c r="AG441">
        <v>0</v>
      </c>
      <c r="AH441">
        <v>0</v>
      </c>
      <c r="AI441">
        <v>0</v>
      </c>
      <c r="AJ441">
        <v>0</v>
      </c>
      <c r="AK441">
        <v>0</v>
      </c>
      <c r="AL441">
        <v>0</v>
      </c>
      <c r="AM441">
        <v>0</v>
      </c>
      <c r="AN441">
        <v>3</v>
      </c>
      <c r="AV441" t="s">
        <v>1092</v>
      </c>
      <c r="AW441" t="s">
        <v>1092</v>
      </c>
      <c r="AX441">
        <v>0</v>
      </c>
      <c r="AY441">
        <v>0</v>
      </c>
      <c r="AZ441" t="s">
        <v>282</v>
      </c>
      <c r="BA441" t="s">
        <v>282</v>
      </c>
      <c r="BB441" t="s">
        <v>1200</v>
      </c>
      <c r="BC441">
        <v>8</v>
      </c>
    </row>
    <row r="442" spans="1:55" x14ac:dyDescent="0.25">
      <c r="A442" t="s">
        <v>99</v>
      </c>
      <c r="B442">
        <v>17</v>
      </c>
      <c r="C442" t="s">
        <v>1088</v>
      </c>
      <c r="D442" s="158">
        <v>45199</v>
      </c>
      <c r="E442">
        <v>574345</v>
      </c>
      <c r="F442">
        <v>9465859</v>
      </c>
      <c r="G442">
        <v>48374425</v>
      </c>
      <c r="H442" t="b">
        <v>0</v>
      </c>
      <c r="I442">
        <v>187</v>
      </c>
      <c r="J442" t="s">
        <v>1184</v>
      </c>
      <c r="K442">
        <v>216</v>
      </c>
      <c r="L442">
        <v>216</v>
      </c>
      <c r="M442">
        <v>1</v>
      </c>
      <c r="N442">
        <v>0</v>
      </c>
      <c r="O442">
        <v>204.78</v>
      </c>
      <c r="P442">
        <v>0</v>
      </c>
      <c r="Q442">
        <v>0</v>
      </c>
      <c r="R442">
        <v>0</v>
      </c>
      <c r="T442">
        <v>216</v>
      </c>
      <c r="U442">
        <v>0</v>
      </c>
      <c r="V442">
        <v>0</v>
      </c>
      <c r="W442">
        <v>0</v>
      </c>
      <c r="X442">
        <v>11.22</v>
      </c>
      <c r="Y442">
        <v>0</v>
      </c>
      <c r="Z442">
        <v>0</v>
      </c>
      <c r="AA442">
        <v>0</v>
      </c>
      <c r="AB442">
        <v>0</v>
      </c>
      <c r="AC442">
        <v>0</v>
      </c>
      <c r="AD442">
        <v>0</v>
      </c>
      <c r="AE442">
        <v>0</v>
      </c>
      <c r="AF442">
        <v>0</v>
      </c>
      <c r="AG442">
        <v>0</v>
      </c>
      <c r="AH442">
        <v>0</v>
      </c>
      <c r="AI442">
        <v>0</v>
      </c>
      <c r="AJ442">
        <v>0</v>
      </c>
      <c r="AK442">
        <v>0</v>
      </c>
      <c r="AL442">
        <v>0</v>
      </c>
      <c r="AM442">
        <v>0</v>
      </c>
      <c r="AN442">
        <v>204.78</v>
      </c>
      <c r="AP442" t="s">
        <v>1091</v>
      </c>
      <c r="AS442" t="s">
        <v>1188</v>
      </c>
      <c r="AV442" t="s">
        <v>1092</v>
      </c>
      <c r="AW442" t="s">
        <v>1092</v>
      </c>
      <c r="AX442">
        <v>0</v>
      </c>
      <c r="AY442">
        <v>0</v>
      </c>
      <c r="AZ442" t="s">
        <v>282</v>
      </c>
      <c r="BA442" t="s">
        <v>282</v>
      </c>
      <c r="BB442" t="s">
        <v>1204</v>
      </c>
      <c r="BC442">
        <v>7</v>
      </c>
    </row>
    <row r="443" spans="1:55" x14ac:dyDescent="0.25">
      <c r="A443" t="s">
        <v>99</v>
      </c>
      <c r="B443">
        <v>17</v>
      </c>
      <c r="C443" t="s">
        <v>1088</v>
      </c>
      <c r="D443" s="158">
        <v>45199</v>
      </c>
      <c r="E443">
        <v>617865</v>
      </c>
      <c r="F443">
        <v>10293954</v>
      </c>
      <c r="G443">
        <v>53305402</v>
      </c>
      <c r="H443" t="b">
        <v>0</v>
      </c>
      <c r="I443">
        <v>32</v>
      </c>
      <c r="J443" t="s">
        <v>1187</v>
      </c>
      <c r="K443">
        <v>216</v>
      </c>
      <c r="L443">
        <v>216</v>
      </c>
      <c r="M443">
        <v>1</v>
      </c>
      <c r="N443">
        <v>0</v>
      </c>
      <c r="O443">
        <v>216</v>
      </c>
      <c r="P443">
        <v>0</v>
      </c>
      <c r="Q443">
        <v>0</v>
      </c>
      <c r="R443">
        <v>0</v>
      </c>
      <c r="T443">
        <v>216</v>
      </c>
      <c r="U443">
        <v>0</v>
      </c>
      <c r="V443">
        <v>0</v>
      </c>
      <c r="W443">
        <v>0</v>
      </c>
      <c r="X443">
        <v>0</v>
      </c>
      <c r="Y443">
        <v>0</v>
      </c>
      <c r="Z443">
        <v>0</v>
      </c>
      <c r="AA443">
        <v>0</v>
      </c>
      <c r="AB443">
        <v>0</v>
      </c>
      <c r="AC443">
        <v>0</v>
      </c>
      <c r="AD443">
        <v>0</v>
      </c>
      <c r="AE443">
        <v>0</v>
      </c>
      <c r="AF443">
        <v>0</v>
      </c>
      <c r="AG443">
        <v>0</v>
      </c>
      <c r="AH443">
        <v>0</v>
      </c>
      <c r="AI443">
        <v>0</v>
      </c>
      <c r="AJ443">
        <v>0</v>
      </c>
      <c r="AK443">
        <v>0</v>
      </c>
      <c r="AL443">
        <v>0</v>
      </c>
      <c r="AM443">
        <v>0</v>
      </c>
      <c r="AN443">
        <v>216</v>
      </c>
      <c r="AP443" t="s">
        <v>1091</v>
      </c>
      <c r="AS443" t="s">
        <v>1188</v>
      </c>
      <c r="AV443" t="s">
        <v>1092</v>
      </c>
      <c r="AW443" t="s">
        <v>1092</v>
      </c>
      <c r="AX443">
        <v>0</v>
      </c>
      <c r="AY443">
        <v>0</v>
      </c>
      <c r="AZ443" t="s">
        <v>282</v>
      </c>
      <c r="BA443" t="s">
        <v>282</v>
      </c>
      <c r="BB443" t="s">
        <v>1191</v>
      </c>
      <c r="BC443">
        <v>2</v>
      </c>
    </row>
    <row r="444" spans="1:55" x14ac:dyDescent="0.25">
      <c r="A444" t="s">
        <v>99</v>
      </c>
      <c r="B444">
        <v>17</v>
      </c>
      <c r="C444" t="s">
        <v>1088</v>
      </c>
      <c r="D444" s="158">
        <v>45199</v>
      </c>
      <c r="E444">
        <v>623638</v>
      </c>
      <c r="F444">
        <v>10402670</v>
      </c>
      <c r="G444">
        <v>54103805</v>
      </c>
      <c r="H444" t="b">
        <v>0</v>
      </c>
      <c r="I444">
        <v>5</v>
      </c>
      <c r="J444" t="s">
        <v>1187</v>
      </c>
      <c r="K444">
        <v>216</v>
      </c>
      <c r="L444">
        <v>216</v>
      </c>
      <c r="M444">
        <v>1</v>
      </c>
      <c r="N444">
        <v>216</v>
      </c>
      <c r="O444">
        <v>0</v>
      </c>
      <c r="P444">
        <v>0</v>
      </c>
      <c r="Q444">
        <v>0</v>
      </c>
      <c r="R444">
        <v>0</v>
      </c>
      <c r="T444">
        <v>0</v>
      </c>
      <c r="U444">
        <v>0</v>
      </c>
      <c r="V444">
        <v>0</v>
      </c>
      <c r="W444">
        <v>0</v>
      </c>
      <c r="X444">
        <v>0</v>
      </c>
      <c r="Y444">
        <v>0</v>
      </c>
      <c r="Z444">
        <v>0</v>
      </c>
      <c r="AA444">
        <v>0</v>
      </c>
      <c r="AB444">
        <v>0</v>
      </c>
      <c r="AC444">
        <v>0</v>
      </c>
      <c r="AD444">
        <v>0</v>
      </c>
      <c r="AE444">
        <v>0</v>
      </c>
      <c r="AF444">
        <v>0</v>
      </c>
      <c r="AG444">
        <v>0</v>
      </c>
      <c r="AH444">
        <v>0</v>
      </c>
      <c r="AI444">
        <v>0</v>
      </c>
      <c r="AJ444">
        <v>0</v>
      </c>
      <c r="AK444">
        <v>0</v>
      </c>
      <c r="AL444">
        <v>0</v>
      </c>
      <c r="AM444">
        <v>0</v>
      </c>
      <c r="AN444">
        <v>216</v>
      </c>
      <c r="AV444" t="s">
        <v>1092</v>
      </c>
      <c r="AW444" t="s">
        <v>1092</v>
      </c>
      <c r="AX444">
        <v>0</v>
      </c>
      <c r="AY444">
        <v>0</v>
      </c>
      <c r="AZ444" t="s">
        <v>282</v>
      </c>
      <c r="BA444" t="s">
        <v>282</v>
      </c>
      <c r="BB444" t="s">
        <v>1197</v>
      </c>
      <c r="BC444">
        <v>1</v>
      </c>
    </row>
    <row r="445" spans="1:55" x14ac:dyDescent="0.25">
      <c r="A445" t="s">
        <v>99</v>
      </c>
      <c r="B445">
        <v>17</v>
      </c>
      <c r="C445" t="s">
        <v>1088</v>
      </c>
      <c r="D445" s="158">
        <v>45199</v>
      </c>
      <c r="E445">
        <v>163699</v>
      </c>
      <c r="F445">
        <v>10416468</v>
      </c>
      <c r="G445">
        <v>54107249</v>
      </c>
      <c r="H445" t="b">
        <v>0</v>
      </c>
      <c r="I445">
        <v>5</v>
      </c>
      <c r="J445" t="s">
        <v>1187</v>
      </c>
      <c r="K445">
        <v>150</v>
      </c>
      <c r="L445">
        <v>150</v>
      </c>
      <c r="M445">
        <v>1</v>
      </c>
      <c r="N445">
        <v>150</v>
      </c>
      <c r="O445">
        <v>0</v>
      </c>
      <c r="P445">
        <v>0</v>
      </c>
      <c r="Q445">
        <v>0</v>
      </c>
      <c r="R445">
        <v>0</v>
      </c>
      <c r="T445">
        <v>0</v>
      </c>
      <c r="U445">
        <v>0</v>
      </c>
      <c r="V445">
        <v>0</v>
      </c>
      <c r="W445">
        <v>0</v>
      </c>
      <c r="X445">
        <v>0</v>
      </c>
      <c r="Y445">
        <v>0</v>
      </c>
      <c r="Z445">
        <v>0</v>
      </c>
      <c r="AA445">
        <v>0</v>
      </c>
      <c r="AB445">
        <v>0</v>
      </c>
      <c r="AC445">
        <v>0</v>
      </c>
      <c r="AD445">
        <v>0</v>
      </c>
      <c r="AE445">
        <v>0</v>
      </c>
      <c r="AF445">
        <v>0</v>
      </c>
      <c r="AG445">
        <v>0</v>
      </c>
      <c r="AH445">
        <v>0</v>
      </c>
      <c r="AI445">
        <v>0</v>
      </c>
      <c r="AJ445">
        <v>0</v>
      </c>
      <c r="AK445">
        <v>0</v>
      </c>
      <c r="AL445">
        <v>0</v>
      </c>
      <c r="AM445">
        <v>0</v>
      </c>
      <c r="AN445">
        <v>150</v>
      </c>
      <c r="AV445" t="s">
        <v>1092</v>
      </c>
      <c r="AW445" t="s">
        <v>1092</v>
      </c>
      <c r="AX445">
        <v>0</v>
      </c>
      <c r="AY445">
        <v>0</v>
      </c>
      <c r="AZ445" t="s">
        <v>282</v>
      </c>
      <c r="BA445" t="s">
        <v>282</v>
      </c>
      <c r="BB445" t="s">
        <v>1197</v>
      </c>
      <c r="BC445">
        <v>1</v>
      </c>
    </row>
    <row r="446" spans="1:55" x14ac:dyDescent="0.25">
      <c r="A446" t="s">
        <v>99</v>
      </c>
      <c r="B446">
        <v>17</v>
      </c>
      <c r="C446" t="s">
        <v>1088</v>
      </c>
      <c r="D446" s="158">
        <v>45199</v>
      </c>
      <c r="E446">
        <v>155558</v>
      </c>
      <c r="F446">
        <v>10213979</v>
      </c>
      <c r="G446">
        <v>53293966</v>
      </c>
      <c r="H446" t="b">
        <v>0</v>
      </c>
      <c r="I446">
        <v>36</v>
      </c>
      <c r="J446" t="s">
        <v>1184</v>
      </c>
      <c r="K446">
        <v>216</v>
      </c>
      <c r="L446">
        <v>216</v>
      </c>
      <c r="M446">
        <v>1</v>
      </c>
      <c r="N446">
        <v>216</v>
      </c>
      <c r="O446">
        <v>0</v>
      </c>
      <c r="P446">
        <v>0</v>
      </c>
      <c r="Q446">
        <v>0</v>
      </c>
      <c r="R446">
        <v>0</v>
      </c>
      <c r="T446">
        <v>0</v>
      </c>
      <c r="U446">
        <v>0</v>
      </c>
      <c r="V446">
        <v>0</v>
      </c>
      <c r="W446">
        <v>0</v>
      </c>
      <c r="X446">
        <v>0</v>
      </c>
      <c r="Y446">
        <v>0</v>
      </c>
      <c r="Z446">
        <v>0</v>
      </c>
      <c r="AA446">
        <v>0</v>
      </c>
      <c r="AB446">
        <v>0</v>
      </c>
      <c r="AC446">
        <v>0</v>
      </c>
      <c r="AD446">
        <v>0</v>
      </c>
      <c r="AE446">
        <v>0</v>
      </c>
      <c r="AF446">
        <v>0</v>
      </c>
      <c r="AG446">
        <v>0</v>
      </c>
      <c r="AH446">
        <v>0</v>
      </c>
      <c r="AI446">
        <v>0</v>
      </c>
      <c r="AJ446">
        <v>0</v>
      </c>
      <c r="AK446">
        <v>0</v>
      </c>
      <c r="AL446">
        <v>0</v>
      </c>
      <c r="AM446">
        <v>0</v>
      </c>
      <c r="AN446">
        <v>216</v>
      </c>
      <c r="AV446" t="s">
        <v>1092</v>
      </c>
      <c r="AW446" t="s">
        <v>1092</v>
      </c>
      <c r="AX446">
        <v>0</v>
      </c>
      <c r="AY446">
        <v>0</v>
      </c>
      <c r="AZ446" t="s">
        <v>282</v>
      </c>
      <c r="BA446" t="s">
        <v>282</v>
      </c>
      <c r="BB446" t="s">
        <v>1191</v>
      </c>
      <c r="BC446">
        <v>2</v>
      </c>
    </row>
    <row r="447" spans="1:55" x14ac:dyDescent="0.25">
      <c r="A447" t="s">
        <v>99</v>
      </c>
      <c r="B447">
        <v>17</v>
      </c>
      <c r="C447" t="s">
        <v>1088</v>
      </c>
      <c r="D447" s="158">
        <v>45199</v>
      </c>
      <c r="E447">
        <v>624160</v>
      </c>
      <c r="F447">
        <v>10412639</v>
      </c>
      <c r="G447">
        <v>54248803</v>
      </c>
      <c r="H447" t="b">
        <v>0</v>
      </c>
      <c r="I447">
        <v>2</v>
      </c>
      <c r="J447" t="s">
        <v>1184</v>
      </c>
      <c r="K447">
        <v>216</v>
      </c>
      <c r="L447">
        <v>216</v>
      </c>
      <c r="M447">
        <v>1</v>
      </c>
      <c r="N447">
        <v>216</v>
      </c>
      <c r="O447">
        <v>0</v>
      </c>
      <c r="P447">
        <v>0</v>
      </c>
      <c r="Q447">
        <v>200</v>
      </c>
      <c r="R447">
        <v>0</v>
      </c>
      <c r="T447">
        <v>0</v>
      </c>
      <c r="U447">
        <v>0</v>
      </c>
      <c r="V447">
        <v>0</v>
      </c>
      <c r="W447">
        <v>0</v>
      </c>
      <c r="X447">
        <v>0</v>
      </c>
      <c r="Y447">
        <v>0</v>
      </c>
      <c r="Z447">
        <v>0</v>
      </c>
      <c r="AA447">
        <v>0</v>
      </c>
      <c r="AB447">
        <v>0</v>
      </c>
      <c r="AC447">
        <v>0</v>
      </c>
      <c r="AD447">
        <v>0</v>
      </c>
      <c r="AE447">
        <v>0</v>
      </c>
      <c r="AF447">
        <v>0</v>
      </c>
      <c r="AG447">
        <v>0</v>
      </c>
      <c r="AH447">
        <v>0</v>
      </c>
      <c r="AI447">
        <v>0</v>
      </c>
      <c r="AJ447">
        <v>0</v>
      </c>
      <c r="AK447">
        <v>0</v>
      </c>
      <c r="AL447">
        <v>0</v>
      </c>
      <c r="AM447">
        <v>0</v>
      </c>
      <c r="AN447">
        <v>16</v>
      </c>
      <c r="AV447" t="s">
        <v>1092</v>
      </c>
      <c r="AW447" t="s">
        <v>1092</v>
      </c>
      <c r="AX447">
        <v>0</v>
      </c>
      <c r="AY447">
        <v>0</v>
      </c>
      <c r="AZ447" t="s">
        <v>282</v>
      </c>
      <c r="BA447" t="s">
        <v>282</v>
      </c>
      <c r="BB447" t="s">
        <v>1197</v>
      </c>
      <c r="BC447">
        <v>1</v>
      </c>
    </row>
    <row r="448" spans="1:55" x14ac:dyDescent="0.25">
      <c r="A448" t="s">
        <v>99</v>
      </c>
      <c r="B448">
        <v>17</v>
      </c>
      <c r="C448" t="s">
        <v>1088</v>
      </c>
      <c r="D448" s="158">
        <v>45199</v>
      </c>
      <c r="E448">
        <v>205253</v>
      </c>
      <c r="F448">
        <v>3967063</v>
      </c>
      <c r="G448">
        <v>17697614</v>
      </c>
      <c r="H448" t="b">
        <v>0</v>
      </c>
      <c r="I448">
        <v>1837</v>
      </c>
      <c r="J448" t="s">
        <v>1184</v>
      </c>
      <c r="K448">
        <v>150</v>
      </c>
      <c r="L448">
        <v>150</v>
      </c>
      <c r="M448">
        <v>1</v>
      </c>
      <c r="N448">
        <v>150</v>
      </c>
      <c r="O448">
        <v>0</v>
      </c>
      <c r="P448">
        <v>0</v>
      </c>
      <c r="Q448">
        <v>0</v>
      </c>
      <c r="R448">
        <v>30</v>
      </c>
      <c r="T448">
        <v>0</v>
      </c>
      <c r="U448">
        <v>0</v>
      </c>
      <c r="V448">
        <v>0</v>
      </c>
      <c r="W448">
        <v>0</v>
      </c>
      <c r="X448">
        <v>0</v>
      </c>
      <c r="Y448">
        <v>0</v>
      </c>
      <c r="Z448">
        <v>0</v>
      </c>
      <c r="AA448">
        <v>0</v>
      </c>
      <c r="AB448">
        <v>0</v>
      </c>
      <c r="AC448">
        <v>0</v>
      </c>
      <c r="AD448">
        <v>0</v>
      </c>
      <c r="AE448">
        <v>0</v>
      </c>
      <c r="AF448">
        <v>0</v>
      </c>
      <c r="AG448">
        <v>0</v>
      </c>
      <c r="AH448">
        <v>0</v>
      </c>
      <c r="AI448">
        <v>0</v>
      </c>
      <c r="AJ448">
        <v>0</v>
      </c>
      <c r="AK448">
        <v>0</v>
      </c>
      <c r="AL448">
        <v>0</v>
      </c>
      <c r="AM448">
        <v>0</v>
      </c>
      <c r="AN448">
        <v>-30</v>
      </c>
      <c r="AV448" t="s">
        <v>1092</v>
      </c>
      <c r="AW448" t="s">
        <v>1092</v>
      </c>
      <c r="AX448">
        <v>0</v>
      </c>
      <c r="AY448">
        <v>150</v>
      </c>
      <c r="AZ448" t="s">
        <v>282</v>
      </c>
      <c r="BA448" t="s">
        <v>282</v>
      </c>
      <c r="BB448" t="s">
        <v>1200</v>
      </c>
      <c r="BC448">
        <v>8</v>
      </c>
    </row>
    <row r="449" spans="1:55" x14ac:dyDescent="0.25">
      <c r="A449" t="s">
        <v>99</v>
      </c>
      <c r="B449">
        <v>17</v>
      </c>
      <c r="C449" t="s">
        <v>1088</v>
      </c>
      <c r="D449" s="158">
        <v>45199</v>
      </c>
      <c r="E449">
        <v>547791</v>
      </c>
      <c r="F449">
        <v>8936575</v>
      </c>
      <c r="G449">
        <v>45480552</v>
      </c>
      <c r="H449" t="b">
        <v>0</v>
      </c>
      <c r="I449">
        <v>291</v>
      </c>
      <c r="J449" t="s">
        <v>1187</v>
      </c>
      <c r="K449">
        <v>216</v>
      </c>
      <c r="L449">
        <v>216</v>
      </c>
      <c r="M449">
        <v>1</v>
      </c>
      <c r="N449">
        <v>216</v>
      </c>
      <c r="O449">
        <v>0</v>
      </c>
      <c r="P449">
        <v>0</v>
      </c>
      <c r="Q449">
        <v>200</v>
      </c>
      <c r="R449">
        <v>0</v>
      </c>
      <c r="T449">
        <v>0</v>
      </c>
      <c r="U449">
        <v>0</v>
      </c>
      <c r="V449">
        <v>0</v>
      </c>
      <c r="W449">
        <v>0</v>
      </c>
      <c r="X449">
        <v>0</v>
      </c>
      <c r="Y449">
        <v>0</v>
      </c>
      <c r="Z449">
        <v>0</v>
      </c>
      <c r="AA449">
        <v>0</v>
      </c>
      <c r="AB449">
        <v>0</v>
      </c>
      <c r="AC449">
        <v>0</v>
      </c>
      <c r="AD449">
        <v>0</v>
      </c>
      <c r="AE449">
        <v>0</v>
      </c>
      <c r="AF449">
        <v>0</v>
      </c>
      <c r="AG449">
        <v>0</v>
      </c>
      <c r="AH449">
        <v>0</v>
      </c>
      <c r="AI449">
        <v>0</v>
      </c>
      <c r="AJ449">
        <v>0</v>
      </c>
      <c r="AK449">
        <v>0</v>
      </c>
      <c r="AL449">
        <v>0</v>
      </c>
      <c r="AM449">
        <v>0</v>
      </c>
      <c r="AN449">
        <v>16</v>
      </c>
      <c r="AV449" t="s">
        <v>1092</v>
      </c>
      <c r="AW449" t="s">
        <v>1092</v>
      </c>
      <c r="AX449">
        <v>0</v>
      </c>
      <c r="AY449">
        <v>0</v>
      </c>
      <c r="AZ449" t="s">
        <v>282</v>
      </c>
      <c r="BA449" t="s">
        <v>282</v>
      </c>
      <c r="BB449" t="s">
        <v>1204</v>
      </c>
      <c r="BC449">
        <v>7</v>
      </c>
    </row>
    <row r="450" spans="1:55" x14ac:dyDescent="0.25">
      <c r="A450" t="s">
        <v>99</v>
      </c>
      <c r="B450">
        <v>17</v>
      </c>
      <c r="C450" t="s">
        <v>1088</v>
      </c>
      <c r="D450" s="158">
        <v>45199</v>
      </c>
      <c r="E450">
        <v>607142</v>
      </c>
      <c r="F450">
        <v>10084710</v>
      </c>
      <c r="G450">
        <v>52564651</v>
      </c>
      <c r="H450" t="b">
        <v>0</v>
      </c>
      <c r="I450">
        <v>54</v>
      </c>
      <c r="J450" t="s">
        <v>1187</v>
      </c>
      <c r="K450">
        <v>216</v>
      </c>
      <c r="L450">
        <v>216</v>
      </c>
      <c r="M450">
        <v>1</v>
      </c>
      <c r="N450">
        <v>216</v>
      </c>
      <c r="O450">
        <v>0</v>
      </c>
      <c r="P450">
        <v>0</v>
      </c>
      <c r="Q450">
        <v>100</v>
      </c>
      <c r="R450">
        <v>0</v>
      </c>
      <c r="T450">
        <v>0</v>
      </c>
      <c r="U450">
        <v>0</v>
      </c>
      <c r="V450">
        <v>0</v>
      </c>
      <c r="W450">
        <v>0</v>
      </c>
      <c r="X450">
        <v>0</v>
      </c>
      <c r="Y450">
        <v>0</v>
      </c>
      <c r="Z450">
        <v>0</v>
      </c>
      <c r="AA450">
        <v>0</v>
      </c>
      <c r="AB450">
        <v>0</v>
      </c>
      <c r="AC450">
        <v>0</v>
      </c>
      <c r="AD450">
        <v>0</v>
      </c>
      <c r="AE450">
        <v>0</v>
      </c>
      <c r="AF450">
        <v>0</v>
      </c>
      <c r="AG450">
        <v>0</v>
      </c>
      <c r="AH450">
        <v>0</v>
      </c>
      <c r="AI450">
        <v>0</v>
      </c>
      <c r="AJ450">
        <v>0</v>
      </c>
      <c r="AK450">
        <v>0</v>
      </c>
      <c r="AL450">
        <v>0</v>
      </c>
      <c r="AM450">
        <v>0</v>
      </c>
      <c r="AN450">
        <v>116</v>
      </c>
      <c r="AV450" t="s">
        <v>1092</v>
      </c>
      <c r="AW450" t="s">
        <v>1092</v>
      </c>
      <c r="AX450">
        <v>0</v>
      </c>
      <c r="AY450">
        <v>0</v>
      </c>
      <c r="AZ450" t="s">
        <v>282</v>
      </c>
      <c r="BA450" t="s">
        <v>282</v>
      </c>
      <c r="BB450" t="s">
        <v>1191</v>
      </c>
      <c r="BC450">
        <v>2</v>
      </c>
    </row>
    <row r="451" spans="1:55" x14ac:dyDescent="0.25">
      <c r="A451" t="s">
        <v>99</v>
      </c>
      <c r="B451">
        <v>17</v>
      </c>
      <c r="C451" t="s">
        <v>1088</v>
      </c>
      <c r="D451" s="158">
        <v>45199</v>
      </c>
      <c r="E451">
        <v>607142</v>
      </c>
      <c r="F451">
        <v>10084710</v>
      </c>
      <c r="G451">
        <v>52564687</v>
      </c>
      <c r="H451" t="b">
        <v>0</v>
      </c>
      <c r="I451">
        <v>54</v>
      </c>
      <c r="J451" t="s">
        <v>1187</v>
      </c>
      <c r="K451">
        <v>216</v>
      </c>
      <c r="L451">
        <v>216</v>
      </c>
      <c r="M451">
        <v>1</v>
      </c>
      <c r="N451">
        <v>216</v>
      </c>
      <c r="O451">
        <v>0</v>
      </c>
      <c r="P451">
        <v>0</v>
      </c>
      <c r="Q451">
        <v>0</v>
      </c>
      <c r="R451">
        <v>0</v>
      </c>
      <c r="T451">
        <v>0</v>
      </c>
      <c r="U451">
        <v>0</v>
      </c>
      <c r="V451">
        <v>0</v>
      </c>
      <c r="W451">
        <v>0</v>
      </c>
      <c r="X451">
        <v>0</v>
      </c>
      <c r="Y451">
        <v>0</v>
      </c>
      <c r="Z451">
        <v>0</v>
      </c>
      <c r="AA451">
        <v>0</v>
      </c>
      <c r="AB451">
        <v>0</v>
      </c>
      <c r="AC451">
        <v>0</v>
      </c>
      <c r="AD451">
        <v>0</v>
      </c>
      <c r="AE451">
        <v>0</v>
      </c>
      <c r="AF451">
        <v>0</v>
      </c>
      <c r="AG451">
        <v>0</v>
      </c>
      <c r="AH451">
        <v>0</v>
      </c>
      <c r="AI451">
        <v>0</v>
      </c>
      <c r="AJ451">
        <v>0</v>
      </c>
      <c r="AK451">
        <v>0</v>
      </c>
      <c r="AL451">
        <v>0</v>
      </c>
      <c r="AM451">
        <v>0</v>
      </c>
      <c r="AN451">
        <v>216</v>
      </c>
      <c r="AV451" t="s">
        <v>1092</v>
      </c>
      <c r="AW451" t="s">
        <v>1092</v>
      </c>
      <c r="AX451">
        <v>0</v>
      </c>
      <c r="AY451">
        <v>0</v>
      </c>
      <c r="AZ451" t="s">
        <v>282</v>
      </c>
      <c r="BA451" t="s">
        <v>282</v>
      </c>
      <c r="BB451" t="s">
        <v>1191</v>
      </c>
      <c r="BC451">
        <v>2</v>
      </c>
    </row>
    <row r="452" spans="1:55" x14ac:dyDescent="0.25">
      <c r="A452" t="s">
        <v>102</v>
      </c>
      <c r="B452">
        <v>17</v>
      </c>
      <c r="C452" t="s">
        <v>1088</v>
      </c>
      <c r="D452" s="158">
        <v>45199</v>
      </c>
      <c r="E452">
        <v>311952</v>
      </c>
      <c r="H452" t="b">
        <v>0</v>
      </c>
      <c r="I452">
        <v>1</v>
      </c>
      <c r="J452" t="s">
        <v>1212</v>
      </c>
      <c r="AN452">
        <v>-18</v>
      </c>
      <c r="AV452" t="s">
        <v>1092</v>
      </c>
      <c r="AW452" t="s">
        <v>1092</v>
      </c>
      <c r="BA452" t="s">
        <v>282</v>
      </c>
      <c r="BB452" t="s">
        <v>1197</v>
      </c>
      <c r="BC452">
        <v>1</v>
      </c>
    </row>
    <row r="453" spans="1:55" x14ac:dyDescent="0.25">
      <c r="A453" t="s">
        <v>102</v>
      </c>
      <c r="B453">
        <v>17</v>
      </c>
      <c r="C453" t="s">
        <v>1088</v>
      </c>
      <c r="D453" s="158">
        <v>45199</v>
      </c>
      <c r="E453">
        <v>242778</v>
      </c>
      <c r="H453" t="b">
        <v>0</v>
      </c>
      <c r="I453">
        <v>1</v>
      </c>
      <c r="J453" t="s">
        <v>1212</v>
      </c>
      <c r="AN453">
        <v>-18</v>
      </c>
      <c r="AV453" t="s">
        <v>1092</v>
      </c>
      <c r="AW453" t="s">
        <v>1092</v>
      </c>
      <c r="BA453" t="s">
        <v>282</v>
      </c>
      <c r="BB453" t="s">
        <v>1197</v>
      </c>
      <c r="BC453">
        <v>1</v>
      </c>
    </row>
    <row r="454" spans="1:55" x14ac:dyDescent="0.25">
      <c r="A454" t="s">
        <v>102</v>
      </c>
      <c r="B454">
        <v>17</v>
      </c>
      <c r="C454" t="s">
        <v>1088</v>
      </c>
      <c r="D454" s="158">
        <v>45199</v>
      </c>
      <c r="E454">
        <v>76672</v>
      </c>
      <c r="H454" t="b">
        <v>0</v>
      </c>
      <c r="I454">
        <v>1</v>
      </c>
      <c r="J454" t="s">
        <v>1212</v>
      </c>
      <c r="AN454">
        <v>-50</v>
      </c>
      <c r="AV454" t="s">
        <v>1092</v>
      </c>
      <c r="AW454" t="s">
        <v>1092</v>
      </c>
      <c r="BA454" t="s">
        <v>282</v>
      </c>
      <c r="BB454" t="s">
        <v>1197</v>
      </c>
      <c r="BC454">
        <v>1</v>
      </c>
    </row>
    <row r="455" spans="1:55" x14ac:dyDescent="0.25">
      <c r="A455" t="s">
        <v>102</v>
      </c>
      <c r="B455">
        <v>17</v>
      </c>
      <c r="C455" t="s">
        <v>1088</v>
      </c>
      <c r="D455" s="158">
        <v>45199</v>
      </c>
      <c r="E455">
        <v>545083</v>
      </c>
      <c r="H455" t="b">
        <v>0</v>
      </c>
      <c r="I455">
        <v>1</v>
      </c>
      <c r="J455" t="s">
        <v>1212</v>
      </c>
      <c r="AN455">
        <v>-10.6</v>
      </c>
      <c r="AV455" t="s">
        <v>1092</v>
      </c>
      <c r="AW455" t="s">
        <v>1092</v>
      </c>
      <c r="BA455" t="s">
        <v>282</v>
      </c>
      <c r="BB455" t="s">
        <v>1197</v>
      </c>
      <c r="BC455">
        <v>1</v>
      </c>
    </row>
    <row r="456" spans="1:55" x14ac:dyDescent="0.25">
      <c r="A456" t="s">
        <v>102</v>
      </c>
      <c r="B456">
        <v>17</v>
      </c>
      <c r="C456" t="s">
        <v>1088</v>
      </c>
      <c r="D456" s="158">
        <v>45199</v>
      </c>
      <c r="E456">
        <v>327458</v>
      </c>
      <c r="H456" t="b">
        <v>0</v>
      </c>
      <c r="I456">
        <v>1</v>
      </c>
      <c r="J456" t="s">
        <v>1212</v>
      </c>
      <c r="AN456">
        <v>-18</v>
      </c>
      <c r="AP456" t="s">
        <v>1091</v>
      </c>
      <c r="AV456" t="s">
        <v>1092</v>
      </c>
      <c r="AW456" t="s">
        <v>1092</v>
      </c>
      <c r="BA456" t="s">
        <v>282</v>
      </c>
      <c r="BB456" t="s">
        <v>1197</v>
      </c>
      <c r="BC456">
        <v>1</v>
      </c>
    </row>
    <row r="457" spans="1:55" x14ac:dyDescent="0.25">
      <c r="A457" t="s">
        <v>102</v>
      </c>
      <c r="B457">
        <v>17</v>
      </c>
      <c r="C457" t="s">
        <v>1088</v>
      </c>
      <c r="D457" s="158">
        <v>45199</v>
      </c>
      <c r="E457">
        <v>251670</v>
      </c>
      <c r="H457" t="b">
        <v>0</v>
      </c>
      <c r="I457">
        <v>1</v>
      </c>
      <c r="J457" t="s">
        <v>1212</v>
      </c>
      <c r="AN457">
        <v>-18</v>
      </c>
      <c r="AV457" t="s">
        <v>1092</v>
      </c>
      <c r="AW457" t="s">
        <v>1092</v>
      </c>
      <c r="BA457" t="s">
        <v>282</v>
      </c>
      <c r="BB457" t="s">
        <v>1197</v>
      </c>
      <c r="BC457">
        <v>1</v>
      </c>
    </row>
    <row r="458" spans="1:55" x14ac:dyDescent="0.25">
      <c r="A458" t="s">
        <v>102</v>
      </c>
      <c r="B458">
        <v>17</v>
      </c>
      <c r="C458" t="s">
        <v>1088</v>
      </c>
      <c r="D458" s="158">
        <v>45199</v>
      </c>
      <c r="E458">
        <v>149160</v>
      </c>
      <c r="H458" t="b">
        <v>0</v>
      </c>
      <c r="I458">
        <v>1</v>
      </c>
      <c r="J458" t="s">
        <v>1212</v>
      </c>
      <c r="AN458">
        <v>-81</v>
      </c>
      <c r="AV458" t="s">
        <v>1092</v>
      </c>
      <c r="AW458" t="s">
        <v>1092</v>
      </c>
      <c r="BA458" t="s">
        <v>282</v>
      </c>
      <c r="BB458" t="s">
        <v>1197</v>
      </c>
      <c r="BC458">
        <v>1</v>
      </c>
    </row>
    <row r="459" spans="1:55" x14ac:dyDescent="0.25">
      <c r="A459" t="s">
        <v>99</v>
      </c>
      <c r="B459">
        <v>17</v>
      </c>
      <c r="C459" t="s">
        <v>1088</v>
      </c>
      <c r="D459" s="158">
        <v>45199</v>
      </c>
      <c r="E459">
        <v>612687</v>
      </c>
      <c r="F459">
        <v>10187977</v>
      </c>
      <c r="G459">
        <v>52834908</v>
      </c>
      <c r="H459" t="b">
        <v>0</v>
      </c>
      <c r="I459">
        <v>46</v>
      </c>
      <c r="J459" t="s">
        <v>1187</v>
      </c>
      <c r="K459">
        <v>216</v>
      </c>
      <c r="L459">
        <v>216</v>
      </c>
      <c r="M459">
        <v>1</v>
      </c>
      <c r="N459">
        <v>216</v>
      </c>
      <c r="O459">
        <v>0</v>
      </c>
      <c r="P459">
        <v>0</v>
      </c>
      <c r="Q459">
        <v>84</v>
      </c>
      <c r="R459">
        <v>0</v>
      </c>
      <c r="T459">
        <v>0</v>
      </c>
      <c r="U459">
        <v>0</v>
      </c>
      <c r="V459">
        <v>0</v>
      </c>
      <c r="W459">
        <v>0</v>
      </c>
      <c r="X459">
        <v>0</v>
      </c>
      <c r="Y459">
        <v>0</v>
      </c>
      <c r="Z459">
        <v>0</v>
      </c>
      <c r="AA459">
        <v>0</v>
      </c>
      <c r="AB459">
        <v>0</v>
      </c>
      <c r="AC459">
        <v>0</v>
      </c>
      <c r="AD459">
        <v>0</v>
      </c>
      <c r="AE459">
        <v>0</v>
      </c>
      <c r="AF459">
        <v>0</v>
      </c>
      <c r="AG459">
        <v>0</v>
      </c>
      <c r="AH459">
        <v>0</v>
      </c>
      <c r="AI459">
        <v>0</v>
      </c>
      <c r="AJ459">
        <v>0</v>
      </c>
      <c r="AK459">
        <v>0</v>
      </c>
      <c r="AL459">
        <v>0</v>
      </c>
      <c r="AM459">
        <v>0</v>
      </c>
      <c r="AN459">
        <v>132</v>
      </c>
      <c r="AV459" t="s">
        <v>1092</v>
      </c>
      <c r="AW459" t="s">
        <v>1092</v>
      </c>
      <c r="AX459">
        <v>0</v>
      </c>
      <c r="AY459">
        <v>0</v>
      </c>
      <c r="AZ459" t="s">
        <v>282</v>
      </c>
      <c r="BA459" t="s">
        <v>282</v>
      </c>
      <c r="BB459" t="s">
        <v>1191</v>
      </c>
      <c r="BC459">
        <v>2</v>
      </c>
    </row>
    <row r="460" spans="1:55" x14ac:dyDescent="0.25">
      <c r="A460" t="s">
        <v>99</v>
      </c>
      <c r="B460">
        <v>17</v>
      </c>
      <c r="C460" t="s">
        <v>1088</v>
      </c>
      <c r="D460" s="158">
        <v>45199</v>
      </c>
      <c r="E460">
        <v>244163</v>
      </c>
      <c r="F460">
        <v>5462435</v>
      </c>
      <c r="G460">
        <v>26814113</v>
      </c>
      <c r="H460" t="b">
        <v>0</v>
      </c>
      <c r="I460">
        <v>1310</v>
      </c>
      <c r="J460" t="s">
        <v>1247</v>
      </c>
      <c r="K460">
        <v>18</v>
      </c>
      <c r="L460">
        <v>18</v>
      </c>
      <c r="M460">
        <v>1</v>
      </c>
      <c r="N460">
        <v>18</v>
      </c>
      <c r="O460">
        <v>0</v>
      </c>
      <c r="P460">
        <v>0</v>
      </c>
      <c r="Q460">
        <v>0</v>
      </c>
      <c r="R460">
        <v>0</v>
      </c>
      <c r="T460">
        <v>0</v>
      </c>
      <c r="U460">
        <v>0</v>
      </c>
      <c r="V460">
        <v>0</v>
      </c>
      <c r="W460">
        <v>0</v>
      </c>
      <c r="X460">
        <v>0</v>
      </c>
      <c r="Y460">
        <v>0</v>
      </c>
      <c r="Z460">
        <v>0</v>
      </c>
      <c r="AA460">
        <v>0</v>
      </c>
      <c r="AB460">
        <v>0</v>
      </c>
      <c r="AC460">
        <v>0</v>
      </c>
      <c r="AD460">
        <v>0</v>
      </c>
      <c r="AE460">
        <v>0</v>
      </c>
      <c r="AF460">
        <v>0</v>
      </c>
      <c r="AG460">
        <v>0</v>
      </c>
      <c r="AH460">
        <v>0</v>
      </c>
      <c r="AI460">
        <v>0</v>
      </c>
      <c r="AJ460">
        <v>0</v>
      </c>
      <c r="AK460">
        <v>0</v>
      </c>
      <c r="AL460">
        <v>0</v>
      </c>
      <c r="AM460">
        <v>0</v>
      </c>
      <c r="AN460">
        <v>18</v>
      </c>
      <c r="AV460" t="s">
        <v>1092</v>
      </c>
      <c r="AW460" t="s">
        <v>1092</v>
      </c>
      <c r="AX460">
        <v>0</v>
      </c>
      <c r="AY460">
        <v>0</v>
      </c>
      <c r="AZ460" t="s">
        <v>282</v>
      </c>
      <c r="BA460" t="s">
        <v>282</v>
      </c>
      <c r="BB460" t="s">
        <v>1200</v>
      </c>
      <c r="BC460">
        <v>8</v>
      </c>
    </row>
    <row r="461" spans="1:55" x14ac:dyDescent="0.25">
      <c r="A461" t="s">
        <v>99</v>
      </c>
      <c r="B461">
        <v>17</v>
      </c>
      <c r="C461" t="s">
        <v>1088</v>
      </c>
      <c r="D461" s="158">
        <v>45199</v>
      </c>
      <c r="E461">
        <v>554736</v>
      </c>
      <c r="F461">
        <v>9054600</v>
      </c>
      <c r="G461">
        <v>46169211</v>
      </c>
      <c r="H461" t="b">
        <v>0</v>
      </c>
      <c r="I461">
        <v>267</v>
      </c>
      <c r="J461" t="s">
        <v>1184</v>
      </c>
      <c r="K461">
        <v>216</v>
      </c>
      <c r="L461">
        <v>216</v>
      </c>
      <c r="M461">
        <v>1</v>
      </c>
      <c r="N461">
        <v>0</v>
      </c>
      <c r="O461">
        <v>119.5</v>
      </c>
      <c r="P461">
        <v>103.31</v>
      </c>
      <c r="Q461">
        <v>0</v>
      </c>
      <c r="R461">
        <v>0</v>
      </c>
      <c r="T461">
        <v>216</v>
      </c>
      <c r="U461">
        <v>0</v>
      </c>
      <c r="V461">
        <v>0</v>
      </c>
      <c r="W461">
        <v>0</v>
      </c>
      <c r="X461">
        <v>96.5</v>
      </c>
      <c r="Y461">
        <v>0</v>
      </c>
      <c r="Z461">
        <v>0</v>
      </c>
      <c r="AA461">
        <v>0</v>
      </c>
      <c r="AB461">
        <v>0</v>
      </c>
      <c r="AC461">
        <v>0</v>
      </c>
      <c r="AD461">
        <v>0</v>
      </c>
      <c r="AE461">
        <v>0</v>
      </c>
      <c r="AF461">
        <v>0</v>
      </c>
      <c r="AG461">
        <v>0</v>
      </c>
      <c r="AH461">
        <v>0</v>
      </c>
      <c r="AI461">
        <v>0</v>
      </c>
      <c r="AJ461">
        <v>0</v>
      </c>
      <c r="AK461">
        <v>0</v>
      </c>
      <c r="AL461">
        <v>0</v>
      </c>
      <c r="AM461">
        <v>0</v>
      </c>
      <c r="AN461">
        <v>16.190000000000001</v>
      </c>
      <c r="AP461" t="s">
        <v>1090</v>
      </c>
      <c r="AS461" t="s">
        <v>1209</v>
      </c>
      <c r="AV461" t="s">
        <v>1092</v>
      </c>
      <c r="AW461" t="s">
        <v>1092</v>
      </c>
      <c r="AX461">
        <v>0</v>
      </c>
      <c r="AY461">
        <v>0</v>
      </c>
      <c r="AZ461" t="s">
        <v>282</v>
      </c>
      <c r="BA461" t="s">
        <v>282</v>
      </c>
      <c r="BB461" t="s">
        <v>1204</v>
      </c>
      <c r="BC461">
        <v>7</v>
      </c>
    </row>
    <row r="462" spans="1:55" x14ac:dyDescent="0.25">
      <c r="A462" t="s">
        <v>99</v>
      </c>
      <c r="B462">
        <v>17</v>
      </c>
      <c r="C462" t="s">
        <v>1088</v>
      </c>
      <c r="D462" s="158">
        <v>45199</v>
      </c>
      <c r="E462">
        <v>554736</v>
      </c>
      <c r="F462">
        <v>9054600</v>
      </c>
      <c r="G462">
        <v>46169210</v>
      </c>
      <c r="H462" t="b">
        <v>0</v>
      </c>
      <c r="I462">
        <v>267</v>
      </c>
      <c r="J462" t="s">
        <v>1184</v>
      </c>
      <c r="K462">
        <v>216</v>
      </c>
      <c r="L462">
        <v>216</v>
      </c>
      <c r="M462">
        <v>1</v>
      </c>
      <c r="N462">
        <v>0</v>
      </c>
      <c r="O462">
        <v>119.5</v>
      </c>
      <c r="P462">
        <v>135.69</v>
      </c>
      <c r="Q462">
        <v>0</v>
      </c>
      <c r="R462">
        <v>0</v>
      </c>
      <c r="T462">
        <v>216</v>
      </c>
      <c r="U462">
        <v>0</v>
      </c>
      <c r="V462">
        <v>0</v>
      </c>
      <c r="W462">
        <v>0</v>
      </c>
      <c r="X462">
        <v>96.5</v>
      </c>
      <c r="Y462">
        <v>0</v>
      </c>
      <c r="Z462">
        <v>0</v>
      </c>
      <c r="AA462">
        <v>0</v>
      </c>
      <c r="AB462">
        <v>0</v>
      </c>
      <c r="AC462">
        <v>0</v>
      </c>
      <c r="AD462">
        <v>0</v>
      </c>
      <c r="AE462">
        <v>0</v>
      </c>
      <c r="AF462">
        <v>0</v>
      </c>
      <c r="AG462">
        <v>0</v>
      </c>
      <c r="AH462">
        <v>0</v>
      </c>
      <c r="AI462">
        <v>0</v>
      </c>
      <c r="AJ462">
        <v>0</v>
      </c>
      <c r="AK462">
        <v>0</v>
      </c>
      <c r="AL462">
        <v>0</v>
      </c>
      <c r="AM462">
        <v>0</v>
      </c>
      <c r="AN462">
        <v>-16.190000000000001</v>
      </c>
      <c r="AP462" t="s">
        <v>1090</v>
      </c>
      <c r="AS462" t="s">
        <v>1209</v>
      </c>
      <c r="AV462" t="s">
        <v>1092</v>
      </c>
      <c r="AW462" t="s">
        <v>1092</v>
      </c>
      <c r="AX462">
        <v>0</v>
      </c>
      <c r="AY462">
        <v>0</v>
      </c>
      <c r="AZ462" t="s">
        <v>282</v>
      </c>
      <c r="BA462" t="s">
        <v>282</v>
      </c>
      <c r="BB462" t="s">
        <v>1204</v>
      </c>
      <c r="BC462">
        <v>7</v>
      </c>
    </row>
    <row r="463" spans="1:55" x14ac:dyDescent="0.25">
      <c r="A463" t="s">
        <v>99</v>
      </c>
      <c r="B463">
        <v>17</v>
      </c>
      <c r="C463" t="s">
        <v>1088</v>
      </c>
      <c r="D463" s="158">
        <v>45199</v>
      </c>
      <c r="E463">
        <v>417969</v>
      </c>
      <c r="F463">
        <v>10368582</v>
      </c>
      <c r="G463">
        <v>53861857</v>
      </c>
      <c r="H463" t="b">
        <v>0</v>
      </c>
      <c r="I463">
        <v>15</v>
      </c>
      <c r="J463" t="s">
        <v>1247</v>
      </c>
      <c r="K463">
        <v>18</v>
      </c>
      <c r="L463">
        <v>18</v>
      </c>
      <c r="M463">
        <v>1</v>
      </c>
      <c r="N463">
        <v>18</v>
      </c>
      <c r="O463">
        <v>0</v>
      </c>
      <c r="P463">
        <v>0</v>
      </c>
      <c r="Q463">
        <v>0</v>
      </c>
      <c r="R463">
        <v>0</v>
      </c>
      <c r="T463">
        <v>0</v>
      </c>
      <c r="U463">
        <v>0</v>
      </c>
      <c r="V463">
        <v>0</v>
      </c>
      <c r="W463">
        <v>0</v>
      </c>
      <c r="X463">
        <v>0</v>
      </c>
      <c r="Y463">
        <v>0</v>
      </c>
      <c r="Z463">
        <v>0</v>
      </c>
      <c r="AA463">
        <v>0</v>
      </c>
      <c r="AB463">
        <v>0</v>
      </c>
      <c r="AC463">
        <v>0</v>
      </c>
      <c r="AD463">
        <v>0</v>
      </c>
      <c r="AE463">
        <v>0</v>
      </c>
      <c r="AF463">
        <v>0</v>
      </c>
      <c r="AG463">
        <v>0</v>
      </c>
      <c r="AH463">
        <v>0</v>
      </c>
      <c r="AI463">
        <v>0</v>
      </c>
      <c r="AJ463">
        <v>0</v>
      </c>
      <c r="AK463">
        <v>0</v>
      </c>
      <c r="AL463">
        <v>0</v>
      </c>
      <c r="AM463">
        <v>0</v>
      </c>
      <c r="AN463">
        <v>18</v>
      </c>
      <c r="AV463" t="s">
        <v>1092</v>
      </c>
      <c r="AW463" t="s">
        <v>1092</v>
      </c>
      <c r="AX463">
        <v>0</v>
      </c>
      <c r="AY463">
        <v>0</v>
      </c>
      <c r="AZ463" t="s">
        <v>282</v>
      </c>
      <c r="BA463" t="s">
        <v>282</v>
      </c>
      <c r="BB463" t="s">
        <v>1197</v>
      </c>
      <c r="BC463">
        <v>1</v>
      </c>
    </row>
    <row r="464" spans="1:55" x14ac:dyDescent="0.25">
      <c r="A464" t="s">
        <v>99</v>
      </c>
      <c r="B464">
        <v>17</v>
      </c>
      <c r="C464" t="s">
        <v>1088</v>
      </c>
      <c r="D464" s="158">
        <v>45199</v>
      </c>
      <c r="E464">
        <v>615001</v>
      </c>
      <c r="F464">
        <v>10239264</v>
      </c>
      <c r="G464">
        <v>53011835</v>
      </c>
      <c r="H464" t="b">
        <v>0</v>
      </c>
      <c r="I464">
        <v>40</v>
      </c>
      <c r="J464" t="s">
        <v>1187</v>
      </c>
      <c r="K464">
        <v>216</v>
      </c>
      <c r="L464">
        <v>216</v>
      </c>
      <c r="M464">
        <v>1</v>
      </c>
      <c r="N464">
        <v>0</v>
      </c>
      <c r="O464">
        <v>165.43</v>
      </c>
      <c r="P464">
        <v>0</v>
      </c>
      <c r="Q464">
        <v>0</v>
      </c>
      <c r="R464">
        <v>0</v>
      </c>
      <c r="T464">
        <v>216</v>
      </c>
      <c r="U464">
        <v>0</v>
      </c>
      <c r="V464">
        <v>0</v>
      </c>
      <c r="W464">
        <v>0</v>
      </c>
      <c r="X464">
        <v>50.57</v>
      </c>
      <c r="Y464">
        <v>0</v>
      </c>
      <c r="Z464">
        <v>0</v>
      </c>
      <c r="AA464">
        <v>0</v>
      </c>
      <c r="AB464">
        <v>0</v>
      </c>
      <c r="AC464">
        <v>0</v>
      </c>
      <c r="AD464">
        <v>0</v>
      </c>
      <c r="AE464">
        <v>0</v>
      </c>
      <c r="AF464">
        <v>0</v>
      </c>
      <c r="AG464">
        <v>0</v>
      </c>
      <c r="AH464">
        <v>0</v>
      </c>
      <c r="AI464">
        <v>0</v>
      </c>
      <c r="AJ464">
        <v>0</v>
      </c>
      <c r="AK464">
        <v>0</v>
      </c>
      <c r="AL464">
        <v>0</v>
      </c>
      <c r="AM464">
        <v>0</v>
      </c>
      <c r="AN464">
        <v>165.43</v>
      </c>
      <c r="AP464" t="s">
        <v>1091</v>
      </c>
      <c r="AS464" t="s">
        <v>1185</v>
      </c>
      <c r="AV464" t="s">
        <v>1092</v>
      </c>
      <c r="AW464" t="s">
        <v>1092</v>
      </c>
      <c r="AX464">
        <v>0</v>
      </c>
      <c r="AY464">
        <v>0</v>
      </c>
      <c r="AZ464" t="s">
        <v>282</v>
      </c>
      <c r="BA464" t="s">
        <v>282</v>
      </c>
      <c r="BB464" t="s">
        <v>1191</v>
      </c>
      <c r="BC464">
        <v>2</v>
      </c>
    </row>
    <row r="465" spans="1:55" x14ac:dyDescent="0.25">
      <c r="A465" t="s">
        <v>99</v>
      </c>
      <c r="B465">
        <v>17</v>
      </c>
      <c r="C465" t="s">
        <v>1088</v>
      </c>
      <c r="D465" s="158">
        <v>45199</v>
      </c>
      <c r="E465">
        <v>624276</v>
      </c>
      <c r="F465">
        <v>10414410</v>
      </c>
      <c r="G465">
        <v>54106386</v>
      </c>
      <c r="H465" t="b">
        <v>0</v>
      </c>
      <c r="I465">
        <v>5</v>
      </c>
      <c r="J465" t="s">
        <v>1247</v>
      </c>
      <c r="K465">
        <v>18</v>
      </c>
      <c r="L465">
        <v>18</v>
      </c>
      <c r="M465">
        <v>1</v>
      </c>
      <c r="N465">
        <v>18</v>
      </c>
      <c r="O465">
        <v>0</v>
      </c>
      <c r="P465">
        <v>0</v>
      </c>
      <c r="Q465">
        <v>0</v>
      </c>
      <c r="R465">
        <v>0</v>
      </c>
      <c r="T465">
        <v>0</v>
      </c>
      <c r="U465">
        <v>0</v>
      </c>
      <c r="V465">
        <v>0</v>
      </c>
      <c r="W465">
        <v>0</v>
      </c>
      <c r="X465">
        <v>0</v>
      </c>
      <c r="Y465">
        <v>0</v>
      </c>
      <c r="Z465">
        <v>0</v>
      </c>
      <c r="AA465">
        <v>0</v>
      </c>
      <c r="AB465">
        <v>0</v>
      </c>
      <c r="AC465">
        <v>0</v>
      </c>
      <c r="AD465">
        <v>0</v>
      </c>
      <c r="AE465">
        <v>0</v>
      </c>
      <c r="AF465">
        <v>0</v>
      </c>
      <c r="AG465">
        <v>0</v>
      </c>
      <c r="AH465">
        <v>0</v>
      </c>
      <c r="AI465">
        <v>0</v>
      </c>
      <c r="AJ465">
        <v>0</v>
      </c>
      <c r="AK465">
        <v>0</v>
      </c>
      <c r="AL465">
        <v>0</v>
      </c>
      <c r="AM465">
        <v>0</v>
      </c>
      <c r="AN465">
        <v>18</v>
      </c>
      <c r="AV465" t="s">
        <v>1092</v>
      </c>
      <c r="AW465" t="s">
        <v>1092</v>
      </c>
      <c r="AX465">
        <v>0</v>
      </c>
      <c r="AY465">
        <v>0</v>
      </c>
      <c r="AZ465" t="s">
        <v>282</v>
      </c>
      <c r="BA465" t="s">
        <v>282</v>
      </c>
      <c r="BB465" t="s">
        <v>1197</v>
      </c>
      <c r="BC465">
        <v>1</v>
      </c>
    </row>
    <row r="466" spans="1:55" x14ac:dyDescent="0.25">
      <c r="A466" t="s">
        <v>99</v>
      </c>
      <c r="B466">
        <v>17</v>
      </c>
      <c r="C466" t="s">
        <v>1088</v>
      </c>
      <c r="D466" s="158">
        <v>45199</v>
      </c>
      <c r="E466">
        <v>374342</v>
      </c>
      <c r="F466">
        <v>5608579</v>
      </c>
      <c r="G466">
        <v>27967307</v>
      </c>
      <c r="H466" t="b">
        <v>0</v>
      </c>
      <c r="I466">
        <v>1221</v>
      </c>
      <c r="J466" t="s">
        <v>1184</v>
      </c>
      <c r="K466">
        <v>216</v>
      </c>
      <c r="L466">
        <v>216</v>
      </c>
      <c r="M466">
        <v>1</v>
      </c>
      <c r="N466">
        <v>216</v>
      </c>
      <c r="O466">
        <v>0</v>
      </c>
      <c r="P466">
        <v>0</v>
      </c>
      <c r="Q466">
        <v>18</v>
      </c>
      <c r="R466">
        <v>0</v>
      </c>
      <c r="T466">
        <v>0</v>
      </c>
      <c r="U466">
        <v>0</v>
      </c>
      <c r="V466">
        <v>0</v>
      </c>
      <c r="W466">
        <v>0</v>
      </c>
      <c r="X466">
        <v>0</v>
      </c>
      <c r="Y466">
        <v>0</v>
      </c>
      <c r="Z466">
        <v>0</v>
      </c>
      <c r="AA466">
        <v>0</v>
      </c>
      <c r="AB466">
        <v>0</v>
      </c>
      <c r="AC466">
        <v>0</v>
      </c>
      <c r="AD466">
        <v>0</v>
      </c>
      <c r="AE466">
        <v>0</v>
      </c>
      <c r="AF466">
        <v>0</v>
      </c>
      <c r="AG466">
        <v>0</v>
      </c>
      <c r="AH466">
        <v>0</v>
      </c>
      <c r="AI466">
        <v>0</v>
      </c>
      <c r="AJ466">
        <v>0</v>
      </c>
      <c r="AK466">
        <v>0</v>
      </c>
      <c r="AL466">
        <v>0</v>
      </c>
      <c r="AM466">
        <v>0</v>
      </c>
      <c r="AN466">
        <v>198</v>
      </c>
      <c r="AV466" t="s">
        <v>1092</v>
      </c>
      <c r="AW466" t="s">
        <v>1092</v>
      </c>
      <c r="AX466">
        <v>0</v>
      </c>
      <c r="AY466">
        <v>0</v>
      </c>
      <c r="AZ466" t="s">
        <v>282</v>
      </c>
      <c r="BA466" t="s">
        <v>282</v>
      </c>
      <c r="BB466" t="s">
        <v>1200</v>
      </c>
      <c r="BC466">
        <v>8</v>
      </c>
    </row>
    <row r="467" spans="1:55" x14ac:dyDescent="0.25">
      <c r="A467" t="s">
        <v>99</v>
      </c>
      <c r="B467">
        <v>17</v>
      </c>
      <c r="C467" t="s">
        <v>1088</v>
      </c>
      <c r="D467" s="158">
        <v>45199</v>
      </c>
      <c r="E467">
        <v>607929</v>
      </c>
      <c r="F467">
        <v>10433684</v>
      </c>
      <c r="G467">
        <v>54144164</v>
      </c>
      <c r="H467" t="b">
        <v>0</v>
      </c>
      <c r="I467">
        <v>4</v>
      </c>
      <c r="J467" t="s">
        <v>1187</v>
      </c>
      <c r="K467">
        <v>150</v>
      </c>
      <c r="L467">
        <v>150</v>
      </c>
      <c r="M467">
        <v>1</v>
      </c>
      <c r="N467">
        <v>150</v>
      </c>
      <c r="O467">
        <v>0</v>
      </c>
      <c r="P467">
        <v>0</v>
      </c>
      <c r="Q467">
        <v>0</v>
      </c>
      <c r="R467">
        <v>0</v>
      </c>
      <c r="T467">
        <v>0</v>
      </c>
      <c r="U467">
        <v>0</v>
      </c>
      <c r="V467">
        <v>0</v>
      </c>
      <c r="W467">
        <v>0</v>
      </c>
      <c r="X467">
        <v>0</v>
      </c>
      <c r="Y467">
        <v>0</v>
      </c>
      <c r="Z467">
        <v>0</v>
      </c>
      <c r="AA467">
        <v>0</v>
      </c>
      <c r="AB467">
        <v>0</v>
      </c>
      <c r="AC467">
        <v>0</v>
      </c>
      <c r="AD467">
        <v>0</v>
      </c>
      <c r="AE467">
        <v>0</v>
      </c>
      <c r="AF467">
        <v>0</v>
      </c>
      <c r="AG467">
        <v>0</v>
      </c>
      <c r="AH467">
        <v>0</v>
      </c>
      <c r="AI467">
        <v>0</v>
      </c>
      <c r="AJ467">
        <v>0</v>
      </c>
      <c r="AK467">
        <v>0</v>
      </c>
      <c r="AL467">
        <v>0</v>
      </c>
      <c r="AM467">
        <v>0</v>
      </c>
      <c r="AN467">
        <v>150</v>
      </c>
      <c r="AV467" t="s">
        <v>1092</v>
      </c>
      <c r="AW467" t="s">
        <v>1092</v>
      </c>
      <c r="AX467">
        <v>0</v>
      </c>
      <c r="AY467">
        <v>0</v>
      </c>
      <c r="AZ467" t="s">
        <v>282</v>
      </c>
      <c r="BA467" t="s">
        <v>282</v>
      </c>
      <c r="BB467" t="s">
        <v>1197</v>
      </c>
      <c r="BC467">
        <v>1</v>
      </c>
    </row>
    <row r="468" spans="1:55" x14ac:dyDescent="0.25">
      <c r="A468" t="s">
        <v>99</v>
      </c>
      <c r="B468">
        <v>17</v>
      </c>
      <c r="C468" t="s">
        <v>1088</v>
      </c>
      <c r="D468" s="158">
        <v>45199</v>
      </c>
      <c r="E468">
        <v>91890</v>
      </c>
      <c r="F468">
        <v>10289038</v>
      </c>
      <c r="G468">
        <v>53259717</v>
      </c>
      <c r="H468" t="b">
        <v>0</v>
      </c>
      <c r="I468">
        <v>33</v>
      </c>
      <c r="J468" t="s">
        <v>1184</v>
      </c>
      <c r="K468">
        <v>150</v>
      </c>
      <c r="L468">
        <v>150</v>
      </c>
      <c r="M468">
        <v>1</v>
      </c>
      <c r="N468">
        <v>150</v>
      </c>
      <c r="O468">
        <v>0</v>
      </c>
      <c r="P468">
        <v>0</v>
      </c>
      <c r="Q468">
        <v>159</v>
      </c>
      <c r="R468">
        <v>0</v>
      </c>
      <c r="T468">
        <v>0</v>
      </c>
      <c r="U468">
        <v>0</v>
      </c>
      <c r="V468">
        <v>0</v>
      </c>
      <c r="W468">
        <v>0</v>
      </c>
      <c r="X468">
        <v>0</v>
      </c>
      <c r="Y468">
        <v>0</v>
      </c>
      <c r="Z468">
        <v>0</v>
      </c>
      <c r="AA468">
        <v>0</v>
      </c>
      <c r="AB468">
        <v>0</v>
      </c>
      <c r="AC468">
        <v>0</v>
      </c>
      <c r="AD468">
        <v>0</v>
      </c>
      <c r="AE468">
        <v>0</v>
      </c>
      <c r="AF468">
        <v>0</v>
      </c>
      <c r="AG468">
        <v>0</v>
      </c>
      <c r="AH468">
        <v>0</v>
      </c>
      <c r="AI468">
        <v>0</v>
      </c>
      <c r="AJ468">
        <v>0</v>
      </c>
      <c r="AK468">
        <v>0</v>
      </c>
      <c r="AL468">
        <v>0</v>
      </c>
      <c r="AM468">
        <v>0</v>
      </c>
      <c r="AN468">
        <v>-9</v>
      </c>
      <c r="AV468" t="s">
        <v>1092</v>
      </c>
      <c r="AW468" t="s">
        <v>1092</v>
      </c>
      <c r="AX468">
        <v>0</v>
      </c>
      <c r="AY468">
        <v>0</v>
      </c>
      <c r="AZ468" t="s">
        <v>282</v>
      </c>
      <c r="BA468" t="s">
        <v>282</v>
      </c>
      <c r="BB468" t="s">
        <v>1191</v>
      </c>
      <c r="BC468">
        <v>2</v>
      </c>
    </row>
    <row r="469" spans="1:55" x14ac:dyDescent="0.25">
      <c r="A469" t="s">
        <v>99</v>
      </c>
      <c r="B469">
        <v>17</v>
      </c>
      <c r="C469" t="s">
        <v>1088</v>
      </c>
      <c r="D469" s="158">
        <v>45199</v>
      </c>
      <c r="E469">
        <v>87066</v>
      </c>
      <c r="F469">
        <v>9978398</v>
      </c>
      <c r="G469">
        <v>51468909</v>
      </c>
      <c r="H469" t="b">
        <v>0</v>
      </c>
      <c r="I469">
        <v>92</v>
      </c>
      <c r="J469" t="s">
        <v>1184</v>
      </c>
      <c r="K469">
        <v>216</v>
      </c>
      <c r="L469">
        <v>216</v>
      </c>
      <c r="M469">
        <v>1</v>
      </c>
      <c r="N469">
        <v>216</v>
      </c>
      <c r="O469">
        <v>0</v>
      </c>
      <c r="P469">
        <v>0</v>
      </c>
      <c r="Q469">
        <v>366</v>
      </c>
      <c r="R469">
        <v>0</v>
      </c>
      <c r="T469">
        <v>0</v>
      </c>
      <c r="U469">
        <v>0</v>
      </c>
      <c r="V469">
        <v>0</v>
      </c>
      <c r="W469">
        <v>0</v>
      </c>
      <c r="X469">
        <v>0</v>
      </c>
      <c r="Y469">
        <v>0</v>
      </c>
      <c r="Z469">
        <v>0</v>
      </c>
      <c r="AA469">
        <v>0</v>
      </c>
      <c r="AB469">
        <v>0</v>
      </c>
      <c r="AC469">
        <v>0</v>
      </c>
      <c r="AD469">
        <v>0</v>
      </c>
      <c r="AE469">
        <v>0</v>
      </c>
      <c r="AF469">
        <v>0</v>
      </c>
      <c r="AG469">
        <v>0</v>
      </c>
      <c r="AH469">
        <v>0</v>
      </c>
      <c r="AI469">
        <v>0</v>
      </c>
      <c r="AJ469">
        <v>0</v>
      </c>
      <c r="AK469">
        <v>0</v>
      </c>
      <c r="AL469">
        <v>0</v>
      </c>
      <c r="AM469">
        <v>0</v>
      </c>
      <c r="AN469">
        <v>-150</v>
      </c>
      <c r="AV469" t="s">
        <v>1092</v>
      </c>
      <c r="AW469" t="s">
        <v>1092</v>
      </c>
      <c r="AX469">
        <v>0</v>
      </c>
      <c r="AY469">
        <v>0</v>
      </c>
      <c r="AZ469" t="s">
        <v>282</v>
      </c>
      <c r="BA469" t="s">
        <v>282</v>
      </c>
      <c r="BB469" t="s">
        <v>1207</v>
      </c>
      <c r="BC469">
        <v>4</v>
      </c>
    </row>
    <row r="470" spans="1:55" x14ac:dyDescent="0.25">
      <c r="A470" t="s">
        <v>99</v>
      </c>
      <c r="B470">
        <v>17</v>
      </c>
      <c r="C470" t="s">
        <v>1088</v>
      </c>
      <c r="D470" s="158">
        <v>45199</v>
      </c>
      <c r="E470">
        <v>87066</v>
      </c>
      <c r="F470">
        <v>9978398</v>
      </c>
      <c r="G470">
        <v>51468911</v>
      </c>
      <c r="H470" t="b">
        <v>0</v>
      </c>
      <c r="I470">
        <v>92</v>
      </c>
      <c r="J470" t="s">
        <v>1247</v>
      </c>
      <c r="K470">
        <v>18</v>
      </c>
      <c r="L470">
        <v>18</v>
      </c>
      <c r="M470">
        <v>1</v>
      </c>
      <c r="N470">
        <v>18</v>
      </c>
      <c r="O470">
        <v>0</v>
      </c>
      <c r="P470">
        <v>0</v>
      </c>
      <c r="Q470">
        <v>0</v>
      </c>
      <c r="R470">
        <v>0</v>
      </c>
      <c r="T470">
        <v>0</v>
      </c>
      <c r="U470">
        <v>0</v>
      </c>
      <c r="V470">
        <v>0</v>
      </c>
      <c r="W470">
        <v>0</v>
      </c>
      <c r="X470">
        <v>0</v>
      </c>
      <c r="Y470">
        <v>0</v>
      </c>
      <c r="Z470">
        <v>0</v>
      </c>
      <c r="AA470">
        <v>0</v>
      </c>
      <c r="AB470">
        <v>0</v>
      </c>
      <c r="AC470">
        <v>0</v>
      </c>
      <c r="AD470">
        <v>0</v>
      </c>
      <c r="AE470">
        <v>0</v>
      </c>
      <c r="AF470">
        <v>0</v>
      </c>
      <c r="AG470">
        <v>0</v>
      </c>
      <c r="AH470">
        <v>0</v>
      </c>
      <c r="AI470">
        <v>0</v>
      </c>
      <c r="AJ470">
        <v>0</v>
      </c>
      <c r="AK470">
        <v>0</v>
      </c>
      <c r="AL470">
        <v>0</v>
      </c>
      <c r="AM470">
        <v>0</v>
      </c>
      <c r="AN470">
        <v>18</v>
      </c>
      <c r="AV470" t="s">
        <v>1092</v>
      </c>
      <c r="AW470" t="s">
        <v>1092</v>
      </c>
      <c r="AX470">
        <v>0</v>
      </c>
      <c r="AY470">
        <v>0</v>
      </c>
      <c r="AZ470" t="s">
        <v>282</v>
      </c>
      <c r="BA470" t="s">
        <v>282</v>
      </c>
      <c r="BB470" t="s">
        <v>1207</v>
      </c>
      <c r="BC470">
        <v>4</v>
      </c>
    </row>
    <row r="471" spans="1:55" x14ac:dyDescent="0.25">
      <c r="A471" t="s">
        <v>99</v>
      </c>
      <c r="B471">
        <v>17</v>
      </c>
      <c r="C471" t="s">
        <v>1088</v>
      </c>
      <c r="D471" s="158">
        <v>45199</v>
      </c>
      <c r="E471">
        <v>310513</v>
      </c>
      <c r="F471">
        <v>9796420</v>
      </c>
      <c r="G471">
        <v>51481875</v>
      </c>
      <c r="H471" t="b">
        <v>0</v>
      </c>
      <c r="I471">
        <v>92</v>
      </c>
      <c r="J471" t="s">
        <v>1247</v>
      </c>
      <c r="K471">
        <v>14.4</v>
      </c>
      <c r="L471">
        <v>14.4</v>
      </c>
      <c r="M471">
        <v>1</v>
      </c>
      <c r="N471">
        <v>14.4</v>
      </c>
      <c r="O471">
        <v>0</v>
      </c>
      <c r="P471">
        <v>0</v>
      </c>
      <c r="Q471">
        <v>22.32</v>
      </c>
      <c r="R471">
        <v>0</v>
      </c>
      <c r="T471">
        <v>0</v>
      </c>
      <c r="U471">
        <v>0</v>
      </c>
      <c r="V471">
        <v>0</v>
      </c>
      <c r="W471">
        <v>0</v>
      </c>
      <c r="X471">
        <v>0</v>
      </c>
      <c r="Y471">
        <v>0</v>
      </c>
      <c r="Z471">
        <v>0</v>
      </c>
      <c r="AA471">
        <v>0</v>
      </c>
      <c r="AB471">
        <v>0</v>
      </c>
      <c r="AC471">
        <v>0</v>
      </c>
      <c r="AD471">
        <v>0</v>
      </c>
      <c r="AE471">
        <v>0</v>
      </c>
      <c r="AF471">
        <v>0</v>
      </c>
      <c r="AG471">
        <v>0</v>
      </c>
      <c r="AH471">
        <v>0</v>
      </c>
      <c r="AI471">
        <v>0</v>
      </c>
      <c r="AJ471">
        <v>0</v>
      </c>
      <c r="AK471">
        <v>0</v>
      </c>
      <c r="AL471">
        <v>0</v>
      </c>
      <c r="AM471">
        <v>0</v>
      </c>
      <c r="AN471">
        <v>-7.92</v>
      </c>
      <c r="AV471" t="s">
        <v>1092</v>
      </c>
      <c r="AW471" t="s">
        <v>1092</v>
      </c>
      <c r="AX471">
        <v>0</v>
      </c>
      <c r="AY471">
        <v>0</v>
      </c>
      <c r="AZ471" t="s">
        <v>282</v>
      </c>
      <c r="BA471" t="s">
        <v>282</v>
      </c>
      <c r="BB471" t="s">
        <v>1207</v>
      </c>
      <c r="BC471">
        <v>4</v>
      </c>
    </row>
    <row r="472" spans="1:55" x14ac:dyDescent="0.25">
      <c r="A472" t="s">
        <v>99</v>
      </c>
      <c r="B472">
        <v>17</v>
      </c>
      <c r="C472" t="s">
        <v>1088</v>
      </c>
      <c r="D472" s="158">
        <v>45199</v>
      </c>
      <c r="E472">
        <v>614708</v>
      </c>
      <c r="F472">
        <v>10232768</v>
      </c>
      <c r="G472">
        <v>53137656</v>
      </c>
      <c r="H472" t="b">
        <v>0</v>
      </c>
      <c r="I472">
        <v>37</v>
      </c>
      <c r="J472" t="s">
        <v>1187</v>
      </c>
      <c r="K472">
        <v>216</v>
      </c>
      <c r="L472">
        <v>216</v>
      </c>
      <c r="M472">
        <v>1</v>
      </c>
      <c r="N472">
        <v>216</v>
      </c>
      <c r="O472">
        <v>0</v>
      </c>
      <c r="P472">
        <v>0</v>
      </c>
      <c r="Q472">
        <v>432</v>
      </c>
      <c r="R472">
        <v>0</v>
      </c>
      <c r="T472">
        <v>0</v>
      </c>
      <c r="U472">
        <v>0</v>
      </c>
      <c r="V472">
        <v>0</v>
      </c>
      <c r="W472">
        <v>0</v>
      </c>
      <c r="X472">
        <v>0</v>
      </c>
      <c r="Y472">
        <v>0</v>
      </c>
      <c r="Z472">
        <v>0</v>
      </c>
      <c r="AA472">
        <v>0</v>
      </c>
      <c r="AB472">
        <v>0</v>
      </c>
      <c r="AC472">
        <v>0</v>
      </c>
      <c r="AD472">
        <v>0</v>
      </c>
      <c r="AE472">
        <v>0</v>
      </c>
      <c r="AF472">
        <v>0</v>
      </c>
      <c r="AG472">
        <v>0</v>
      </c>
      <c r="AH472">
        <v>0</v>
      </c>
      <c r="AI472">
        <v>0</v>
      </c>
      <c r="AJ472">
        <v>0</v>
      </c>
      <c r="AK472">
        <v>0</v>
      </c>
      <c r="AL472">
        <v>0</v>
      </c>
      <c r="AM472">
        <v>0</v>
      </c>
      <c r="AN472">
        <v>-216</v>
      </c>
      <c r="AV472" t="s">
        <v>1092</v>
      </c>
      <c r="AW472" t="s">
        <v>1092</v>
      </c>
      <c r="AX472">
        <v>0</v>
      </c>
      <c r="AY472">
        <v>0</v>
      </c>
      <c r="AZ472" t="s">
        <v>282</v>
      </c>
      <c r="BA472" t="s">
        <v>282</v>
      </c>
      <c r="BB472" t="s">
        <v>1191</v>
      </c>
      <c r="BC472">
        <v>2</v>
      </c>
    </row>
    <row r="473" spans="1:55" x14ac:dyDescent="0.25">
      <c r="A473" t="s">
        <v>99</v>
      </c>
      <c r="B473">
        <v>17</v>
      </c>
      <c r="C473" t="s">
        <v>1088</v>
      </c>
      <c r="D473" s="158">
        <v>45199</v>
      </c>
      <c r="E473">
        <v>607542</v>
      </c>
      <c r="F473">
        <v>10092566</v>
      </c>
      <c r="G473">
        <v>52322468</v>
      </c>
      <c r="H473" t="b">
        <v>0</v>
      </c>
      <c r="I473">
        <v>64</v>
      </c>
      <c r="J473" t="s">
        <v>1247</v>
      </c>
      <c r="K473">
        <v>18</v>
      </c>
      <c r="L473">
        <v>18</v>
      </c>
      <c r="M473">
        <v>1</v>
      </c>
      <c r="N473">
        <v>18</v>
      </c>
      <c r="O473">
        <v>0</v>
      </c>
      <c r="P473">
        <v>0</v>
      </c>
      <c r="Q473">
        <v>0</v>
      </c>
      <c r="R473">
        <v>0</v>
      </c>
      <c r="T473">
        <v>0</v>
      </c>
      <c r="U473">
        <v>0</v>
      </c>
      <c r="V473">
        <v>0</v>
      </c>
      <c r="W473">
        <v>0</v>
      </c>
      <c r="X473">
        <v>0</v>
      </c>
      <c r="Y473">
        <v>0</v>
      </c>
      <c r="Z473">
        <v>0</v>
      </c>
      <c r="AA473">
        <v>0</v>
      </c>
      <c r="AB473">
        <v>0</v>
      </c>
      <c r="AC473">
        <v>0</v>
      </c>
      <c r="AD473">
        <v>0</v>
      </c>
      <c r="AE473">
        <v>0</v>
      </c>
      <c r="AF473">
        <v>0</v>
      </c>
      <c r="AG473">
        <v>0</v>
      </c>
      <c r="AH473">
        <v>0</v>
      </c>
      <c r="AI473">
        <v>0</v>
      </c>
      <c r="AJ473">
        <v>0</v>
      </c>
      <c r="AK473">
        <v>0</v>
      </c>
      <c r="AL473">
        <v>0</v>
      </c>
      <c r="AM473">
        <v>0</v>
      </c>
      <c r="AN473">
        <v>18</v>
      </c>
      <c r="AV473" t="s">
        <v>1092</v>
      </c>
      <c r="AW473" t="s">
        <v>1092</v>
      </c>
      <c r="AX473">
        <v>0</v>
      </c>
      <c r="AY473">
        <v>0</v>
      </c>
      <c r="AZ473" t="s">
        <v>282</v>
      </c>
      <c r="BA473" t="s">
        <v>282</v>
      </c>
      <c r="BB473" t="s">
        <v>1186</v>
      </c>
      <c r="BC473">
        <v>3</v>
      </c>
    </row>
    <row r="474" spans="1:55" x14ac:dyDescent="0.25">
      <c r="A474" t="s">
        <v>99</v>
      </c>
      <c r="B474">
        <v>17</v>
      </c>
      <c r="C474" t="s">
        <v>1088</v>
      </c>
      <c r="D474" s="158">
        <v>45199</v>
      </c>
      <c r="E474">
        <v>102362</v>
      </c>
      <c r="F474">
        <v>10380877</v>
      </c>
      <c r="G474">
        <v>53996744</v>
      </c>
      <c r="H474" t="b">
        <v>0</v>
      </c>
      <c r="I474">
        <v>9</v>
      </c>
      <c r="J474" t="s">
        <v>1184</v>
      </c>
      <c r="K474">
        <v>216</v>
      </c>
      <c r="L474">
        <v>216</v>
      </c>
      <c r="M474">
        <v>1</v>
      </c>
      <c r="N474">
        <v>216</v>
      </c>
      <c r="O474">
        <v>0</v>
      </c>
      <c r="P474">
        <v>0</v>
      </c>
      <c r="Q474">
        <v>200</v>
      </c>
      <c r="R474">
        <v>0</v>
      </c>
      <c r="T474">
        <v>0</v>
      </c>
      <c r="U474">
        <v>0</v>
      </c>
      <c r="V474">
        <v>0</v>
      </c>
      <c r="W474">
        <v>0</v>
      </c>
      <c r="X474">
        <v>0</v>
      </c>
      <c r="Y474">
        <v>0</v>
      </c>
      <c r="Z474">
        <v>0</v>
      </c>
      <c r="AA474">
        <v>0</v>
      </c>
      <c r="AB474">
        <v>0</v>
      </c>
      <c r="AC474">
        <v>0</v>
      </c>
      <c r="AD474">
        <v>0</v>
      </c>
      <c r="AE474">
        <v>0</v>
      </c>
      <c r="AF474">
        <v>0</v>
      </c>
      <c r="AG474">
        <v>0</v>
      </c>
      <c r="AH474">
        <v>0</v>
      </c>
      <c r="AI474">
        <v>0</v>
      </c>
      <c r="AJ474">
        <v>0</v>
      </c>
      <c r="AK474">
        <v>0</v>
      </c>
      <c r="AL474">
        <v>0</v>
      </c>
      <c r="AM474">
        <v>0</v>
      </c>
      <c r="AN474">
        <v>16</v>
      </c>
      <c r="AV474" t="s">
        <v>1092</v>
      </c>
      <c r="AW474" t="s">
        <v>1092</v>
      </c>
      <c r="AX474">
        <v>0</v>
      </c>
      <c r="AY474">
        <v>0</v>
      </c>
      <c r="AZ474" t="s">
        <v>282</v>
      </c>
      <c r="BA474" t="s">
        <v>282</v>
      </c>
      <c r="BB474" t="s">
        <v>1197</v>
      </c>
      <c r="BC474">
        <v>1</v>
      </c>
    </row>
    <row r="475" spans="1:55" x14ac:dyDescent="0.25">
      <c r="A475" t="s">
        <v>99</v>
      </c>
      <c r="B475">
        <v>17</v>
      </c>
      <c r="C475" t="s">
        <v>1088</v>
      </c>
      <c r="D475" s="158">
        <v>45199</v>
      </c>
      <c r="E475">
        <v>607542</v>
      </c>
      <c r="F475">
        <v>10092566</v>
      </c>
      <c r="G475">
        <v>52322464</v>
      </c>
      <c r="H475" t="b">
        <v>0</v>
      </c>
      <c r="I475">
        <v>64</v>
      </c>
      <c r="J475" t="s">
        <v>1187</v>
      </c>
      <c r="K475">
        <v>216</v>
      </c>
      <c r="L475">
        <v>216</v>
      </c>
      <c r="M475">
        <v>1</v>
      </c>
      <c r="N475">
        <v>216</v>
      </c>
      <c r="O475">
        <v>0</v>
      </c>
      <c r="P475">
        <v>0</v>
      </c>
      <c r="Q475">
        <v>0</v>
      </c>
      <c r="R475">
        <v>0</v>
      </c>
      <c r="T475">
        <v>0</v>
      </c>
      <c r="U475">
        <v>0</v>
      </c>
      <c r="V475">
        <v>0</v>
      </c>
      <c r="W475">
        <v>0</v>
      </c>
      <c r="X475">
        <v>0</v>
      </c>
      <c r="Y475">
        <v>0</v>
      </c>
      <c r="Z475">
        <v>0</v>
      </c>
      <c r="AA475">
        <v>0</v>
      </c>
      <c r="AB475">
        <v>0</v>
      </c>
      <c r="AC475">
        <v>0</v>
      </c>
      <c r="AD475">
        <v>0</v>
      </c>
      <c r="AE475">
        <v>0</v>
      </c>
      <c r="AF475">
        <v>0</v>
      </c>
      <c r="AG475">
        <v>0</v>
      </c>
      <c r="AH475">
        <v>0</v>
      </c>
      <c r="AI475">
        <v>0</v>
      </c>
      <c r="AJ475">
        <v>0</v>
      </c>
      <c r="AK475">
        <v>0</v>
      </c>
      <c r="AL475">
        <v>0</v>
      </c>
      <c r="AM475">
        <v>0</v>
      </c>
      <c r="AN475">
        <v>216</v>
      </c>
      <c r="AV475" t="s">
        <v>1092</v>
      </c>
      <c r="AW475" t="s">
        <v>1092</v>
      </c>
      <c r="AX475">
        <v>0</v>
      </c>
      <c r="AY475">
        <v>0</v>
      </c>
      <c r="AZ475" t="s">
        <v>282</v>
      </c>
      <c r="BA475" t="s">
        <v>282</v>
      </c>
      <c r="BB475" t="s">
        <v>1186</v>
      </c>
      <c r="BC475">
        <v>3</v>
      </c>
    </row>
    <row r="476" spans="1:55" x14ac:dyDescent="0.25">
      <c r="A476" t="s">
        <v>99</v>
      </c>
      <c r="B476">
        <v>17</v>
      </c>
      <c r="C476" t="s">
        <v>1088</v>
      </c>
      <c r="D476" s="158">
        <v>45199</v>
      </c>
      <c r="E476">
        <v>585635</v>
      </c>
      <c r="F476">
        <v>9700531</v>
      </c>
      <c r="G476">
        <v>49941501</v>
      </c>
      <c r="H476" t="b">
        <v>0</v>
      </c>
      <c r="I476">
        <v>138</v>
      </c>
      <c r="J476" t="s">
        <v>1187</v>
      </c>
      <c r="K476">
        <v>216</v>
      </c>
      <c r="L476">
        <v>216</v>
      </c>
      <c r="M476">
        <v>1</v>
      </c>
      <c r="N476">
        <v>0</v>
      </c>
      <c r="O476">
        <v>165.43</v>
      </c>
      <c r="P476">
        <v>0</v>
      </c>
      <c r="Q476">
        <v>0</v>
      </c>
      <c r="R476">
        <v>0</v>
      </c>
      <c r="T476">
        <v>216</v>
      </c>
      <c r="U476">
        <v>0</v>
      </c>
      <c r="V476">
        <v>0</v>
      </c>
      <c r="W476">
        <v>0</v>
      </c>
      <c r="X476">
        <v>50.57</v>
      </c>
      <c r="Y476">
        <v>0</v>
      </c>
      <c r="Z476">
        <v>0</v>
      </c>
      <c r="AA476">
        <v>0</v>
      </c>
      <c r="AB476">
        <v>0</v>
      </c>
      <c r="AC476">
        <v>0</v>
      </c>
      <c r="AD476">
        <v>0</v>
      </c>
      <c r="AE476">
        <v>0</v>
      </c>
      <c r="AF476">
        <v>0</v>
      </c>
      <c r="AG476">
        <v>0</v>
      </c>
      <c r="AH476">
        <v>0</v>
      </c>
      <c r="AI476">
        <v>0</v>
      </c>
      <c r="AJ476">
        <v>0</v>
      </c>
      <c r="AK476">
        <v>0</v>
      </c>
      <c r="AL476">
        <v>0</v>
      </c>
      <c r="AM476">
        <v>0</v>
      </c>
      <c r="AN476">
        <v>165.43</v>
      </c>
      <c r="AP476" t="s">
        <v>1091</v>
      </c>
      <c r="AS476" t="s">
        <v>1185</v>
      </c>
      <c r="AV476" t="s">
        <v>1092</v>
      </c>
      <c r="AW476" t="s">
        <v>1092</v>
      </c>
      <c r="AX476">
        <v>0</v>
      </c>
      <c r="AY476">
        <v>0</v>
      </c>
      <c r="AZ476" t="s">
        <v>282</v>
      </c>
      <c r="BA476" t="s">
        <v>282</v>
      </c>
      <c r="BB476" t="s">
        <v>1205</v>
      </c>
      <c r="BC476">
        <v>5</v>
      </c>
    </row>
    <row r="477" spans="1:55" x14ac:dyDescent="0.25">
      <c r="A477" t="s">
        <v>99</v>
      </c>
      <c r="B477">
        <v>17</v>
      </c>
      <c r="C477" t="s">
        <v>1088</v>
      </c>
      <c r="D477" s="158">
        <v>45199</v>
      </c>
      <c r="E477">
        <v>120152</v>
      </c>
      <c r="F477">
        <v>10417211</v>
      </c>
      <c r="G477">
        <v>54097921</v>
      </c>
      <c r="H477" t="b">
        <v>0</v>
      </c>
      <c r="I477">
        <v>5</v>
      </c>
      <c r="J477" t="s">
        <v>1184</v>
      </c>
      <c r="K477">
        <v>216</v>
      </c>
      <c r="L477">
        <v>216</v>
      </c>
      <c r="M477">
        <v>1</v>
      </c>
      <c r="N477">
        <v>216</v>
      </c>
      <c r="O477">
        <v>0</v>
      </c>
      <c r="P477">
        <v>0</v>
      </c>
      <c r="Q477">
        <v>200</v>
      </c>
      <c r="R477">
        <v>0</v>
      </c>
      <c r="T477">
        <v>0</v>
      </c>
      <c r="U477">
        <v>0</v>
      </c>
      <c r="V477">
        <v>0</v>
      </c>
      <c r="W477">
        <v>0</v>
      </c>
      <c r="X477">
        <v>0</v>
      </c>
      <c r="Y477">
        <v>0</v>
      </c>
      <c r="Z477">
        <v>0</v>
      </c>
      <c r="AA477">
        <v>0</v>
      </c>
      <c r="AB477">
        <v>0</v>
      </c>
      <c r="AC477">
        <v>0</v>
      </c>
      <c r="AD477">
        <v>0</v>
      </c>
      <c r="AE477">
        <v>0</v>
      </c>
      <c r="AF477">
        <v>0</v>
      </c>
      <c r="AG477">
        <v>0</v>
      </c>
      <c r="AH477">
        <v>0</v>
      </c>
      <c r="AI477">
        <v>0</v>
      </c>
      <c r="AJ477">
        <v>0</v>
      </c>
      <c r="AK477">
        <v>0</v>
      </c>
      <c r="AL477">
        <v>0</v>
      </c>
      <c r="AM477">
        <v>0</v>
      </c>
      <c r="AN477">
        <v>16</v>
      </c>
      <c r="AV477" t="s">
        <v>1092</v>
      </c>
      <c r="AW477" t="s">
        <v>1092</v>
      </c>
      <c r="AX477">
        <v>0</v>
      </c>
      <c r="AY477">
        <v>0</v>
      </c>
      <c r="AZ477" t="s">
        <v>282</v>
      </c>
      <c r="BA477" t="s">
        <v>282</v>
      </c>
      <c r="BB477" t="s">
        <v>1197</v>
      </c>
      <c r="BC477">
        <v>1</v>
      </c>
    </row>
    <row r="478" spans="1:55" x14ac:dyDescent="0.25">
      <c r="A478" t="s">
        <v>99</v>
      </c>
      <c r="B478">
        <v>17</v>
      </c>
      <c r="C478" t="s">
        <v>1088</v>
      </c>
      <c r="D478" s="158">
        <v>45199</v>
      </c>
      <c r="E478">
        <v>120152</v>
      </c>
      <c r="F478">
        <v>10417211</v>
      </c>
      <c r="G478">
        <v>54097929</v>
      </c>
      <c r="H478" t="b">
        <v>0</v>
      </c>
      <c r="I478">
        <v>5</v>
      </c>
      <c r="J478" t="s">
        <v>1247</v>
      </c>
      <c r="K478">
        <v>18</v>
      </c>
      <c r="L478">
        <v>18</v>
      </c>
      <c r="M478">
        <v>1</v>
      </c>
      <c r="N478">
        <v>18</v>
      </c>
      <c r="O478">
        <v>0</v>
      </c>
      <c r="P478">
        <v>0</v>
      </c>
      <c r="Q478">
        <v>0</v>
      </c>
      <c r="R478">
        <v>0</v>
      </c>
      <c r="T478">
        <v>0</v>
      </c>
      <c r="U478">
        <v>0</v>
      </c>
      <c r="V478">
        <v>0</v>
      </c>
      <c r="W478">
        <v>0</v>
      </c>
      <c r="X478">
        <v>0</v>
      </c>
      <c r="Y478">
        <v>0</v>
      </c>
      <c r="Z478">
        <v>0</v>
      </c>
      <c r="AA478">
        <v>0</v>
      </c>
      <c r="AB478">
        <v>0</v>
      </c>
      <c r="AC478">
        <v>0</v>
      </c>
      <c r="AD478">
        <v>0</v>
      </c>
      <c r="AE478">
        <v>0</v>
      </c>
      <c r="AF478">
        <v>0</v>
      </c>
      <c r="AG478">
        <v>0</v>
      </c>
      <c r="AH478">
        <v>0</v>
      </c>
      <c r="AI478">
        <v>0</v>
      </c>
      <c r="AJ478">
        <v>0</v>
      </c>
      <c r="AK478">
        <v>0</v>
      </c>
      <c r="AL478">
        <v>0</v>
      </c>
      <c r="AM478">
        <v>0</v>
      </c>
      <c r="AN478">
        <v>18</v>
      </c>
      <c r="AV478" t="s">
        <v>1092</v>
      </c>
      <c r="AW478" t="s">
        <v>1092</v>
      </c>
      <c r="AX478">
        <v>0</v>
      </c>
      <c r="AY478">
        <v>0</v>
      </c>
      <c r="AZ478" t="s">
        <v>282</v>
      </c>
      <c r="BA478" t="s">
        <v>282</v>
      </c>
      <c r="BB478" t="s">
        <v>1197</v>
      </c>
      <c r="BC478">
        <v>1</v>
      </c>
    </row>
    <row r="479" spans="1:55" x14ac:dyDescent="0.25">
      <c r="A479" t="s">
        <v>99</v>
      </c>
      <c r="B479">
        <v>17</v>
      </c>
      <c r="C479" t="s">
        <v>1088</v>
      </c>
      <c r="D479" s="158">
        <v>45199</v>
      </c>
      <c r="E479">
        <v>461173</v>
      </c>
      <c r="F479">
        <v>9330847</v>
      </c>
      <c r="G479">
        <v>47333012</v>
      </c>
      <c r="H479" t="b">
        <v>0</v>
      </c>
      <c r="I479">
        <v>221</v>
      </c>
      <c r="J479" t="s">
        <v>1247</v>
      </c>
      <c r="K479">
        <v>15.4</v>
      </c>
      <c r="L479">
        <v>15.4</v>
      </c>
      <c r="M479">
        <v>1</v>
      </c>
      <c r="N479">
        <v>15.4</v>
      </c>
      <c r="O479">
        <v>0</v>
      </c>
      <c r="P479">
        <v>0</v>
      </c>
      <c r="Q479">
        <v>14.4</v>
      </c>
      <c r="R479">
        <v>0</v>
      </c>
      <c r="T479">
        <v>0</v>
      </c>
      <c r="U479">
        <v>0</v>
      </c>
      <c r="V479">
        <v>0</v>
      </c>
      <c r="W479">
        <v>0</v>
      </c>
      <c r="X479">
        <v>0</v>
      </c>
      <c r="Y479">
        <v>0</v>
      </c>
      <c r="Z479">
        <v>0</v>
      </c>
      <c r="AA479">
        <v>0</v>
      </c>
      <c r="AB479">
        <v>0</v>
      </c>
      <c r="AC479">
        <v>0</v>
      </c>
      <c r="AD479">
        <v>0</v>
      </c>
      <c r="AE479">
        <v>0</v>
      </c>
      <c r="AF479">
        <v>0</v>
      </c>
      <c r="AG479">
        <v>0</v>
      </c>
      <c r="AH479">
        <v>0</v>
      </c>
      <c r="AI479">
        <v>0</v>
      </c>
      <c r="AJ479">
        <v>0</v>
      </c>
      <c r="AK479">
        <v>0</v>
      </c>
      <c r="AL479">
        <v>0</v>
      </c>
      <c r="AM479">
        <v>0</v>
      </c>
      <c r="AN479">
        <v>1</v>
      </c>
      <c r="AV479" t="s">
        <v>1092</v>
      </c>
      <c r="AW479" t="s">
        <v>1092</v>
      </c>
      <c r="AX479">
        <v>0</v>
      </c>
      <c r="AY479">
        <v>0</v>
      </c>
      <c r="AZ479" t="s">
        <v>282</v>
      </c>
      <c r="BA479" t="s">
        <v>282</v>
      </c>
      <c r="BB479" t="s">
        <v>1204</v>
      </c>
      <c r="BC479">
        <v>7</v>
      </c>
    </row>
    <row r="480" spans="1:55" x14ac:dyDescent="0.25">
      <c r="A480" t="s">
        <v>99</v>
      </c>
      <c r="B480">
        <v>17</v>
      </c>
      <c r="C480" t="s">
        <v>1088</v>
      </c>
      <c r="D480" s="158">
        <v>45199</v>
      </c>
      <c r="E480">
        <v>205253</v>
      </c>
      <c r="F480">
        <v>3967063</v>
      </c>
      <c r="G480">
        <v>17795446</v>
      </c>
      <c r="H480" t="b">
        <v>0</v>
      </c>
      <c r="I480">
        <v>1837</v>
      </c>
      <c r="J480" t="s">
        <v>1184</v>
      </c>
      <c r="K480">
        <v>150</v>
      </c>
      <c r="L480">
        <v>150</v>
      </c>
      <c r="M480">
        <v>1</v>
      </c>
      <c r="N480">
        <v>0</v>
      </c>
      <c r="O480">
        <v>150</v>
      </c>
      <c r="P480">
        <v>0</v>
      </c>
      <c r="Q480">
        <v>90</v>
      </c>
      <c r="R480">
        <v>0</v>
      </c>
      <c r="T480">
        <v>150</v>
      </c>
      <c r="U480">
        <v>0</v>
      </c>
      <c r="V480">
        <v>0</v>
      </c>
      <c r="W480">
        <v>0</v>
      </c>
      <c r="X480">
        <v>0</v>
      </c>
      <c r="Y480">
        <v>0</v>
      </c>
      <c r="Z480">
        <v>0</v>
      </c>
      <c r="AA480">
        <v>0</v>
      </c>
      <c r="AB480">
        <v>0</v>
      </c>
      <c r="AC480">
        <v>0</v>
      </c>
      <c r="AD480">
        <v>0</v>
      </c>
      <c r="AE480">
        <v>0</v>
      </c>
      <c r="AF480">
        <v>0</v>
      </c>
      <c r="AG480">
        <v>0</v>
      </c>
      <c r="AH480">
        <v>0</v>
      </c>
      <c r="AI480">
        <v>0</v>
      </c>
      <c r="AJ480">
        <v>0</v>
      </c>
      <c r="AK480">
        <v>0</v>
      </c>
      <c r="AL480">
        <v>0</v>
      </c>
      <c r="AM480">
        <v>0</v>
      </c>
      <c r="AN480">
        <v>60</v>
      </c>
      <c r="AP480" t="s">
        <v>1093</v>
      </c>
      <c r="AS480" t="s">
        <v>1213</v>
      </c>
      <c r="AV480" t="s">
        <v>1092</v>
      </c>
      <c r="AW480" t="s">
        <v>1092</v>
      </c>
      <c r="AX480">
        <v>0</v>
      </c>
      <c r="AY480">
        <v>0</v>
      </c>
      <c r="AZ480" t="s">
        <v>282</v>
      </c>
      <c r="BA480" t="s">
        <v>282</v>
      </c>
      <c r="BB480" t="s">
        <v>1200</v>
      </c>
      <c r="BC480">
        <v>8</v>
      </c>
    </row>
    <row r="481" spans="1:55" x14ac:dyDescent="0.25">
      <c r="A481" t="s">
        <v>99</v>
      </c>
      <c r="B481">
        <v>17</v>
      </c>
      <c r="C481" t="s">
        <v>1088</v>
      </c>
      <c r="D481" s="158">
        <v>45199</v>
      </c>
      <c r="E481">
        <v>624386</v>
      </c>
      <c r="F481">
        <v>10417183</v>
      </c>
      <c r="G481">
        <v>54242769</v>
      </c>
      <c r="H481" t="b">
        <v>0</v>
      </c>
      <c r="I481">
        <v>2</v>
      </c>
      <c r="J481" t="s">
        <v>1247</v>
      </c>
      <c r="K481">
        <v>18</v>
      </c>
      <c r="L481">
        <v>18</v>
      </c>
      <c r="M481">
        <v>1</v>
      </c>
      <c r="N481">
        <v>18</v>
      </c>
      <c r="O481">
        <v>0</v>
      </c>
      <c r="P481">
        <v>0</v>
      </c>
      <c r="Q481">
        <v>0</v>
      </c>
      <c r="R481">
        <v>0</v>
      </c>
      <c r="T481">
        <v>0</v>
      </c>
      <c r="U481">
        <v>0</v>
      </c>
      <c r="V481">
        <v>0</v>
      </c>
      <c r="W481">
        <v>0</v>
      </c>
      <c r="X481">
        <v>0</v>
      </c>
      <c r="Y481">
        <v>0</v>
      </c>
      <c r="Z481">
        <v>0</v>
      </c>
      <c r="AA481">
        <v>0</v>
      </c>
      <c r="AB481">
        <v>0</v>
      </c>
      <c r="AC481">
        <v>0</v>
      </c>
      <c r="AD481">
        <v>0</v>
      </c>
      <c r="AE481">
        <v>0</v>
      </c>
      <c r="AF481">
        <v>0</v>
      </c>
      <c r="AG481">
        <v>0</v>
      </c>
      <c r="AH481">
        <v>0</v>
      </c>
      <c r="AI481">
        <v>0</v>
      </c>
      <c r="AJ481">
        <v>0</v>
      </c>
      <c r="AK481">
        <v>0</v>
      </c>
      <c r="AL481">
        <v>0</v>
      </c>
      <c r="AM481">
        <v>0</v>
      </c>
      <c r="AN481">
        <v>18</v>
      </c>
      <c r="AV481" t="s">
        <v>1092</v>
      </c>
      <c r="AW481" t="s">
        <v>1092</v>
      </c>
      <c r="AX481">
        <v>0</v>
      </c>
      <c r="AY481">
        <v>0</v>
      </c>
      <c r="AZ481" t="s">
        <v>282</v>
      </c>
      <c r="BA481" t="s">
        <v>282</v>
      </c>
      <c r="BB481" t="s">
        <v>1197</v>
      </c>
      <c r="BC481">
        <v>1</v>
      </c>
    </row>
    <row r="482" spans="1:55" x14ac:dyDescent="0.25">
      <c r="A482" t="s">
        <v>102</v>
      </c>
      <c r="B482">
        <v>17</v>
      </c>
      <c r="C482" t="s">
        <v>1088</v>
      </c>
      <c r="D482" s="158">
        <v>45199</v>
      </c>
      <c r="E482">
        <v>327194</v>
      </c>
      <c r="H482" t="b">
        <v>0</v>
      </c>
      <c r="I482">
        <v>1</v>
      </c>
      <c r="J482" t="s">
        <v>1212</v>
      </c>
      <c r="AN482">
        <v>-18</v>
      </c>
      <c r="AV482" t="s">
        <v>1092</v>
      </c>
      <c r="AW482" t="s">
        <v>1092</v>
      </c>
      <c r="BA482" t="s">
        <v>282</v>
      </c>
      <c r="BB482" t="s">
        <v>1197</v>
      </c>
      <c r="BC482">
        <v>1</v>
      </c>
    </row>
    <row r="483" spans="1:55" x14ac:dyDescent="0.25">
      <c r="A483" t="s">
        <v>99</v>
      </c>
      <c r="B483">
        <v>17</v>
      </c>
      <c r="C483" t="s">
        <v>1088</v>
      </c>
      <c r="D483" s="158">
        <v>45199</v>
      </c>
      <c r="E483">
        <v>624160</v>
      </c>
      <c r="F483">
        <v>10412639</v>
      </c>
      <c r="G483">
        <v>54248804</v>
      </c>
      <c r="H483" t="b">
        <v>0</v>
      </c>
      <c r="I483">
        <v>2</v>
      </c>
      <c r="J483" t="s">
        <v>1184</v>
      </c>
      <c r="K483">
        <v>216</v>
      </c>
      <c r="L483">
        <v>216</v>
      </c>
      <c r="M483">
        <v>1</v>
      </c>
      <c r="N483">
        <v>216</v>
      </c>
      <c r="O483">
        <v>0</v>
      </c>
      <c r="P483">
        <v>0</v>
      </c>
      <c r="Q483">
        <v>0</v>
      </c>
      <c r="R483">
        <v>0</v>
      </c>
      <c r="T483">
        <v>0</v>
      </c>
      <c r="U483">
        <v>0</v>
      </c>
      <c r="V483">
        <v>0</v>
      </c>
      <c r="W483">
        <v>0</v>
      </c>
      <c r="X483">
        <v>0</v>
      </c>
      <c r="Y483">
        <v>0</v>
      </c>
      <c r="Z483">
        <v>0</v>
      </c>
      <c r="AA483">
        <v>0</v>
      </c>
      <c r="AB483">
        <v>0</v>
      </c>
      <c r="AC483">
        <v>0</v>
      </c>
      <c r="AD483">
        <v>0</v>
      </c>
      <c r="AE483">
        <v>0</v>
      </c>
      <c r="AF483">
        <v>0</v>
      </c>
      <c r="AG483">
        <v>0</v>
      </c>
      <c r="AH483">
        <v>0</v>
      </c>
      <c r="AI483">
        <v>0</v>
      </c>
      <c r="AJ483">
        <v>0</v>
      </c>
      <c r="AK483">
        <v>0</v>
      </c>
      <c r="AL483">
        <v>0</v>
      </c>
      <c r="AM483">
        <v>0</v>
      </c>
      <c r="AN483">
        <v>216</v>
      </c>
      <c r="AV483" t="s">
        <v>1092</v>
      </c>
      <c r="AW483" t="s">
        <v>1092</v>
      </c>
      <c r="AX483">
        <v>0</v>
      </c>
      <c r="AY483">
        <v>0</v>
      </c>
      <c r="AZ483" t="s">
        <v>282</v>
      </c>
      <c r="BA483" t="s">
        <v>282</v>
      </c>
      <c r="BB483" t="s">
        <v>1197</v>
      </c>
      <c r="BC483">
        <v>1</v>
      </c>
    </row>
    <row r="484" spans="1:55" x14ac:dyDescent="0.25">
      <c r="A484" t="s">
        <v>102</v>
      </c>
      <c r="B484">
        <v>17</v>
      </c>
      <c r="C484" t="s">
        <v>1088</v>
      </c>
      <c r="D484" s="158">
        <v>45199</v>
      </c>
      <c r="E484">
        <v>440789</v>
      </c>
      <c r="H484" t="b">
        <v>0</v>
      </c>
      <c r="I484">
        <v>1</v>
      </c>
      <c r="J484" t="s">
        <v>1212</v>
      </c>
      <c r="AN484">
        <v>-403.56</v>
      </c>
      <c r="AV484" t="s">
        <v>1092</v>
      </c>
      <c r="AW484" t="s">
        <v>1092</v>
      </c>
      <c r="BA484" t="s">
        <v>282</v>
      </c>
      <c r="BB484" t="s">
        <v>1197</v>
      </c>
      <c r="BC484">
        <v>1</v>
      </c>
    </row>
    <row r="485" spans="1:55" x14ac:dyDescent="0.25">
      <c r="A485" t="s">
        <v>102</v>
      </c>
      <c r="B485">
        <v>17</v>
      </c>
      <c r="C485" t="s">
        <v>1088</v>
      </c>
      <c r="D485" s="158">
        <v>45199</v>
      </c>
      <c r="E485">
        <v>377875</v>
      </c>
      <c r="H485" t="b">
        <v>0</v>
      </c>
      <c r="I485">
        <v>1</v>
      </c>
      <c r="J485" t="s">
        <v>1212</v>
      </c>
      <c r="AN485">
        <v>-57.19</v>
      </c>
      <c r="AV485" t="s">
        <v>1092</v>
      </c>
      <c r="AW485" t="s">
        <v>1092</v>
      </c>
      <c r="BA485" t="s">
        <v>282</v>
      </c>
      <c r="BB485" t="s">
        <v>1197</v>
      </c>
      <c r="BC485">
        <v>1</v>
      </c>
    </row>
    <row r="486" spans="1:55" x14ac:dyDescent="0.25">
      <c r="A486" t="s">
        <v>102</v>
      </c>
      <c r="B486">
        <v>17</v>
      </c>
      <c r="C486" t="s">
        <v>1088</v>
      </c>
      <c r="D486" s="158">
        <v>45199</v>
      </c>
      <c r="E486">
        <v>297815</v>
      </c>
      <c r="H486" t="b">
        <v>0</v>
      </c>
      <c r="I486">
        <v>1</v>
      </c>
      <c r="J486" t="s">
        <v>1212</v>
      </c>
      <c r="AN486">
        <v>-63.6</v>
      </c>
      <c r="AV486" t="s">
        <v>1092</v>
      </c>
      <c r="AW486" t="s">
        <v>1092</v>
      </c>
      <c r="BA486" t="s">
        <v>282</v>
      </c>
      <c r="BB486" t="s">
        <v>1197</v>
      </c>
      <c r="BC486">
        <v>1</v>
      </c>
    </row>
    <row r="487" spans="1:55" x14ac:dyDescent="0.25">
      <c r="A487" t="s">
        <v>99</v>
      </c>
      <c r="B487">
        <v>17</v>
      </c>
      <c r="C487" t="s">
        <v>1088</v>
      </c>
      <c r="D487" s="158">
        <v>45199</v>
      </c>
      <c r="E487">
        <v>90263</v>
      </c>
      <c r="F487">
        <v>9762844</v>
      </c>
      <c r="G487">
        <v>49993446</v>
      </c>
      <c r="H487" t="b">
        <v>0</v>
      </c>
      <c r="I487">
        <v>137</v>
      </c>
      <c r="J487" t="s">
        <v>1192</v>
      </c>
      <c r="K487">
        <v>5.5</v>
      </c>
      <c r="L487">
        <v>5.5</v>
      </c>
      <c r="M487">
        <v>1</v>
      </c>
      <c r="N487">
        <v>5.5</v>
      </c>
      <c r="O487">
        <v>0</v>
      </c>
      <c r="P487">
        <v>0</v>
      </c>
      <c r="Q487">
        <v>4</v>
      </c>
      <c r="R487">
        <v>0</v>
      </c>
      <c r="T487">
        <v>0</v>
      </c>
      <c r="U487">
        <v>0</v>
      </c>
      <c r="V487">
        <v>0</v>
      </c>
      <c r="W487">
        <v>0</v>
      </c>
      <c r="X487">
        <v>0</v>
      </c>
      <c r="Y487">
        <v>0</v>
      </c>
      <c r="Z487">
        <v>0</v>
      </c>
      <c r="AA487">
        <v>0</v>
      </c>
      <c r="AB487">
        <v>0</v>
      </c>
      <c r="AC487">
        <v>0</v>
      </c>
      <c r="AD487">
        <v>0</v>
      </c>
      <c r="AE487">
        <v>0</v>
      </c>
      <c r="AF487">
        <v>0</v>
      </c>
      <c r="AG487">
        <v>0</v>
      </c>
      <c r="AH487">
        <v>0</v>
      </c>
      <c r="AI487">
        <v>0</v>
      </c>
      <c r="AJ487">
        <v>0</v>
      </c>
      <c r="AK487">
        <v>0</v>
      </c>
      <c r="AL487">
        <v>0</v>
      </c>
      <c r="AM487">
        <v>0</v>
      </c>
      <c r="AN487">
        <v>1.5</v>
      </c>
      <c r="AV487" t="s">
        <v>1092</v>
      </c>
      <c r="AW487" t="s">
        <v>1092</v>
      </c>
      <c r="AX487">
        <v>0</v>
      </c>
      <c r="AY487">
        <v>0</v>
      </c>
      <c r="AZ487" t="s">
        <v>282</v>
      </c>
      <c r="BA487" t="s">
        <v>282</v>
      </c>
      <c r="BB487" t="s">
        <v>1205</v>
      </c>
      <c r="BC487">
        <v>5</v>
      </c>
    </row>
    <row r="488" spans="1:55" x14ac:dyDescent="0.25">
      <c r="A488" t="s">
        <v>99</v>
      </c>
      <c r="B488">
        <v>17</v>
      </c>
      <c r="C488" t="s">
        <v>1088</v>
      </c>
      <c r="D488" s="158">
        <v>45199</v>
      </c>
      <c r="E488">
        <v>603316</v>
      </c>
      <c r="F488">
        <v>10033747</v>
      </c>
      <c r="G488">
        <v>51922556</v>
      </c>
      <c r="H488" t="b">
        <v>0</v>
      </c>
      <c r="I488">
        <v>75</v>
      </c>
      <c r="J488" t="s">
        <v>1187</v>
      </c>
      <c r="K488">
        <v>216</v>
      </c>
      <c r="L488">
        <v>216</v>
      </c>
      <c r="M488">
        <v>1</v>
      </c>
      <c r="N488">
        <v>216</v>
      </c>
      <c r="O488">
        <v>0</v>
      </c>
      <c r="P488">
        <v>0</v>
      </c>
      <c r="Q488">
        <v>432</v>
      </c>
      <c r="R488">
        <v>0</v>
      </c>
      <c r="T488">
        <v>0</v>
      </c>
      <c r="U488">
        <v>0</v>
      </c>
      <c r="V488">
        <v>0</v>
      </c>
      <c r="W488">
        <v>0</v>
      </c>
      <c r="X488">
        <v>0</v>
      </c>
      <c r="Y488">
        <v>0</v>
      </c>
      <c r="Z488">
        <v>0</v>
      </c>
      <c r="AA488">
        <v>0</v>
      </c>
      <c r="AB488">
        <v>0</v>
      </c>
      <c r="AC488">
        <v>0</v>
      </c>
      <c r="AD488">
        <v>0</v>
      </c>
      <c r="AE488">
        <v>0</v>
      </c>
      <c r="AF488">
        <v>0</v>
      </c>
      <c r="AG488">
        <v>0</v>
      </c>
      <c r="AH488">
        <v>0</v>
      </c>
      <c r="AI488">
        <v>0</v>
      </c>
      <c r="AJ488">
        <v>0</v>
      </c>
      <c r="AK488">
        <v>0</v>
      </c>
      <c r="AL488">
        <v>0</v>
      </c>
      <c r="AM488">
        <v>0</v>
      </c>
      <c r="AN488">
        <v>-216</v>
      </c>
      <c r="AV488" t="s">
        <v>1092</v>
      </c>
      <c r="AW488" t="s">
        <v>1092</v>
      </c>
      <c r="AX488">
        <v>0</v>
      </c>
      <c r="AY488">
        <v>0</v>
      </c>
      <c r="AZ488" t="s">
        <v>282</v>
      </c>
      <c r="BA488" t="s">
        <v>282</v>
      </c>
      <c r="BB488" t="s">
        <v>1186</v>
      </c>
      <c r="BC488">
        <v>3</v>
      </c>
    </row>
    <row r="489" spans="1:55" x14ac:dyDescent="0.25">
      <c r="A489" t="s">
        <v>99</v>
      </c>
      <c r="B489">
        <v>17</v>
      </c>
      <c r="C489" t="s">
        <v>1088</v>
      </c>
      <c r="D489" s="158">
        <v>45199</v>
      </c>
      <c r="E489">
        <v>76450</v>
      </c>
      <c r="F489">
        <v>7971213</v>
      </c>
      <c r="G489">
        <v>40395402</v>
      </c>
      <c r="H489" t="b">
        <v>0</v>
      </c>
      <c r="I489">
        <v>502</v>
      </c>
      <c r="J489" t="s">
        <v>1184</v>
      </c>
      <c r="K489">
        <v>216</v>
      </c>
      <c r="L489">
        <v>216</v>
      </c>
      <c r="M489">
        <v>1</v>
      </c>
      <c r="N489">
        <v>216</v>
      </c>
      <c r="O489">
        <v>0</v>
      </c>
      <c r="P489">
        <v>0</v>
      </c>
      <c r="Q489">
        <v>432</v>
      </c>
      <c r="R489">
        <v>0</v>
      </c>
      <c r="T489">
        <v>0</v>
      </c>
      <c r="U489">
        <v>0</v>
      </c>
      <c r="V489">
        <v>0</v>
      </c>
      <c r="W489">
        <v>0</v>
      </c>
      <c r="X489">
        <v>0</v>
      </c>
      <c r="Y489">
        <v>0</v>
      </c>
      <c r="Z489">
        <v>0</v>
      </c>
      <c r="AA489">
        <v>0</v>
      </c>
      <c r="AB489">
        <v>0</v>
      </c>
      <c r="AC489">
        <v>0</v>
      </c>
      <c r="AD489">
        <v>0</v>
      </c>
      <c r="AE489">
        <v>0</v>
      </c>
      <c r="AF489">
        <v>0</v>
      </c>
      <c r="AG489">
        <v>0</v>
      </c>
      <c r="AH489">
        <v>0</v>
      </c>
      <c r="AI489">
        <v>0</v>
      </c>
      <c r="AJ489">
        <v>0</v>
      </c>
      <c r="AK489">
        <v>0</v>
      </c>
      <c r="AL489">
        <v>0</v>
      </c>
      <c r="AM489">
        <v>0</v>
      </c>
      <c r="AN489">
        <v>-216</v>
      </c>
      <c r="AV489" t="s">
        <v>1092</v>
      </c>
      <c r="AW489" t="s">
        <v>1092</v>
      </c>
      <c r="AX489">
        <v>0</v>
      </c>
      <c r="AY489">
        <v>0</v>
      </c>
      <c r="AZ489" t="s">
        <v>282</v>
      </c>
      <c r="BA489" t="s">
        <v>282</v>
      </c>
      <c r="BB489" t="s">
        <v>1200</v>
      </c>
      <c r="BC489">
        <v>8</v>
      </c>
    </row>
    <row r="490" spans="1:55" x14ac:dyDescent="0.25">
      <c r="A490" t="s">
        <v>99</v>
      </c>
      <c r="B490">
        <v>17</v>
      </c>
      <c r="C490" t="s">
        <v>1088</v>
      </c>
      <c r="D490" s="158">
        <v>45199</v>
      </c>
      <c r="E490">
        <v>547791</v>
      </c>
      <c r="F490">
        <v>8936575</v>
      </c>
      <c r="G490">
        <v>45480553</v>
      </c>
      <c r="H490" t="b">
        <v>0</v>
      </c>
      <c r="I490">
        <v>291</v>
      </c>
      <c r="J490" t="s">
        <v>1187</v>
      </c>
      <c r="K490">
        <v>216</v>
      </c>
      <c r="L490">
        <v>216</v>
      </c>
      <c r="M490">
        <v>1</v>
      </c>
      <c r="N490">
        <v>216</v>
      </c>
      <c r="O490">
        <v>0</v>
      </c>
      <c r="P490">
        <v>0</v>
      </c>
      <c r="Q490">
        <v>0</v>
      </c>
      <c r="R490">
        <v>0</v>
      </c>
      <c r="T490">
        <v>0</v>
      </c>
      <c r="U490">
        <v>0</v>
      </c>
      <c r="V490">
        <v>0</v>
      </c>
      <c r="W490">
        <v>0</v>
      </c>
      <c r="X490">
        <v>0</v>
      </c>
      <c r="Y490">
        <v>0</v>
      </c>
      <c r="Z490">
        <v>0</v>
      </c>
      <c r="AA490">
        <v>0</v>
      </c>
      <c r="AB490">
        <v>0</v>
      </c>
      <c r="AC490">
        <v>0</v>
      </c>
      <c r="AD490">
        <v>0</v>
      </c>
      <c r="AE490">
        <v>0</v>
      </c>
      <c r="AF490">
        <v>0</v>
      </c>
      <c r="AG490">
        <v>0</v>
      </c>
      <c r="AH490">
        <v>0</v>
      </c>
      <c r="AI490">
        <v>0</v>
      </c>
      <c r="AJ490">
        <v>0</v>
      </c>
      <c r="AK490">
        <v>0</v>
      </c>
      <c r="AL490">
        <v>0</v>
      </c>
      <c r="AM490">
        <v>0</v>
      </c>
      <c r="AN490">
        <v>216</v>
      </c>
      <c r="AV490" t="s">
        <v>1092</v>
      </c>
      <c r="AW490" t="s">
        <v>1092</v>
      </c>
      <c r="AX490">
        <v>0</v>
      </c>
      <c r="AY490">
        <v>0</v>
      </c>
      <c r="AZ490" t="s">
        <v>282</v>
      </c>
      <c r="BA490" t="s">
        <v>282</v>
      </c>
      <c r="BB490" t="s">
        <v>1204</v>
      </c>
      <c r="BC490">
        <v>7</v>
      </c>
    </row>
    <row r="491" spans="1:55" x14ac:dyDescent="0.25">
      <c r="A491" t="s">
        <v>99</v>
      </c>
      <c r="B491">
        <v>17</v>
      </c>
      <c r="C491" t="s">
        <v>1088</v>
      </c>
      <c r="D491" s="158">
        <v>45199</v>
      </c>
      <c r="E491">
        <v>571961</v>
      </c>
      <c r="F491">
        <v>9421755</v>
      </c>
      <c r="G491">
        <v>47932490</v>
      </c>
      <c r="H491" t="b">
        <v>0</v>
      </c>
      <c r="I491">
        <v>201</v>
      </c>
      <c r="J491" t="s">
        <v>1187</v>
      </c>
      <c r="K491">
        <v>216</v>
      </c>
      <c r="L491">
        <v>216</v>
      </c>
      <c r="M491">
        <v>1</v>
      </c>
      <c r="N491">
        <v>0</v>
      </c>
      <c r="O491">
        <v>165.43</v>
      </c>
      <c r="P491">
        <v>0</v>
      </c>
      <c r="Q491">
        <v>0</v>
      </c>
      <c r="R491">
        <v>0</v>
      </c>
      <c r="T491">
        <v>216</v>
      </c>
      <c r="U491">
        <v>0</v>
      </c>
      <c r="V491">
        <v>0</v>
      </c>
      <c r="W491">
        <v>0</v>
      </c>
      <c r="X491">
        <v>50.57</v>
      </c>
      <c r="Y491">
        <v>0</v>
      </c>
      <c r="Z491">
        <v>0</v>
      </c>
      <c r="AA491">
        <v>0</v>
      </c>
      <c r="AB491">
        <v>0</v>
      </c>
      <c r="AC491">
        <v>0</v>
      </c>
      <c r="AD491">
        <v>0</v>
      </c>
      <c r="AE491">
        <v>0</v>
      </c>
      <c r="AF491">
        <v>0</v>
      </c>
      <c r="AG491">
        <v>0</v>
      </c>
      <c r="AH491">
        <v>0</v>
      </c>
      <c r="AI491">
        <v>0</v>
      </c>
      <c r="AJ491">
        <v>0</v>
      </c>
      <c r="AK491">
        <v>0</v>
      </c>
      <c r="AL491">
        <v>0</v>
      </c>
      <c r="AM491">
        <v>0</v>
      </c>
      <c r="AN491">
        <v>165.43</v>
      </c>
      <c r="AP491" t="s">
        <v>1091</v>
      </c>
      <c r="AS491" t="s">
        <v>1185</v>
      </c>
      <c r="AV491" t="s">
        <v>1092</v>
      </c>
      <c r="AW491" t="s">
        <v>1092</v>
      </c>
      <c r="AX491">
        <v>0</v>
      </c>
      <c r="AY491">
        <v>0</v>
      </c>
      <c r="AZ491" t="s">
        <v>282</v>
      </c>
      <c r="BA491" t="s">
        <v>282</v>
      </c>
      <c r="BB491" t="s">
        <v>1204</v>
      </c>
      <c r="BC491">
        <v>7</v>
      </c>
    </row>
    <row r="492" spans="1:55" x14ac:dyDescent="0.25">
      <c r="A492" t="s">
        <v>99</v>
      </c>
      <c r="B492">
        <v>17</v>
      </c>
      <c r="C492" t="s">
        <v>1088</v>
      </c>
      <c r="D492" s="158">
        <v>45199</v>
      </c>
      <c r="E492">
        <v>571961</v>
      </c>
      <c r="F492">
        <v>9421755</v>
      </c>
      <c r="G492">
        <v>47932491</v>
      </c>
      <c r="H492" t="b">
        <v>0</v>
      </c>
      <c r="I492">
        <v>201</v>
      </c>
      <c r="J492" t="s">
        <v>1187</v>
      </c>
      <c r="K492">
        <v>216</v>
      </c>
      <c r="L492">
        <v>216</v>
      </c>
      <c r="M492">
        <v>1</v>
      </c>
      <c r="N492">
        <v>0</v>
      </c>
      <c r="O492">
        <v>165.43</v>
      </c>
      <c r="P492">
        <v>0</v>
      </c>
      <c r="Q492">
        <v>0</v>
      </c>
      <c r="R492">
        <v>0</v>
      </c>
      <c r="T492">
        <v>216</v>
      </c>
      <c r="U492">
        <v>0</v>
      </c>
      <c r="V492">
        <v>0</v>
      </c>
      <c r="W492">
        <v>0</v>
      </c>
      <c r="X492">
        <v>50.57</v>
      </c>
      <c r="Y492">
        <v>0</v>
      </c>
      <c r="Z492">
        <v>0</v>
      </c>
      <c r="AA492">
        <v>0</v>
      </c>
      <c r="AB492">
        <v>0</v>
      </c>
      <c r="AC492">
        <v>0</v>
      </c>
      <c r="AD492">
        <v>0</v>
      </c>
      <c r="AE492">
        <v>0</v>
      </c>
      <c r="AF492">
        <v>0</v>
      </c>
      <c r="AG492">
        <v>0</v>
      </c>
      <c r="AH492">
        <v>0</v>
      </c>
      <c r="AI492">
        <v>0</v>
      </c>
      <c r="AJ492">
        <v>0</v>
      </c>
      <c r="AK492">
        <v>0</v>
      </c>
      <c r="AL492">
        <v>0</v>
      </c>
      <c r="AM492">
        <v>0</v>
      </c>
      <c r="AN492">
        <v>165.43</v>
      </c>
      <c r="AP492" t="s">
        <v>1091</v>
      </c>
      <c r="AS492" t="s">
        <v>1185</v>
      </c>
      <c r="AV492" t="s">
        <v>1092</v>
      </c>
      <c r="AW492" t="s">
        <v>1092</v>
      </c>
      <c r="AX492">
        <v>0</v>
      </c>
      <c r="AY492">
        <v>0</v>
      </c>
      <c r="AZ492" t="s">
        <v>282</v>
      </c>
      <c r="BA492" t="s">
        <v>282</v>
      </c>
      <c r="BB492" t="s">
        <v>1204</v>
      </c>
      <c r="BC492">
        <v>7</v>
      </c>
    </row>
    <row r="493" spans="1:55" x14ac:dyDescent="0.25">
      <c r="A493" t="s">
        <v>102</v>
      </c>
      <c r="B493">
        <v>17</v>
      </c>
      <c r="C493" t="s">
        <v>1088</v>
      </c>
      <c r="D493" s="158">
        <v>45199</v>
      </c>
      <c r="E493">
        <v>294908</v>
      </c>
      <c r="H493" t="b">
        <v>0</v>
      </c>
      <c r="I493">
        <v>1</v>
      </c>
      <c r="J493" t="s">
        <v>1212</v>
      </c>
      <c r="AN493">
        <v>-3.6</v>
      </c>
      <c r="AP493" t="s">
        <v>1091</v>
      </c>
      <c r="AV493" t="s">
        <v>1092</v>
      </c>
      <c r="AW493" t="s">
        <v>1092</v>
      </c>
      <c r="BA493" t="s">
        <v>282</v>
      </c>
      <c r="BB493" t="s">
        <v>1197</v>
      </c>
      <c r="BC493">
        <v>1</v>
      </c>
    </row>
    <row r="494" spans="1:55" x14ac:dyDescent="0.25">
      <c r="A494" t="s">
        <v>102</v>
      </c>
      <c r="B494">
        <v>17</v>
      </c>
      <c r="C494" t="s">
        <v>1088</v>
      </c>
      <c r="D494" s="158">
        <v>45199</v>
      </c>
      <c r="E494">
        <v>228943</v>
      </c>
      <c r="H494" t="b">
        <v>0</v>
      </c>
      <c r="I494">
        <v>1</v>
      </c>
      <c r="J494" t="s">
        <v>1212</v>
      </c>
      <c r="AN494">
        <v>-0.01</v>
      </c>
      <c r="AV494" t="s">
        <v>1092</v>
      </c>
      <c r="AW494" t="s">
        <v>1092</v>
      </c>
      <c r="BA494" t="s">
        <v>282</v>
      </c>
      <c r="BB494" t="s">
        <v>1197</v>
      </c>
      <c r="BC494">
        <v>1</v>
      </c>
    </row>
    <row r="495" spans="1:55" x14ac:dyDescent="0.25">
      <c r="A495" t="s">
        <v>99</v>
      </c>
      <c r="B495">
        <v>17</v>
      </c>
      <c r="C495" t="s">
        <v>1088</v>
      </c>
      <c r="D495" s="158">
        <v>45199</v>
      </c>
      <c r="E495">
        <v>619684</v>
      </c>
      <c r="F495">
        <v>10328331</v>
      </c>
      <c r="G495">
        <v>53720101</v>
      </c>
      <c r="H495" t="b">
        <v>0</v>
      </c>
      <c r="I495">
        <v>18</v>
      </c>
      <c r="J495" t="s">
        <v>1184</v>
      </c>
      <c r="K495">
        <v>216</v>
      </c>
      <c r="L495">
        <v>216</v>
      </c>
      <c r="M495">
        <v>1</v>
      </c>
      <c r="N495">
        <v>0</v>
      </c>
      <c r="O495">
        <v>20.48</v>
      </c>
      <c r="P495">
        <v>0</v>
      </c>
      <c r="Q495">
        <v>0</v>
      </c>
      <c r="R495">
        <v>0</v>
      </c>
      <c r="T495">
        <v>216</v>
      </c>
      <c r="U495">
        <v>0</v>
      </c>
      <c r="V495">
        <v>1</v>
      </c>
      <c r="W495">
        <v>184.3</v>
      </c>
      <c r="X495">
        <v>11.22</v>
      </c>
      <c r="Y495">
        <v>0</v>
      </c>
      <c r="Z495">
        <v>0</v>
      </c>
      <c r="AA495">
        <v>0</v>
      </c>
      <c r="AB495">
        <v>0</v>
      </c>
      <c r="AC495">
        <v>0</v>
      </c>
      <c r="AD495">
        <v>0</v>
      </c>
      <c r="AE495">
        <v>0</v>
      </c>
      <c r="AF495">
        <v>0</v>
      </c>
      <c r="AG495">
        <v>0</v>
      </c>
      <c r="AH495">
        <v>0</v>
      </c>
      <c r="AI495">
        <v>0</v>
      </c>
      <c r="AJ495">
        <v>0</v>
      </c>
      <c r="AK495">
        <v>0</v>
      </c>
      <c r="AL495">
        <v>0</v>
      </c>
      <c r="AM495">
        <v>0</v>
      </c>
      <c r="AN495">
        <v>20.48</v>
      </c>
      <c r="AP495" t="s">
        <v>1091</v>
      </c>
      <c r="AS495" t="s">
        <v>1185</v>
      </c>
      <c r="AV495" t="s">
        <v>1092</v>
      </c>
      <c r="AW495" t="s">
        <v>1092</v>
      </c>
      <c r="AX495">
        <v>0</v>
      </c>
      <c r="AY495">
        <v>0</v>
      </c>
      <c r="AZ495" t="s">
        <v>282</v>
      </c>
      <c r="BA495" t="s">
        <v>282</v>
      </c>
      <c r="BB495" t="s">
        <v>1197</v>
      </c>
      <c r="BC495">
        <v>1</v>
      </c>
    </row>
    <row r="496" spans="1:55" x14ac:dyDescent="0.25">
      <c r="A496" t="s">
        <v>102</v>
      </c>
      <c r="B496">
        <v>17</v>
      </c>
      <c r="C496" t="s">
        <v>1088</v>
      </c>
      <c r="D496" s="158">
        <v>45199</v>
      </c>
      <c r="E496">
        <v>248398</v>
      </c>
      <c r="H496" t="b">
        <v>0</v>
      </c>
      <c r="I496">
        <v>1</v>
      </c>
      <c r="J496" t="s">
        <v>1212</v>
      </c>
      <c r="AN496">
        <v>-432</v>
      </c>
      <c r="AV496" t="s">
        <v>1092</v>
      </c>
      <c r="AW496" t="s">
        <v>1092</v>
      </c>
      <c r="BA496" t="s">
        <v>282</v>
      </c>
      <c r="BB496" t="s">
        <v>1197</v>
      </c>
      <c r="BC496">
        <v>1</v>
      </c>
    </row>
    <row r="497" spans="1:55" x14ac:dyDescent="0.25">
      <c r="A497" t="s">
        <v>102</v>
      </c>
      <c r="B497">
        <v>17</v>
      </c>
      <c r="C497" t="s">
        <v>1088</v>
      </c>
      <c r="D497" s="158">
        <v>45199</v>
      </c>
      <c r="E497">
        <v>97789</v>
      </c>
      <c r="H497" t="b">
        <v>0</v>
      </c>
      <c r="I497">
        <v>1</v>
      </c>
      <c r="J497" t="s">
        <v>1212</v>
      </c>
      <c r="AN497">
        <v>-5.68</v>
      </c>
      <c r="AV497" t="s">
        <v>1092</v>
      </c>
      <c r="AW497" t="s">
        <v>1092</v>
      </c>
      <c r="BA497" t="s">
        <v>282</v>
      </c>
      <c r="BB497" t="s">
        <v>1197</v>
      </c>
      <c r="BC497">
        <v>1</v>
      </c>
    </row>
    <row r="498" spans="1:55" x14ac:dyDescent="0.25">
      <c r="A498" t="s">
        <v>102</v>
      </c>
      <c r="B498">
        <v>17</v>
      </c>
      <c r="C498" t="s">
        <v>1088</v>
      </c>
      <c r="D498" s="158">
        <v>45199</v>
      </c>
      <c r="E498">
        <v>262026</v>
      </c>
      <c r="H498" t="b">
        <v>0</v>
      </c>
      <c r="I498">
        <v>1</v>
      </c>
      <c r="J498" t="s">
        <v>1212</v>
      </c>
      <c r="AN498">
        <v>-6</v>
      </c>
      <c r="AV498" t="s">
        <v>1092</v>
      </c>
      <c r="AW498" t="s">
        <v>1092</v>
      </c>
      <c r="BA498" t="s">
        <v>282</v>
      </c>
      <c r="BB498" t="s">
        <v>1197</v>
      </c>
      <c r="BC498">
        <v>1</v>
      </c>
    </row>
    <row r="499" spans="1:55" x14ac:dyDescent="0.25">
      <c r="A499" t="s">
        <v>99</v>
      </c>
      <c r="B499">
        <v>17</v>
      </c>
      <c r="C499" t="s">
        <v>1088</v>
      </c>
      <c r="D499" s="158">
        <v>45199</v>
      </c>
      <c r="E499">
        <v>296073</v>
      </c>
      <c r="F499">
        <v>4265765</v>
      </c>
      <c r="G499">
        <v>19352714</v>
      </c>
      <c r="H499" t="b">
        <v>0</v>
      </c>
      <c r="I499">
        <v>1730</v>
      </c>
      <c r="J499" t="s">
        <v>1184</v>
      </c>
      <c r="K499">
        <v>216</v>
      </c>
      <c r="L499">
        <v>216</v>
      </c>
      <c r="M499">
        <v>1</v>
      </c>
      <c r="N499">
        <v>0</v>
      </c>
      <c r="O499">
        <v>216</v>
      </c>
      <c r="P499">
        <v>0</v>
      </c>
      <c r="Q499">
        <v>0</v>
      </c>
      <c r="R499">
        <v>0</v>
      </c>
      <c r="T499">
        <v>216</v>
      </c>
      <c r="U499">
        <v>0</v>
      </c>
      <c r="V499">
        <v>0</v>
      </c>
      <c r="W499">
        <v>0</v>
      </c>
      <c r="X499">
        <v>0</v>
      </c>
      <c r="Y499">
        <v>0</v>
      </c>
      <c r="Z499">
        <v>0</v>
      </c>
      <c r="AA499">
        <v>0</v>
      </c>
      <c r="AB499">
        <v>0</v>
      </c>
      <c r="AC499">
        <v>0</v>
      </c>
      <c r="AD499">
        <v>0</v>
      </c>
      <c r="AE499">
        <v>0</v>
      </c>
      <c r="AF499">
        <v>0</v>
      </c>
      <c r="AG499">
        <v>0</v>
      </c>
      <c r="AH499">
        <v>0</v>
      </c>
      <c r="AI499">
        <v>0</v>
      </c>
      <c r="AJ499">
        <v>0</v>
      </c>
      <c r="AK499">
        <v>0</v>
      </c>
      <c r="AL499">
        <v>0</v>
      </c>
      <c r="AM499">
        <v>0</v>
      </c>
      <c r="AN499">
        <v>216</v>
      </c>
      <c r="AP499" t="s">
        <v>1091</v>
      </c>
      <c r="AS499" t="s">
        <v>1185</v>
      </c>
      <c r="AV499" t="s">
        <v>1092</v>
      </c>
      <c r="AW499" t="s">
        <v>1092</v>
      </c>
      <c r="AX499">
        <v>0</v>
      </c>
      <c r="AY499">
        <v>0</v>
      </c>
      <c r="AZ499" t="s">
        <v>282</v>
      </c>
      <c r="BA499" t="s">
        <v>282</v>
      </c>
      <c r="BB499" t="s">
        <v>1200</v>
      </c>
      <c r="BC499">
        <v>8</v>
      </c>
    </row>
    <row r="500" spans="1:55" x14ac:dyDescent="0.25">
      <c r="A500" t="s">
        <v>99</v>
      </c>
      <c r="B500">
        <v>17</v>
      </c>
      <c r="C500" t="s">
        <v>1088</v>
      </c>
      <c r="D500" s="158">
        <v>45199</v>
      </c>
      <c r="E500">
        <v>449074</v>
      </c>
      <c r="F500">
        <v>9985326</v>
      </c>
      <c r="G500">
        <v>51726543</v>
      </c>
      <c r="H500" t="b">
        <v>0</v>
      </c>
      <c r="I500">
        <v>82</v>
      </c>
      <c r="J500" t="s">
        <v>1187</v>
      </c>
      <c r="K500">
        <v>216</v>
      </c>
      <c r="L500">
        <v>216</v>
      </c>
      <c r="M500">
        <v>1</v>
      </c>
      <c r="N500">
        <v>216</v>
      </c>
      <c r="O500">
        <v>0</v>
      </c>
      <c r="P500">
        <v>0</v>
      </c>
      <c r="Q500">
        <v>0</v>
      </c>
      <c r="R500">
        <v>0</v>
      </c>
      <c r="T500">
        <v>0</v>
      </c>
      <c r="U500">
        <v>0</v>
      </c>
      <c r="V500">
        <v>0</v>
      </c>
      <c r="W500">
        <v>0</v>
      </c>
      <c r="X500">
        <v>0</v>
      </c>
      <c r="Y500">
        <v>0</v>
      </c>
      <c r="Z500">
        <v>0</v>
      </c>
      <c r="AA500">
        <v>0</v>
      </c>
      <c r="AB500">
        <v>0</v>
      </c>
      <c r="AC500">
        <v>0</v>
      </c>
      <c r="AD500">
        <v>0</v>
      </c>
      <c r="AE500">
        <v>0</v>
      </c>
      <c r="AF500">
        <v>0</v>
      </c>
      <c r="AG500">
        <v>0</v>
      </c>
      <c r="AH500">
        <v>0</v>
      </c>
      <c r="AI500">
        <v>0</v>
      </c>
      <c r="AJ500">
        <v>0</v>
      </c>
      <c r="AK500">
        <v>0</v>
      </c>
      <c r="AL500">
        <v>0</v>
      </c>
      <c r="AM500">
        <v>0</v>
      </c>
      <c r="AN500">
        <v>216</v>
      </c>
      <c r="AV500" t="s">
        <v>1092</v>
      </c>
      <c r="AW500" t="s">
        <v>1092</v>
      </c>
      <c r="AX500">
        <v>0</v>
      </c>
      <c r="AY500">
        <v>0</v>
      </c>
      <c r="AZ500" t="s">
        <v>282</v>
      </c>
      <c r="BA500" t="s">
        <v>282</v>
      </c>
      <c r="BB500" t="s">
        <v>1186</v>
      </c>
      <c r="BC500">
        <v>3</v>
      </c>
    </row>
    <row r="501" spans="1:55" x14ac:dyDescent="0.25">
      <c r="A501" t="s">
        <v>99</v>
      </c>
      <c r="B501">
        <v>17</v>
      </c>
      <c r="C501" t="s">
        <v>1088</v>
      </c>
      <c r="D501" s="158">
        <v>45199</v>
      </c>
      <c r="E501">
        <v>449074</v>
      </c>
      <c r="F501">
        <v>9985326</v>
      </c>
      <c r="G501">
        <v>51726544</v>
      </c>
      <c r="H501" t="b">
        <v>0</v>
      </c>
      <c r="I501">
        <v>82</v>
      </c>
      <c r="J501" t="s">
        <v>1187</v>
      </c>
      <c r="K501">
        <v>216</v>
      </c>
      <c r="L501">
        <v>216</v>
      </c>
      <c r="M501">
        <v>1</v>
      </c>
      <c r="N501">
        <v>216</v>
      </c>
      <c r="O501">
        <v>0</v>
      </c>
      <c r="P501">
        <v>0</v>
      </c>
      <c r="Q501">
        <v>0</v>
      </c>
      <c r="R501">
        <v>0</v>
      </c>
      <c r="T501">
        <v>0</v>
      </c>
      <c r="U501">
        <v>0</v>
      </c>
      <c r="V501">
        <v>0</v>
      </c>
      <c r="W501">
        <v>0</v>
      </c>
      <c r="X501">
        <v>0</v>
      </c>
      <c r="Y501">
        <v>0</v>
      </c>
      <c r="Z501">
        <v>0</v>
      </c>
      <c r="AA501">
        <v>0</v>
      </c>
      <c r="AB501">
        <v>0</v>
      </c>
      <c r="AC501">
        <v>0</v>
      </c>
      <c r="AD501">
        <v>0</v>
      </c>
      <c r="AE501">
        <v>0</v>
      </c>
      <c r="AF501">
        <v>0</v>
      </c>
      <c r="AG501">
        <v>0</v>
      </c>
      <c r="AH501">
        <v>0</v>
      </c>
      <c r="AI501">
        <v>0</v>
      </c>
      <c r="AJ501">
        <v>0</v>
      </c>
      <c r="AK501">
        <v>0</v>
      </c>
      <c r="AL501">
        <v>0</v>
      </c>
      <c r="AM501">
        <v>0</v>
      </c>
      <c r="AN501">
        <v>216</v>
      </c>
      <c r="AV501" t="s">
        <v>1092</v>
      </c>
      <c r="AW501" t="s">
        <v>1092</v>
      </c>
      <c r="AX501">
        <v>0</v>
      </c>
      <c r="AY501">
        <v>0</v>
      </c>
      <c r="AZ501" t="s">
        <v>282</v>
      </c>
      <c r="BA501" t="s">
        <v>282</v>
      </c>
      <c r="BB501" t="s">
        <v>1186</v>
      </c>
      <c r="BC501">
        <v>3</v>
      </c>
    </row>
    <row r="502" spans="1:55" x14ac:dyDescent="0.25">
      <c r="A502" t="s">
        <v>99</v>
      </c>
      <c r="B502">
        <v>17</v>
      </c>
      <c r="C502" t="s">
        <v>1088</v>
      </c>
      <c r="D502" s="158">
        <v>45199</v>
      </c>
      <c r="E502">
        <v>619920</v>
      </c>
      <c r="F502">
        <v>10331628</v>
      </c>
      <c r="G502">
        <v>53671586</v>
      </c>
      <c r="H502" t="b">
        <v>0</v>
      </c>
      <c r="I502">
        <v>19</v>
      </c>
      <c r="J502" t="s">
        <v>1184</v>
      </c>
      <c r="K502">
        <v>216</v>
      </c>
      <c r="L502">
        <v>216</v>
      </c>
      <c r="M502">
        <v>1</v>
      </c>
      <c r="N502">
        <v>216</v>
      </c>
      <c r="O502">
        <v>0</v>
      </c>
      <c r="P502">
        <v>0</v>
      </c>
      <c r="Q502">
        <v>450</v>
      </c>
      <c r="R502">
        <v>0</v>
      </c>
      <c r="T502">
        <v>0</v>
      </c>
      <c r="U502">
        <v>0</v>
      </c>
      <c r="V502">
        <v>0</v>
      </c>
      <c r="W502">
        <v>0</v>
      </c>
      <c r="X502">
        <v>0</v>
      </c>
      <c r="Y502">
        <v>0</v>
      </c>
      <c r="Z502">
        <v>0</v>
      </c>
      <c r="AA502">
        <v>0</v>
      </c>
      <c r="AB502">
        <v>0</v>
      </c>
      <c r="AC502">
        <v>0</v>
      </c>
      <c r="AD502">
        <v>0</v>
      </c>
      <c r="AE502">
        <v>0</v>
      </c>
      <c r="AF502">
        <v>0</v>
      </c>
      <c r="AG502">
        <v>0</v>
      </c>
      <c r="AH502">
        <v>0</v>
      </c>
      <c r="AI502">
        <v>0</v>
      </c>
      <c r="AJ502">
        <v>0</v>
      </c>
      <c r="AK502">
        <v>0</v>
      </c>
      <c r="AL502">
        <v>0</v>
      </c>
      <c r="AM502">
        <v>0</v>
      </c>
      <c r="AN502">
        <v>-234</v>
      </c>
      <c r="AV502" t="s">
        <v>1092</v>
      </c>
      <c r="AW502" t="s">
        <v>1092</v>
      </c>
      <c r="AX502">
        <v>0</v>
      </c>
      <c r="AY502">
        <v>0</v>
      </c>
      <c r="AZ502" t="s">
        <v>282</v>
      </c>
      <c r="BA502" t="s">
        <v>282</v>
      </c>
      <c r="BB502" t="s">
        <v>1197</v>
      </c>
      <c r="BC502">
        <v>1</v>
      </c>
    </row>
    <row r="503" spans="1:55" x14ac:dyDescent="0.25">
      <c r="A503" t="s">
        <v>99</v>
      </c>
      <c r="B503">
        <v>17</v>
      </c>
      <c r="C503" t="s">
        <v>1088</v>
      </c>
      <c r="D503" s="158">
        <v>45199</v>
      </c>
      <c r="E503">
        <v>619920</v>
      </c>
      <c r="F503">
        <v>10331628</v>
      </c>
      <c r="G503">
        <v>53671587</v>
      </c>
      <c r="H503" t="b">
        <v>0</v>
      </c>
      <c r="I503">
        <v>19</v>
      </c>
      <c r="J503" t="s">
        <v>1184</v>
      </c>
      <c r="K503">
        <v>216</v>
      </c>
      <c r="L503">
        <v>216</v>
      </c>
      <c r="M503">
        <v>1</v>
      </c>
      <c r="N503">
        <v>216</v>
      </c>
      <c r="O503">
        <v>0</v>
      </c>
      <c r="P503">
        <v>0</v>
      </c>
      <c r="Q503">
        <v>0</v>
      </c>
      <c r="R503">
        <v>0</v>
      </c>
      <c r="T503">
        <v>0</v>
      </c>
      <c r="U503">
        <v>0</v>
      </c>
      <c r="V503">
        <v>0</v>
      </c>
      <c r="W503">
        <v>0</v>
      </c>
      <c r="X503">
        <v>0</v>
      </c>
      <c r="Y503">
        <v>0</v>
      </c>
      <c r="Z503">
        <v>0</v>
      </c>
      <c r="AA503">
        <v>0</v>
      </c>
      <c r="AB503">
        <v>0</v>
      </c>
      <c r="AC503">
        <v>0</v>
      </c>
      <c r="AD503">
        <v>0</v>
      </c>
      <c r="AE503">
        <v>0</v>
      </c>
      <c r="AF503">
        <v>0</v>
      </c>
      <c r="AG503">
        <v>0</v>
      </c>
      <c r="AH503">
        <v>0</v>
      </c>
      <c r="AI503">
        <v>0</v>
      </c>
      <c r="AJ503">
        <v>0</v>
      </c>
      <c r="AK503">
        <v>0</v>
      </c>
      <c r="AL503">
        <v>0</v>
      </c>
      <c r="AM503">
        <v>0</v>
      </c>
      <c r="AN503">
        <v>216</v>
      </c>
      <c r="AV503" t="s">
        <v>1092</v>
      </c>
      <c r="AW503" t="s">
        <v>1092</v>
      </c>
      <c r="AX503">
        <v>0</v>
      </c>
      <c r="AY503">
        <v>0</v>
      </c>
      <c r="AZ503" t="s">
        <v>282</v>
      </c>
      <c r="BA503" t="s">
        <v>282</v>
      </c>
      <c r="BB503" t="s">
        <v>1197</v>
      </c>
      <c r="BC503">
        <v>1</v>
      </c>
    </row>
    <row r="504" spans="1:55" x14ac:dyDescent="0.25">
      <c r="A504" t="s">
        <v>99</v>
      </c>
      <c r="B504">
        <v>17</v>
      </c>
      <c r="C504" t="s">
        <v>1088</v>
      </c>
      <c r="D504" s="158">
        <v>45199</v>
      </c>
      <c r="E504">
        <v>607039</v>
      </c>
      <c r="F504">
        <v>10082646</v>
      </c>
      <c r="G504">
        <v>52180198</v>
      </c>
      <c r="H504" t="b">
        <v>0</v>
      </c>
      <c r="I504">
        <v>68</v>
      </c>
      <c r="J504" t="s">
        <v>1184</v>
      </c>
      <c r="K504">
        <v>216</v>
      </c>
      <c r="L504">
        <v>216</v>
      </c>
      <c r="M504">
        <v>1</v>
      </c>
      <c r="N504">
        <v>216</v>
      </c>
      <c r="O504">
        <v>0</v>
      </c>
      <c r="P504">
        <v>0</v>
      </c>
      <c r="Q504">
        <v>432</v>
      </c>
      <c r="R504">
        <v>0</v>
      </c>
      <c r="T504">
        <v>0</v>
      </c>
      <c r="U504">
        <v>0</v>
      </c>
      <c r="V504">
        <v>0</v>
      </c>
      <c r="W504">
        <v>0</v>
      </c>
      <c r="X504">
        <v>0</v>
      </c>
      <c r="Y504">
        <v>0</v>
      </c>
      <c r="Z504">
        <v>0</v>
      </c>
      <c r="AA504">
        <v>0</v>
      </c>
      <c r="AB504">
        <v>0</v>
      </c>
      <c r="AC504">
        <v>0</v>
      </c>
      <c r="AD504">
        <v>0</v>
      </c>
      <c r="AE504">
        <v>0</v>
      </c>
      <c r="AF504">
        <v>0</v>
      </c>
      <c r="AG504">
        <v>0</v>
      </c>
      <c r="AH504">
        <v>0</v>
      </c>
      <c r="AI504">
        <v>0</v>
      </c>
      <c r="AJ504">
        <v>0</v>
      </c>
      <c r="AK504">
        <v>0</v>
      </c>
      <c r="AL504">
        <v>0</v>
      </c>
      <c r="AM504">
        <v>0</v>
      </c>
      <c r="AN504">
        <v>-216</v>
      </c>
      <c r="AV504" t="s">
        <v>1092</v>
      </c>
      <c r="AW504" t="s">
        <v>1092</v>
      </c>
      <c r="AX504">
        <v>0</v>
      </c>
      <c r="AY504">
        <v>0</v>
      </c>
      <c r="AZ504" t="s">
        <v>282</v>
      </c>
      <c r="BA504" t="s">
        <v>282</v>
      </c>
      <c r="BB504" t="s">
        <v>1186</v>
      </c>
      <c r="BC504">
        <v>3</v>
      </c>
    </row>
    <row r="505" spans="1:55" x14ac:dyDescent="0.25">
      <c r="A505" t="s">
        <v>99</v>
      </c>
      <c r="B505">
        <v>17</v>
      </c>
      <c r="C505" t="s">
        <v>1088</v>
      </c>
      <c r="D505" s="158">
        <v>45199</v>
      </c>
      <c r="E505">
        <v>607039</v>
      </c>
      <c r="F505">
        <v>10082646</v>
      </c>
      <c r="G505">
        <v>52180202</v>
      </c>
      <c r="H505" t="b">
        <v>0</v>
      </c>
      <c r="I505">
        <v>68</v>
      </c>
      <c r="J505" t="s">
        <v>1184</v>
      </c>
      <c r="K505">
        <v>216</v>
      </c>
      <c r="L505">
        <v>216</v>
      </c>
      <c r="M505">
        <v>1</v>
      </c>
      <c r="N505">
        <v>216</v>
      </c>
      <c r="O505">
        <v>0</v>
      </c>
      <c r="P505">
        <v>0</v>
      </c>
      <c r="Q505">
        <v>0</v>
      </c>
      <c r="R505">
        <v>0</v>
      </c>
      <c r="T505">
        <v>0</v>
      </c>
      <c r="U505">
        <v>0</v>
      </c>
      <c r="V505">
        <v>0</v>
      </c>
      <c r="W505">
        <v>0</v>
      </c>
      <c r="X505">
        <v>0</v>
      </c>
      <c r="Y505">
        <v>0</v>
      </c>
      <c r="Z505">
        <v>0</v>
      </c>
      <c r="AA505">
        <v>0</v>
      </c>
      <c r="AB505">
        <v>0</v>
      </c>
      <c r="AC505">
        <v>0</v>
      </c>
      <c r="AD505">
        <v>0</v>
      </c>
      <c r="AE505">
        <v>0</v>
      </c>
      <c r="AF505">
        <v>0</v>
      </c>
      <c r="AG505">
        <v>0</v>
      </c>
      <c r="AH505">
        <v>0</v>
      </c>
      <c r="AI505">
        <v>0</v>
      </c>
      <c r="AJ505">
        <v>0</v>
      </c>
      <c r="AK505">
        <v>0</v>
      </c>
      <c r="AL505">
        <v>0</v>
      </c>
      <c r="AM505">
        <v>0</v>
      </c>
      <c r="AN505">
        <v>216</v>
      </c>
      <c r="AV505" t="s">
        <v>1092</v>
      </c>
      <c r="AW505" t="s">
        <v>1092</v>
      </c>
      <c r="AX505">
        <v>0</v>
      </c>
      <c r="AY505">
        <v>0</v>
      </c>
      <c r="AZ505" t="s">
        <v>282</v>
      </c>
      <c r="BA505" t="s">
        <v>282</v>
      </c>
      <c r="BB505" t="s">
        <v>1186</v>
      </c>
      <c r="BC505">
        <v>3</v>
      </c>
    </row>
    <row r="506" spans="1:55" x14ac:dyDescent="0.25">
      <c r="A506" t="s">
        <v>99</v>
      </c>
      <c r="B506">
        <v>17</v>
      </c>
      <c r="C506" t="s">
        <v>1088</v>
      </c>
      <c r="D506" s="158">
        <v>45199</v>
      </c>
      <c r="E506">
        <v>588288</v>
      </c>
      <c r="F506">
        <v>10243619</v>
      </c>
      <c r="G506">
        <v>52957433</v>
      </c>
      <c r="H506" t="b">
        <v>0</v>
      </c>
      <c r="I506">
        <v>43</v>
      </c>
      <c r="J506" t="s">
        <v>1247</v>
      </c>
      <c r="K506">
        <v>14.4</v>
      </c>
      <c r="L506">
        <v>14.4</v>
      </c>
      <c r="M506">
        <v>1</v>
      </c>
      <c r="N506">
        <v>14.4</v>
      </c>
      <c r="O506">
        <v>0</v>
      </c>
      <c r="P506">
        <v>0</v>
      </c>
      <c r="Q506">
        <v>0</v>
      </c>
      <c r="R506">
        <v>0</v>
      </c>
      <c r="T506">
        <v>0</v>
      </c>
      <c r="U506">
        <v>0</v>
      </c>
      <c r="V506">
        <v>0</v>
      </c>
      <c r="W506">
        <v>0</v>
      </c>
      <c r="X506">
        <v>0</v>
      </c>
      <c r="Y506">
        <v>0</v>
      </c>
      <c r="Z506">
        <v>0</v>
      </c>
      <c r="AA506">
        <v>0</v>
      </c>
      <c r="AB506">
        <v>0</v>
      </c>
      <c r="AC506">
        <v>0</v>
      </c>
      <c r="AD506">
        <v>0</v>
      </c>
      <c r="AE506">
        <v>0</v>
      </c>
      <c r="AF506">
        <v>0</v>
      </c>
      <c r="AG506">
        <v>0</v>
      </c>
      <c r="AH506">
        <v>0</v>
      </c>
      <c r="AI506">
        <v>0</v>
      </c>
      <c r="AJ506">
        <v>0</v>
      </c>
      <c r="AK506">
        <v>0</v>
      </c>
      <c r="AL506">
        <v>0</v>
      </c>
      <c r="AM506">
        <v>0</v>
      </c>
      <c r="AN506">
        <v>14.4</v>
      </c>
      <c r="AV506" t="s">
        <v>1092</v>
      </c>
      <c r="AW506" t="s">
        <v>1092</v>
      </c>
      <c r="AX506">
        <v>0</v>
      </c>
      <c r="AY506">
        <v>0</v>
      </c>
      <c r="AZ506" t="s">
        <v>282</v>
      </c>
      <c r="BA506" t="s">
        <v>282</v>
      </c>
      <c r="BB506" t="s">
        <v>1191</v>
      </c>
      <c r="BC506">
        <v>2</v>
      </c>
    </row>
    <row r="507" spans="1:55" x14ac:dyDescent="0.25">
      <c r="A507" t="s">
        <v>99</v>
      </c>
      <c r="B507">
        <v>17</v>
      </c>
      <c r="C507" t="s">
        <v>1088</v>
      </c>
      <c r="D507" s="158">
        <v>45199</v>
      </c>
      <c r="E507">
        <v>599622</v>
      </c>
      <c r="F507">
        <v>9964814</v>
      </c>
      <c r="G507">
        <v>51272798</v>
      </c>
      <c r="H507" t="b">
        <v>0</v>
      </c>
      <c r="I507">
        <v>100</v>
      </c>
      <c r="J507" t="s">
        <v>1192</v>
      </c>
      <c r="K507">
        <v>15</v>
      </c>
      <c r="L507">
        <v>15</v>
      </c>
      <c r="M507">
        <v>1</v>
      </c>
      <c r="N507">
        <v>15</v>
      </c>
      <c r="O507">
        <v>0</v>
      </c>
      <c r="P507">
        <v>0</v>
      </c>
      <c r="Q507">
        <v>0</v>
      </c>
      <c r="R507">
        <v>0</v>
      </c>
      <c r="T507">
        <v>0</v>
      </c>
      <c r="U507">
        <v>0</v>
      </c>
      <c r="V507">
        <v>0</v>
      </c>
      <c r="W507">
        <v>0</v>
      </c>
      <c r="X507">
        <v>0</v>
      </c>
      <c r="Y507">
        <v>0</v>
      </c>
      <c r="Z507">
        <v>0</v>
      </c>
      <c r="AA507">
        <v>0</v>
      </c>
      <c r="AB507">
        <v>0</v>
      </c>
      <c r="AC507">
        <v>0</v>
      </c>
      <c r="AD507">
        <v>0</v>
      </c>
      <c r="AE507">
        <v>0</v>
      </c>
      <c r="AF507">
        <v>0</v>
      </c>
      <c r="AG507">
        <v>0</v>
      </c>
      <c r="AH507">
        <v>0</v>
      </c>
      <c r="AI507">
        <v>0</v>
      </c>
      <c r="AJ507">
        <v>0</v>
      </c>
      <c r="AK507">
        <v>0</v>
      </c>
      <c r="AL507">
        <v>0</v>
      </c>
      <c r="AM507">
        <v>0</v>
      </c>
      <c r="AN507">
        <v>15</v>
      </c>
      <c r="AV507" t="s">
        <v>1092</v>
      </c>
      <c r="AW507" t="s">
        <v>1092</v>
      </c>
      <c r="AX507">
        <v>0</v>
      </c>
      <c r="AY507">
        <v>0</v>
      </c>
      <c r="AZ507" t="s">
        <v>282</v>
      </c>
      <c r="BA507" t="s">
        <v>282</v>
      </c>
      <c r="BB507" t="s">
        <v>1207</v>
      </c>
      <c r="BC507">
        <v>4</v>
      </c>
    </row>
    <row r="508" spans="1:55" x14ac:dyDescent="0.25">
      <c r="A508" t="s">
        <v>99</v>
      </c>
      <c r="B508">
        <v>17</v>
      </c>
      <c r="C508" t="s">
        <v>1088</v>
      </c>
      <c r="D508" s="158">
        <v>45199</v>
      </c>
      <c r="E508">
        <v>376317</v>
      </c>
      <c r="F508">
        <v>5642043</v>
      </c>
      <c r="G508">
        <v>28141255</v>
      </c>
      <c r="H508" t="b">
        <v>0</v>
      </c>
      <c r="I508">
        <v>1205</v>
      </c>
      <c r="J508" t="s">
        <v>1187</v>
      </c>
      <c r="K508">
        <v>216</v>
      </c>
      <c r="L508">
        <v>216</v>
      </c>
      <c r="M508">
        <v>1</v>
      </c>
      <c r="N508">
        <v>216</v>
      </c>
      <c r="O508">
        <v>0</v>
      </c>
      <c r="P508">
        <v>0</v>
      </c>
      <c r="Q508">
        <v>0</v>
      </c>
      <c r="R508">
        <v>0</v>
      </c>
      <c r="T508">
        <v>0</v>
      </c>
      <c r="U508">
        <v>0</v>
      </c>
      <c r="V508">
        <v>0</v>
      </c>
      <c r="W508">
        <v>0</v>
      </c>
      <c r="X508">
        <v>0</v>
      </c>
      <c r="Y508">
        <v>0</v>
      </c>
      <c r="Z508">
        <v>0</v>
      </c>
      <c r="AA508">
        <v>0</v>
      </c>
      <c r="AB508">
        <v>0</v>
      </c>
      <c r="AC508">
        <v>0</v>
      </c>
      <c r="AD508">
        <v>0</v>
      </c>
      <c r="AE508">
        <v>0</v>
      </c>
      <c r="AF508">
        <v>0</v>
      </c>
      <c r="AG508">
        <v>0</v>
      </c>
      <c r="AH508">
        <v>0</v>
      </c>
      <c r="AI508">
        <v>0</v>
      </c>
      <c r="AJ508">
        <v>0</v>
      </c>
      <c r="AK508">
        <v>0</v>
      </c>
      <c r="AL508">
        <v>0</v>
      </c>
      <c r="AM508">
        <v>0</v>
      </c>
      <c r="AN508">
        <v>216</v>
      </c>
      <c r="AV508" t="s">
        <v>1092</v>
      </c>
      <c r="AW508" t="s">
        <v>1092</v>
      </c>
      <c r="AX508">
        <v>0</v>
      </c>
      <c r="AY508">
        <v>0</v>
      </c>
      <c r="AZ508" t="s">
        <v>282</v>
      </c>
      <c r="BA508" t="s">
        <v>282</v>
      </c>
      <c r="BB508" t="s">
        <v>1200</v>
      </c>
      <c r="BC508">
        <v>8</v>
      </c>
    </row>
  </sheetData>
  <pageMargins left="0.7" right="0.7" top="0.75" bottom="0.75" header="0.3" footer="0.3"/>
  <pageSetup orientation="portrait" r:id="rId1"/>
  <tableParts count="1">
    <tablePart r:id="rId2"/>
  </tablePart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9">
    <tabColor theme="7"/>
  </sheetPr>
  <dimension ref="A1:Q27"/>
  <sheetViews>
    <sheetView zoomScaleNormal="100" workbookViewId="0">
      <selection activeCell="B19" sqref="B19"/>
    </sheetView>
  </sheetViews>
  <sheetFormatPr defaultRowHeight="15" x14ac:dyDescent="0.25"/>
  <cols>
    <col min="1" max="1" width="32.85546875" bestFit="1" customWidth="1"/>
    <col min="2" max="4" width="15.7109375" customWidth="1"/>
    <col min="6" max="6" width="32.28515625" customWidth="1"/>
    <col min="7" max="7" width="22.140625" bestFit="1" customWidth="1"/>
  </cols>
  <sheetData>
    <row r="1" spans="1:17" ht="18.75" x14ac:dyDescent="0.3">
      <c r="A1" s="173" t="s">
        <v>17</v>
      </c>
      <c r="B1" s="173"/>
      <c r="C1" s="173"/>
      <c r="D1" s="173"/>
      <c r="E1" s="173"/>
      <c r="F1" s="173"/>
      <c r="G1" s="173"/>
      <c r="H1" s="173"/>
      <c r="I1" s="173"/>
      <c r="J1" s="173"/>
      <c r="K1" s="173"/>
      <c r="L1" s="173"/>
      <c r="M1" s="173"/>
    </row>
    <row r="2" spans="1:17" ht="15.75" x14ac:dyDescent="0.25">
      <c r="A2" s="174" t="str">
        <f>'Reimbursement Rates &lt;-INPUT'!A2:AY2</f>
        <v>Biocorrect</v>
      </c>
      <c r="B2" s="174"/>
      <c r="C2" s="174"/>
      <c r="D2" s="174"/>
      <c r="E2" s="174"/>
      <c r="F2" s="174"/>
      <c r="G2" s="174"/>
      <c r="H2" s="174"/>
      <c r="I2" s="174"/>
      <c r="J2" s="174"/>
      <c r="K2" s="174"/>
      <c r="L2" s="174"/>
      <c r="M2" s="174"/>
    </row>
    <row r="3" spans="1:17" x14ac:dyDescent="0.25">
      <c r="A3" s="175" t="s">
        <v>219</v>
      </c>
      <c r="B3" s="175"/>
      <c r="C3" s="175"/>
      <c r="D3" s="175"/>
      <c r="E3" s="175"/>
      <c r="F3" s="175"/>
      <c r="G3" s="175"/>
      <c r="H3" s="175"/>
      <c r="I3" s="175"/>
      <c r="J3" s="175"/>
      <c r="K3" s="175"/>
      <c r="L3" s="175"/>
      <c r="M3" s="175"/>
    </row>
    <row r="4" spans="1:17" ht="15.75" thickBot="1" x14ac:dyDescent="0.3"/>
    <row r="5" spans="1:17" ht="15.75" thickBot="1" x14ac:dyDescent="0.3">
      <c r="A5" s="189" t="s">
        <v>130</v>
      </c>
      <c r="B5" s="190"/>
      <c r="C5" s="190"/>
      <c r="D5" s="190"/>
      <c r="E5" s="190"/>
      <c r="F5" s="190"/>
      <c r="G5" s="190"/>
      <c r="H5" s="190"/>
      <c r="I5" s="190"/>
      <c r="J5" s="190"/>
      <c r="K5" s="190"/>
      <c r="L5" s="190"/>
      <c r="M5" s="190"/>
      <c r="N5" s="190"/>
      <c r="O5" s="190"/>
      <c r="P5" s="190"/>
      <c r="Q5" s="191"/>
    </row>
    <row r="17" spans="1:7" x14ac:dyDescent="0.25">
      <c r="F17" s="35"/>
      <c r="G17" s="35"/>
    </row>
    <row r="18" spans="1:7" ht="15.75" thickBot="1" x14ac:dyDescent="0.3">
      <c r="B18" s="43" t="s">
        <v>260</v>
      </c>
      <c r="C18" s="43" t="s">
        <v>261</v>
      </c>
      <c r="D18" s="43" t="s">
        <v>262</v>
      </c>
      <c r="F18" s="107"/>
      <c r="G18" s="107"/>
    </row>
    <row r="19" spans="1:7" x14ac:dyDescent="0.25">
      <c r="A19" t="s">
        <v>226</v>
      </c>
      <c r="B19" s="91">
        <f>-'Credit Bal Cur Qtr &lt;-INPUT'!J739</f>
        <v>1582.5700000000002</v>
      </c>
      <c r="C19" s="91">
        <f>-'Credit Bal Prior Qtr &lt;-INPUT'!J499</f>
        <v>1525.97</v>
      </c>
      <c r="D19" s="2">
        <f>B19-C19</f>
        <v>56.600000000000136</v>
      </c>
    </row>
    <row r="20" spans="1:7" x14ac:dyDescent="0.25">
      <c r="A20" t="s">
        <v>259</v>
      </c>
      <c r="B20" s="91">
        <f>-'Credit Bal Cur Qtr &lt;-INPUT'!I739</f>
        <v>891.5</v>
      </c>
      <c r="C20" s="91">
        <f>-'Credit Bal Prior Qtr &lt;-INPUT'!I499</f>
        <v>848</v>
      </c>
      <c r="D20" s="2">
        <f>B20-C20</f>
        <v>43.5</v>
      </c>
    </row>
    <row r="21" spans="1:7" ht="15.75" thickBot="1" x14ac:dyDescent="0.3">
      <c r="A21" t="s">
        <v>263</v>
      </c>
      <c r="B21" s="70">
        <f>B19-B20</f>
        <v>691.07000000000016</v>
      </c>
      <c r="C21" s="70">
        <f t="shared" ref="C21" si="0">C19-C20</f>
        <v>677.97</v>
      </c>
      <c r="D21" s="70">
        <f>D19-D20</f>
        <v>13.100000000000136</v>
      </c>
    </row>
    <row r="23" spans="1:7" x14ac:dyDescent="0.25">
      <c r="A23" t="s">
        <v>265</v>
      </c>
      <c r="B23" s="84">
        <f>1-('Company Summary'!J191/'Company Summary'!J25)</f>
        <v>0.30775180898866483</v>
      </c>
      <c r="C23" s="84">
        <v>0.57021386974308808</v>
      </c>
    </row>
    <row r="25" spans="1:7" ht="15.75" thickBot="1" x14ac:dyDescent="0.3">
      <c r="A25" t="s">
        <v>264</v>
      </c>
      <c r="B25" s="92">
        <f>ROUND(B21*B23,2)</f>
        <v>212.68</v>
      </c>
      <c r="C25" s="92">
        <f>C21*C23</f>
        <v>386.58789726972145</v>
      </c>
      <c r="D25" s="92">
        <f>B25-C25</f>
        <v>-173.90789726972145</v>
      </c>
    </row>
    <row r="27" spans="1:7" x14ac:dyDescent="0.25">
      <c r="B27" s="121" t="s">
        <v>1018</v>
      </c>
    </row>
  </sheetData>
  <mergeCells count="4">
    <mergeCell ref="A1:M1"/>
    <mergeCell ref="A2:M2"/>
    <mergeCell ref="A3:M3"/>
    <mergeCell ref="A5:Q5"/>
  </mergeCells>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60">
    <tabColor theme="7"/>
  </sheetPr>
  <dimension ref="A1"/>
  <sheetViews>
    <sheetView zoomScale="80" zoomScaleNormal="80" workbookViewId="0">
      <selection activeCell="T37" sqref="T37"/>
    </sheetView>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E535EB1-AACA-4050-8EE0-5B6EA211FFA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Company Summary</vt:lpstr>
      <vt:lpstr>Checklist</vt:lpstr>
      <vt:lpstr>Biocorrect-Agile</vt:lpstr>
      <vt:lpstr>SSOR Summary Unposted Money</vt:lpstr>
      <vt:lpstr>Biocorrect-GP</vt:lpstr>
      <vt:lpstr>Clinic 3</vt:lpstr>
      <vt:lpstr>Clinic 4</vt:lpstr>
      <vt:lpstr>Clinic 5</vt:lpstr>
      <vt:lpstr>Clinic 6</vt:lpstr>
      <vt:lpstr>Clinic 7</vt:lpstr>
      <vt:lpstr>Clinic 8</vt:lpstr>
      <vt:lpstr>Clinic 9</vt:lpstr>
      <vt:lpstr>Clinic 10</vt:lpstr>
      <vt:lpstr>Clinic 11</vt:lpstr>
      <vt:lpstr>Clinic 12</vt:lpstr>
      <vt:lpstr>Clinic 13</vt:lpstr>
      <vt:lpstr>Clinic 14</vt:lpstr>
      <vt:lpstr>Clinic 15</vt:lpstr>
      <vt:lpstr>Reimbursement Rates &lt;-INPUT</vt:lpstr>
      <vt:lpstr>Agile AR Aging &lt;-INPUT</vt:lpstr>
      <vt:lpstr>RF by Location &lt;-INPUT</vt:lpstr>
      <vt:lpstr>RF by Payor &lt;-INPUT</vt:lpstr>
      <vt:lpstr>Bad Debt Detail &lt;-INPUT</vt:lpstr>
      <vt:lpstr>Clinic 1 1-16 Rev Entry</vt:lpstr>
      <vt:lpstr>Clinic 1 1-16 Rev-Mcare off</vt:lpstr>
      <vt:lpstr>Clinic 1 1-16 Cash Entry</vt:lpstr>
      <vt:lpstr>Clinic 2 1-16 Rev Entry</vt:lpstr>
      <vt:lpstr>Clinic 2 1-16 Cash Entry</vt:lpstr>
      <vt:lpstr>Clinic 3 1-16 Rev Entry</vt:lpstr>
      <vt:lpstr>Clinic 3 1-16 Cash Entry</vt:lpstr>
      <vt:lpstr>Clinic 4 1-16 Rev Entry</vt:lpstr>
      <vt:lpstr>Clinic 4 1-16 Cash Entry</vt:lpstr>
      <vt:lpstr>Clinic 5 1-16 Rev Entry</vt:lpstr>
      <vt:lpstr>Clinic 5 1-16 Cash Entry</vt:lpstr>
      <vt:lpstr>Clinic 6 1-16 Rev Entry</vt:lpstr>
      <vt:lpstr>Clinic 6 1-16 Cash Entry</vt:lpstr>
      <vt:lpstr>Clinic 7 1-16 Rev Entry</vt:lpstr>
      <vt:lpstr>Clinic 7 1-16 Cash Entry</vt:lpstr>
      <vt:lpstr>Clinic 8 1-16 Rev Entry</vt:lpstr>
      <vt:lpstr>Clinic 8 1-16 Cash Entry</vt:lpstr>
      <vt:lpstr>Clinic 9 1-16 Rev Entry</vt:lpstr>
      <vt:lpstr>Clinic 9 1-16 Cash Entry</vt:lpstr>
      <vt:lpstr>Clinic 10 1-16 Rev Entry</vt:lpstr>
      <vt:lpstr>Clinic 10 1-16 Cash Entry</vt:lpstr>
      <vt:lpstr>Clinic 11 1-16 Rev Entry</vt:lpstr>
      <vt:lpstr>Clinic 11 1-16 Cash Entry</vt:lpstr>
      <vt:lpstr>Clinic 12 1-16 Rev Entry</vt:lpstr>
      <vt:lpstr>Clinic 12 1-16 Cash Entry</vt:lpstr>
      <vt:lpstr>Clinic 13 1-16 Rev Entry</vt:lpstr>
      <vt:lpstr>Clinic 13 1-16 Cash Entry</vt:lpstr>
      <vt:lpstr>Clinic 14 1-16 Rev Entry</vt:lpstr>
      <vt:lpstr>Clinic 14 1-16 Cash Entry</vt:lpstr>
      <vt:lpstr>Clinic 15 1-16 Rev Entry</vt:lpstr>
      <vt:lpstr>Clinic 15 1-16 Cash Entry</vt:lpstr>
      <vt:lpstr>Credit Bal Cur Qtr &lt;-INPUT</vt:lpstr>
      <vt:lpstr>Credit Bal Prior Qtr &lt;-INPUT</vt:lpstr>
      <vt:lpstr>Credit Bal Entry</vt:lpstr>
      <vt:lpstr>Credit Balance Detail</vt:lpstr>
      <vt:lpstr>CurrentMonthTransactionData</vt:lpstr>
      <vt:lpstr>CurrentMonthAgingData</vt:lpstr>
      <vt:lpstr>Credit Bal Adj Calculation</vt:lpstr>
      <vt:lpstr>General Ledger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Jolman</dc:creator>
  <cp:lastModifiedBy>Bill Westers</cp:lastModifiedBy>
  <cp:lastPrinted>2017-03-16T18:42:31Z</cp:lastPrinted>
  <dcterms:created xsi:type="dcterms:W3CDTF">2011-06-21T16:39:11Z</dcterms:created>
  <dcterms:modified xsi:type="dcterms:W3CDTF">2023-10-04T16:18:19Z</dcterms:modified>
</cp:coreProperties>
</file>